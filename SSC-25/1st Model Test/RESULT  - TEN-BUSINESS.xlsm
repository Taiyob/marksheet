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SSC-25\Final\"/>
    </mc:Choice>
  </mc:AlternateContent>
  <xr:revisionPtr revIDLastSave="0" documentId="13_ncr:1_{1F4EE847-DD86-4CD9-9AE2-BFD7C7672E44}" xr6:coauthVersionLast="47" xr6:coauthVersionMax="47" xr10:uidLastSave="{00000000-0000-0000-0000-000000000000}"/>
  <bookViews>
    <workbookView xWindow="-120" yWindow="-120" windowWidth="29040" windowHeight="15720" tabRatio="403" activeTab="1" xr2:uid="{00000000-000D-0000-FFFF-FFFF00000000}"/>
  </bookViews>
  <sheets>
    <sheet name="TABULATION SCI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  <c r="C7" i="2"/>
  <c r="C6" i="2"/>
  <c r="F24" i="2"/>
  <c r="E30" i="2"/>
  <c r="E28" i="2"/>
  <c r="E27" i="2"/>
  <c r="E26" i="2"/>
  <c r="E25" i="2"/>
  <c r="E23" i="2"/>
  <c r="E22" i="2"/>
  <c r="E21" i="2"/>
  <c r="E20" i="2"/>
  <c r="E19" i="2"/>
  <c r="E18" i="2"/>
  <c r="D30" i="2"/>
  <c r="D28" i="2"/>
  <c r="D27" i="2"/>
  <c r="D26" i="2"/>
  <c r="D25" i="2"/>
  <c r="D24" i="2"/>
  <c r="D23" i="2"/>
  <c r="D22" i="2"/>
  <c r="D19" i="2"/>
  <c r="D18" i="2"/>
  <c r="D34" i="2"/>
  <c r="L37" i="4"/>
  <c r="I21" i="4"/>
  <c r="BG41" i="4"/>
  <c r="BJ41" i="4" s="1"/>
  <c r="I30" i="2" s="1"/>
  <c r="BA41" i="4"/>
  <c r="BC41" i="4" s="1"/>
  <c r="I28" i="2" s="1"/>
  <c r="AV41" i="4"/>
  <c r="AX41" i="4" s="1"/>
  <c r="I27" i="2" s="1"/>
  <c r="AQ41" i="4"/>
  <c r="AS41" i="4" s="1"/>
  <c r="I26" i="2" s="1"/>
  <c r="AL41" i="4"/>
  <c r="AN41" i="4" s="1"/>
  <c r="I25" i="2" s="1"/>
  <c r="AG41" i="4"/>
  <c r="AI41" i="4" s="1"/>
  <c r="I24" i="2" s="1"/>
  <c r="AB41" i="4"/>
  <c r="AD41" i="4" s="1"/>
  <c r="I23" i="2" s="1"/>
  <c r="W41" i="4"/>
  <c r="Y41" i="4" s="1"/>
  <c r="I22" i="2" s="1"/>
  <c r="R41" i="4"/>
  <c r="T41" i="4" s="1"/>
  <c r="I20" i="2" s="1"/>
  <c r="L41" i="4"/>
  <c r="I41" i="4"/>
  <c r="L30" i="4"/>
  <c r="L31" i="4"/>
  <c r="L32" i="4"/>
  <c r="L33" i="4"/>
  <c r="L34" i="4"/>
  <c r="L35" i="4"/>
  <c r="L36" i="4"/>
  <c r="L38" i="4"/>
  <c r="L39" i="4"/>
  <c r="L40" i="4"/>
  <c r="L19" i="4"/>
  <c r="L20" i="4"/>
  <c r="L21" i="4"/>
  <c r="L22" i="4"/>
  <c r="L23" i="4"/>
  <c r="L24" i="4"/>
  <c r="L25" i="4"/>
  <c r="L26" i="4"/>
  <c r="L27" i="4"/>
  <c r="L28" i="4"/>
  <c r="L29" i="4"/>
  <c r="L9" i="4"/>
  <c r="L10" i="4"/>
  <c r="L11" i="4"/>
  <c r="L12" i="4"/>
  <c r="L13" i="4"/>
  <c r="L14" i="4"/>
  <c r="L15" i="4"/>
  <c r="L16" i="4"/>
  <c r="L17" i="4"/>
  <c r="L18" i="4"/>
  <c r="L8" i="4"/>
  <c r="I37" i="4"/>
  <c r="I38" i="4"/>
  <c r="I39" i="4"/>
  <c r="I40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18" i="4"/>
  <c r="I19" i="4"/>
  <c r="I20" i="4"/>
  <c r="I22" i="4"/>
  <c r="I23" i="4"/>
  <c r="I9" i="4"/>
  <c r="I10" i="4"/>
  <c r="I11" i="4"/>
  <c r="I12" i="4"/>
  <c r="I13" i="4"/>
  <c r="I14" i="4"/>
  <c r="I15" i="4"/>
  <c r="I16" i="4"/>
  <c r="I17" i="4"/>
  <c r="I8" i="4"/>
  <c r="G24" i="2" l="1"/>
  <c r="G20" i="2"/>
  <c r="G22" i="2"/>
  <c r="G23" i="2"/>
  <c r="G25" i="2"/>
  <c r="G26" i="2"/>
  <c r="G27" i="2"/>
  <c r="G30" i="2"/>
  <c r="G28" i="2"/>
  <c r="BI41" i="4"/>
  <c r="M41" i="4"/>
  <c r="G18" i="2" s="1"/>
  <c r="BI29" i="4"/>
  <c r="BJ29" i="4"/>
  <c r="BI30" i="4"/>
  <c r="BJ30" i="4"/>
  <c r="BI31" i="4"/>
  <c r="BJ31" i="4"/>
  <c r="BI32" i="4"/>
  <c r="BJ32" i="4"/>
  <c r="BI33" i="4"/>
  <c r="BJ33" i="4"/>
  <c r="BI38" i="4"/>
  <c r="BJ38" i="4"/>
  <c r="BG28" i="4"/>
  <c r="BJ28" i="4" s="1"/>
  <c r="BG29" i="4"/>
  <c r="BG30" i="4"/>
  <c r="BG31" i="4"/>
  <c r="BG32" i="4"/>
  <c r="BG33" i="4"/>
  <c r="BG34" i="4"/>
  <c r="BI34" i="4" s="1"/>
  <c r="BG35" i="4"/>
  <c r="BI35" i="4" s="1"/>
  <c r="BG36" i="4"/>
  <c r="BI36" i="4" s="1"/>
  <c r="BG37" i="4"/>
  <c r="BJ37" i="4" s="1"/>
  <c r="BG38" i="4"/>
  <c r="BG39" i="4"/>
  <c r="BJ39" i="4" s="1"/>
  <c r="BG40" i="4"/>
  <c r="BI40" i="4" s="1"/>
  <c r="BA28" i="4"/>
  <c r="BC28" i="4" s="1"/>
  <c r="BA29" i="4"/>
  <c r="BC29" i="4" s="1"/>
  <c r="BA30" i="4"/>
  <c r="BC30" i="4" s="1"/>
  <c r="BA31" i="4"/>
  <c r="BC31" i="4" s="1"/>
  <c r="BA32" i="4"/>
  <c r="BC32" i="4" s="1"/>
  <c r="BA33" i="4"/>
  <c r="BC33" i="4" s="1"/>
  <c r="BA34" i="4"/>
  <c r="BC34" i="4" s="1"/>
  <c r="BA35" i="4"/>
  <c r="BC35" i="4" s="1"/>
  <c r="BA36" i="4"/>
  <c r="BC36" i="4" s="1"/>
  <c r="BA37" i="4"/>
  <c r="BC37" i="4" s="1"/>
  <c r="BA38" i="4"/>
  <c r="BC38" i="4" s="1"/>
  <c r="BA39" i="4"/>
  <c r="BC39" i="4" s="1"/>
  <c r="BA40" i="4"/>
  <c r="BC40" i="4" s="1"/>
  <c r="AV28" i="4"/>
  <c r="AX28" i="4" s="1"/>
  <c r="AV29" i="4"/>
  <c r="AX29" i="4" s="1"/>
  <c r="AV30" i="4"/>
  <c r="AX30" i="4" s="1"/>
  <c r="AV31" i="4"/>
  <c r="AX31" i="4" s="1"/>
  <c r="AV32" i="4"/>
  <c r="AX32" i="4" s="1"/>
  <c r="AV33" i="4"/>
  <c r="AX33" i="4" s="1"/>
  <c r="AV34" i="4"/>
  <c r="AX34" i="4" s="1"/>
  <c r="AV35" i="4"/>
  <c r="AX35" i="4" s="1"/>
  <c r="AV36" i="4"/>
  <c r="AX36" i="4" s="1"/>
  <c r="AV37" i="4"/>
  <c r="AX37" i="4" s="1"/>
  <c r="AV38" i="4"/>
  <c r="AX38" i="4" s="1"/>
  <c r="AV39" i="4"/>
  <c r="AX39" i="4" s="1"/>
  <c r="AV40" i="4"/>
  <c r="AX40" i="4" s="1"/>
  <c r="AQ28" i="4"/>
  <c r="AS28" i="4" s="1"/>
  <c r="AQ29" i="4"/>
  <c r="AS29" i="4" s="1"/>
  <c r="AQ30" i="4"/>
  <c r="AS30" i="4" s="1"/>
  <c r="AQ31" i="4"/>
  <c r="AS31" i="4" s="1"/>
  <c r="AQ32" i="4"/>
  <c r="AS32" i="4" s="1"/>
  <c r="AQ33" i="4"/>
  <c r="AS33" i="4" s="1"/>
  <c r="AQ34" i="4"/>
  <c r="AS34" i="4" s="1"/>
  <c r="AQ35" i="4"/>
  <c r="AS35" i="4" s="1"/>
  <c r="AQ36" i="4"/>
  <c r="AS36" i="4" s="1"/>
  <c r="AQ37" i="4"/>
  <c r="AS37" i="4" s="1"/>
  <c r="AQ38" i="4"/>
  <c r="AS38" i="4" s="1"/>
  <c r="AQ39" i="4"/>
  <c r="AS39" i="4" s="1"/>
  <c r="AQ40" i="4"/>
  <c r="AS40" i="4" s="1"/>
  <c r="AL28" i="4"/>
  <c r="AN28" i="4" s="1"/>
  <c r="AL29" i="4"/>
  <c r="AN29" i="4" s="1"/>
  <c r="AL30" i="4"/>
  <c r="AN30" i="4" s="1"/>
  <c r="AL31" i="4"/>
  <c r="AN31" i="4" s="1"/>
  <c r="AL32" i="4"/>
  <c r="AN32" i="4" s="1"/>
  <c r="AL33" i="4"/>
  <c r="AN33" i="4" s="1"/>
  <c r="AL34" i="4"/>
  <c r="AN34" i="4" s="1"/>
  <c r="AL35" i="4"/>
  <c r="AN35" i="4" s="1"/>
  <c r="AL36" i="4"/>
  <c r="AN36" i="4" s="1"/>
  <c r="AL37" i="4"/>
  <c r="AN37" i="4" s="1"/>
  <c r="AL38" i="4"/>
  <c r="AN38" i="4" s="1"/>
  <c r="AL39" i="4"/>
  <c r="AN39" i="4" s="1"/>
  <c r="AL40" i="4"/>
  <c r="AN40" i="4" s="1"/>
  <c r="AG28" i="4"/>
  <c r="AI28" i="4" s="1"/>
  <c r="AG29" i="4"/>
  <c r="AI29" i="4" s="1"/>
  <c r="AG30" i="4"/>
  <c r="AI30" i="4" s="1"/>
  <c r="AG31" i="4"/>
  <c r="AI31" i="4" s="1"/>
  <c r="AG32" i="4"/>
  <c r="AI32" i="4" s="1"/>
  <c r="AG33" i="4"/>
  <c r="AI33" i="4" s="1"/>
  <c r="AG34" i="4"/>
  <c r="AI34" i="4" s="1"/>
  <c r="AG35" i="4"/>
  <c r="AI35" i="4" s="1"/>
  <c r="AG36" i="4"/>
  <c r="AI36" i="4" s="1"/>
  <c r="AG37" i="4"/>
  <c r="AI37" i="4" s="1"/>
  <c r="AG38" i="4"/>
  <c r="AI38" i="4" s="1"/>
  <c r="AG39" i="4"/>
  <c r="AI39" i="4" s="1"/>
  <c r="AG40" i="4"/>
  <c r="AI40" i="4" s="1"/>
  <c r="AB28" i="4"/>
  <c r="AD28" i="4" s="1"/>
  <c r="AB29" i="4"/>
  <c r="AD29" i="4" s="1"/>
  <c r="AB30" i="4"/>
  <c r="AD30" i="4" s="1"/>
  <c r="AB31" i="4"/>
  <c r="AD31" i="4" s="1"/>
  <c r="AB32" i="4"/>
  <c r="AD32" i="4" s="1"/>
  <c r="Y33" i="4"/>
  <c r="AB33" i="4"/>
  <c r="AD33" i="4" s="1"/>
  <c r="AB34" i="4"/>
  <c r="AD34" i="4" s="1"/>
  <c r="AB35" i="4"/>
  <c r="AD35" i="4" s="1"/>
  <c r="AB36" i="4"/>
  <c r="AD36" i="4" s="1"/>
  <c r="AB37" i="4"/>
  <c r="AD37" i="4" s="1"/>
  <c r="Y38" i="4"/>
  <c r="AB38" i="4"/>
  <c r="AD38" i="4" s="1"/>
  <c r="Y39" i="4"/>
  <c r="AB39" i="4"/>
  <c r="AD39" i="4" s="1"/>
  <c r="AB40" i="4"/>
  <c r="AD40" i="4" s="1"/>
  <c r="W28" i="4"/>
  <c r="Y28" i="4" s="1"/>
  <c r="W29" i="4"/>
  <c r="Y29" i="4" s="1"/>
  <c r="W30" i="4"/>
  <c r="Y30" i="4" s="1"/>
  <c r="W31" i="4"/>
  <c r="Y31" i="4" s="1"/>
  <c r="W32" i="4"/>
  <c r="Y32" i="4" s="1"/>
  <c r="W33" i="4"/>
  <c r="W34" i="4"/>
  <c r="Y34" i="4" s="1"/>
  <c r="W35" i="4"/>
  <c r="Y35" i="4" s="1"/>
  <c r="W36" i="4"/>
  <c r="Y36" i="4" s="1"/>
  <c r="W37" i="4"/>
  <c r="Y37" i="4" s="1"/>
  <c r="W38" i="4"/>
  <c r="W39" i="4"/>
  <c r="W40" i="4"/>
  <c r="Y40" i="4" s="1"/>
  <c r="W27" i="4"/>
  <c r="R28" i="4"/>
  <c r="T28" i="4" s="1"/>
  <c r="R29" i="4"/>
  <c r="T29" i="4" s="1"/>
  <c r="R30" i="4"/>
  <c r="T30" i="4" s="1"/>
  <c r="R31" i="4"/>
  <c r="T31" i="4" s="1"/>
  <c r="R32" i="4"/>
  <c r="T32" i="4" s="1"/>
  <c r="R33" i="4"/>
  <c r="T33" i="4" s="1"/>
  <c r="R34" i="4"/>
  <c r="T34" i="4" s="1"/>
  <c r="R35" i="4"/>
  <c r="T35" i="4" s="1"/>
  <c r="R36" i="4"/>
  <c r="T36" i="4" s="1"/>
  <c r="R37" i="4"/>
  <c r="R38" i="4"/>
  <c r="T38" i="4" s="1"/>
  <c r="R39" i="4"/>
  <c r="T39" i="4" s="1"/>
  <c r="R40" i="4"/>
  <c r="T40" i="4" s="1"/>
  <c r="M28" i="4"/>
  <c r="O28" i="4" s="1"/>
  <c r="M29" i="4"/>
  <c r="O29" i="4" s="1"/>
  <c r="M30" i="4"/>
  <c r="O30" i="4" s="1"/>
  <c r="M31" i="4"/>
  <c r="O31" i="4" s="1"/>
  <c r="M32" i="4"/>
  <c r="O32" i="4" s="1"/>
  <c r="M33" i="4"/>
  <c r="O33" i="4" s="1"/>
  <c r="M34" i="4"/>
  <c r="O34" i="4" s="1"/>
  <c r="M35" i="4"/>
  <c r="O35" i="4" s="1"/>
  <c r="M36" i="4"/>
  <c r="O36" i="4" s="1"/>
  <c r="M37" i="4"/>
  <c r="O37" i="4" s="1"/>
  <c r="M38" i="4"/>
  <c r="O38" i="4" s="1"/>
  <c r="M39" i="4"/>
  <c r="O39" i="4" s="1"/>
  <c r="M40" i="4"/>
  <c r="O40" i="4" s="1"/>
  <c r="O41" i="4" l="1"/>
  <c r="BJ40" i="4"/>
  <c r="BI37" i="4"/>
  <c r="BJ34" i="4"/>
  <c r="BI28" i="4"/>
  <c r="BO41" i="4"/>
  <c r="BI39" i="4"/>
  <c r="BJ36" i="4"/>
  <c r="BJ35" i="4"/>
  <c r="BO30" i="4"/>
  <c r="BK30" i="4"/>
  <c r="BL30" i="4" s="1"/>
  <c r="BK40" i="4"/>
  <c r="BL40" i="4" s="1"/>
  <c r="BM40" i="4" s="1"/>
  <c r="BK39" i="4"/>
  <c r="BL39" i="4" s="1"/>
  <c r="BM39" i="4" s="1"/>
  <c r="BK38" i="4"/>
  <c r="BL38" i="4" s="1"/>
  <c r="BK36" i="4"/>
  <c r="BL36" i="4" s="1"/>
  <c r="BM36" i="4" s="1"/>
  <c r="BK35" i="4"/>
  <c r="BL35" i="4" s="1"/>
  <c r="BM35" i="4" s="1"/>
  <c r="BK34" i="4"/>
  <c r="BL34" i="4" s="1"/>
  <c r="BK33" i="4"/>
  <c r="BL33" i="4" s="1"/>
  <c r="BK32" i="4"/>
  <c r="BL32" i="4" s="1"/>
  <c r="BK31" i="4"/>
  <c r="BL31" i="4" s="1"/>
  <c r="BK29" i="4"/>
  <c r="BL29" i="4" s="1"/>
  <c r="BK28" i="4"/>
  <c r="BL28" i="4" s="1"/>
  <c r="BM28" i="4" s="1"/>
  <c r="BO37" i="4"/>
  <c r="BO29" i="4"/>
  <c r="BO28" i="4"/>
  <c r="BO33" i="4"/>
  <c r="BO38" i="4"/>
  <c r="BO40" i="4"/>
  <c r="BO39" i="4"/>
  <c r="BO32" i="4"/>
  <c r="BO31" i="4"/>
  <c r="BO36" i="4"/>
  <c r="BO35" i="4"/>
  <c r="BO34" i="4"/>
  <c r="T37" i="4"/>
  <c r="BK41" i="4" l="1"/>
  <c r="BL41" i="4" s="1"/>
  <c r="K18" i="2" s="1"/>
  <c r="I18" i="2"/>
  <c r="BK37" i="4"/>
  <c r="BL37" i="4" s="1"/>
  <c r="BM37" i="4" s="1"/>
  <c r="BM31" i="4"/>
  <c r="BM34" i="4"/>
  <c r="BM33" i="4"/>
  <c r="BM29" i="4"/>
  <c r="BM38" i="4"/>
  <c r="BM32" i="4"/>
  <c r="BM30" i="4"/>
  <c r="BJ21" i="4"/>
  <c r="F30" i="2"/>
  <c r="BI21" i="4"/>
  <c r="BM41" i="4" l="1"/>
  <c r="D33" i="2" s="1"/>
  <c r="BG9" i="4"/>
  <c r="BG10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8" i="4"/>
  <c r="BA9" i="4"/>
  <c r="BC9" i="4" s="1"/>
  <c r="BA10" i="4"/>
  <c r="BC10" i="4" s="1"/>
  <c r="BA11" i="4"/>
  <c r="BC11" i="4" s="1"/>
  <c r="BA12" i="4"/>
  <c r="BC12" i="4" s="1"/>
  <c r="BA13" i="4"/>
  <c r="BC13" i="4" s="1"/>
  <c r="BA14" i="4"/>
  <c r="BC14" i="4" s="1"/>
  <c r="BA15" i="4"/>
  <c r="BC15" i="4" s="1"/>
  <c r="BA16" i="4"/>
  <c r="BC16" i="4" s="1"/>
  <c r="BA17" i="4"/>
  <c r="BC17" i="4" s="1"/>
  <c r="BA18" i="4"/>
  <c r="BC18" i="4" s="1"/>
  <c r="BA19" i="4"/>
  <c r="BC19" i="4" s="1"/>
  <c r="BA20" i="4"/>
  <c r="BC20" i="4" s="1"/>
  <c r="BA21" i="4"/>
  <c r="BC21" i="4" s="1"/>
  <c r="BA22" i="4"/>
  <c r="BC22" i="4" s="1"/>
  <c r="BA23" i="4"/>
  <c r="BC23" i="4" s="1"/>
  <c r="BA24" i="4"/>
  <c r="BC24" i="4" s="1"/>
  <c r="BA25" i="4"/>
  <c r="BC25" i="4" s="1"/>
  <c r="BA26" i="4"/>
  <c r="BC26" i="4" s="1"/>
  <c r="BA27" i="4"/>
  <c r="BA8" i="4"/>
  <c r="BC8" i="4" s="1"/>
  <c r="AV9" i="4"/>
  <c r="AX9" i="4" s="1"/>
  <c r="AV10" i="4"/>
  <c r="AX10" i="4" s="1"/>
  <c r="AV11" i="4"/>
  <c r="AX11" i="4" s="1"/>
  <c r="AV12" i="4"/>
  <c r="AX12" i="4" s="1"/>
  <c r="AV13" i="4"/>
  <c r="AX13" i="4" s="1"/>
  <c r="AV14" i="4"/>
  <c r="AX14" i="4" s="1"/>
  <c r="AV15" i="4"/>
  <c r="AX15" i="4" s="1"/>
  <c r="AV16" i="4"/>
  <c r="AX16" i="4" s="1"/>
  <c r="AV17" i="4"/>
  <c r="AX17" i="4" s="1"/>
  <c r="AV18" i="4"/>
  <c r="AX18" i="4" s="1"/>
  <c r="AV19" i="4"/>
  <c r="AX19" i="4" s="1"/>
  <c r="AV20" i="4"/>
  <c r="AX20" i="4" s="1"/>
  <c r="AV21" i="4"/>
  <c r="AX21" i="4" s="1"/>
  <c r="AV22" i="4"/>
  <c r="AX22" i="4" s="1"/>
  <c r="AV23" i="4"/>
  <c r="AX23" i="4" s="1"/>
  <c r="AV24" i="4"/>
  <c r="AX24" i="4" s="1"/>
  <c r="AV25" i="4"/>
  <c r="AX25" i="4" s="1"/>
  <c r="AV26" i="4"/>
  <c r="AX26" i="4" s="1"/>
  <c r="AV27" i="4"/>
  <c r="AV8" i="4"/>
  <c r="AX8" i="4" s="1"/>
  <c r="AQ9" i="4"/>
  <c r="AS9" i="4" s="1"/>
  <c r="AQ10" i="4"/>
  <c r="AS10" i="4" s="1"/>
  <c r="AQ11" i="4"/>
  <c r="AS11" i="4" s="1"/>
  <c r="AQ12" i="4"/>
  <c r="AS12" i="4" s="1"/>
  <c r="AQ13" i="4"/>
  <c r="AS13" i="4" s="1"/>
  <c r="AQ14" i="4"/>
  <c r="AS14" i="4" s="1"/>
  <c r="AQ15" i="4"/>
  <c r="AS15" i="4" s="1"/>
  <c r="AQ16" i="4"/>
  <c r="AS16" i="4" s="1"/>
  <c r="AQ17" i="4"/>
  <c r="AS17" i="4" s="1"/>
  <c r="AQ18" i="4"/>
  <c r="AS18" i="4" s="1"/>
  <c r="AQ19" i="4"/>
  <c r="AS19" i="4" s="1"/>
  <c r="AQ20" i="4"/>
  <c r="AS20" i="4" s="1"/>
  <c r="AQ21" i="4"/>
  <c r="AS21" i="4" s="1"/>
  <c r="AQ22" i="4"/>
  <c r="AS22" i="4" s="1"/>
  <c r="AQ23" i="4"/>
  <c r="AS23" i="4" s="1"/>
  <c r="AQ24" i="4"/>
  <c r="AS24" i="4" s="1"/>
  <c r="AQ25" i="4"/>
  <c r="AS25" i="4" s="1"/>
  <c r="AQ26" i="4"/>
  <c r="AS26" i="4" s="1"/>
  <c r="AQ27" i="4"/>
  <c r="AQ8" i="4"/>
  <c r="AS8" i="4" s="1"/>
  <c r="AL9" i="4"/>
  <c r="AN9" i="4" s="1"/>
  <c r="AL10" i="4"/>
  <c r="AN10" i="4" s="1"/>
  <c r="AL11" i="4"/>
  <c r="AN11" i="4" s="1"/>
  <c r="AL12" i="4"/>
  <c r="AN12" i="4" s="1"/>
  <c r="AL13" i="4"/>
  <c r="AN13" i="4" s="1"/>
  <c r="AL14" i="4"/>
  <c r="AN14" i="4" s="1"/>
  <c r="AL15" i="4"/>
  <c r="AN15" i="4" s="1"/>
  <c r="AL16" i="4"/>
  <c r="AN16" i="4" s="1"/>
  <c r="AL17" i="4"/>
  <c r="AN17" i="4" s="1"/>
  <c r="AL18" i="4"/>
  <c r="AN18" i="4" s="1"/>
  <c r="AL19" i="4"/>
  <c r="AN19" i="4" s="1"/>
  <c r="AL20" i="4"/>
  <c r="AN20" i="4" s="1"/>
  <c r="AL21" i="4"/>
  <c r="AN21" i="4" s="1"/>
  <c r="AL22" i="4"/>
  <c r="AN22" i="4" s="1"/>
  <c r="AL23" i="4"/>
  <c r="AN23" i="4" s="1"/>
  <c r="AL24" i="4"/>
  <c r="AN24" i="4" s="1"/>
  <c r="AL25" i="4"/>
  <c r="AN25" i="4" s="1"/>
  <c r="AL26" i="4"/>
  <c r="AN26" i="4" s="1"/>
  <c r="AL27" i="4"/>
  <c r="AN27" i="4" s="1"/>
  <c r="AL8" i="4"/>
  <c r="AN8" i="4" s="1"/>
  <c r="AG9" i="4"/>
  <c r="AI9" i="4" s="1"/>
  <c r="AG10" i="4"/>
  <c r="AI10" i="4" s="1"/>
  <c r="AG11" i="4"/>
  <c r="AI11" i="4" s="1"/>
  <c r="AG12" i="4"/>
  <c r="AI12" i="4" s="1"/>
  <c r="AG13" i="4"/>
  <c r="AI13" i="4" s="1"/>
  <c r="AG14" i="4"/>
  <c r="AI14" i="4" s="1"/>
  <c r="AG15" i="4"/>
  <c r="AI15" i="4" s="1"/>
  <c r="AG16" i="4"/>
  <c r="AI16" i="4" s="1"/>
  <c r="AG17" i="4"/>
  <c r="AI17" i="4" s="1"/>
  <c r="AG18" i="4"/>
  <c r="AI18" i="4" s="1"/>
  <c r="AG19" i="4"/>
  <c r="AI19" i="4" s="1"/>
  <c r="AG20" i="4"/>
  <c r="AI20" i="4" s="1"/>
  <c r="AG21" i="4"/>
  <c r="AI21" i="4" s="1"/>
  <c r="AG22" i="4"/>
  <c r="AI22" i="4" s="1"/>
  <c r="AG23" i="4"/>
  <c r="AI23" i="4" s="1"/>
  <c r="AG24" i="4"/>
  <c r="AI24" i="4" s="1"/>
  <c r="AG25" i="4"/>
  <c r="AI25" i="4" s="1"/>
  <c r="AG26" i="4"/>
  <c r="AI26" i="4" s="1"/>
  <c r="AG27" i="4"/>
  <c r="AG8" i="4"/>
  <c r="AI8" i="4" s="1"/>
  <c r="AB9" i="4"/>
  <c r="AD9" i="4" s="1"/>
  <c r="AB10" i="4"/>
  <c r="AD10" i="4" s="1"/>
  <c r="AB11" i="4"/>
  <c r="AD11" i="4" s="1"/>
  <c r="AB12" i="4"/>
  <c r="AD12" i="4" s="1"/>
  <c r="AB13" i="4"/>
  <c r="AD13" i="4" s="1"/>
  <c r="AB14" i="4"/>
  <c r="AD14" i="4" s="1"/>
  <c r="AB15" i="4"/>
  <c r="AD15" i="4" s="1"/>
  <c r="AB16" i="4"/>
  <c r="AD16" i="4" s="1"/>
  <c r="AB17" i="4"/>
  <c r="AD17" i="4" s="1"/>
  <c r="AB18" i="4"/>
  <c r="AD18" i="4" s="1"/>
  <c r="AB19" i="4"/>
  <c r="AD19" i="4" s="1"/>
  <c r="AB20" i="4"/>
  <c r="AD20" i="4" s="1"/>
  <c r="AB21" i="4"/>
  <c r="AD21" i="4" s="1"/>
  <c r="AB22" i="4"/>
  <c r="AD22" i="4" s="1"/>
  <c r="AB23" i="4"/>
  <c r="AD23" i="4" s="1"/>
  <c r="AB24" i="4"/>
  <c r="AD24" i="4" s="1"/>
  <c r="AB25" i="4"/>
  <c r="AD25" i="4" s="1"/>
  <c r="AB26" i="4"/>
  <c r="AD26" i="4" s="1"/>
  <c r="AB27" i="4"/>
  <c r="AB8" i="4"/>
  <c r="AD8" i="4" s="1"/>
  <c r="W9" i="4"/>
  <c r="Y9" i="4" s="1"/>
  <c r="W10" i="4"/>
  <c r="Y10" i="4" s="1"/>
  <c r="W11" i="4"/>
  <c r="Y11" i="4" s="1"/>
  <c r="W12" i="4"/>
  <c r="Y12" i="4" s="1"/>
  <c r="W13" i="4"/>
  <c r="Y13" i="4" s="1"/>
  <c r="W14" i="4"/>
  <c r="Y14" i="4" s="1"/>
  <c r="W15" i="4"/>
  <c r="Y15" i="4" s="1"/>
  <c r="W16" i="4"/>
  <c r="Y16" i="4" s="1"/>
  <c r="W17" i="4"/>
  <c r="Y17" i="4" s="1"/>
  <c r="W18" i="4"/>
  <c r="Y18" i="4" s="1"/>
  <c r="W19" i="4"/>
  <c r="Y19" i="4" s="1"/>
  <c r="W20" i="4"/>
  <c r="Y20" i="4" s="1"/>
  <c r="W21" i="4"/>
  <c r="Y21" i="4" s="1"/>
  <c r="W22" i="4"/>
  <c r="Y22" i="4" s="1"/>
  <c r="W23" i="4"/>
  <c r="Y23" i="4" s="1"/>
  <c r="W24" i="4"/>
  <c r="Y24" i="4" s="1"/>
  <c r="W25" i="4"/>
  <c r="Y25" i="4" s="1"/>
  <c r="W26" i="4"/>
  <c r="Y26" i="4" s="1"/>
  <c r="W8" i="4"/>
  <c r="Y8" i="4" s="1"/>
  <c r="R9" i="4"/>
  <c r="T9" i="4" s="1"/>
  <c r="R10" i="4"/>
  <c r="T10" i="4" s="1"/>
  <c r="R11" i="4"/>
  <c r="T11" i="4" s="1"/>
  <c r="R12" i="4"/>
  <c r="T12" i="4" s="1"/>
  <c r="R13" i="4"/>
  <c r="T13" i="4" s="1"/>
  <c r="R14" i="4"/>
  <c r="T14" i="4" s="1"/>
  <c r="R15" i="4"/>
  <c r="T15" i="4" s="1"/>
  <c r="R16" i="4"/>
  <c r="T16" i="4" s="1"/>
  <c r="R17" i="4"/>
  <c r="T17" i="4" s="1"/>
  <c r="R18" i="4"/>
  <c r="T18" i="4" s="1"/>
  <c r="R19" i="4"/>
  <c r="T19" i="4" s="1"/>
  <c r="R20" i="4"/>
  <c r="T20" i="4" s="1"/>
  <c r="R21" i="4"/>
  <c r="T21" i="4" s="1"/>
  <c r="R22" i="4"/>
  <c r="T22" i="4" s="1"/>
  <c r="R23" i="4"/>
  <c r="T23" i="4" s="1"/>
  <c r="R24" i="4"/>
  <c r="T24" i="4" s="1"/>
  <c r="R25" i="4"/>
  <c r="T25" i="4" s="1"/>
  <c r="R26" i="4"/>
  <c r="T26" i="4" s="1"/>
  <c r="R27" i="4"/>
  <c r="R8" i="4"/>
  <c r="T8" i="4" s="1"/>
  <c r="BI25" i="4" l="1"/>
  <c r="BJ25" i="4"/>
  <c r="BI23" i="4"/>
  <c r="BJ23" i="4"/>
  <c r="BI20" i="4"/>
  <c r="BJ20" i="4"/>
  <c r="T27" i="4"/>
  <c r="J20" i="2" s="1"/>
  <c r="BJ24" i="4"/>
  <c r="BI24" i="4"/>
  <c r="BI18" i="4"/>
  <c r="BJ18" i="4"/>
  <c r="BJ11" i="4"/>
  <c r="BI11" i="4"/>
  <c r="BJ10" i="4"/>
  <c r="BI10" i="4"/>
  <c r="BI8" i="4"/>
  <c r="BJ8" i="4"/>
  <c r="BJ15" i="4"/>
  <c r="BI15" i="4"/>
  <c r="BJ14" i="4"/>
  <c r="BI14" i="4"/>
  <c r="BJ16" i="4"/>
  <c r="BI16" i="4"/>
  <c r="BC27" i="4"/>
  <c r="J28" i="2" s="1"/>
  <c r="AX27" i="4"/>
  <c r="J27" i="2" s="1"/>
  <c r="AS27" i="4"/>
  <c r="J26" i="2" s="1"/>
  <c r="J25" i="2"/>
  <c r="AI27" i="4"/>
  <c r="J24" i="2" s="1"/>
  <c r="AH8" i="4"/>
  <c r="AD27" i="4"/>
  <c r="J23" i="2" s="1"/>
  <c r="Y27" i="4"/>
  <c r="J22" i="2" s="1"/>
  <c r="BI19" i="4"/>
  <c r="BJ19" i="4"/>
  <c r="BJ17" i="4"/>
  <c r="BI17" i="4"/>
  <c r="BJ27" i="4"/>
  <c r="BI27" i="4"/>
  <c r="BI26" i="4"/>
  <c r="BJ26" i="4"/>
  <c r="BI13" i="4"/>
  <c r="BJ13" i="4"/>
  <c r="BI12" i="4"/>
  <c r="BJ12" i="4"/>
  <c r="BI22" i="4"/>
  <c r="BJ22" i="4"/>
  <c r="BJ9" i="4"/>
  <c r="BI9" i="4"/>
  <c r="M25" i="4"/>
  <c r="O25" i="4" s="1"/>
  <c r="M14" i="4"/>
  <c r="O14" i="4" s="1"/>
  <c r="M27" i="4"/>
  <c r="M16" i="4"/>
  <c r="O16" i="4" s="1"/>
  <c r="M22" i="4"/>
  <c r="O22" i="4" s="1"/>
  <c r="M11" i="4"/>
  <c r="O11" i="4" s="1"/>
  <c r="M23" i="4"/>
  <c r="O23" i="4" s="1"/>
  <c r="M12" i="4"/>
  <c r="O12" i="4" s="1"/>
  <c r="M18" i="4"/>
  <c r="O18" i="4" s="1"/>
  <c r="M21" i="4"/>
  <c r="O21" i="4" s="1"/>
  <c r="M24" i="4"/>
  <c r="O24" i="4" s="1"/>
  <c r="M13" i="4"/>
  <c r="O13" i="4" s="1"/>
  <c r="M19" i="4"/>
  <c r="O19" i="4" s="1"/>
  <c r="M10" i="4"/>
  <c r="O10" i="4" s="1"/>
  <c r="M26" i="4"/>
  <c r="O26" i="4" s="1"/>
  <c r="M15" i="4"/>
  <c r="O15" i="4" s="1"/>
  <c r="M8" i="4"/>
  <c r="M20" i="4"/>
  <c r="O20" i="4" s="1"/>
  <c r="M9" i="4"/>
  <c r="M17" i="4"/>
  <c r="O17" i="4" s="1"/>
  <c r="BO27" i="4" l="1"/>
  <c r="O27" i="4"/>
  <c r="J30" i="2"/>
  <c r="BO20" i="4"/>
  <c r="BK20" i="4"/>
  <c r="BL20" i="4" s="1"/>
  <c r="BO23" i="4"/>
  <c r="BK23" i="4"/>
  <c r="BL23" i="4" s="1"/>
  <c r="BO25" i="4"/>
  <c r="BK25" i="4"/>
  <c r="BL25" i="4" s="1"/>
  <c r="BK24" i="4"/>
  <c r="BL24" i="4" s="1"/>
  <c r="BO24" i="4"/>
  <c r="BK14" i="4"/>
  <c r="BL14" i="4" s="1"/>
  <c r="BO14" i="4"/>
  <c r="BK21" i="4"/>
  <c r="BL21" i="4" s="1"/>
  <c r="BO21" i="4"/>
  <c r="O9" i="4"/>
  <c r="BO9" i="4"/>
  <c r="BK12" i="4"/>
  <c r="BL12" i="4" s="1"/>
  <c r="BO12" i="4"/>
  <c r="BK10" i="4"/>
  <c r="BL10" i="4" s="1"/>
  <c r="BO10" i="4"/>
  <c r="BK19" i="4"/>
  <c r="BL19" i="4" s="1"/>
  <c r="BO19" i="4"/>
  <c r="BO13" i="4"/>
  <c r="BO17" i="4"/>
  <c r="BK15" i="4"/>
  <c r="BL15" i="4" s="1"/>
  <c r="BO15" i="4"/>
  <c r="BO22" i="4"/>
  <c r="BK18" i="4"/>
  <c r="BO18" i="4"/>
  <c r="O8" i="4"/>
  <c r="BK8" i="4" s="1"/>
  <c r="BL8" i="4" s="1"/>
  <c r="BO8" i="4"/>
  <c r="BK11" i="4"/>
  <c r="BL11" i="4" s="1"/>
  <c r="BO11" i="4"/>
  <c r="BO26" i="4"/>
  <c r="BK16" i="4"/>
  <c r="BL16" i="4" s="1"/>
  <c r="BO16" i="4"/>
  <c r="J18" i="2" l="1"/>
  <c r="BL18" i="4"/>
  <c r="BK22" i="4"/>
  <c r="BL22" i="4" s="1"/>
  <c r="BK26" i="4"/>
  <c r="BK13" i="4"/>
  <c r="BL13" i="4" s="1"/>
  <c r="BK27" i="4"/>
  <c r="BK17" i="4"/>
  <c r="BL17" i="4" s="1"/>
  <c r="BK9" i="4"/>
  <c r="BL9" i="4" s="1"/>
  <c r="BM16" i="4"/>
  <c r="BM14" i="4"/>
  <c r="BM24" i="4"/>
  <c r="BM20" i="4"/>
  <c r="BM19" i="4"/>
  <c r="BM25" i="4"/>
  <c r="BM23" i="4"/>
  <c r="BM11" i="4"/>
  <c r="BM18" i="4" l="1"/>
  <c r="BL26" i="4"/>
  <c r="BM26" i="4" s="1"/>
  <c r="BL27" i="4"/>
  <c r="BM27" i="4" s="1"/>
  <c r="BM22" i="4"/>
  <c r="BM17" i="4"/>
  <c r="BM12" i="4"/>
  <c r="BM21" i="4"/>
  <c r="BM13" i="4"/>
  <c r="BM10" i="4"/>
  <c r="BM15" i="4" l="1"/>
  <c r="BM9" i="4" l="1"/>
  <c r="K10" i="2" l="1"/>
  <c r="AR8" i="4"/>
  <c r="H24" i="2"/>
  <c r="AM8" i="4"/>
  <c r="X8" i="4"/>
  <c r="H22" i="2" s="1"/>
  <c r="G31" i="2" l="1"/>
  <c r="S8" i="4"/>
  <c r="H20" i="2" s="1"/>
  <c r="BH8" i="4"/>
  <c r="H30" i="2" s="1"/>
  <c r="AC8" i="4"/>
  <c r="H23" i="2" s="1"/>
  <c r="N8" i="4"/>
  <c r="E34" i="2"/>
  <c r="H25" i="2"/>
  <c r="H26" i="2"/>
  <c r="K24" i="2"/>
  <c r="K30" i="2"/>
  <c r="K28" i="2"/>
  <c r="K26" i="2"/>
  <c r="K22" i="2"/>
  <c r="K20" i="2"/>
  <c r="K29" i="2"/>
  <c r="K27" i="2"/>
  <c r="K25" i="2"/>
  <c r="K21" i="2"/>
  <c r="K19" i="2"/>
  <c r="AW8" i="4" l="1"/>
  <c r="H27" i="2" s="1"/>
  <c r="BB8" i="4"/>
  <c r="H28" i="2" s="1"/>
  <c r="K23" i="2"/>
  <c r="K31" i="2"/>
  <c r="H18" i="2"/>
  <c r="BM8" i="4" l="1"/>
</calcChain>
</file>

<file path=xl/sharedStrings.xml><?xml version="1.0" encoding="utf-8"?>
<sst xmlns="http://schemas.openxmlformats.org/spreadsheetml/2006/main" count="257" uniqueCount="205">
  <si>
    <t>ROLL</t>
  </si>
  <si>
    <t>TOTAL</t>
  </si>
  <si>
    <t>GP</t>
  </si>
  <si>
    <t>MATH</t>
  </si>
  <si>
    <t>RELIGION</t>
  </si>
  <si>
    <t>ICT</t>
  </si>
  <si>
    <t>GPA</t>
  </si>
  <si>
    <t>CR</t>
  </si>
  <si>
    <t>OB</t>
  </si>
  <si>
    <t>PR</t>
  </si>
  <si>
    <t>ACCOUNTING</t>
  </si>
  <si>
    <t>S.L</t>
  </si>
  <si>
    <t>ENGLISH</t>
  </si>
  <si>
    <t>1st</t>
  </si>
  <si>
    <t>2nd</t>
  </si>
  <si>
    <t>Mother's Name</t>
  </si>
  <si>
    <t>Student's Name</t>
  </si>
  <si>
    <t>Mobile No.</t>
  </si>
  <si>
    <t>Father's Name</t>
  </si>
  <si>
    <t>HIGHST
MARKS</t>
  </si>
  <si>
    <t>SCIENCE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</si>
  <si>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</si>
  <si>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</si>
  <si>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</si>
  <si>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</si>
  <si>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</si>
  <si>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</si>
  <si>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</si>
  <si>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</si>
  <si>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</si>
  <si>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</si>
  <si>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</si>
  <si>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</si>
  <si>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</si>
  <si>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</si>
  <si>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</si>
  <si>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</si>
  <si>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STUDENTS BEHAVIOURS AND SKILL</t>
  </si>
  <si>
    <t>POSITION OF THE EXAMINEE</t>
  </si>
  <si>
    <t>BEHABIOUR</t>
  </si>
  <si>
    <t>GRAND TOTAL 
MARKS</t>
  </si>
  <si>
    <t>WORKING 
DAYS</t>
  </si>
  <si>
    <t>BUSINESS ENTERP</t>
  </si>
  <si>
    <t>RANK OF STUDENT</t>
  </si>
  <si>
    <t>BUSINESS ETP</t>
  </si>
  <si>
    <t>FINANCE AND BANKNIG</t>
  </si>
  <si>
    <t xml:space="preserve">STUDENT'S NAME </t>
  </si>
  <si>
    <t xml:space="preserve">FATHER'S NAME </t>
  </si>
  <si>
    <t xml:space="preserve">MOTHER'S NAME </t>
  </si>
  <si>
    <t xml:space="preserve">CLASS TEACHER </t>
  </si>
  <si>
    <t xml:space="preserve">MOBILE NUMBER </t>
  </si>
  <si>
    <t xml:space="preserve">CLASS </t>
  </si>
  <si>
    <t xml:space="preserve">WORKING DAYS </t>
  </si>
  <si>
    <t xml:space="preserve">  ROLL NO.</t>
  </si>
  <si>
    <t xml:space="preserve">  SECTION </t>
  </si>
  <si>
    <t>TEN</t>
  </si>
  <si>
    <t xml:space="preserve">       TOTAL STUDENT </t>
  </si>
  <si>
    <t>Business Studies</t>
  </si>
  <si>
    <t>TOTAL
100</t>
  </si>
  <si>
    <t>BANGLA-2ND</t>
  </si>
  <si>
    <t>BANGLA-1ST</t>
  </si>
  <si>
    <t>F.BANKING</t>
  </si>
  <si>
    <t>SUM OF GP</t>
  </si>
  <si>
    <t>GP1</t>
  </si>
  <si>
    <t>GRADE</t>
  </si>
  <si>
    <t xml:space="preserve">Class Teacher   </t>
  </si>
  <si>
    <t xml:space="preserve">Nusrat Jahan Nijhum </t>
  </si>
  <si>
    <t xml:space="preserve">Md. Samzidul Islam </t>
  </si>
  <si>
    <t xml:space="preserve">Romana Akter </t>
  </si>
  <si>
    <t xml:space="preserve">Md. Rahat Ali </t>
  </si>
  <si>
    <t xml:space="preserve">Md. Abbas Uddin </t>
  </si>
  <si>
    <t xml:space="preserve">Mst. Malara Khatun </t>
  </si>
  <si>
    <t xml:space="preserve">01913-242497              </t>
  </si>
  <si>
    <t xml:space="preserve">Md. Tanzil Khandoker </t>
  </si>
  <si>
    <t xml:space="preserve">Md Solayman </t>
  </si>
  <si>
    <t xml:space="preserve">Parvin Begum </t>
  </si>
  <si>
    <t xml:space="preserve">Umme Habibah </t>
  </si>
  <si>
    <t xml:space="preserve">Md. Ashraf Ali </t>
  </si>
  <si>
    <t xml:space="preserve">Shabana Akter </t>
  </si>
  <si>
    <t xml:space="preserve">Md. Mizanur Rahaman </t>
  </si>
  <si>
    <t xml:space="preserve">Ab. Rahman </t>
  </si>
  <si>
    <t xml:space="preserve">Mst. Ruma Akter </t>
  </si>
  <si>
    <t xml:space="preserve">01303-540951       </t>
  </si>
  <si>
    <t>Farhana akter</t>
  </si>
  <si>
    <t>Montaj uddin</t>
  </si>
  <si>
    <t>Tahmina akter</t>
  </si>
  <si>
    <t>01918-725913</t>
  </si>
  <si>
    <t xml:space="preserve">Siamul Islam Siam </t>
  </si>
  <si>
    <t xml:space="preserve">Md. Shamsul Alam </t>
  </si>
  <si>
    <t xml:space="preserve">Mst. Shilpi </t>
  </si>
  <si>
    <t xml:space="preserve">01748-720740        </t>
  </si>
  <si>
    <t xml:space="preserve">Emamul Kayes Tamim </t>
  </si>
  <si>
    <t>Abul Kasem</t>
  </si>
  <si>
    <t>Yesmin Akter</t>
  </si>
  <si>
    <t>01720-159914</t>
  </si>
  <si>
    <t xml:space="preserve">Anonna </t>
  </si>
  <si>
    <t xml:space="preserve">Md. Sumon Haolader </t>
  </si>
  <si>
    <t xml:space="preserve">Hosne Ara Begum </t>
  </si>
  <si>
    <t xml:space="preserve">Md. Bappy Islam </t>
  </si>
  <si>
    <t xml:space="preserve">Md. Mohidul Barati </t>
  </si>
  <si>
    <t xml:space="preserve">Mst. Khaleda Aktar </t>
  </si>
  <si>
    <t xml:space="preserve">G.M. Mridul Ahammed </t>
  </si>
  <si>
    <t xml:space="preserve">G.M. Shorab Hosen </t>
  </si>
  <si>
    <t xml:space="preserve">Mitu Akter </t>
  </si>
  <si>
    <t>01774-461888</t>
  </si>
  <si>
    <t>Abrar Mohammad</t>
  </si>
  <si>
    <t>Mamunur Roshid</t>
  </si>
  <si>
    <t xml:space="preserve">Nasrin Parvin </t>
  </si>
  <si>
    <t>Mahfuz</t>
  </si>
  <si>
    <t>Md. Kamal Hossain</t>
  </si>
  <si>
    <t>Sathi Begum</t>
  </si>
  <si>
    <t xml:space="preserve">Md. Maruf Khan </t>
  </si>
  <si>
    <t>Md. Abdul Kuddes Ali</t>
  </si>
  <si>
    <t>Munsura Begum</t>
  </si>
  <si>
    <t>01799-395472</t>
  </si>
  <si>
    <t xml:space="preserve">Safin Khan </t>
  </si>
  <si>
    <t>Md. Selim Khan Sahon</t>
  </si>
  <si>
    <t xml:space="preserve">Shaheda Akter </t>
  </si>
  <si>
    <t>01906-455703</t>
  </si>
  <si>
    <t>Ariful Islam</t>
  </si>
  <si>
    <t>Md. Rafiqul Islam</t>
  </si>
  <si>
    <t>Parvin Akter</t>
  </si>
  <si>
    <t>01932-037633</t>
  </si>
  <si>
    <t xml:space="preserve">Md. Raimul Haq Khan Mahi </t>
  </si>
  <si>
    <t xml:space="preserve">Md. Rashedul Haq Khan </t>
  </si>
  <si>
    <t xml:space="preserve">Khan MahaJabin </t>
  </si>
  <si>
    <t xml:space="preserve">Md. Masud Rana </t>
  </si>
  <si>
    <t xml:space="preserve">Bibi Asma </t>
  </si>
  <si>
    <t>01717-503476</t>
  </si>
  <si>
    <t>Md. Rajon Ahmed</t>
  </si>
  <si>
    <t>Md. Jasim</t>
  </si>
  <si>
    <t>Rojina Akter</t>
  </si>
  <si>
    <t>01681-739655</t>
  </si>
  <si>
    <t xml:space="preserve">Md. Jisan Ahmed </t>
  </si>
  <si>
    <t xml:space="preserve">Md. Khalid Hasan </t>
  </si>
  <si>
    <t xml:space="preserve">Mala Begum </t>
  </si>
  <si>
    <t xml:space="preserve">Md. Aminul Islam </t>
  </si>
  <si>
    <t>Md. Abdul Jalil</t>
  </si>
  <si>
    <t xml:space="preserve">Momotaz Begum </t>
  </si>
  <si>
    <t>01671-676591</t>
  </si>
  <si>
    <t xml:space="preserve">Md. Sanjid Molla </t>
  </si>
  <si>
    <t xml:space="preserve">Md. Raton Molla </t>
  </si>
  <si>
    <t xml:space="preserve">Mst. Silpi Aktar </t>
  </si>
  <si>
    <t>01707-935305</t>
  </si>
  <si>
    <t xml:space="preserve">Md. Parvez </t>
  </si>
  <si>
    <t xml:space="preserve">Md. Anisur Rahman </t>
  </si>
  <si>
    <t xml:space="preserve">Most. Parvin Akhter </t>
  </si>
  <si>
    <t>Tanvir akhlak</t>
  </si>
  <si>
    <t>Foyaz</t>
  </si>
  <si>
    <t>Fatema akter</t>
  </si>
  <si>
    <t>01678-031687</t>
  </si>
  <si>
    <t>Md. Nazmul  Hasan Imtiaj</t>
  </si>
  <si>
    <t xml:space="preserve">Md. Nobi Naowaz Sarker </t>
  </si>
  <si>
    <t xml:space="preserve">Nasima Akter </t>
  </si>
  <si>
    <t>01407-706812</t>
  </si>
  <si>
    <t>Nur Ahmed Sifat</t>
  </si>
  <si>
    <t xml:space="preserve">Md. Anowar Hossain </t>
  </si>
  <si>
    <t xml:space="preserve">Mst Rokeya Anwar </t>
  </si>
  <si>
    <t>01715-599829</t>
  </si>
  <si>
    <t>Mst. Kamrunnahar Akter Kanchi</t>
  </si>
  <si>
    <t xml:space="preserve">Md. Kamal Mia </t>
  </si>
  <si>
    <t xml:space="preserve">Mst. Mahasina Khatun </t>
  </si>
  <si>
    <t xml:space="preserve">Mst. Sumaiya Khanam </t>
  </si>
  <si>
    <t xml:space="preserve">Md. Ujjal Hossain </t>
  </si>
  <si>
    <t xml:space="preserve">Hasina Begum </t>
  </si>
  <si>
    <t>Ummay Habiba</t>
  </si>
  <si>
    <t>S.M. Harun</t>
  </si>
  <si>
    <t>Shahinur Akter</t>
  </si>
  <si>
    <t>Mst. Samia Haque Arina</t>
  </si>
  <si>
    <t>Md Amdadul Haque</t>
  </si>
  <si>
    <t>Most. Bilkish Vanu</t>
  </si>
  <si>
    <t>Md. Mahinur Rahman Mahin</t>
  </si>
  <si>
    <t>Md. Siddikur Rahman Rani</t>
  </si>
  <si>
    <t>Iyasmin Begum</t>
  </si>
  <si>
    <t xml:space="preserve">Samiya </t>
  </si>
  <si>
    <t xml:space="preserve">Nasher Uddin </t>
  </si>
  <si>
    <t xml:space="preserve">Kamrunnahar </t>
  </si>
  <si>
    <t>Md. Selim akhter</t>
  </si>
  <si>
    <t>Anjuman Ara Begum</t>
  </si>
  <si>
    <t>01624-633134</t>
  </si>
  <si>
    <t xml:space="preserve">01316-677633 </t>
  </si>
  <si>
    <t xml:space="preserve">01787-143030   </t>
  </si>
  <si>
    <t>01717-051307</t>
  </si>
  <si>
    <t>01715-921691</t>
  </si>
  <si>
    <t>01727-271551</t>
  </si>
  <si>
    <t>01716-151087</t>
  </si>
  <si>
    <t>01719-978087</t>
  </si>
  <si>
    <t>01677-921772</t>
  </si>
  <si>
    <t>01749-886776</t>
  </si>
  <si>
    <t>01794-071971</t>
  </si>
  <si>
    <t>01716-641874</t>
  </si>
  <si>
    <t>01977-213021</t>
  </si>
  <si>
    <t>01872-517512</t>
  </si>
  <si>
    <t>01818-809143</t>
  </si>
  <si>
    <t>01945-002353</t>
  </si>
  <si>
    <t>01728-623003</t>
  </si>
  <si>
    <t>Mushfiqur Rahman</t>
  </si>
  <si>
    <t>01642-352380</t>
  </si>
  <si>
    <t>Principal</t>
  </si>
  <si>
    <t xml:space="preserve">Ahanaf Aftab </t>
  </si>
  <si>
    <t>Zahin Abdullah</t>
  </si>
  <si>
    <t>Co-Ordinator</t>
  </si>
  <si>
    <r>
      <rPr>
        <b/>
        <sz val="28"/>
        <color theme="3"/>
        <rFont val="Times New Roman"/>
        <family val="1"/>
      </rPr>
      <t>AMIN CADET RESIDENTIAL ACADEMY</t>
    </r>
    <r>
      <rPr>
        <b/>
        <sz val="28"/>
        <rFont val="Times New Roman"/>
        <family val="1"/>
      </rPr>
      <t xml:space="preserve">
</t>
    </r>
    <r>
      <rPr>
        <b/>
        <sz val="11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1ST MODEL TEST  EXAMINATION TABULATION SHEET-2025
CLASS-10 (BUSINESS)</t>
    </r>
  </si>
  <si>
    <t>SHAFIQUL ISLAM</t>
  </si>
  <si>
    <r>
      <rPr>
        <b/>
        <sz val="12"/>
        <rFont val="Cooper Black"/>
        <family val="1"/>
      </rPr>
      <t xml:space="preserve">       </t>
    </r>
    <r>
      <rPr>
        <b/>
        <sz val="18"/>
        <rFont val="Cooper Black"/>
        <family val="1"/>
      </rPr>
      <t>AMIN CADET RESIDENTIAL ACADEMY</t>
    </r>
    <r>
      <rPr>
        <b/>
        <sz val="18"/>
        <rFont val="Ebrima"/>
      </rPr>
      <t xml:space="preserve">
</t>
    </r>
    <r>
      <rPr>
        <b/>
        <sz val="10"/>
        <rFont val="Ebrima"/>
      </rPr>
      <t>Amin Model Town, Savar Cantonment, Ashulia, Dhaka-1344.</t>
    </r>
    <r>
      <rPr>
        <b/>
        <sz val="12"/>
        <rFont val="Ebrima"/>
      </rPr>
      <t xml:space="preserve">
</t>
    </r>
    <r>
      <rPr>
        <b/>
        <sz val="14"/>
        <rFont val="Ebrima"/>
      </rPr>
      <t xml:space="preserve"> 1st Model Test  Examination-2025</t>
    </r>
    <r>
      <rPr>
        <b/>
        <sz val="12"/>
        <rFont val="Ebrima"/>
      </rPr>
      <t xml:space="preserve">
Progressive Report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</si>
</sst>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b/>
      <sz val="11"/>
      <name val="Tempus Sans ITC"/>
      <family val="5"/>
    </font>
    <font>
      <sz val="12"/>
      <color theme="1"/>
      <name val="Calibri"/>
      <family val="2"/>
      <scheme val="minor"/>
    </font>
    <font>
      <b/>
      <sz val="10"/>
      <color theme="1"/>
      <name val="Cambria"/>
      <family val="1"/>
      <scheme val="major"/>
    </font>
    <font>
      <sz val="11"/>
      <color theme="0"/>
      <name val="Calibri"/>
      <family val="2"/>
      <scheme val="minor"/>
    </font>
    <font>
      <sz val="9"/>
      <color theme="1"/>
      <name val="Lucida Handwriting"/>
      <family val="4"/>
    </font>
    <font>
      <sz val="10"/>
      <color theme="1"/>
      <name val="Cambria"/>
      <family val="1"/>
      <scheme val="major"/>
    </font>
    <font>
      <b/>
      <sz val="15"/>
      <name val="Times New Roman"/>
      <family val="1"/>
    </font>
    <font>
      <b/>
      <sz val="28"/>
      <name val="Times New Roman"/>
      <family val="1"/>
    </font>
    <font>
      <b/>
      <sz val="11"/>
      <name val="Times New Roman"/>
      <family val="1"/>
    </font>
    <font>
      <b/>
      <sz val="28"/>
      <color theme="3"/>
      <name val="Times New Roman"/>
      <family val="1"/>
    </font>
    <font>
      <sz val="12"/>
      <color rgb="FFFF0000"/>
      <name val="Franklin Gothic Demi"/>
      <family val="2"/>
    </font>
    <font>
      <sz val="11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2"/>
      <name val="Ebrima"/>
      <family val="1"/>
    </font>
    <font>
      <b/>
      <sz val="12"/>
      <name val="Cooper Black"/>
      <family val="1"/>
    </font>
    <font>
      <b/>
      <sz val="18"/>
      <name val="Cooper Black"/>
      <family val="1"/>
    </font>
    <font>
      <b/>
      <sz val="18"/>
      <name val="Ebrima"/>
    </font>
    <font>
      <b/>
      <sz val="10"/>
      <name val="Ebrima"/>
    </font>
    <font>
      <b/>
      <sz val="12"/>
      <name val="Ebrima"/>
    </font>
    <font>
      <b/>
      <sz val="14"/>
      <name val="Ebrima"/>
    </font>
    <font>
      <sz val="10"/>
      <color theme="1"/>
      <name val="Lucida Handwriting"/>
      <family val="4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3" fillId="0" borderId="0" xfId="0" applyFont="1"/>
    <xf numFmtId="0" fontId="0" fillId="0" borderId="1" xfId="0" applyBorder="1" applyAlignment="1">
      <alignment horizontal="center" vertical="center"/>
    </xf>
    <xf numFmtId="0" fontId="17" fillId="0" borderId="0" xfId="0" applyFont="1"/>
    <xf numFmtId="2" fontId="2" fillId="0" borderId="1" xfId="1" applyNumberFormat="1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 applyAlignment="1">
      <alignment horizontal="left" vertical="center"/>
    </xf>
    <xf numFmtId="0" fontId="26" fillId="2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vertical="center" wrapText="1"/>
    </xf>
    <xf numFmtId="0" fontId="26" fillId="2" borderId="1" xfId="0" applyFont="1" applyFill="1" applyBorder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vertical="center"/>
    </xf>
    <xf numFmtId="0" fontId="27" fillId="2" borderId="1" xfId="0" applyFont="1" applyFill="1" applyBorder="1" applyAlignment="1">
      <alignment horizontal="left" vertical="center"/>
    </xf>
    <xf numFmtId="0" fontId="27" fillId="2" borderId="1" xfId="0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/>
    <xf numFmtId="0" fontId="3" fillId="0" borderId="0" xfId="0" applyFont="1"/>
    <xf numFmtId="0" fontId="27" fillId="2" borderId="1" xfId="0" applyFont="1" applyFill="1" applyBorder="1" applyAlignment="1">
      <alignment vertical="center" shrinkToFit="1"/>
    </xf>
    <xf numFmtId="0" fontId="0" fillId="2" borderId="0" xfId="0" applyFill="1"/>
    <xf numFmtId="0" fontId="8" fillId="2" borderId="2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/>
    <xf numFmtId="0" fontId="25" fillId="2" borderId="13" xfId="0" applyFont="1" applyFill="1" applyBorder="1"/>
    <xf numFmtId="0" fontId="25" fillId="2" borderId="0" xfId="0" applyFont="1" applyFill="1"/>
    <xf numFmtId="0" fontId="25" fillId="2" borderId="11" xfId="0" applyFont="1" applyFill="1" applyBorder="1"/>
    <xf numFmtId="0" fontId="0" fillId="2" borderId="13" xfId="0" applyFill="1" applyBorder="1"/>
    <xf numFmtId="0" fontId="10" fillId="2" borderId="0" xfId="0" applyFont="1" applyFill="1" applyAlignment="1">
      <alignment vertical="center"/>
    </xf>
    <xf numFmtId="0" fontId="10" fillId="2" borderId="11" xfId="0" applyFont="1" applyFill="1" applyBorder="1" applyAlignment="1">
      <alignment vertical="center"/>
    </xf>
    <xf numFmtId="0" fontId="9" fillId="2" borderId="0" xfId="0" applyFont="1" applyFill="1"/>
    <xf numFmtId="0" fontId="1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1" applyNumberFormat="1" applyFont="1" applyFill="1" applyBorder="1" applyAlignment="1">
      <alignment horizontal="center" vertical="center"/>
    </xf>
    <xf numFmtId="0" fontId="17" fillId="2" borderId="0" xfId="0" applyFont="1" applyFill="1"/>
    <xf numFmtId="0" fontId="3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9" fillId="2" borderId="13" xfId="0" applyFont="1" applyFill="1" applyBorder="1" applyAlignment="1">
      <alignment horizontal="left" vertical="center"/>
    </xf>
    <xf numFmtId="0" fontId="19" fillId="2" borderId="0" xfId="0" applyFont="1" applyFill="1" applyAlignment="1">
      <alignment horizontal="left" vertical="center"/>
    </xf>
    <xf numFmtId="0" fontId="19" fillId="2" borderId="13" xfId="0" applyFont="1" applyFill="1" applyBorder="1" applyAlignment="1">
      <alignment horizontal="left"/>
    </xf>
    <xf numFmtId="0" fontId="19" fillId="2" borderId="0" xfId="0" applyFont="1" applyFill="1" applyAlignment="1">
      <alignment horizontal="left"/>
    </xf>
    <xf numFmtId="1" fontId="24" fillId="2" borderId="0" xfId="0" applyNumberFormat="1" applyFont="1" applyFill="1" applyAlignment="1">
      <alignment horizontal="left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14" fillId="2" borderId="0" xfId="0" applyFont="1" applyFill="1" applyAlignment="1">
      <alignment horizontal="left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4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8" fillId="2" borderId="4" xfId="0" applyFont="1" applyFill="1" applyBorder="1" applyAlignment="1">
      <alignment horizontal="center" vertical="center" textRotation="90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2" fontId="15" fillId="2" borderId="1" xfId="0" applyNumberFormat="1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right" vertical="center"/>
    </xf>
    <xf numFmtId="0" fontId="11" fillId="2" borderId="15" xfId="0" applyFont="1" applyFill="1" applyBorder="1" applyAlignment="1">
      <alignment horizontal="right" vertical="center"/>
    </xf>
    <xf numFmtId="1" fontId="18" fillId="2" borderId="15" xfId="0" applyNumberFormat="1" applyFont="1" applyFill="1" applyBorder="1" applyAlignment="1">
      <alignment horizontal="left" vertical="center"/>
    </xf>
    <xf numFmtId="1" fontId="18" fillId="2" borderId="0" xfId="0" applyNumberFormat="1" applyFont="1" applyFill="1" applyAlignment="1">
      <alignment horizontal="left" vertical="center"/>
    </xf>
    <xf numFmtId="0" fontId="35" fillId="2" borderId="15" xfId="0" applyFont="1" applyFill="1" applyBorder="1" applyAlignment="1">
      <alignment horizontal="left" vertical="center"/>
    </xf>
    <xf numFmtId="0" fontId="35" fillId="2" borderId="12" xfId="0" applyFont="1" applyFill="1" applyBorder="1" applyAlignment="1">
      <alignment horizontal="left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 textRotation="90"/>
    </xf>
    <xf numFmtId="0" fontId="16" fillId="2" borderId="4" xfId="0" applyFont="1" applyFill="1" applyBorder="1" applyAlignment="1">
      <alignment horizontal="center" vertical="center" textRotation="90"/>
    </xf>
    <xf numFmtId="0" fontId="16" fillId="2" borderId="3" xfId="0" applyFont="1" applyFill="1" applyBorder="1" applyAlignment="1">
      <alignment horizontal="center" vertical="center" textRotation="90"/>
    </xf>
    <xf numFmtId="0" fontId="8" fillId="2" borderId="3" xfId="0" applyFont="1" applyFill="1" applyBorder="1" applyAlignment="1">
      <alignment horizontal="center" vertical="center" textRotation="90"/>
    </xf>
    <xf numFmtId="0" fontId="11" fillId="2" borderId="13" xfId="0" applyFont="1" applyFill="1" applyBorder="1" applyAlignment="1">
      <alignment horizontal="right" vertical="center"/>
    </xf>
    <xf numFmtId="0" fontId="11" fillId="2" borderId="0" xfId="0" applyFont="1" applyFill="1" applyAlignment="1">
      <alignment horizontal="right" vertical="center"/>
    </xf>
    <xf numFmtId="0" fontId="18" fillId="2" borderId="0" xfId="0" applyFont="1" applyFill="1" applyAlignment="1">
      <alignment horizontal="left" vertical="center"/>
    </xf>
    <xf numFmtId="0" fontId="35" fillId="2" borderId="0" xfId="0" applyFont="1" applyFill="1" applyAlignment="1">
      <alignment horizontal="left" vertical="center"/>
    </xf>
    <xf numFmtId="0" fontId="35" fillId="2" borderId="11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28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horizontal="center" vertical="center" wrapText="1"/>
    </xf>
    <xf numFmtId="0" fontId="33" fillId="2" borderId="5" xfId="0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right" vertical="center"/>
    </xf>
    <xf numFmtId="0" fontId="11" fillId="2" borderId="10" xfId="0" applyFont="1" applyFill="1" applyBorder="1" applyAlignment="1">
      <alignment horizontal="right" vertical="center"/>
    </xf>
    <xf numFmtId="0" fontId="18" fillId="2" borderId="10" xfId="0" applyFont="1" applyFill="1" applyBorder="1" applyAlignment="1">
      <alignment horizontal="left" vertical="center"/>
    </xf>
    <xf numFmtId="0" fontId="35" fillId="2" borderId="10" xfId="0" applyFont="1" applyFill="1" applyBorder="1" applyAlignment="1">
      <alignment horizontal="left" vertical="center"/>
    </xf>
    <xf numFmtId="0" fontId="35" fillId="2" borderId="9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87FD6B"/>
      <color rgb="FFFF99FF"/>
      <color rgb="FF9ABB59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202907</xdr:colOff>
      <xdr:row>0</xdr:row>
      <xdr:rowOff>38100</xdr:rowOff>
    </xdr:from>
    <xdr:to>
      <xdr:col>22</xdr:col>
      <xdr:colOff>101810</xdr:colOff>
      <xdr:row>5</xdr:row>
      <xdr:rowOff>1554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7832432" y="38100"/>
          <a:ext cx="1156203" cy="120170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306458</xdr:colOff>
      <xdr:row>1</xdr:row>
      <xdr:rowOff>82826</xdr:rowOff>
    </xdr:from>
    <xdr:to>
      <xdr:col>1</xdr:col>
      <xdr:colOff>405849</xdr:colOff>
      <xdr:row>4</xdr:row>
      <xdr:rowOff>289891</xdr:rowOff>
    </xdr:to>
    <xdr:pic>
      <xdr:nvPicPr>
        <xdr:cNvPr id="5" name="Picture 4" descr="ACA-LOGO.p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306458" y="82826"/>
          <a:ext cx="712304" cy="86967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437030</xdr:colOff>
      <xdr:row>34</xdr:row>
      <xdr:rowOff>180975</xdr:rowOff>
    </xdr:from>
    <xdr:to>
      <xdr:col>10</xdr:col>
      <xdr:colOff>257175</xdr:colOff>
      <xdr:row>37</xdr:row>
      <xdr:rowOff>16361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2BE5E0-EF6A-4F60-A094-8644C638A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891997" y="10032683"/>
          <a:ext cx="406886" cy="1029820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35</xdr:row>
      <xdr:rowOff>145241</xdr:rowOff>
    </xdr:from>
    <xdr:to>
      <xdr:col>6</xdr:col>
      <xdr:colOff>239415</xdr:colOff>
      <xdr:row>37</xdr:row>
      <xdr:rowOff>44260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48C2335-C5EB-4DCF-8165-9EC9AC54A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75" y="10498916"/>
          <a:ext cx="1087140" cy="2800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Q4317"/>
  <sheetViews>
    <sheetView topLeftCell="A7" zoomScaleNormal="100" workbookViewId="0">
      <selection activeCell="A25" activeCellId="1" sqref="A8:XFD41 A8:XFD41"/>
    </sheetView>
  </sheetViews>
  <sheetFormatPr defaultRowHeight="15" x14ac:dyDescent="0.25"/>
  <cols>
    <col min="1" max="1" width="3.140625" bestFit="1" customWidth="1"/>
    <col min="2" max="2" width="5" bestFit="1" customWidth="1"/>
    <col min="3" max="3" width="27.5703125" bestFit="1" customWidth="1"/>
    <col min="4" max="4" width="22.140625" bestFit="1" customWidth="1"/>
    <col min="5" max="5" width="19.5703125" hidden="1" customWidth="1"/>
    <col min="6" max="6" width="12.85546875" style="1" hidden="1" customWidth="1"/>
    <col min="7" max="65" width="4.7109375" customWidth="1"/>
    <col min="66" max="66" width="12.5703125" customWidth="1"/>
    <col min="67" max="67" width="12.140625" bestFit="1" customWidth="1"/>
    <col min="68" max="68" width="8" style="3" bestFit="1" customWidth="1"/>
    <col min="69" max="69" width="4.7109375" hidden="1" customWidth="1"/>
  </cols>
  <sheetData>
    <row r="1" spans="1:69" ht="19.5" customHeight="1" x14ac:dyDescent="0.25">
      <c r="B1" s="65" t="s">
        <v>202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</row>
    <row r="2" spans="1:69" ht="19.5" customHeight="1" x14ac:dyDescent="0.25"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</row>
    <row r="3" spans="1:69" ht="19.5" customHeight="1" x14ac:dyDescent="0.25"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</row>
    <row r="4" spans="1:69" ht="19.5" customHeight="1" x14ac:dyDescent="0.25"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</row>
    <row r="5" spans="1:69" ht="19.5" customHeight="1" x14ac:dyDescent="0.25"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</row>
    <row r="6" spans="1:69" s="21" customFormat="1" ht="25.5" customHeight="1" x14ac:dyDescent="0.2">
      <c r="A6" s="61" t="s">
        <v>11</v>
      </c>
      <c r="B6" s="46" t="s">
        <v>0</v>
      </c>
      <c r="C6" s="63" t="s">
        <v>16</v>
      </c>
      <c r="D6" s="63" t="s">
        <v>18</v>
      </c>
      <c r="E6" s="61" t="s">
        <v>15</v>
      </c>
      <c r="F6" s="64" t="s">
        <v>17</v>
      </c>
      <c r="G6" s="45" t="s">
        <v>60</v>
      </c>
      <c r="H6" s="45"/>
      <c r="I6" s="45" t="s">
        <v>58</v>
      </c>
      <c r="J6" s="45" t="s">
        <v>59</v>
      </c>
      <c r="K6" s="45"/>
      <c r="L6" s="45" t="s">
        <v>58</v>
      </c>
      <c r="M6" s="45" t="s">
        <v>1</v>
      </c>
      <c r="N6" s="45" t="s">
        <v>19</v>
      </c>
      <c r="O6" s="45" t="s">
        <v>2</v>
      </c>
      <c r="P6" s="45" t="s">
        <v>12</v>
      </c>
      <c r="Q6" s="45"/>
      <c r="R6" s="45" t="s">
        <v>1</v>
      </c>
      <c r="S6" s="45" t="s">
        <v>19</v>
      </c>
      <c r="T6" s="45" t="s">
        <v>2</v>
      </c>
      <c r="U6" s="45" t="s">
        <v>3</v>
      </c>
      <c r="V6" s="45"/>
      <c r="W6" s="45" t="s">
        <v>1</v>
      </c>
      <c r="X6" s="45" t="s">
        <v>19</v>
      </c>
      <c r="Y6" s="45" t="s">
        <v>2</v>
      </c>
      <c r="Z6" s="45" t="s">
        <v>4</v>
      </c>
      <c r="AA6" s="45"/>
      <c r="AB6" s="45" t="s">
        <v>1</v>
      </c>
      <c r="AC6" s="45" t="s">
        <v>19</v>
      </c>
      <c r="AD6" s="45" t="s">
        <v>2</v>
      </c>
      <c r="AE6" s="45" t="s">
        <v>5</v>
      </c>
      <c r="AF6" s="45"/>
      <c r="AG6" s="45" t="s">
        <v>1</v>
      </c>
      <c r="AH6" s="45" t="s">
        <v>19</v>
      </c>
      <c r="AI6" s="45" t="s">
        <v>2</v>
      </c>
      <c r="AJ6" s="45" t="s">
        <v>20</v>
      </c>
      <c r="AK6" s="45"/>
      <c r="AL6" s="45" t="s">
        <v>1</v>
      </c>
      <c r="AM6" s="45" t="s">
        <v>19</v>
      </c>
      <c r="AN6" s="45" t="s">
        <v>2</v>
      </c>
      <c r="AO6" s="45" t="s">
        <v>42</v>
      </c>
      <c r="AP6" s="45"/>
      <c r="AQ6" s="45" t="s">
        <v>1</v>
      </c>
      <c r="AR6" s="45" t="s">
        <v>19</v>
      </c>
      <c r="AS6" s="45" t="s">
        <v>2</v>
      </c>
      <c r="AT6" s="45" t="s">
        <v>61</v>
      </c>
      <c r="AU6" s="45"/>
      <c r="AV6" s="45" t="s">
        <v>1</v>
      </c>
      <c r="AW6" s="45" t="s">
        <v>19</v>
      </c>
      <c r="AX6" s="45" t="s">
        <v>2</v>
      </c>
      <c r="AY6" s="45" t="s">
        <v>10</v>
      </c>
      <c r="AZ6" s="45"/>
      <c r="BA6" s="45" t="s">
        <v>1</v>
      </c>
      <c r="BB6" s="45" t="s">
        <v>19</v>
      </c>
      <c r="BC6" s="45" t="s">
        <v>2</v>
      </c>
      <c r="BD6" s="45" t="s">
        <v>34</v>
      </c>
      <c r="BE6" s="45"/>
      <c r="BF6" s="45"/>
      <c r="BG6" s="45" t="s">
        <v>1</v>
      </c>
      <c r="BH6" s="45" t="s">
        <v>19</v>
      </c>
      <c r="BI6" s="45" t="s">
        <v>63</v>
      </c>
      <c r="BJ6" s="45" t="s">
        <v>2</v>
      </c>
      <c r="BK6" s="45" t="s">
        <v>62</v>
      </c>
      <c r="BL6" s="45" t="s">
        <v>6</v>
      </c>
      <c r="BM6" s="48" t="s">
        <v>39</v>
      </c>
      <c r="BN6" s="49"/>
      <c r="BO6" s="46" t="s">
        <v>40</v>
      </c>
      <c r="BP6" s="46" t="s">
        <v>43</v>
      </c>
      <c r="BQ6" s="46" t="s">
        <v>41</v>
      </c>
    </row>
    <row r="7" spans="1:69" s="20" customFormat="1" ht="21" customHeight="1" x14ac:dyDescent="0.2">
      <c r="A7" s="62"/>
      <c r="B7" s="47"/>
      <c r="C7" s="63"/>
      <c r="D7" s="63"/>
      <c r="E7" s="62"/>
      <c r="F7" s="64"/>
      <c r="G7" s="19" t="s">
        <v>7</v>
      </c>
      <c r="H7" s="19" t="s">
        <v>8</v>
      </c>
      <c r="I7" s="45"/>
      <c r="J7" s="19" t="s">
        <v>7</v>
      </c>
      <c r="K7" s="19" t="s">
        <v>8</v>
      </c>
      <c r="L7" s="45"/>
      <c r="M7" s="45"/>
      <c r="N7" s="45"/>
      <c r="O7" s="45"/>
      <c r="P7" s="19" t="s">
        <v>13</v>
      </c>
      <c r="Q7" s="19" t="s">
        <v>14</v>
      </c>
      <c r="R7" s="45"/>
      <c r="S7" s="45"/>
      <c r="T7" s="45"/>
      <c r="U7" s="19" t="s">
        <v>7</v>
      </c>
      <c r="V7" s="19" t="s">
        <v>8</v>
      </c>
      <c r="W7" s="45"/>
      <c r="X7" s="45"/>
      <c r="Y7" s="45"/>
      <c r="Z7" s="19" t="s">
        <v>7</v>
      </c>
      <c r="AA7" s="19" t="s">
        <v>8</v>
      </c>
      <c r="AB7" s="45"/>
      <c r="AC7" s="45"/>
      <c r="AD7" s="45"/>
      <c r="AE7" s="19" t="s">
        <v>8</v>
      </c>
      <c r="AF7" s="19" t="s">
        <v>9</v>
      </c>
      <c r="AG7" s="45"/>
      <c r="AH7" s="45"/>
      <c r="AI7" s="45"/>
      <c r="AJ7" s="19" t="s">
        <v>7</v>
      </c>
      <c r="AK7" s="19" t="s">
        <v>8</v>
      </c>
      <c r="AL7" s="45"/>
      <c r="AM7" s="45"/>
      <c r="AN7" s="45"/>
      <c r="AO7" s="19" t="s">
        <v>7</v>
      </c>
      <c r="AP7" s="19" t="s">
        <v>8</v>
      </c>
      <c r="AQ7" s="45"/>
      <c r="AR7" s="45"/>
      <c r="AS7" s="45"/>
      <c r="AT7" s="19" t="s">
        <v>7</v>
      </c>
      <c r="AU7" s="19" t="s">
        <v>8</v>
      </c>
      <c r="AV7" s="45"/>
      <c r="AW7" s="45"/>
      <c r="AX7" s="45"/>
      <c r="AY7" s="19" t="s">
        <v>7</v>
      </c>
      <c r="AZ7" s="19" t="s">
        <v>8</v>
      </c>
      <c r="BA7" s="45"/>
      <c r="BB7" s="45"/>
      <c r="BC7" s="45"/>
      <c r="BD7" s="19" t="s">
        <v>7</v>
      </c>
      <c r="BE7" s="19" t="s">
        <v>8</v>
      </c>
      <c r="BF7" s="19" t="s">
        <v>9</v>
      </c>
      <c r="BG7" s="45"/>
      <c r="BH7" s="45"/>
      <c r="BI7" s="45"/>
      <c r="BJ7" s="45"/>
      <c r="BK7" s="45"/>
      <c r="BL7" s="45"/>
      <c r="BM7" s="50"/>
      <c r="BN7" s="51"/>
      <c r="BO7" s="47"/>
      <c r="BP7" s="47"/>
      <c r="BQ7" s="47"/>
    </row>
    <row r="8" spans="1:69" x14ac:dyDescent="0.25">
      <c r="A8" s="4">
        <v>1</v>
      </c>
      <c r="B8" s="7">
        <v>2</v>
      </c>
      <c r="C8" s="8" t="s">
        <v>66</v>
      </c>
      <c r="D8" s="9" t="s">
        <v>67</v>
      </c>
      <c r="E8" s="9" t="s">
        <v>68</v>
      </c>
      <c r="F8" s="10" t="s">
        <v>193</v>
      </c>
      <c r="G8" s="2">
        <v>43</v>
      </c>
      <c r="H8" s="2">
        <v>22</v>
      </c>
      <c r="I8" s="2">
        <f>G8+H8</f>
        <v>65</v>
      </c>
      <c r="J8" s="2">
        <v>55</v>
      </c>
      <c r="K8" s="2">
        <v>28</v>
      </c>
      <c r="L8" s="2">
        <f>J8+K8</f>
        <v>83</v>
      </c>
      <c r="M8" s="2">
        <f>I8+L8</f>
        <v>148</v>
      </c>
      <c r="N8" s="58">
        <f>MAX(M8:M27)</f>
        <v>148</v>
      </c>
      <c r="O8" s="2">
        <f>IF(G8+J8&lt;=46,"F",IF(H8+K8&lt;=20,"F",IF(M8&lt;66,"F",IF(M8&lt;80,1,IF(M8&lt;100,2,IF(M8&lt;120,3,IF(M8&lt;140,3.5,IF(M8&lt;160,4,5))))))))</f>
        <v>4</v>
      </c>
      <c r="P8" s="2">
        <v>50</v>
      </c>
      <c r="Q8" s="2">
        <v>45</v>
      </c>
      <c r="R8" s="2">
        <f>P8+Q8</f>
        <v>95</v>
      </c>
      <c r="S8" s="58">
        <f>MAX(R8:R27)</f>
        <v>95</v>
      </c>
      <c r="T8" s="2">
        <f>IF(R8&lt;66,"F",IF(R8&lt;80,1,IF(R8&lt;100,2,IF(R8&lt;120,3,IF(R8&lt;140,3.5,IF(R8&lt;160,4,5))))))</f>
        <v>2</v>
      </c>
      <c r="U8" s="2">
        <v>62</v>
      </c>
      <c r="V8" s="2">
        <v>20</v>
      </c>
      <c r="W8" s="2">
        <f>U8+V8</f>
        <v>82</v>
      </c>
      <c r="X8" s="58">
        <f>MAX(W8:W27)</f>
        <v>82</v>
      </c>
      <c r="Y8" s="2">
        <f>IF(U8&lt;23,"F",IF(V8&lt;10,"F",IF(W8&lt;33,"F",IF(W8&lt;40,1,IF(W8&lt;50,2,IF(W8&lt;60,3,IF(W8&lt;70,3.5,IF(W8&lt;80,4,5))))))))</f>
        <v>5</v>
      </c>
      <c r="Z8" s="2">
        <v>60</v>
      </c>
      <c r="AA8" s="2">
        <v>20</v>
      </c>
      <c r="AB8" s="2">
        <f>Z8+AA8</f>
        <v>80</v>
      </c>
      <c r="AC8" s="58">
        <f>MAX(AB8:AB27)</f>
        <v>80</v>
      </c>
      <c r="AD8" s="2">
        <f>IF(Z8&lt;23,"F",IF(AA8&lt;10,"F",IF(AB8&lt;33,"F",IF(AB8&lt;40,1,IF(AB8&lt;50,2,IF(AB8&lt;60,3,IF(AB8&lt;70,3.5,IF(AB8&lt;80,4,5))))))))</f>
        <v>5</v>
      </c>
      <c r="AE8" s="2">
        <v>18</v>
      </c>
      <c r="AF8" s="2">
        <v>18</v>
      </c>
      <c r="AG8" s="2">
        <f>AE8+AF8</f>
        <v>36</v>
      </c>
      <c r="AH8" s="58">
        <f>MAX(AG8:AG27)</f>
        <v>40</v>
      </c>
      <c r="AI8" s="2">
        <f>IF(AE8&lt;8,"F",IF(AF8&lt;9,"F",IF(AG8&lt;17,"F",IF(AG8&lt;20,1,IF(AG8&lt;25,2,IF(AG8&lt;30,3,IF(AG8&lt;35,3.5,IF(AG8&lt;40,4,5))))))))</f>
        <v>4</v>
      </c>
      <c r="AJ8" s="2">
        <v>46</v>
      </c>
      <c r="AK8" s="2">
        <v>21</v>
      </c>
      <c r="AL8" s="2">
        <f>AJ8+AK8</f>
        <v>67</v>
      </c>
      <c r="AM8" s="58">
        <f>MAX(AL8:AL27)</f>
        <v>77</v>
      </c>
      <c r="AN8" s="2">
        <f>IF(AJ8&lt;23,"F",IF(AK8&lt;10,"F",IF(AL8&lt;33,"F",IF(AL8&lt;40,1,IF(AL8&lt;50,2,IF(AL8&lt;60,3,IF(AL8&lt;70,3.5,IF(AL8&lt;80,4,5))))))))</f>
        <v>3.5</v>
      </c>
      <c r="AO8" s="2">
        <v>50</v>
      </c>
      <c r="AP8" s="2">
        <v>17</v>
      </c>
      <c r="AQ8" s="2">
        <f>AO8+AP8</f>
        <v>67</v>
      </c>
      <c r="AR8" s="58">
        <f>MAX(AQ8:AQ27)</f>
        <v>67</v>
      </c>
      <c r="AS8" s="2">
        <f>IF(AO8&lt;23,"F",IF(AP8&lt;10,"F",IF(AQ8&lt;33,"F",IF(AQ8&lt;40,1,IF(AQ8&lt;50,2,IF(AQ8&lt;60,3,IF(AQ8&lt;70,3.5,IF(AQ8&lt;80,4,5))))))))</f>
        <v>3.5</v>
      </c>
      <c r="AT8" s="2">
        <v>50</v>
      </c>
      <c r="AU8" s="2">
        <v>14</v>
      </c>
      <c r="AV8" s="2">
        <f>AT8+AU8</f>
        <v>64</v>
      </c>
      <c r="AW8" s="58">
        <f>MAX(AV8:AV27)</f>
        <v>76</v>
      </c>
      <c r="AX8" s="2">
        <f>IF(AT8&lt;23,"F",IF(AU8&lt;10,"F",IF(AV8&lt;33,"F",IF(AV8&lt;40,1,IF(AV8&lt;50,2,IF(AV8&lt;60,3,IF(AV8&lt;70,3.5,IF(AV8&lt;80,4,5))))))))</f>
        <v>3.5</v>
      </c>
      <c r="AY8" s="2">
        <v>61</v>
      </c>
      <c r="AZ8" s="2">
        <v>15</v>
      </c>
      <c r="BA8" s="2">
        <f>AY8+AZ8</f>
        <v>76</v>
      </c>
      <c r="BB8" s="58">
        <f>MAX(BA8:BA27)</f>
        <v>76</v>
      </c>
      <c r="BC8" s="2">
        <f>IF(AY8&lt;23,"F",IF(AZ8&lt;10,"F",IF(BA8&lt;33,"F",IF(BA8&lt;40,1,IF(BA8&lt;50,2,IF(BA8&lt;60,3,IF(BA8&lt;70,3.5,IF(BA8&lt;80,4,5))))))))</f>
        <v>4</v>
      </c>
      <c r="BD8" s="2">
        <v>32</v>
      </c>
      <c r="BE8" s="2">
        <v>18</v>
      </c>
      <c r="BF8" s="2">
        <v>22</v>
      </c>
      <c r="BG8" s="2">
        <f>BD8+BE8+BF8</f>
        <v>72</v>
      </c>
      <c r="BH8" s="58">
        <f>MAX(BG8:BG27)</f>
        <v>72</v>
      </c>
      <c r="BI8" s="2">
        <f>IF(BD8&lt;17,0,IF(BE8&lt;8,0,IF(BF8&lt;8,0,IF(BG8&lt;33,0,IF(BG8&lt;40,1,IF(BG8&lt;50,2,IF(BG8&lt;60,3,IF(BG8&lt;70,3.5,IF(BG8&lt;80,4,5)))))))))</f>
        <v>4</v>
      </c>
      <c r="BJ8" s="2">
        <f>IF(BD8&lt;17,"F",IF(BE8&lt;8,"F",IF(BF8&lt;8,"F",IF(BG8&lt;33,"F",IF(BG8&lt;40,1,IF(BG8&lt;50,2,IF(BG8&lt;60,3,IF(BG8&lt;70,3.5,IF(BG8&lt;80,4,5)))))))))</f>
        <v>4</v>
      </c>
      <c r="BK8" s="2">
        <f t="shared" ref="BK8:BK27" si="0">IF(O8="F","F",IF(T8="F","F",IF(Y8="F","F",IF(AD8="F","F",IF(AN8="F","F",IF(AS8="F","F",IF(AX8="F","F",IF(BC8="F","F",IF(BI8="F","F",IF(AI8="F","F", IF(BI8&lt;2,SUM(O8,T8,Y8,AD8,AI8,AN8,AS8,AX8,BC8,BI8),IF(BI8&gt;=2,SUM(O8,T8,Y8,AD8,AN8,AS8,AI8,AX8,BC8,BI8-2)))))))))))))</f>
        <v>36.5</v>
      </c>
      <c r="BL8" s="6">
        <f>IF(BK8="F","F",IF(BK8&gt;=45,5,IF(BK8&lt;45,BK8/9)))</f>
        <v>4.0555555555555554</v>
      </c>
      <c r="BM8" s="52" t="str">
        <f>IF(BL8="F","NEED TO PROGRESS",IF(BL8&gt;=5,"BEST",IF(BL8&gt;=4,"BETTER",IF(BL8&gt;=2,"GOOD"))))</f>
        <v>BETTER</v>
      </c>
      <c r="BN8" s="53"/>
      <c r="BO8" s="2">
        <f>M8+R8+W8+AB8+AG8+AL8+AQ8+AV8+BA8+BG8</f>
        <v>787</v>
      </c>
      <c r="BP8" s="2"/>
      <c r="BQ8" s="4"/>
    </row>
    <row r="9" spans="1:69" x14ac:dyDescent="0.25">
      <c r="A9" s="4">
        <v>2</v>
      </c>
      <c r="B9" s="7">
        <v>3</v>
      </c>
      <c r="C9" s="8" t="s">
        <v>69</v>
      </c>
      <c r="D9" s="9" t="s">
        <v>70</v>
      </c>
      <c r="E9" s="9" t="s">
        <v>71</v>
      </c>
      <c r="F9" s="10" t="s">
        <v>72</v>
      </c>
      <c r="G9" s="2">
        <v>37</v>
      </c>
      <c r="H9" s="2">
        <v>24</v>
      </c>
      <c r="I9" s="2">
        <f t="shared" ref="I9:I40" si="1">G9+H9</f>
        <v>61</v>
      </c>
      <c r="J9" s="2">
        <v>47</v>
      </c>
      <c r="K9" s="2">
        <v>25</v>
      </c>
      <c r="L9" s="2">
        <f t="shared" ref="L9:L40" si="2">J9+K9</f>
        <v>72</v>
      </c>
      <c r="M9" s="2">
        <f t="shared" ref="M9:M27" si="3">I9+L9</f>
        <v>133</v>
      </c>
      <c r="N9" s="59"/>
      <c r="O9" s="2">
        <f t="shared" ref="O9" si="4">IF(G9+J9&lt;=46,"F",IF(H9+K9&lt;=20,"F",IF(M9&lt;66,"F",IF(M9&lt;80,1,IF(M9&lt;100,2,IF(M9&lt;120,3,IF(M9&lt;140,3.5,IF(M9&lt;160,4,5))))))))</f>
        <v>3.5</v>
      </c>
      <c r="P9" s="2">
        <v>40</v>
      </c>
      <c r="Q9" s="2">
        <v>40</v>
      </c>
      <c r="R9" s="2">
        <f t="shared" ref="R9:R27" si="5">P9+Q9</f>
        <v>80</v>
      </c>
      <c r="S9" s="59"/>
      <c r="T9" s="2">
        <f t="shared" ref="T9:T27" si="6">IF(R9&lt;66,"F",IF(R9&lt;80,1,IF(R9&lt;100,2,IF(R9&lt;120,3,IF(R9&lt;140,3.5,IF(R9&lt;160,4,5))))))</f>
        <v>2</v>
      </c>
      <c r="U9" s="2">
        <v>11</v>
      </c>
      <c r="V9" s="2">
        <v>15</v>
      </c>
      <c r="W9" s="2">
        <f t="shared" ref="W9:W27" si="7">U9+V9</f>
        <v>26</v>
      </c>
      <c r="X9" s="59"/>
      <c r="Y9" s="2" t="str">
        <f t="shared" ref="Y9:Y27" si="8">IF(U9&lt;23,"F",IF(V9&lt;10,"F",IF(W9&lt;33,"F",IF(W9&lt;40,1,IF(W9&lt;50,2,IF(W9&lt;60,3,IF(W9&lt;70,3.5,IF(W9&lt;80,4,5))))))))</f>
        <v>F</v>
      </c>
      <c r="Z9" s="2">
        <v>61</v>
      </c>
      <c r="AA9" s="2">
        <v>19</v>
      </c>
      <c r="AB9" s="2">
        <f t="shared" ref="AB9:AB27" si="9">Z9+AA9</f>
        <v>80</v>
      </c>
      <c r="AC9" s="59"/>
      <c r="AD9" s="2">
        <f t="shared" ref="AD9:AD27" si="10">IF(Z9&lt;23,"F",IF(AA9&lt;10,"F",IF(AB9&lt;33,"F",IF(AB9&lt;40,1,IF(AB9&lt;50,2,IF(AB9&lt;60,3,IF(AB9&lt;70,3.5,IF(AB9&lt;80,4,5))))))))</f>
        <v>5</v>
      </c>
      <c r="AE9" s="2">
        <v>13</v>
      </c>
      <c r="AF9" s="2">
        <v>13</v>
      </c>
      <c r="AG9" s="2">
        <f t="shared" ref="AG9:AG27" si="11">AE9+AF9</f>
        <v>26</v>
      </c>
      <c r="AH9" s="59"/>
      <c r="AI9" s="2">
        <f t="shared" ref="AI9:AI27" si="12">IF(AE9&lt;8,"F",IF(AF9&lt;9,"F",IF(AG9&lt;17,"F",IF(AG9&lt;20,1,IF(AG9&lt;25,2,IF(AG9&lt;30,3,IF(AG9&lt;35,3.5,IF(AG9&lt;40,4,5))))))))</f>
        <v>3</v>
      </c>
      <c r="AJ9" s="2">
        <v>58</v>
      </c>
      <c r="AK9" s="2">
        <v>16</v>
      </c>
      <c r="AL9" s="2">
        <f t="shared" ref="AL9:AL27" si="13">AJ9+AK9</f>
        <v>74</v>
      </c>
      <c r="AM9" s="59"/>
      <c r="AN9" s="2">
        <f t="shared" ref="AN9:AN26" si="14">IF(AJ9&lt;23,"F",IF(AK9&lt;10,"F",IF(AL9&lt;33,"F",IF(AL9&lt;40,1,IF(AL9&lt;50,2,IF(AL9&lt;60,3,IF(AL9&lt;70,3.5,IF(AL9&lt;80,4,5))))))))</f>
        <v>4</v>
      </c>
      <c r="AO9" s="2">
        <v>47</v>
      </c>
      <c r="AP9" s="2">
        <v>17</v>
      </c>
      <c r="AQ9" s="2">
        <f t="shared" ref="AQ9:AQ27" si="15">AO9+AP9</f>
        <v>64</v>
      </c>
      <c r="AR9" s="59"/>
      <c r="AS9" s="2">
        <f t="shared" ref="AS9:AS27" si="16">IF(AO9&lt;23,"F",IF(AP9&lt;10,"F",IF(AQ9&lt;33,"F",IF(AQ9&lt;40,1,IF(AQ9&lt;50,2,IF(AQ9&lt;60,3,IF(AQ9&lt;70,3.5,IF(AQ9&lt;80,4,5))))))))</f>
        <v>3.5</v>
      </c>
      <c r="AT9" s="2">
        <v>53</v>
      </c>
      <c r="AU9" s="2">
        <v>23</v>
      </c>
      <c r="AV9" s="2">
        <f t="shared" ref="AV9:AV27" si="17">AT9+AU9</f>
        <v>76</v>
      </c>
      <c r="AW9" s="59"/>
      <c r="AX9" s="2">
        <f t="shared" ref="AX9:AX27" si="18">IF(AT9&lt;23,"F",IF(AU9&lt;10,"F",IF(AV9&lt;33,"F",IF(AV9&lt;40,1,IF(AV9&lt;50,2,IF(AV9&lt;60,3,IF(AV9&lt;70,3.5,IF(AV9&lt;80,4,5))))))))</f>
        <v>4</v>
      </c>
      <c r="AY9" s="2">
        <v>40</v>
      </c>
      <c r="AZ9" s="2">
        <v>15</v>
      </c>
      <c r="BA9" s="2">
        <f t="shared" ref="BA9:BA27" si="19">AY9+AZ9</f>
        <v>55</v>
      </c>
      <c r="BB9" s="59"/>
      <c r="BC9" s="2">
        <f t="shared" ref="BC9:BC27" si="20">IF(AY9&lt;23,"F",IF(AZ9&lt;10,"F",IF(BA9&lt;33,"F",IF(BA9&lt;40,1,IF(BA9&lt;50,2,IF(BA9&lt;60,3,IF(BA9&lt;70,3.5,IF(BA9&lt;80,4,5))))))))</f>
        <v>3</v>
      </c>
      <c r="BD9" s="2">
        <v>17</v>
      </c>
      <c r="BE9" s="2">
        <v>19</v>
      </c>
      <c r="BF9" s="2">
        <v>22</v>
      </c>
      <c r="BG9" s="2">
        <f t="shared" ref="BG9:BG27" si="21">BD9+BE9+BF9</f>
        <v>58</v>
      </c>
      <c r="BH9" s="59"/>
      <c r="BI9" s="2">
        <f t="shared" ref="BI9:BI27" si="22">IF(BD9&lt;17,0,IF(BE9&lt;8,0,IF(BF9&lt;8,0,IF(BG9&lt;33,0,IF(BG9&lt;40,1,IF(BG9&lt;50,2,IF(BG9&lt;60,3,IF(BG9&lt;70,3.5,IF(BG9&lt;80,4,5)))))))))</f>
        <v>3</v>
      </c>
      <c r="BJ9" s="2">
        <f t="shared" ref="BJ9:BJ27" si="23">IF(BD9&lt;17,"F",IF(BE9&lt;8,"F",IF(BF9&lt;8,"F",IF(BG9&lt;33,"F",IF(BG9&lt;40,1,IF(BG9&lt;50,2,IF(BG9&lt;60,3,IF(BG9&lt;70,3.5,IF(BG9&lt;80,4,5)))))))))</f>
        <v>3</v>
      </c>
      <c r="BK9" s="2" t="str">
        <f t="shared" si="0"/>
        <v>F</v>
      </c>
      <c r="BL9" s="6" t="str">
        <f t="shared" ref="BL9:BL27" si="24">IF(BK9="F","F",IF(BK9&gt;=45,5,IF(BK9&lt;45,BK9/9)))</f>
        <v>F</v>
      </c>
      <c r="BM9" s="52" t="str">
        <f t="shared" ref="BM9:BM27" si="25">IF(BL9="F","NEED TO PROGRESS",IF(BL9&gt;=5,"BEST",IF(BL9&gt;=4,"BETTER",IF(BL9&gt;=2,"GOOD"))))</f>
        <v>NEED TO PROGRESS</v>
      </c>
      <c r="BN9" s="53"/>
      <c r="BO9" s="2">
        <f t="shared" ref="BO9:BO27" si="26">M9+R9+W9+AB9+AG9+AL9+AQ9+AV9+BA9+BG9</f>
        <v>672</v>
      </c>
      <c r="BP9" s="2"/>
      <c r="BQ9" s="4"/>
    </row>
    <row r="10" spans="1:69" x14ac:dyDescent="0.25">
      <c r="A10" s="4">
        <v>3</v>
      </c>
      <c r="B10" s="7">
        <v>4</v>
      </c>
      <c r="C10" s="8" t="s">
        <v>73</v>
      </c>
      <c r="D10" s="9" t="s">
        <v>74</v>
      </c>
      <c r="E10" s="9" t="s">
        <v>75</v>
      </c>
      <c r="F10" s="10" t="s">
        <v>192</v>
      </c>
      <c r="G10" s="2">
        <v>46</v>
      </c>
      <c r="H10" s="2">
        <v>24</v>
      </c>
      <c r="I10" s="2">
        <f t="shared" si="1"/>
        <v>70</v>
      </c>
      <c r="J10" s="2">
        <v>43</v>
      </c>
      <c r="K10" s="2">
        <v>25</v>
      </c>
      <c r="L10" s="2">
        <f t="shared" si="2"/>
        <v>68</v>
      </c>
      <c r="M10" s="2">
        <f t="shared" si="3"/>
        <v>138</v>
      </c>
      <c r="N10" s="59"/>
      <c r="O10" s="2">
        <f>IF(M10&lt;66,"F",IF(M10&lt;80,1,IF(M10&lt;100,2,IF(M10&lt;120,3,IF(M10&lt;140,3.5,IF(M10&lt;160,4,5))))))</f>
        <v>3.5</v>
      </c>
      <c r="P10" s="2">
        <v>45</v>
      </c>
      <c r="Q10" s="2">
        <v>43</v>
      </c>
      <c r="R10" s="2">
        <f t="shared" si="5"/>
        <v>88</v>
      </c>
      <c r="S10" s="59"/>
      <c r="T10" s="2">
        <f t="shared" si="6"/>
        <v>2</v>
      </c>
      <c r="U10" s="2">
        <v>35</v>
      </c>
      <c r="V10" s="2">
        <v>17</v>
      </c>
      <c r="W10" s="2">
        <f t="shared" si="7"/>
        <v>52</v>
      </c>
      <c r="X10" s="59"/>
      <c r="Y10" s="2">
        <f t="shared" si="8"/>
        <v>3</v>
      </c>
      <c r="Z10" s="2">
        <v>53</v>
      </c>
      <c r="AA10" s="2">
        <v>18</v>
      </c>
      <c r="AB10" s="2">
        <f t="shared" si="9"/>
        <v>71</v>
      </c>
      <c r="AC10" s="59"/>
      <c r="AD10" s="2">
        <f t="shared" si="10"/>
        <v>4</v>
      </c>
      <c r="AE10" s="2">
        <v>19</v>
      </c>
      <c r="AF10" s="2">
        <v>19</v>
      </c>
      <c r="AG10" s="2">
        <f t="shared" si="11"/>
        <v>38</v>
      </c>
      <c r="AH10" s="59"/>
      <c r="AI10" s="2">
        <f t="shared" si="12"/>
        <v>4</v>
      </c>
      <c r="AJ10" s="2">
        <v>60</v>
      </c>
      <c r="AK10" s="2">
        <v>17</v>
      </c>
      <c r="AL10" s="2">
        <f t="shared" si="13"/>
        <v>77</v>
      </c>
      <c r="AM10" s="59"/>
      <c r="AN10" s="2">
        <f t="shared" si="14"/>
        <v>4</v>
      </c>
      <c r="AO10" s="2">
        <v>43</v>
      </c>
      <c r="AP10" s="2">
        <v>20</v>
      </c>
      <c r="AQ10" s="2">
        <f t="shared" si="15"/>
        <v>63</v>
      </c>
      <c r="AR10" s="59"/>
      <c r="AS10" s="2">
        <f t="shared" si="16"/>
        <v>3.5</v>
      </c>
      <c r="AT10" s="2">
        <v>50</v>
      </c>
      <c r="AU10" s="2">
        <v>23</v>
      </c>
      <c r="AV10" s="2">
        <f t="shared" si="17"/>
        <v>73</v>
      </c>
      <c r="AW10" s="59"/>
      <c r="AX10" s="2">
        <f t="shared" si="18"/>
        <v>4</v>
      </c>
      <c r="AY10" s="2">
        <v>38</v>
      </c>
      <c r="AZ10" s="2">
        <v>15</v>
      </c>
      <c r="BA10" s="2">
        <f t="shared" si="19"/>
        <v>53</v>
      </c>
      <c r="BB10" s="59"/>
      <c r="BC10" s="2">
        <f t="shared" si="20"/>
        <v>3</v>
      </c>
      <c r="BD10" s="2">
        <v>17</v>
      </c>
      <c r="BE10" s="2">
        <v>20</v>
      </c>
      <c r="BF10" s="2">
        <v>22</v>
      </c>
      <c r="BG10" s="2">
        <f t="shared" si="21"/>
        <v>59</v>
      </c>
      <c r="BH10" s="59"/>
      <c r="BI10" s="2">
        <f t="shared" si="22"/>
        <v>3</v>
      </c>
      <c r="BJ10" s="2">
        <f t="shared" si="23"/>
        <v>3</v>
      </c>
      <c r="BK10" s="2">
        <f t="shared" si="0"/>
        <v>32</v>
      </c>
      <c r="BL10" s="6">
        <f t="shared" si="24"/>
        <v>3.5555555555555554</v>
      </c>
      <c r="BM10" s="52" t="str">
        <f t="shared" si="25"/>
        <v>GOOD</v>
      </c>
      <c r="BN10" s="53"/>
      <c r="BO10" s="2">
        <f t="shared" si="26"/>
        <v>712</v>
      </c>
      <c r="BP10" s="2"/>
      <c r="BQ10" s="4"/>
    </row>
    <row r="11" spans="1:69" x14ac:dyDescent="0.25">
      <c r="A11" s="4">
        <v>4</v>
      </c>
      <c r="B11" s="7">
        <v>5</v>
      </c>
      <c r="C11" s="8" t="s">
        <v>76</v>
      </c>
      <c r="D11" s="9" t="s">
        <v>77</v>
      </c>
      <c r="E11" s="9" t="s">
        <v>78</v>
      </c>
      <c r="F11" s="10" t="s">
        <v>191</v>
      </c>
      <c r="G11" s="2">
        <v>41</v>
      </c>
      <c r="H11" s="2">
        <v>20</v>
      </c>
      <c r="I11" s="2">
        <f t="shared" si="1"/>
        <v>61</v>
      </c>
      <c r="J11" s="2">
        <v>43</v>
      </c>
      <c r="K11" s="2">
        <v>19</v>
      </c>
      <c r="L11" s="2">
        <f t="shared" si="2"/>
        <v>62</v>
      </c>
      <c r="M11" s="2">
        <f t="shared" si="3"/>
        <v>123</v>
      </c>
      <c r="N11" s="59"/>
      <c r="O11" s="2">
        <f t="shared" ref="O11:O41" si="27">IF(M11&lt;66,"F",IF(M11&lt;80,1,IF(M11&lt;100,2,IF(M11&lt;120,3,IF(M11&lt;140,3.5,IF(M11&lt;160,4,5))))))</f>
        <v>3.5</v>
      </c>
      <c r="P11" s="2">
        <v>46</v>
      </c>
      <c r="Q11" s="2">
        <v>40</v>
      </c>
      <c r="R11" s="2">
        <f t="shared" si="5"/>
        <v>86</v>
      </c>
      <c r="S11" s="59"/>
      <c r="T11" s="2">
        <f t="shared" si="6"/>
        <v>2</v>
      </c>
      <c r="U11" s="2">
        <v>32</v>
      </c>
      <c r="V11" s="2">
        <v>15</v>
      </c>
      <c r="W11" s="2">
        <f t="shared" si="7"/>
        <v>47</v>
      </c>
      <c r="X11" s="59"/>
      <c r="Y11" s="2">
        <f t="shared" si="8"/>
        <v>2</v>
      </c>
      <c r="Z11" s="2">
        <v>43</v>
      </c>
      <c r="AA11" s="2">
        <v>14</v>
      </c>
      <c r="AB11" s="2">
        <f t="shared" si="9"/>
        <v>57</v>
      </c>
      <c r="AC11" s="59"/>
      <c r="AD11" s="2">
        <f t="shared" si="10"/>
        <v>3</v>
      </c>
      <c r="AE11" s="2">
        <v>16</v>
      </c>
      <c r="AF11" s="2">
        <v>16</v>
      </c>
      <c r="AG11" s="2">
        <f t="shared" si="11"/>
        <v>32</v>
      </c>
      <c r="AH11" s="59"/>
      <c r="AI11" s="2">
        <f t="shared" si="12"/>
        <v>3.5</v>
      </c>
      <c r="AJ11" s="2">
        <v>56</v>
      </c>
      <c r="AK11" s="2">
        <v>18</v>
      </c>
      <c r="AL11" s="2">
        <f t="shared" si="13"/>
        <v>74</v>
      </c>
      <c r="AM11" s="59"/>
      <c r="AN11" s="2">
        <f t="shared" si="14"/>
        <v>4</v>
      </c>
      <c r="AO11" s="2">
        <v>38</v>
      </c>
      <c r="AP11" s="2">
        <v>15</v>
      </c>
      <c r="AQ11" s="2">
        <f t="shared" si="15"/>
        <v>53</v>
      </c>
      <c r="AR11" s="59"/>
      <c r="AS11" s="2">
        <f t="shared" si="16"/>
        <v>3</v>
      </c>
      <c r="AT11" s="2">
        <v>36</v>
      </c>
      <c r="AU11" s="2">
        <v>10</v>
      </c>
      <c r="AV11" s="2">
        <f t="shared" si="17"/>
        <v>46</v>
      </c>
      <c r="AW11" s="59"/>
      <c r="AX11" s="2">
        <f t="shared" si="18"/>
        <v>2</v>
      </c>
      <c r="AY11" s="2">
        <v>50</v>
      </c>
      <c r="AZ11" s="2">
        <v>16</v>
      </c>
      <c r="BA11" s="2">
        <f t="shared" si="19"/>
        <v>66</v>
      </c>
      <c r="BB11" s="59"/>
      <c r="BC11" s="2">
        <f t="shared" si="20"/>
        <v>3.5</v>
      </c>
      <c r="BD11" s="2">
        <v>20</v>
      </c>
      <c r="BE11" s="2">
        <v>14</v>
      </c>
      <c r="BF11" s="2">
        <v>22</v>
      </c>
      <c r="BG11" s="2">
        <f t="shared" si="21"/>
        <v>56</v>
      </c>
      <c r="BH11" s="59"/>
      <c r="BI11" s="2">
        <f t="shared" si="22"/>
        <v>3</v>
      </c>
      <c r="BJ11" s="2">
        <f t="shared" si="23"/>
        <v>3</v>
      </c>
      <c r="BK11" s="2">
        <f t="shared" si="0"/>
        <v>27.5</v>
      </c>
      <c r="BL11" s="6">
        <f t="shared" si="24"/>
        <v>3.0555555555555554</v>
      </c>
      <c r="BM11" s="52" t="str">
        <f t="shared" si="25"/>
        <v>GOOD</v>
      </c>
      <c r="BN11" s="53"/>
      <c r="BO11" s="2">
        <f t="shared" si="26"/>
        <v>640</v>
      </c>
      <c r="BP11" s="2"/>
      <c r="BQ11" s="4"/>
    </row>
    <row r="12" spans="1:69" x14ac:dyDescent="0.25">
      <c r="A12" s="4">
        <v>5</v>
      </c>
      <c r="B12" s="7">
        <v>6</v>
      </c>
      <c r="C12" s="11" t="s">
        <v>79</v>
      </c>
      <c r="D12" s="12" t="s">
        <v>80</v>
      </c>
      <c r="E12" s="12" t="s">
        <v>81</v>
      </c>
      <c r="F12" s="10" t="s">
        <v>82</v>
      </c>
      <c r="G12" s="2">
        <v>37</v>
      </c>
      <c r="H12" s="2">
        <v>20</v>
      </c>
      <c r="I12" s="2">
        <f t="shared" si="1"/>
        <v>57</v>
      </c>
      <c r="J12" s="2">
        <v>43</v>
      </c>
      <c r="K12" s="2">
        <v>22</v>
      </c>
      <c r="L12" s="2">
        <f t="shared" si="2"/>
        <v>65</v>
      </c>
      <c r="M12" s="2">
        <f t="shared" si="3"/>
        <v>122</v>
      </c>
      <c r="N12" s="59"/>
      <c r="O12" s="2">
        <f t="shared" si="27"/>
        <v>3.5</v>
      </c>
      <c r="P12" s="2">
        <v>33</v>
      </c>
      <c r="Q12" s="2">
        <v>18</v>
      </c>
      <c r="R12" s="2">
        <f t="shared" si="5"/>
        <v>51</v>
      </c>
      <c r="S12" s="59"/>
      <c r="T12" s="2" t="str">
        <f t="shared" si="6"/>
        <v>F</v>
      </c>
      <c r="U12" s="2">
        <v>39</v>
      </c>
      <c r="V12" s="2">
        <v>13</v>
      </c>
      <c r="W12" s="2">
        <f t="shared" si="7"/>
        <v>52</v>
      </c>
      <c r="X12" s="59"/>
      <c r="Y12" s="2">
        <f t="shared" si="8"/>
        <v>3</v>
      </c>
      <c r="Z12" s="2">
        <v>45</v>
      </c>
      <c r="AA12" s="2">
        <v>20</v>
      </c>
      <c r="AB12" s="2">
        <f t="shared" si="9"/>
        <v>65</v>
      </c>
      <c r="AC12" s="59"/>
      <c r="AD12" s="2">
        <f t="shared" si="10"/>
        <v>3.5</v>
      </c>
      <c r="AE12" s="2">
        <v>20</v>
      </c>
      <c r="AF12" s="2">
        <v>20</v>
      </c>
      <c r="AG12" s="2">
        <f t="shared" si="11"/>
        <v>40</v>
      </c>
      <c r="AH12" s="59"/>
      <c r="AI12" s="2">
        <f t="shared" si="12"/>
        <v>5</v>
      </c>
      <c r="AJ12" s="2">
        <v>34</v>
      </c>
      <c r="AK12" s="2">
        <v>19</v>
      </c>
      <c r="AL12" s="2">
        <f t="shared" si="13"/>
        <v>53</v>
      </c>
      <c r="AM12" s="59"/>
      <c r="AN12" s="2">
        <f t="shared" si="14"/>
        <v>3</v>
      </c>
      <c r="AO12" s="2">
        <v>37</v>
      </c>
      <c r="AP12" s="2">
        <v>18</v>
      </c>
      <c r="AQ12" s="2">
        <f t="shared" si="15"/>
        <v>55</v>
      </c>
      <c r="AR12" s="59"/>
      <c r="AS12" s="2">
        <f t="shared" si="16"/>
        <v>3</v>
      </c>
      <c r="AT12" s="2">
        <v>45</v>
      </c>
      <c r="AU12" s="2">
        <v>14</v>
      </c>
      <c r="AV12" s="2">
        <f t="shared" si="17"/>
        <v>59</v>
      </c>
      <c r="AW12" s="59"/>
      <c r="AX12" s="2">
        <f t="shared" si="18"/>
        <v>3</v>
      </c>
      <c r="AY12" s="2">
        <v>37</v>
      </c>
      <c r="AZ12" s="2">
        <v>16</v>
      </c>
      <c r="BA12" s="2">
        <f t="shared" si="19"/>
        <v>53</v>
      </c>
      <c r="BB12" s="59"/>
      <c r="BC12" s="2">
        <f t="shared" si="20"/>
        <v>3</v>
      </c>
      <c r="BD12" s="2">
        <v>12</v>
      </c>
      <c r="BE12" s="2">
        <v>18</v>
      </c>
      <c r="BF12" s="2">
        <v>20</v>
      </c>
      <c r="BG12" s="2">
        <f t="shared" si="21"/>
        <v>50</v>
      </c>
      <c r="BH12" s="59"/>
      <c r="BI12" s="2">
        <f t="shared" si="22"/>
        <v>0</v>
      </c>
      <c r="BJ12" s="2" t="str">
        <f t="shared" si="23"/>
        <v>F</v>
      </c>
      <c r="BK12" s="2" t="str">
        <f t="shared" si="0"/>
        <v>F</v>
      </c>
      <c r="BL12" s="6" t="str">
        <f t="shared" si="24"/>
        <v>F</v>
      </c>
      <c r="BM12" s="52" t="str">
        <f t="shared" si="25"/>
        <v>NEED TO PROGRESS</v>
      </c>
      <c r="BN12" s="53"/>
      <c r="BO12" s="2">
        <f t="shared" si="26"/>
        <v>600</v>
      </c>
      <c r="BP12" s="2"/>
      <c r="BQ12" s="4"/>
    </row>
    <row r="13" spans="1:69" x14ac:dyDescent="0.25">
      <c r="A13" s="4">
        <v>6</v>
      </c>
      <c r="B13" s="7">
        <v>7</v>
      </c>
      <c r="C13" s="11" t="s">
        <v>83</v>
      </c>
      <c r="D13" s="12" t="s">
        <v>84</v>
      </c>
      <c r="E13" s="12" t="s">
        <v>85</v>
      </c>
      <c r="F13" s="10" t="s">
        <v>86</v>
      </c>
      <c r="G13" s="2">
        <v>31</v>
      </c>
      <c r="H13" s="2">
        <v>18</v>
      </c>
      <c r="I13" s="2">
        <f t="shared" si="1"/>
        <v>49</v>
      </c>
      <c r="J13" s="2">
        <v>48</v>
      </c>
      <c r="K13" s="2">
        <v>23</v>
      </c>
      <c r="L13" s="2">
        <f t="shared" si="2"/>
        <v>71</v>
      </c>
      <c r="M13" s="2">
        <f t="shared" si="3"/>
        <v>120</v>
      </c>
      <c r="N13" s="59"/>
      <c r="O13" s="2">
        <f t="shared" si="27"/>
        <v>3.5</v>
      </c>
      <c r="P13" s="2">
        <v>36</v>
      </c>
      <c r="Q13" s="2">
        <v>33</v>
      </c>
      <c r="R13" s="2">
        <f t="shared" si="5"/>
        <v>69</v>
      </c>
      <c r="S13" s="59"/>
      <c r="T13" s="2">
        <f t="shared" si="6"/>
        <v>1</v>
      </c>
      <c r="U13" s="2">
        <v>24</v>
      </c>
      <c r="V13" s="2">
        <v>14</v>
      </c>
      <c r="W13" s="2">
        <f t="shared" si="7"/>
        <v>38</v>
      </c>
      <c r="X13" s="59"/>
      <c r="Y13" s="2">
        <f t="shared" si="8"/>
        <v>1</v>
      </c>
      <c r="Z13" s="2">
        <v>33</v>
      </c>
      <c r="AA13" s="2">
        <v>15</v>
      </c>
      <c r="AB13" s="2">
        <f t="shared" si="9"/>
        <v>48</v>
      </c>
      <c r="AC13" s="59"/>
      <c r="AD13" s="2">
        <f t="shared" si="10"/>
        <v>2</v>
      </c>
      <c r="AE13" s="2">
        <v>18</v>
      </c>
      <c r="AF13" s="2">
        <v>18</v>
      </c>
      <c r="AG13" s="2">
        <f t="shared" si="11"/>
        <v>36</v>
      </c>
      <c r="AH13" s="59"/>
      <c r="AI13" s="2">
        <f t="shared" si="12"/>
        <v>4</v>
      </c>
      <c r="AJ13" s="2">
        <v>39</v>
      </c>
      <c r="AK13" s="2">
        <v>21</v>
      </c>
      <c r="AL13" s="2">
        <f t="shared" si="13"/>
        <v>60</v>
      </c>
      <c r="AM13" s="59"/>
      <c r="AN13" s="2">
        <f t="shared" si="14"/>
        <v>3.5</v>
      </c>
      <c r="AO13" s="2">
        <v>33</v>
      </c>
      <c r="AP13" s="2">
        <v>13</v>
      </c>
      <c r="AQ13" s="2">
        <f t="shared" si="15"/>
        <v>46</v>
      </c>
      <c r="AR13" s="59"/>
      <c r="AS13" s="2">
        <f t="shared" si="16"/>
        <v>2</v>
      </c>
      <c r="AT13" s="2">
        <v>38</v>
      </c>
      <c r="AU13" s="2">
        <v>10</v>
      </c>
      <c r="AV13" s="2">
        <f t="shared" si="17"/>
        <v>48</v>
      </c>
      <c r="AW13" s="59"/>
      <c r="AX13" s="2">
        <f t="shared" si="18"/>
        <v>2</v>
      </c>
      <c r="AY13" s="2">
        <v>15</v>
      </c>
      <c r="AZ13" s="2">
        <v>12</v>
      </c>
      <c r="BA13" s="2">
        <f t="shared" si="19"/>
        <v>27</v>
      </c>
      <c r="BB13" s="59"/>
      <c r="BC13" s="2" t="str">
        <f t="shared" si="20"/>
        <v>F</v>
      </c>
      <c r="BD13" s="2">
        <v>19</v>
      </c>
      <c r="BE13" s="2">
        <v>14</v>
      </c>
      <c r="BF13" s="2">
        <v>22</v>
      </c>
      <c r="BG13" s="2">
        <f t="shared" si="21"/>
        <v>55</v>
      </c>
      <c r="BH13" s="59"/>
      <c r="BI13" s="2">
        <f t="shared" si="22"/>
        <v>3</v>
      </c>
      <c r="BJ13" s="2">
        <f t="shared" si="23"/>
        <v>3</v>
      </c>
      <c r="BK13" s="2" t="str">
        <f t="shared" si="0"/>
        <v>F</v>
      </c>
      <c r="BL13" s="6" t="str">
        <f t="shared" si="24"/>
        <v>F</v>
      </c>
      <c r="BM13" s="52" t="str">
        <f t="shared" si="25"/>
        <v>NEED TO PROGRESS</v>
      </c>
      <c r="BN13" s="53"/>
      <c r="BO13" s="2">
        <f t="shared" si="26"/>
        <v>547</v>
      </c>
      <c r="BP13" s="2"/>
      <c r="BQ13" s="4"/>
    </row>
    <row r="14" spans="1:69" x14ac:dyDescent="0.25">
      <c r="A14" s="4">
        <v>7</v>
      </c>
      <c r="B14" s="7">
        <v>8</v>
      </c>
      <c r="C14" s="8" t="s">
        <v>87</v>
      </c>
      <c r="D14" s="9" t="s">
        <v>88</v>
      </c>
      <c r="E14" s="9" t="s">
        <v>89</v>
      </c>
      <c r="F14" s="10" t="s">
        <v>90</v>
      </c>
      <c r="G14" s="2">
        <v>35</v>
      </c>
      <c r="H14" s="2">
        <v>16</v>
      </c>
      <c r="I14" s="2">
        <f t="shared" si="1"/>
        <v>51</v>
      </c>
      <c r="J14" s="2">
        <v>47</v>
      </c>
      <c r="K14" s="2">
        <v>22</v>
      </c>
      <c r="L14" s="2">
        <f t="shared" si="2"/>
        <v>69</v>
      </c>
      <c r="M14" s="2">
        <f t="shared" si="3"/>
        <v>120</v>
      </c>
      <c r="N14" s="59"/>
      <c r="O14" s="2">
        <f t="shared" si="27"/>
        <v>3.5</v>
      </c>
      <c r="P14" s="2">
        <v>36</v>
      </c>
      <c r="Q14" s="2">
        <v>27</v>
      </c>
      <c r="R14" s="2">
        <f t="shared" si="5"/>
        <v>63</v>
      </c>
      <c r="S14" s="59"/>
      <c r="T14" s="2" t="str">
        <f t="shared" si="6"/>
        <v>F</v>
      </c>
      <c r="U14" s="2">
        <v>8</v>
      </c>
      <c r="V14" s="2">
        <v>15</v>
      </c>
      <c r="W14" s="2">
        <f t="shared" si="7"/>
        <v>23</v>
      </c>
      <c r="X14" s="59"/>
      <c r="Y14" s="2" t="str">
        <f t="shared" si="8"/>
        <v>F</v>
      </c>
      <c r="Z14" s="2">
        <v>46</v>
      </c>
      <c r="AA14" s="2">
        <v>16</v>
      </c>
      <c r="AB14" s="2">
        <f t="shared" si="9"/>
        <v>62</v>
      </c>
      <c r="AC14" s="59"/>
      <c r="AD14" s="2">
        <f t="shared" si="10"/>
        <v>3.5</v>
      </c>
      <c r="AE14" s="2">
        <v>17</v>
      </c>
      <c r="AF14" s="2">
        <v>17</v>
      </c>
      <c r="AG14" s="2">
        <f t="shared" si="11"/>
        <v>34</v>
      </c>
      <c r="AH14" s="59"/>
      <c r="AI14" s="2">
        <f t="shared" si="12"/>
        <v>3.5</v>
      </c>
      <c r="AJ14" s="2">
        <v>35</v>
      </c>
      <c r="AK14" s="2">
        <v>14</v>
      </c>
      <c r="AL14" s="2">
        <f t="shared" si="13"/>
        <v>49</v>
      </c>
      <c r="AM14" s="59"/>
      <c r="AN14" s="2">
        <f t="shared" si="14"/>
        <v>2</v>
      </c>
      <c r="AO14" s="2">
        <v>37</v>
      </c>
      <c r="AP14" s="2">
        <v>19</v>
      </c>
      <c r="AQ14" s="2">
        <f t="shared" si="15"/>
        <v>56</v>
      </c>
      <c r="AR14" s="59"/>
      <c r="AS14" s="2">
        <f t="shared" si="16"/>
        <v>3</v>
      </c>
      <c r="AT14" s="2">
        <v>34</v>
      </c>
      <c r="AU14" s="2">
        <v>10</v>
      </c>
      <c r="AV14" s="2">
        <f t="shared" si="17"/>
        <v>44</v>
      </c>
      <c r="AW14" s="59"/>
      <c r="AX14" s="2">
        <f t="shared" si="18"/>
        <v>2</v>
      </c>
      <c r="AY14" s="2">
        <v>37</v>
      </c>
      <c r="AZ14" s="2">
        <v>10</v>
      </c>
      <c r="BA14" s="2">
        <f t="shared" si="19"/>
        <v>47</v>
      </c>
      <c r="BB14" s="59"/>
      <c r="BC14" s="2">
        <f t="shared" si="20"/>
        <v>2</v>
      </c>
      <c r="BD14" s="2">
        <v>17</v>
      </c>
      <c r="BE14" s="2">
        <v>16</v>
      </c>
      <c r="BF14" s="2">
        <v>22</v>
      </c>
      <c r="BG14" s="2">
        <f t="shared" si="21"/>
        <v>55</v>
      </c>
      <c r="BH14" s="59"/>
      <c r="BI14" s="2">
        <f t="shared" si="22"/>
        <v>3</v>
      </c>
      <c r="BJ14" s="2">
        <f t="shared" si="23"/>
        <v>3</v>
      </c>
      <c r="BK14" s="2" t="str">
        <f t="shared" si="0"/>
        <v>F</v>
      </c>
      <c r="BL14" s="6" t="str">
        <f t="shared" si="24"/>
        <v>F</v>
      </c>
      <c r="BM14" s="52" t="str">
        <f t="shared" si="25"/>
        <v>NEED TO PROGRESS</v>
      </c>
      <c r="BN14" s="53"/>
      <c r="BO14" s="2">
        <f t="shared" si="26"/>
        <v>553</v>
      </c>
      <c r="BP14" s="2"/>
      <c r="BQ14" s="4"/>
    </row>
    <row r="15" spans="1:69" x14ac:dyDescent="0.25">
      <c r="A15" s="4">
        <v>8</v>
      </c>
      <c r="B15" s="7">
        <v>9</v>
      </c>
      <c r="C15" s="8" t="s">
        <v>91</v>
      </c>
      <c r="D15" s="12" t="s">
        <v>92</v>
      </c>
      <c r="E15" s="12" t="s">
        <v>93</v>
      </c>
      <c r="F15" s="10" t="s">
        <v>94</v>
      </c>
      <c r="G15" s="2">
        <v>31</v>
      </c>
      <c r="H15" s="2">
        <v>18</v>
      </c>
      <c r="I15" s="2">
        <f t="shared" si="1"/>
        <v>49</v>
      </c>
      <c r="J15" s="2">
        <v>36</v>
      </c>
      <c r="K15" s="2">
        <v>21</v>
      </c>
      <c r="L15" s="2">
        <f t="shared" si="2"/>
        <v>57</v>
      </c>
      <c r="M15" s="2">
        <f t="shared" si="3"/>
        <v>106</v>
      </c>
      <c r="N15" s="59"/>
      <c r="O15" s="2">
        <f t="shared" si="27"/>
        <v>3</v>
      </c>
      <c r="P15" s="2">
        <v>46</v>
      </c>
      <c r="Q15" s="2">
        <v>10</v>
      </c>
      <c r="R15" s="2">
        <f t="shared" si="5"/>
        <v>56</v>
      </c>
      <c r="S15" s="59"/>
      <c r="T15" s="2" t="str">
        <f t="shared" si="6"/>
        <v>F</v>
      </c>
      <c r="U15" s="2">
        <v>32</v>
      </c>
      <c r="V15" s="2">
        <v>17</v>
      </c>
      <c r="W15" s="2">
        <f t="shared" si="7"/>
        <v>49</v>
      </c>
      <c r="X15" s="59"/>
      <c r="Y15" s="2">
        <f t="shared" si="8"/>
        <v>2</v>
      </c>
      <c r="Z15" s="2">
        <v>42</v>
      </c>
      <c r="AA15" s="2">
        <v>16</v>
      </c>
      <c r="AB15" s="2">
        <f t="shared" si="9"/>
        <v>58</v>
      </c>
      <c r="AC15" s="59"/>
      <c r="AD15" s="2">
        <f t="shared" si="10"/>
        <v>3</v>
      </c>
      <c r="AE15" s="2">
        <v>17</v>
      </c>
      <c r="AF15" s="2">
        <v>17</v>
      </c>
      <c r="AG15" s="2">
        <f t="shared" si="11"/>
        <v>34</v>
      </c>
      <c r="AH15" s="59"/>
      <c r="AI15" s="2">
        <f t="shared" si="12"/>
        <v>3.5</v>
      </c>
      <c r="AJ15" s="2">
        <v>29</v>
      </c>
      <c r="AK15" s="2">
        <v>19</v>
      </c>
      <c r="AL15" s="2">
        <f t="shared" si="13"/>
        <v>48</v>
      </c>
      <c r="AM15" s="59"/>
      <c r="AN15" s="2">
        <f t="shared" si="14"/>
        <v>2</v>
      </c>
      <c r="AO15" s="2">
        <v>33</v>
      </c>
      <c r="AP15" s="2">
        <v>18</v>
      </c>
      <c r="AQ15" s="2">
        <f t="shared" si="15"/>
        <v>51</v>
      </c>
      <c r="AR15" s="59"/>
      <c r="AS15" s="2">
        <f t="shared" si="16"/>
        <v>3</v>
      </c>
      <c r="AT15" s="2">
        <v>36</v>
      </c>
      <c r="AU15" s="2">
        <v>10</v>
      </c>
      <c r="AV15" s="2">
        <f t="shared" si="17"/>
        <v>46</v>
      </c>
      <c r="AW15" s="59"/>
      <c r="AX15" s="2">
        <f t="shared" si="18"/>
        <v>2</v>
      </c>
      <c r="AY15" s="2">
        <v>36</v>
      </c>
      <c r="AZ15" s="2">
        <v>8</v>
      </c>
      <c r="BA15" s="2">
        <f t="shared" si="19"/>
        <v>44</v>
      </c>
      <c r="BB15" s="59"/>
      <c r="BC15" s="2" t="str">
        <f t="shared" si="20"/>
        <v>F</v>
      </c>
      <c r="BD15" s="2">
        <v>6</v>
      </c>
      <c r="BE15" s="2">
        <v>17</v>
      </c>
      <c r="BF15" s="2">
        <v>20</v>
      </c>
      <c r="BG15" s="2">
        <f t="shared" si="21"/>
        <v>43</v>
      </c>
      <c r="BH15" s="59"/>
      <c r="BI15" s="2">
        <f t="shared" si="22"/>
        <v>0</v>
      </c>
      <c r="BJ15" s="2" t="str">
        <f t="shared" si="23"/>
        <v>F</v>
      </c>
      <c r="BK15" s="2" t="str">
        <f t="shared" si="0"/>
        <v>F</v>
      </c>
      <c r="BL15" s="6" t="str">
        <f t="shared" si="24"/>
        <v>F</v>
      </c>
      <c r="BM15" s="52" t="str">
        <f t="shared" si="25"/>
        <v>NEED TO PROGRESS</v>
      </c>
      <c r="BN15" s="53"/>
      <c r="BO15" s="2">
        <f t="shared" si="26"/>
        <v>535</v>
      </c>
      <c r="BP15" s="2"/>
      <c r="BQ15" s="4"/>
    </row>
    <row r="16" spans="1:69" x14ac:dyDescent="0.25">
      <c r="A16" s="4">
        <v>9</v>
      </c>
      <c r="B16" s="7">
        <v>11</v>
      </c>
      <c r="C16" s="8" t="s">
        <v>95</v>
      </c>
      <c r="D16" s="9" t="s">
        <v>96</v>
      </c>
      <c r="E16" s="9" t="s">
        <v>97</v>
      </c>
      <c r="F16" s="10" t="s">
        <v>194</v>
      </c>
      <c r="G16" s="2">
        <v>38</v>
      </c>
      <c r="H16" s="2">
        <v>21</v>
      </c>
      <c r="I16" s="2">
        <f t="shared" si="1"/>
        <v>59</v>
      </c>
      <c r="J16" s="2">
        <v>46</v>
      </c>
      <c r="K16" s="2">
        <v>23</v>
      </c>
      <c r="L16" s="2">
        <f t="shared" si="2"/>
        <v>69</v>
      </c>
      <c r="M16" s="2">
        <f t="shared" si="3"/>
        <v>128</v>
      </c>
      <c r="N16" s="59"/>
      <c r="O16" s="2">
        <f t="shared" si="27"/>
        <v>3.5</v>
      </c>
      <c r="P16" s="2">
        <v>40</v>
      </c>
      <c r="Q16" s="2">
        <v>28</v>
      </c>
      <c r="R16" s="2">
        <f t="shared" si="5"/>
        <v>68</v>
      </c>
      <c r="S16" s="59"/>
      <c r="T16" s="2">
        <f t="shared" si="6"/>
        <v>1</v>
      </c>
      <c r="U16" s="44">
        <v>7</v>
      </c>
      <c r="V16" s="2">
        <v>13</v>
      </c>
      <c r="W16" s="2">
        <f t="shared" si="7"/>
        <v>20</v>
      </c>
      <c r="X16" s="59"/>
      <c r="Y16" s="2" t="str">
        <f t="shared" si="8"/>
        <v>F</v>
      </c>
      <c r="Z16" s="2">
        <v>47</v>
      </c>
      <c r="AA16" s="2">
        <v>16</v>
      </c>
      <c r="AB16" s="2">
        <f t="shared" si="9"/>
        <v>63</v>
      </c>
      <c r="AC16" s="59"/>
      <c r="AD16" s="2">
        <f t="shared" si="10"/>
        <v>3.5</v>
      </c>
      <c r="AE16" s="2">
        <v>14</v>
      </c>
      <c r="AF16" s="2">
        <v>14</v>
      </c>
      <c r="AG16" s="2">
        <f t="shared" si="11"/>
        <v>28</v>
      </c>
      <c r="AH16" s="59"/>
      <c r="AI16" s="2">
        <f t="shared" si="12"/>
        <v>3</v>
      </c>
      <c r="AJ16" s="2">
        <v>52</v>
      </c>
      <c r="AK16" s="2">
        <v>17</v>
      </c>
      <c r="AL16" s="2">
        <f t="shared" si="13"/>
        <v>69</v>
      </c>
      <c r="AM16" s="59"/>
      <c r="AN16" s="2">
        <f t="shared" si="14"/>
        <v>3.5</v>
      </c>
      <c r="AO16" s="2">
        <v>30</v>
      </c>
      <c r="AP16" s="2">
        <v>13</v>
      </c>
      <c r="AQ16" s="2">
        <f t="shared" si="15"/>
        <v>43</v>
      </c>
      <c r="AR16" s="59"/>
      <c r="AS16" s="2">
        <f t="shared" si="16"/>
        <v>2</v>
      </c>
      <c r="AT16" s="2">
        <v>30</v>
      </c>
      <c r="AU16" s="2">
        <v>11</v>
      </c>
      <c r="AV16" s="2">
        <f t="shared" si="17"/>
        <v>41</v>
      </c>
      <c r="AW16" s="59"/>
      <c r="AX16" s="2">
        <f t="shared" si="18"/>
        <v>2</v>
      </c>
      <c r="AY16" s="2">
        <v>21</v>
      </c>
      <c r="AZ16" s="2">
        <v>13</v>
      </c>
      <c r="BA16" s="2">
        <f t="shared" si="19"/>
        <v>34</v>
      </c>
      <c r="BB16" s="59"/>
      <c r="BC16" s="2" t="str">
        <f t="shared" si="20"/>
        <v>F</v>
      </c>
      <c r="BD16" s="2">
        <v>18</v>
      </c>
      <c r="BE16" s="2">
        <v>17</v>
      </c>
      <c r="BF16" s="2">
        <v>22</v>
      </c>
      <c r="BG16" s="2">
        <f t="shared" si="21"/>
        <v>57</v>
      </c>
      <c r="BH16" s="59"/>
      <c r="BI16" s="2">
        <f t="shared" si="22"/>
        <v>3</v>
      </c>
      <c r="BJ16" s="2">
        <f t="shared" si="23"/>
        <v>3</v>
      </c>
      <c r="BK16" s="2" t="str">
        <f t="shared" si="0"/>
        <v>F</v>
      </c>
      <c r="BL16" s="6" t="str">
        <f t="shared" si="24"/>
        <v>F</v>
      </c>
      <c r="BM16" s="52" t="str">
        <f t="shared" si="25"/>
        <v>NEED TO PROGRESS</v>
      </c>
      <c r="BN16" s="53"/>
      <c r="BO16" s="2">
        <f t="shared" si="26"/>
        <v>551</v>
      </c>
      <c r="BP16" s="2"/>
      <c r="BQ16" s="4"/>
    </row>
    <row r="17" spans="1:69" x14ac:dyDescent="0.25">
      <c r="A17" s="4">
        <v>10</v>
      </c>
      <c r="B17" s="7">
        <v>12</v>
      </c>
      <c r="C17" s="11" t="s">
        <v>98</v>
      </c>
      <c r="D17" s="12" t="s">
        <v>99</v>
      </c>
      <c r="E17" s="12" t="s">
        <v>100</v>
      </c>
      <c r="F17" s="10" t="s">
        <v>195</v>
      </c>
      <c r="G17" s="2">
        <v>36</v>
      </c>
      <c r="H17" s="2">
        <v>19</v>
      </c>
      <c r="I17" s="2">
        <f t="shared" si="1"/>
        <v>55</v>
      </c>
      <c r="J17" s="2">
        <v>44</v>
      </c>
      <c r="K17" s="2">
        <v>19</v>
      </c>
      <c r="L17" s="2">
        <f t="shared" si="2"/>
        <v>63</v>
      </c>
      <c r="M17" s="2">
        <f t="shared" si="3"/>
        <v>118</v>
      </c>
      <c r="N17" s="59"/>
      <c r="O17" s="2">
        <f t="shared" si="27"/>
        <v>3</v>
      </c>
      <c r="P17" s="2">
        <v>41</v>
      </c>
      <c r="Q17" s="2">
        <v>24</v>
      </c>
      <c r="R17" s="2">
        <f t="shared" si="5"/>
        <v>65</v>
      </c>
      <c r="S17" s="59"/>
      <c r="T17" s="2" t="str">
        <f t="shared" si="6"/>
        <v>F</v>
      </c>
      <c r="U17" s="2">
        <v>27</v>
      </c>
      <c r="V17" s="2">
        <v>14</v>
      </c>
      <c r="W17" s="2">
        <f t="shared" si="7"/>
        <v>41</v>
      </c>
      <c r="X17" s="59"/>
      <c r="Y17" s="2">
        <f t="shared" si="8"/>
        <v>2</v>
      </c>
      <c r="Z17" s="2">
        <v>45</v>
      </c>
      <c r="AA17" s="2">
        <v>14</v>
      </c>
      <c r="AB17" s="2">
        <f t="shared" si="9"/>
        <v>59</v>
      </c>
      <c r="AC17" s="59"/>
      <c r="AD17" s="2">
        <f t="shared" si="10"/>
        <v>3</v>
      </c>
      <c r="AE17" s="2">
        <v>16</v>
      </c>
      <c r="AF17" s="2">
        <v>16</v>
      </c>
      <c r="AG17" s="2">
        <f t="shared" si="11"/>
        <v>32</v>
      </c>
      <c r="AH17" s="59"/>
      <c r="AI17" s="2">
        <f t="shared" si="12"/>
        <v>3.5</v>
      </c>
      <c r="AJ17" s="2">
        <v>36</v>
      </c>
      <c r="AK17" s="2">
        <v>19</v>
      </c>
      <c r="AL17" s="2">
        <f t="shared" si="13"/>
        <v>55</v>
      </c>
      <c r="AM17" s="59"/>
      <c r="AN17" s="2">
        <f t="shared" si="14"/>
        <v>3</v>
      </c>
      <c r="AO17" s="2">
        <v>42</v>
      </c>
      <c r="AP17" s="2">
        <v>17</v>
      </c>
      <c r="AQ17" s="2">
        <f t="shared" si="15"/>
        <v>59</v>
      </c>
      <c r="AR17" s="59"/>
      <c r="AS17" s="2">
        <f t="shared" si="16"/>
        <v>3</v>
      </c>
      <c r="AT17" s="2">
        <v>51</v>
      </c>
      <c r="AU17" s="2">
        <v>11</v>
      </c>
      <c r="AV17" s="2">
        <f t="shared" si="17"/>
        <v>62</v>
      </c>
      <c r="AW17" s="59"/>
      <c r="AX17" s="2">
        <f t="shared" si="18"/>
        <v>3.5</v>
      </c>
      <c r="AY17" s="2">
        <v>10</v>
      </c>
      <c r="AZ17" s="2">
        <v>8</v>
      </c>
      <c r="BA17" s="2">
        <f t="shared" si="19"/>
        <v>18</v>
      </c>
      <c r="BB17" s="59"/>
      <c r="BC17" s="2" t="str">
        <f t="shared" si="20"/>
        <v>F</v>
      </c>
      <c r="BD17" s="2">
        <v>18</v>
      </c>
      <c r="BE17" s="2">
        <v>17</v>
      </c>
      <c r="BF17" s="2">
        <v>22</v>
      </c>
      <c r="BG17" s="2">
        <f t="shared" si="21"/>
        <v>57</v>
      </c>
      <c r="BH17" s="59"/>
      <c r="BI17" s="2">
        <f t="shared" si="22"/>
        <v>3</v>
      </c>
      <c r="BJ17" s="2">
        <f t="shared" si="23"/>
        <v>3</v>
      </c>
      <c r="BK17" s="2" t="str">
        <f t="shared" si="0"/>
        <v>F</v>
      </c>
      <c r="BL17" s="6" t="str">
        <f t="shared" si="24"/>
        <v>F</v>
      </c>
      <c r="BM17" s="52" t="str">
        <f t="shared" si="25"/>
        <v>NEED TO PROGRESS</v>
      </c>
      <c r="BN17" s="53"/>
      <c r="BO17" s="2">
        <f t="shared" si="26"/>
        <v>566</v>
      </c>
      <c r="BP17" s="2"/>
      <c r="BQ17" s="4"/>
    </row>
    <row r="18" spans="1:69" x14ac:dyDescent="0.25">
      <c r="A18" s="4">
        <v>11</v>
      </c>
      <c r="B18" s="7">
        <v>14</v>
      </c>
      <c r="C18" s="11" t="s">
        <v>101</v>
      </c>
      <c r="D18" s="12" t="s">
        <v>102</v>
      </c>
      <c r="E18" s="12" t="s">
        <v>103</v>
      </c>
      <c r="F18" s="10" t="s">
        <v>104</v>
      </c>
      <c r="G18" s="2">
        <v>34</v>
      </c>
      <c r="H18" s="2">
        <v>22</v>
      </c>
      <c r="I18" s="2">
        <f t="shared" si="1"/>
        <v>56</v>
      </c>
      <c r="J18" s="2">
        <v>39</v>
      </c>
      <c r="K18" s="2">
        <v>16</v>
      </c>
      <c r="L18" s="2">
        <f t="shared" si="2"/>
        <v>55</v>
      </c>
      <c r="M18" s="2">
        <f t="shared" si="3"/>
        <v>111</v>
      </c>
      <c r="N18" s="59"/>
      <c r="O18" s="2">
        <f t="shared" si="27"/>
        <v>3</v>
      </c>
      <c r="P18" s="2">
        <v>33</v>
      </c>
      <c r="Q18" s="2">
        <v>21</v>
      </c>
      <c r="R18" s="2">
        <f t="shared" si="5"/>
        <v>54</v>
      </c>
      <c r="S18" s="59"/>
      <c r="T18" s="2" t="str">
        <f t="shared" si="6"/>
        <v>F</v>
      </c>
      <c r="U18" s="2">
        <v>18</v>
      </c>
      <c r="V18" s="2">
        <v>18</v>
      </c>
      <c r="W18" s="2">
        <f t="shared" si="7"/>
        <v>36</v>
      </c>
      <c r="X18" s="59"/>
      <c r="Y18" s="2" t="str">
        <f t="shared" si="8"/>
        <v>F</v>
      </c>
      <c r="Z18" s="2">
        <v>7</v>
      </c>
      <c r="AA18" s="2">
        <v>19</v>
      </c>
      <c r="AB18" s="2">
        <f t="shared" si="9"/>
        <v>26</v>
      </c>
      <c r="AC18" s="59"/>
      <c r="AD18" s="2" t="str">
        <f t="shared" si="10"/>
        <v>F</v>
      </c>
      <c r="AE18" s="2">
        <v>10</v>
      </c>
      <c r="AF18" s="2">
        <v>14</v>
      </c>
      <c r="AG18" s="2">
        <f t="shared" si="11"/>
        <v>24</v>
      </c>
      <c r="AH18" s="59"/>
      <c r="AI18" s="2">
        <f t="shared" si="12"/>
        <v>2</v>
      </c>
      <c r="AJ18" s="2">
        <v>32</v>
      </c>
      <c r="AK18" s="2">
        <v>20</v>
      </c>
      <c r="AL18" s="2">
        <f t="shared" si="13"/>
        <v>52</v>
      </c>
      <c r="AM18" s="59"/>
      <c r="AN18" s="2">
        <f t="shared" si="14"/>
        <v>3</v>
      </c>
      <c r="AO18" s="2">
        <v>23</v>
      </c>
      <c r="AP18" s="2">
        <v>17</v>
      </c>
      <c r="AQ18" s="2">
        <f t="shared" si="15"/>
        <v>40</v>
      </c>
      <c r="AR18" s="59"/>
      <c r="AS18" s="2">
        <f t="shared" si="16"/>
        <v>2</v>
      </c>
      <c r="AT18" s="2">
        <v>24</v>
      </c>
      <c r="AU18" s="2">
        <v>14</v>
      </c>
      <c r="AV18" s="2">
        <f t="shared" si="17"/>
        <v>38</v>
      </c>
      <c r="AW18" s="59"/>
      <c r="AX18" s="2">
        <f t="shared" si="18"/>
        <v>1</v>
      </c>
      <c r="AY18" s="2">
        <v>23</v>
      </c>
      <c r="AZ18" s="2">
        <v>13</v>
      </c>
      <c r="BA18" s="2">
        <f t="shared" si="19"/>
        <v>36</v>
      </c>
      <c r="BB18" s="59"/>
      <c r="BC18" s="2">
        <f t="shared" si="20"/>
        <v>1</v>
      </c>
      <c r="BD18" s="2">
        <v>7</v>
      </c>
      <c r="BE18" s="2">
        <v>13</v>
      </c>
      <c r="BF18" s="2">
        <v>20</v>
      </c>
      <c r="BG18" s="2">
        <f t="shared" si="21"/>
        <v>40</v>
      </c>
      <c r="BH18" s="59"/>
      <c r="BI18" s="2">
        <f t="shared" si="22"/>
        <v>0</v>
      </c>
      <c r="BJ18" s="2" t="str">
        <f t="shared" si="23"/>
        <v>F</v>
      </c>
      <c r="BK18" s="2" t="str">
        <f t="shared" si="0"/>
        <v>F</v>
      </c>
      <c r="BL18" s="6" t="str">
        <f t="shared" si="24"/>
        <v>F</v>
      </c>
      <c r="BM18" s="52" t="str">
        <f t="shared" si="25"/>
        <v>NEED TO PROGRESS</v>
      </c>
      <c r="BN18" s="53"/>
      <c r="BO18" s="2">
        <f t="shared" si="26"/>
        <v>457</v>
      </c>
      <c r="BP18" s="2"/>
      <c r="BQ18" s="4"/>
    </row>
    <row r="19" spans="1:69" x14ac:dyDescent="0.25">
      <c r="A19" s="4">
        <v>12</v>
      </c>
      <c r="B19" s="7">
        <v>15</v>
      </c>
      <c r="C19" s="11" t="s">
        <v>105</v>
      </c>
      <c r="D19" s="12" t="s">
        <v>106</v>
      </c>
      <c r="E19" s="12" t="s">
        <v>107</v>
      </c>
      <c r="F19" s="10" t="s">
        <v>190</v>
      </c>
      <c r="G19" s="2">
        <v>39</v>
      </c>
      <c r="H19" s="2">
        <v>22</v>
      </c>
      <c r="I19" s="2">
        <f t="shared" si="1"/>
        <v>61</v>
      </c>
      <c r="J19" s="2">
        <v>38</v>
      </c>
      <c r="K19" s="2">
        <v>25</v>
      </c>
      <c r="L19" s="2">
        <f>J19+K19</f>
        <v>63</v>
      </c>
      <c r="M19" s="2">
        <f t="shared" si="3"/>
        <v>124</v>
      </c>
      <c r="N19" s="59"/>
      <c r="O19" s="2">
        <f t="shared" si="27"/>
        <v>3.5</v>
      </c>
      <c r="P19" s="2">
        <v>33</v>
      </c>
      <c r="Q19" s="2">
        <v>18</v>
      </c>
      <c r="R19" s="2">
        <f t="shared" si="5"/>
        <v>51</v>
      </c>
      <c r="S19" s="59"/>
      <c r="T19" s="2" t="str">
        <f t="shared" si="6"/>
        <v>F</v>
      </c>
      <c r="U19" s="2">
        <v>23</v>
      </c>
      <c r="V19" s="2">
        <v>16</v>
      </c>
      <c r="W19" s="2">
        <f t="shared" si="7"/>
        <v>39</v>
      </c>
      <c r="X19" s="59"/>
      <c r="Y19" s="2">
        <f t="shared" si="8"/>
        <v>1</v>
      </c>
      <c r="Z19" s="2">
        <v>38</v>
      </c>
      <c r="AA19" s="2">
        <v>14</v>
      </c>
      <c r="AB19" s="2">
        <f t="shared" si="9"/>
        <v>52</v>
      </c>
      <c r="AC19" s="59"/>
      <c r="AD19" s="2">
        <f t="shared" si="10"/>
        <v>3</v>
      </c>
      <c r="AE19" s="2">
        <v>13</v>
      </c>
      <c r="AF19" s="2">
        <v>13</v>
      </c>
      <c r="AG19" s="2">
        <f t="shared" si="11"/>
        <v>26</v>
      </c>
      <c r="AH19" s="59"/>
      <c r="AI19" s="2">
        <f t="shared" si="12"/>
        <v>3</v>
      </c>
      <c r="AJ19" s="2">
        <v>38</v>
      </c>
      <c r="AK19" s="2">
        <v>14</v>
      </c>
      <c r="AL19" s="2">
        <f t="shared" si="13"/>
        <v>52</v>
      </c>
      <c r="AM19" s="59"/>
      <c r="AN19" s="2">
        <f t="shared" si="14"/>
        <v>3</v>
      </c>
      <c r="AO19" s="2">
        <v>36</v>
      </c>
      <c r="AP19" s="2">
        <v>18</v>
      </c>
      <c r="AQ19" s="2">
        <f t="shared" si="15"/>
        <v>54</v>
      </c>
      <c r="AR19" s="59"/>
      <c r="AS19" s="2">
        <f t="shared" si="16"/>
        <v>3</v>
      </c>
      <c r="AT19" s="2">
        <v>32</v>
      </c>
      <c r="AU19" s="2">
        <v>18</v>
      </c>
      <c r="AV19" s="2">
        <f t="shared" si="17"/>
        <v>50</v>
      </c>
      <c r="AW19" s="59"/>
      <c r="AX19" s="2">
        <f t="shared" si="18"/>
        <v>3</v>
      </c>
      <c r="AY19" s="2">
        <v>47</v>
      </c>
      <c r="AZ19" s="2">
        <v>10</v>
      </c>
      <c r="BA19" s="2">
        <f t="shared" si="19"/>
        <v>57</v>
      </c>
      <c r="BB19" s="59"/>
      <c r="BC19" s="2">
        <f t="shared" si="20"/>
        <v>3</v>
      </c>
      <c r="BD19" s="2">
        <v>9</v>
      </c>
      <c r="BE19" s="2">
        <v>19</v>
      </c>
      <c r="BF19" s="2">
        <v>20</v>
      </c>
      <c r="BG19" s="2">
        <f t="shared" si="21"/>
        <v>48</v>
      </c>
      <c r="BH19" s="59"/>
      <c r="BI19" s="2">
        <f t="shared" si="22"/>
        <v>0</v>
      </c>
      <c r="BJ19" s="2" t="str">
        <f t="shared" si="23"/>
        <v>F</v>
      </c>
      <c r="BK19" s="2" t="str">
        <f t="shared" si="0"/>
        <v>F</v>
      </c>
      <c r="BL19" s="6" t="str">
        <f t="shared" si="24"/>
        <v>F</v>
      </c>
      <c r="BM19" s="52" t="str">
        <f t="shared" si="25"/>
        <v>NEED TO PROGRESS</v>
      </c>
      <c r="BN19" s="53"/>
      <c r="BO19" s="2">
        <f t="shared" si="26"/>
        <v>553</v>
      </c>
      <c r="BP19" s="2"/>
      <c r="BQ19" s="4"/>
    </row>
    <row r="20" spans="1:69" x14ac:dyDescent="0.25">
      <c r="A20" s="4">
        <v>13</v>
      </c>
      <c r="B20" s="7">
        <v>16</v>
      </c>
      <c r="C20" s="8" t="s">
        <v>108</v>
      </c>
      <c r="D20" s="9" t="s">
        <v>109</v>
      </c>
      <c r="E20" s="9" t="s">
        <v>110</v>
      </c>
      <c r="F20" s="10" t="s">
        <v>189</v>
      </c>
      <c r="G20" s="2">
        <v>43</v>
      </c>
      <c r="H20" s="2">
        <v>23</v>
      </c>
      <c r="I20" s="2">
        <f t="shared" si="1"/>
        <v>66</v>
      </c>
      <c r="J20" s="2">
        <v>41</v>
      </c>
      <c r="K20" s="2">
        <v>25</v>
      </c>
      <c r="L20" s="2">
        <f t="shared" si="2"/>
        <v>66</v>
      </c>
      <c r="M20" s="2">
        <f t="shared" si="3"/>
        <v>132</v>
      </c>
      <c r="N20" s="59"/>
      <c r="O20" s="2">
        <f t="shared" si="27"/>
        <v>3.5</v>
      </c>
      <c r="P20" s="2">
        <v>25</v>
      </c>
      <c r="Q20" s="2">
        <v>26</v>
      </c>
      <c r="R20" s="2">
        <f t="shared" si="5"/>
        <v>51</v>
      </c>
      <c r="S20" s="59"/>
      <c r="T20" s="2" t="str">
        <f t="shared" si="6"/>
        <v>F</v>
      </c>
      <c r="U20" s="2">
        <v>19</v>
      </c>
      <c r="V20" s="2">
        <v>13</v>
      </c>
      <c r="W20" s="2">
        <f t="shared" si="7"/>
        <v>32</v>
      </c>
      <c r="X20" s="59"/>
      <c r="Y20" s="2" t="str">
        <f t="shared" si="8"/>
        <v>F</v>
      </c>
      <c r="Z20" s="2">
        <v>51</v>
      </c>
      <c r="AA20" s="2">
        <v>21</v>
      </c>
      <c r="AB20" s="2">
        <f t="shared" si="9"/>
        <v>72</v>
      </c>
      <c r="AC20" s="59"/>
      <c r="AD20" s="2">
        <f t="shared" si="10"/>
        <v>4</v>
      </c>
      <c r="AE20" s="2">
        <v>17</v>
      </c>
      <c r="AF20" s="2">
        <v>17</v>
      </c>
      <c r="AG20" s="2">
        <f t="shared" si="11"/>
        <v>34</v>
      </c>
      <c r="AH20" s="59"/>
      <c r="AI20" s="2">
        <f t="shared" si="12"/>
        <v>3.5</v>
      </c>
      <c r="AJ20" s="2">
        <v>45</v>
      </c>
      <c r="AK20" s="2">
        <v>16</v>
      </c>
      <c r="AL20" s="2">
        <f t="shared" si="13"/>
        <v>61</v>
      </c>
      <c r="AM20" s="59"/>
      <c r="AN20" s="2">
        <f t="shared" si="14"/>
        <v>3.5</v>
      </c>
      <c r="AO20" s="2">
        <v>32</v>
      </c>
      <c r="AP20" s="2">
        <v>15</v>
      </c>
      <c r="AQ20" s="2">
        <f t="shared" si="15"/>
        <v>47</v>
      </c>
      <c r="AR20" s="59"/>
      <c r="AS20" s="2">
        <f t="shared" si="16"/>
        <v>2</v>
      </c>
      <c r="AT20" s="2">
        <v>20</v>
      </c>
      <c r="AU20" s="2">
        <v>12</v>
      </c>
      <c r="AV20" s="2">
        <f t="shared" si="17"/>
        <v>32</v>
      </c>
      <c r="AW20" s="59"/>
      <c r="AX20" s="2" t="str">
        <f t="shared" si="18"/>
        <v>F</v>
      </c>
      <c r="AY20" s="2">
        <v>36</v>
      </c>
      <c r="AZ20" s="2">
        <v>15</v>
      </c>
      <c r="BA20" s="2">
        <f t="shared" si="19"/>
        <v>51</v>
      </c>
      <c r="BB20" s="59"/>
      <c r="BC20" s="2">
        <f t="shared" si="20"/>
        <v>3</v>
      </c>
      <c r="BD20" s="2">
        <v>1</v>
      </c>
      <c r="BE20" s="2">
        <v>0</v>
      </c>
      <c r="BF20" s="2">
        <v>20</v>
      </c>
      <c r="BG20" s="2">
        <f t="shared" si="21"/>
        <v>21</v>
      </c>
      <c r="BH20" s="59"/>
      <c r="BI20" s="2">
        <f t="shared" si="22"/>
        <v>0</v>
      </c>
      <c r="BJ20" s="2" t="str">
        <f t="shared" si="23"/>
        <v>F</v>
      </c>
      <c r="BK20" s="2" t="str">
        <f t="shared" si="0"/>
        <v>F</v>
      </c>
      <c r="BL20" s="6" t="str">
        <f t="shared" si="24"/>
        <v>F</v>
      </c>
      <c r="BM20" s="52" t="str">
        <f t="shared" si="25"/>
        <v>NEED TO PROGRESS</v>
      </c>
      <c r="BN20" s="53"/>
      <c r="BO20" s="2">
        <f t="shared" si="26"/>
        <v>533</v>
      </c>
      <c r="BP20" s="2"/>
      <c r="BQ20" s="4"/>
    </row>
    <row r="21" spans="1:69" x14ac:dyDescent="0.25">
      <c r="A21" s="4">
        <v>14</v>
      </c>
      <c r="B21" s="7">
        <v>17</v>
      </c>
      <c r="C21" s="8" t="s">
        <v>111</v>
      </c>
      <c r="D21" s="9" t="s">
        <v>112</v>
      </c>
      <c r="E21" s="9" t="s">
        <v>113</v>
      </c>
      <c r="F21" s="10" t="s">
        <v>114</v>
      </c>
      <c r="G21" s="2">
        <v>28</v>
      </c>
      <c r="H21" s="2">
        <v>22</v>
      </c>
      <c r="I21" s="2">
        <f>G21+H21</f>
        <v>50</v>
      </c>
      <c r="J21" s="2">
        <v>34</v>
      </c>
      <c r="K21" s="2">
        <v>20</v>
      </c>
      <c r="L21" s="2">
        <f t="shared" si="2"/>
        <v>54</v>
      </c>
      <c r="M21" s="2">
        <f t="shared" si="3"/>
        <v>104</v>
      </c>
      <c r="N21" s="59"/>
      <c r="O21" s="2">
        <f t="shared" si="27"/>
        <v>3</v>
      </c>
      <c r="P21" s="2">
        <v>23</v>
      </c>
      <c r="Q21" s="2">
        <v>16</v>
      </c>
      <c r="R21" s="2">
        <f t="shared" si="5"/>
        <v>39</v>
      </c>
      <c r="S21" s="59"/>
      <c r="T21" s="2" t="str">
        <f t="shared" si="6"/>
        <v>F</v>
      </c>
      <c r="U21" s="2">
        <v>16</v>
      </c>
      <c r="V21" s="2">
        <v>16</v>
      </c>
      <c r="W21" s="2">
        <f t="shared" si="7"/>
        <v>32</v>
      </c>
      <c r="X21" s="59"/>
      <c r="Y21" s="2" t="str">
        <f t="shared" si="8"/>
        <v>F</v>
      </c>
      <c r="Z21" s="2">
        <v>23</v>
      </c>
      <c r="AA21" s="2">
        <v>16</v>
      </c>
      <c r="AB21" s="2">
        <f t="shared" si="9"/>
        <v>39</v>
      </c>
      <c r="AC21" s="59"/>
      <c r="AD21" s="2">
        <f t="shared" si="10"/>
        <v>1</v>
      </c>
      <c r="AE21" s="2">
        <v>19</v>
      </c>
      <c r="AF21" s="2">
        <v>19</v>
      </c>
      <c r="AG21" s="2">
        <f t="shared" si="11"/>
        <v>38</v>
      </c>
      <c r="AH21" s="59"/>
      <c r="AI21" s="2">
        <f t="shared" si="12"/>
        <v>4</v>
      </c>
      <c r="AJ21" s="2">
        <v>23</v>
      </c>
      <c r="AK21" s="2">
        <v>14</v>
      </c>
      <c r="AL21" s="2">
        <f t="shared" si="13"/>
        <v>37</v>
      </c>
      <c r="AM21" s="59"/>
      <c r="AN21" s="2">
        <f t="shared" si="14"/>
        <v>1</v>
      </c>
      <c r="AO21" s="2">
        <v>23</v>
      </c>
      <c r="AP21" s="2">
        <v>16</v>
      </c>
      <c r="AQ21" s="2">
        <f t="shared" si="15"/>
        <v>39</v>
      </c>
      <c r="AR21" s="59"/>
      <c r="AS21" s="2">
        <f t="shared" si="16"/>
        <v>1</v>
      </c>
      <c r="AT21" s="2">
        <v>25</v>
      </c>
      <c r="AU21" s="2">
        <v>17</v>
      </c>
      <c r="AV21" s="2">
        <f t="shared" si="17"/>
        <v>42</v>
      </c>
      <c r="AW21" s="59"/>
      <c r="AX21" s="2">
        <f t="shared" si="18"/>
        <v>2</v>
      </c>
      <c r="AY21" s="2">
        <v>20</v>
      </c>
      <c r="AZ21" s="2">
        <v>16</v>
      </c>
      <c r="BA21" s="2">
        <f t="shared" si="19"/>
        <v>36</v>
      </c>
      <c r="BB21" s="59"/>
      <c r="BC21" s="2" t="str">
        <f t="shared" si="20"/>
        <v>F</v>
      </c>
      <c r="BD21" s="2">
        <v>2</v>
      </c>
      <c r="BE21" s="2">
        <v>8</v>
      </c>
      <c r="BF21" s="2">
        <v>20</v>
      </c>
      <c r="BG21" s="2">
        <f t="shared" si="21"/>
        <v>30</v>
      </c>
      <c r="BH21" s="59"/>
      <c r="BI21" s="2">
        <f t="shared" si="22"/>
        <v>0</v>
      </c>
      <c r="BJ21" s="2" t="str">
        <f t="shared" si="23"/>
        <v>F</v>
      </c>
      <c r="BK21" s="2" t="str">
        <f t="shared" si="0"/>
        <v>F</v>
      </c>
      <c r="BL21" s="6" t="str">
        <f t="shared" si="24"/>
        <v>F</v>
      </c>
      <c r="BM21" s="52" t="str">
        <f t="shared" si="25"/>
        <v>NEED TO PROGRESS</v>
      </c>
      <c r="BN21" s="53"/>
      <c r="BO21" s="2">
        <f t="shared" si="26"/>
        <v>436</v>
      </c>
      <c r="BP21" s="2"/>
      <c r="BQ21" s="4"/>
    </row>
    <row r="22" spans="1:69" x14ac:dyDescent="0.25">
      <c r="A22" s="4">
        <v>15</v>
      </c>
      <c r="B22" s="7">
        <v>18</v>
      </c>
      <c r="C22" s="8" t="s">
        <v>115</v>
      </c>
      <c r="D22" s="9" t="s">
        <v>116</v>
      </c>
      <c r="E22" s="9" t="s">
        <v>117</v>
      </c>
      <c r="F22" s="10" t="s">
        <v>118</v>
      </c>
      <c r="G22" s="2">
        <v>28</v>
      </c>
      <c r="H22" s="2">
        <v>19</v>
      </c>
      <c r="I22" s="2">
        <f t="shared" si="1"/>
        <v>47</v>
      </c>
      <c r="J22" s="2">
        <v>38</v>
      </c>
      <c r="K22" s="2">
        <v>20</v>
      </c>
      <c r="L22" s="2">
        <f t="shared" si="2"/>
        <v>58</v>
      </c>
      <c r="M22" s="2">
        <f t="shared" si="3"/>
        <v>105</v>
      </c>
      <c r="N22" s="59"/>
      <c r="O22" s="2">
        <f t="shared" si="27"/>
        <v>3</v>
      </c>
      <c r="P22" s="2">
        <v>30</v>
      </c>
      <c r="Q22" s="2">
        <v>24</v>
      </c>
      <c r="R22" s="2">
        <f t="shared" si="5"/>
        <v>54</v>
      </c>
      <c r="S22" s="59"/>
      <c r="T22" s="2" t="str">
        <f t="shared" si="6"/>
        <v>F</v>
      </c>
      <c r="U22" s="2">
        <v>27</v>
      </c>
      <c r="V22" s="2">
        <v>10</v>
      </c>
      <c r="W22" s="2">
        <f t="shared" si="7"/>
        <v>37</v>
      </c>
      <c r="X22" s="59"/>
      <c r="Y22" s="2">
        <f t="shared" si="8"/>
        <v>1</v>
      </c>
      <c r="Z22" s="2">
        <v>20</v>
      </c>
      <c r="AA22" s="2">
        <v>16</v>
      </c>
      <c r="AB22" s="2">
        <f t="shared" si="9"/>
        <v>36</v>
      </c>
      <c r="AC22" s="59"/>
      <c r="AD22" s="2" t="str">
        <f t="shared" si="10"/>
        <v>F</v>
      </c>
      <c r="AE22" s="2">
        <v>19</v>
      </c>
      <c r="AF22" s="2">
        <v>19</v>
      </c>
      <c r="AG22" s="2">
        <f t="shared" si="11"/>
        <v>38</v>
      </c>
      <c r="AH22" s="59"/>
      <c r="AI22" s="2">
        <f t="shared" si="12"/>
        <v>4</v>
      </c>
      <c r="AJ22" s="2">
        <v>19</v>
      </c>
      <c r="AK22" s="2">
        <v>15</v>
      </c>
      <c r="AL22" s="2">
        <f t="shared" si="13"/>
        <v>34</v>
      </c>
      <c r="AM22" s="59"/>
      <c r="AN22" s="2" t="str">
        <f t="shared" si="14"/>
        <v>F</v>
      </c>
      <c r="AO22" s="2">
        <v>18</v>
      </c>
      <c r="AP22" s="2">
        <v>15</v>
      </c>
      <c r="AQ22" s="2">
        <f t="shared" si="15"/>
        <v>33</v>
      </c>
      <c r="AR22" s="59"/>
      <c r="AS22" s="2" t="str">
        <f t="shared" si="16"/>
        <v>F</v>
      </c>
      <c r="AT22" s="2">
        <v>25</v>
      </c>
      <c r="AU22" s="2">
        <v>16</v>
      </c>
      <c r="AV22" s="2">
        <f t="shared" si="17"/>
        <v>41</v>
      </c>
      <c r="AW22" s="59"/>
      <c r="AX22" s="2">
        <f t="shared" si="18"/>
        <v>2</v>
      </c>
      <c r="AY22" s="2">
        <v>23</v>
      </c>
      <c r="AZ22" s="2">
        <v>17</v>
      </c>
      <c r="BA22" s="2">
        <f t="shared" si="19"/>
        <v>40</v>
      </c>
      <c r="BB22" s="59"/>
      <c r="BC22" s="2">
        <f t="shared" si="20"/>
        <v>2</v>
      </c>
      <c r="BD22" s="2">
        <v>0</v>
      </c>
      <c r="BE22" s="2">
        <v>8</v>
      </c>
      <c r="BF22" s="2">
        <v>20</v>
      </c>
      <c r="BG22" s="2">
        <f t="shared" si="21"/>
        <v>28</v>
      </c>
      <c r="BH22" s="59"/>
      <c r="BI22" s="2">
        <f t="shared" si="22"/>
        <v>0</v>
      </c>
      <c r="BJ22" s="2" t="str">
        <f t="shared" si="23"/>
        <v>F</v>
      </c>
      <c r="BK22" s="2" t="str">
        <f t="shared" si="0"/>
        <v>F</v>
      </c>
      <c r="BL22" s="6" t="str">
        <f t="shared" si="24"/>
        <v>F</v>
      </c>
      <c r="BM22" s="52" t="str">
        <f t="shared" si="25"/>
        <v>NEED TO PROGRESS</v>
      </c>
      <c r="BN22" s="53"/>
      <c r="BO22" s="2">
        <f t="shared" si="26"/>
        <v>446</v>
      </c>
      <c r="BP22" s="2"/>
      <c r="BQ22" s="4"/>
    </row>
    <row r="23" spans="1:69" s="23" customFormat="1" x14ac:dyDescent="0.25">
      <c r="A23" s="25">
        <v>16</v>
      </c>
      <c r="B23" s="7">
        <v>19</v>
      </c>
      <c r="C23" s="8" t="s">
        <v>119</v>
      </c>
      <c r="D23" s="9" t="s">
        <v>120</v>
      </c>
      <c r="E23" s="9" t="s">
        <v>121</v>
      </c>
      <c r="F23" s="10" t="s">
        <v>122</v>
      </c>
      <c r="G23" s="41">
        <v>28</v>
      </c>
      <c r="H23" s="41">
        <v>19</v>
      </c>
      <c r="I23" s="41">
        <f t="shared" si="1"/>
        <v>47</v>
      </c>
      <c r="J23" s="41">
        <v>41</v>
      </c>
      <c r="K23" s="41">
        <v>19</v>
      </c>
      <c r="L23" s="41">
        <f t="shared" si="2"/>
        <v>60</v>
      </c>
      <c r="M23" s="41">
        <f t="shared" si="3"/>
        <v>107</v>
      </c>
      <c r="N23" s="59"/>
      <c r="O23" s="41">
        <f t="shared" si="27"/>
        <v>3</v>
      </c>
      <c r="P23" s="41">
        <v>27</v>
      </c>
      <c r="Q23" s="41">
        <v>26</v>
      </c>
      <c r="R23" s="41">
        <f t="shared" si="5"/>
        <v>53</v>
      </c>
      <c r="S23" s="59"/>
      <c r="T23" s="41" t="str">
        <f t="shared" si="6"/>
        <v>F</v>
      </c>
      <c r="U23" s="41">
        <v>25</v>
      </c>
      <c r="V23" s="41">
        <v>13</v>
      </c>
      <c r="W23" s="41">
        <f t="shared" si="7"/>
        <v>38</v>
      </c>
      <c r="X23" s="59"/>
      <c r="Y23" s="41">
        <f t="shared" si="8"/>
        <v>1</v>
      </c>
      <c r="Z23" s="41">
        <v>21</v>
      </c>
      <c r="AA23" s="41">
        <v>22</v>
      </c>
      <c r="AB23" s="41">
        <f t="shared" si="9"/>
        <v>43</v>
      </c>
      <c r="AC23" s="59"/>
      <c r="AD23" s="41" t="str">
        <f t="shared" si="10"/>
        <v>F</v>
      </c>
      <c r="AE23" s="41">
        <v>19</v>
      </c>
      <c r="AF23" s="41">
        <v>19</v>
      </c>
      <c r="AG23" s="41">
        <f t="shared" si="11"/>
        <v>38</v>
      </c>
      <c r="AH23" s="59"/>
      <c r="AI23" s="41">
        <f t="shared" si="12"/>
        <v>4</v>
      </c>
      <c r="AJ23" s="41">
        <v>22</v>
      </c>
      <c r="AK23" s="41">
        <v>9</v>
      </c>
      <c r="AL23" s="41">
        <f t="shared" si="13"/>
        <v>31</v>
      </c>
      <c r="AM23" s="59"/>
      <c r="AN23" s="41" t="str">
        <f t="shared" si="14"/>
        <v>F</v>
      </c>
      <c r="AO23" s="41">
        <v>23</v>
      </c>
      <c r="AP23" s="41">
        <v>15</v>
      </c>
      <c r="AQ23" s="41">
        <f t="shared" si="15"/>
        <v>38</v>
      </c>
      <c r="AR23" s="59"/>
      <c r="AS23" s="41">
        <f t="shared" si="16"/>
        <v>1</v>
      </c>
      <c r="AT23" s="41">
        <v>24</v>
      </c>
      <c r="AU23" s="41">
        <v>16</v>
      </c>
      <c r="AV23" s="41">
        <f t="shared" si="17"/>
        <v>40</v>
      </c>
      <c r="AW23" s="59"/>
      <c r="AX23" s="41">
        <f t="shared" si="18"/>
        <v>2</v>
      </c>
      <c r="AY23" s="41">
        <v>40</v>
      </c>
      <c r="AZ23" s="41">
        <v>14</v>
      </c>
      <c r="BA23" s="41">
        <f t="shared" si="19"/>
        <v>54</v>
      </c>
      <c r="BB23" s="59"/>
      <c r="BC23" s="41">
        <f t="shared" si="20"/>
        <v>3</v>
      </c>
      <c r="BD23" s="41">
        <v>1</v>
      </c>
      <c r="BE23" s="41">
        <v>8</v>
      </c>
      <c r="BF23" s="41">
        <v>20</v>
      </c>
      <c r="BG23" s="41">
        <f t="shared" si="21"/>
        <v>29</v>
      </c>
      <c r="BH23" s="59"/>
      <c r="BI23" s="41">
        <f t="shared" si="22"/>
        <v>0</v>
      </c>
      <c r="BJ23" s="41" t="str">
        <f t="shared" si="23"/>
        <v>F</v>
      </c>
      <c r="BK23" s="41" t="str">
        <f t="shared" si="0"/>
        <v>F</v>
      </c>
      <c r="BL23" s="42" t="str">
        <f t="shared" si="24"/>
        <v>F</v>
      </c>
      <c r="BM23" s="56" t="str">
        <f t="shared" si="25"/>
        <v>NEED TO PROGRESS</v>
      </c>
      <c r="BN23" s="57"/>
      <c r="BO23" s="41">
        <f t="shared" si="26"/>
        <v>471</v>
      </c>
      <c r="BP23" s="41"/>
      <c r="BQ23" s="25"/>
    </row>
    <row r="24" spans="1:69" x14ac:dyDescent="0.25">
      <c r="A24" s="4">
        <v>17</v>
      </c>
      <c r="B24" s="7">
        <v>20</v>
      </c>
      <c r="C24" s="8" t="s">
        <v>123</v>
      </c>
      <c r="D24" s="9" t="s">
        <v>124</v>
      </c>
      <c r="E24" s="9" t="s">
        <v>125</v>
      </c>
      <c r="F24" s="10" t="s">
        <v>188</v>
      </c>
      <c r="G24" s="2">
        <v>28</v>
      </c>
      <c r="H24" s="2">
        <v>20</v>
      </c>
      <c r="I24" s="2">
        <f>G24+H24</f>
        <v>48</v>
      </c>
      <c r="J24" s="2">
        <v>38</v>
      </c>
      <c r="K24" s="2">
        <v>19</v>
      </c>
      <c r="L24" s="2">
        <f t="shared" si="2"/>
        <v>57</v>
      </c>
      <c r="M24" s="2">
        <f t="shared" si="3"/>
        <v>105</v>
      </c>
      <c r="N24" s="59"/>
      <c r="O24" s="2">
        <f t="shared" si="27"/>
        <v>3</v>
      </c>
      <c r="P24" s="2">
        <v>38</v>
      </c>
      <c r="Q24" s="2">
        <v>33</v>
      </c>
      <c r="R24" s="2">
        <f t="shared" si="5"/>
        <v>71</v>
      </c>
      <c r="S24" s="59"/>
      <c r="T24" s="2">
        <f t="shared" si="6"/>
        <v>1</v>
      </c>
      <c r="U24" s="2">
        <v>23</v>
      </c>
      <c r="V24" s="2">
        <v>15</v>
      </c>
      <c r="W24" s="2">
        <f t="shared" si="7"/>
        <v>38</v>
      </c>
      <c r="X24" s="59"/>
      <c r="Y24" s="2">
        <f t="shared" si="8"/>
        <v>1</v>
      </c>
      <c r="Z24" s="2">
        <v>26</v>
      </c>
      <c r="AA24" s="2">
        <v>23</v>
      </c>
      <c r="AB24" s="2">
        <f t="shared" si="9"/>
        <v>49</v>
      </c>
      <c r="AC24" s="59"/>
      <c r="AD24" s="2">
        <f t="shared" si="10"/>
        <v>2</v>
      </c>
      <c r="AE24" s="2">
        <v>13</v>
      </c>
      <c r="AF24" s="2">
        <v>13</v>
      </c>
      <c r="AG24" s="2">
        <f t="shared" si="11"/>
        <v>26</v>
      </c>
      <c r="AH24" s="59"/>
      <c r="AI24" s="2">
        <f t="shared" si="12"/>
        <v>3</v>
      </c>
      <c r="AJ24" s="2">
        <v>39</v>
      </c>
      <c r="AK24" s="2">
        <v>14</v>
      </c>
      <c r="AL24" s="2">
        <f t="shared" si="13"/>
        <v>53</v>
      </c>
      <c r="AM24" s="59"/>
      <c r="AN24" s="2">
        <f t="shared" si="14"/>
        <v>3</v>
      </c>
      <c r="AO24" s="2">
        <v>28</v>
      </c>
      <c r="AP24" s="2">
        <v>15</v>
      </c>
      <c r="AQ24" s="2">
        <f t="shared" si="15"/>
        <v>43</v>
      </c>
      <c r="AR24" s="59"/>
      <c r="AS24" s="2">
        <f t="shared" si="16"/>
        <v>2</v>
      </c>
      <c r="AT24" s="2">
        <v>32</v>
      </c>
      <c r="AU24" s="2">
        <v>15</v>
      </c>
      <c r="AV24" s="2">
        <f t="shared" si="17"/>
        <v>47</v>
      </c>
      <c r="AW24" s="59"/>
      <c r="AX24" s="2">
        <f t="shared" si="18"/>
        <v>2</v>
      </c>
      <c r="AY24" s="2">
        <v>23</v>
      </c>
      <c r="AZ24" s="2">
        <v>17</v>
      </c>
      <c r="BA24" s="2">
        <f t="shared" si="19"/>
        <v>40</v>
      </c>
      <c r="BB24" s="59"/>
      <c r="BC24" s="2">
        <f t="shared" si="20"/>
        <v>2</v>
      </c>
      <c r="BD24" s="2">
        <v>1</v>
      </c>
      <c r="BE24" s="2">
        <v>13</v>
      </c>
      <c r="BF24" s="2">
        <v>20</v>
      </c>
      <c r="BG24" s="2">
        <f t="shared" si="21"/>
        <v>34</v>
      </c>
      <c r="BH24" s="59"/>
      <c r="BI24" s="2">
        <f t="shared" si="22"/>
        <v>0</v>
      </c>
      <c r="BJ24" s="2" t="str">
        <f t="shared" si="23"/>
        <v>F</v>
      </c>
      <c r="BK24" s="2">
        <f t="shared" si="0"/>
        <v>19</v>
      </c>
      <c r="BL24" s="6">
        <f t="shared" si="24"/>
        <v>2.1111111111111112</v>
      </c>
      <c r="BM24" s="52" t="str">
        <f t="shared" si="25"/>
        <v>GOOD</v>
      </c>
      <c r="BN24" s="53"/>
      <c r="BO24" s="2">
        <f t="shared" si="26"/>
        <v>506</v>
      </c>
      <c r="BP24" s="2"/>
      <c r="BQ24" s="4"/>
    </row>
    <row r="25" spans="1:69" s="23" customFormat="1" x14ac:dyDescent="0.25">
      <c r="A25" s="25">
        <v>18</v>
      </c>
      <c r="B25" s="7">
        <v>21</v>
      </c>
      <c r="C25" s="8" t="s">
        <v>199</v>
      </c>
      <c r="D25" s="9" t="s">
        <v>126</v>
      </c>
      <c r="E25" s="9" t="s">
        <v>127</v>
      </c>
      <c r="F25" s="10" t="s">
        <v>128</v>
      </c>
      <c r="G25" s="41">
        <v>28</v>
      </c>
      <c r="H25" s="41">
        <v>25</v>
      </c>
      <c r="I25" s="41">
        <f t="shared" si="1"/>
        <v>53</v>
      </c>
      <c r="J25" s="41">
        <v>27</v>
      </c>
      <c r="K25" s="41">
        <v>18</v>
      </c>
      <c r="L25" s="41">
        <f t="shared" si="2"/>
        <v>45</v>
      </c>
      <c r="M25" s="41">
        <f t="shared" si="3"/>
        <v>98</v>
      </c>
      <c r="N25" s="59"/>
      <c r="O25" s="41">
        <f t="shared" si="27"/>
        <v>2</v>
      </c>
      <c r="P25" s="41">
        <v>17</v>
      </c>
      <c r="Q25" s="41">
        <v>12</v>
      </c>
      <c r="R25" s="41">
        <f t="shared" si="5"/>
        <v>29</v>
      </c>
      <c r="S25" s="59"/>
      <c r="T25" s="41" t="str">
        <f t="shared" si="6"/>
        <v>F</v>
      </c>
      <c r="U25" s="41">
        <v>11</v>
      </c>
      <c r="V25" s="41">
        <v>16</v>
      </c>
      <c r="W25" s="41">
        <f t="shared" si="7"/>
        <v>27</v>
      </c>
      <c r="X25" s="59"/>
      <c r="Y25" s="41" t="str">
        <f t="shared" si="8"/>
        <v>F</v>
      </c>
      <c r="Z25" s="41">
        <v>27</v>
      </c>
      <c r="AA25" s="41">
        <v>20</v>
      </c>
      <c r="AB25" s="41">
        <f t="shared" si="9"/>
        <v>47</v>
      </c>
      <c r="AC25" s="59"/>
      <c r="AD25" s="41">
        <f t="shared" si="10"/>
        <v>2</v>
      </c>
      <c r="AE25" s="41">
        <v>20</v>
      </c>
      <c r="AF25" s="41">
        <v>20</v>
      </c>
      <c r="AG25" s="41">
        <f t="shared" si="11"/>
        <v>40</v>
      </c>
      <c r="AH25" s="59"/>
      <c r="AI25" s="41">
        <f t="shared" si="12"/>
        <v>5</v>
      </c>
      <c r="AJ25" s="41">
        <v>26</v>
      </c>
      <c r="AK25" s="41">
        <v>17</v>
      </c>
      <c r="AL25" s="41">
        <f t="shared" si="13"/>
        <v>43</v>
      </c>
      <c r="AM25" s="59"/>
      <c r="AN25" s="41">
        <f t="shared" si="14"/>
        <v>2</v>
      </c>
      <c r="AO25" s="41">
        <v>24</v>
      </c>
      <c r="AP25" s="41">
        <v>12</v>
      </c>
      <c r="AQ25" s="41">
        <f t="shared" si="15"/>
        <v>36</v>
      </c>
      <c r="AR25" s="59"/>
      <c r="AS25" s="41">
        <f t="shared" si="16"/>
        <v>1</v>
      </c>
      <c r="AT25" s="41">
        <v>26</v>
      </c>
      <c r="AU25" s="41">
        <v>14</v>
      </c>
      <c r="AV25" s="41">
        <f t="shared" si="17"/>
        <v>40</v>
      </c>
      <c r="AW25" s="59"/>
      <c r="AX25" s="41">
        <f t="shared" si="18"/>
        <v>2</v>
      </c>
      <c r="AY25" s="41">
        <v>19</v>
      </c>
      <c r="AZ25" s="41">
        <v>9</v>
      </c>
      <c r="BA25" s="41">
        <f t="shared" si="19"/>
        <v>28</v>
      </c>
      <c r="BB25" s="59"/>
      <c r="BC25" s="41" t="str">
        <f t="shared" si="20"/>
        <v>F</v>
      </c>
      <c r="BD25" s="41">
        <v>0</v>
      </c>
      <c r="BE25" s="41">
        <v>0</v>
      </c>
      <c r="BF25" s="41">
        <v>20</v>
      </c>
      <c r="BG25" s="41">
        <f t="shared" si="21"/>
        <v>20</v>
      </c>
      <c r="BH25" s="59"/>
      <c r="BI25" s="41">
        <f t="shared" si="22"/>
        <v>0</v>
      </c>
      <c r="BJ25" s="41" t="str">
        <f t="shared" si="23"/>
        <v>F</v>
      </c>
      <c r="BK25" s="41" t="str">
        <f t="shared" si="0"/>
        <v>F</v>
      </c>
      <c r="BL25" s="42" t="str">
        <f t="shared" si="24"/>
        <v>F</v>
      </c>
      <c r="BM25" s="56" t="str">
        <f t="shared" si="25"/>
        <v>NEED TO PROGRESS</v>
      </c>
      <c r="BN25" s="57"/>
      <c r="BO25" s="41">
        <f t="shared" si="26"/>
        <v>408</v>
      </c>
      <c r="BP25" s="41"/>
      <c r="BQ25" s="25"/>
    </row>
    <row r="26" spans="1:69" x14ac:dyDescent="0.25">
      <c r="A26" s="4">
        <v>19</v>
      </c>
      <c r="B26" s="7">
        <v>22</v>
      </c>
      <c r="C26" s="8" t="s">
        <v>129</v>
      </c>
      <c r="D26" s="12" t="s">
        <v>130</v>
      </c>
      <c r="E26" s="12" t="s">
        <v>131</v>
      </c>
      <c r="F26" s="10" t="s">
        <v>132</v>
      </c>
      <c r="G26" s="2">
        <v>28</v>
      </c>
      <c r="H26" s="2">
        <v>24</v>
      </c>
      <c r="I26" s="2">
        <f t="shared" si="1"/>
        <v>52</v>
      </c>
      <c r="J26" s="2">
        <v>31</v>
      </c>
      <c r="K26" s="2">
        <v>22</v>
      </c>
      <c r="L26" s="2">
        <f t="shared" si="2"/>
        <v>53</v>
      </c>
      <c r="M26" s="2">
        <f t="shared" si="3"/>
        <v>105</v>
      </c>
      <c r="N26" s="59"/>
      <c r="O26" s="2">
        <f t="shared" si="27"/>
        <v>3</v>
      </c>
      <c r="P26" s="2">
        <v>33</v>
      </c>
      <c r="Q26" s="2">
        <v>25</v>
      </c>
      <c r="R26" s="2">
        <f t="shared" si="5"/>
        <v>58</v>
      </c>
      <c r="S26" s="59"/>
      <c r="T26" s="2" t="str">
        <f t="shared" si="6"/>
        <v>F</v>
      </c>
      <c r="U26" s="2">
        <v>12</v>
      </c>
      <c r="V26" s="2">
        <v>17</v>
      </c>
      <c r="W26" s="2">
        <f t="shared" si="7"/>
        <v>29</v>
      </c>
      <c r="X26" s="59"/>
      <c r="Y26" s="2" t="str">
        <f t="shared" si="8"/>
        <v>F</v>
      </c>
      <c r="Z26" s="2">
        <v>30</v>
      </c>
      <c r="AA26" s="2">
        <v>18</v>
      </c>
      <c r="AB26" s="2">
        <f t="shared" si="9"/>
        <v>48</v>
      </c>
      <c r="AC26" s="59"/>
      <c r="AD26" s="2">
        <f t="shared" si="10"/>
        <v>2</v>
      </c>
      <c r="AE26" s="2">
        <v>19</v>
      </c>
      <c r="AF26" s="2">
        <v>19</v>
      </c>
      <c r="AG26" s="2">
        <f t="shared" si="11"/>
        <v>38</v>
      </c>
      <c r="AH26" s="59"/>
      <c r="AI26" s="2">
        <f t="shared" si="12"/>
        <v>4</v>
      </c>
      <c r="AJ26" s="2">
        <v>16</v>
      </c>
      <c r="AK26" s="2">
        <v>17</v>
      </c>
      <c r="AL26" s="2">
        <f t="shared" si="13"/>
        <v>33</v>
      </c>
      <c r="AM26" s="59"/>
      <c r="AN26" s="2" t="str">
        <f t="shared" si="14"/>
        <v>F</v>
      </c>
      <c r="AO26" s="2">
        <v>25</v>
      </c>
      <c r="AP26" s="2">
        <v>17</v>
      </c>
      <c r="AQ26" s="2">
        <f t="shared" si="15"/>
        <v>42</v>
      </c>
      <c r="AR26" s="59"/>
      <c r="AS26" s="2">
        <f t="shared" si="16"/>
        <v>2</v>
      </c>
      <c r="AT26" s="2">
        <v>31</v>
      </c>
      <c r="AU26" s="2">
        <v>15</v>
      </c>
      <c r="AV26" s="2">
        <f t="shared" si="17"/>
        <v>46</v>
      </c>
      <c r="AW26" s="59"/>
      <c r="AX26" s="2">
        <f t="shared" si="18"/>
        <v>2</v>
      </c>
      <c r="AY26" s="2">
        <v>24</v>
      </c>
      <c r="AZ26" s="2">
        <v>6</v>
      </c>
      <c r="BA26" s="2">
        <f t="shared" si="19"/>
        <v>30</v>
      </c>
      <c r="BB26" s="59"/>
      <c r="BC26" s="2" t="str">
        <f t="shared" si="20"/>
        <v>F</v>
      </c>
      <c r="BD26" s="2">
        <v>10</v>
      </c>
      <c r="BE26" s="2">
        <v>9</v>
      </c>
      <c r="BF26" s="2">
        <v>20</v>
      </c>
      <c r="BG26" s="2">
        <f t="shared" si="21"/>
        <v>39</v>
      </c>
      <c r="BH26" s="59"/>
      <c r="BI26" s="2">
        <f t="shared" si="22"/>
        <v>0</v>
      </c>
      <c r="BJ26" s="2" t="str">
        <f t="shared" si="23"/>
        <v>F</v>
      </c>
      <c r="BK26" s="2" t="str">
        <f t="shared" si="0"/>
        <v>F</v>
      </c>
      <c r="BL26" s="6" t="str">
        <f t="shared" si="24"/>
        <v>F</v>
      </c>
      <c r="BM26" s="52" t="str">
        <f t="shared" si="25"/>
        <v>NEED TO PROGRESS</v>
      </c>
      <c r="BN26" s="53"/>
      <c r="BO26" s="2">
        <f t="shared" si="26"/>
        <v>468</v>
      </c>
      <c r="BP26" s="2"/>
      <c r="BQ26" s="4"/>
    </row>
    <row r="27" spans="1:69" x14ac:dyDescent="0.25">
      <c r="A27" s="4">
        <v>20</v>
      </c>
      <c r="B27" s="7">
        <v>23</v>
      </c>
      <c r="C27" s="8" t="s">
        <v>133</v>
      </c>
      <c r="D27" s="12" t="s">
        <v>134</v>
      </c>
      <c r="E27" s="12" t="s">
        <v>135</v>
      </c>
      <c r="F27" s="10" t="s">
        <v>187</v>
      </c>
      <c r="G27" s="2">
        <v>28</v>
      </c>
      <c r="H27" s="2">
        <v>24</v>
      </c>
      <c r="I27" s="2">
        <f t="shared" si="1"/>
        <v>52</v>
      </c>
      <c r="J27" s="2">
        <v>39</v>
      </c>
      <c r="K27" s="2">
        <v>19</v>
      </c>
      <c r="L27" s="2">
        <f t="shared" si="2"/>
        <v>58</v>
      </c>
      <c r="M27" s="2">
        <f t="shared" si="3"/>
        <v>110</v>
      </c>
      <c r="N27" s="59"/>
      <c r="O27" s="2">
        <f t="shared" si="27"/>
        <v>3</v>
      </c>
      <c r="P27" s="2">
        <v>40</v>
      </c>
      <c r="Q27" s="2">
        <v>38</v>
      </c>
      <c r="R27" s="2">
        <f t="shared" si="5"/>
        <v>78</v>
      </c>
      <c r="S27" s="59"/>
      <c r="T27" s="2">
        <f t="shared" si="6"/>
        <v>1</v>
      </c>
      <c r="U27" s="2">
        <v>13</v>
      </c>
      <c r="V27" s="2">
        <v>16</v>
      </c>
      <c r="W27" s="2">
        <f t="shared" si="7"/>
        <v>29</v>
      </c>
      <c r="X27" s="59"/>
      <c r="Y27" s="2" t="str">
        <f t="shared" si="8"/>
        <v>F</v>
      </c>
      <c r="Z27" s="2">
        <v>31</v>
      </c>
      <c r="AA27" s="2">
        <v>16</v>
      </c>
      <c r="AB27" s="2">
        <f t="shared" si="9"/>
        <v>47</v>
      </c>
      <c r="AC27" s="59"/>
      <c r="AD27" s="2">
        <f t="shared" si="10"/>
        <v>2</v>
      </c>
      <c r="AE27" s="2">
        <v>18</v>
      </c>
      <c r="AF27" s="2">
        <v>18</v>
      </c>
      <c r="AG27" s="2">
        <f t="shared" si="11"/>
        <v>36</v>
      </c>
      <c r="AH27" s="59"/>
      <c r="AI27" s="2">
        <f t="shared" si="12"/>
        <v>4</v>
      </c>
      <c r="AJ27" s="2">
        <v>22</v>
      </c>
      <c r="AK27" s="2">
        <v>18</v>
      </c>
      <c r="AL27" s="2">
        <f t="shared" si="13"/>
        <v>40</v>
      </c>
      <c r="AM27" s="59"/>
      <c r="AN27" s="2" t="str">
        <f>IF(AJ27&lt;23,"F",IF(AK27&lt;10,"F",IF(AL27&lt;33,"F",IF(AL27&lt;40,1,IF(AL27&lt;50,2,IF(AL27&lt;60,3,IF(AL27&lt;70,3.5,IF(AL27&lt;80,4,5))))))))</f>
        <v>F</v>
      </c>
      <c r="AO27" s="2">
        <v>25</v>
      </c>
      <c r="AP27" s="2">
        <v>18</v>
      </c>
      <c r="AQ27" s="2">
        <f t="shared" si="15"/>
        <v>43</v>
      </c>
      <c r="AR27" s="59"/>
      <c r="AS27" s="2">
        <f t="shared" si="16"/>
        <v>2</v>
      </c>
      <c r="AT27" s="2">
        <v>30</v>
      </c>
      <c r="AU27" s="2">
        <v>17</v>
      </c>
      <c r="AV27" s="2">
        <f t="shared" si="17"/>
        <v>47</v>
      </c>
      <c r="AW27" s="59"/>
      <c r="AX27" s="2">
        <f t="shared" si="18"/>
        <v>2</v>
      </c>
      <c r="AY27" s="2">
        <v>19</v>
      </c>
      <c r="AZ27" s="2">
        <v>13</v>
      </c>
      <c r="BA27" s="2">
        <f t="shared" si="19"/>
        <v>32</v>
      </c>
      <c r="BB27" s="59"/>
      <c r="BC27" s="2" t="str">
        <f t="shared" si="20"/>
        <v>F</v>
      </c>
      <c r="BD27" s="2">
        <v>10</v>
      </c>
      <c r="BE27" s="2">
        <v>10</v>
      </c>
      <c r="BF27" s="2">
        <v>20</v>
      </c>
      <c r="BG27" s="2">
        <f t="shared" si="21"/>
        <v>40</v>
      </c>
      <c r="BH27" s="59"/>
      <c r="BI27" s="2">
        <f t="shared" si="22"/>
        <v>0</v>
      </c>
      <c r="BJ27" s="2" t="str">
        <f t="shared" si="23"/>
        <v>F</v>
      </c>
      <c r="BK27" s="2" t="str">
        <f t="shared" si="0"/>
        <v>F</v>
      </c>
      <c r="BL27" s="6" t="str">
        <f t="shared" si="24"/>
        <v>F</v>
      </c>
      <c r="BM27" s="52" t="str">
        <f t="shared" si="25"/>
        <v>NEED TO PROGRESS</v>
      </c>
      <c r="BN27" s="53"/>
      <c r="BO27" s="2">
        <f t="shared" si="26"/>
        <v>502</v>
      </c>
      <c r="BP27" s="2"/>
      <c r="BQ27" s="4"/>
    </row>
    <row r="28" spans="1:69" s="5" customFormat="1" x14ac:dyDescent="0.25">
      <c r="A28" s="4">
        <v>21</v>
      </c>
      <c r="B28" s="7">
        <v>24</v>
      </c>
      <c r="C28" s="8" t="s">
        <v>136</v>
      </c>
      <c r="D28" s="9" t="s">
        <v>137</v>
      </c>
      <c r="E28" s="9" t="s">
        <v>138</v>
      </c>
      <c r="F28" s="10" t="s">
        <v>139</v>
      </c>
      <c r="G28" s="2">
        <v>28</v>
      </c>
      <c r="H28" s="2">
        <v>25</v>
      </c>
      <c r="I28" s="2">
        <f t="shared" si="1"/>
        <v>53</v>
      </c>
      <c r="J28" s="2">
        <v>37</v>
      </c>
      <c r="K28" s="2">
        <v>19</v>
      </c>
      <c r="L28" s="2">
        <f t="shared" si="2"/>
        <v>56</v>
      </c>
      <c r="M28" s="2">
        <f t="shared" ref="M28:M40" si="28">I28+L28</f>
        <v>109</v>
      </c>
      <c r="N28" s="59"/>
      <c r="O28" s="2">
        <f t="shared" si="27"/>
        <v>3</v>
      </c>
      <c r="P28" s="2">
        <v>20</v>
      </c>
      <c r="Q28" s="2">
        <v>15</v>
      </c>
      <c r="R28" s="2">
        <f t="shared" ref="R28:R40" si="29">P28+Q28</f>
        <v>35</v>
      </c>
      <c r="S28" s="59"/>
      <c r="T28" s="2" t="str">
        <f t="shared" ref="T28:T40" si="30">IF(R28&lt;66,"F",IF(R28&lt;80,1,IF(R28&lt;100,2,IF(R28&lt;120,3,IF(R28&lt;140,3.5,IF(R28&lt;160,4,5))))))</f>
        <v>F</v>
      </c>
      <c r="U28" s="2">
        <v>12</v>
      </c>
      <c r="V28" s="2">
        <v>15</v>
      </c>
      <c r="W28" s="2">
        <f t="shared" ref="W28:W40" si="31">U28+V28</f>
        <v>27</v>
      </c>
      <c r="X28" s="59"/>
      <c r="Y28" s="2" t="str">
        <f t="shared" ref="Y28:Y40" si="32">IF(U28&lt;23,"F",IF(V28&lt;10,"F",IF(W28&lt;33,"F",IF(W28&lt;40,1,IF(W28&lt;50,2,IF(W28&lt;60,3,IF(W28&lt;70,3.5,IF(W28&lt;80,4,5))))))))</f>
        <v>F</v>
      </c>
      <c r="Z28" s="2">
        <v>30</v>
      </c>
      <c r="AA28" s="2">
        <v>17</v>
      </c>
      <c r="AB28" s="2">
        <f t="shared" ref="AB28:AB40" si="33">Z28+AA28</f>
        <v>47</v>
      </c>
      <c r="AC28" s="59"/>
      <c r="AD28" s="2">
        <f t="shared" ref="AD28:AD40" si="34">IF(Z28&lt;23,"F",IF(AA28&lt;10,"F",IF(AB28&lt;33,"F",IF(AB28&lt;40,1,IF(AB28&lt;50,2,IF(AB28&lt;60,3,IF(AB28&lt;70,3.5,IF(AB28&lt;80,4,5))))))))</f>
        <v>2</v>
      </c>
      <c r="AE28" s="2">
        <v>18</v>
      </c>
      <c r="AF28" s="2">
        <v>18</v>
      </c>
      <c r="AG28" s="2">
        <f t="shared" ref="AG28:AG40" si="35">AE28+AF28</f>
        <v>36</v>
      </c>
      <c r="AH28" s="59"/>
      <c r="AI28" s="2">
        <f t="shared" ref="AI28:AI40" si="36">IF(AE28&lt;8,"F",IF(AF28&lt;9,"F",IF(AG28&lt;17,"F",IF(AG28&lt;20,1,IF(AG28&lt;25,2,IF(AG28&lt;30,3,IF(AG28&lt;35,3.5,IF(AG28&lt;40,4,5))))))))</f>
        <v>4</v>
      </c>
      <c r="AJ28" s="2">
        <v>16</v>
      </c>
      <c r="AK28" s="2">
        <v>17</v>
      </c>
      <c r="AL28" s="2">
        <f t="shared" ref="AL28:AL40" si="37">AJ28+AK28</f>
        <v>33</v>
      </c>
      <c r="AM28" s="59"/>
      <c r="AN28" s="2" t="str">
        <f t="shared" ref="AN28:AN40" si="38">IF(AJ28&lt;23,"F",IF(AK28&lt;10,"F",IF(AL28&lt;33,"F",IF(AL28&lt;40,1,IF(AL28&lt;50,2,IF(AL28&lt;60,3,IF(AL28&lt;70,3.5,IF(AL28&lt;80,4,5))))))))</f>
        <v>F</v>
      </c>
      <c r="AO28" s="2">
        <v>24</v>
      </c>
      <c r="AP28" s="2">
        <v>19</v>
      </c>
      <c r="AQ28" s="2">
        <f t="shared" ref="AQ28:AQ40" si="39">AO28+AP28</f>
        <v>43</v>
      </c>
      <c r="AR28" s="59"/>
      <c r="AS28" s="2">
        <f t="shared" ref="AS28:AS40" si="40">IF(AO28&lt;23,"F",IF(AP28&lt;10,"F",IF(AQ28&lt;33,"F",IF(AQ28&lt;40,1,IF(AQ28&lt;50,2,IF(AQ28&lt;60,3,IF(AQ28&lt;70,3.5,IF(AQ28&lt;80,4,5))))))))</f>
        <v>2</v>
      </c>
      <c r="AT28" s="2">
        <v>29</v>
      </c>
      <c r="AU28" s="2">
        <v>18</v>
      </c>
      <c r="AV28" s="2">
        <f t="shared" ref="AV28:AV40" si="41">AT28+AU28</f>
        <v>47</v>
      </c>
      <c r="AW28" s="59"/>
      <c r="AX28" s="2">
        <f t="shared" ref="AX28:AX40" si="42">IF(AT28&lt;23,"F",IF(AU28&lt;10,"F",IF(AV28&lt;33,"F",IF(AV28&lt;40,1,IF(AV28&lt;50,2,IF(AV28&lt;60,3,IF(AV28&lt;70,3.5,IF(AV28&lt;80,4,5))))))))</f>
        <v>2</v>
      </c>
      <c r="AY28" s="2">
        <v>24</v>
      </c>
      <c r="AZ28" s="2">
        <v>16</v>
      </c>
      <c r="BA28" s="2">
        <f t="shared" ref="BA28:BA40" si="43">AY28+AZ28</f>
        <v>40</v>
      </c>
      <c r="BB28" s="59"/>
      <c r="BC28" s="2">
        <f t="shared" ref="BC28:BC40" si="44">IF(AY28&lt;23,"F",IF(AZ28&lt;10,"F",IF(BA28&lt;33,"F",IF(BA28&lt;40,1,IF(BA28&lt;50,2,IF(BA28&lt;60,3,IF(BA28&lt;70,3.5,IF(BA28&lt;80,4,5))))))))</f>
        <v>2</v>
      </c>
      <c r="BD28" s="2">
        <v>4</v>
      </c>
      <c r="BE28" s="2">
        <v>8</v>
      </c>
      <c r="BF28" s="2">
        <v>20</v>
      </c>
      <c r="BG28" s="2">
        <f t="shared" ref="BG28:BG40" si="45">BD28+BE28+BF28</f>
        <v>32</v>
      </c>
      <c r="BH28" s="59"/>
      <c r="BI28" s="2">
        <f t="shared" ref="BI28:BI40" si="46">IF(BD28&lt;17,0,IF(BE28&lt;8,0,IF(BF28&lt;8,0,IF(BG28&lt;33,0,IF(BG28&lt;40,1,IF(BG28&lt;50,2,IF(BG28&lt;60,3,IF(BG28&lt;70,3.5,IF(BG28&lt;80,4,5)))))))))</f>
        <v>0</v>
      </c>
      <c r="BJ28" s="2" t="str">
        <f t="shared" ref="BJ28:BJ40" si="47">IF(BD28&lt;17,"F",IF(BE28&lt;8,"F",IF(BF28&lt;8,"F",IF(BG28&lt;33,"F",IF(BG28&lt;40,1,IF(BG28&lt;50,2,IF(BG28&lt;60,3,IF(BG28&lt;70,3.5,IF(BG28&lt;80,4,5)))))))))</f>
        <v>F</v>
      </c>
      <c r="BK28" s="2" t="str">
        <f t="shared" ref="BK28:BK40" si="48">IF(O28="F","F",IF(T28="F","F",IF(Y28="F","F",IF(AD28="F","F",IF(AN28="F","F",IF(AS28="F","F",IF(AX28="F","F",IF(BC28="F","F",IF(BI28="F","F",IF(AI28="F","F", IF(BI28&lt;2,SUM(O28,T28,Y28,AD28,AI28,AN28,AS28,AX28,BC28,BI28),IF(BI28&gt;=2,SUM(O28,T28,Y28,AD28,AN28,AS28,AI28,AX28,BC28,BI28-2)))))))))))))</f>
        <v>F</v>
      </c>
      <c r="BL28" s="6" t="str">
        <f t="shared" ref="BL28:BL40" si="49">IF(BK28="F","F",IF(BK28&gt;=45,5,IF(BK28&lt;45,BK28/9)))</f>
        <v>F</v>
      </c>
      <c r="BM28" s="52" t="str">
        <f t="shared" ref="BM28:BM40" si="50">IF(BL28="F","NEED TO PROGRESS",IF(BL28&gt;=5,"BEST",IF(BL28&gt;=4,"BETTER",IF(BL28&gt;=2,"GOOD"))))</f>
        <v>NEED TO PROGRESS</v>
      </c>
      <c r="BN28" s="53"/>
      <c r="BO28" s="2">
        <f t="shared" ref="BO28:BO40" si="51">M28+R28+W28+AB28+AG28+AL28+AQ28+AV28+BA28+BG28</f>
        <v>449</v>
      </c>
      <c r="BP28" s="2"/>
      <c r="BQ28" s="4"/>
    </row>
    <row r="29" spans="1:69" s="5" customFormat="1" x14ac:dyDescent="0.25">
      <c r="A29" s="4">
        <v>22</v>
      </c>
      <c r="B29" s="7">
        <v>25</v>
      </c>
      <c r="C29" s="11" t="s">
        <v>140</v>
      </c>
      <c r="D29" s="12" t="s">
        <v>141</v>
      </c>
      <c r="E29" s="12" t="s">
        <v>142</v>
      </c>
      <c r="F29" s="10" t="s">
        <v>143</v>
      </c>
      <c r="G29" s="2">
        <v>28</v>
      </c>
      <c r="H29" s="2">
        <v>20</v>
      </c>
      <c r="I29" s="2">
        <f t="shared" si="1"/>
        <v>48</v>
      </c>
      <c r="J29" s="2">
        <v>30</v>
      </c>
      <c r="K29" s="2">
        <v>23</v>
      </c>
      <c r="L29" s="2">
        <f t="shared" si="2"/>
        <v>53</v>
      </c>
      <c r="M29" s="2">
        <f t="shared" si="28"/>
        <v>101</v>
      </c>
      <c r="N29" s="59"/>
      <c r="O29" s="2">
        <f t="shared" si="27"/>
        <v>3</v>
      </c>
      <c r="P29" s="2">
        <v>40</v>
      </c>
      <c r="Q29" s="2">
        <v>17</v>
      </c>
      <c r="R29" s="2">
        <f t="shared" si="29"/>
        <v>57</v>
      </c>
      <c r="S29" s="59"/>
      <c r="T29" s="2" t="str">
        <f t="shared" si="30"/>
        <v>F</v>
      </c>
      <c r="U29" s="2">
        <v>23</v>
      </c>
      <c r="V29" s="2">
        <v>16</v>
      </c>
      <c r="W29" s="2">
        <f t="shared" si="31"/>
        <v>39</v>
      </c>
      <c r="X29" s="59"/>
      <c r="Y29" s="2">
        <f t="shared" si="32"/>
        <v>1</v>
      </c>
      <c r="Z29" s="2">
        <v>34</v>
      </c>
      <c r="AA29" s="2">
        <v>17</v>
      </c>
      <c r="AB29" s="2">
        <f t="shared" si="33"/>
        <v>51</v>
      </c>
      <c r="AC29" s="59"/>
      <c r="AD29" s="2">
        <f t="shared" si="34"/>
        <v>3</v>
      </c>
      <c r="AE29" s="2">
        <v>19</v>
      </c>
      <c r="AF29" s="2">
        <v>19</v>
      </c>
      <c r="AG29" s="2">
        <f t="shared" si="35"/>
        <v>38</v>
      </c>
      <c r="AH29" s="59"/>
      <c r="AI29" s="2">
        <f t="shared" si="36"/>
        <v>4</v>
      </c>
      <c r="AJ29" s="2">
        <v>23</v>
      </c>
      <c r="AK29" s="2">
        <v>9</v>
      </c>
      <c r="AL29" s="2">
        <f t="shared" si="37"/>
        <v>32</v>
      </c>
      <c r="AM29" s="59"/>
      <c r="AN29" s="2" t="str">
        <f t="shared" si="38"/>
        <v>F</v>
      </c>
      <c r="AO29" s="2">
        <v>25</v>
      </c>
      <c r="AP29" s="2">
        <v>15</v>
      </c>
      <c r="AQ29" s="2">
        <f t="shared" si="39"/>
        <v>40</v>
      </c>
      <c r="AR29" s="59"/>
      <c r="AS29" s="2">
        <f t="shared" si="40"/>
        <v>2</v>
      </c>
      <c r="AT29" s="2">
        <v>29</v>
      </c>
      <c r="AU29" s="2">
        <v>11</v>
      </c>
      <c r="AV29" s="2">
        <f t="shared" si="41"/>
        <v>40</v>
      </c>
      <c r="AW29" s="59"/>
      <c r="AX29" s="2">
        <f t="shared" si="42"/>
        <v>2</v>
      </c>
      <c r="AY29" s="2">
        <v>29</v>
      </c>
      <c r="AZ29" s="2">
        <v>6</v>
      </c>
      <c r="BA29" s="2">
        <f t="shared" si="43"/>
        <v>35</v>
      </c>
      <c r="BB29" s="59"/>
      <c r="BC29" s="2" t="str">
        <f t="shared" si="44"/>
        <v>F</v>
      </c>
      <c r="BD29" s="2">
        <v>7</v>
      </c>
      <c r="BE29" s="2">
        <v>11</v>
      </c>
      <c r="BF29" s="2">
        <v>20</v>
      </c>
      <c r="BG29" s="2">
        <f t="shared" si="45"/>
        <v>38</v>
      </c>
      <c r="BH29" s="59"/>
      <c r="BI29" s="2">
        <f t="shared" si="46"/>
        <v>0</v>
      </c>
      <c r="BJ29" s="2" t="str">
        <f t="shared" si="47"/>
        <v>F</v>
      </c>
      <c r="BK29" s="2" t="str">
        <f t="shared" si="48"/>
        <v>F</v>
      </c>
      <c r="BL29" s="6" t="str">
        <f t="shared" si="49"/>
        <v>F</v>
      </c>
      <c r="BM29" s="52" t="str">
        <f t="shared" si="50"/>
        <v>NEED TO PROGRESS</v>
      </c>
      <c r="BN29" s="53"/>
      <c r="BO29" s="2">
        <f t="shared" si="51"/>
        <v>471</v>
      </c>
      <c r="BP29" s="2"/>
      <c r="BQ29" s="4"/>
    </row>
    <row r="30" spans="1:69" s="5" customFormat="1" x14ac:dyDescent="0.25">
      <c r="A30" s="4">
        <v>23</v>
      </c>
      <c r="B30" s="7">
        <v>27</v>
      </c>
      <c r="C30" s="8" t="s">
        <v>144</v>
      </c>
      <c r="D30" s="9" t="s">
        <v>145</v>
      </c>
      <c r="E30" s="9" t="s">
        <v>146</v>
      </c>
      <c r="F30" s="10" t="s">
        <v>186</v>
      </c>
      <c r="G30" s="2">
        <v>28</v>
      </c>
      <c r="H30" s="2">
        <v>18</v>
      </c>
      <c r="I30" s="2">
        <f t="shared" si="1"/>
        <v>46</v>
      </c>
      <c r="J30" s="2">
        <v>41</v>
      </c>
      <c r="K30" s="2">
        <v>17</v>
      </c>
      <c r="L30" s="2">
        <f t="shared" si="2"/>
        <v>58</v>
      </c>
      <c r="M30" s="2">
        <f t="shared" si="28"/>
        <v>104</v>
      </c>
      <c r="N30" s="59"/>
      <c r="O30" s="2">
        <f t="shared" si="27"/>
        <v>3</v>
      </c>
      <c r="P30" s="2">
        <v>28</v>
      </c>
      <c r="Q30" s="2">
        <v>38</v>
      </c>
      <c r="R30" s="2">
        <f t="shared" si="29"/>
        <v>66</v>
      </c>
      <c r="S30" s="59"/>
      <c r="T30" s="2">
        <f t="shared" si="30"/>
        <v>1</v>
      </c>
      <c r="U30" s="2">
        <v>31</v>
      </c>
      <c r="V30" s="2">
        <v>10</v>
      </c>
      <c r="W30" s="2">
        <f t="shared" si="31"/>
        <v>41</v>
      </c>
      <c r="X30" s="59"/>
      <c r="Y30" s="2">
        <f t="shared" si="32"/>
        <v>2</v>
      </c>
      <c r="Z30" s="2">
        <v>29</v>
      </c>
      <c r="AA30" s="2">
        <v>14</v>
      </c>
      <c r="AB30" s="2">
        <f t="shared" si="33"/>
        <v>43</v>
      </c>
      <c r="AC30" s="59"/>
      <c r="AD30" s="2">
        <f t="shared" si="34"/>
        <v>2</v>
      </c>
      <c r="AE30" s="2">
        <v>13</v>
      </c>
      <c r="AF30" s="2">
        <v>13</v>
      </c>
      <c r="AG30" s="2">
        <f t="shared" si="35"/>
        <v>26</v>
      </c>
      <c r="AH30" s="59"/>
      <c r="AI30" s="2">
        <f t="shared" si="36"/>
        <v>3</v>
      </c>
      <c r="AJ30" s="2">
        <v>27</v>
      </c>
      <c r="AK30" s="2">
        <v>13</v>
      </c>
      <c r="AL30" s="2">
        <f t="shared" si="37"/>
        <v>40</v>
      </c>
      <c r="AM30" s="59"/>
      <c r="AN30" s="2">
        <f t="shared" si="38"/>
        <v>2</v>
      </c>
      <c r="AO30" s="2">
        <v>39</v>
      </c>
      <c r="AP30" s="2">
        <v>18</v>
      </c>
      <c r="AQ30" s="2">
        <f t="shared" si="39"/>
        <v>57</v>
      </c>
      <c r="AR30" s="59"/>
      <c r="AS30" s="2">
        <f t="shared" si="40"/>
        <v>3</v>
      </c>
      <c r="AT30" s="2">
        <v>30</v>
      </c>
      <c r="AU30" s="2">
        <v>17</v>
      </c>
      <c r="AV30" s="2">
        <f t="shared" si="41"/>
        <v>47</v>
      </c>
      <c r="AW30" s="59"/>
      <c r="AX30" s="2">
        <f t="shared" si="42"/>
        <v>2</v>
      </c>
      <c r="AY30" s="2">
        <v>27</v>
      </c>
      <c r="AZ30" s="2">
        <v>14</v>
      </c>
      <c r="BA30" s="2">
        <f t="shared" si="43"/>
        <v>41</v>
      </c>
      <c r="BB30" s="59"/>
      <c r="BC30" s="2">
        <f t="shared" si="44"/>
        <v>2</v>
      </c>
      <c r="BD30" s="2">
        <v>6</v>
      </c>
      <c r="BE30" s="2">
        <v>11</v>
      </c>
      <c r="BF30" s="2">
        <v>20</v>
      </c>
      <c r="BG30" s="2">
        <f t="shared" si="45"/>
        <v>37</v>
      </c>
      <c r="BH30" s="59"/>
      <c r="BI30" s="2">
        <f t="shared" si="46"/>
        <v>0</v>
      </c>
      <c r="BJ30" s="2" t="str">
        <f t="shared" si="47"/>
        <v>F</v>
      </c>
      <c r="BK30" s="2">
        <f t="shared" si="48"/>
        <v>20</v>
      </c>
      <c r="BL30" s="6">
        <f t="shared" si="49"/>
        <v>2.2222222222222223</v>
      </c>
      <c r="BM30" s="52" t="str">
        <f t="shared" si="50"/>
        <v>GOOD</v>
      </c>
      <c r="BN30" s="53"/>
      <c r="BO30" s="2">
        <f t="shared" si="51"/>
        <v>502</v>
      </c>
      <c r="BP30" s="2"/>
      <c r="BQ30" s="4"/>
    </row>
    <row r="31" spans="1:69" s="5" customFormat="1" x14ac:dyDescent="0.25">
      <c r="A31" s="4">
        <v>24</v>
      </c>
      <c r="B31" s="7">
        <v>28</v>
      </c>
      <c r="C31" s="8" t="s">
        <v>147</v>
      </c>
      <c r="D31" s="9" t="s">
        <v>148</v>
      </c>
      <c r="E31" s="9" t="s">
        <v>149</v>
      </c>
      <c r="F31" s="10" t="s">
        <v>150</v>
      </c>
      <c r="G31" s="2">
        <v>28</v>
      </c>
      <c r="H31" s="2">
        <v>16</v>
      </c>
      <c r="I31" s="2">
        <f t="shared" si="1"/>
        <v>44</v>
      </c>
      <c r="J31" s="2">
        <v>32</v>
      </c>
      <c r="K31" s="2">
        <v>19</v>
      </c>
      <c r="L31" s="2">
        <f t="shared" si="2"/>
        <v>51</v>
      </c>
      <c r="M31" s="2">
        <f t="shared" si="28"/>
        <v>95</v>
      </c>
      <c r="N31" s="59"/>
      <c r="O31" s="2">
        <f t="shared" si="27"/>
        <v>2</v>
      </c>
      <c r="P31" s="2">
        <v>33</v>
      </c>
      <c r="Q31" s="2">
        <v>36</v>
      </c>
      <c r="R31" s="2">
        <f t="shared" si="29"/>
        <v>69</v>
      </c>
      <c r="S31" s="59"/>
      <c r="T31" s="2">
        <f t="shared" si="30"/>
        <v>1</v>
      </c>
      <c r="U31" s="41">
        <v>16</v>
      </c>
      <c r="V31" s="2">
        <v>17</v>
      </c>
      <c r="W31" s="2">
        <f t="shared" si="31"/>
        <v>33</v>
      </c>
      <c r="X31" s="59"/>
      <c r="Y31" s="2" t="str">
        <f t="shared" si="32"/>
        <v>F</v>
      </c>
      <c r="Z31" s="2">
        <v>25</v>
      </c>
      <c r="AA31" s="2">
        <v>13</v>
      </c>
      <c r="AB31" s="2">
        <f t="shared" si="33"/>
        <v>38</v>
      </c>
      <c r="AC31" s="59"/>
      <c r="AD31" s="2">
        <f t="shared" si="34"/>
        <v>1</v>
      </c>
      <c r="AE31" s="2">
        <v>17</v>
      </c>
      <c r="AF31" s="2">
        <v>17</v>
      </c>
      <c r="AG31" s="2">
        <f t="shared" si="35"/>
        <v>34</v>
      </c>
      <c r="AH31" s="59"/>
      <c r="AI31" s="2">
        <f t="shared" si="36"/>
        <v>3.5</v>
      </c>
      <c r="AJ31" s="2">
        <v>24</v>
      </c>
      <c r="AK31" s="2">
        <v>12</v>
      </c>
      <c r="AL31" s="2">
        <f t="shared" si="37"/>
        <v>36</v>
      </c>
      <c r="AM31" s="59"/>
      <c r="AN31" s="2">
        <f t="shared" si="38"/>
        <v>1</v>
      </c>
      <c r="AO31" s="2">
        <v>23</v>
      </c>
      <c r="AP31" s="2">
        <v>13</v>
      </c>
      <c r="AQ31" s="2">
        <f t="shared" si="39"/>
        <v>36</v>
      </c>
      <c r="AR31" s="59"/>
      <c r="AS31" s="2">
        <f t="shared" si="40"/>
        <v>1</v>
      </c>
      <c r="AT31" s="2">
        <v>25</v>
      </c>
      <c r="AU31" s="2">
        <v>14</v>
      </c>
      <c r="AV31" s="2">
        <f t="shared" si="41"/>
        <v>39</v>
      </c>
      <c r="AW31" s="59"/>
      <c r="AX31" s="2">
        <f t="shared" si="42"/>
        <v>1</v>
      </c>
      <c r="AY31" s="2">
        <v>24</v>
      </c>
      <c r="AZ31" s="2">
        <v>11</v>
      </c>
      <c r="BA31" s="2">
        <f t="shared" si="43"/>
        <v>35</v>
      </c>
      <c r="BB31" s="59"/>
      <c r="BC31" s="2">
        <f t="shared" si="44"/>
        <v>1</v>
      </c>
      <c r="BD31" s="2">
        <v>0</v>
      </c>
      <c r="BE31" s="2">
        <v>12</v>
      </c>
      <c r="BF31" s="2">
        <v>20</v>
      </c>
      <c r="BG31" s="2">
        <f t="shared" si="45"/>
        <v>32</v>
      </c>
      <c r="BH31" s="59"/>
      <c r="BI31" s="2">
        <f t="shared" si="46"/>
        <v>0</v>
      </c>
      <c r="BJ31" s="2" t="str">
        <f t="shared" si="47"/>
        <v>F</v>
      </c>
      <c r="BK31" s="2" t="str">
        <f t="shared" si="48"/>
        <v>F</v>
      </c>
      <c r="BL31" s="6" t="str">
        <f t="shared" si="49"/>
        <v>F</v>
      </c>
      <c r="BM31" s="52" t="str">
        <f t="shared" si="50"/>
        <v>NEED TO PROGRESS</v>
      </c>
      <c r="BN31" s="53"/>
      <c r="BO31" s="2">
        <f t="shared" si="51"/>
        <v>447</v>
      </c>
      <c r="BP31" s="2"/>
      <c r="BQ31" s="4"/>
    </row>
    <row r="32" spans="1:69" s="43" customFormat="1" x14ac:dyDescent="0.25">
      <c r="A32" s="4">
        <v>25</v>
      </c>
      <c r="B32" s="7">
        <v>29</v>
      </c>
      <c r="C32" s="8" t="s">
        <v>151</v>
      </c>
      <c r="D32" s="9" t="s">
        <v>152</v>
      </c>
      <c r="E32" s="9" t="s">
        <v>153</v>
      </c>
      <c r="F32" s="10" t="s">
        <v>154</v>
      </c>
      <c r="G32" s="41">
        <v>28</v>
      </c>
      <c r="H32" s="41">
        <v>18</v>
      </c>
      <c r="I32" s="41">
        <f t="shared" si="1"/>
        <v>46</v>
      </c>
      <c r="J32" s="41">
        <v>45</v>
      </c>
      <c r="K32" s="41">
        <v>16</v>
      </c>
      <c r="L32" s="41">
        <f t="shared" si="2"/>
        <v>61</v>
      </c>
      <c r="M32" s="41">
        <f t="shared" si="28"/>
        <v>107</v>
      </c>
      <c r="N32" s="59"/>
      <c r="O32" s="41">
        <f t="shared" si="27"/>
        <v>3</v>
      </c>
      <c r="P32" s="41">
        <v>34</v>
      </c>
      <c r="Q32" s="41">
        <v>39</v>
      </c>
      <c r="R32" s="41">
        <f t="shared" si="29"/>
        <v>73</v>
      </c>
      <c r="S32" s="59"/>
      <c r="T32" s="41">
        <f t="shared" si="30"/>
        <v>1</v>
      </c>
      <c r="U32" s="2">
        <v>13</v>
      </c>
      <c r="V32" s="2">
        <v>12</v>
      </c>
      <c r="W32" s="41">
        <f t="shared" si="31"/>
        <v>25</v>
      </c>
      <c r="X32" s="59"/>
      <c r="Y32" s="41" t="str">
        <f t="shared" si="32"/>
        <v>F</v>
      </c>
      <c r="Z32" s="41">
        <v>30</v>
      </c>
      <c r="AA32" s="41">
        <v>9</v>
      </c>
      <c r="AB32" s="41">
        <f t="shared" si="33"/>
        <v>39</v>
      </c>
      <c r="AC32" s="59"/>
      <c r="AD32" s="41" t="str">
        <f t="shared" si="34"/>
        <v>F</v>
      </c>
      <c r="AE32" s="41">
        <v>15</v>
      </c>
      <c r="AF32" s="41">
        <v>15</v>
      </c>
      <c r="AG32" s="41">
        <f t="shared" si="35"/>
        <v>30</v>
      </c>
      <c r="AH32" s="59"/>
      <c r="AI32" s="41">
        <f t="shared" si="36"/>
        <v>3.5</v>
      </c>
      <c r="AJ32" s="41">
        <v>30</v>
      </c>
      <c r="AK32" s="41">
        <v>14</v>
      </c>
      <c r="AL32" s="41">
        <f t="shared" si="37"/>
        <v>44</v>
      </c>
      <c r="AM32" s="59"/>
      <c r="AN32" s="41">
        <f t="shared" si="38"/>
        <v>2</v>
      </c>
      <c r="AO32" s="41">
        <v>24</v>
      </c>
      <c r="AP32" s="41">
        <v>16</v>
      </c>
      <c r="AQ32" s="41">
        <f t="shared" si="39"/>
        <v>40</v>
      </c>
      <c r="AR32" s="59"/>
      <c r="AS32" s="41">
        <f t="shared" si="40"/>
        <v>2</v>
      </c>
      <c r="AT32" s="41">
        <v>31</v>
      </c>
      <c r="AU32" s="41">
        <v>16</v>
      </c>
      <c r="AV32" s="41">
        <f t="shared" si="41"/>
        <v>47</v>
      </c>
      <c r="AW32" s="59"/>
      <c r="AX32" s="41">
        <f t="shared" si="42"/>
        <v>2</v>
      </c>
      <c r="AY32" s="41">
        <v>19</v>
      </c>
      <c r="AZ32" s="2">
        <v>9</v>
      </c>
      <c r="BA32" s="41">
        <f t="shared" si="43"/>
        <v>28</v>
      </c>
      <c r="BB32" s="59"/>
      <c r="BC32" s="41" t="str">
        <f t="shared" si="44"/>
        <v>F</v>
      </c>
      <c r="BD32" s="41">
        <v>5</v>
      </c>
      <c r="BE32" s="41">
        <v>3</v>
      </c>
      <c r="BF32" s="41">
        <v>20</v>
      </c>
      <c r="BG32" s="41">
        <f t="shared" si="45"/>
        <v>28</v>
      </c>
      <c r="BH32" s="59"/>
      <c r="BI32" s="41">
        <f t="shared" si="46"/>
        <v>0</v>
      </c>
      <c r="BJ32" s="41" t="str">
        <f t="shared" si="47"/>
        <v>F</v>
      </c>
      <c r="BK32" s="41" t="str">
        <f t="shared" si="48"/>
        <v>F</v>
      </c>
      <c r="BL32" s="42" t="str">
        <f t="shared" si="49"/>
        <v>F</v>
      </c>
      <c r="BM32" s="56" t="str">
        <f t="shared" si="50"/>
        <v>NEED TO PROGRESS</v>
      </c>
      <c r="BN32" s="57"/>
      <c r="BO32" s="41">
        <f t="shared" si="51"/>
        <v>461</v>
      </c>
      <c r="BP32" s="41"/>
      <c r="BQ32" s="25"/>
    </row>
    <row r="33" spans="1:69" s="5" customFormat="1" x14ac:dyDescent="0.25">
      <c r="A33" s="4">
        <v>26</v>
      </c>
      <c r="B33" s="7">
        <v>30</v>
      </c>
      <c r="C33" s="11" t="s">
        <v>155</v>
      </c>
      <c r="D33" s="12" t="s">
        <v>156</v>
      </c>
      <c r="E33" s="12" t="s">
        <v>157</v>
      </c>
      <c r="F33" s="10" t="s">
        <v>158</v>
      </c>
      <c r="G33" s="2">
        <v>28</v>
      </c>
      <c r="H33" s="2">
        <v>15</v>
      </c>
      <c r="I33" s="2">
        <f>G33+H33</f>
        <v>43</v>
      </c>
      <c r="J33" s="2">
        <v>43</v>
      </c>
      <c r="K33" s="2">
        <v>19</v>
      </c>
      <c r="L33" s="2">
        <f t="shared" si="2"/>
        <v>62</v>
      </c>
      <c r="M33" s="2">
        <f t="shared" si="28"/>
        <v>105</v>
      </c>
      <c r="N33" s="59"/>
      <c r="O33" s="2">
        <f t="shared" si="27"/>
        <v>3</v>
      </c>
      <c r="P33" s="2">
        <v>15</v>
      </c>
      <c r="Q33" s="2">
        <v>6</v>
      </c>
      <c r="R33" s="2">
        <f t="shared" si="29"/>
        <v>21</v>
      </c>
      <c r="S33" s="59"/>
      <c r="T33" s="2" t="str">
        <f t="shared" si="30"/>
        <v>F</v>
      </c>
      <c r="U33" s="2">
        <v>0</v>
      </c>
      <c r="V33" s="41">
        <v>15</v>
      </c>
      <c r="W33" s="2">
        <f t="shared" si="31"/>
        <v>15</v>
      </c>
      <c r="X33" s="59"/>
      <c r="Y33" s="2" t="str">
        <f t="shared" si="32"/>
        <v>F</v>
      </c>
      <c r="Z33" s="2">
        <v>26</v>
      </c>
      <c r="AA33" s="2">
        <v>13</v>
      </c>
      <c r="AB33" s="2">
        <f t="shared" si="33"/>
        <v>39</v>
      </c>
      <c r="AC33" s="59"/>
      <c r="AD33" s="2">
        <f t="shared" si="34"/>
        <v>1</v>
      </c>
      <c r="AE33" s="2">
        <v>20</v>
      </c>
      <c r="AF33" s="2">
        <v>20</v>
      </c>
      <c r="AG33" s="2">
        <f t="shared" si="35"/>
        <v>40</v>
      </c>
      <c r="AH33" s="59"/>
      <c r="AI33" s="2">
        <f t="shared" si="36"/>
        <v>5</v>
      </c>
      <c r="AJ33" s="2">
        <v>31</v>
      </c>
      <c r="AK33" s="2">
        <v>19</v>
      </c>
      <c r="AL33" s="2">
        <f t="shared" si="37"/>
        <v>50</v>
      </c>
      <c r="AM33" s="59"/>
      <c r="AN33" s="2">
        <f t="shared" si="38"/>
        <v>3</v>
      </c>
      <c r="AO33" s="2">
        <v>23</v>
      </c>
      <c r="AP33" s="2">
        <v>16</v>
      </c>
      <c r="AQ33" s="2">
        <f t="shared" si="39"/>
        <v>39</v>
      </c>
      <c r="AR33" s="59"/>
      <c r="AS33" s="2">
        <f t="shared" si="40"/>
        <v>1</v>
      </c>
      <c r="AT33" s="2">
        <v>23</v>
      </c>
      <c r="AU33" s="2">
        <v>22</v>
      </c>
      <c r="AV33" s="2">
        <f t="shared" si="41"/>
        <v>45</v>
      </c>
      <c r="AW33" s="59"/>
      <c r="AX33" s="2">
        <f t="shared" si="42"/>
        <v>2</v>
      </c>
      <c r="AY33" s="2">
        <v>7</v>
      </c>
      <c r="AZ33" s="41">
        <v>15</v>
      </c>
      <c r="BA33" s="2">
        <f t="shared" si="43"/>
        <v>22</v>
      </c>
      <c r="BB33" s="59"/>
      <c r="BC33" s="2" t="str">
        <f t="shared" si="44"/>
        <v>F</v>
      </c>
      <c r="BD33" s="2">
        <v>4</v>
      </c>
      <c r="BE33" s="2">
        <v>8</v>
      </c>
      <c r="BF33" s="2">
        <v>20</v>
      </c>
      <c r="BG33" s="2">
        <f t="shared" si="45"/>
        <v>32</v>
      </c>
      <c r="BH33" s="59"/>
      <c r="BI33" s="2">
        <f t="shared" si="46"/>
        <v>0</v>
      </c>
      <c r="BJ33" s="2" t="str">
        <f t="shared" si="47"/>
        <v>F</v>
      </c>
      <c r="BK33" s="2" t="str">
        <f t="shared" si="48"/>
        <v>F</v>
      </c>
      <c r="BL33" s="6" t="str">
        <f t="shared" si="49"/>
        <v>F</v>
      </c>
      <c r="BM33" s="52" t="str">
        <f t="shared" si="50"/>
        <v>NEED TO PROGRESS</v>
      </c>
      <c r="BN33" s="53"/>
      <c r="BO33" s="2">
        <f t="shared" si="51"/>
        <v>408</v>
      </c>
      <c r="BP33" s="2"/>
      <c r="BQ33" s="4"/>
    </row>
    <row r="34" spans="1:69" s="5" customFormat="1" x14ac:dyDescent="0.25">
      <c r="A34" s="4">
        <v>27</v>
      </c>
      <c r="B34" s="13">
        <v>33</v>
      </c>
      <c r="C34" s="22" t="s">
        <v>159</v>
      </c>
      <c r="D34" s="15" t="s">
        <v>160</v>
      </c>
      <c r="E34" s="15" t="s">
        <v>161</v>
      </c>
      <c r="F34" s="16" t="s">
        <v>185</v>
      </c>
      <c r="G34" s="2">
        <v>45</v>
      </c>
      <c r="H34" s="2">
        <v>18</v>
      </c>
      <c r="I34" s="2">
        <f t="shared" si="1"/>
        <v>63</v>
      </c>
      <c r="J34" s="2">
        <v>50</v>
      </c>
      <c r="K34" s="2">
        <v>23</v>
      </c>
      <c r="L34" s="2">
        <f t="shared" si="2"/>
        <v>73</v>
      </c>
      <c r="M34" s="2">
        <f t="shared" si="28"/>
        <v>136</v>
      </c>
      <c r="N34" s="59"/>
      <c r="O34" s="2">
        <f t="shared" si="27"/>
        <v>3.5</v>
      </c>
      <c r="P34" s="2">
        <v>43</v>
      </c>
      <c r="Q34" s="2">
        <v>34</v>
      </c>
      <c r="R34" s="2">
        <f t="shared" si="29"/>
        <v>77</v>
      </c>
      <c r="S34" s="59"/>
      <c r="T34" s="2">
        <f t="shared" si="30"/>
        <v>1</v>
      </c>
      <c r="U34" s="2">
        <v>33</v>
      </c>
      <c r="V34" s="2">
        <v>17</v>
      </c>
      <c r="W34" s="2">
        <f t="shared" si="31"/>
        <v>50</v>
      </c>
      <c r="X34" s="59"/>
      <c r="Y34" s="2">
        <f t="shared" si="32"/>
        <v>3</v>
      </c>
      <c r="Z34" s="2">
        <v>63</v>
      </c>
      <c r="AA34" s="2">
        <v>19</v>
      </c>
      <c r="AB34" s="2">
        <f t="shared" si="33"/>
        <v>82</v>
      </c>
      <c r="AC34" s="59"/>
      <c r="AD34" s="2">
        <f t="shared" si="34"/>
        <v>5</v>
      </c>
      <c r="AE34" s="2">
        <v>16</v>
      </c>
      <c r="AF34" s="2">
        <v>16</v>
      </c>
      <c r="AG34" s="2">
        <f t="shared" si="35"/>
        <v>32</v>
      </c>
      <c r="AH34" s="59"/>
      <c r="AI34" s="2">
        <f t="shared" si="36"/>
        <v>3.5</v>
      </c>
      <c r="AJ34" s="2">
        <v>54</v>
      </c>
      <c r="AK34" s="2">
        <v>13</v>
      </c>
      <c r="AL34" s="2">
        <f t="shared" si="37"/>
        <v>67</v>
      </c>
      <c r="AM34" s="59"/>
      <c r="AN34" s="2">
        <f t="shared" si="38"/>
        <v>3.5</v>
      </c>
      <c r="AO34" s="2">
        <v>45</v>
      </c>
      <c r="AP34" s="2">
        <v>15</v>
      </c>
      <c r="AQ34" s="2">
        <f t="shared" si="39"/>
        <v>60</v>
      </c>
      <c r="AR34" s="59"/>
      <c r="AS34" s="2">
        <f t="shared" si="40"/>
        <v>3.5</v>
      </c>
      <c r="AT34" s="2">
        <v>46</v>
      </c>
      <c r="AU34" s="2">
        <v>11</v>
      </c>
      <c r="AV34" s="2">
        <f t="shared" si="41"/>
        <v>57</v>
      </c>
      <c r="AW34" s="59"/>
      <c r="AX34" s="2">
        <f t="shared" si="42"/>
        <v>3</v>
      </c>
      <c r="AY34" s="2">
        <v>26</v>
      </c>
      <c r="AZ34" s="2">
        <v>12</v>
      </c>
      <c r="BA34" s="2">
        <f t="shared" si="43"/>
        <v>38</v>
      </c>
      <c r="BB34" s="59"/>
      <c r="BC34" s="2">
        <f t="shared" si="44"/>
        <v>1</v>
      </c>
      <c r="BD34" s="2">
        <v>44</v>
      </c>
      <c r="BE34" s="2">
        <v>15</v>
      </c>
      <c r="BF34" s="2">
        <v>23</v>
      </c>
      <c r="BG34" s="2">
        <f t="shared" si="45"/>
        <v>82</v>
      </c>
      <c r="BH34" s="59"/>
      <c r="BI34" s="2">
        <f t="shared" si="46"/>
        <v>5</v>
      </c>
      <c r="BJ34" s="2">
        <f t="shared" si="47"/>
        <v>5</v>
      </c>
      <c r="BK34" s="2">
        <f t="shared" si="48"/>
        <v>30</v>
      </c>
      <c r="BL34" s="6">
        <f t="shared" si="49"/>
        <v>3.3333333333333335</v>
      </c>
      <c r="BM34" s="52" t="str">
        <f t="shared" si="50"/>
        <v>GOOD</v>
      </c>
      <c r="BN34" s="53"/>
      <c r="BO34" s="2">
        <f t="shared" si="51"/>
        <v>681</v>
      </c>
      <c r="BP34" s="2"/>
      <c r="BQ34" s="4"/>
    </row>
    <row r="35" spans="1:69" s="43" customFormat="1" x14ac:dyDescent="0.25">
      <c r="A35" s="4">
        <v>28</v>
      </c>
      <c r="B35" s="13">
        <v>34</v>
      </c>
      <c r="C35" s="14" t="s">
        <v>162</v>
      </c>
      <c r="D35" s="15" t="s">
        <v>163</v>
      </c>
      <c r="E35" s="15" t="s">
        <v>164</v>
      </c>
      <c r="F35" s="16" t="s">
        <v>184</v>
      </c>
      <c r="G35" s="41">
        <v>46</v>
      </c>
      <c r="H35" s="41">
        <v>18</v>
      </c>
      <c r="I35" s="41">
        <f t="shared" si="1"/>
        <v>64</v>
      </c>
      <c r="J35" s="41">
        <v>52</v>
      </c>
      <c r="K35" s="41">
        <v>22</v>
      </c>
      <c r="L35" s="41">
        <f t="shared" si="2"/>
        <v>74</v>
      </c>
      <c r="M35" s="41">
        <f t="shared" si="28"/>
        <v>138</v>
      </c>
      <c r="N35" s="59"/>
      <c r="O35" s="41">
        <f t="shared" si="27"/>
        <v>3.5</v>
      </c>
      <c r="P35" s="41">
        <v>38</v>
      </c>
      <c r="Q35" s="41">
        <v>43</v>
      </c>
      <c r="R35" s="41">
        <f t="shared" si="29"/>
        <v>81</v>
      </c>
      <c r="S35" s="59"/>
      <c r="T35" s="41">
        <f t="shared" si="30"/>
        <v>2</v>
      </c>
      <c r="U35" s="41">
        <v>40</v>
      </c>
      <c r="V35" s="2">
        <v>22</v>
      </c>
      <c r="W35" s="41">
        <f t="shared" si="31"/>
        <v>62</v>
      </c>
      <c r="X35" s="59"/>
      <c r="Y35" s="41">
        <f t="shared" si="32"/>
        <v>3.5</v>
      </c>
      <c r="Z35" s="41">
        <v>63</v>
      </c>
      <c r="AA35" s="41">
        <v>17</v>
      </c>
      <c r="AB35" s="41">
        <f t="shared" si="33"/>
        <v>80</v>
      </c>
      <c r="AC35" s="59"/>
      <c r="AD35" s="41">
        <f t="shared" si="34"/>
        <v>5</v>
      </c>
      <c r="AE35" s="41">
        <v>19</v>
      </c>
      <c r="AF35" s="41">
        <v>19</v>
      </c>
      <c r="AG35" s="41">
        <f t="shared" si="35"/>
        <v>38</v>
      </c>
      <c r="AH35" s="59"/>
      <c r="AI35" s="41">
        <f t="shared" si="36"/>
        <v>4</v>
      </c>
      <c r="AJ35" s="41">
        <v>56</v>
      </c>
      <c r="AK35" s="41">
        <v>19</v>
      </c>
      <c r="AL35" s="41">
        <f t="shared" si="37"/>
        <v>75</v>
      </c>
      <c r="AM35" s="59"/>
      <c r="AN35" s="41">
        <f t="shared" si="38"/>
        <v>4</v>
      </c>
      <c r="AO35" s="41">
        <v>58</v>
      </c>
      <c r="AP35" s="41">
        <v>16</v>
      </c>
      <c r="AQ35" s="41">
        <f t="shared" si="39"/>
        <v>74</v>
      </c>
      <c r="AR35" s="59"/>
      <c r="AS35" s="41">
        <f t="shared" si="40"/>
        <v>4</v>
      </c>
      <c r="AT35" s="41">
        <v>60</v>
      </c>
      <c r="AU35" s="41">
        <v>12</v>
      </c>
      <c r="AV35" s="41">
        <f t="shared" si="41"/>
        <v>72</v>
      </c>
      <c r="AW35" s="59"/>
      <c r="AX35" s="41">
        <f t="shared" si="42"/>
        <v>4</v>
      </c>
      <c r="AY35" s="41">
        <v>31</v>
      </c>
      <c r="AZ35" s="2">
        <v>17</v>
      </c>
      <c r="BA35" s="41">
        <f t="shared" si="43"/>
        <v>48</v>
      </c>
      <c r="BB35" s="59"/>
      <c r="BC35" s="41">
        <f t="shared" si="44"/>
        <v>2</v>
      </c>
      <c r="BD35" s="41">
        <v>43</v>
      </c>
      <c r="BE35" s="41">
        <v>14</v>
      </c>
      <c r="BF35" s="41">
        <v>23</v>
      </c>
      <c r="BG35" s="41">
        <f t="shared" si="45"/>
        <v>80</v>
      </c>
      <c r="BH35" s="59"/>
      <c r="BI35" s="41">
        <f t="shared" si="46"/>
        <v>5</v>
      </c>
      <c r="BJ35" s="41">
        <f t="shared" si="47"/>
        <v>5</v>
      </c>
      <c r="BK35" s="41">
        <f t="shared" si="48"/>
        <v>35</v>
      </c>
      <c r="BL35" s="42">
        <f t="shared" si="49"/>
        <v>3.8888888888888888</v>
      </c>
      <c r="BM35" s="56" t="str">
        <f t="shared" si="50"/>
        <v>GOOD</v>
      </c>
      <c r="BN35" s="57"/>
      <c r="BO35" s="41">
        <f t="shared" si="51"/>
        <v>748</v>
      </c>
      <c r="BP35" s="41"/>
      <c r="BQ35" s="25"/>
    </row>
    <row r="36" spans="1:69" s="5" customFormat="1" x14ac:dyDescent="0.25">
      <c r="A36" s="4">
        <v>29</v>
      </c>
      <c r="B36" s="13">
        <v>35</v>
      </c>
      <c r="C36" s="14" t="s">
        <v>165</v>
      </c>
      <c r="D36" s="15" t="s">
        <v>166</v>
      </c>
      <c r="E36" s="15" t="s">
        <v>167</v>
      </c>
      <c r="F36" s="16" t="s">
        <v>183</v>
      </c>
      <c r="G36" s="2">
        <v>34</v>
      </c>
      <c r="H36" s="2">
        <v>17</v>
      </c>
      <c r="I36" s="2">
        <f t="shared" si="1"/>
        <v>51</v>
      </c>
      <c r="J36" s="2">
        <v>49</v>
      </c>
      <c r="K36" s="2">
        <v>19</v>
      </c>
      <c r="L36" s="2">
        <f t="shared" si="2"/>
        <v>68</v>
      </c>
      <c r="M36" s="2">
        <f t="shared" si="28"/>
        <v>119</v>
      </c>
      <c r="N36" s="59"/>
      <c r="O36" s="2">
        <f t="shared" si="27"/>
        <v>3</v>
      </c>
      <c r="P36" s="2">
        <v>43</v>
      </c>
      <c r="Q36" s="2">
        <v>43</v>
      </c>
      <c r="R36" s="2">
        <f t="shared" si="29"/>
        <v>86</v>
      </c>
      <c r="S36" s="59"/>
      <c r="T36" s="2">
        <f t="shared" si="30"/>
        <v>2</v>
      </c>
      <c r="U36" s="2">
        <v>41</v>
      </c>
      <c r="V36" s="41">
        <v>19</v>
      </c>
      <c r="W36" s="2">
        <f t="shared" si="31"/>
        <v>60</v>
      </c>
      <c r="X36" s="59"/>
      <c r="Y36" s="2">
        <f t="shared" si="32"/>
        <v>3.5</v>
      </c>
      <c r="Z36" s="2">
        <v>38</v>
      </c>
      <c r="AA36" s="2">
        <v>14</v>
      </c>
      <c r="AB36" s="2">
        <f t="shared" si="33"/>
        <v>52</v>
      </c>
      <c r="AC36" s="59"/>
      <c r="AD36" s="2">
        <f t="shared" si="34"/>
        <v>3</v>
      </c>
      <c r="AE36" s="2">
        <v>19</v>
      </c>
      <c r="AF36" s="2">
        <v>19</v>
      </c>
      <c r="AG36" s="2">
        <f t="shared" si="35"/>
        <v>38</v>
      </c>
      <c r="AH36" s="59"/>
      <c r="AI36" s="2">
        <f t="shared" si="36"/>
        <v>4</v>
      </c>
      <c r="AJ36" s="2">
        <v>43</v>
      </c>
      <c r="AK36" s="2">
        <v>10</v>
      </c>
      <c r="AL36" s="2">
        <f t="shared" si="37"/>
        <v>53</v>
      </c>
      <c r="AM36" s="59"/>
      <c r="AN36" s="2">
        <f t="shared" si="38"/>
        <v>3</v>
      </c>
      <c r="AO36" s="2">
        <v>37</v>
      </c>
      <c r="AP36" s="2">
        <v>16</v>
      </c>
      <c r="AQ36" s="2">
        <f t="shared" si="39"/>
        <v>53</v>
      </c>
      <c r="AR36" s="59"/>
      <c r="AS36" s="2">
        <f t="shared" si="40"/>
        <v>3</v>
      </c>
      <c r="AT36" s="2">
        <v>46</v>
      </c>
      <c r="AU36" s="2">
        <v>16</v>
      </c>
      <c r="AV36" s="2">
        <f t="shared" si="41"/>
        <v>62</v>
      </c>
      <c r="AW36" s="59"/>
      <c r="AX36" s="2">
        <f t="shared" si="42"/>
        <v>3.5</v>
      </c>
      <c r="AY36" s="2">
        <v>23</v>
      </c>
      <c r="AZ36" s="41">
        <v>13</v>
      </c>
      <c r="BA36" s="2">
        <f t="shared" si="43"/>
        <v>36</v>
      </c>
      <c r="BB36" s="59"/>
      <c r="BC36" s="2">
        <f t="shared" si="44"/>
        <v>1</v>
      </c>
      <c r="BD36" s="2">
        <v>0</v>
      </c>
      <c r="BE36" s="2">
        <v>0</v>
      </c>
      <c r="BF36" s="2">
        <v>0</v>
      </c>
      <c r="BG36" s="2">
        <f t="shared" si="45"/>
        <v>0</v>
      </c>
      <c r="BH36" s="59"/>
      <c r="BI36" s="2">
        <f t="shared" si="46"/>
        <v>0</v>
      </c>
      <c r="BJ36" s="2" t="str">
        <f t="shared" si="47"/>
        <v>F</v>
      </c>
      <c r="BK36" s="2">
        <f t="shared" si="48"/>
        <v>26</v>
      </c>
      <c r="BL36" s="6">
        <f t="shared" si="49"/>
        <v>2.8888888888888888</v>
      </c>
      <c r="BM36" s="52" t="str">
        <f t="shared" si="50"/>
        <v>GOOD</v>
      </c>
      <c r="BN36" s="53"/>
      <c r="BO36" s="2">
        <f t="shared" si="51"/>
        <v>559</v>
      </c>
      <c r="BP36" s="2"/>
      <c r="BQ36" s="4"/>
    </row>
    <row r="37" spans="1:69" s="5" customFormat="1" x14ac:dyDescent="0.25">
      <c r="A37" s="4">
        <v>30</v>
      </c>
      <c r="B37" s="13">
        <v>36</v>
      </c>
      <c r="C37" s="14" t="s">
        <v>168</v>
      </c>
      <c r="D37" s="15" t="s">
        <v>169</v>
      </c>
      <c r="E37" s="15" t="s">
        <v>170</v>
      </c>
      <c r="F37" s="16" t="s">
        <v>182</v>
      </c>
      <c r="G37" s="2">
        <v>35</v>
      </c>
      <c r="H37" s="2">
        <v>16</v>
      </c>
      <c r="I37" s="2">
        <f>G37+H37</f>
        <v>51</v>
      </c>
      <c r="J37" s="2">
        <v>47</v>
      </c>
      <c r="K37" s="2">
        <v>19</v>
      </c>
      <c r="L37" s="2">
        <f t="shared" si="2"/>
        <v>66</v>
      </c>
      <c r="M37" s="2">
        <f t="shared" si="28"/>
        <v>117</v>
      </c>
      <c r="N37" s="59"/>
      <c r="O37" s="2">
        <f t="shared" si="27"/>
        <v>3</v>
      </c>
      <c r="P37" s="2">
        <v>42</v>
      </c>
      <c r="Q37" s="2">
        <v>48</v>
      </c>
      <c r="R37" s="2">
        <f t="shared" si="29"/>
        <v>90</v>
      </c>
      <c r="S37" s="59"/>
      <c r="T37" s="2">
        <f t="shared" si="30"/>
        <v>2</v>
      </c>
      <c r="U37" s="2">
        <v>44</v>
      </c>
      <c r="V37" s="2">
        <v>18</v>
      </c>
      <c r="W37" s="2">
        <f t="shared" si="31"/>
        <v>62</v>
      </c>
      <c r="X37" s="59"/>
      <c r="Y37" s="2">
        <f t="shared" si="32"/>
        <v>3.5</v>
      </c>
      <c r="Z37" s="2">
        <v>36</v>
      </c>
      <c r="AA37" s="2">
        <v>15</v>
      </c>
      <c r="AB37" s="2">
        <f t="shared" si="33"/>
        <v>51</v>
      </c>
      <c r="AC37" s="59"/>
      <c r="AD37" s="2">
        <f t="shared" si="34"/>
        <v>3</v>
      </c>
      <c r="AE37" s="2">
        <v>15</v>
      </c>
      <c r="AF37" s="2">
        <v>15</v>
      </c>
      <c r="AG37" s="2">
        <f t="shared" si="35"/>
        <v>30</v>
      </c>
      <c r="AH37" s="59"/>
      <c r="AI37" s="2">
        <f t="shared" si="36"/>
        <v>3.5</v>
      </c>
      <c r="AJ37" s="2">
        <v>0</v>
      </c>
      <c r="AK37" s="2">
        <v>0</v>
      </c>
      <c r="AL37" s="2">
        <f t="shared" si="37"/>
        <v>0</v>
      </c>
      <c r="AM37" s="59"/>
      <c r="AN37" s="2" t="str">
        <f t="shared" si="38"/>
        <v>F</v>
      </c>
      <c r="AO37" s="2">
        <v>36</v>
      </c>
      <c r="AP37" s="2">
        <v>16</v>
      </c>
      <c r="AQ37" s="2">
        <f t="shared" si="39"/>
        <v>52</v>
      </c>
      <c r="AR37" s="59"/>
      <c r="AS37" s="2">
        <f t="shared" si="40"/>
        <v>3</v>
      </c>
      <c r="AT37" s="2">
        <v>43</v>
      </c>
      <c r="AU37" s="2">
        <v>12</v>
      </c>
      <c r="AV37" s="2">
        <f t="shared" si="41"/>
        <v>55</v>
      </c>
      <c r="AW37" s="59"/>
      <c r="AX37" s="2">
        <f t="shared" si="42"/>
        <v>3</v>
      </c>
      <c r="AY37" s="2">
        <v>32</v>
      </c>
      <c r="AZ37" s="2">
        <v>15</v>
      </c>
      <c r="BA37" s="2">
        <f t="shared" si="43"/>
        <v>47</v>
      </c>
      <c r="BB37" s="59"/>
      <c r="BC37" s="2">
        <f t="shared" si="44"/>
        <v>2</v>
      </c>
      <c r="BD37" s="2">
        <v>30</v>
      </c>
      <c r="BE37" s="2">
        <v>0</v>
      </c>
      <c r="BF37" s="2">
        <v>20</v>
      </c>
      <c r="BG37" s="2">
        <f t="shared" si="45"/>
        <v>50</v>
      </c>
      <c r="BH37" s="59"/>
      <c r="BI37" s="2">
        <f t="shared" si="46"/>
        <v>0</v>
      </c>
      <c r="BJ37" s="2" t="str">
        <f t="shared" si="47"/>
        <v>F</v>
      </c>
      <c r="BK37" s="2" t="str">
        <f t="shared" si="48"/>
        <v>F</v>
      </c>
      <c r="BL37" s="6" t="str">
        <f t="shared" si="49"/>
        <v>F</v>
      </c>
      <c r="BM37" s="52" t="str">
        <f t="shared" si="50"/>
        <v>NEED TO PROGRESS</v>
      </c>
      <c r="BN37" s="53"/>
      <c r="BO37" s="2">
        <f t="shared" si="51"/>
        <v>554</v>
      </c>
      <c r="BP37" s="2"/>
      <c r="BQ37" s="4"/>
    </row>
    <row r="38" spans="1:69" s="5" customFormat="1" x14ac:dyDescent="0.25">
      <c r="A38" s="4">
        <v>31</v>
      </c>
      <c r="B38" s="13">
        <v>37</v>
      </c>
      <c r="C38" s="14" t="s">
        <v>171</v>
      </c>
      <c r="D38" s="15" t="s">
        <v>172</v>
      </c>
      <c r="E38" s="15" t="s">
        <v>173</v>
      </c>
      <c r="F38" s="16" t="s">
        <v>181</v>
      </c>
      <c r="G38" s="2">
        <v>28</v>
      </c>
      <c r="H38" s="2">
        <v>17</v>
      </c>
      <c r="I38" s="2">
        <f t="shared" si="1"/>
        <v>45</v>
      </c>
      <c r="J38" s="2">
        <v>28</v>
      </c>
      <c r="K38" s="2">
        <v>17</v>
      </c>
      <c r="L38" s="2">
        <f t="shared" si="2"/>
        <v>45</v>
      </c>
      <c r="M38" s="2">
        <f t="shared" si="28"/>
        <v>90</v>
      </c>
      <c r="N38" s="59"/>
      <c r="O38" s="2">
        <f t="shared" si="27"/>
        <v>2</v>
      </c>
      <c r="P38" s="2">
        <v>21</v>
      </c>
      <c r="Q38" s="2">
        <v>14</v>
      </c>
      <c r="R38" s="2">
        <f t="shared" si="29"/>
        <v>35</v>
      </c>
      <c r="S38" s="59"/>
      <c r="T38" s="2" t="str">
        <f t="shared" si="30"/>
        <v>F</v>
      </c>
      <c r="U38" s="2">
        <v>6</v>
      </c>
      <c r="V38" s="2">
        <v>15</v>
      </c>
      <c r="W38" s="2">
        <f t="shared" si="31"/>
        <v>21</v>
      </c>
      <c r="X38" s="59"/>
      <c r="Y38" s="2" t="str">
        <f t="shared" si="32"/>
        <v>F</v>
      </c>
      <c r="Z38" s="2">
        <v>25</v>
      </c>
      <c r="AA38" s="2">
        <v>13</v>
      </c>
      <c r="AB38" s="2">
        <f t="shared" si="33"/>
        <v>38</v>
      </c>
      <c r="AC38" s="59"/>
      <c r="AD38" s="2">
        <f t="shared" si="34"/>
        <v>1</v>
      </c>
      <c r="AE38" s="2">
        <v>20</v>
      </c>
      <c r="AF38" s="2">
        <v>20</v>
      </c>
      <c r="AG38" s="2">
        <f t="shared" si="35"/>
        <v>40</v>
      </c>
      <c r="AH38" s="59"/>
      <c r="AI38" s="2">
        <f t="shared" si="36"/>
        <v>5</v>
      </c>
      <c r="AJ38" s="2">
        <v>20</v>
      </c>
      <c r="AK38" s="2">
        <v>14</v>
      </c>
      <c r="AL38" s="2">
        <f t="shared" si="37"/>
        <v>34</v>
      </c>
      <c r="AM38" s="59"/>
      <c r="AN38" s="2" t="str">
        <f t="shared" si="38"/>
        <v>F</v>
      </c>
      <c r="AO38" s="2">
        <v>0</v>
      </c>
      <c r="AP38" s="2">
        <v>0</v>
      </c>
      <c r="AQ38" s="2">
        <f t="shared" si="39"/>
        <v>0</v>
      </c>
      <c r="AR38" s="59"/>
      <c r="AS38" s="2" t="str">
        <f t="shared" si="40"/>
        <v>F</v>
      </c>
      <c r="AT38" s="2">
        <v>18</v>
      </c>
      <c r="AU38" s="2">
        <v>21</v>
      </c>
      <c r="AV38" s="2">
        <f t="shared" si="41"/>
        <v>39</v>
      </c>
      <c r="AW38" s="59"/>
      <c r="AX38" s="2" t="str">
        <f t="shared" si="42"/>
        <v>F</v>
      </c>
      <c r="AY38" s="2">
        <v>2</v>
      </c>
      <c r="AZ38" s="2">
        <v>7</v>
      </c>
      <c r="BA38" s="2">
        <f t="shared" si="43"/>
        <v>9</v>
      </c>
      <c r="BB38" s="59"/>
      <c r="BC38" s="2" t="str">
        <f t="shared" si="44"/>
        <v>F</v>
      </c>
      <c r="BD38" s="2">
        <v>8</v>
      </c>
      <c r="BE38" s="2">
        <v>9</v>
      </c>
      <c r="BF38" s="2">
        <v>20</v>
      </c>
      <c r="BG38" s="2">
        <f t="shared" si="45"/>
        <v>37</v>
      </c>
      <c r="BH38" s="59"/>
      <c r="BI38" s="2">
        <f t="shared" si="46"/>
        <v>0</v>
      </c>
      <c r="BJ38" s="2" t="str">
        <f t="shared" si="47"/>
        <v>F</v>
      </c>
      <c r="BK38" s="2" t="str">
        <f t="shared" si="48"/>
        <v>F</v>
      </c>
      <c r="BL38" s="6" t="str">
        <f t="shared" si="49"/>
        <v>F</v>
      </c>
      <c r="BM38" s="52" t="str">
        <f t="shared" si="50"/>
        <v>NEED TO PROGRESS</v>
      </c>
      <c r="BN38" s="53"/>
      <c r="BO38" s="2">
        <f t="shared" si="51"/>
        <v>343</v>
      </c>
      <c r="BP38" s="2"/>
      <c r="BQ38" s="4"/>
    </row>
    <row r="39" spans="1:69" s="5" customFormat="1" x14ac:dyDescent="0.25">
      <c r="A39" s="4">
        <v>32</v>
      </c>
      <c r="B39" s="13">
        <v>38</v>
      </c>
      <c r="C39" s="14" t="s">
        <v>174</v>
      </c>
      <c r="D39" s="15" t="s">
        <v>175</v>
      </c>
      <c r="E39" s="15" t="s">
        <v>176</v>
      </c>
      <c r="F39" s="16" t="s">
        <v>180</v>
      </c>
      <c r="G39" s="2">
        <v>36</v>
      </c>
      <c r="H39" s="2">
        <v>17</v>
      </c>
      <c r="I39" s="2">
        <f t="shared" si="1"/>
        <v>53</v>
      </c>
      <c r="J39" s="2">
        <v>43</v>
      </c>
      <c r="K39" s="2">
        <v>15</v>
      </c>
      <c r="L39" s="2">
        <f t="shared" si="2"/>
        <v>58</v>
      </c>
      <c r="M39" s="2">
        <f t="shared" si="28"/>
        <v>111</v>
      </c>
      <c r="N39" s="59"/>
      <c r="O39" s="2">
        <f t="shared" si="27"/>
        <v>3</v>
      </c>
      <c r="P39" s="2">
        <v>40</v>
      </c>
      <c r="Q39" s="2">
        <v>41</v>
      </c>
      <c r="R39" s="2">
        <f t="shared" si="29"/>
        <v>81</v>
      </c>
      <c r="S39" s="59"/>
      <c r="T39" s="2">
        <f t="shared" si="30"/>
        <v>2</v>
      </c>
      <c r="U39" s="2">
        <v>14</v>
      </c>
      <c r="V39" s="2">
        <v>11</v>
      </c>
      <c r="W39" s="2">
        <f t="shared" si="31"/>
        <v>25</v>
      </c>
      <c r="X39" s="59"/>
      <c r="Y39" s="2" t="str">
        <f t="shared" si="32"/>
        <v>F</v>
      </c>
      <c r="Z39" s="2">
        <v>39</v>
      </c>
      <c r="AA39" s="2">
        <v>19</v>
      </c>
      <c r="AB39" s="2">
        <f t="shared" si="33"/>
        <v>58</v>
      </c>
      <c r="AC39" s="59"/>
      <c r="AD39" s="2">
        <f t="shared" si="34"/>
        <v>3</v>
      </c>
      <c r="AE39" s="2">
        <v>8</v>
      </c>
      <c r="AF39" s="2">
        <v>10</v>
      </c>
      <c r="AG39" s="2">
        <f t="shared" si="35"/>
        <v>18</v>
      </c>
      <c r="AH39" s="59"/>
      <c r="AI39" s="2">
        <f t="shared" si="36"/>
        <v>1</v>
      </c>
      <c r="AJ39" s="2">
        <v>40</v>
      </c>
      <c r="AK39" s="2">
        <v>12</v>
      </c>
      <c r="AL39" s="2">
        <f t="shared" si="37"/>
        <v>52</v>
      </c>
      <c r="AM39" s="59"/>
      <c r="AN39" s="2">
        <f t="shared" si="38"/>
        <v>3</v>
      </c>
      <c r="AO39" s="2">
        <v>33</v>
      </c>
      <c r="AP39" s="2">
        <v>10</v>
      </c>
      <c r="AQ39" s="2">
        <f t="shared" si="39"/>
        <v>43</v>
      </c>
      <c r="AR39" s="59"/>
      <c r="AS39" s="2">
        <f t="shared" si="40"/>
        <v>2</v>
      </c>
      <c r="AT39" s="2">
        <v>37</v>
      </c>
      <c r="AU39" s="2">
        <v>11</v>
      </c>
      <c r="AV39" s="2">
        <f t="shared" si="41"/>
        <v>48</v>
      </c>
      <c r="AW39" s="59"/>
      <c r="AX39" s="2">
        <f t="shared" si="42"/>
        <v>2</v>
      </c>
      <c r="AY39" s="2">
        <v>13</v>
      </c>
      <c r="AZ39" s="2">
        <v>13</v>
      </c>
      <c r="BA39" s="2">
        <f t="shared" si="43"/>
        <v>26</v>
      </c>
      <c r="BB39" s="59"/>
      <c r="BC39" s="2" t="str">
        <f t="shared" si="44"/>
        <v>F</v>
      </c>
      <c r="BD39" s="2">
        <v>20</v>
      </c>
      <c r="BE39" s="2">
        <v>0</v>
      </c>
      <c r="BF39" s="2">
        <v>0</v>
      </c>
      <c r="BG39" s="2">
        <f t="shared" si="45"/>
        <v>20</v>
      </c>
      <c r="BH39" s="59"/>
      <c r="BI39" s="2">
        <f t="shared" si="46"/>
        <v>0</v>
      </c>
      <c r="BJ39" s="2" t="str">
        <f t="shared" si="47"/>
        <v>F</v>
      </c>
      <c r="BK39" s="2" t="str">
        <f t="shared" si="48"/>
        <v>F</v>
      </c>
      <c r="BL39" s="6" t="str">
        <f t="shared" si="49"/>
        <v>F</v>
      </c>
      <c r="BM39" s="52" t="str">
        <f t="shared" si="50"/>
        <v>NEED TO PROGRESS</v>
      </c>
      <c r="BN39" s="53"/>
      <c r="BO39" s="2">
        <f t="shared" si="51"/>
        <v>482</v>
      </c>
      <c r="BP39" s="2"/>
      <c r="BQ39" s="4"/>
    </row>
    <row r="40" spans="1:69" s="5" customFormat="1" x14ac:dyDescent="0.25">
      <c r="A40" s="4">
        <v>33</v>
      </c>
      <c r="B40" s="13">
        <v>39</v>
      </c>
      <c r="C40" s="14" t="s">
        <v>200</v>
      </c>
      <c r="D40" s="15" t="s">
        <v>177</v>
      </c>
      <c r="E40" s="15" t="s">
        <v>178</v>
      </c>
      <c r="F40" s="16" t="s">
        <v>179</v>
      </c>
      <c r="G40" s="2">
        <v>28</v>
      </c>
      <c r="H40" s="2">
        <v>20</v>
      </c>
      <c r="I40" s="2">
        <f t="shared" si="1"/>
        <v>48</v>
      </c>
      <c r="J40" s="2">
        <v>29</v>
      </c>
      <c r="K40" s="2">
        <v>20</v>
      </c>
      <c r="L40" s="2">
        <f t="shared" si="2"/>
        <v>49</v>
      </c>
      <c r="M40" s="2">
        <f t="shared" si="28"/>
        <v>97</v>
      </c>
      <c r="N40" s="59"/>
      <c r="O40" s="2">
        <f t="shared" si="27"/>
        <v>2</v>
      </c>
      <c r="P40" s="2">
        <v>48</v>
      </c>
      <c r="Q40" s="2">
        <v>38</v>
      </c>
      <c r="R40" s="2">
        <f t="shared" si="29"/>
        <v>86</v>
      </c>
      <c r="S40" s="59"/>
      <c r="T40" s="2">
        <f t="shared" si="30"/>
        <v>2</v>
      </c>
      <c r="U40" s="2">
        <v>29</v>
      </c>
      <c r="V40" s="2">
        <v>19</v>
      </c>
      <c r="W40" s="2">
        <f t="shared" si="31"/>
        <v>48</v>
      </c>
      <c r="X40" s="59"/>
      <c r="Y40" s="2">
        <f t="shared" si="32"/>
        <v>2</v>
      </c>
      <c r="Z40" s="2">
        <v>25</v>
      </c>
      <c r="AA40" s="2">
        <v>20</v>
      </c>
      <c r="AB40" s="2">
        <f t="shared" si="33"/>
        <v>45</v>
      </c>
      <c r="AC40" s="59"/>
      <c r="AD40" s="2">
        <f t="shared" si="34"/>
        <v>2</v>
      </c>
      <c r="AE40" s="2">
        <v>22</v>
      </c>
      <c r="AF40" s="2">
        <v>22</v>
      </c>
      <c r="AG40" s="2">
        <f t="shared" si="35"/>
        <v>44</v>
      </c>
      <c r="AH40" s="59"/>
      <c r="AI40" s="2">
        <f t="shared" si="36"/>
        <v>5</v>
      </c>
      <c r="AJ40" s="2">
        <v>36</v>
      </c>
      <c r="AK40" s="2">
        <v>22</v>
      </c>
      <c r="AL40" s="2">
        <f t="shared" si="37"/>
        <v>58</v>
      </c>
      <c r="AM40" s="59"/>
      <c r="AN40" s="2">
        <f t="shared" si="38"/>
        <v>3</v>
      </c>
      <c r="AO40" s="2">
        <v>39</v>
      </c>
      <c r="AP40" s="2">
        <v>20</v>
      </c>
      <c r="AQ40" s="2">
        <f t="shared" si="39"/>
        <v>59</v>
      </c>
      <c r="AR40" s="59"/>
      <c r="AS40" s="2">
        <f t="shared" si="40"/>
        <v>3</v>
      </c>
      <c r="AT40" s="2">
        <v>30</v>
      </c>
      <c r="AU40" s="2">
        <v>18</v>
      </c>
      <c r="AV40" s="2">
        <f t="shared" si="41"/>
        <v>48</v>
      </c>
      <c r="AW40" s="59"/>
      <c r="AX40" s="2">
        <f t="shared" si="42"/>
        <v>2</v>
      </c>
      <c r="AY40" s="2">
        <v>28</v>
      </c>
      <c r="AZ40" s="2">
        <v>15</v>
      </c>
      <c r="BA40" s="2">
        <f t="shared" si="43"/>
        <v>43</v>
      </c>
      <c r="BB40" s="59"/>
      <c r="BC40" s="2">
        <f t="shared" si="44"/>
        <v>2</v>
      </c>
      <c r="BD40" s="2">
        <v>23</v>
      </c>
      <c r="BE40" s="2">
        <v>9</v>
      </c>
      <c r="BF40" s="2">
        <v>20</v>
      </c>
      <c r="BG40" s="2">
        <f t="shared" si="45"/>
        <v>52</v>
      </c>
      <c r="BH40" s="59"/>
      <c r="BI40" s="2">
        <f t="shared" si="46"/>
        <v>3</v>
      </c>
      <c r="BJ40" s="2">
        <f t="shared" si="47"/>
        <v>3</v>
      </c>
      <c r="BK40" s="2">
        <f t="shared" si="48"/>
        <v>24</v>
      </c>
      <c r="BL40" s="6">
        <f t="shared" si="49"/>
        <v>2.6666666666666665</v>
      </c>
      <c r="BM40" s="52" t="str">
        <f t="shared" si="50"/>
        <v>GOOD</v>
      </c>
      <c r="BN40" s="53"/>
      <c r="BO40" s="2">
        <f t="shared" si="51"/>
        <v>580</v>
      </c>
      <c r="BP40" s="2"/>
      <c r="BQ40" s="4"/>
    </row>
    <row r="41" spans="1:69" x14ac:dyDescent="0.25">
      <c r="A41" s="4">
        <v>34</v>
      </c>
      <c r="B41" s="17">
        <v>41</v>
      </c>
      <c r="C41" s="18" t="s">
        <v>196</v>
      </c>
      <c r="D41" s="15"/>
      <c r="E41" s="15"/>
      <c r="F41" s="16"/>
      <c r="G41" s="2">
        <v>28</v>
      </c>
      <c r="H41" s="2">
        <v>19</v>
      </c>
      <c r="I41" s="2">
        <f t="shared" ref="I41" si="52">G41+H41</f>
        <v>47</v>
      </c>
      <c r="J41" s="2">
        <v>33</v>
      </c>
      <c r="K41" s="2">
        <v>17</v>
      </c>
      <c r="L41" s="2">
        <f>J41+K41</f>
        <v>50</v>
      </c>
      <c r="M41" s="2">
        <f t="shared" ref="M41" si="53">I41+L41</f>
        <v>97</v>
      </c>
      <c r="N41" s="60"/>
      <c r="O41" s="2">
        <f t="shared" si="27"/>
        <v>2</v>
      </c>
      <c r="P41" s="2">
        <v>34</v>
      </c>
      <c r="Q41" s="2">
        <v>25</v>
      </c>
      <c r="R41" s="2">
        <f t="shared" ref="R41" si="54">P41+Q41</f>
        <v>59</v>
      </c>
      <c r="S41" s="60"/>
      <c r="T41" s="2" t="str">
        <f t="shared" ref="T41" si="55">IF(R41&lt;66,"F",IF(R41&lt;80,1,IF(R41&lt;100,2,IF(R41&lt;120,3,IF(R41&lt;140,3.5,IF(R41&lt;160,4,5))))))</f>
        <v>F</v>
      </c>
      <c r="U41" s="2">
        <v>23</v>
      </c>
      <c r="V41" s="2">
        <v>18</v>
      </c>
      <c r="W41" s="2">
        <f t="shared" ref="W41" si="56">U41+V41</f>
        <v>41</v>
      </c>
      <c r="X41" s="60"/>
      <c r="Y41" s="2">
        <f t="shared" ref="Y41" si="57">IF(U41&lt;23,"F",IF(V41&lt;10,"F",IF(W41&lt;33,"F",IF(W41&lt;40,1,IF(W41&lt;50,2,IF(W41&lt;60,3,IF(W41&lt;70,3.5,IF(W41&lt;80,4,5))))))))</f>
        <v>2</v>
      </c>
      <c r="Z41" s="2">
        <v>18</v>
      </c>
      <c r="AA41" s="2">
        <v>17</v>
      </c>
      <c r="AB41" s="2">
        <f t="shared" ref="AB41" si="58">Z41+AA41</f>
        <v>35</v>
      </c>
      <c r="AC41" s="60"/>
      <c r="AD41" s="2" t="str">
        <f t="shared" ref="AD41" si="59">IF(Z41&lt;23,"F",IF(AA41&lt;10,"F",IF(AB41&lt;33,"F",IF(AB41&lt;40,1,IF(AB41&lt;50,2,IF(AB41&lt;60,3,IF(AB41&lt;70,3.5,IF(AB41&lt;80,4,5))))))))</f>
        <v>F</v>
      </c>
      <c r="AE41" s="2">
        <v>17</v>
      </c>
      <c r="AF41" s="2">
        <v>17</v>
      </c>
      <c r="AG41" s="2">
        <f t="shared" ref="AG41" si="60">AE41+AF41</f>
        <v>34</v>
      </c>
      <c r="AH41" s="60"/>
      <c r="AI41" s="2">
        <f t="shared" ref="AI41" si="61">IF(AE41&lt;8,"F",IF(AF41&lt;9,"F",IF(AG41&lt;17,"F",IF(AG41&lt;20,1,IF(AG41&lt;25,2,IF(AG41&lt;30,3,IF(AG41&lt;35,3.5,IF(AG41&lt;40,4,5))))))))</f>
        <v>3.5</v>
      </c>
      <c r="AJ41" s="2">
        <v>34</v>
      </c>
      <c r="AK41" s="2">
        <v>19</v>
      </c>
      <c r="AL41" s="2">
        <f t="shared" ref="AL41" si="62">AJ41+AK41</f>
        <v>53</v>
      </c>
      <c r="AM41" s="60"/>
      <c r="AN41" s="2">
        <f t="shared" ref="AN41" si="63">IF(AJ41&lt;23,"F",IF(AK41&lt;10,"F",IF(AL41&lt;33,"F",IF(AL41&lt;40,1,IF(AL41&lt;50,2,IF(AL41&lt;60,3,IF(AL41&lt;70,3.5,IF(AL41&lt;80,4,5))))))))</f>
        <v>3</v>
      </c>
      <c r="AO41" s="2">
        <v>25</v>
      </c>
      <c r="AP41" s="2">
        <v>17</v>
      </c>
      <c r="AQ41" s="2">
        <f t="shared" ref="AQ41" si="64">AO41+AP41</f>
        <v>42</v>
      </c>
      <c r="AR41" s="60"/>
      <c r="AS41" s="2">
        <f t="shared" ref="AS41" si="65">IF(AO41&lt;23,"F",IF(AP41&lt;10,"F",IF(AQ41&lt;33,"F",IF(AQ41&lt;40,1,IF(AQ41&lt;50,2,IF(AQ41&lt;60,3,IF(AQ41&lt;70,3.5,IF(AQ41&lt;80,4,5))))))))</f>
        <v>2</v>
      </c>
      <c r="AT41" s="2">
        <v>23</v>
      </c>
      <c r="AU41" s="2">
        <v>18</v>
      </c>
      <c r="AV41" s="2">
        <f t="shared" ref="AV41" si="66">AT41+AU41</f>
        <v>41</v>
      </c>
      <c r="AW41" s="60"/>
      <c r="AX41" s="2">
        <f t="shared" ref="AX41" si="67">IF(AT41&lt;23,"F",IF(AU41&lt;10,"F",IF(AV41&lt;33,"F",IF(AV41&lt;40,1,IF(AV41&lt;50,2,IF(AV41&lt;60,3,IF(AV41&lt;70,3.5,IF(AV41&lt;80,4,5))))))))</f>
        <v>2</v>
      </c>
      <c r="AY41" s="2">
        <v>19</v>
      </c>
      <c r="AZ41" s="2">
        <v>17</v>
      </c>
      <c r="BA41" s="2">
        <f t="shared" ref="BA41" si="68">AY41+AZ41</f>
        <v>36</v>
      </c>
      <c r="BB41" s="60"/>
      <c r="BC41" s="2" t="str">
        <f t="shared" ref="BC41" si="69">IF(AY41&lt;23,"F",IF(AZ41&lt;10,"F",IF(BA41&lt;33,"F",IF(BA41&lt;40,1,IF(BA41&lt;50,2,IF(BA41&lt;60,3,IF(BA41&lt;70,3.5,IF(BA41&lt;80,4,5))))))))</f>
        <v>F</v>
      </c>
      <c r="BD41" s="2">
        <v>11</v>
      </c>
      <c r="BE41" s="2">
        <v>8</v>
      </c>
      <c r="BF41" s="2">
        <v>20</v>
      </c>
      <c r="BG41" s="2">
        <f t="shared" ref="BG41" si="70">BD41+BE41+BF41</f>
        <v>39</v>
      </c>
      <c r="BH41" s="60"/>
      <c r="BI41" s="2">
        <f t="shared" ref="BI41" si="71">IF(BD41&lt;17,0,IF(BE41&lt;8,0,IF(BF41&lt;8,0,IF(BG41&lt;33,0,IF(BG41&lt;40,1,IF(BG41&lt;50,2,IF(BG41&lt;60,3,IF(BG41&lt;70,3.5,IF(BG41&lt;80,4,5)))))))))</f>
        <v>0</v>
      </c>
      <c r="BJ41" s="2" t="str">
        <f t="shared" ref="BJ41" si="72">IF(BD41&lt;17,"F",IF(BE41&lt;8,"F",IF(BF41&lt;8,"F",IF(BG41&lt;33,"F",IF(BG41&lt;40,1,IF(BG41&lt;50,2,IF(BG41&lt;60,3,IF(BG41&lt;70,3.5,IF(BG41&lt;80,4,5)))))))))</f>
        <v>F</v>
      </c>
      <c r="BK41" s="2" t="str">
        <f t="shared" ref="BK41" si="73">IF(O41="F","F",IF(T41="F","F",IF(Y41="F","F",IF(AD41="F","F",IF(AN41="F","F",IF(AS41="F","F",IF(AX41="F","F",IF(BC41="F","F",IF(BI41="F","F",IF(AI41="F","F", IF(BI41&lt;2,SUM(O41,T41,Y41,AD41,AI41,AN41,AS41,AX41,BC41,BI41),IF(BI41&gt;=2,SUM(O41,T41,Y41,AD41,AN41,AS41,AI41,AX41,BC41,BI41-2)))))))))))))</f>
        <v>F</v>
      </c>
      <c r="BL41" s="6" t="str">
        <f t="shared" ref="BL41" si="74">IF(BK41="F","F",IF(BK41&gt;=45,5,IF(BK41&lt;45,BK41/9)))</f>
        <v>F</v>
      </c>
      <c r="BM41" s="54" t="str">
        <f t="shared" ref="BM41" si="75">IF(BL41="F","NEED TO PROGRESS",IF(BL41&gt;=5,"BEST",IF(BL41&gt;=4,"BETTER",IF(BL41&gt;=2,"GOOD"))))</f>
        <v>NEED TO PROGRESS</v>
      </c>
      <c r="BN41" s="55"/>
      <c r="BO41" s="2">
        <f t="shared" ref="BO41" si="76">M41+R41+W41+AB41+AG41+AL41+AQ41+AV41+BA41+BG41</f>
        <v>477</v>
      </c>
      <c r="BP41" s="2"/>
      <c r="BQ41" s="4"/>
    </row>
    <row r="42" spans="1:69" x14ac:dyDescent="0.25">
      <c r="BP42"/>
    </row>
    <row r="43" spans="1:69" x14ac:dyDescent="0.25">
      <c r="BP43"/>
    </row>
    <row r="44" spans="1:69" x14ac:dyDescent="0.25">
      <c r="BP44"/>
    </row>
    <row r="45" spans="1:69" x14ac:dyDescent="0.25">
      <c r="BP45"/>
    </row>
    <row r="46" spans="1:69" x14ac:dyDescent="0.25">
      <c r="BP46"/>
    </row>
    <row r="47" spans="1:69" x14ac:dyDescent="0.25">
      <c r="BP47"/>
    </row>
    <row r="48" spans="1:69" x14ac:dyDescent="0.25">
      <c r="BP48"/>
    </row>
    <row r="49" spans="68:68" x14ac:dyDescent="0.25">
      <c r="BP49"/>
    </row>
    <row r="50" spans="68:68" x14ac:dyDescent="0.25">
      <c r="BP50"/>
    </row>
    <row r="51" spans="68:68" x14ac:dyDescent="0.25">
      <c r="BP51"/>
    </row>
    <row r="52" spans="68:68" x14ac:dyDescent="0.25">
      <c r="BP52"/>
    </row>
    <row r="53" spans="68:68" x14ac:dyDescent="0.25">
      <c r="BP53"/>
    </row>
    <row r="54" spans="68:68" x14ac:dyDescent="0.25">
      <c r="BP54"/>
    </row>
    <row r="55" spans="68:68" x14ac:dyDescent="0.25">
      <c r="BP55"/>
    </row>
    <row r="56" spans="68:68" x14ac:dyDescent="0.25">
      <c r="BP56"/>
    </row>
    <row r="57" spans="68:68" x14ac:dyDescent="0.25">
      <c r="BP57"/>
    </row>
    <row r="58" spans="68:68" x14ac:dyDescent="0.25">
      <c r="BP58"/>
    </row>
    <row r="59" spans="68:68" x14ac:dyDescent="0.25">
      <c r="BP59"/>
    </row>
    <row r="60" spans="68:68" x14ac:dyDescent="0.25">
      <c r="BP60"/>
    </row>
    <row r="61" spans="68:68" x14ac:dyDescent="0.25">
      <c r="BP61"/>
    </row>
    <row r="62" spans="68:68" x14ac:dyDescent="0.25">
      <c r="BP62"/>
    </row>
    <row r="63" spans="68:68" x14ac:dyDescent="0.25">
      <c r="BP63"/>
    </row>
    <row r="64" spans="68:68" x14ac:dyDescent="0.25">
      <c r="BP64"/>
    </row>
    <row r="65" spans="68:68" x14ac:dyDescent="0.25">
      <c r="BP65"/>
    </row>
    <row r="66" spans="68:68" x14ac:dyDescent="0.25">
      <c r="BP66"/>
    </row>
    <row r="67" spans="68:68" x14ac:dyDescent="0.25">
      <c r="BP67"/>
    </row>
    <row r="68" spans="68:68" x14ac:dyDescent="0.25">
      <c r="BP68"/>
    </row>
    <row r="69" spans="68:68" x14ac:dyDescent="0.25">
      <c r="BP69"/>
    </row>
    <row r="70" spans="68:68" x14ac:dyDescent="0.25">
      <c r="BP70"/>
    </row>
    <row r="71" spans="68:68" x14ac:dyDescent="0.25">
      <c r="BP71"/>
    </row>
    <row r="72" spans="68:68" x14ac:dyDescent="0.25">
      <c r="BP72"/>
    </row>
    <row r="73" spans="68:68" x14ac:dyDescent="0.25">
      <c r="BP73"/>
    </row>
    <row r="74" spans="68:68" x14ac:dyDescent="0.25">
      <c r="BP74"/>
    </row>
    <row r="75" spans="68:68" x14ac:dyDescent="0.25">
      <c r="BP75"/>
    </row>
    <row r="76" spans="68:68" x14ac:dyDescent="0.25">
      <c r="BP76"/>
    </row>
    <row r="77" spans="68:68" x14ac:dyDescent="0.25">
      <c r="BP77"/>
    </row>
    <row r="78" spans="68:68" x14ac:dyDescent="0.25">
      <c r="BP78"/>
    </row>
    <row r="79" spans="68:68" x14ac:dyDescent="0.25">
      <c r="BP79"/>
    </row>
    <row r="80" spans="68:68" x14ac:dyDescent="0.25">
      <c r="BP80"/>
    </row>
    <row r="81" spans="68:68" x14ac:dyDescent="0.25">
      <c r="BP81"/>
    </row>
    <row r="82" spans="68:68" x14ac:dyDescent="0.25">
      <c r="BP82"/>
    </row>
    <row r="83" spans="68:68" x14ac:dyDescent="0.25">
      <c r="BP83"/>
    </row>
    <row r="84" spans="68:68" x14ac:dyDescent="0.25">
      <c r="BP84"/>
    </row>
    <row r="85" spans="68:68" x14ac:dyDescent="0.25">
      <c r="BP85"/>
    </row>
    <row r="86" spans="68:68" x14ac:dyDescent="0.25">
      <c r="BP86"/>
    </row>
    <row r="87" spans="68:68" x14ac:dyDescent="0.25">
      <c r="BP87"/>
    </row>
    <row r="88" spans="68:68" x14ac:dyDescent="0.25">
      <c r="BP88"/>
    </row>
    <row r="89" spans="68:68" x14ac:dyDescent="0.25">
      <c r="BP89"/>
    </row>
    <row r="90" spans="68:68" x14ac:dyDescent="0.25">
      <c r="BP90"/>
    </row>
    <row r="91" spans="68:68" x14ac:dyDescent="0.25">
      <c r="BP91"/>
    </row>
    <row r="92" spans="68:68" x14ac:dyDescent="0.25">
      <c r="BP92"/>
    </row>
    <row r="93" spans="68:68" x14ac:dyDescent="0.25">
      <c r="BP93"/>
    </row>
    <row r="94" spans="68:68" x14ac:dyDescent="0.25">
      <c r="BP94"/>
    </row>
    <row r="95" spans="68:68" x14ac:dyDescent="0.25">
      <c r="BP95"/>
    </row>
    <row r="96" spans="68:68" x14ac:dyDescent="0.25">
      <c r="BP96"/>
    </row>
    <row r="97" spans="68:68" x14ac:dyDescent="0.25">
      <c r="BP97"/>
    </row>
    <row r="98" spans="68:68" x14ac:dyDescent="0.25">
      <c r="BP98"/>
    </row>
    <row r="99" spans="68:68" x14ac:dyDescent="0.25">
      <c r="BP99"/>
    </row>
    <row r="100" spans="68:68" x14ac:dyDescent="0.25">
      <c r="BP100"/>
    </row>
    <row r="101" spans="68:68" x14ac:dyDescent="0.25">
      <c r="BP101"/>
    </row>
    <row r="102" spans="68:68" x14ac:dyDescent="0.25">
      <c r="BP102"/>
    </row>
    <row r="103" spans="68:68" x14ac:dyDescent="0.25">
      <c r="BP103"/>
    </row>
    <row r="104" spans="68:68" x14ac:dyDescent="0.25">
      <c r="BP104"/>
    </row>
    <row r="105" spans="68:68" x14ac:dyDescent="0.25">
      <c r="BP105"/>
    </row>
    <row r="106" spans="68:68" x14ac:dyDescent="0.25">
      <c r="BP106"/>
    </row>
    <row r="107" spans="68:68" x14ac:dyDescent="0.25">
      <c r="BP107"/>
    </row>
    <row r="108" spans="68:68" x14ac:dyDescent="0.25">
      <c r="BP108"/>
    </row>
    <row r="109" spans="68:68" x14ac:dyDescent="0.25">
      <c r="BP109"/>
    </row>
    <row r="110" spans="68:68" x14ac:dyDescent="0.25">
      <c r="BP110"/>
    </row>
    <row r="111" spans="68:68" x14ac:dyDescent="0.25">
      <c r="BP111"/>
    </row>
    <row r="112" spans="68:68" x14ac:dyDescent="0.25">
      <c r="BP112"/>
    </row>
    <row r="113" spans="68:68" x14ac:dyDescent="0.25">
      <c r="BP113"/>
    </row>
    <row r="114" spans="68:68" x14ac:dyDescent="0.25">
      <c r="BP114"/>
    </row>
    <row r="115" spans="68:68" x14ac:dyDescent="0.25">
      <c r="BP115"/>
    </row>
    <row r="116" spans="68:68" x14ac:dyDescent="0.25">
      <c r="BP116"/>
    </row>
    <row r="117" spans="68:68" x14ac:dyDescent="0.25">
      <c r="BP117"/>
    </row>
    <row r="118" spans="68:68" x14ac:dyDescent="0.25">
      <c r="BP118"/>
    </row>
    <row r="119" spans="68:68" x14ac:dyDescent="0.25">
      <c r="BP119"/>
    </row>
    <row r="120" spans="68:68" x14ac:dyDescent="0.25">
      <c r="BP120"/>
    </row>
    <row r="121" spans="68:68" x14ac:dyDescent="0.25">
      <c r="BP121"/>
    </row>
    <row r="122" spans="68:68" x14ac:dyDescent="0.25">
      <c r="BP122"/>
    </row>
    <row r="123" spans="68:68" x14ac:dyDescent="0.25">
      <c r="BP123"/>
    </row>
    <row r="124" spans="68:68" x14ac:dyDescent="0.25">
      <c r="BP124"/>
    </row>
    <row r="125" spans="68:68" x14ac:dyDescent="0.25">
      <c r="BP125"/>
    </row>
    <row r="126" spans="68:68" x14ac:dyDescent="0.25">
      <c r="BP126"/>
    </row>
    <row r="127" spans="68:68" x14ac:dyDescent="0.25">
      <c r="BP127"/>
    </row>
    <row r="128" spans="68:68" x14ac:dyDescent="0.25">
      <c r="BP128"/>
    </row>
    <row r="129" spans="68:68" x14ac:dyDescent="0.25">
      <c r="BP129"/>
    </row>
    <row r="130" spans="68:68" x14ac:dyDescent="0.25">
      <c r="BP130"/>
    </row>
    <row r="131" spans="68:68" x14ac:dyDescent="0.25">
      <c r="BP131"/>
    </row>
    <row r="132" spans="68:68" x14ac:dyDescent="0.25">
      <c r="BP132"/>
    </row>
    <row r="133" spans="68:68" x14ac:dyDescent="0.25">
      <c r="BP133"/>
    </row>
    <row r="134" spans="68:68" x14ac:dyDescent="0.25">
      <c r="BP134"/>
    </row>
    <row r="135" spans="68:68" x14ac:dyDescent="0.25">
      <c r="BP135"/>
    </row>
    <row r="136" spans="68:68" x14ac:dyDescent="0.25">
      <c r="BP136"/>
    </row>
    <row r="137" spans="68:68" x14ac:dyDescent="0.25">
      <c r="BP137"/>
    </row>
    <row r="138" spans="68:68" x14ac:dyDescent="0.25">
      <c r="BP138"/>
    </row>
    <row r="139" spans="68:68" x14ac:dyDescent="0.25">
      <c r="BP139"/>
    </row>
    <row r="140" spans="68:68" x14ac:dyDescent="0.25">
      <c r="BP140"/>
    </row>
    <row r="141" spans="68:68" x14ac:dyDescent="0.25">
      <c r="BP141"/>
    </row>
    <row r="142" spans="68:68" x14ac:dyDescent="0.25">
      <c r="BP142"/>
    </row>
    <row r="143" spans="68:68" x14ac:dyDescent="0.25">
      <c r="BP143"/>
    </row>
    <row r="144" spans="68:68" x14ac:dyDescent="0.25">
      <c r="BP144"/>
    </row>
    <row r="145" spans="68:68" x14ac:dyDescent="0.25">
      <c r="BP145"/>
    </row>
    <row r="146" spans="68:68" x14ac:dyDescent="0.25">
      <c r="BP146"/>
    </row>
    <row r="147" spans="68:68" x14ac:dyDescent="0.25">
      <c r="BP147"/>
    </row>
    <row r="148" spans="68:68" x14ac:dyDescent="0.25">
      <c r="BP148"/>
    </row>
    <row r="149" spans="68:68" x14ac:dyDescent="0.25">
      <c r="BP149"/>
    </row>
    <row r="150" spans="68:68" x14ac:dyDescent="0.25">
      <c r="BP150"/>
    </row>
    <row r="151" spans="68:68" x14ac:dyDescent="0.25">
      <c r="BP151"/>
    </row>
    <row r="152" spans="68:68" x14ac:dyDescent="0.25">
      <c r="BP152"/>
    </row>
    <row r="153" spans="68:68" x14ac:dyDescent="0.25">
      <c r="BP153"/>
    </row>
    <row r="154" spans="68:68" x14ac:dyDescent="0.25">
      <c r="BP154"/>
    </row>
    <row r="155" spans="68:68" x14ac:dyDescent="0.25">
      <c r="BP155"/>
    </row>
    <row r="156" spans="68:68" x14ac:dyDescent="0.25">
      <c r="BP156"/>
    </row>
    <row r="157" spans="68:68" x14ac:dyDescent="0.25">
      <c r="BP157"/>
    </row>
    <row r="158" spans="68:68" x14ac:dyDescent="0.25">
      <c r="BP158"/>
    </row>
    <row r="159" spans="68:68" x14ac:dyDescent="0.25">
      <c r="BP159"/>
    </row>
    <row r="160" spans="68:68" x14ac:dyDescent="0.25">
      <c r="BP160"/>
    </row>
    <row r="161" spans="68:68" x14ac:dyDescent="0.25">
      <c r="BP161"/>
    </row>
    <row r="162" spans="68:68" x14ac:dyDescent="0.25">
      <c r="BP162"/>
    </row>
    <row r="163" spans="68:68" x14ac:dyDescent="0.25">
      <c r="BP163"/>
    </row>
    <row r="164" spans="68:68" x14ac:dyDescent="0.25">
      <c r="BP164"/>
    </row>
    <row r="165" spans="68:68" x14ac:dyDescent="0.25">
      <c r="BP165"/>
    </row>
    <row r="166" spans="68:68" x14ac:dyDescent="0.25">
      <c r="BP166"/>
    </row>
    <row r="167" spans="68:68" x14ac:dyDescent="0.25">
      <c r="BP167"/>
    </row>
    <row r="168" spans="68:68" x14ac:dyDescent="0.25">
      <c r="BP168"/>
    </row>
    <row r="169" spans="68:68" x14ac:dyDescent="0.25">
      <c r="BP169"/>
    </row>
    <row r="170" spans="68:68" x14ac:dyDescent="0.25">
      <c r="BP170"/>
    </row>
    <row r="171" spans="68:68" x14ac:dyDescent="0.25">
      <c r="BP171"/>
    </row>
    <row r="172" spans="68:68" x14ac:dyDescent="0.25">
      <c r="BP172"/>
    </row>
    <row r="173" spans="68:68" x14ac:dyDescent="0.25">
      <c r="BP173"/>
    </row>
    <row r="174" spans="68:68" x14ac:dyDescent="0.25">
      <c r="BP174"/>
    </row>
    <row r="175" spans="68:68" x14ac:dyDescent="0.25">
      <c r="BP175"/>
    </row>
    <row r="176" spans="68:68" x14ac:dyDescent="0.25">
      <c r="BP176"/>
    </row>
    <row r="177" spans="68:68" x14ac:dyDescent="0.25">
      <c r="BP177"/>
    </row>
    <row r="178" spans="68:68" x14ac:dyDescent="0.25">
      <c r="BP178"/>
    </row>
    <row r="179" spans="68:68" x14ac:dyDescent="0.25">
      <c r="BP179"/>
    </row>
    <row r="180" spans="68:68" x14ac:dyDescent="0.25">
      <c r="BP180"/>
    </row>
    <row r="181" spans="68:68" x14ac:dyDescent="0.25">
      <c r="BP181"/>
    </row>
    <row r="182" spans="68:68" x14ac:dyDescent="0.25">
      <c r="BP182"/>
    </row>
    <row r="183" spans="68:68" x14ac:dyDescent="0.25">
      <c r="BP183"/>
    </row>
    <row r="184" spans="68:68" x14ac:dyDescent="0.25">
      <c r="BP184"/>
    </row>
    <row r="185" spans="68:68" x14ac:dyDescent="0.25">
      <c r="BP185"/>
    </row>
    <row r="186" spans="68:68" x14ac:dyDescent="0.25">
      <c r="BP186"/>
    </row>
    <row r="187" spans="68:68" x14ac:dyDescent="0.25">
      <c r="BP187"/>
    </row>
    <row r="188" spans="68:68" x14ac:dyDescent="0.25">
      <c r="BP188"/>
    </row>
    <row r="189" spans="68:68" x14ac:dyDescent="0.25">
      <c r="BP189"/>
    </row>
    <row r="190" spans="68:68" x14ac:dyDescent="0.25">
      <c r="BP190"/>
    </row>
    <row r="191" spans="68:68" x14ac:dyDescent="0.25">
      <c r="BP191"/>
    </row>
    <row r="192" spans="68:68" x14ac:dyDescent="0.25">
      <c r="BP192"/>
    </row>
    <row r="193" spans="68:68" x14ac:dyDescent="0.25">
      <c r="BP193"/>
    </row>
    <row r="194" spans="68:68" x14ac:dyDescent="0.25">
      <c r="BP194"/>
    </row>
    <row r="195" spans="68:68" x14ac:dyDescent="0.25">
      <c r="BP195"/>
    </row>
    <row r="196" spans="68:68" x14ac:dyDescent="0.25">
      <c r="BP196"/>
    </row>
    <row r="197" spans="68:68" x14ac:dyDescent="0.25">
      <c r="BP197"/>
    </row>
    <row r="198" spans="68:68" x14ac:dyDescent="0.25">
      <c r="BP198"/>
    </row>
    <row r="199" spans="68:68" x14ac:dyDescent="0.25">
      <c r="BP199"/>
    </row>
    <row r="200" spans="68:68" x14ac:dyDescent="0.25">
      <c r="BP200"/>
    </row>
    <row r="201" spans="68:68" x14ac:dyDescent="0.25">
      <c r="BP201"/>
    </row>
    <row r="202" spans="68:68" x14ac:dyDescent="0.25">
      <c r="BP202"/>
    </row>
    <row r="203" spans="68:68" x14ac:dyDescent="0.25">
      <c r="BP203"/>
    </row>
    <row r="204" spans="68:68" x14ac:dyDescent="0.25">
      <c r="BP204"/>
    </row>
    <row r="205" spans="68:68" x14ac:dyDescent="0.25">
      <c r="BP205"/>
    </row>
    <row r="206" spans="68:68" x14ac:dyDescent="0.25">
      <c r="BP206"/>
    </row>
    <row r="207" spans="68:68" x14ac:dyDescent="0.25">
      <c r="BP207"/>
    </row>
    <row r="208" spans="68:68" x14ac:dyDescent="0.25">
      <c r="BP208"/>
    </row>
    <row r="209" spans="68:68" x14ac:dyDescent="0.25">
      <c r="BP209"/>
    </row>
    <row r="210" spans="68:68" x14ac:dyDescent="0.25">
      <c r="BP210"/>
    </row>
    <row r="211" spans="68:68" x14ac:dyDescent="0.25">
      <c r="BP211"/>
    </row>
    <row r="212" spans="68:68" x14ac:dyDescent="0.25">
      <c r="BP212"/>
    </row>
    <row r="213" spans="68:68" x14ac:dyDescent="0.25">
      <c r="BP213"/>
    </row>
    <row r="214" spans="68:68" x14ac:dyDescent="0.25">
      <c r="BP214"/>
    </row>
    <row r="215" spans="68:68" x14ac:dyDescent="0.25">
      <c r="BP215"/>
    </row>
    <row r="216" spans="68:68" x14ac:dyDescent="0.25">
      <c r="BP216"/>
    </row>
    <row r="217" spans="68:68" x14ac:dyDescent="0.25">
      <c r="BP217"/>
    </row>
    <row r="218" spans="68:68" x14ac:dyDescent="0.25">
      <c r="BP218"/>
    </row>
    <row r="219" spans="68:68" x14ac:dyDescent="0.25">
      <c r="BP219"/>
    </row>
    <row r="220" spans="68:68" x14ac:dyDescent="0.25">
      <c r="BP220"/>
    </row>
    <row r="221" spans="68:68" x14ac:dyDescent="0.25">
      <c r="BP221"/>
    </row>
    <row r="222" spans="68:68" x14ac:dyDescent="0.25">
      <c r="BP222"/>
    </row>
    <row r="223" spans="68:68" x14ac:dyDescent="0.25">
      <c r="BP223"/>
    </row>
    <row r="224" spans="68:68" x14ac:dyDescent="0.25">
      <c r="BP224"/>
    </row>
    <row r="225" spans="68:68" x14ac:dyDescent="0.25">
      <c r="BP225"/>
    </row>
    <row r="226" spans="68:68" x14ac:dyDescent="0.25">
      <c r="BP226"/>
    </row>
    <row r="227" spans="68:68" x14ac:dyDescent="0.25">
      <c r="BP227"/>
    </row>
    <row r="228" spans="68:68" x14ac:dyDescent="0.25">
      <c r="BP228"/>
    </row>
    <row r="229" spans="68:68" x14ac:dyDescent="0.25">
      <c r="BP229"/>
    </row>
    <row r="230" spans="68:68" x14ac:dyDescent="0.25">
      <c r="BP230"/>
    </row>
    <row r="231" spans="68:68" x14ac:dyDescent="0.25">
      <c r="BP231"/>
    </row>
    <row r="232" spans="68:68" x14ac:dyDescent="0.25">
      <c r="BP232"/>
    </row>
    <row r="233" spans="68:68" x14ac:dyDescent="0.25">
      <c r="BP233"/>
    </row>
    <row r="234" spans="68:68" x14ac:dyDescent="0.25">
      <c r="BP234"/>
    </row>
    <row r="235" spans="68:68" x14ac:dyDescent="0.25">
      <c r="BP235"/>
    </row>
    <row r="236" spans="68:68" x14ac:dyDescent="0.25">
      <c r="BP236"/>
    </row>
    <row r="237" spans="68:68" x14ac:dyDescent="0.25">
      <c r="BP237"/>
    </row>
    <row r="238" spans="68:68" x14ac:dyDescent="0.25">
      <c r="BP238"/>
    </row>
    <row r="239" spans="68:68" x14ac:dyDescent="0.25">
      <c r="BP239"/>
    </row>
    <row r="240" spans="68:68" x14ac:dyDescent="0.25">
      <c r="BP240"/>
    </row>
    <row r="241" spans="68:68" x14ac:dyDescent="0.25">
      <c r="BP241"/>
    </row>
    <row r="242" spans="68:68" x14ac:dyDescent="0.25">
      <c r="BP242"/>
    </row>
    <row r="243" spans="68:68" x14ac:dyDescent="0.25">
      <c r="BP243"/>
    </row>
    <row r="244" spans="68:68" x14ac:dyDescent="0.25">
      <c r="BP244"/>
    </row>
    <row r="245" spans="68:68" x14ac:dyDescent="0.25">
      <c r="BP245"/>
    </row>
    <row r="246" spans="68:68" x14ac:dyDescent="0.25">
      <c r="BP246"/>
    </row>
    <row r="247" spans="68:68" x14ac:dyDescent="0.25">
      <c r="BP247"/>
    </row>
    <row r="248" spans="68:68" x14ac:dyDescent="0.25">
      <c r="BP248"/>
    </row>
    <row r="249" spans="68:68" x14ac:dyDescent="0.25">
      <c r="BP249"/>
    </row>
    <row r="250" spans="68:68" x14ac:dyDescent="0.25">
      <c r="BP250"/>
    </row>
    <row r="251" spans="68:68" x14ac:dyDescent="0.25">
      <c r="BP251"/>
    </row>
    <row r="252" spans="68:68" x14ac:dyDescent="0.25">
      <c r="BP252"/>
    </row>
    <row r="253" spans="68:68" x14ac:dyDescent="0.25">
      <c r="BP253"/>
    </row>
    <row r="254" spans="68:68" x14ac:dyDescent="0.25">
      <c r="BP254"/>
    </row>
    <row r="255" spans="68:68" x14ac:dyDescent="0.25">
      <c r="BP255"/>
    </row>
    <row r="256" spans="68:68" x14ac:dyDescent="0.25">
      <c r="BP256"/>
    </row>
    <row r="257" spans="68:68" x14ac:dyDescent="0.25">
      <c r="BP257"/>
    </row>
    <row r="258" spans="68:68" x14ac:dyDescent="0.25">
      <c r="BP258"/>
    </row>
    <row r="259" spans="68:68" x14ac:dyDescent="0.25">
      <c r="BP259"/>
    </row>
    <row r="260" spans="68:68" x14ac:dyDescent="0.25">
      <c r="BP260"/>
    </row>
    <row r="261" spans="68:68" x14ac:dyDescent="0.25">
      <c r="BP261"/>
    </row>
    <row r="262" spans="68:68" x14ac:dyDescent="0.25">
      <c r="BP262"/>
    </row>
    <row r="263" spans="68:68" x14ac:dyDescent="0.25">
      <c r="BP263"/>
    </row>
    <row r="264" spans="68:68" x14ac:dyDescent="0.25">
      <c r="BP264"/>
    </row>
    <row r="265" spans="68:68" x14ac:dyDescent="0.25">
      <c r="BP265"/>
    </row>
    <row r="266" spans="68:68" x14ac:dyDescent="0.25">
      <c r="BP266"/>
    </row>
    <row r="267" spans="68:68" x14ac:dyDescent="0.25">
      <c r="BP267"/>
    </row>
    <row r="268" spans="68:68" x14ac:dyDescent="0.25">
      <c r="BP268"/>
    </row>
    <row r="269" spans="68:68" x14ac:dyDescent="0.25">
      <c r="BP269"/>
    </row>
    <row r="270" spans="68:68" x14ac:dyDescent="0.25">
      <c r="BP270"/>
    </row>
    <row r="271" spans="68:68" x14ac:dyDescent="0.25">
      <c r="BP271"/>
    </row>
    <row r="272" spans="68:68" x14ac:dyDescent="0.25">
      <c r="BP272"/>
    </row>
    <row r="273" spans="68:68" x14ac:dyDescent="0.25">
      <c r="BP273"/>
    </row>
    <row r="274" spans="68:68" x14ac:dyDescent="0.25">
      <c r="BP274"/>
    </row>
    <row r="275" spans="68:68" x14ac:dyDescent="0.25">
      <c r="BP275"/>
    </row>
    <row r="276" spans="68:68" x14ac:dyDescent="0.25">
      <c r="BP276"/>
    </row>
    <row r="277" spans="68:68" x14ac:dyDescent="0.25">
      <c r="BP277"/>
    </row>
    <row r="278" spans="68:68" x14ac:dyDescent="0.25">
      <c r="BP278"/>
    </row>
    <row r="279" spans="68:68" x14ac:dyDescent="0.25">
      <c r="BP279"/>
    </row>
    <row r="280" spans="68:68" x14ac:dyDescent="0.25">
      <c r="BP280"/>
    </row>
    <row r="281" spans="68:68" x14ac:dyDescent="0.25">
      <c r="BP281"/>
    </row>
    <row r="282" spans="68:68" x14ac:dyDescent="0.25">
      <c r="BP282"/>
    </row>
    <row r="283" spans="68:68" x14ac:dyDescent="0.25">
      <c r="BP283"/>
    </row>
    <row r="284" spans="68:68" x14ac:dyDescent="0.25">
      <c r="BP284"/>
    </row>
    <row r="285" spans="68:68" x14ac:dyDescent="0.25">
      <c r="BP285"/>
    </row>
    <row r="286" spans="68:68" x14ac:dyDescent="0.25">
      <c r="BP286"/>
    </row>
    <row r="287" spans="68:68" x14ac:dyDescent="0.25">
      <c r="BP287"/>
    </row>
    <row r="288" spans="68:68" x14ac:dyDescent="0.25">
      <c r="BP288"/>
    </row>
    <row r="289" spans="68:68" x14ac:dyDescent="0.25">
      <c r="BP289"/>
    </row>
    <row r="290" spans="68:68" x14ac:dyDescent="0.25">
      <c r="BP290"/>
    </row>
    <row r="291" spans="68:68" x14ac:dyDescent="0.25">
      <c r="BP291"/>
    </row>
    <row r="292" spans="68:68" x14ac:dyDescent="0.25">
      <c r="BP292"/>
    </row>
    <row r="293" spans="68:68" x14ac:dyDescent="0.25">
      <c r="BP293"/>
    </row>
    <row r="294" spans="68:68" x14ac:dyDescent="0.25">
      <c r="BP294"/>
    </row>
    <row r="295" spans="68:68" x14ac:dyDescent="0.25">
      <c r="BP295"/>
    </row>
    <row r="296" spans="68:68" x14ac:dyDescent="0.25">
      <c r="BP296"/>
    </row>
    <row r="297" spans="68:68" x14ac:dyDescent="0.25">
      <c r="BP297"/>
    </row>
    <row r="298" spans="68:68" x14ac:dyDescent="0.25">
      <c r="BP298"/>
    </row>
    <row r="299" spans="68:68" x14ac:dyDescent="0.25">
      <c r="BP299"/>
    </row>
    <row r="300" spans="68:68" x14ac:dyDescent="0.25">
      <c r="BP300"/>
    </row>
    <row r="301" spans="68:68" x14ac:dyDescent="0.25">
      <c r="BP301"/>
    </row>
    <row r="302" spans="68:68" x14ac:dyDescent="0.25">
      <c r="BP302"/>
    </row>
    <row r="303" spans="68:68" x14ac:dyDescent="0.25">
      <c r="BP303"/>
    </row>
    <row r="304" spans="68:68" x14ac:dyDescent="0.25">
      <c r="BP304"/>
    </row>
    <row r="305" spans="68:68" x14ac:dyDescent="0.25">
      <c r="BP305"/>
    </row>
    <row r="306" spans="68:68" x14ac:dyDescent="0.25">
      <c r="BP306"/>
    </row>
    <row r="307" spans="68:68" x14ac:dyDescent="0.25">
      <c r="BP307"/>
    </row>
    <row r="308" spans="68:68" x14ac:dyDescent="0.25">
      <c r="BP308"/>
    </row>
    <row r="309" spans="68:68" x14ac:dyDescent="0.25">
      <c r="BP309"/>
    </row>
    <row r="310" spans="68:68" x14ac:dyDescent="0.25">
      <c r="BP310"/>
    </row>
    <row r="311" spans="68:68" x14ac:dyDescent="0.25">
      <c r="BP311"/>
    </row>
    <row r="312" spans="68:68" x14ac:dyDescent="0.25">
      <c r="BP312"/>
    </row>
    <row r="313" spans="68:68" x14ac:dyDescent="0.25">
      <c r="BP313"/>
    </row>
    <row r="314" spans="68:68" x14ac:dyDescent="0.25">
      <c r="BP314"/>
    </row>
    <row r="315" spans="68:68" x14ac:dyDescent="0.25">
      <c r="BP315"/>
    </row>
    <row r="316" spans="68:68" x14ac:dyDescent="0.25">
      <c r="BP316"/>
    </row>
    <row r="317" spans="68:68" x14ac:dyDescent="0.25">
      <c r="BP317"/>
    </row>
    <row r="318" spans="68:68" x14ac:dyDescent="0.25">
      <c r="BP318"/>
    </row>
    <row r="319" spans="68:68" x14ac:dyDescent="0.25">
      <c r="BP319"/>
    </row>
    <row r="320" spans="68:68" x14ac:dyDescent="0.25">
      <c r="BP320"/>
    </row>
    <row r="321" spans="68:68" x14ac:dyDescent="0.25">
      <c r="BP321"/>
    </row>
    <row r="322" spans="68:68" x14ac:dyDescent="0.25">
      <c r="BP322"/>
    </row>
    <row r="323" spans="68:68" x14ac:dyDescent="0.25">
      <c r="BP323"/>
    </row>
    <row r="324" spans="68:68" x14ac:dyDescent="0.25">
      <c r="BP324"/>
    </row>
    <row r="325" spans="68:68" x14ac:dyDescent="0.25">
      <c r="BP325"/>
    </row>
    <row r="326" spans="68:68" x14ac:dyDescent="0.25">
      <c r="BP326"/>
    </row>
    <row r="327" spans="68:68" x14ac:dyDescent="0.25">
      <c r="BP327"/>
    </row>
    <row r="328" spans="68:68" x14ac:dyDescent="0.25">
      <c r="BP328"/>
    </row>
    <row r="329" spans="68:68" x14ac:dyDescent="0.25">
      <c r="BP329"/>
    </row>
    <row r="330" spans="68:68" x14ac:dyDescent="0.25">
      <c r="BP330"/>
    </row>
    <row r="331" spans="68:68" x14ac:dyDescent="0.25">
      <c r="BP331"/>
    </row>
    <row r="332" spans="68:68" x14ac:dyDescent="0.25">
      <c r="BP332"/>
    </row>
    <row r="333" spans="68:68" x14ac:dyDescent="0.25">
      <c r="BP333"/>
    </row>
    <row r="334" spans="68:68" x14ac:dyDescent="0.25">
      <c r="BP334"/>
    </row>
    <row r="335" spans="68:68" x14ac:dyDescent="0.25">
      <c r="BP335"/>
    </row>
    <row r="336" spans="68:68" x14ac:dyDescent="0.25">
      <c r="BP336"/>
    </row>
    <row r="337" spans="68:68" x14ac:dyDescent="0.25">
      <c r="BP337"/>
    </row>
    <row r="338" spans="68:68" x14ac:dyDescent="0.25">
      <c r="BP338"/>
    </row>
    <row r="339" spans="68:68" x14ac:dyDescent="0.25">
      <c r="BP339"/>
    </row>
    <row r="340" spans="68:68" x14ac:dyDescent="0.25">
      <c r="BP340"/>
    </row>
    <row r="341" spans="68:68" x14ac:dyDescent="0.25">
      <c r="BP341"/>
    </row>
    <row r="342" spans="68:68" x14ac:dyDescent="0.25">
      <c r="BP342"/>
    </row>
    <row r="343" spans="68:68" x14ac:dyDescent="0.25">
      <c r="BP343"/>
    </row>
    <row r="344" spans="68:68" x14ac:dyDescent="0.25">
      <c r="BP344"/>
    </row>
    <row r="345" spans="68:68" x14ac:dyDescent="0.25">
      <c r="BP345"/>
    </row>
    <row r="346" spans="68:68" x14ac:dyDescent="0.25">
      <c r="BP346"/>
    </row>
    <row r="347" spans="68:68" x14ac:dyDescent="0.25">
      <c r="BP347"/>
    </row>
    <row r="348" spans="68:68" x14ac:dyDescent="0.25">
      <c r="BP348"/>
    </row>
    <row r="349" spans="68:68" x14ac:dyDescent="0.25">
      <c r="BP349"/>
    </row>
    <row r="350" spans="68:68" x14ac:dyDescent="0.25">
      <c r="BP350"/>
    </row>
    <row r="351" spans="68:68" x14ac:dyDescent="0.25">
      <c r="BP351"/>
    </row>
    <row r="352" spans="68:68" x14ac:dyDescent="0.25">
      <c r="BP352"/>
    </row>
    <row r="353" spans="68:68" x14ac:dyDescent="0.25">
      <c r="BP353"/>
    </row>
    <row r="354" spans="68:68" x14ac:dyDescent="0.25">
      <c r="BP354"/>
    </row>
    <row r="355" spans="68:68" x14ac:dyDescent="0.25">
      <c r="BP355"/>
    </row>
    <row r="356" spans="68:68" x14ac:dyDescent="0.25">
      <c r="BP356"/>
    </row>
    <row r="357" spans="68:68" x14ac:dyDescent="0.25">
      <c r="BP357"/>
    </row>
    <row r="358" spans="68:68" x14ac:dyDescent="0.25">
      <c r="BP358"/>
    </row>
    <row r="359" spans="68:68" x14ac:dyDescent="0.25">
      <c r="BP359"/>
    </row>
    <row r="360" spans="68:68" x14ac:dyDescent="0.25">
      <c r="BP360"/>
    </row>
    <row r="361" spans="68:68" x14ac:dyDescent="0.25">
      <c r="BP361"/>
    </row>
    <row r="362" spans="68:68" x14ac:dyDescent="0.25">
      <c r="BP362"/>
    </row>
    <row r="363" spans="68:68" x14ac:dyDescent="0.25">
      <c r="BP363"/>
    </row>
    <row r="364" spans="68:68" x14ac:dyDescent="0.25">
      <c r="BP364"/>
    </row>
    <row r="365" spans="68:68" x14ac:dyDescent="0.25">
      <c r="BP365"/>
    </row>
    <row r="366" spans="68:68" x14ac:dyDescent="0.25">
      <c r="BP366"/>
    </row>
    <row r="367" spans="68:68" x14ac:dyDescent="0.25">
      <c r="BP367"/>
    </row>
    <row r="368" spans="68:68" x14ac:dyDescent="0.25">
      <c r="BP368"/>
    </row>
    <row r="369" spans="68:68" x14ac:dyDescent="0.25">
      <c r="BP369"/>
    </row>
    <row r="370" spans="68:68" x14ac:dyDescent="0.25">
      <c r="BP370"/>
    </row>
    <row r="371" spans="68:68" x14ac:dyDescent="0.25">
      <c r="BP371"/>
    </row>
    <row r="372" spans="68:68" x14ac:dyDescent="0.25">
      <c r="BP372"/>
    </row>
    <row r="373" spans="68:68" x14ac:dyDescent="0.25">
      <c r="BP373"/>
    </row>
    <row r="374" spans="68:68" x14ac:dyDescent="0.25">
      <c r="BP374"/>
    </row>
    <row r="375" spans="68:68" x14ac:dyDescent="0.25">
      <c r="BP375"/>
    </row>
    <row r="376" spans="68:68" x14ac:dyDescent="0.25">
      <c r="BP376"/>
    </row>
    <row r="377" spans="68:68" x14ac:dyDescent="0.25">
      <c r="BP377"/>
    </row>
    <row r="378" spans="68:68" x14ac:dyDescent="0.25">
      <c r="BP378"/>
    </row>
    <row r="379" spans="68:68" x14ac:dyDescent="0.25">
      <c r="BP379"/>
    </row>
    <row r="380" spans="68:68" x14ac:dyDescent="0.25">
      <c r="BP380"/>
    </row>
    <row r="381" spans="68:68" x14ac:dyDescent="0.25">
      <c r="BP381"/>
    </row>
    <row r="382" spans="68:68" x14ac:dyDescent="0.25">
      <c r="BP382"/>
    </row>
    <row r="383" spans="68:68" x14ac:dyDescent="0.25">
      <c r="BP383"/>
    </row>
    <row r="384" spans="68:68" x14ac:dyDescent="0.25">
      <c r="BP384"/>
    </row>
    <row r="385" spans="68:68" x14ac:dyDescent="0.25">
      <c r="BP385"/>
    </row>
    <row r="386" spans="68:68" x14ac:dyDescent="0.25">
      <c r="BP386"/>
    </row>
    <row r="387" spans="68:68" x14ac:dyDescent="0.25">
      <c r="BP387"/>
    </row>
    <row r="388" spans="68:68" x14ac:dyDescent="0.25">
      <c r="BP388"/>
    </row>
    <row r="389" spans="68:68" x14ac:dyDescent="0.25">
      <c r="BP389"/>
    </row>
    <row r="390" spans="68:68" x14ac:dyDescent="0.25">
      <c r="BP390"/>
    </row>
    <row r="391" spans="68:68" x14ac:dyDescent="0.25">
      <c r="BP391"/>
    </row>
    <row r="392" spans="68:68" x14ac:dyDescent="0.25">
      <c r="BP392"/>
    </row>
    <row r="393" spans="68:68" x14ac:dyDescent="0.25">
      <c r="BP393"/>
    </row>
    <row r="394" spans="68:68" x14ac:dyDescent="0.25">
      <c r="BP394"/>
    </row>
    <row r="395" spans="68:68" x14ac:dyDescent="0.25">
      <c r="BP395"/>
    </row>
    <row r="396" spans="68:68" x14ac:dyDescent="0.25">
      <c r="BP396"/>
    </row>
    <row r="397" spans="68:68" x14ac:dyDescent="0.25">
      <c r="BP397"/>
    </row>
    <row r="398" spans="68:68" x14ac:dyDescent="0.25">
      <c r="BP398"/>
    </row>
    <row r="399" spans="68:68" x14ac:dyDescent="0.25">
      <c r="BP399"/>
    </row>
    <row r="400" spans="68:68" x14ac:dyDescent="0.25">
      <c r="BP400"/>
    </row>
    <row r="401" spans="68:68" x14ac:dyDescent="0.25">
      <c r="BP401"/>
    </row>
    <row r="402" spans="68:68" x14ac:dyDescent="0.25">
      <c r="BP402"/>
    </row>
    <row r="403" spans="68:68" x14ac:dyDescent="0.25">
      <c r="BP403"/>
    </row>
    <row r="404" spans="68:68" x14ac:dyDescent="0.25">
      <c r="BP404"/>
    </row>
    <row r="405" spans="68:68" x14ac:dyDescent="0.25">
      <c r="BP405"/>
    </row>
    <row r="406" spans="68:68" x14ac:dyDescent="0.25">
      <c r="BP406"/>
    </row>
    <row r="407" spans="68:68" x14ac:dyDescent="0.25">
      <c r="BP407"/>
    </row>
    <row r="408" spans="68:68" x14ac:dyDescent="0.25">
      <c r="BP408"/>
    </row>
    <row r="409" spans="68:68" x14ac:dyDescent="0.25">
      <c r="BP409"/>
    </row>
    <row r="410" spans="68:68" x14ac:dyDescent="0.25">
      <c r="BP410"/>
    </row>
    <row r="411" spans="68:68" x14ac:dyDescent="0.25">
      <c r="BP411"/>
    </row>
    <row r="412" spans="68:68" x14ac:dyDescent="0.25">
      <c r="BP412"/>
    </row>
    <row r="413" spans="68:68" x14ac:dyDescent="0.25">
      <c r="BP413"/>
    </row>
    <row r="414" spans="68:68" x14ac:dyDescent="0.25">
      <c r="BP414"/>
    </row>
    <row r="415" spans="68:68" x14ac:dyDescent="0.25">
      <c r="BP415"/>
    </row>
    <row r="416" spans="68:68" x14ac:dyDescent="0.25">
      <c r="BP416"/>
    </row>
    <row r="417" spans="68:68" x14ac:dyDescent="0.25">
      <c r="BP417"/>
    </row>
    <row r="418" spans="68:68" x14ac:dyDescent="0.25">
      <c r="BP418"/>
    </row>
    <row r="419" spans="68:68" x14ac:dyDescent="0.25">
      <c r="BP419"/>
    </row>
    <row r="420" spans="68:68" x14ac:dyDescent="0.25">
      <c r="BP420"/>
    </row>
    <row r="421" spans="68:68" x14ac:dyDescent="0.25">
      <c r="BP421"/>
    </row>
    <row r="422" spans="68:68" x14ac:dyDescent="0.25">
      <c r="BP422"/>
    </row>
    <row r="423" spans="68:68" x14ac:dyDescent="0.25">
      <c r="BP423"/>
    </row>
    <row r="424" spans="68:68" x14ac:dyDescent="0.25">
      <c r="BP424"/>
    </row>
    <row r="425" spans="68:68" x14ac:dyDescent="0.25">
      <c r="BP425"/>
    </row>
    <row r="426" spans="68:68" x14ac:dyDescent="0.25">
      <c r="BP426"/>
    </row>
    <row r="427" spans="68:68" x14ac:dyDescent="0.25">
      <c r="BP427"/>
    </row>
    <row r="428" spans="68:68" x14ac:dyDescent="0.25">
      <c r="BP428"/>
    </row>
    <row r="429" spans="68:68" x14ac:dyDescent="0.25">
      <c r="BP429"/>
    </row>
    <row r="430" spans="68:68" x14ac:dyDescent="0.25">
      <c r="BP430"/>
    </row>
    <row r="431" spans="68:68" x14ac:dyDescent="0.25">
      <c r="BP431"/>
    </row>
    <row r="432" spans="68:68" x14ac:dyDescent="0.25">
      <c r="BP432"/>
    </row>
    <row r="433" spans="68:68" x14ac:dyDescent="0.25">
      <c r="BP433"/>
    </row>
    <row r="434" spans="68:68" x14ac:dyDescent="0.25">
      <c r="BP434"/>
    </row>
    <row r="435" spans="68:68" x14ac:dyDescent="0.25">
      <c r="BP435"/>
    </row>
    <row r="436" spans="68:68" x14ac:dyDescent="0.25">
      <c r="BP436"/>
    </row>
    <row r="437" spans="68:68" x14ac:dyDescent="0.25">
      <c r="BP437"/>
    </row>
    <row r="438" spans="68:68" x14ac:dyDescent="0.25">
      <c r="BP438"/>
    </row>
    <row r="439" spans="68:68" x14ac:dyDescent="0.25">
      <c r="BP439"/>
    </row>
    <row r="440" spans="68:68" x14ac:dyDescent="0.25">
      <c r="BP440"/>
    </row>
    <row r="441" spans="68:68" x14ac:dyDescent="0.25">
      <c r="BP441"/>
    </row>
    <row r="442" spans="68:68" x14ac:dyDescent="0.25">
      <c r="BP442"/>
    </row>
    <row r="443" spans="68:68" x14ac:dyDescent="0.25">
      <c r="BP443"/>
    </row>
    <row r="444" spans="68:68" x14ac:dyDescent="0.25">
      <c r="BP444"/>
    </row>
    <row r="445" spans="68:68" x14ac:dyDescent="0.25">
      <c r="BP445"/>
    </row>
    <row r="446" spans="68:68" x14ac:dyDescent="0.25">
      <c r="BP446"/>
    </row>
    <row r="447" spans="68:68" x14ac:dyDescent="0.25">
      <c r="BP447"/>
    </row>
    <row r="448" spans="68:68" x14ac:dyDescent="0.25">
      <c r="BP448"/>
    </row>
    <row r="449" spans="68:68" x14ac:dyDescent="0.25">
      <c r="BP449"/>
    </row>
    <row r="450" spans="68:68" x14ac:dyDescent="0.25">
      <c r="BP450"/>
    </row>
    <row r="451" spans="68:68" x14ac:dyDescent="0.25">
      <c r="BP451"/>
    </row>
    <row r="452" spans="68:68" x14ac:dyDescent="0.25">
      <c r="BP452"/>
    </row>
    <row r="453" spans="68:68" x14ac:dyDescent="0.25">
      <c r="BP453"/>
    </row>
    <row r="454" spans="68:68" x14ac:dyDescent="0.25">
      <c r="BP454"/>
    </row>
    <row r="455" spans="68:68" x14ac:dyDescent="0.25">
      <c r="BP455"/>
    </row>
    <row r="456" spans="68:68" x14ac:dyDescent="0.25">
      <c r="BP456"/>
    </row>
    <row r="457" spans="68:68" x14ac:dyDescent="0.25">
      <c r="BP457"/>
    </row>
    <row r="458" spans="68:68" x14ac:dyDescent="0.25">
      <c r="BP458"/>
    </row>
    <row r="459" spans="68:68" x14ac:dyDescent="0.25">
      <c r="BP459"/>
    </row>
    <row r="460" spans="68:68" x14ac:dyDescent="0.25">
      <c r="BP460"/>
    </row>
    <row r="461" spans="68:68" x14ac:dyDescent="0.25">
      <c r="BP461"/>
    </row>
    <row r="462" spans="68:68" x14ac:dyDescent="0.25">
      <c r="BP462"/>
    </row>
    <row r="463" spans="68:68" x14ac:dyDescent="0.25">
      <c r="BP463"/>
    </row>
    <row r="464" spans="68:68" x14ac:dyDescent="0.25">
      <c r="BP464"/>
    </row>
    <row r="465" spans="68:68" x14ac:dyDescent="0.25">
      <c r="BP465"/>
    </row>
    <row r="466" spans="68:68" x14ac:dyDescent="0.25">
      <c r="BP466"/>
    </row>
    <row r="467" spans="68:68" x14ac:dyDescent="0.25">
      <c r="BP467"/>
    </row>
    <row r="468" spans="68:68" x14ac:dyDescent="0.25">
      <c r="BP468"/>
    </row>
    <row r="469" spans="68:68" x14ac:dyDescent="0.25">
      <c r="BP469"/>
    </row>
    <row r="470" spans="68:68" x14ac:dyDescent="0.25">
      <c r="BP470"/>
    </row>
    <row r="471" spans="68:68" x14ac:dyDescent="0.25">
      <c r="BP471"/>
    </row>
    <row r="472" spans="68:68" x14ac:dyDescent="0.25">
      <c r="BP472"/>
    </row>
    <row r="473" spans="68:68" x14ac:dyDescent="0.25">
      <c r="BP473"/>
    </row>
    <row r="474" spans="68:68" x14ac:dyDescent="0.25">
      <c r="BP474"/>
    </row>
    <row r="475" spans="68:68" x14ac:dyDescent="0.25">
      <c r="BP475"/>
    </row>
    <row r="476" spans="68:68" x14ac:dyDescent="0.25">
      <c r="BP476"/>
    </row>
    <row r="477" spans="68:68" x14ac:dyDescent="0.25">
      <c r="BP477"/>
    </row>
    <row r="478" spans="68:68" x14ac:dyDescent="0.25">
      <c r="BP478"/>
    </row>
    <row r="479" spans="68:68" x14ac:dyDescent="0.25">
      <c r="BP479"/>
    </row>
    <row r="480" spans="68:68" x14ac:dyDescent="0.25">
      <c r="BP480"/>
    </row>
    <row r="481" spans="68:68" x14ac:dyDescent="0.25">
      <c r="BP481"/>
    </row>
    <row r="482" spans="68:68" x14ac:dyDescent="0.25">
      <c r="BP482"/>
    </row>
    <row r="483" spans="68:68" x14ac:dyDescent="0.25">
      <c r="BP483"/>
    </row>
    <row r="484" spans="68:68" x14ac:dyDescent="0.25">
      <c r="BP484"/>
    </row>
    <row r="485" spans="68:68" x14ac:dyDescent="0.25">
      <c r="BP485"/>
    </row>
    <row r="486" spans="68:68" x14ac:dyDescent="0.25">
      <c r="BP486"/>
    </row>
    <row r="487" spans="68:68" x14ac:dyDescent="0.25">
      <c r="BP487"/>
    </row>
    <row r="488" spans="68:68" x14ac:dyDescent="0.25">
      <c r="BP488"/>
    </row>
    <row r="489" spans="68:68" x14ac:dyDescent="0.25">
      <c r="BP489"/>
    </row>
    <row r="490" spans="68:68" x14ac:dyDescent="0.25">
      <c r="BP490"/>
    </row>
    <row r="491" spans="68:68" x14ac:dyDescent="0.25">
      <c r="BP491"/>
    </row>
    <row r="492" spans="68:68" x14ac:dyDescent="0.25">
      <c r="BP492"/>
    </row>
    <row r="493" spans="68:68" x14ac:dyDescent="0.25">
      <c r="BP493"/>
    </row>
    <row r="494" spans="68:68" x14ac:dyDescent="0.25">
      <c r="BP494"/>
    </row>
    <row r="495" spans="68:68" x14ac:dyDescent="0.25">
      <c r="BP495"/>
    </row>
    <row r="496" spans="68:68" x14ac:dyDescent="0.25">
      <c r="BP496"/>
    </row>
    <row r="497" spans="68:68" x14ac:dyDescent="0.25">
      <c r="BP497"/>
    </row>
    <row r="498" spans="68:68" x14ac:dyDescent="0.25">
      <c r="BP498"/>
    </row>
    <row r="499" spans="68:68" x14ac:dyDescent="0.25">
      <c r="BP499"/>
    </row>
    <row r="500" spans="68:68" x14ac:dyDescent="0.25">
      <c r="BP500"/>
    </row>
    <row r="501" spans="68:68" x14ac:dyDescent="0.25">
      <c r="BP501"/>
    </row>
    <row r="502" spans="68:68" x14ac:dyDescent="0.25">
      <c r="BP502"/>
    </row>
    <row r="503" spans="68:68" x14ac:dyDescent="0.25">
      <c r="BP503"/>
    </row>
    <row r="504" spans="68:68" x14ac:dyDescent="0.25">
      <c r="BP504"/>
    </row>
    <row r="505" spans="68:68" x14ac:dyDescent="0.25">
      <c r="BP505"/>
    </row>
    <row r="506" spans="68:68" x14ac:dyDescent="0.25">
      <c r="BP506"/>
    </row>
    <row r="507" spans="68:68" x14ac:dyDescent="0.25">
      <c r="BP507"/>
    </row>
    <row r="508" spans="68:68" x14ac:dyDescent="0.25">
      <c r="BP508"/>
    </row>
    <row r="509" spans="68:68" x14ac:dyDescent="0.25">
      <c r="BP509"/>
    </row>
    <row r="510" spans="68:68" x14ac:dyDescent="0.25">
      <c r="BP510"/>
    </row>
    <row r="511" spans="68:68" x14ac:dyDescent="0.25">
      <c r="BP511"/>
    </row>
    <row r="512" spans="68:68" x14ac:dyDescent="0.25">
      <c r="BP512"/>
    </row>
    <row r="513" spans="68:68" x14ac:dyDescent="0.25">
      <c r="BP513"/>
    </row>
    <row r="514" spans="68:68" x14ac:dyDescent="0.25">
      <c r="BP514"/>
    </row>
    <row r="515" spans="68:68" x14ac:dyDescent="0.25">
      <c r="BP515"/>
    </row>
    <row r="516" spans="68:68" x14ac:dyDescent="0.25">
      <c r="BP516"/>
    </row>
    <row r="517" spans="68:68" x14ac:dyDescent="0.25">
      <c r="BP517"/>
    </row>
    <row r="518" spans="68:68" x14ac:dyDescent="0.25">
      <c r="BP518"/>
    </row>
    <row r="519" spans="68:68" x14ac:dyDescent="0.25">
      <c r="BP519"/>
    </row>
    <row r="520" spans="68:68" x14ac:dyDescent="0.25">
      <c r="BP520"/>
    </row>
    <row r="521" spans="68:68" x14ac:dyDescent="0.25">
      <c r="BP521"/>
    </row>
    <row r="522" spans="68:68" x14ac:dyDescent="0.25">
      <c r="BP522"/>
    </row>
    <row r="523" spans="68:68" x14ac:dyDescent="0.25">
      <c r="BP523"/>
    </row>
    <row r="524" spans="68:68" x14ac:dyDescent="0.25">
      <c r="BP524"/>
    </row>
    <row r="525" spans="68:68" x14ac:dyDescent="0.25">
      <c r="BP525"/>
    </row>
    <row r="526" spans="68:68" x14ac:dyDescent="0.25">
      <c r="BP526"/>
    </row>
    <row r="527" spans="68:68" x14ac:dyDescent="0.25">
      <c r="BP527"/>
    </row>
    <row r="528" spans="68:68" x14ac:dyDescent="0.25">
      <c r="BP528"/>
    </row>
    <row r="529" spans="68:68" x14ac:dyDescent="0.25">
      <c r="BP529"/>
    </row>
    <row r="530" spans="68:68" x14ac:dyDescent="0.25">
      <c r="BP530"/>
    </row>
    <row r="531" spans="68:68" x14ac:dyDescent="0.25">
      <c r="BP531"/>
    </row>
    <row r="532" spans="68:68" x14ac:dyDescent="0.25">
      <c r="BP532"/>
    </row>
    <row r="533" spans="68:68" x14ac:dyDescent="0.25">
      <c r="BP533"/>
    </row>
    <row r="534" spans="68:68" x14ac:dyDescent="0.25">
      <c r="BP534"/>
    </row>
    <row r="535" spans="68:68" x14ac:dyDescent="0.25">
      <c r="BP535"/>
    </row>
    <row r="536" spans="68:68" x14ac:dyDescent="0.25">
      <c r="BP536"/>
    </row>
    <row r="537" spans="68:68" x14ac:dyDescent="0.25">
      <c r="BP537"/>
    </row>
    <row r="538" spans="68:68" x14ac:dyDescent="0.25">
      <c r="BP538"/>
    </row>
    <row r="539" spans="68:68" x14ac:dyDescent="0.25">
      <c r="BP539"/>
    </row>
    <row r="540" spans="68:68" x14ac:dyDescent="0.25">
      <c r="BP540"/>
    </row>
    <row r="541" spans="68:68" x14ac:dyDescent="0.25">
      <c r="BP541"/>
    </row>
    <row r="542" spans="68:68" x14ac:dyDescent="0.25">
      <c r="BP542"/>
    </row>
    <row r="543" spans="68:68" x14ac:dyDescent="0.25">
      <c r="BP543"/>
    </row>
    <row r="544" spans="68:68" x14ac:dyDescent="0.25">
      <c r="BP544"/>
    </row>
    <row r="545" spans="68:68" x14ac:dyDescent="0.25">
      <c r="BP545"/>
    </row>
    <row r="546" spans="68:68" x14ac:dyDescent="0.25">
      <c r="BP546"/>
    </row>
    <row r="547" spans="68:68" x14ac:dyDescent="0.25">
      <c r="BP547"/>
    </row>
    <row r="548" spans="68:68" x14ac:dyDescent="0.25">
      <c r="BP548"/>
    </row>
    <row r="549" spans="68:68" x14ac:dyDescent="0.25">
      <c r="BP549"/>
    </row>
    <row r="550" spans="68:68" x14ac:dyDescent="0.25">
      <c r="BP550"/>
    </row>
    <row r="551" spans="68:68" x14ac:dyDescent="0.25">
      <c r="BP551"/>
    </row>
    <row r="552" spans="68:68" x14ac:dyDescent="0.25">
      <c r="BP552"/>
    </row>
    <row r="553" spans="68:68" x14ac:dyDescent="0.25">
      <c r="BP553"/>
    </row>
    <row r="554" spans="68:68" x14ac:dyDescent="0.25">
      <c r="BP554"/>
    </row>
    <row r="555" spans="68:68" x14ac:dyDescent="0.25">
      <c r="BP555"/>
    </row>
    <row r="556" spans="68:68" x14ac:dyDescent="0.25">
      <c r="BP556"/>
    </row>
    <row r="557" spans="68:68" x14ac:dyDescent="0.25">
      <c r="BP557"/>
    </row>
    <row r="558" spans="68:68" x14ac:dyDescent="0.25">
      <c r="BP558"/>
    </row>
    <row r="559" spans="68:68" x14ac:dyDescent="0.25">
      <c r="BP559"/>
    </row>
    <row r="560" spans="68:68" x14ac:dyDescent="0.25">
      <c r="BP560"/>
    </row>
    <row r="561" spans="68:68" x14ac:dyDescent="0.25">
      <c r="BP561"/>
    </row>
    <row r="562" spans="68:68" x14ac:dyDescent="0.25">
      <c r="BP562"/>
    </row>
    <row r="563" spans="68:68" x14ac:dyDescent="0.25">
      <c r="BP563"/>
    </row>
    <row r="564" spans="68:68" x14ac:dyDescent="0.25">
      <c r="BP564"/>
    </row>
    <row r="565" spans="68:68" x14ac:dyDescent="0.25">
      <c r="BP565"/>
    </row>
    <row r="566" spans="68:68" x14ac:dyDescent="0.25">
      <c r="BP566"/>
    </row>
    <row r="567" spans="68:68" x14ac:dyDescent="0.25">
      <c r="BP567"/>
    </row>
    <row r="568" spans="68:68" x14ac:dyDescent="0.25">
      <c r="BP568"/>
    </row>
    <row r="569" spans="68:68" x14ac:dyDescent="0.25">
      <c r="BP569"/>
    </row>
    <row r="570" spans="68:68" x14ac:dyDescent="0.25">
      <c r="BP570"/>
    </row>
    <row r="571" spans="68:68" x14ac:dyDescent="0.25">
      <c r="BP571"/>
    </row>
    <row r="572" spans="68:68" x14ac:dyDescent="0.25">
      <c r="BP572"/>
    </row>
    <row r="573" spans="68:68" x14ac:dyDescent="0.25">
      <c r="BP573"/>
    </row>
    <row r="574" spans="68:68" x14ac:dyDescent="0.25">
      <c r="BP574"/>
    </row>
    <row r="575" spans="68:68" x14ac:dyDescent="0.25">
      <c r="BP575"/>
    </row>
    <row r="576" spans="68:68" x14ac:dyDescent="0.25">
      <c r="BP576"/>
    </row>
    <row r="577" spans="68:68" x14ac:dyDescent="0.25">
      <c r="BP577"/>
    </row>
    <row r="578" spans="68:68" x14ac:dyDescent="0.25">
      <c r="BP578"/>
    </row>
    <row r="579" spans="68:68" x14ac:dyDescent="0.25">
      <c r="BP579"/>
    </row>
    <row r="580" spans="68:68" x14ac:dyDescent="0.25">
      <c r="BP580"/>
    </row>
    <row r="581" spans="68:68" x14ac:dyDescent="0.25">
      <c r="BP581"/>
    </row>
    <row r="582" spans="68:68" x14ac:dyDescent="0.25">
      <c r="BP582"/>
    </row>
    <row r="583" spans="68:68" x14ac:dyDescent="0.25">
      <c r="BP583"/>
    </row>
    <row r="584" spans="68:68" x14ac:dyDescent="0.25">
      <c r="BP584"/>
    </row>
    <row r="585" spans="68:68" x14ac:dyDescent="0.25">
      <c r="BP585"/>
    </row>
    <row r="586" spans="68:68" x14ac:dyDescent="0.25">
      <c r="BP586"/>
    </row>
    <row r="587" spans="68:68" x14ac:dyDescent="0.25">
      <c r="BP587"/>
    </row>
    <row r="588" spans="68:68" x14ac:dyDescent="0.25">
      <c r="BP588"/>
    </row>
    <row r="589" spans="68:68" x14ac:dyDescent="0.25">
      <c r="BP589"/>
    </row>
    <row r="590" spans="68:68" x14ac:dyDescent="0.25">
      <c r="BP590"/>
    </row>
    <row r="591" spans="68:68" x14ac:dyDescent="0.25">
      <c r="BP591"/>
    </row>
    <row r="592" spans="68:68" x14ac:dyDescent="0.25">
      <c r="BP592"/>
    </row>
    <row r="593" spans="68:68" x14ac:dyDescent="0.25">
      <c r="BP593"/>
    </row>
    <row r="594" spans="68:68" x14ac:dyDescent="0.25">
      <c r="BP594"/>
    </row>
    <row r="595" spans="68:68" x14ac:dyDescent="0.25">
      <c r="BP595"/>
    </row>
    <row r="596" spans="68:68" x14ac:dyDescent="0.25">
      <c r="BP596"/>
    </row>
    <row r="597" spans="68:68" x14ac:dyDescent="0.25">
      <c r="BP597"/>
    </row>
    <row r="598" spans="68:68" x14ac:dyDescent="0.25">
      <c r="BP598"/>
    </row>
    <row r="599" spans="68:68" x14ac:dyDescent="0.25">
      <c r="BP599"/>
    </row>
    <row r="600" spans="68:68" x14ac:dyDescent="0.25">
      <c r="BP600"/>
    </row>
    <row r="601" spans="68:68" x14ac:dyDescent="0.25">
      <c r="BP601"/>
    </row>
    <row r="602" spans="68:68" x14ac:dyDescent="0.25">
      <c r="BP602"/>
    </row>
    <row r="603" spans="68:68" x14ac:dyDescent="0.25">
      <c r="BP603"/>
    </row>
    <row r="604" spans="68:68" x14ac:dyDescent="0.25">
      <c r="BP604"/>
    </row>
    <row r="605" spans="68:68" x14ac:dyDescent="0.25">
      <c r="BP605"/>
    </row>
    <row r="606" spans="68:68" x14ac:dyDescent="0.25">
      <c r="BP606"/>
    </row>
    <row r="607" spans="68:68" x14ac:dyDescent="0.25">
      <c r="BP607"/>
    </row>
    <row r="608" spans="68:68" x14ac:dyDescent="0.25">
      <c r="BP608"/>
    </row>
    <row r="609" spans="68:68" x14ac:dyDescent="0.25">
      <c r="BP609"/>
    </row>
    <row r="610" spans="68:68" x14ac:dyDescent="0.25">
      <c r="BP610"/>
    </row>
    <row r="611" spans="68:68" x14ac:dyDescent="0.25">
      <c r="BP611"/>
    </row>
    <row r="612" spans="68:68" x14ac:dyDescent="0.25">
      <c r="BP612"/>
    </row>
    <row r="613" spans="68:68" x14ac:dyDescent="0.25">
      <c r="BP613"/>
    </row>
    <row r="614" spans="68:68" x14ac:dyDescent="0.25">
      <c r="BP614"/>
    </row>
    <row r="615" spans="68:68" x14ac:dyDescent="0.25">
      <c r="BP615"/>
    </row>
    <row r="616" spans="68:68" x14ac:dyDescent="0.25">
      <c r="BP616"/>
    </row>
    <row r="617" spans="68:68" x14ac:dyDescent="0.25">
      <c r="BP617"/>
    </row>
    <row r="618" spans="68:68" x14ac:dyDescent="0.25">
      <c r="BP618"/>
    </row>
    <row r="619" spans="68:68" x14ac:dyDescent="0.25">
      <c r="BP619"/>
    </row>
    <row r="620" spans="68:68" x14ac:dyDescent="0.25">
      <c r="BP620"/>
    </row>
    <row r="621" spans="68:68" x14ac:dyDescent="0.25">
      <c r="BP621"/>
    </row>
    <row r="622" spans="68:68" x14ac:dyDescent="0.25">
      <c r="BP622"/>
    </row>
    <row r="623" spans="68:68" x14ac:dyDescent="0.25">
      <c r="BP623"/>
    </row>
    <row r="624" spans="68:68" x14ac:dyDescent="0.25">
      <c r="BP624"/>
    </row>
    <row r="625" spans="68:68" x14ac:dyDescent="0.25">
      <c r="BP625"/>
    </row>
    <row r="626" spans="68:68" x14ac:dyDescent="0.25">
      <c r="BP626"/>
    </row>
    <row r="627" spans="68:68" x14ac:dyDescent="0.25">
      <c r="BP627"/>
    </row>
    <row r="628" spans="68:68" x14ac:dyDescent="0.25">
      <c r="BP628"/>
    </row>
    <row r="629" spans="68:68" x14ac:dyDescent="0.25">
      <c r="BP629"/>
    </row>
    <row r="630" spans="68:68" x14ac:dyDescent="0.25">
      <c r="BP630"/>
    </row>
    <row r="631" spans="68:68" x14ac:dyDescent="0.25">
      <c r="BP631"/>
    </row>
    <row r="632" spans="68:68" x14ac:dyDescent="0.25">
      <c r="BP632"/>
    </row>
    <row r="633" spans="68:68" x14ac:dyDescent="0.25">
      <c r="BP633"/>
    </row>
    <row r="634" spans="68:68" x14ac:dyDescent="0.25">
      <c r="BP634"/>
    </row>
    <row r="635" spans="68:68" x14ac:dyDescent="0.25">
      <c r="BP635"/>
    </row>
    <row r="636" spans="68:68" x14ac:dyDescent="0.25">
      <c r="BP636"/>
    </row>
    <row r="637" spans="68:68" x14ac:dyDescent="0.25">
      <c r="BP637"/>
    </row>
    <row r="638" spans="68:68" x14ac:dyDescent="0.25">
      <c r="BP638"/>
    </row>
    <row r="639" spans="68:68" x14ac:dyDescent="0.25">
      <c r="BP639"/>
    </row>
    <row r="640" spans="68:68" x14ac:dyDescent="0.25">
      <c r="BP640"/>
    </row>
    <row r="641" spans="68:68" x14ac:dyDescent="0.25">
      <c r="BP641"/>
    </row>
    <row r="642" spans="68:68" x14ac:dyDescent="0.25">
      <c r="BP642"/>
    </row>
    <row r="643" spans="68:68" x14ac:dyDescent="0.25">
      <c r="BP643"/>
    </row>
    <row r="644" spans="68:68" x14ac:dyDescent="0.25">
      <c r="BP644"/>
    </row>
    <row r="645" spans="68:68" x14ac:dyDescent="0.25">
      <c r="BP645"/>
    </row>
    <row r="646" spans="68:68" x14ac:dyDescent="0.25">
      <c r="BP646"/>
    </row>
    <row r="647" spans="68:68" x14ac:dyDescent="0.25">
      <c r="BP647"/>
    </row>
    <row r="648" spans="68:68" x14ac:dyDescent="0.25">
      <c r="BP648"/>
    </row>
    <row r="649" spans="68:68" x14ac:dyDescent="0.25">
      <c r="BP649"/>
    </row>
    <row r="650" spans="68:68" x14ac:dyDescent="0.25">
      <c r="BP650"/>
    </row>
    <row r="651" spans="68:68" x14ac:dyDescent="0.25">
      <c r="BP651"/>
    </row>
    <row r="652" spans="68:68" x14ac:dyDescent="0.25">
      <c r="BP652"/>
    </row>
    <row r="653" spans="68:68" x14ac:dyDescent="0.25">
      <c r="BP653"/>
    </row>
    <row r="654" spans="68:68" x14ac:dyDescent="0.25">
      <c r="BP654"/>
    </row>
    <row r="655" spans="68:68" x14ac:dyDescent="0.25">
      <c r="BP655"/>
    </row>
    <row r="656" spans="68:68" x14ac:dyDescent="0.25">
      <c r="BP656"/>
    </row>
    <row r="657" spans="68:68" x14ac:dyDescent="0.25">
      <c r="BP657"/>
    </row>
    <row r="658" spans="68:68" x14ac:dyDescent="0.25">
      <c r="BP658"/>
    </row>
    <row r="659" spans="68:68" x14ac:dyDescent="0.25">
      <c r="BP659"/>
    </row>
    <row r="660" spans="68:68" x14ac:dyDescent="0.25">
      <c r="BP660"/>
    </row>
    <row r="661" spans="68:68" x14ac:dyDescent="0.25">
      <c r="BP661"/>
    </row>
    <row r="662" spans="68:68" x14ac:dyDescent="0.25">
      <c r="BP662"/>
    </row>
    <row r="663" spans="68:68" x14ac:dyDescent="0.25">
      <c r="BP663"/>
    </row>
    <row r="664" spans="68:68" x14ac:dyDescent="0.25">
      <c r="BP664"/>
    </row>
    <row r="665" spans="68:68" x14ac:dyDescent="0.25">
      <c r="BP665"/>
    </row>
    <row r="666" spans="68:68" x14ac:dyDescent="0.25">
      <c r="BP666"/>
    </row>
    <row r="667" spans="68:68" x14ac:dyDescent="0.25">
      <c r="BP667"/>
    </row>
    <row r="668" spans="68:68" x14ac:dyDescent="0.25">
      <c r="BP668"/>
    </row>
    <row r="669" spans="68:68" x14ac:dyDescent="0.25">
      <c r="BP669"/>
    </row>
    <row r="670" spans="68:68" x14ac:dyDescent="0.25">
      <c r="BP670"/>
    </row>
    <row r="671" spans="68:68" x14ac:dyDescent="0.25">
      <c r="BP671"/>
    </row>
    <row r="672" spans="68:68" x14ac:dyDescent="0.25">
      <c r="BP672"/>
    </row>
    <row r="673" spans="68:68" x14ac:dyDescent="0.25">
      <c r="BP673"/>
    </row>
    <row r="674" spans="68:68" x14ac:dyDescent="0.25">
      <c r="BP674"/>
    </row>
    <row r="675" spans="68:68" x14ac:dyDescent="0.25">
      <c r="BP675"/>
    </row>
    <row r="676" spans="68:68" x14ac:dyDescent="0.25">
      <c r="BP676"/>
    </row>
    <row r="677" spans="68:68" x14ac:dyDescent="0.25">
      <c r="BP677"/>
    </row>
    <row r="678" spans="68:68" x14ac:dyDescent="0.25">
      <c r="BP678"/>
    </row>
    <row r="679" spans="68:68" x14ac:dyDescent="0.25">
      <c r="BP679"/>
    </row>
    <row r="680" spans="68:68" x14ac:dyDescent="0.25">
      <c r="BP680"/>
    </row>
    <row r="681" spans="68:68" x14ac:dyDescent="0.25">
      <c r="BP681"/>
    </row>
    <row r="682" spans="68:68" x14ac:dyDescent="0.25">
      <c r="BP682"/>
    </row>
    <row r="683" spans="68:68" x14ac:dyDescent="0.25">
      <c r="BP683"/>
    </row>
    <row r="684" spans="68:68" x14ac:dyDescent="0.25">
      <c r="BP684"/>
    </row>
    <row r="685" spans="68:68" x14ac:dyDescent="0.25">
      <c r="BP685"/>
    </row>
    <row r="686" spans="68:68" x14ac:dyDescent="0.25">
      <c r="BP686"/>
    </row>
    <row r="687" spans="68:68" x14ac:dyDescent="0.25">
      <c r="BP687"/>
    </row>
    <row r="688" spans="68:68" x14ac:dyDescent="0.25">
      <c r="BP688"/>
    </row>
    <row r="689" spans="68:68" x14ac:dyDescent="0.25">
      <c r="BP689"/>
    </row>
    <row r="690" spans="68:68" x14ac:dyDescent="0.25">
      <c r="BP690"/>
    </row>
    <row r="691" spans="68:68" x14ac:dyDescent="0.25">
      <c r="BP691"/>
    </row>
    <row r="692" spans="68:68" x14ac:dyDescent="0.25">
      <c r="BP692"/>
    </row>
    <row r="693" spans="68:68" x14ac:dyDescent="0.25">
      <c r="BP693"/>
    </row>
    <row r="694" spans="68:68" x14ac:dyDescent="0.25">
      <c r="BP694"/>
    </row>
    <row r="695" spans="68:68" x14ac:dyDescent="0.25">
      <c r="BP695"/>
    </row>
    <row r="696" spans="68:68" x14ac:dyDescent="0.25">
      <c r="BP696"/>
    </row>
    <row r="697" spans="68:68" x14ac:dyDescent="0.25">
      <c r="BP697"/>
    </row>
    <row r="698" spans="68:68" x14ac:dyDescent="0.25">
      <c r="BP698"/>
    </row>
    <row r="699" spans="68:68" x14ac:dyDescent="0.25">
      <c r="BP699"/>
    </row>
    <row r="700" spans="68:68" x14ac:dyDescent="0.25">
      <c r="BP700"/>
    </row>
    <row r="701" spans="68:68" x14ac:dyDescent="0.25">
      <c r="BP701"/>
    </row>
    <row r="702" spans="68:68" x14ac:dyDescent="0.25">
      <c r="BP702"/>
    </row>
    <row r="703" spans="68:68" x14ac:dyDescent="0.25">
      <c r="BP703"/>
    </row>
    <row r="704" spans="68:68" x14ac:dyDescent="0.25">
      <c r="BP704"/>
    </row>
    <row r="705" spans="68:68" x14ac:dyDescent="0.25">
      <c r="BP705"/>
    </row>
    <row r="706" spans="68:68" x14ac:dyDescent="0.25">
      <c r="BP706"/>
    </row>
    <row r="707" spans="68:68" x14ac:dyDescent="0.25">
      <c r="BP707"/>
    </row>
    <row r="708" spans="68:68" x14ac:dyDescent="0.25">
      <c r="BP708"/>
    </row>
    <row r="709" spans="68:68" x14ac:dyDescent="0.25">
      <c r="BP709"/>
    </row>
    <row r="710" spans="68:68" x14ac:dyDescent="0.25">
      <c r="BP710"/>
    </row>
    <row r="711" spans="68:68" x14ac:dyDescent="0.25">
      <c r="BP711"/>
    </row>
    <row r="712" spans="68:68" x14ac:dyDescent="0.25">
      <c r="BP712"/>
    </row>
    <row r="713" spans="68:68" x14ac:dyDescent="0.25">
      <c r="BP713"/>
    </row>
    <row r="714" spans="68:68" x14ac:dyDescent="0.25">
      <c r="BP714"/>
    </row>
    <row r="715" spans="68:68" x14ac:dyDescent="0.25">
      <c r="BP715"/>
    </row>
    <row r="716" spans="68:68" x14ac:dyDescent="0.25">
      <c r="BP716"/>
    </row>
    <row r="717" spans="68:68" x14ac:dyDescent="0.25">
      <c r="BP717"/>
    </row>
    <row r="718" spans="68:68" x14ac:dyDescent="0.25">
      <c r="BP718"/>
    </row>
    <row r="719" spans="68:68" x14ac:dyDescent="0.25">
      <c r="BP719"/>
    </row>
    <row r="720" spans="68:68" x14ac:dyDescent="0.25">
      <c r="BP720"/>
    </row>
    <row r="721" spans="68:68" x14ac:dyDescent="0.25">
      <c r="BP721"/>
    </row>
    <row r="722" spans="68:68" x14ac:dyDescent="0.25">
      <c r="BP722"/>
    </row>
    <row r="723" spans="68:68" x14ac:dyDescent="0.25">
      <c r="BP723"/>
    </row>
    <row r="724" spans="68:68" x14ac:dyDescent="0.25">
      <c r="BP724"/>
    </row>
    <row r="725" spans="68:68" x14ac:dyDescent="0.25">
      <c r="BP725"/>
    </row>
    <row r="726" spans="68:68" x14ac:dyDescent="0.25">
      <c r="BP726"/>
    </row>
    <row r="727" spans="68:68" x14ac:dyDescent="0.25">
      <c r="BP727"/>
    </row>
    <row r="728" spans="68:68" x14ac:dyDescent="0.25">
      <c r="BP728"/>
    </row>
    <row r="729" spans="68:68" x14ac:dyDescent="0.25">
      <c r="BP729"/>
    </row>
    <row r="730" spans="68:68" x14ac:dyDescent="0.25">
      <c r="BP730"/>
    </row>
    <row r="731" spans="68:68" x14ac:dyDescent="0.25">
      <c r="BP731"/>
    </row>
    <row r="732" spans="68:68" x14ac:dyDescent="0.25">
      <c r="BP732"/>
    </row>
    <row r="733" spans="68:68" x14ac:dyDescent="0.25">
      <c r="BP733"/>
    </row>
    <row r="734" spans="68:68" x14ac:dyDescent="0.25">
      <c r="BP734"/>
    </row>
    <row r="735" spans="68:68" x14ac:dyDescent="0.25">
      <c r="BP735"/>
    </row>
    <row r="736" spans="68:68" x14ac:dyDescent="0.25">
      <c r="BP736"/>
    </row>
    <row r="737" spans="68:68" x14ac:dyDescent="0.25">
      <c r="BP737"/>
    </row>
    <row r="738" spans="68:68" x14ac:dyDescent="0.25">
      <c r="BP738"/>
    </row>
    <row r="739" spans="68:68" x14ac:dyDescent="0.25">
      <c r="BP739"/>
    </row>
    <row r="740" spans="68:68" x14ac:dyDescent="0.25">
      <c r="BP740"/>
    </row>
    <row r="741" spans="68:68" x14ac:dyDescent="0.25">
      <c r="BP741"/>
    </row>
    <row r="742" spans="68:68" x14ac:dyDescent="0.25">
      <c r="BP742"/>
    </row>
    <row r="743" spans="68:68" x14ac:dyDescent="0.25">
      <c r="BP743"/>
    </row>
    <row r="744" spans="68:68" x14ac:dyDescent="0.25">
      <c r="BP744"/>
    </row>
    <row r="745" spans="68:68" x14ac:dyDescent="0.25">
      <c r="BP745"/>
    </row>
    <row r="746" spans="68:68" x14ac:dyDescent="0.25">
      <c r="BP746"/>
    </row>
    <row r="747" spans="68:68" x14ac:dyDescent="0.25">
      <c r="BP747"/>
    </row>
    <row r="748" spans="68:68" x14ac:dyDescent="0.25">
      <c r="BP748"/>
    </row>
    <row r="749" spans="68:68" x14ac:dyDescent="0.25">
      <c r="BP749"/>
    </row>
    <row r="750" spans="68:68" x14ac:dyDescent="0.25">
      <c r="BP750"/>
    </row>
    <row r="751" spans="68:68" x14ac:dyDescent="0.25">
      <c r="BP751"/>
    </row>
    <row r="752" spans="68:68" x14ac:dyDescent="0.25">
      <c r="BP752"/>
    </row>
    <row r="753" spans="68:68" x14ac:dyDescent="0.25">
      <c r="BP753"/>
    </row>
    <row r="754" spans="68:68" x14ac:dyDescent="0.25">
      <c r="BP754"/>
    </row>
    <row r="755" spans="68:68" x14ac:dyDescent="0.25">
      <c r="BP755"/>
    </row>
    <row r="756" spans="68:68" x14ac:dyDescent="0.25">
      <c r="BP756"/>
    </row>
    <row r="757" spans="68:68" x14ac:dyDescent="0.25">
      <c r="BP757"/>
    </row>
    <row r="758" spans="68:68" x14ac:dyDescent="0.25">
      <c r="BP758"/>
    </row>
    <row r="759" spans="68:68" x14ac:dyDescent="0.25">
      <c r="BP759"/>
    </row>
    <row r="760" spans="68:68" x14ac:dyDescent="0.25">
      <c r="BP760"/>
    </row>
    <row r="761" spans="68:68" x14ac:dyDescent="0.25">
      <c r="BP761"/>
    </row>
    <row r="762" spans="68:68" x14ac:dyDescent="0.25">
      <c r="BP762"/>
    </row>
    <row r="763" spans="68:68" x14ac:dyDescent="0.25">
      <c r="BP763"/>
    </row>
    <row r="764" spans="68:68" x14ac:dyDescent="0.25">
      <c r="BP764"/>
    </row>
    <row r="765" spans="68:68" x14ac:dyDescent="0.25">
      <c r="BP765"/>
    </row>
    <row r="766" spans="68:68" x14ac:dyDescent="0.25">
      <c r="BP766"/>
    </row>
    <row r="767" spans="68:68" x14ac:dyDescent="0.25">
      <c r="BP767"/>
    </row>
    <row r="768" spans="68:68" x14ac:dyDescent="0.25">
      <c r="BP768"/>
    </row>
    <row r="769" spans="68:68" x14ac:dyDescent="0.25">
      <c r="BP769"/>
    </row>
    <row r="770" spans="68:68" x14ac:dyDescent="0.25">
      <c r="BP770"/>
    </row>
    <row r="771" spans="68:68" x14ac:dyDescent="0.25">
      <c r="BP771"/>
    </row>
    <row r="772" spans="68:68" x14ac:dyDescent="0.25">
      <c r="BP772"/>
    </row>
    <row r="773" spans="68:68" x14ac:dyDescent="0.25">
      <c r="BP773"/>
    </row>
    <row r="774" spans="68:68" x14ac:dyDescent="0.25">
      <c r="BP774"/>
    </row>
    <row r="775" spans="68:68" x14ac:dyDescent="0.25">
      <c r="BP775"/>
    </row>
    <row r="776" spans="68:68" x14ac:dyDescent="0.25">
      <c r="BP776"/>
    </row>
    <row r="777" spans="68:68" x14ac:dyDescent="0.25">
      <c r="BP777"/>
    </row>
    <row r="778" spans="68:68" x14ac:dyDescent="0.25">
      <c r="BP778"/>
    </row>
    <row r="779" spans="68:68" x14ac:dyDescent="0.25">
      <c r="BP779"/>
    </row>
    <row r="780" spans="68:68" x14ac:dyDescent="0.25">
      <c r="BP780"/>
    </row>
    <row r="781" spans="68:68" x14ac:dyDescent="0.25">
      <c r="BP781"/>
    </row>
    <row r="782" spans="68:68" x14ac:dyDescent="0.25">
      <c r="BP782"/>
    </row>
    <row r="783" spans="68:68" x14ac:dyDescent="0.25">
      <c r="BP783"/>
    </row>
    <row r="784" spans="68:68" x14ac:dyDescent="0.25">
      <c r="BP784"/>
    </row>
    <row r="785" spans="68:68" x14ac:dyDescent="0.25">
      <c r="BP785"/>
    </row>
    <row r="786" spans="68:68" x14ac:dyDescent="0.25">
      <c r="BP786"/>
    </row>
    <row r="787" spans="68:68" x14ac:dyDescent="0.25">
      <c r="BP787"/>
    </row>
    <row r="788" spans="68:68" x14ac:dyDescent="0.25">
      <c r="BP788"/>
    </row>
    <row r="789" spans="68:68" x14ac:dyDescent="0.25">
      <c r="BP789"/>
    </row>
    <row r="790" spans="68:68" x14ac:dyDescent="0.25">
      <c r="BP790"/>
    </row>
    <row r="791" spans="68:68" x14ac:dyDescent="0.25">
      <c r="BP791"/>
    </row>
    <row r="792" spans="68:68" x14ac:dyDescent="0.25">
      <c r="BP792"/>
    </row>
    <row r="793" spans="68:68" x14ac:dyDescent="0.25">
      <c r="BP793"/>
    </row>
    <row r="794" spans="68:68" x14ac:dyDescent="0.25">
      <c r="BP794"/>
    </row>
    <row r="795" spans="68:68" x14ac:dyDescent="0.25">
      <c r="BP795"/>
    </row>
    <row r="796" spans="68:68" x14ac:dyDescent="0.25">
      <c r="BP796"/>
    </row>
    <row r="797" spans="68:68" x14ac:dyDescent="0.25">
      <c r="BP797"/>
    </row>
    <row r="798" spans="68:68" x14ac:dyDescent="0.25">
      <c r="BP798"/>
    </row>
    <row r="799" spans="68:68" x14ac:dyDescent="0.25">
      <c r="BP799"/>
    </row>
    <row r="800" spans="68:68" x14ac:dyDescent="0.25">
      <c r="BP800"/>
    </row>
    <row r="801" spans="68:68" x14ac:dyDescent="0.25">
      <c r="BP801"/>
    </row>
    <row r="802" spans="68:68" x14ac:dyDescent="0.25">
      <c r="BP802"/>
    </row>
    <row r="803" spans="68:68" x14ac:dyDescent="0.25">
      <c r="BP803"/>
    </row>
    <row r="804" spans="68:68" x14ac:dyDescent="0.25">
      <c r="BP804"/>
    </row>
    <row r="805" spans="68:68" x14ac:dyDescent="0.25">
      <c r="BP805"/>
    </row>
    <row r="806" spans="68:68" x14ac:dyDescent="0.25">
      <c r="BP806"/>
    </row>
    <row r="807" spans="68:68" x14ac:dyDescent="0.25">
      <c r="BP807"/>
    </row>
    <row r="808" spans="68:68" x14ac:dyDescent="0.25">
      <c r="BP808"/>
    </row>
    <row r="809" spans="68:68" x14ac:dyDescent="0.25">
      <c r="BP809"/>
    </row>
    <row r="810" spans="68:68" x14ac:dyDescent="0.25">
      <c r="BP810"/>
    </row>
    <row r="811" spans="68:68" x14ac:dyDescent="0.25">
      <c r="BP811"/>
    </row>
    <row r="812" spans="68:68" x14ac:dyDescent="0.25">
      <c r="BP812"/>
    </row>
    <row r="813" spans="68:68" x14ac:dyDescent="0.25">
      <c r="BP813"/>
    </row>
    <row r="814" spans="68:68" x14ac:dyDescent="0.25">
      <c r="BP814"/>
    </row>
    <row r="815" spans="68:68" x14ac:dyDescent="0.25">
      <c r="BP815"/>
    </row>
    <row r="816" spans="68:68" x14ac:dyDescent="0.25">
      <c r="BP816"/>
    </row>
    <row r="817" spans="68:68" x14ac:dyDescent="0.25">
      <c r="BP817"/>
    </row>
    <row r="818" spans="68:68" x14ac:dyDescent="0.25">
      <c r="BP818"/>
    </row>
    <row r="819" spans="68:68" x14ac:dyDescent="0.25">
      <c r="BP819"/>
    </row>
    <row r="820" spans="68:68" x14ac:dyDescent="0.25">
      <c r="BP820"/>
    </row>
    <row r="821" spans="68:68" x14ac:dyDescent="0.25">
      <c r="BP821"/>
    </row>
    <row r="822" spans="68:68" x14ac:dyDescent="0.25">
      <c r="BP822"/>
    </row>
    <row r="823" spans="68:68" x14ac:dyDescent="0.25">
      <c r="BP823"/>
    </row>
    <row r="824" spans="68:68" x14ac:dyDescent="0.25">
      <c r="BP824"/>
    </row>
    <row r="825" spans="68:68" x14ac:dyDescent="0.25">
      <c r="BP825"/>
    </row>
    <row r="826" spans="68:68" x14ac:dyDescent="0.25">
      <c r="BP826"/>
    </row>
    <row r="827" spans="68:68" x14ac:dyDescent="0.25">
      <c r="BP827"/>
    </row>
    <row r="828" spans="68:68" x14ac:dyDescent="0.25">
      <c r="BP828"/>
    </row>
    <row r="829" spans="68:68" x14ac:dyDescent="0.25">
      <c r="BP829"/>
    </row>
    <row r="830" spans="68:68" x14ac:dyDescent="0.25">
      <c r="BP830"/>
    </row>
    <row r="831" spans="68:68" x14ac:dyDescent="0.25">
      <c r="BP831"/>
    </row>
    <row r="832" spans="68:68" x14ac:dyDescent="0.25">
      <c r="BP832"/>
    </row>
    <row r="833" spans="68:68" x14ac:dyDescent="0.25">
      <c r="BP833"/>
    </row>
    <row r="834" spans="68:68" x14ac:dyDescent="0.25">
      <c r="BP834"/>
    </row>
    <row r="835" spans="68:68" x14ac:dyDescent="0.25">
      <c r="BP835"/>
    </row>
    <row r="836" spans="68:68" x14ac:dyDescent="0.25">
      <c r="BP836"/>
    </row>
    <row r="837" spans="68:68" x14ac:dyDescent="0.25">
      <c r="BP837"/>
    </row>
    <row r="838" spans="68:68" x14ac:dyDescent="0.25">
      <c r="BP838"/>
    </row>
    <row r="839" spans="68:68" x14ac:dyDescent="0.25">
      <c r="BP839"/>
    </row>
    <row r="840" spans="68:68" x14ac:dyDescent="0.25">
      <c r="BP840"/>
    </row>
    <row r="841" spans="68:68" x14ac:dyDescent="0.25">
      <c r="BP841"/>
    </row>
    <row r="842" spans="68:68" x14ac:dyDescent="0.25">
      <c r="BP842"/>
    </row>
    <row r="843" spans="68:68" x14ac:dyDescent="0.25">
      <c r="BP843"/>
    </row>
    <row r="844" spans="68:68" x14ac:dyDescent="0.25">
      <c r="BP844"/>
    </row>
    <row r="845" spans="68:68" x14ac:dyDescent="0.25">
      <c r="BP845"/>
    </row>
    <row r="846" spans="68:68" x14ac:dyDescent="0.25">
      <c r="BP846"/>
    </row>
    <row r="847" spans="68:68" x14ac:dyDescent="0.25">
      <c r="BP847"/>
    </row>
    <row r="848" spans="68:68" x14ac:dyDescent="0.25">
      <c r="BP848"/>
    </row>
    <row r="849" spans="68:68" x14ac:dyDescent="0.25">
      <c r="BP849"/>
    </row>
    <row r="850" spans="68:68" x14ac:dyDescent="0.25">
      <c r="BP850"/>
    </row>
    <row r="851" spans="68:68" x14ac:dyDescent="0.25">
      <c r="BP851"/>
    </row>
    <row r="852" spans="68:68" x14ac:dyDescent="0.25">
      <c r="BP852"/>
    </row>
    <row r="853" spans="68:68" x14ac:dyDescent="0.25">
      <c r="BP853"/>
    </row>
    <row r="854" spans="68:68" x14ac:dyDescent="0.25">
      <c r="BP854"/>
    </row>
    <row r="855" spans="68:68" x14ac:dyDescent="0.25">
      <c r="BP855"/>
    </row>
    <row r="856" spans="68:68" x14ac:dyDescent="0.25">
      <c r="BP856"/>
    </row>
    <row r="857" spans="68:68" x14ac:dyDescent="0.25">
      <c r="BP857"/>
    </row>
    <row r="858" spans="68:68" x14ac:dyDescent="0.25">
      <c r="BP858"/>
    </row>
    <row r="859" spans="68:68" x14ac:dyDescent="0.25">
      <c r="BP859"/>
    </row>
    <row r="860" spans="68:68" x14ac:dyDescent="0.25">
      <c r="BP860"/>
    </row>
    <row r="861" spans="68:68" x14ac:dyDescent="0.25">
      <c r="BP861"/>
    </row>
    <row r="862" spans="68:68" x14ac:dyDescent="0.25">
      <c r="BP862"/>
    </row>
    <row r="863" spans="68:68" x14ac:dyDescent="0.25">
      <c r="BP863"/>
    </row>
    <row r="864" spans="68:68" x14ac:dyDescent="0.25">
      <c r="BP864"/>
    </row>
    <row r="865" spans="68:68" x14ac:dyDescent="0.25">
      <c r="BP865"/>
    </row>
    <row r="866" spans="68:68" x14ac:dyDescent="0.25">
      <c r="BP866"/>
    </row>
    <row r="867" spans="68:68" x14ac:dyDescent="0.25">
      <c r="BP867"/>
    </row>
    <row r="868" spans="68:68" x14ac:dyDescent="0.25">
      <c r="BP868"/>
    </row>
    <row r="869" spans="68:68" x14ac:dyDescent="0.25">
      <c r="BP869"/>
    </row>
    <row r="870" spans="68:68" x14ac:dyDescent="0.25">
      <c r="BP870"/>
    </row>
    <row r="871" spans="68:68" x14ac:dyDescent="0.25">
      <c r="BP871"/>
    </row>
    <row r="872" spans="68:68" x14ac:dyDescent="0.25">
      <c r="BP872"/>
    </row>
    <row r="873" spans="68:68" x14ac:dyDescent="0.25">
      <c r="BP873"/>
    </row>
    <row r="874" spans="68:68" x14ac:dyDescent="0.25">
      <c r="BP874"/>
    </row>
    <row r="875" spans="68:68" x14ac:dyDescent="0.25">
      <c r="BP875"/>
    </row>
    <row r="876" spans="68:68" x14ac:dyDescent="0.25">
      <c r="BP876"/>
    </row>
    <row r="877" spans="68:68" x14ac:dyDescent="0.25">
      <c r="BP877"/>
    </row>
    <row r="878" spans="68:68" x14ac:dyDescent="0.25">
      <c r="BP878"/>
    </row>
    <row r="879" spans="68:68" x14ac:dyDescent="0.25">
      <c r="BP879"/>
    </row>
    <row r="880" spans="68:68" x14ac:dyDescent="0.25">
      <c r="BP880"/>
    </row>
    <row r="881" spans="68:68" x14ac:dyDescent="0.25">
      <c r="BP881"/>
    </row>
    <row r="882" spans="68:68" x14ac:dyDescent="0.25">
      <c r="BP882"/>
    </row>
    <row r="883" spans="68:68" x14ac:dyDescent="0.25">
      <c r="BP883"/>
    </row>
    <row r="884" spans="68:68" x14ac:dyDescent="0.25">
      <c r="BP884"/>
    </row>
    <row r="885" spans="68:68" x14ac:dyDescent="0.25">
      <c r="BP885"/>
    </row>
    <row r="886" spans="68:68" x14ac:dyDescent="0.25">
      <c r="BP886"/>
    </row>
    <row r="887" spans="68:68" x14ac:dyDescent="0.25">
      <c r="BP887"/>
    </row>
    <row r="888" spans="68:68" x14ac:dyDescent="0.25">
      <c r="BP888"/>
    </row>
    <row r="889" spans="68:68" x14ac:dyDescent="0.25">
      <c r="BP889"/>
    </row>
    <row r="890" spans="68:68" x14ac:dyDescent="0.25">
      <c r="BP890"/>
    </row>
    <row r="891" spans="68:68" x14ac:dyDescent="0.25">
      <c r="BP891"/>
    </row>
    <row r="892" spans="68:68" x14ac:dyDescent="0.25">
      <c r="BP892"/>
    </row>
    <row r="893" spans="68:68" x14ac:dyDescent="0.25">
      <c r="BP893"/>
    </row>
    <row r="894" spans="68:68" x14ac:dyDescent="0.25">
      <c r="BP894"/>
    </row>
    <row r="895" spans="68:68" x14ac:dyDescent="0.25">
      <c r="BP895"/>
    </row>
    <row r="896" spans="68:68" x14ac:dyDescent="0.25">
      <c r="BP896"/>
    </row>
    <row r="897" spans="68:68" x14ac:dyDescent="0.25">
      <c r="BP897"/>
    </row>
    <row r="898" spans="68:68" x14ac:dyDescent="0.25">
      <c r="BP898"/>
    </row>
    <row r="899" spans="68:68" x14ac:dyDescent="0.25">
      <c r="BP899"/>
    </row>
    <row r="900" spans="68:68" x14ac:dyDescent="0.25">
      <c r="BP900"/>
    </row>
    <row r="901" spans="68:68" x14ac:dyDescent="0.25">
      <c r="BP901"/>
    </row>
    <row r="902" spans="68:68" x14ac:dyDescent="0.25">
      <c r="BP902"/>
    </row>
    <row r="903" spans="68:68" x14ac:dyDescent="0.25">
      <c r="BP903"/>
    </row>
    <row r="904" spans="68:68" x14ac:dyDescent="0.25">
      <c r="BP904"/>
    </row>
    <row r="905" spans="68:68" x14ac:dyDescent="0.25">
      <c r="BP905"/>
    </row>
    <row r="906" spans="68:68" x14ac:dyDescent="0.25">
      <c r="BP906"/>
    </row>
    <row r="907" spans="68:68" x14ac:dyDescent="0.25">
      <c r="BP907"/>
    </row>
    <row r="908" spans="68:68" x14ac:dyDescent="0.25">
      <c r="BP908"/>
    </row>
    <row r="909" spans="68:68" x14ac:dyDescent="0.25">
      <c r="BP909"/>
    </row>
    <row r="910" spans="68:68" x14ac:dyDescent="0.25">
      <c r="BP910"/>
    </row>
    <row r="911" spans="68:68" x14ac:dyDescent="0.25">
      <c r="BP911"/>
    </row>
    <row r="912" spans="68:68" x14ac:dyDescent="0.25">
      <c r="BP912"/>
    </row>
    <row r="913" spans="68:68" x14ac:dyDescent="0.25">
      <c r="BP913"/>
    </row>
    <row r="914" spans="68:68" x14ac:dyDescent="0.25">
      <c r="BP914"/>
    </row>
    <row r="915" spans="68:68" x14ac:dyDescent="0.25">
      <c r="BP915"/>
    </row>
    <row r="916" spans="68:68" x14ac:dyDescent="0.25">
      <c r="BP916"/>
    </row>
    <row r="917" spans="68:68" x14ac:dyDescent="0.25">
      <c r="BP917"/>
    </row>
    <row r="918" spans="68:68" x14ac:dyDescent="0.25">
      <c r="BP918"/>
    </row>
    <row r="919" spans="68:68" x14ac:dyDescent="0.25">
      <c r="BP919"/>
    </row>
    <row r="920" spans="68:68" x14ac:dyDescent="0.25">
      <c r="BP920"/>
    </row>
    <row r="921" spans="68:68" x14ac:dyDescent="0.25">
      <c r="BP921"/>
    </row>
    <row r="922" spans="68:68" x14ac:dyDescent="0.25">
      <c r="BP922"/>
    </row>
    <row r="923" spans="68:68" x14ac:dyDescent="0.25">
      <c r="BP923"/>
    </row>
    <row r="924" spans="68:68" x14ac:dyDescent="0.25">
      <c r="BP924"/>
    </row>
    <row r="925" spans="68:68" x14ac:dyDescent="0.25">
      <c r="BP925"/>
    </row>
    <row r="926" spans="68:68" x14ac:dyDescent="0.25">
      <c r="BP926"/>
    </row>
    <row r="927" spans="68:68" x14ac:dyDescent="0.25">
      <c r="BP927"/>
    </row>
    <row r="928" spans="68:68" x14ac:dyDescent="0.25">
      <c r="BP928"/>
    </row>
    <row r="929" spans="68:68" x14ac:dyDescent="0.25">
      <c r="BP929"/>
    </row>
    <row r="930" spans="68:68" x14ac:dyDescent="0.25">
      <c r="BP930"/>
    </row>
    <row r="931" spans="68:68" x14ac:dyDescent="0.25">
      <c r="BP931"/>
    </row>
    <row r="932" spans="68:68" x14ac:dyDescent="0.25">
      <c r="BP932"/>
    </row>
    <row r="933" spans="68:68" x14ac:dyDescent="0.25">
      <c r="BP933"/>
    </row>
    <row r="934" spans="68:68" x14ac:dyDescent="0.25">
      <c r="BP934"/>
    </row>
    <row r="935" spans="68:68" x14ac:dyDescent="0.25">
      <c r="BP935"/>
    </row>
    <row r="936" spans="68:68" x14ac:dyDescent="0.25">
      <c r="BP936"/>
    </row>
    <row r="937" spans="68:68" x14ac:dyDescent="0.25">
      <c r="BP937"/>
    </row>
    <row r="938" spans="68:68" x14ac:dyDescent="0.25">
      <c r="BP938"/>
    </row>
    <row r="939" spans="68:68" x14ac:dyDescent="0.25">
      <c r="BP939"/>
    </row>
    <row r="940" spans="68:68" x14ac:dyDescent="0.25">
      <c r="BP940"/>
    </row>
    <row r="941" spans="68:68" x14ac:dyDescent="0.25">
      <c r="BP941"/>
    </row>
    <row r="942" spans="68:68" x14ac:dyDescent="0.25">
      <c r="BP942"/>
    </row>
    <row r="943" spans="68:68" x14ac:dyDescent="0.25">
      <c r="BP943"/>
    </row>
    <row r="944" spans="68:68" x14ac:dyDescent="0.25">
      <c r="BP944"/>
    </row>
    <row r="945" spans="68:68" x14ac:dyDescent="0.25">
      <c r="BP945"/>
    </row>
    <row r="946" spans="68:68" x14ac:dyDescent="0.25">
      <c r="BP946"/>
    </row>
    <row r="947" spans="68:68" x14ac:dyDescent="0.25">
      <c r="BP947"/>
    </row>
    <row r="948" spans="68:68" x14ac:dyDescent="0.25">
      <c r="BP948"/>
    </row>
    <row r="949" spans="68:68" x14ac:dyDescent="0.25">
      <c r="BP949"/>
    </row>
    <row r="950" spans="68:68" x14ac:dyDescent="0.25">
      <c r="BP950"/>
    </row>
    <row r="951" spans="68:68" x14ac:dyDescent="0.25">
      <c r="BP951"/>
    </row>
    <row r="952" spans="68:68" x14ac:dyDescent="0.25">
      <c r="BP952"/>
    </row>
    <row r="953" spans="68:68" x14ac:dyDescent="0.25">
      <c r="BP953"/>
    </row>
    <row r="954" spans="68:68" x14ac:dyDescent="0.25">
      <c r="BP954"/>
    </row>
    <row r="955" spans="68:68" x14ac:dyDescent="0.25">
      <c r="BP955"/>
    </row>
    <row r="956" spans="68:68" x14ac:dyDescent="0.25">
      <c r="BP956"/>
    </row>
    <row r="957" spans="68:68" x14ac:dyDescent="0.25">
      <c r="BP957"/>
    </row>
    <row r="958" spans="68:68" x14ac:dyDescent="0.25">
      <c r="BP958"/>
    </row>
    <row r="959" spans="68:68" x14ac:dyDescent="0.25">
      <c r="BP959"/>
    </row>
    <row r="960" spans="68:68" x14ac:dyDescent="0.25">
      <c r="BP960"/>
    </row>
    <row r="961" spans="68:68" x14ac:dyDescent="0.25">
      <c r="BP961"/>
    </row>
    <row r="962" spans="68:68" x14ac:dyDescent="0.25">
      <c r="BP962"/>
    </row>
    <row r="963" spans="68:68" x14ac:dyDescent="0.25">
      <c r="BP963"/>
    </row>
    <row r="964" spans="68:68" x14ac:dyDescent="0.25">
      <c r="BP964"/>
    </row>
    <row r="965" spans="68:68" x14ac:dyDescent="0.25">
      <c r="BP965"/>
    </row>
    <row r="966" spans="68:68" x14ac:dyDescent="0.25">
      <c r="BP966"/>
    </row>
    <row r="967" spans="68:68" x14ac:dyDescent="0.25">
      <c r="BP967"/>
    </row>
    <row r="968" spans="68:68" x14ac:dyDescent="0.25">
      <c r="BP968"/>
    </row>
    <row r="969" spans="68:68" x14ac:dyDescent="0.25">
      <c r="BP969"/>
    </row>
    <row r="970" spans="68:68" x14ac:dyDescent="0.25">
      <c r="BP970"/>
    </row>
    <row r="971" spans="68:68" x14ac:dyDescent="0.25">
      <c r="BP971"/>
    </row>
    <row r="972" spans="68:68" x14ac:dyDescent="0.25">
      <c r="BP972"/>
    </row>
    <row r="973" spans="68:68" x14ac:dyDescent="0.25">
      <c r="BP973"/>
    </row>
    <row r="974" spans="68:68" x14ac:dyDescent="0.25">
      <c r="BP974"/>
    </row>
    <row r="975" spans="68:68" x14ac:dyDescent="0.25">
      <c r="BP975"/>
    </row>
    <row r="976" spans="68:68" x14ac:dyDescent="0.25">
      <c r="BP976"/>
    </row>
    <row r="977" spans="68:68" x14ac:dyDescent="0.25">
      <c r="BP977"/>
    </row>
    <row r="978" spans="68:68" x14ac:dyDescent="0.25">
      <c r="BP978"/>
    </row>
    <row r="979" spans="68:68" x14ac:dyDescent="0.25">
      <c r="BP979"/>
    </row>
    <row r="980" spans="68:68" x14ac:dyDescent="0.25">
      <c r="BP980"/>
    </row>
    <row r="981" spans="68:68" x14ac:dyDescent="0.25">
      <c r="BP981"/>
    </row>
    <row r="982" spans="68:68" x14ac:dyDescent="0.25">
      <c r="BP982"/>
    </row>
    <row r="983" spans="68:68" x14ac:dyDescent="0.25">
      <c r="BP983"/>
    </row>
    <row r="984" spans="68:68" x14ac:dyDescent="0.25">
      <c r="BP984"/>
    </row>
    <row r="985" spans="68:68" x14ac:dyDescent="0.25">
      <c r="BP985"/>
    </row>
    <row r="986" spans="68:68" x14ac:dyDescent="0.25">
      <c r="BP986"/>
    </row>
    <row r="987" spans="68:68" x14ac:dyDescent="0.25">
      <c r="BP987"/>
    </row>
    <row r="988" spans="68:68" x14ac:dyDescent="0.25">
      <c r="BP988"/>
    </row>
    <row r="989" spans="68:68" x14ac:dyDescent="0.25">
      <c r="BP989"/>
    </row>
    <row r="990" spans="68:68" x14ac:dyDescent="0.25">
      <c r="BP990"/>
    </row>
    <row r="991" spans="68:68" x14ac:dyDescent="0.25">
      <c r="BP991"/>
    </row>
    <row r="992" spans="68:68" x14ac:dyDescent="0.25">
      <c r="BP992"/>
    </row>
    <row r="993" spans="68:68" x14ac:dyDescent="0.25">
      <c r="BP993"/>
    </row>
    <row r="994" spans="68:68" x14ac:dyDescent="0.25">
      <c r="BP994"/>
    </row>
    <row r="995" spans="68:68" x14ac:dyDescent="0.25">
      <c r="BP995"/>
    </row>
    <row r="996" spans="68:68" x14ac:dyDescent="0.25">
      <c r="BP996"/>
    </row>
    <row r="997" spans="68:68" x14ac:dyDescent="0.25">
      <c r="BP997"/>
    </row>
    <row r="998" spans="68:68" x14ac:dyDescent="0.25">
      <c r="BP998"/>
    </row>
    <row r="999" spans="68:68" x14ac:dyDescent="0.25">
      <c r="BP999"/>
    </row>
    <row r="1000" spans="68:68" x14ac:dyDescent="0.25">
      <c r="BP1000"/>
    </row>
    <row r="1001" spans="68:68" x14ac:dyDescent="0.25">
      <c r="BP1001"/>
    </row>
    <row r="1002" spans="68:68" x14ac:dyDescent="0.25">
      <c r="BP1002"/>
    </row>
    <row r="1003" spans="68:68" x14ac:dyDescent="0.25">
      <c r="BP1003"/>
    </row>
    <row r="1004" spans="68:68" x14ac:dyDescent="0.25">
      <c r="BP1004"/>
    </row>
    <row r="1005" spans="68:68" x14ac:dyDescent="0.25">
      <c r="BP1005"/>
    </row>
    <row r="1006" spans="68:68" x14ac:dyDescent="0.25">
      <c r="BP1006"/>
    </row>
    <row r="1007" spans="68:68" x14ac:dyDescent="0.25">
      <c r="BP1007"/>
    </row>
    <row r="1008" spans="68:68" x14ac:dyDescent="0.25">
      <c r="BP1008"/>
    </row>
    <row r="1009" spans="68:68" x14ac:dyDescent="0.25">
      <c r="BP1009"/>
    </row>
    <row r="1010" spans="68:68" x14ac:dyDescent="0.25">
      <c r="BP1010"/>
    </row>
    <row r="1011" spans="68:68" x14ac:dyDescent="0.25">
      <c r="BP1011"/>
    </row>
    <row r="1012" spans="68:68" x14ac:dyDescent="0.25">
      <c r="BP1012"/>
    </row>
    <row r="1013" spans="68:68" x14ac:dyDescent="0.25">
      <c r="BP1013"/>
    </row>
    <row r="1014" spans="68:68" x14ac:dyDescent="0.25">
      <c r="BP1014"/>
    </row>
    <row r="1015" spans="68:68" x14ac:dyDescent="0.25">
      <c r="BP1015"/>
    </row>
    <row r="1016" spans="68:68" x14ac:dyDescent="0.25">
      <c r="BP1016"/>
    </row>
    <row r="1017" spans="68:68" x14ac:dyDescent="0.25">
      <c r="BP1017"/>
    </row>
    <row r="1018" spans="68:68" x14ac:dyDescent="0.25">
      <c r="BP1018"/>
    </row>
    <row r="1019" spans="68:68" x14ac:dyDescent="0.25">
      <c r="BP1019"/>
    </row>
    <row r="1020" spans="68:68" x14ac:dyDescent="0.25">
      <c r="BP1020"/>
    </row>
    <row r="1021" spans="68:68" x14ac:dyDescent="0.25">
      <c r="BP1021"/>
    </row>
    <row r="1022" spans="68:68" x14ac:dyDescent="0.25">
      <c r="BP1022"/>
    </row>
    <row r="1023" spans="68:68" x14ac:dyDescent="0.25">
      <c r="BP1023"/>
    </row>
    <row r="1024" spans="68:68" x14ac:dyDescent="0.25">
      <c r="BP1024"/>
    </row>
    <row r="1025" spans="68:68" x14ac:dyDescent="0.25">
      <c r="BP1025"/>
    </row>
    <row r="1026" spans="68:68" x14ac:dyDescent="0.25">
      <c r="BP1026"/>
    </row>
    <row r="1027" spans="68:68" x14ac:dyDescent="0.25">
      <c r="BP1027"/>
    </row>
    <row r="1028" spans="68:68" x14ac:dyDescent="0.25">
      <c r="BP1028"/>
    </row>
    <row r="1029" spans="68:68" x14ac:dyDescent="0.25">
      <c r="BP1029"/>
    </row>
    <row r="1030" spans="68:68" x14ac:dyDescent="0.25">
      <c r="BP1030"/>
    </row>
    <row r="1031" spans="68:68" x14ac:dyDescent="0.25">
      <c r="BP1031"/>
    </row>
    <row r="1032" spans="68:68" x14ac:dyDescent="0.25">
      <c r="BP1032"/>
    </row>
    <row r="1033" spans="68:68" x14ac:dyDescent="0.25">
      <c r="BP1033"/>
    </row>
    <row r="1034" spans="68:68" x14ac:dyDescent="0.25">
      <c r="BP1034"/>
    </row>
    <row r="1035" spans="68:68" x14ac:dyDescent="0.25">
      <c r="BP1035"/>
    </row>
    <row r="1036" spans="68:68" x14ac:dyDescent="0.25">
      <c r="BP1036"/>
    </row>
    <row r="1037" spans="68:68" x14ac:dyDescent="0.25">
      <c r="BP1037"/>
    </row>
    <row r="1038" spans="68:68" x14ac:dyDescent="0.25">
      <c r="BP1038"/>
    </row>
    <row r="1039" spans="68:68" x14ac:dyDescent="0.25">
      <c r="BP1039"/>
    </row>
    <row r="1040" spans="68:68" x14ac:dyDescent="0.25">
      <c r="BP1040"/>
    </row>
    <row r="1041" spans="68:68" x14ac:dyDescent="0.25">
      <c r="BP1041"/>
    </row>
    <row r="1042" spans="68:68" x14ac:dyDescent="0.25">
      <c r="BP1042"/>
    </row>
    <row r="1043" spans="68:68" x14ac:dyDescent="0.25">
      <c r="BP1043"/>
    </row>
    <row r="1044" spans="68:68" x14ac:dyDescent="0.25">
      <c r="BP1044"/>
    </row>
    <row r="1045" spans="68:68" x14ac:dyDescent="0.25">
      <c r="BP1045"/>
    </row>
    <row r="1046" spans="68:68" x14ac:dyDescent="0.25">
      <c r="BP1046"/>
    </row>
    <row r="1047" spans="68:68" x14ac:dyDescent="0.25">
      <c r="BP1047"/>
    </row>
    <row r="1048" spans="68:68" x14ac:dyDescent="0.25">
      <c r="BP1048"/>
    </row>
    <row r="1049" spans="68:68" x14ac:dyDescent="0.25">
      <c r="BP1049"/>
    </row>
    <row r="1050" spans="68:68" x14ac:dyDescent="0.25">
      <c r="BP1050"/>
    </row>
    <row r="1051" spans="68:68" x14ac:dyDescent="0.25">
      <c r="BP1051"/>
    </row>
    <row r="1052" spans="68:68" x14ac:dyDescent="0.25">
      <c r="BP1052"/>
    </row>
    <row r="1053" spans="68:68" x14ac:dyDescent="0.25">
      <c r="BP1053"/>
    </row>
    <row r="1054" spans="68:68" x14ac:dyDescent="0.25">
      <c r="BP1054"/>
    </row>
    <row r="1055" spans="68:68" x14ac:dyDescent="0.25">
      <c r="BP1055"/>
    </row>
    <row r="1056" spans="68:68" x14ac:dyDescent="0.25">
      <c r="BP1056"/>
    </row>
    <row r="1057" spans="68:68" x14ac:dyDescent="0.25">
      <c r="BP1057"/>
    </row>
    <row r="1058" spans="68:68" x14ac:dyDescent="0.25">
      <c r="BP1058"/>
    </row>
    <row r="1059" spans="68:68" x14ac:dyDescent="0.25">
      <c r="BP1059"/>
    </row>
    <row r="1060" spans="68:68" x14ac:dyDescent="0.25">
      <c r="BP1060"/>
    </row>
    <row r="1061" spans="68:68" x14ac:dyDescent="0.25">
      <c r="BP1061"/>
    </row>
    <row r="1062" spans="68:68" x14ac:dyDescent="0.25">
      <c r="BP1062"/>
    </row>
    <row r="1063" spans="68:68" x14ac:dyDescent="0.25">
      <c r="BP1063"/>
    </row>
    <row r="1064" spans="68:68" x14ac:dyDescent="0.25">
      <c r="BP1064"/>
    </row>
    <row r="1065" spans="68:68" x14ac:dyDescent="0.25">
      <c r="BP1065"/>
    </row>
    <row r="1066" spans="68:68" x14ac:dyDescent="0.25">
      <c r="BP1066"/>
    </row>
    <row r="1067" spans="68:68" x14ac:dyDescent="0.25">
      <c r="BP1067"/>
    </row>
    <row r="1068" spans="68:68" x14ac:dyDescent="0.25">
      <c r="BP1068"/>
    </row>
    <row r="1069" spans="68:68" x14ac:dyDescent="0.25">
      <c r="BP1069"/>
    </row>
    <row r="1070" spans="68:68" x14ac:dyDescent="0.25">
      <c r="BP1070"/>
    </row>
    <row r="1071" spans="68:68" x14ac:dyDescent="0.25">
      <c r="BP1071"/>
    </row>
    <row r="1072" spans="68:68" x14ac:dyDescent="0.25">
      <c r="BP1072"/>
    </row>
    <row r="1073" spans="68:68" x14ac:dyDescent="0.25">
      <c r="BP1073"/>
    </row>
    <row r="1074" spans="68:68" x14ac:dyDescent="0.25">
      <c r="BP1074"/>
    </row>
    <row r="1075" spans="68:68" x14ac:dyDescent="0.25">
      <c r="BP1075"/>
    </row>
    <row r="1076" spans="68:68" x14ac:dyDescent="0.25">
      <c r="BP1076"/>
    </row>
    <row r="1077" spans="68:68" x14ac:dyDescent="0.25">
      <c r="BP1077"/>
    </row>
    <row r="1078" spans="68:68" x14ac:dyDescent="0.25">
      <c r="BP1078"/>
    </row>
    <row r="1079" spans="68:68" x14ac:dyDescent="0.25">
      <c r="BP1079"/>
    </row>
    <row r="1080" spans="68:68" x14ac:dyDescent="0.25">
      <c r="BP1080"/>
    </row>
    <row r="1081" spans="68:68" x14ac:dyDescent="0.25">
      <c r="BP1081"/>
    </row>
    <row r="1082" spans="68:68" x14ac:dyDescent="0.25">
      <c r="BP1082"/>
    </row>
    <row r="1083" spans="68:68" x14ac:dyDescent="0.25">
      <c r="BP1083"/>
    </row>
    <row r="1084" spans="68:68" x14ac:dyDescent="0.25">
      <c r="BP1084"/>
    </row>
    <row r="1085" spans="68:68" x14ac:dyDescent="0.25">
      <c r="BP1085"/>
    </row>
    <row r="1086" spans="68:68" x14ac:dyDescent="0.25">
      <c r="BP1086"/>
    </row>
    <row r="1087" spans="68:68" x14ac:dyDescent="0.25">
      <c r="BP1087"/>
    </row>
    <row r="1088" spans="68:68" x14ac:dyDescent="0.25">
      <c r="BP1088"/>
    </row>
    <row r="1089" spans="68:68" x14ac:dyDescent="0.25">
      <c r="BP1089"/>
    </row>
    <row r="1090" spans="68:68" x14ac:dyDescent="0.25">
      <c r="BP1090"/>
    </row>
    <row r="1091" spans="68:68" x14ac:dyDescent="0.25">
      <c r="BP1091"/>
    </row>
    <row r="1092" spans="68:68" x14ac:dyDescent="0.25">
      <c r="BP1092"/>
    </row>
    <row r="1093" spans="68:68" x14ac:dyDescent="0.25">
      <c r="BP1093"/>
    </row>
    <row r="1094" spans="68:68" x14ac:dyDescent="0.25">
      <c r="BP1094"/>
    </row>
    <row r="1095" spans="68:68" x14ac:dyDescent="0.25">
      <c r="BP1095"/>
    </row>
    <row r="1096" spans="68:68" x14ac:dyDescent="0.25">
      <c r="BP1096"/>
    </row>
    <row r="1097" spans="68:68" x14ac:dyDescent="0.25">
      <c r="BP1097"/>
    </row>
    <row r="1098" spans="68:68" x14ac:dyDescent="0.25">
      <c r="BP1098"/>
    </row>
    <row r="1099" spans="68:68" x14ac:dyDescent="0.25">
      <c r="BP1099"/>
    </row>
    <row r="1100" spans="68:68" x14ac:dyDescent="0.25">
      <c r="BP1100"/>
    </row>
    <row r="1101" spans="68:68" x14ac:dyDescent="0.25">
      <c r="BP1101"/>
    </row>
    <row r="1102" spans="68:68" x14ac:dyDescent="0.25">
      <c r="BP1102"/>
    </row>
    <row r="1103" spans="68:68" x14ac:dyDescent="0.25">
      <c r="BP1103"/>
    </row>
    <row r="1104" spans="68:68" x14ac:dyDescent="0.25">
      <c r="BP1104"/>
    </row>
    <row r="1105" spans="68:68" x14ac:dyDescent="0.25">
      <c r="BP1105"/>
    </row>
    <row r="1106" spans="68:68" x14ac:dyDescent="0.25">
      <c r="BP1106"/>
    </row>
    <row r="1107" spans="68:68" x14ac:dyDescent="0.25">
      <c r="BP1107"/>
    </row>
    <row r="1108" spans="68:68" x14ac:dyDescent="0.25">
      <c r="BP1108"/>
    </row>
    <row r="1109" spans="68:68" x14ac:dyDescent="0.25">
      <c r="BP1109"/>
    </row>
    <row r="1110" spans="68:68" x14ac:dyDescent="0.25">
      <c r="BP1110"/>
    </row>
    <row r="1111" spans="68:68" x14ac:dyDescent="0.25">
      <c r="BP1111"/>
    </row>
    <row r="1112" spans="68:68" x14ac:dyDescent="0.25">
      <c r="BP1112"/>
    </row>
    <row r="1113" spans="68:68" x14ac:dyDescent="0.25">
      <c r="BP1113"/>
    </row>
    <row r="1114" spans="68:68" x14ac:dyDescent="0.25">
      <c r="BP1114"/>
    </row>
    <row r="1115" spans="68:68" x14ac:dyDescent="0.25">
      <c r="BP1115"/>
    </row>
    <row r="1116" spans="68:68" x14ac:dyDescent="0.25">
      <c r="BP1116"/>
    </row>
    <row r="1117" spans="68:68" x14ac:dyDescent="0.25">
      <c r="BP1117"/>
    </row>
    <row r="1118" spans="68:68" x14ac:dyDescent="0.25">
      <c r="BP1118"/>
    </row>
    <row r="1119" spans="68:68" x14ac:dyDescent="0.25">
      <c r="BP1119"/>
    </row>
    <row r="1120" spans="68:68" x14ac:dyDescent="0.25">
      <c r="BP1120"/>
    </row>
    <row r="1121" spans="68:68" x14ac:dyDescent="0.25">
      <c r="BP1121"/>
    </row>
    <row r="1122" spans="68:68" x14ac:dyDescent="0.25">
      <c r="BP1122"/>
    </row>
    <row r="1123" spans="68:68" x14ac:dyDescent="0.25">
      <c r="BP1123"/>
    </row>
    <row r="1124" spans="68:68" x14ac:dyDescent="0.25">
      <c r="BP1124"/>
    </row>
    <row r="1125" spans="68:68" x14ac:dyDescent="0.25">
      <c r="BP1125"/>
    </row>
    <row r="1126" spans="68:68" x14ac:dyDescent="0.25">
      <c r="BP1126"/>
    </row>
    <row r="1127" spans="68:68" x14ac:dyDescent="0.25">
      <c r="BP1127"/>
    </row>
    <row r="1128" spans="68:68" x14ac:dyDescent="0.25">
      <c r="BP1128"/>
    </row>
    <row r="1129" spans="68:68" x14ac:dyDescent="0.25">
      <c r="BP1129"/>
    </row>
    <row r="1130" spans="68:68" x14ac:dyDescent="0.25">
      <c r="BP1130"/>
    </row>
    <row r="1131" spans="68:68" x14ac:dyDescent="0.25">
      <c r="BP1131"/>
    </row>
    <row r="1132" spans="68:68" x14ac:dyDescent="0.25">
      <c r="BP1132"/>
    </row>
    <row r="1133" spans="68:68" x14ac:dyDescent="0.25">
      <c r="BP1133"/>
    </row>
    <row r="1134" spans="68:68" x14ac:dyDescent="0.25">
      <c r="BP1134"/>
    </row>
    <row r="1135" spans="68:68" x14ac:dyDescent="0.25">
      <c r="BP1135"/>
    </row>
    <row r="1136" spans="68:68" x14ac:dyDescent="0.25">
      <c r="BP1136"/>
    </row>
    <row r="1137" spans="68:68" x14ac:dyDescent="0.25">
      <c r="BP1137"/>
    </row>
    <row r="1138" spans="68:68" x14ac:dyDescent="0.25">
      <c r="BP1138"/>
    </row>
    <row r="1139" spans="68:68" x14ac:dyDescent="0.25">
      <c r="BP1139"/>
    </row>
    <row r="1140" spans="68:68" x14ac:dyDescent="0.25">
      <c r="BP1140"/>
    </row>
    <row r="1141" spans="68:68" x14ac:dyDescent="0.25">
      <c r="BP1141"/>
    </row>
    <row r="1142" spans="68:68" x14ac:dyDescent="0.25">
      <c r="BP1142"/>
    </row>
    <row r="1143" spans="68:68" x14ac:dyDescent="0.25">
      <c r="BP1143"/>
    </row>
    <row r="1144" spans="68:68" x14ac:dyDescent="0.25">
      <c r="BP1144"/>
    </row>
    <row r="1145" spans="68:68" x14ac:dyDescent="0.25">
      <c r="BP1145"/>
    </row>
    <row r="1146" spans="68:68" x14ac:dyDescent="0.25">
      <c r="BP1146"/>
    </row>
    <row r="1147" spans="68:68" x14ac:dyDescent="0.25">
      <c r="BP1147"/>
    </row>
    <row r="1148" spans="68:68" x14ac:dyDescent="0.25">
      <c r="BP1148"/>
    </row>
    <row r="1149" spans="68:68" x14ac:dyDescent="0.25">
      <c r="BP1149"/>
    </row>
    <row r="1150" spans="68:68" x14ac:dyDescent="0.25">
      <c r="BP1150"/>
    </row>
    <row r="1151" spans="68:68" x14ac:dyDescent="0.25">
      <c r="BP1151"/>
    </row>
    <row r="1152" spans="68:68" x14ac:dyDescent="0.25">
      <c r="BP1152"/>
    </row>
    <row r="1153" spans="68:68" x14ac:dyDescent="0.25">
      <c r="BP1153"/>
    </row>
    <row r="1154" spans="68:68" x14ac:dyDescent="0.25">
      <c r="BP1154"/>
    </row>
    <row r="1155" spans="68:68" x14ac:dyDescent="0.25">
      <c r="BP1155"/>
    </row>
    <row r="1156" spans="68:68" x14ac:dyDescent="0.25">
      <c r="BP1156"/>
    </row>
    <row r="1157" spans="68:68" x14ac:dyDescent="0.25">
      <c r="BP1157"/>
    </row>
    <row r="1158" spans="68:68" x14ac:dyDescent="0.25">
      <c r="BP1158"/>
    </row>
    <row r="1159" spans="68:68" x14ac:dyDescent="0.25">
      <c r="BP1159"/>
    </row>
    <row r="1160" spans="68:68" x14ac:dyDescent="0.25">
      <c r="BP1160"/>
    </row>
    <row r="1161" spans="68:68" x14ac:dyDescent="0.25">
      <c r="BP1161"/>
    </row>
    <row r="1162" spans="68:68" x14ac:dyDescent="0.25">
      <c r="BP1162"/>
    </row>
    <row r="1163" spans="68:68" x14ac:dyDescent="0.25">
      <c r="BP1163"/>
    </row>
    <row r="1164" spans="68:68" x14ac:dyDescent="0.25">
      <c r="BP1164"/>
    </row>
    <row r="1165" spans="68:68" x14ac:dyDescent="0.25">
      <c r="BP1165"/>
    </row>
    <row r="1166" spans="68:68" x14ac:dyDescent="0.25">
      <c r="BP1166"/>
    </row>
    <row r="1167" spans="68:68" x14ac:dyDescent="0.25">
      <c r="BP1167"/>
    </row>
    <row r="1168" spans="68:68" x14ac:dyDescent="0.25">
      <c r="BP1168"/>
    </row>
    <row r="1169" spans="68:68" x14ac:dyDescent="0.25">
      <c r="BP1169"/>
    </row>
    <row r="1170" spans="68:68" x14ac:dyDescent="0.25">
      <c r="BP1170"/>
    </row>
    <row r="1171" spans="68:68" x14ac:dyDescent="0.25">
      <c r="BP1171"/>
    </row>
    <row r="1172" spans="68:68" x14ac:dyDescent="0.25">
      <c r="BP1172"/>
    </row>
    <row r="1173" spans="68:68" x14ac:dyDescent="0.25">
      <c r="BP1173"/>
    </row>
    <row r="1174" spans="68:68" x14ac:dyDescent="0.25">
      <c r="BP1174"/>
    </row>
    <row r="1175" spans="68:68" x14ac:dyDescent="0.25">
      <c r="BP1175"/>
    </row>
    <row r="1176" spans="68:68" x14ac:dyDescent="0.25">
      <c r="BP1176"/>
    </row>
    <row r="1177" spans="68:68" x14ac:dyDescent="0.25">
      <c r="BP1177"/>
    </row>
    <row r="1178" spans="68:68" x14ac:dyDescent="0.25">
      <c r="BP1178"/>
    </row>
    <row r="1179" spans="68:68" x14ac:dyDescent="0.25">
      <c r="BP1179"/>
    </row>
    <row r="1180" spans="68:68" x14ac:dyDescent="0.25">
      <c r="BP1180"/>
    </row>
    <row r="1181" spans="68:68" x14ac:dyDescent="0.25">
      <c r="BP1181"/>
    </row>
    <row r="1182" spans="68:68" x14ac:dyDescent="0.25">
      <c r="BP1182"/>
    </row>
    <row r="1183" spans="68:68" x14ac:dyDescent="0.25">
      <c r="BP1183"/>
    </row>
    <row r="1184" spans="68:68" x14ac:dyDescent="0.25">
      <c r="BP1184"/>
    </row>
    <row r="1185" spans="68:68" x14ac:dyDescent="0.25">
      <c r="BP1185"/>
    </row>
    <row r="1186" spans="68:68" x14ac:dyDescent="0.25">
      <c r="BP1186"/>
    </row>
    <row r="1187" spans="68:68" x14ac:dyDescent="0.25">
      <c r="BP1187"/>
    </row>
    <row r="1188" spans="68:68" x14ac:dyDescent="0.25">
      <c r="BP1188"/>
    </row>
    <row r="1189" spans="68:68" x14ac:dyDescent="0.25">
      <c r="BP1189"/>
    </row>
    <row r="1190" spans="68:68" x14ac:dyDescent="0.25">
      <c r="BP1190"/>
    </row>
    <row r="1191" spans="68:68" x14ac:dyDescent="0.25">
      <c r="BP1191"/>
    </row>
    <row r="1192" spans="68:68" x14ac:dyDescent="0.25">
      <c r="BP1192"/>
    </row>
    <row r="1193" spans="68:68" x14ac:dyDescent="0.25">
      <c r="BP1193"/>
    </row>
    <row r="1194" spans="68:68" x14ac:dyDescent="0.25">
      <c r="BP1194"/>
    </row>
    <row r="1195" spans="68:68" x14ac:dyDescent="0.25">
      <c r="BP1195"/>
    </row>
    <row r="1196" spans="68:68" x14ac:dyDescent="0.25">
      <c r="BP1196"/>
    </row>
    <row r="1197" spans="68:68" x14ac:dyDescent="0.25">
      <c r="BP1197"/>
    </row>
    <row r="1198" spans="68:68" x14ac:dyDescent="0.25">
      <c r="BP1198"/>
    </row>
    <row r="1199" spans="68:68" x14ac:dyDescent="0.25">
      <c r="BP1199"/>
    </row>
    <row r="1200" spans="68:68" x14ac:dyDescent="0.25">
      <c r="BP1200"/>
    </row>
    <row r="1201" spans="68:68" x14ac:dyDescent="0.25">
      <c r="BP1201"/>
    </row>
    <row r="1202" spans="68:68" x14ac:dyDescent="0.25">
      <c r="BP1202"/>
    </row>
    <row r="1203" spans="68:68" x14ac:dyDescent="0.25">
      <c r="BP1203"/>
    </row>
    <row r="1204" spans="68:68" x14ac:dyDescent="0.25">
      <c r="BP1204"/>
    </row>
    <row r="1205" spans="68:68" x14ac:dyDescent="0.25">
      <c r="BP1205"/>
    </row>
    <row r="1206" spans="68:68" x14ac:dyDescent="0.25">
      <c r="BP1206"/>
    </row>
    <row r="1207" spans="68:68" x14ac:dyDescent="0.25">
      <c r="BP1207"/>
    </row>
    <row r="1208" spans="68:68" x14ac:dyDescent="0.25">
      <c r="BP1208"/>
    </row>
    <row r="1209" spans="68:68" x14ac:dyDescent="0.25">
      <c r="BP1209"/>
    </row>
    <row r="1210" spans="68:68" x14ac:dyDescent="0.25">
      <c r="BP1210"/>
    </row>
    <row r="1211" spans="68:68" x14ac:dyDescent="0.25">
      <c r="BP1211"/>
    </row>
    <row r="1212" spans="68:68" x14ac:dyDescent="0.25">
      <c r="BP1212"/>
    </row>
    <row r="1213" spans="68:68" x14ac:dyDescent="0.25">
      <c r="BP1213"/>
    </row>
    <row r="1214" spans="68:68" x14ac:dyDescent="0.25">
      <c r="BP1214"/>
    </row>
    <row r="1215" spans="68:68" x14ac:dyDescent="0.25">
      <c r="BP1215"/>
    </row>
    <row r="1216" spans="68:68" x14ac:dyDescent="0.25">
      <c r="BP1216"/>
    </row>
    <row r="1217" spans="68:68" x14ac:dyDescent="0.25">
      <c r="BP1217"/>
    </row>
    <row r="1218" spans="68:68" x14ac:dyDescent="0.25">
      <c r="BP1218"/>
    </row>
    <row r="1219" spans="68:68" x14ac:dyDescent="0.25">
      <c r="BP1219"/>
    </row>
    <row r="1220" spans="68:68" x14ac:dyDescent="0.25">
      <c r="BP1220"/>
    </row>
    <row r="1221" spans="68:68" x14ac:dyDescent="0.25">
      <c r="BP1221"/>
    </row>
    <row r="1222" spans="68:68" x14ac:dyDescent="0.25">
      <c r="BP1222"/>
    </row>
    <row r="1223" spans="68:68" x14ac:dyDescent="0.25">
      <c r="BP1223"/>
    </row>
    <row r="1224" spans="68:68" x14ac:dyDescent="0.25">
      <c r="BP1224"/>
    </row>
    <row r="1225" spans="68:68" x14ac:dyDescent="0.25">
      <c r="BP1225"/>
    </row>
    <row r="1226" spans="68:68" x14ac:dyDescent="0.25">
      <c r="BP1226"/>
    </row>
    <row r="1227" spans="68:68" x14ac:dyDescent="0.25">
      <c r="BP1227"/>
    </row>
    <row r="1228" spans="68:68" x14ac:dyDescent="0.25">
      <c r="BP1228"/>
    </row>
    <row r="1229" spans="68:68" x14ac:dyDescent="0.25">
      <c r="BP1229"/>
    </row>
    <row r="1230" spans="68:68" x14ac:dyDescent="0.25">
      <c r="BP1230"/>
    </row>
    <row r="1231" spans="68:68" x14ac:dyDescent="0.25">
      <c r="BP1231"/>
    </row>
    <row r="1232" spans="68:68" x14ac:dyDescent="0.25">
      <c r="BP1232"/>
    </row>
    <row r="1233" spans="68:68" x14ac:dyDescent="0.25">
      <c r="BP1233"/>
    </row>
    <row r="1234" spans="68:68" x14ac:dyDescent="0.25">
      <c r="BP1234"/>
    </row>
    <row r="1235" spans="68:68" x14ac:dyDescent="0.25">
      <c r="BP1235"/>
    </row>
    <row r="1236" spans="68:68" x14ac:dyDescent="0.25">
      <c r="BP1236"/>
    </row>
    <row r="1237" spans="68:68" x14ac:dyDescent="0.25">
      <c r="BP1237"/>
    </row>
    <row r="1238" spans="68:68" x14ac:dyDescent="0.25">
      <c r="BP1238"/>
    </row>
    <row r="1239" spans="68:68" x14ac:dyDescent="0.25">
      <c r="BP1239"/>
    </row>
    <row r="1240" spans="68:68" x14ac:dyDescent="0.25">
      <c r="BP1240"/>
    </row>
    <row r="1241" spans="68:68" x14ac:dyDescent="0.25">
      <c r="BP1241"/>
    </row>
    <row r="1242" spans="68:68" x14ac:dyDescent="0.25">
      <c r="BP1242"/>
    </row>
    <row r="1243" spans="68:68" x14ac:dyDescent="0.25">
      <c r="BP1243"/>
    </row>
    <row r="1244" spans="68:68" x14ac:dyDescent="0.25">
      <c r="BP1244"/>
    </row>
    <row r="1245" spans="68:68" x14ac:dyDescent="0.25">
      <c r="BP1245"/>
    </row>
    <row r="1246" spans="68:68" x14ac:dyDescent="0.25">
      <c r="BP1246"/>
    </row>
    <row r="1247" spans="68:68" x14ac:dyDescent="0.25">
      <c r="BP1247"/>
    </row>
    <row r="1248" spans="68:68" x14ac:dyDescent="0.25">
      <c r="BP1248"/>
    </row>
    <row r="1249" spans="68:68" x14ac:dyDescent="0.25">
      <c r="BP1249"/>
    </row>
    <row r="1250" spans="68:68" x14ac:dyDescent="0.25">
      <c r="BP1250"/>
    </row>
    <row r="1251" spans="68:68" x14ac:dyDescent="0.25">
      <c r="BP1251"/>
    </row>
    <row r="1252" spans="68:68" x14ac:dyDescent="0.25">
      <c r="BP1252"/>
    </row>
    <row r="1253" spans="68:68" x14ac:dyDescent="0.25">
      <c r="BP1253"/>
    </row>
    <row r="1254" spans="68:68" x14ac:dyDescent="0.25">
      <c r="BP1254"/>
    </row>
    <row r="1255" spans="68:68" x14ac:dyDescent="0.25">
      <c r="BP1255"/>
    </row>
    <row r="1256" spans="68:68" x14ac:dyDescent="0.25">
      <c r="BP1256"/>
    </row>
    <row r="1257" spans="68:68" x14ac:dyDescent="0.25">
      <c r="BP1257"/>
    </row>
    <row r="1258" spans="68:68" x14ac:dyDescent="0.25">
      <c r="BP1258"/>
    </row>
    <row r="1259" spans="68:68" x14ac:dyDescent="0.25">
      <c r="BP1259"/>
    </row>
    <row r="1260" spans="68:68" x14ac:dyDescent="0.25">
      <c r="BP1260"/>
    </row>
    <row r="1261" spans="68:68" x14ac:dyDescent="0.25">
      <c r="BP1261"/>
    </row>
    <row r="1262" spans="68:68" x14ac:dyDescent="0.25">
      <c r="BP1262"/>
    </row>
    <row r="1263" spans="68:68" x14ac:dyDescent="0.25">
      <c r="BP1263"/>
    </row>
    <row r="1264" spans="68:68" x14ac:dyDescent="0.25">
      <c r="BP1264"/>
    </row>
    <row r="1265" spans="68:68" x14ac:dyDescent="0.25">
      <c r="BP1265"/>
    </row>
    <row r="1266" spans="68:68" x14ac:dyDescent="0.25">
      <c r="BP1266"/>
    </row>
    <row r="1267" spans="68:68" x14ac:dyDescent="0.25">
      <c r="BP1267"/>
    </row>
    <row r="1268" spans="68:68" x14ac:dyDescent="0.25">
      <c r="BP1268"/>
    </row>
    <row r="1269" spans="68:68" x14ac:dyDescent="0.25">
      <c r="BP1269"/>
    </row>
    <row r="1270" spans="68:68" x14ac:dyDescent="0.25">
      <c r="BP1270"/>
    </row>
    <row r="1271" spans="68:68" x14ac:dyDescent="0.25">
      <c r="BP1271"/>
    </row>
    <row r="1272" spans="68:68" x14ac:dyDescent="0.25">
      <c r="BP1272"/>
    </row>
    <row r="1273" spans="68:68" x14ac:dyDescent="0.25">
      <c r="BP1273"/>
    </row>
    <row r="1274" spans="68:68" x14ac:dyDescent="0.25">
      <c r="BP1274"/>
    </row>
    <row r="1275" spans="68:68" x14ac:dyDescent="0.25">
      <c r="BP1275"/>
    </row>
    <row r="1276" spans="68:68" x14ac:dyDescent="0.25">
      <c r="BP1276"/>
    </row>
    <row r="1277" spans="68:68" x14ac:dyDescent="0.25">
      <c r="BP1277"/>
    </row>
    <row r="1278" spans="68:68" x14ac:dyDescent="0.25">
      <c r="BP1278"/>
    </row>
    <row r="1279" spans="68:68" x14ac:dyDescent="0.25">
      <c r="BP1279"/>
    </row>
    <row r="1280" spans="68:68" x14ac:dyDescent="0.25">
      <c r="BP1280"/>
    </row>
    <row r="1281" spans="68:68" x14ac:dyDescent="0.25">
      <c r="BP1281"/>
    </row>
    <row r="1282" spans="68:68" x14ac:dyDescent="0.25">
      <c r="BP1282"/>
    </row>
    <row r="1283" spans="68:68" x14ac:dyDescent="0.25">
      <c r="BP1283"/>
    </row>
    <row r="1284" spans="68:68" x14ac:dyDescent="0.25">
      <c r="BP1284"/>
    </row>
    <row r="1285" spans="68:68" x14ac:dyDescent="0.25">
      <c r="BP1285"/>
    </row>
    <row r="1286" spans="68:68" x14ac:dyDescent="0.25">
      <c r="BP1286"/>
    </row>
    <row r="1287" spans="68:68" x14ac:dyDescent="0.25">
      <c r="BP1287"/>
    </row>
    <row r="1288" spans="68:68" x14ac:dyDescent="0.25">
      <c r="BP1288"/>
    </row>
    <row r="1289" spans="68:68" x14ac:dyDescent="0.25">
      <c r="BP1289"/>
    </row>
    <row r="1290" spans="68:68" x14ac:dyDescent="0.25">
      <c r="BP1290"/>
    </row>
    <row r="1291" spans="68:68" x14ac:dyDescent="0.25">
      <c r="BP1291"/>
    </row>
    <row r="1292" spans="68:68" x14ac:dyDescent="0.25">
      <c r="BP1292"/>
    </row>
    <row r="1293" spans="68:68" x14ac:dyDescent="0.25">
      <c r="BP1293"/>
    </row>
    <row r="1294" spans="68:68" x14ac:dyDescent="0.25">
      <c r="BP1294"/>
    </row>
    <row r="1295" spans="68:68" x14ac:dyDescent="0.25">
      <c r="BP1295"/>
    </row>
    <row r="1296" spans="68:68" x14ac:dyDescent="0.25">
      <c r="BP1296"/>
    </row>
    <row r="1297" spans="68:68" x14ac:dyDescent="0.25">
      <c r="BP1297"/>
    </row>
    <row r="1298" spans="68:68" x14ac:dyDescent="0.25">
      <c r="BP1298"/>
    </row>
    <row r="1299" spans="68:68" x14ac:dyDescent="0.25">
      <c r="BP1299"/>
    </row>
    <row r="1300" spans="68:68" x14ac:dyDescent="0.25">
      <c r="BP1300"/>
    </row>
    <row r="1301" spans="68:68" x14ac:dyDescent="0.25">
      <c r="BP1301"/>
    </row>
    <row r="1302" spans="68:68" x14ac:dyDescent="0.25">
      <c r="BP1302"/>
    </row>
    <row r="1303" spans="68:68" x14ac:dyDescent="0.25">
      <c r="BP1303"/>
    </row>
    <row r="1304" spans="68:68" x14ac:dyDescent="0.25">
      <c r="BP1304"/>
    </row>
    <row r="1305" spans="68:68" x14ac:dyDescent="0.25">
      <c r="BP1305"/>
    </row>
    <row r="1306" spans="68:68" x14ac:dyDescent="0.25">
      <c r="BP1306"/>
    </row>
    <row r="1307" spans="68:68" x14ac:dyDescent="0.25">
      <c r="BP1307"/>
    </row>
    <row r="1308" spans="68:68" x14ac:dyDescent="0.25">
      <c r="BP1308"/>
    </row>
    <row r="1309" spans="68:68" x14ac:dyDescent="0.25">
      <c r="BP1309"/>
    </row>
    <row r="1310" spans="68:68" x14ac:dyDescent="0.25">
      <c r="BP1310"/>
    </row>
    <row r="1311" spans="68:68" x14ac:dyDescent="0.25">
      <c r="BP1311"/>
    </row>
    <row r="1312" spans="68:68" x14ac:dyDescent="0.25">
      <c r="BP1312"/>
    </row>
    <row r="1313" spans="68:68" x14ac:dyDescent="0.25">
      <c r="BP1313"/>
    </row>
    <row r="1314" spans="68:68" x14ac:dyDescent="0.25">
      <c r="BP1314"/>
    </row>
    <row r="1315" spans="68:68" x14ac:dyDescent="0.25">
      <c r="BP1315"/>
    </row>
    <row r="1316" spans="68:68" x14ac:dyDescent="0.25">
      <c r="BP1316"/>
    </row>
    <row r="1317" spans="68:68" x14ac:dyDescent="0.25">
      <c r="BP1317"/>
    </row>
    <row r="1318" spans="68:68" x14ac:dyDescent="0.25">
      <c r="BP1318"/>
    </row>
    <row r="1319" spans="68:68" x14ac:dyDescent="0.25">
      <c r="BP1319"/>
    </row>
    <row r="1320" spans="68:68" x14ac:dyDescent="0.25">
      <c r="BP1320"/>
    </row>
    <row r="1321" spans="68:68" x14ac:dyDescent="0.25">
      <c r="BP1321"/>
    </row>
    <row r="1322" spans="68:68" x14ac:dyDescent="0.25">
      <c r="BP1322"/>
    </row>
    <row r="1323" spans="68:68" x14ac:dyDescent="0.25">
      <c r="BP1323"/>
    </row>
    <row r="1324" spans="68:68" x14ac:dyDescent="0.25">
      <c r="BP1324"/>
    </row>
    <row r="1325" spans="68:68" x14ac:dyDescent="0.25">
      <c r="BP1325"/>
    </row>
    <row r="1326" spans="68:68" x14ac:dyDescent="0.25">
      <c r="BP1326"/>
    </row>
    <row r="1327" spans="68:68" x14ac:dyDescent="0.25">
      <c r="BP1327"/>
    </row>
    <row r="1328" spans="68:68" x14ac:dyDescent="0.25">
      <c r="BP1328"/>
    </row>
    <row r="1329" spans="68:68" x14ac:dyDescent="0.25">
      <c r="BP1329"/>
    </row>
    <row r="1330" spans="68:68" x14ac:dyDescent="0.25">
      <c r="BP1330"/>
    </row>
    <row r="1331" spans="68:68" x14ac:dyDescent="0.25">
      <c r="BP1331"/>
    </row>
    <row r="1332" spans="68:68" x14ac:dyDescent="0.25">
      <c r="BP1332"/>
    </row>
    <row r="1333" spans="68:68" x14ac:dyDescent="0.25">
      <c r="BP1333"/>
    </row>
    <row r="1334" spans="68:68" x14ac:dyDescent="0.25">
      <c r="BP1334"/>
    </row>
    <row r="1335" spans="68:68" x14ac:dyDescent="0.25">
      <c r="BP1335"/>
    </row>
    <row r="1336" spans="68:68" x14ac:dyDescent="0.25">
      <c r="BP1336"/>
    </row>
    <row r="1337" spans="68:68" x14ac:dyDescent="0.25">
      <c r="BP1337"/>
    </row>
    <row r="1338" spans="68:68" x14ac:dyDescent="0.25">
      <c r="BP1338"/>
    </row>
    <row r="1339" spans="68:68" x14ac:dyDescent="0.25">
      <c r="BP1339"/>
    </row>
    <row r="1340" spans="68:68" x14ac:dyDescent="0.25">
      <c r="BP1340"/>
    </row>
    <row r="1341" spans="68:68" x14ac:dyDescent="0.25">
      <c r="BP1341"/>
    </row>
    <row r="1342" spans="68:68" x14ac:dyDescent="0.25">
      <c r="BP1342"/>
    </row>
    <row r="1343" spans="68:68" x14ac:dyDescent="0.25">
      <c r="BP1343"/>
    </row>
    <row r="1344" spans="68:68" x14ac:dyDescent="0.25">
      <c r="BP1344"/>
    </row>
    <row r="1345" spans="68:68" x14ac:dyDescent="0.25">
      <c r="BP1345"/>
    </row>
    <row r="1346" spans="68:68" x14ac:dyDescent="0.25">
      <c r="BP1346"/>
    </row>
    <row r="1347" spans="68:68" x14ac:dyDescent="0.25">
      <c r="BP1347"/>
    </row>
    <row r="1348" spans="68:68" x14ac:dyDescent="0.25">
      <c r="BP1348"/>
    </row>
    <row r="1349" spans="68:68" x14ac:dyDescent="0.25">
      <c r="BP1349"/>
    </row>
    <row r="1350" spans="68:68" x14ac:dyDescent="0.25">
      <c r="BP1350"/>
    </row>
    <row r="1351" spans="68:68" x14ac:dyDescent="0.25">
      <c r="BP1351"/>
    </row>
    <row r="1352" spans="68:68" x14ac:dyDescent="0.25">
      <c r="BP1352"/>
    </row>
    <row r="1353" spans="68:68" x14ac:dyDescent="0.25">
      <c r="BP1353"/>
    </row>
    <row r="1354" spans="68:68" x14ac:dyDescent="0.25">
      <c r="BP1354"/>
    </row>
    <row r="1355" spans="68:68" x14ac:dyDescent="0.25">
      <c r="BP1355"/>
    </row>
    <row r="1356" spans="68:68" x14ac:dyDescent="0.25">
      <c r="BP1356"/>
    </row>
    <row r="1357" spans="68:68" x14ac:dyDescent="0.25">
      <c r="BP1357"/>
    </row>
    <row r="1358" spans="68:68" x14ac:dyDescent="0.25">
      <c r="BP1358"/>
    </row>
    <row r="1359" spans="68:68" x14ac:dyDescent="0.25">
      <c r="BP1359"/>
    </row>
    <row r="1360" spans="68:68" x14ac:dyDescent="0.25">
      <c r="BP1360"/>
    </row>
    <row r="1361" spans="68:68" x14ac:dyDescent="0.25">
      <c r="BP1361"/>
    </row>
    <row r="1362" spans="68:68" x14ac:dyDescent="0.25">
      <c r="BP1362"/>
    </row>
    <row r="1363" spans="68:68" x14ac:dyDescent="0.25">
      <c r="BP1363"/>
    </row>
    <row r="1364" spans="68:68" x14ac:dyDescent="0.25">
      <c r="BP1364"/>
    </row>
    <row r="1365" spans="68:68" x14ac:dyDescent="0.25">
      <c r="BP1365"/>
    </row>
    <row r="1366" spans="68:68" x14ac:dyDescent="0.25">
      <c r="BP1366"/>
    </row>
    <row r="1367" spans="68:68" x14ac:dyDescent="0.25">
      <c r="BP1367"/>
    </row>
    <row r="1368" spans="68:68" x14ac:dyDescent="0.25">
      <c r="BP1368"/>
    </row>
    <row r="1369" spans="68:68" x14ac:dyDescent="0.25">
      <c r="BP1369"/>
    </row>
    <row r="1370" spans="68:68" x14ac:dyDescent="0.25">
      <c r="BP1370"/>
    </row>
    <row r="1371" spans="68:68" x14ac:dyDescent="0.25">
      <c r="BP1371"/>
    </row>
    <row r="1372" spans="68:68" x14ac:dyDescent="0.25">
      <c r="BP1372"/>
    </row>
    <row r="1373" spans="68:68" x14ac:dyDescent="0.25">
      <c r="BP1373"/>
    </row>
    <row r="1374" spans="68:68" x14ac:dyDescent="0.25">
      <c r="BP1374"/>
    </row>
    <row r="1375" spans="68:68" x14ac:dyDescent="0.25">
      <c r="BP1375"/>
    </row>
    <row r="1376" spans="68:68" x14ac:dyDescent="0.25">
      <c r="BP1376"/>
    </row>
    <row r="1377" spans="68:68" x14ac:dyDescent="0.25">
      <c r="BP1377"/>
    </row>
    <row r="1378" spans="68:68" x14ac:dyDescent="0.25">
      <c r="BP1378"/>
    </row>
    <row r="1379" spans="68:68" x14ac:dyDescent="0.25">
      <c r="BP1379"/>
    </row>
    <row r="1380" spans="68:68" x14ac:dyDescent="0.25">
      <c r="BP1380"/>
    </row>
    <row r="1381" spans="68:68" x14ac:dyDescent="0.25">
      <c r="BP1381"/>
    </row>
    <row r="1382" spans="68:68" x14ac:dyDescent="0.25">
      <c r="BP1382"/>
    </row>
    <row r="1383" spans="68:68" x14ac:dyDescent="0.25">
      <c r="BP1383"/>
    </row>
    <row r="1384" spans="68:68" x14ac:dyDescent="0.25">
      <c r="BP1384"/>
    </row>
    <row r="1385" spans="68:68" x14ac:dyDescent="0.25">
      <c r="BP1385"/>
    </row>
    <row r="1386" spans="68:68" x14ac:dyDescent="0.25">
      <c r="BP1386"/>
    </row>
    <row r="1387" spans="68:68" x14ac:dyDescent="0.25">
      <c r="BP1387"/>
    </row>
    <row r="1388" spans="68:68" x14ac:dyDescent="0.25">
      <c r="BP1388"/>
    </row>
    <row r="1389" spans="68:68" x14ac:dyDescent="0.25">
      <c r="BP1389"/>
    </row>
    <row r="1390" spans="68:68" x14ac:dyDescent="0.25">
      <c r="BP1390"/>
    </row>
    <row r="1391" spans="68:68" x14ac:dyDescent="0.25">
      <c r="BP1391"/>
    </row>
    <row r="1392" spans="68:68" x14ac:dyDescent="0.25">
      <c r="BP1392"/>
    </row>
    <row r="1393" spans="68:68" x14ac:dyDescent="0.25">
      <c r="BP1393"/>
    </row>
    <row r="1394" spans="68:68" x14ac:dyDescent="0.25">
      <c r="BP1394"/>
    </row>
    <row r="1395" spans="68:68" x14ac:dyDescent="0.25">
      <c r="BP1395"/>
    </row>
    <row r="1396" spans="68:68" x14ac:dyDescent="0.25">
      <c r="BP1396"/>
    </row>
    <row r="1397" spans="68:68" x14ac:dyDescent="0.25">
      <c r="BP1397"/>
    </row>
    <row r="1398" spans="68:68" x14ac:dyDescent="0.25">
      <c r="BP1398"/>
    </row>
    <row r="1399" spans="68:68" x14ac:dyDescent="0.25">
      <c r="BP1399"/>
    </row>
    <row r="1400" spans="68:68" x14ac:dyDescent="0.25">
      <c r="BP1400"/>
    </row>
    <row r="1401" spans="68:68" x14ac:dyDescent="0.25">
      <c r="BP1401"/>
    </row>
    <row r="1402" spans="68:68" x14ac:dyDescent="0.25">
      <c r="BP1402"/>
    </row>
    <row r="1403" spans="68:68" x14ac:dyDescent="0.25">
      <c r="BP1403"/>
    </row>
    <row r="1404" spans="68:68" x14ac:dyDescent="0.25">
      <c r="BP1404"/>
    </row>
    <row r="1405" spans="68:68" x14ac:dyDescent="0.25">
      <c r="BP1405"/>
    </row>
    <row r="1406" spans="68:68" x14ac:dyDescent="0.25">
      <c r="BP1406"/>
    </row>
    <row r="1407" spans="68:68" x14ac:dyDescent="0.25">
      <c r="BP1407"/>
    </row>
    <row r="1408" spans="68:68" x14ac:dyDescent="0.25">
      <c r="BP1408"/>
    </row>
    <row r="1409" spans="68:68" x14ac:dyDescent="0.25">
      <c r="BP1409"/>
    </row>
    <row r="1410" spans="68:68" x14ac:dyDescent="0.25">
      <c r="BP1410"/>
    </row>
    <row r="1411" spans="68:68" x14ac:dyDescent="0.25">
      <c r="BP1411"/>
    </row>
    <row r="1412" spans="68:68" x14ac:dyDescent="0.25">
      <c r="BP1412"/>
    </row>
    <row r="1413" spans="68:68" x14ac:dyDescent="0.25">
      <c r="BP1413"/>
    </row>
    <row r="1414" spans="68:68" x14ac:dyDescent="0.25">
      <c r="BP1414"/>
    </row>
    <row r="1415" spans="68:68" x14ac:dyDescent="0.25">
      <c r="BP1415"/>
    </row>
    <row r="1416" spans="68:68" x14ac:dyDescent="0.25">
      <c r="BP1416"/>
    </row>
    <row r="1417" spans="68:68" x14ac:dyDescent="0.25">
      <c r="BP1417"/>
    </row>
    <row r="1418" spans="68:68" x14ac:dyDescent="0.25">
      <c r="BP1418"/>
    </row>
    <row r="1419" spans="68:68" x14ac:dyDescent="0.25">
      <c r="BP1419"/>
    </row>
    <row r="1420" spans="68:68" x14ac:dyDescent="0.25">
      <c r="BP1420"/>
    </row>
    <row r="1421" spans="68:68" x14ac:dyDescent="0.25">
      <c r="BP1421"/>
    </row>
    <row r="1422" spans="68:68" x14ac:dyDescent="0.25">
      <c r="BP1422"/>
    </row>
    <row r="1423" spans="68:68" x14ac:dyDescent="0.25">
      <c r="BP1423"/>
    </row>
    <row r="1424" spans="68:68" x14ac:dyDescent="0.25">
      <c r="BP1424"/>
    </row>
    <row r="1425" spans="68:68" x14ac:dyDescent="0.25">
      <c r="BP1425"/>
    </row>
    <row r="1426" spans="68:68" x14ac:dyDescent="0.25">
      <c r="BP1426"/>
    </row>
    <row r="1427" spans="68:68" x14ac:dyDescent="0.25">
      <c r="BP1427"/>
    </row>
    <row r="1428" spans="68:68" x14ac:dyDescent="0.25">
      <c r="BP1428"/>
    </row>
    <row r="1429" spans="68:68" x14ac:dyDescent="0.25">
      <c r="BP1429"/>
    </row>
    <row r="1430" spans="68:68" x14ac:dyDescent="0.25">
      <c r="BP1430"/>
    </row>
    <row r="1431" spans="68:68" x14ac:dyDescent="0.25">
      <c r="BP1431"/>
    </row>
    <row r="1432" spans="68:68" x14ac:dyDescent="0.25">
      <c r="BP1432"/>
    </row>
    <row r="1433" spans="68:68" x14ac:dyDescent="0.25">
      <c r="BP1433"/>
    </row>
    <row r="1434" spans="68:68" x14ac:dyDescent="0.25">
      <c r="BP1434"/>
    </row>
    <row r="1435" spans="68:68" x14ac:dyDescent="0.25">
      <c r="BP1435"/>
    </row>
    <row r="1436" spans="68:68" x14ac:dyDescent="0.25">
      <c r="BP1436"/>
    </row>
    <row r="1437" spans="68:68" x14ac:dyDescent="0.25">
      <c r="BP1437"/>
    </row>
    <row r="1438" spans="68:68" x14ac:dyDescent="0.25">
      <c r="BP1438"/>
    </row>
    <row r="1439" spans="68:68" x14ac:dyDescent="0.25">
      <c r="BP1439"/>
    </row>
    <row r="1440" spans="68:68" x14ac:dyDescent="0.25">
      <c r="BP1440"/>
    </row>
    <row r="1441" spans="68:68" x14ac:dyDescent="0.25">
      <c r="BP1441"/>
    </row>
    <row r="1442" spans="68:68" x14ac:dyDescent="0.25">
      <c r="BP1442"/>
    </row>
    <row r="1443" spans="68:68" x14ac:dyDescent="0.25">
      <c r="BP1443"/>
    </row>
    <row r="1444" spans="68:68" x14ac:dyDescent="0.25">
      <c r="BP1444"/>
    </row>
    <row r="1445" spans="68:68" x14ac:dyDescent="0.25">
      <c r="BP1445"/>
    </row>
    <row r="1446" spans="68:68" x14ac:dyDescent="0.25">
      <c r="BP1446"/>
    </row>
    <row r="1447" spans="68:68" x14ac:dyDescent="0.25">
      <c r="BP1447"/>
    </row>
    <row r="1448" spans="68:68" x14ac:dyDescent="0.25">
      <c r="BP1448"/>
    </row>
    <row r="1449" spans="68:68" x14ac:dyDescent="0.25">
      <c r="BP1449"/>
    </row>
    <row r="1450" spans="68:68" x14ac:dyDescent="0.25">
      <c r="BP1450"/>
    </row>
    <row r="1451" spans="68:68" x14ac:dyDescent="0.25">
      <c r="BP1451"/>
    </row>
    <row r="1452" spans="68:68" x14ac:dyDescent="0.25">
      <c r="BP1452"/>
    </row>
    <row r="1453" spans="68:68" x14ac:dyDescent="0.25">
      <c r="BP1453"/>
    </row>
    <row r="1454" spans="68:68" x14ac:dyDescent="0.25">
      <c r="BP1454"/>
    </row>
    <row r="1455" spans="68:68" x14ac:dyDescent="0.25">
      <c r="BP1455"/>
    </row>
    <row r="1456" spans="68:68" x14ac:dyDescent="0.25">
      <c r="BP1456"/>
    </row>
    <row r="1457" spans="68:68" x14ac:dyDescent="0.25">
      <c r="BP1457"/>
    </row>
    <row r="1458" spans="68:68" x14ac:dyDescent="0.25">
      <c r="BP1458"/>
    </row>
    <row r="1459" spans="68:68" x14ac:dyDescent="0.25">
      <c r="BP1459"/>
    </row>
    <row r="1460" spans="68:68" x14ac:dyDescent="0.25">
      <c r="BP1460"/>
    </row>
    <row r="1461" spans="68:68" x14ac:dyDescent="0.25">
      <c r="BP1461"/>
    </row>
    <row r="1462" spans="68:68" x14ac:dyDescent="0.25">
      <c r="BP1462"/>
    </row>
    <row r="1463" spans="68:68" x14ac:dyDescent="0.25">
      <c r="BP1463"/>
    </row>
    <row r="1464" spans="68:68" x14ac:dyDescent="0.25">
      <c r="BP1464"/>
    </row>
    <row r="1465" spans="68:68" x14ac:dyDescent="0.25">
      <c r="BP1465"/>
    </row>
    <row r="1466" spans="68:68" x14ac:dyDescent="0.25">
      <c r="BP1466"/>
    </row>
    <row r="1467" spans="68:68" x14ac:dyDescent="0.25">
      <c r="BP1467"/>
    </row>
    <row r="1468" spans="68:68" x14ac:dyDescent="0.25">
      <c r="BP1468"/>
    </row>
    <row r="1469" spans="68:68" x14ac:dyDescent="0.25">
      <c r="BP1469"/>
    </row>
    <row r="1470" spans="68:68" x14ac:dyDescent="0.25">
      <c r="BP1470"/>
    </row>
    <row r="1471" spans="68:68" x14ac:dyDescent="0.25">
      <c r="BP1471"/>
    </row>
    <row r="1472" spans="68:68" x14ac:dyDescent="0.25">
      <c r="BP1472"/>
    </row>
    <row r="1473" spans="68:68" x14ac:dyDescent="0.25">
      <c r="BP1473"/>
    </row>
    <row r="1474" spans="68:68" x14ac:dyDescent="0.25">
      <c r="BP1474"/>
    </row>
    <row r="1475" spans="68:68" x14ac:dyDescent="0.25">
      <c r="BP1475"/>
    </row>
    <row r="1476" spans="68:68" x14ac:dyDescent="0.25">
      <c r="BP1476"/>
    </row>
    <row r="1477" spans="68:68" x14ac:dyDescent="0.25">
      <c r="BP1477"/>
    </row>
    <row r="1478" spans="68:68" x14ac:dyDescent="0.25">
      <c r="BP1478"/>
    </row>
    <row r="1479" spans="68:68" x14ac:dyDescent="0.25">
      <c r="BP1479"/>
    </row>
    <row r="1480" spans="68:68" x14ac:dyDescent="0.25">
      <c r="BP1480"/>
    </row>
    <row r="1481" spans="68:68" x14ac:dyDescent="0.25">
      <c r="BP1481"/>
    </row>
    <row r="1482" spans="68:68" x14ac:dyDescent="0.25">
      <c r="BP1482"/>
    </row>
    <row r="1483" spans="68:68" x14ac:dyDescent="0.25">
      <c r="BP1483"/>
    </row>
    <row r="1484" spans="68:68" x14ac:dyDescent="0.25">
      <c r="BP1484"/>
    </row>
    <row r="1485" spans="68:68" x14ac:dyDescent="0.25">
      <c r="BP1485"/>
    </row>
    <row r="1486" spans="68:68" x14ac:dyDescent="0.25">
      <c r="BP1486"/>
    </row>
    <row r="1487" spans="68:68" x14ac:dyDescent="0.25">
      <c r="BP1487"/>
    </row>
    <row r="1488" spans="68:68" x14ac:dyDescent="0.25">
      <c r="BP1488"/>
    </row>
    <row r="1489" spans="68:68" x14ac:dyDescent="0.25">
      <c r="BP1489"/>
    </row>
    <row r="1490" spans="68:68" x14ac:dyDescent="0.25">
      <c r="BP1490"/>
    </row>
    <row r="1491" spans="68:68" x14ac:dyDescent="0.25">
      <c r="BP1491"/>
    </row>
    <row r="1492" spans="68:68" x14ac:dyDescent="0.25">
      <c r="BP1492"/>
    </row>
    <row r="1493" spans="68:68" x14ac:dyDescent="0.25">
      <c r="BP1493"/>
    </row>
    <row r="1494" spans="68:68" x14ac:dyDescent="0.25">
      <c r="BP1494"/>
    </row>
    <row r="1495" spans="68:68" x14ac:dyDescent="0.25">
      <c r="BP1495"/>
    </row>
    <row r="1496" spans="68:68" x14ac:dyDescent="0.25">
      <c r="BP1496"/>
    </row>
    <row r="1497" spans="68:68" x14ac:dyDescent="0.25">
      <c r="BP1497"/>
    </row>
    <row r="1498" spans="68:68" x14ac:dyDescent="0.25">
      <c r="BP1498"/>
    </row>
    <row r="1499" spans="68:68" x14ac:dyDescent="0.25">
      <c r="BP1499"/>
    </row>
    <row r="1500" spans="68:68" x14ac:dyDescent="0.25">
      <c r="BP1500"/>
    </row>
    <row r="1501" spans="68:68" x14ac:dyDescent="0.25">
      <c r="BP1501"/>
    </row>
    <row r="1502" spans="68:68" x14ac:dyDescent="0.25">
      <c r="BP1502"/>
    </row>
    <row r="1503" spans="68:68" x14ac:dyDescent="0.25">
      <c r="BP1503"/>
    </row>
    <row r="1504" spans="68:68" x14ac:dyDescent="0.25">
      <c r="BP1504"/>
    </row>
    <row r="1505" spans="68:68" x14ac:dyDescent="0.25">
      <c r="BP1505"/>
    </row>
    <row r="1506" spans="68:68" x14ac:dyDescent="0.25">
      <c r="BP1506"/>
    </row>
    <row r="1507" spans="68:68" x14ac:dyDescent="0.25">
      <c r="BP1507"/>
    </row>
    <row r="1508" spans="68:68" x14ac:dyDescent="0.25">
      <c r="BP1508"/>
    </row>
    <row r="1509" spans="68:68" x14ac:dyDescent="0.25">
      <c r="BP1509"/>
    </row>
    <row r="1510" spans="68:68" x14ac:dyDescent="0.25">
      <c r="BP1510"/>
    </row>
    <row r="1511" spans="68:68" x14ac:dyDescent="0.25">
      <c r="BP1511"/>
    </row>
    <row r="1512" spans="68:68" x14ac:dyDescent="0.25">
      <c r="BP1512"/>
    </row>
    <row r="1513" spans="68:68" x14ac:dyDescent="0.25">
      <c r="BP1513"/>
    </row>
    <row r="1514" spans="68:68" x14ac:dyDescent="0.25">
      <c r="BP1514"/>
    </row>
    <row r="1515" spans="68:68" x14ac:dyDescent="0.25">
      <c r="BP1515"/>
    </row>
    <row r="1516" spans="68:68" x14ac:dyDescent="0.25">
      <c r="BP1516"/>
    </row>
    <row r="1517" spans="68:68" x14ac:dyDescent="0.25">
      <c r="BP1517"/>
    </row>
    <row r="1518" spans="68:68" x14ac:dyDescent="0.25">
      <c r="BP1518"/>
    </row>
    <row r="1519" spans="68:68" x14ac:dyDescent="0.25">
      <c r="BP1519"/>
    </row>
    <row r="1520" spans="68:68" x14ac:dyDescent="0.25">
      <c r="BP1520"/>
    </row>
    <row r="1521" spans="68:68" x14ac:dyDescent="0.25">
      <c r="BP1521"/>
    </row>
    <row r="1522" spans="68:68" x14ac:dyDescent="0.25">
      <c r="BP1522"/>
    </row>
    <row r="1523" spans="68:68" x14ac:dyDescent="0.25">
      <c r="BP1523"/>
    </row>
    <row r="1524" spans="68:68" x14ac:dyDescent="0.25">
      <c r="BP1524"/>
    </row>
    <row r="1525" spans="68:68" x14ac:dyDescent="0.25">
      <c r="BP1525"/>
    </row>
    <row r="1526" spans="68:68" x14ac:dyDescent="0.25">
      <c r="BP1526"/>
    </row>
    <row r="1527" spans="68:68" x14ac:dyDescent="0.25">
      <c r="BP1527"/>
    </row>
    <row r="1528" spans="68:68" x14ac:dyDescent="0.25">
      <c r="BP1528"/>
    </row>
    <row r="1529" spans="68:68" x14ac:dyDescent="0.25">
      <c r="BP1529"/>
    </row>
    <row r="1530" spans="68:68" x14ac:dyDescent="0.25">
      <c r="BP1530"/>
    </row>
    <row r="1531" spans="68:68" x14ac:dyDescent="0.25">
      <c r="BP1531"/>
    </row>
    <row r="1532" spans="68:68" x14ac:dyDescent="0.25">
      <c r="BP1532"/>
    </row>
    <row r="1533" spans="68:68" x14ac:dyDescent="0.25">
      <c r="BP1533"/>
    </row>
    <row r="1534" spans="68:68" x14ac:dyDescent="0.25">
      <c r="BP1534"/>
    </row>
    <row r="1535" spans="68:68" x14ac:dyDescent="0.25">
      <c r="BP1535"/>
    </row>
    <row r="1536" spans="68:68" x14ac:dyDescent="0.25">
      <c r="BP1536"/>
    </row>
    <row r="1537" spans="68:68" x14ac:dyDescent="0.25">
      <c r="BP1537"/>
    </row>
    <row r="1538" spans="68:68" x14ac:dyDescent="0.25">
      <c r="BP1538"/>
    </row>
    <row r="1539" spans="68:68" x14ac:dyDescent="0.25">
      <c r="BP1539"/>
    </row>
    <row r="1540" spans="68:68" x14ac:dyDescent="0.25">
      <c r="BP1540"/>
    </row>
    <row r="1541" spans="68:68" x14ac:dyDescent="0.25">
      <c r="BP1541"/>
    </row>
    <row r="1542" spans="68:68" x14ac:dyDescent="0.25">
      <c r="BP1542"/>
    </row>
    <row r="1543" spans="68:68" x14ac:dyDescent="0.25">
      <c r="BP1543"/>
    </row>
    <row r="1544" spans="68:68" x14ac:dyDescent="0.25">
      <c r="BP1544"/>
    </row>
    <row r="1545" spans="68:68" x14ac:dyDescent="0.25">
      <c r="BP1545"/>
    </row>
    <row r="1546" spans="68:68" x14ac:dyDescent="0.25">
      <c r="BP1546"/>
    </row>
    <row r="1547" spans="68:68" x14ac:dyDescent="0.25">
      <c r="BP1547"/>
    </row>
    <row r="1548" spans="68:68" x14ac:dyDescent="0.25">
      <c r="BP1548"/>
    </row>
    <row r="1549" spans="68:68" x14ac:dyDescent="0.25">
      <c r="BP1549"/>
    </row>
    <row r="1550" spans="68:68" x14ac:dyDescent="0.25">
      <c r="BP1550"/>
    </row>
    <row r="1551" spans="68:68" x14ac:dyDescent="0.25">
      <c r="BP1551"/>
    </row>
    <row r="1552" spans="68:68" x14ac:dyDescent="0.25">
      <c r="BP1552"/>
    </row>
    <row r="1553" spans="68:68" x14ac:dyDescent="0.25">
      <c r="BP1553"/>
    </row>
    <row r="1554" spans="68:68" x14ac:dyDescent="0.25">
      <c r="BP1554"/>
    </row>
    <row r="1555" spans="68:68" x14ac:dyDescent="0.25">
      <c r="BP1555"/>
    </row>
    <row r="1556" spans="68:68" x14ac:dyDescent="0.25">
      <c r="BP1556"/>
    </row>
    <row r="1557" spans="68:68" x14ac:dyDescent="0.25">
      <c r="BP1557"/>
    </row>
    <row r="1558" spans="68:68" x14ac:dyDescent="0.25">
      <c r="BP1558"/>
    </row>
    <row r="1559" spans="68:68" x14ac:dyDescent="0.25">
      <c r="BP1559"/>
    </row>
    <row r="1560" spans="68:68" x14ac:dyDescent="0.25">
      <c r="BP1560"/>
    </row>
    <row r="1561" spans="68:68" x14ac:dyDescent="0.25">
      <c r="BP1561"/>
    </row>
    <row r="1562" spans="68:68" x14ac:dyDescent="0.25">
      <c r="BP1562"/>
    </row>
    <row r="1563" spans="68:68" x14ac:dyDescent="0.25">
      <c r="BP1563"/>
    </row>
    <row r="1564" spans="68:68" x14ac:dyDescent="0.25">
      <c r="BP1564"/>
    </row>
    <row r="1565" spans="68:68" x14ac:dyDescent="0.25">
      <c r="BP1565"/>
    </row>
    <row r="1566" spans="68:68" x14ac:dyDescent="0.25">
      <c r="BP1566"/>
    </row>
    <row r="1567" spans="68:68" x14ac:dyDescent="0.25">
      <c r="BP1567"/>
    </row>
    <row r="1568" spans="68:68" x14ac:dyDescent="0.25">
      <c r="BP1568"/>
    </row>
    <row r="1569" spans="68:68" x14ac:dyDescent="0.25">
      <c r="BP1569"/>
    </row>
    <row r="1570" spans="68:68" x14ac:dyDescent="0.25">
      <c r="BP1570"/>
    </row>
    <row r="1571" spans="68:68" x14ac:dyDescent="0.25">
      <c r="BP1571"/>
    </row>
    <row r="1572" spans="68:68" x14ac:dyDescent="0.25">
      <c r="BP1572"/>
    </row>
    <row r="1573" spans="68:68" x14ac:dyDescent="0.25">
      <c r="BP1573"/>
    </row>
    <row r="1574" spans="68:68" x14ac:dyDescent="0.25">
      <c r="BP1574"/>
    </row>
    <row r="1575" spans="68:68" x14ac:dyDescent="0.25">
      <c r="BP1575"/>
    </row>
    <row r="1576" spans="68:68" x14ac:dyDescent="0.25">
      <c r="BP1576"/>
    </row>
    <row r="1577" spans="68:68" x14ac:dyDescent="0.25">
      <c r="BP1577"/>
    </row>
    <row r="1578" spans="68:68" x14ac:dyDescent="0.25">
      <c r="BP1578"/>
    </row>
    <row r="1579" spans="68:68" x14ac:dyDescent="0.25">
      <c r="BP1579"/>
    </row>
    <row r="1580" spans="68:68" x14ac:dyDescent="0.25">
      <c r="BP1580"/>
    </row>
    <row r="1581" spans="68:68" x14ac:dyDescent="0.25">
      <c r="BP1581"/>
    </row>
    <row r="1582" spans="68:68" x14ac:dyDescent="0.25">
      <c r="BP1582"/>
    </row>
    <row r="1583" spans="68:68" x14ac:dyDescent="0.25">
      <c r="BP1583"/>
    </row>
    <row r="1584" spans="68:68" x14ac:dyDescent="0.25">
      <c r="BP1584"/>
    </row>
    <row r="1585" spans="68:68" x14ac:dyDescent="0.25">
      <c r="BP1585"/>
    </row>
    <row r="1586" spans="68:68" x14ac:dyDescent="0.25">
      <c r="BP1586"/>
    </row>
    <row r="1587" spans="68:68" x14ac:dyDescent="0.25">
      <c r="BP1587"/>
    </row>
    <row r="1588" spans="68:68" x14ac:dyDescent="0.25">
      <c r="BP1588"/>
    </row>
    <row r="1589" spans="68:68" x14ac:dyDescent="0.25">
      <c r="BP1589"/>
    </row>
    <row r="1590" spans="68:68" x14ac:dyDescent="0.25">
      <c r="BP1590"/>
    </row>
    <row r="1591" spans="68:68" x14ac:dyDescent="0.25">
      <c r="BP1591"/>
    </row>
    <row r="1592" spans="68:68" x14ac:dyDescent="0.25">
      <c r="BP1592"/>
    </row>
    <row r="1593" spans="68:68" x14ac:dyDescent="0.25">
      <c r="BP1593"/>
    </row>
    <row r="1594" spans="68:68" x14ac:dyDescent="0.25">
      <c r="BP1594"/>
    </row>
    <row r="1595" spans="68:68" x14ac:dyDescent="0.25">
      <c r="BP1595"/>
    </row>
    <row r="1596" spans="68:68" x14ac:dyDescent="0.25">
      <c r="BP1596"/>
    </row>
    <row r="1597" spans="68:68" x14ac:dyDescent="0.25">
      <c r="BP1597"/>
    </row>
    <row r="1598" spans="68:68" x14ac:dyDescent="0.25">
      <c r="BP1598"/>
    </row>
    <row r="1599" spans="68:68" x14ac:dyDescent="0.25">
      <c r="BP1599"/>
    </row>
    <row r="1600" spans="68:68" x14ac:dyDescent="0.25">
      <c r="BP1600"/>
    </row>
    <row r="1601" spans="68:68" x14ac:dyDescent="0.25">
      <c r="BP1601"/>
    </row>
    <row r="1602" spans="68:68" x14ac:dyDescent="0.25">
      <c r="BP1602"/>
    </row>
    <row r="1603" spans="68:68" x14ac:dyDescent="0.25">
      <c r="BP1603"/>
    </row>
    <row r="1604" spans="68:68" x14ac:dyDescent="0.25">
      <c r="BP1604"/>
    </row>
    <row r="1605" spans="68:68" x14ac:dyDescent="0.25">
      <c r="BP1605"/>
    </row>
    <row r="1606" spans="68:68" x14ac:dyDescent="0.25">
      <c r="BP1606"/>
    </row>
    <row r="1607" spans="68:68" x14ac:dyDescent="0.25">
      <c r="BP1607"/>
    </row>
    <row r="1608" spans="68:68" x14ac:dyDescent="0.25">
      <c r="BP1608"/>
    </row>
    <row r="1609" spans="68:68" x14ac:dyDescent="0.25">
      <c r="BP1609"/>
    </row>
    <row r="1610" spans="68:68" x14ac:dyDescent="0.25">
      <c r="BP1610"/>
    </row>
    <row r="1611" spans="68:68" x14ac:dyDescent="0.25">
      <c r="BP1611"/>
    </row>
    <row r="1612" spans="68:68" x14ac:dyDescent="0.25">
      <c r="BP1612"/>
    </row>
    <row r="1613" spans="68:68" x14ac:dyDescent="0.25">
      <c r="BP1613"/>
    </row>
    <row r="1614" spans="68:68" x14ac:dyDescent="0.25">
      <c r="BP1614"/>
    </row>
    <row r="1615" spans="68:68" x14ac:dyDescent="0.25">
      <c r="BP1615"/>
    </row>
    <row r="1616" spans="68:68" x14ac:dyDescent="0.25">
      <c r="BP1616"/>
    </row>
    <row r="1617" spans="68:68" x14ac:dyDescent="0.25">
      <c r="BP1617"/>
    </row>
    <row r="1618" spans="68:68" x14ac:dyDescent="0.25">
      <c r="BP1618"/>
    </row>
    <row r="1619" spans="68:68" x14ac:dyDescent="0.25">
      <c r="BP1619"/>
    </row>
    <row r="1620" spans="68:68" x14ac:dyDescent="0.25">
      <c r="BP1620"/>
    </row>
    <row r="1621" spans="68:68" x14ac:dyDescent="0.25">
      <c r="BP1621"/>
    </row>
    <row r="1622" spans="68:68" x14ac:dyDescent="0.25">
      <c r="BP1622"/>
    </row>
    <row r="1623" spans="68:68" x14ac:dyDescent="0.25">
      <c r="BP1623"/>
    </row>
    <row r="1624" spans="68:68" x14ac:dyDescent="0.25">
      <c r="BP1624"/>
    </row>
    <row r="1625" spans="68:68" x14ac:dyDescent="0.25">
      <c r="BP1625"/>
    </row>
    <row r="1626" spans="68:68" x14ac:dyDescent="0.25">
      <c r="BP1626"/>
    </row>
    <row r="1627" spans="68:68" x14ac:dyDescent="0.25">
      <c r="BP1627"/>
    </row>
    <row r="1628" spans="68:68" x14ac:dyDescent="0.25">
      <c r="BP1628"/>
    </row>
    <row r="1629" spans="68:68" x14ac:dyDescent="0.25">
      <c r="BP1629"/>
    </row>
    <row r="1630" spans="68:68" x14ac:dyDescent="0.25">
      <c r="BP1630"/>
    </row>
    <row r="1631" spans="68:68" x14ac:dyDescent="0.25">
      <c r="BP1631"/>
    </row>
    <row r="1632" spans="68:68" x14ac:dyDescent="0.25">
      <c r="BP1632"/>
    </row>
    <row r="1633" spans="68:68" x14ac:dyDescent="0.25">
      <c r="BP1633"/>
    </row>
    <row r="1634" spans="68:68" x14ac:dyDescent="0.25">
      <c r="BP1634"/>
    </row>
    <row r="1635" spans="68:68" x14ac:dyDescent="0.25">
      <c r="BP1635"/>
    </row>
    <row r="1636" spans="68:68" x14ac:dyDescent="0.25">
      <c r="BP1636"/>
    </row>
    <row r="1637" spans="68:68" x14ac:dyDescent="0.25">
      <c r="BP1637"/>
    </row>
    <row r="1638" spans="68:68" x14ac:dyDescent="0.25">
      <c r="BP1638"/>
    </row>
    <row r="1639" spans="68:68" x14ac:dyDescent="0.25">
      <c r="BP1639"/>
    </row>
    <row r="1640" spans="68:68" x14ac:dyDescent="0.25">
      <c r="BP1640"/>
    </row>
    <row r="1641" spans="68:68" x14ac:dyDescent="0.25">
      <c r="BP1641"/>
    </row>
    <row r="1642" spans="68:68" x14ac:dyDescent="0.25">
      <c r="BP1642"/>
    </row>
    <row r="1643" spans="68:68" x14ac:dyDescent="0.25">
      <c r="BP1643"/>
    </row>
    <row r="1644" spans="68:68" x14ac:dyDescent="0.25">
      <c r="BP1644"/>
    </row>
    <row r="1645" spans="68:68" x14ac:dyDescent="0.25">
      <c r="BP1645"/>
    </row>
    <row r="1646" spans="68:68" x14ac:dyDescent="0.25">
      <c r="BP1646"/>
    </row>
    <row r="1647" spans="68:68" x14ac:dyDescent="0.25">
      <c r="BP1647"/>
    </row>
    <row r="1648" spans="68:68" x14ac:dyDescent="0.25">
      <c r="BP1648"/>
    </row>
    <row r="1649" spans="68:68" x14ac:dyDescent="0.25">
      <c r="BP1649"/>
    </row>
    <row r="1650" spans="68:68" x14ac:dyDescent="0.25">
      <c r="BP1650"/>
    </row>
    <row r="1651" spans="68:68" x14ac:dyDescent="0.25">
      <c r="BP1651"/>
    </row>
    <row r="1652" spans="68:68" x14ac:dyDescent="0.25">
      <c r="BP1652"/>
    </row>
    <row r="1653" spans="68:68" x14ac:dyDescent="0.25">
      <c r="BP1653"/>
    </row>
    <row r="1654" spans="68:68" x14ac:dyDescent="0.25">
      <c r="BP1654"/>
    </row>
    <row r="1655" spans="68:68" x14ac:dyDescent="0.25">
      <c r="BP1655"/>
    </row>
    <row r="1656" spans="68:68" x14ac:dyDescent="0.25">
      <c r="BP1656"/>
    </row>
    <row r="1657" spans="68:68" x14ac:dyDescent="0.25">
      <c r="BP1657"/>
    </row>
    <row r="1658" spans="68:68" x14ac:dyDescent="0.25">
      <c r="BP1658"/>
    </row>
    <row r="1659" spans="68:68" x14ac:dyDescent="0.25">
      <c r="BP1659"/>
    </row>
    <row r="1660" spans="68:68" x14ac:dyDescent="0.25">
      <c r="BP1660"/>
    </row>
    <row r="1661" spans="68:68" x14ac:dyDescent="0.25">
      <c r="BP1661"/>
    </row>
    <row r="1662" spans="68:68" x14ac:dyDescent="0.25">
      <c r="BP1662"/>
    </row>
    <row r="1663" spans="68:68" x14ac:dyDescent="0.25">
      <c r="BP1663"/>
    </row>
    <row r="1664" spans="68:68" x14ac:dyDescent="0.25">
      <c r="BP1664"/>
    </row>
    <row r="1665" spans="68:68" x14ac:dyDescent="0.25">
      <c r="BP1665"/>
    </row>
    <row r="1666" spans="68:68" x14ac:dyDescent="0.25">
      <c r="BP1666"/>
    </row>
    <row r="1667" spans="68:68" x14ac:dyDescent="0.25">
      <c r="BP1667"/>
    </row>
    <row r="1668" spans="68:68" x14ac:dyDescent="0.25">
      <c r="BP1668"/>
    </row>
    <row r="1669" spans="68:68" x14ac:dyDescent="0.25">
      <c r="BP1669"/>
    </row>
    <row r="1670" spans="68:68" x14ac:dyDescent="0.25">
      <c r="BP1670"/>
    </row>
    <row r="1671" spans="68:68" x14ac:dyDescent="0.25">
      <c r="BP1671"/>
    </row>
    <row r="1672" spans="68:68" x14ac:dyDescent="0.25">
      <c r="BP1672"/>
    </row>
    <row r="1673" spans="68:68" x14ac:dyDescent="0.25">
      <c r="BP1673"/>
    </row>
    <row r="1674" spans="68:68" x14ac:dyDescent="0.25">
      <c r="BP1674"/>
    </row>
    <row r="1675" spans="68:68" x14ac:dyDescent="0.25">
      <c r="BP1675"/>
    </row>
    <row r="1676" spans="68:68" x14ac:dyDescent="0.25">
      <c r="BP1676"/>
    </row>
    <row r="1677" spans="68:68" x14ac:dyDescent="0.25">
      <c r="BP1677"/>
    </row>
    <row r="1678" spans="68:68" x14ac:dyDescent="0.25">
      <c r="BP1678"/>
    </row>
    <row r="1679" spans="68:68" x14ac:dyDescent="0.25">
      <c r="BP1679"/>
    </row>
    <row r="1680" spans="68:68" x14ac:dyDescent="0.25">
      <c r="BP1680"/>
    </row>
    <row r="1681" spans="68:68" x14ac:dyDescent="0.25">
      <c r="BP1681"/>
    </row>
    <row r="1682" spans="68:68" x14ac:dyDescent="0.25">
      <c r="BP1682"/>
    </row>
    <row r="1683" spans="68:68" x14ac:dyDescent="0.25">
      <c r="BP1683"/>
    </row>
    <row r="1684" spans="68:68" x14ac:dyDescent="0.25">
      <c r="BP1684"/>
    </row>
    <row r="1685" spans="68:68" x14ac:dyDescent="0.25">
      <c r="BP1685"/>
    </row>
    <row r="1686" spans="68:68" x14ac:dyDescent="0.25">
      <c r="BP1686"/>
    </row>
    <row r="1687" spans="68:68" x14ac:dyDescent="0.25">
      <c r="BP1687"/>
    </row>
    <row r="1688" spans="68:68" x14ac:dyDescent="0.25">
      <c r="BP1688"/>
    </row>
    <row r="1689" spans="68:68" x14ac:dyDescent="0.25">
      <c r="BP1689"/>
    </row>
    <row r="1690" spans="68:68" x14ac:dyDescent="0.25">
      <c r="BP1690"/>
    </row>
    <row r="1691" spans="68:68" x14ac:dyDescent="0.25">
      <c r="BP1691"/>
    </row>
    <row r="1692" spans="68:68" x14ac:dyDescent="0.25">
      <c r="BP1692"/>
    </row>
    <row r="1693" spans="68:68" x14ac:dyDescent="0.25">
      <c r="BP1693"/>
    </row>
    <row r="1694" spans="68:68" x14ac:dyDescent="0.25">
      <c r="BP1694"/>
    </row>
    <row r="1695" spans="68:68" x14ac:dyDescent="0.25">
      <c r="BP1695"/>
    </row>
    <row r="1696" spans="68:68" x14ac:dyDescent="0.25">
      <c r="BP1696"/>
    </row>
    <row r="1697" spans="68:68" x14ac:dyDescent="0.25">
      <c r="BP1697"/>
    </row>
    <row r="1698" spans="68:68" x14ac:dyDescent="0.25">
      <c r="BP1698"/>
    </row>
    <row r="1699" spans="68:68" x14ac:dyDescent="0.25">
      <c r="BP1699"/>
    </row>
    <row r="1700" spans="68:68" x14ac:dyDescent="0.25">
      <c r="BP1700"/>
    </row>
    <row r="1701" spans="68:68" x14ac:dyDescent="0.25">
      <c r="BP1701"/>
    </row>
    <row r="1702" spans="68:68" x14ac:dyDescent="0.25">
      <c r="BP1702"/>
    </row>
    <row r="1703" spans="68:68" x14ac:dyDescent="0.25">
      <c r="BP1703"/>
    </row>
    <row r="1704" spans="68:68" x14ac:dyDescent="0.25">
      <c r="BP1704"/>
    </row>
    <row r="1705" spans="68:68" x14ac:dyDescent="0.25">
      <c r="BP1705"/>
    </row>
    <row r="1706" spans="68:68" x14ac:dyDescent="0.25">
      <c r="BP1706"/>
    </row>
    <row r="1707" spans="68:68" x14ac:dyDescent="0.25">
      <c r="BP1707"/>
    </row>
    <row r="1708" spans="68:68" x14ac:dyDescent="0.25">
      <c r="BP1708"/>
    </row>
    <row r="1709" spans="68:68" x14ac:dyDescent="0.25">
      <c r="BP1709"/>
    </row>
    <row r="1710" spans="68:68" x14ac:dyDescent="0.25">
      <c r="BP1710"/>
    </row>
    <row r="1711" spans="68:68" x14ac:dyDescent="0.25">
      <c r="BP1711"/>
    </row>
    <row r="1712" spans="68:68" x14ac:dyDescent="0.25">
      <c r="BP1712"/>
    </row>
    <row r="1713" spans="68:68" x14ac:dyDescent="0.25">
      <c r="BP1713"/>
    </row>
    <row r="1714" spans="68:68" x14ac:dyDescent="0.25">
      <c r="BP1714"/>
    </row>
    <row r="1715" spans="68:68" x14ac:dyDescent="0.25">
      <c r="BP1715"/>
    </row>
    <row r="1716" spans="68:68" x14ac:dyDescent="0.25">
      <c r="BP1716"/>
    </row>
    <row r="1717" spans="68:68" x14ac:dyDescent="0.25">
      <c r="BP1717"/>
    </row>
    <row r="1718" spans="68:68" x14ac:dyDescent="0.25">
      <c r="BP1718"/>
    </row>
    <row r="1719" spans="68:68" x14ac:dyDescent="0.25">
      <c r="BP1719"/>
    </row>
    <row r="1720" spans="68:68" x14ac:dyDescent="0.25">
      <c r="BP1720"/>
    </row>
    <row r="1721" spans="68:68" x14ac:dyDescent="0.25">
      <c r="BP1721"/>
    </row>
    <row r="1722" spans="68:68" x14ac:dyDescent="0.25">
      <c r="BP1722"/>
    </row>
    <row r="1723" spans="68:68" x14ac:dyDescent="0.25">
      <c r="BP1723"/>
    </row>
    <row r="1724" spans="68:68" x14ac:dyDescent="0.25">
      <c r="BP1724"/>
    </row>
    <row r="1725" spans="68:68" x14ac:dyDescent="0.25">
      <c r="BP1725"/>
    </row>
    <row r="1726" spans="68:68" x14ac:dyDescent="0.25">
      <c r="BP1726"/>
    </row>
    <row r="1727" spans="68:68" x14ac:dyDescent="0.25">
      <c r="BP1727"/>
    </row>
    <row r="1728" spans="68:68" x14ac:dyDescent="0.25">
      <c r="BP1728"/>
    </row>
    <row r="1729" spans="68:68" x14ac:dyDescent="0.25">
      <c r="BP1729"/>
    </row>
    <row r="1730" spans="68:68" x14ac:dyDescent="0.25">
      <c r="BP1730"/>
    </row>
    <row r="1731" spans="68:68" x14ac:dyDescent="0.25">
      <c r="BP1731"/>
    </row>
    <row r="1732" spans="68:68" x14ac:dyDescent="0.25">
      <c r="BP1732"/>
    </row>
    <row r="1733" spans="68:68" x14ac:dyDescent="0.25">
      <c r="BP1733"/>
    </row>
    <row r="1734" spans="68:68" x14ac:dyDescent="0.25">
      <c r="BP1734"/>
    </row>
    <row r="1735" spans="68:68" x14ac:dyDescent="0.25">
      <c r="BP1735"/>
    </row>
    <row r="1736" spans="68:68" x14ac:dyDescent="0.25">
      <c r="BP1736"/>
    </row>
    <row r="1737" spans="68:68" x14ac:dyDescent="0.25">
      <c r="BP1737"/>
    </row>
    <row r="1738" spans="68:68" x14ac:dyDescent="0.25">
      <c r="BP1738"/>
    </row>
    <row r="1739" spans="68:68" x14ac:dyDescent="0.25">
      <c r="BP1739"/>
    </row>
    <row r="1740" spans="68:68" x14ac:dyDescent="0.25">
      <c r="BP1740"/>
    </row>
    <row r="1741" spans="68:68" x14ac:dyDescent="0.25">
      <c r="BP1741"/>
    </row>
    <row r="1742" spans="68:68" x14ac:dyDescent="0.25">
      <c r="BP1742"/>
    </row>
    <row r="1743" spans="68:68" x14ac:dyDescent="0.25">
      <c r="BP1743"/>
    </row>
    <row r="1744" spans="68:68" x14ac:dyDescent="0.25">
      <c r="BP1744"/>
    </row>
    <row r="1745" spans="68:68" x14ac:dyDescent="0.25">
      <c r="BP1745"/>
    </row>
    <row r="1746" spans="68:68" x14ac:dyDescent="0.25">
      <c r="BP1746"/>
    </row>
    <row r="1747" spans="68:68" x14ac:dyDescent="0.25">
      <c r="BP1747"/>
    </row>
    <row r="1748" spans="68:68" x14ac:dyDescent="0.25">
      <c r="BP1748"/>
    </row>
    <row r="1749" spans="68:68" x14ac:dyDescent="0.25">
      <c r="BP1749"/>
    </row>
    <row r="1750" spans="68:68" x14ac:dyDescent="0.25">
      <c r="BP1750"/>
    </row>
    <row r="1751" spans="68:68" x14ac:dyDescent="0.25">
      <c r="BP1751"/>
    </row>
    <row r="1752" spans="68:68" x14ac:dyDescent="0.25">
      <c r="BP1752"/>
    </row>
    <row r="1753" spans="68:68" x14ac:dyDescent="0.25">
      <c r="BP1753"/>
    </row>
    <row r="1754" spans="68:68" x14ac:dyDescent="0.25">
      <c r="BP1754"/>
    </row>
    <row r="1755" spans="68:68" x14ac:dyDescent="0.25">
      <c r="BP1755"/>
    </row>
    <row r="1756" spans="68:68" x14ac:dyDescent="0.25">
      <c r="BP1756"/>
    </row>
    <row r="1757" spans="68:68" x14ac:dyDescent="0.25">
      <c r="BP1757"/>
    </row>
    <row r="1758" spans="68:68" x14ac:dyDescent="0.25">
      <c r="BP1758"/>
    </row>
    <row r="1759" spans="68:68" x14ac:dyDescent="0.25">
      <c r="BP1759"/>
    </row>
    <row r="1760" spans="68:68" x14ac:dyDescent="0.25">
      <c r="BP1760"/>
    </row>
    <row r="1761" spans="68:68" x14ac:dyDescent="0.25">
      <c r="BP1761"/>
    </row>
    <row r="1762" spans="68:68" x14ac:dyDescent="0.25">
      <c r="BP1762"/>
    </row>
    <row r="1763" spans="68:68" x14ac:dyDescent="0.25">
      <c r="BP1763"/>
    </row>
    <row r="1764" spans="68:68" x14ac:dyDescent="0.25">
      <c r="BP1764"/>
    </row>
    <row r="1765" spans="68:68" x14ac:dyDescent="0.25">
      <c r="BP1765"/>
    </row>
    <row r="1766" spans="68:68" x14ac:dyDescent="0.25">
      <c r="BP1766"/>
    </row>
    <row r="1767" spans="68:68" x14ac:dyDescent="0.25">
      <c r="BP1767"/>
    </row>
    <row r="1768" spans="68:68" x14ac:dyDescent="0.25">
      <c r="BP1768"/>
    </row>
    <row r="1769" spans="68:68" x14ac:dyDescent="0.25">
      <c r="BP1769"/>
    </row>
    <row r="1770" spans="68:68" x14ac:dyDescent="0.25">
      <c r="BP1770"/>
    </row>
    <row r="1771" spans="68:68" x14ac:dyDescent="0.25">
      <c r="BP1771"/>
    </row>
    <row r="1772" spans="68:68" x14ac:dyDescent="0.25">
      <c r="BP1772"/>
    </row>
    <row r="1773" spans="68:68" x14ac:dyDescent="0.25">
      <c r="BP1773"/>
    </row>
    <row r="1774" spans="68:68" x14ac:dyDescent="0.25">
      <c r="BP1774"/>
    </row>
    <row r="1775" spans="68:68" x14ac:dyDescent="0.25">
      <c r="BP1775"/>
    </row>
    <row r="1776" spans="68:68" x14ac:dyDescent="0.25">
      <c r="BP1776"/>
    </row>
    <row r="1777" spans="68:68" x14ac:dyDescent="0.25">
      <c r="BP1777"/>
    </row>
    <row r="1778" spans="68:68" x14ac:dyDescent="0.25">
      <c r="BP1778"/>
    </row>
    <row r="1779" spans="68:68" x14ac:dyDescent="0.25">
      <c r="BP1779"/>
    </row>
    <row r="1780" spans="68:68" x14ac:dyDescent="0.25">
      <c r="BP1780"/>
    </row>
    <row r="1781" spans="68:68" x14ac:dyDescent="0.25">
      <c r="BP1781"/>
    </row>
    <row r="1782" spans="68:68" x14ac:dyDescent="0.25">
      <c r="BP1782"/>
    </row>
    <row r="1783" spans="68:68" x14ac:dyDescent="0.25">
      <c r="BP1783"/>
    </row>
    <row r="1784" spans="68:68" x14ac:dyDescent="0.25">
      <c r="BP1784"/>
    </row>
    <row r="1785" spans="68:68" x14ac:dyDescent="0.25">
      <c r="BP1785"/>
    </row>
    <row r="1786" spans="68:68" x14ac:dyDescent="0.25">
      <c r="BP1786"/>
    </row>
    <row r="1787" spans="68:68" x14ac:dyDescent="0.25">
      <c r="BP1787"/>
    </row>
    <row r="1788" spans="68:68" x14ac:dyDescent="0.25">
      <c r="BP1788"/>
    </row>
    <row r="1789" spans="68:68" x14ac:dyDescent="0.25">
      <c r="BP1789"/>
    </row>
    <row r="1790" spans="68:68" x14ac:dyDescent="0.25">
      <c r="BP1790"/>
    </row>
    <row r="1791" spans="68:68" x14ac:dyDescent="0.25">
      <c r="BP1791"/>
    </row>
    <row r="1792" spans="68:68" x14ac:dyDescent="0.25">
      <c r="BP1792"/>
    </row>
    <row r="1793" spans="68:68" x14ac:dyDescent="0.25">
      <c r="BP1793"/>
    </row>
    <row r="1794" spans="68:68" x14ac:dyDescent="0.25">
      <c r="BP1794"/>
    </row>
    <row r="1795" spans="68:68" x14ac:dyDescent="0.25">
      <c r="BP1795"/>
    </row>
    <row r="1796" spans="68:68" x14ac:dyDescent="0.25">
      <c r="BP1796"/>
    </row>
    <row r="1797" spans="68:68" x14ac:dyDescent="0.25">
      <c r="BP1797"/>
    </row>
    <row r="1798" spans="68:68" x14ac:dyDescent="0.25">
      <c r="BP1798"/>
    </row>
    <row r="1799" spans="68:68" x14ac:dyDescent="0.25">
      <c r="BP1799"/>
    </row>
    <row r="1800" spans="68:68" x14ac:dyDescent="0.25">
      <c r="BP1800"/>
    </row>
    <row r="1801" spans="68:68" x14ac:dyDescent="0.25">
      <c r="BP1801"/>
    </row>
    <row r="1802" spans="68:68" x14ac:dyDescent="0.25">
      <c r="BP1802"/>
    </row>
    <row r="1803" spans="68:68" x14ac:dyDescent="0.25">
      <c r="BP1803"/>
    </row>
    <row r="1804" spans="68:68" x14ac:dyDescent="0.25">
      <c r="BP1804"/>
    </row>
    <row r="1805" spans="68:68" x14ac:dyDescent="0.25">
      <c r="BP1805"/>
    </row>
    <row r="1806" spans="68:68" x14ac:dyDescent="0.25">
      <c r="BP1806"/>
    </row>
    <row r="1807" spans="68:68" x14ac:dyDescent="0.25">
      <c r="BP1807"/>
    </row>
    <row r="1808" spans="68:68" x14ac:dyDescent="0.25">
      <c r="BP1808"/>
    </row>
    <row r="1809" spans="68:68" x14ac:dyDescent="0.25">
      <c r="BP1809"/>
    </row>
    <row r="1810" spans="68:68" x14ac:dyDescent="0.25">
      <c r="BP1810"/>
    </row>
    <row r="1811" spans="68:68" x14ac:dyDescent="0.25">
      <c r="BP1811"/>
    </row>
    <row r="1812" spans="68:68" x14ac:dyDescent="0.25">
      <c r="BP1812"/>
    </row>
    <row r="1813" spans="68:68" x14ac:dyDescent="0.25">
      <c r="BP1813"/>
    </row>
    <row r="1814" spans="68:68" x14ac:dyDescent="0.25">
      <c r="BP1814"/>
    </row>
    <row r="1815" spans="68:68" x14ac:dyDescent="0.25">
      <c r="BP1815"/>
    </row>
    <row r="1816" spans="68:68" x14ac:dyDescent="0.25">
      <c r="BP1816"/>
    </row>
    <row r="1817" spans="68:68" x14ac:dyDescent="0.25">
      <c r="BP1817"/>
    </row>
    <row r="1818" spans="68:68" x14ac:dyDescent="0.25">
      <c r="BP1818"/>
    </row>
    <row r="1819" spans="68:68" x14ac:dyDescent="0.25">
      <c r="BP1819"/>
    </row>
    <row r="1820" spans="68:68" x14ac:dyDescent="0.25">
      <c r="BP1820"/>
    </row>
    <row r="1821" spans="68:68" x14ac:dyDescent="0.25">
      <c r="BP1821"/>
    </row>
    <row r="1822" spans="68:68" x14ac:dyDescent="0.25">
      <c r="BP1822"/>
    </row>
    <row r="1823" spans="68:68" x14ac:dyDescent="0.25">
      <c r="BP1823"/>
    </row>
    <row r="1824" spans="68:68" x14ac:dyDescent="0.25">
      <c r="BP1824"/>
    </row>
    <row r="1825" spans="68:68" x14ac:dyDescent="0.25">
      <c r="BP1825"/>
    </row>
    <row r="1826" spans="68:68" x14ac:dyDescent="0.25">
      <c r="BP1826"/>
    </row>
    <row r="1827" spans="68:68" x14ac:dyDescent="0.25">
      <c r="BP1827"/>
    </row>
    <row r="1828" spans="68:68" x14ac:dyDescent="0.25">
      <c r="BP1828"/>
    </row>
    <row r="1829" spans="68:68" x14ac:dyDescent="0.25">
      <c r="BP1829"/>
    </row>
    <row r="1830" spans="68:68" x14ac:dyDescent="0.25">
      <c r="BP1830"/>
    </row>
    <row r="1831" spans="68:68" x14ac:dyDescent="0.25">
      <c r="BP1831"/>
    </row>
    <row r="1832" spans="68:68" x14ac:dyDescent="0.25">
      <c r="BP1832"/>
    </row>
    <row r="1833" spans="68:68" x14ac:dyDescent="0.25">
      <c r="BP1833"/>
    </row>
    <row r="1834" spans="68:68" x14ac:dyDescent="0.25">
      <c r="BP1834"/>
    </row>
    <row r="1835" spans="68:68" x14ac:dyDescent="0.25">
      <c r="BP1835"/>
    </row>
    <row r="1836" spans="68:68" x14ac:dyDescent="0.25">
      <c r="BP1836"/>
    </row>
    <row r="1837" spans="68:68" x14ac:dyDescent="0.25">
      <c r="BP1837"/>
    </row>
    <row r="1838" spans="68:68" x14ac:dyDescent="0.25">
      <c r="BP1838"/>
    </row>
    <row r="1839" spans="68:68" x14ac:dyDescent="0.25">
      <c r="BP1839"/>
    </row>
    <row r="1840" spans="68:68" x14ac:dyDescent="0.25">
      <c r="BP1840"/>
    </row>
    <row r="1841" spans="68:68" x14ac:dyDescent="0.25">
      <c r="BP1841"/>
    </row>
    <row r="1842" spans="68:68" x14ac:dyDescent="0.25">
      <c r="BP1842"/>
    </row>
    <row r="1843" spans="68:68" x14ac:dyDescent="0.25">
      <c r="BP1843"/>
    </row>
    <row r="1844" spans="68:68" x14ac:dyDescent="0.25">
      <c r="BP1844"/>
    </row>
    <row r="1845" spans="68:68" x14ac:dyDescent="0.25">
      <c r="BP1845"/>
    </row>
    <row r="1846" spans="68:68" x14ac:dyDescent="0.25">
      <c r="BP1846"/>
    </row>
    <row r="1847" spans="68:68" x14ac:dyDescent="0.25">
      <c r="BP1847"/>
    </row>
    <row r="1848" spans="68:68" x14ac:dyDescent="0.25">
      <c r="BP1848"/>
    </row>
    <row r="1849" spans="68:68" x14ac:dyDescent="0.25">
      <c r="BP1849"/>
    </row>
    <row r="1850" spans="68:68" x14ac:dyDescent="0.25">
      <c r="BP1850"/>
    </row>
    <row r="1851" spans="68:68" x14ac:dyDescent="0.25">
      <c r="BP1851"/>
    </row>
    <row r="1852" spans="68:68" x14ac:dyDescent="0.25">
      <c r="BP1852"/>
    </row>
    <row r="1853" spans="68:68" x14ac:dyDescent="0.25">
      <c r="BP1853"/>
    </row>
    <row r="1854" spans="68:68" x14ac:dyDescent="0.25">
      <c r="BP1854"/>
    </row>
    <row r="1855" spans="68:68" x14ac:dyDescent="0.25">
      <c r="BP1855"/>
    </row>
    <row r="1856" spans="68:68" x14ac:dyDescent="0.25">
      <c r="BP1856"/>
    </row>
    <row r="1857" spans="68:68" x14ac:dyDescent="0.25">
      <c r="BP1857"/>
    </row>
    <row r="1858" spans="68:68" x14ac:dyDescent="0.25">
      <c r="BP1858"/>
    </row>
    <row r="1859" spans="68:68" x14ac:dyDescent="0.25">
      <c r="BP1859"/>
    </row>
    <row r="1860" spans="68:68" x14ac:dyDescent="0.25">
      <c r="BP1860"/>
    </row>
    <row r="1861" spans="68:68" x14ac:dyDescent="0.25">
      <c r="BP1861"/>
    </row>
    <row r="1862" spans="68:68" x14ac:dyDescent="0.25">
      <c r="BP1862"/>
    </row>
    <row r="1863" spans="68:68" x14ac:dyDescent="0.25">
      <c r="BP1863"/>
    </row>
    <row r="1864" spans="68:68" x14ac:dyDescent="0.25">
      <c r="BP1864"/>
    </row>
    <row r="1865" spans="68:68" x14ac:dyDescent="0.25">
      <c r="BP1865"/>
    </row>
    <row r="1866" spans="68:68" x14ac:dyDescent="0.25">
      <c r="BP1866"/>
    </row>
    <row r="1867" spans="68:68" x14ac:dyDescent="0.25">
      <c r="BP1867"/>
    </row>
    <row r="1868" spans="68:68" x14ac:dyDescent="0.25">
      <c r="BP1868"/>
    </row>
    <row r="1869" spans="68:68" x14ac:dyDescent="0.25">
      <c r="BP1869"/>
    </row>
    <row r="1870" spans="68:68" x14ac:dyDescent="0.25">
      <c r="BP1870"/>
    </row>
    <row r="1871" spans="68:68" x14ac:dyDescent="0.25">
      <c r="BP1871"/>
    </row>
    <row r="1872" spans="68:68" x14ac:dyDescent="0.25">
      <c r="BP1872"/>
    </row>
    <row r="1873" spans="68:68" x14ac:dyDescent="0.25">
      <c r="BP1873"/>
    </row>
    <row r="1874" spans="68:68" x14ac:dyDescent="0.25">
      <c r="BP1874"/>
    </row>
    <row r="1875" spans="68:68" x14ac:dyDescent="0.25">
      <c r="BP1875"/>
    </row>
    <row r="1876" spans="68:68" x14ac:dyDescent="0.25">
      <c r="BP1876"/>
    </row>
    <row r="1877" spans="68:68" x14ac:dyDescent="0.25">
      <c r="BP1877"/>
    </row>
    <row r="1878" spans="68:68" x14ac:dyDescent="0.25">
      <c r="BP1878"/>
    </row>
    <row r="1879" spans="68:68" x14ac:dyDescent="0.25">
      <c r="BP1879"/>
    </row>
    <row r="1880" spans="68:68" x14ac:dyDescent="0.25">
      <c r="BP1880"/>
    </row>
    <row r="1881" spans="68:68" x14ac:dyDescent="0.25">
      <c r="BP1881"/>
    </row>
    <row r="1882" spans="68:68" x14ac:dyDescent="0.25">
      <c r="BP1882"/>
    </row>
    <row r="1883" spans="68:68" x14ac:dyDescent="0.25">
      <c r="BP1883"/>
    </row>
    <row r="1884" spans="68:68" x14ac:dyDescent="0.25">
      <c r="BP1884"/>
    </row>
    <row r="1885" spans="68:68" x14ac:dyDescent="0.25">
      <c r="BP1885"/>
    </row>
    <row r="1886" spans="68:68" x14ac:dyDescent="0.25">
      <c r="BP1886"/>
    </row>
    <row r="1887" spans="68:68" x14ac:dyDescent="0.25">
      <c r="BP1887"/>
    </row>
    <row r="1888" spans="68:68" x14ac:dyDescent="0.25">
      <c r="BP1888"/>
    </row>
    <row r="1889" spans="68:68" x14ac:dyDescent="0.25">
      <c r="BP1889"/>
    </row>
    <row r="1890" spans="68:68" x14ac:dyDescent="0.25">
      <c r="BP1890"/>
    </row>
    <row r="1891" spans="68:68" x14ac:dyDescent="0.25">
      <c r="BP1891"/>
    </row>
    <row r="1892" spans="68:68" x14ac:dyDescent="0.25">
      <c r="BP1892"/>
    </row>
    <row r="1893" spans="68:68" x14ac:dyDescent="0.25">
      <c r="BP1893"/>
    </row>
    <row r="1894" spans="68:68" x14ac:dyDescent="0.25">
      <c r="BP1894"/>
    </row>
    <row r="1895" spans="68:68" x14ac:dyDescent="0.25">
      <c r="BP1895"/>
    </row>
    <row r="1896" spans="68:68" x14ac:dyDescent="0.25">
      <c r="BP1896"/>
    </row>
    <row r="1897" spans="68:68" x14ac:dyDescent="0.25">
      <c r="BP1897"/>
    </row>
    <row r="1898" spans="68:68" x14ac:dyDescent="0.25">
      <c r="BP1898"/>
    </row>
    <row r="1899" spans="68:68" x14ac:dyDescent="0.25">
      <c r="BP1899"/>
    </row>
    <row r="1900" spans="68:68" x14ac:dyDescent="0.25">
      <c r="BP1900"/>
    </row>
    <row r="1901" spans="68:68" x14ac:dyDescent="0.25">
      <c r="BP1901"/>
    </row>
    <row r="1902" spans="68:68" x14ac:dyDescent="0.25">
      <c r="BP1902"/>
    </row>
    <row r="1903" spans="68:68" x14ac:dyDescent="0.25">
      <c r="BP1903"/>
    </row>
    <row r="1904" spans="68:68" x14ac:dyDescent="0.25">
      <c r="BP1904"/>
    </row>
    <row r="1905" spans="68:68" x14ac:dyDescent="0.25">
      <c r="BP1905"/>
    </row>
    <row r="1906" spans="68:68" x14ac:dyDescent="0.25">
      <c r="BP1906"/>
    </row>
    <row r="1907" spans="68:68" x14ac:dyDescent="0.25">
      <c r="BP1907"/>
    </row>
    <row r="1908" spans="68:68" x14ac:dyDescent="0.25">
      <c r="BP1908"/>
    </row>
    <row r="1909" spans="68:68" x14ac:dyDescent="0.25">
      <c r="BP1909"/>
    </row>
    <row r="1910" spans="68:68" x14ac:dyDescent="0.25">
      <c r="BP1910"/>
    </row>
    <row r="1911" spans="68:68" x14ac:dyDescent="0.25">
      <c r="BP1911"/>
    </row>
    <row r="1912" spans="68:68" x14ac:dyDescent="0.25">
      <c r="BP1912"/>
    </row>
    <row r="1913" spans="68:68" x14ac:dyDescent="0.25">
      <c r="BP1913"/>
    </row>
    <row r="1914" spans="68:68" x14ac:dyDescent="0.25">
      <c r="BP1914"/>
    </row>
    <row r="1915" spans="68:68" x14ac:dyDescent="0.25">
      <c r="BP1915"/>
    </row>
    <row r="1916" spans="68:68" x14ac:dyDescent="0.25">
      <c r="BP1916"/>
    </row>
    <row r="1917" spans="68:68" x14ac:dyDescent="0.25">
      <c r="BP1917"/>
    </row>
    <row r="1918" spans="68:68" x14ac:dyDescent="0.25">
      <c r="BP1918"/>
    </row>
    <row r="1919" spans="68:68" x14ac:dyDescent="0.25">
      <c r="BP1919"/>
    </row>
    <row r="1920" spans="68:68" x14ac:dyDescent="0.25">
      <c r="BP1920"/>
    </row>
    <row r="1921" spans="68:68" x14ac:dyDescent="0.25">
      <c r="BP1921"/>
    </row>
    <row r="1922" spans="68:68" x14ac:dyDescent="0.25">
      <c r="BP1922"/>
    </row>
    <row r="1923" spans="68:68" x14ac:dyDescent="0.25">
      <c r="BP1923"/>
    </row>
    <row r="1924" spans="68:68" x14ac:dyDescent="0.25">
      <c r="BP1924"/>
    </row>
    <row r="1925" spans="68:68" x14ac:dyDescent="0.25">
      <c r="BP1925"/>
    </row>
    <row r="1926" spans="68:68" x14ac:dyDescent="0.25">
      <c r="BP1926"/>
    </row>
    <row r="1927" spans="68:68" x14ac:dyDescent="0.25">
      <c r="BP1927"/>
    </row>
    <row r="1928" spans="68:68" x14ac:dyDescent="0.25">
      <c r="BP1928"/>
    </row>
    <row r="1929" spans="68:68" x14ac:dyDescent="0.25">
      <c r="BP1929"/>
    </row>
    <row r="1930" spans="68:68" x14ac:dyDescent="0.25">
      <c r="BP1930"/>
    </row>
    <row r="1931" spans="68:68" x14ac:dyDescent="0.25">
      <c r="BP1931"/>
    </row>
    <row r="1932" spans="68:68" x14ac:dyDescent="0.25">
      <c r="BP1932"/>
    </row>
    <row r="1933" spans="68:68" x14ac:dyDescent="0.25">
      <c r="BP1933"/>
    </row>
    <row r="1934" spans="68:68" x14ac:dyDescent="0.25">
      <c r="BP1934"/>
    </row>
    <row r="1935" spans="68:68" x14ac:dyDescent="0.25">
      <c r="BP1935"/>
    </row>
    <row r="1936" spans="68:68" x14ac:dyDescent="0.25">
      <c r="BP1936"/>
    </row>
    <row r="1937" spans="68:68" x14ac:dyDescent="0.25">
      <c r="BP1937"/>
    </row>
    <row r="1938" spans="68:68" x14ac:dyDescent="0.25">
      <c r="BP1938"/>
    </row>
    <row r="1939" spans="68:68" x14ac:dyDescent="0.25">
      <c r="BP1939"/>
    </row>
    <row r="1940" spans="68:68" x14ac:dyDescent="0.25">
      <c r="BP1940"/>
    </row>
    <row r="1941" spans="68:68" x14ac:dyDescent="0.25">
      <c r="BP1941"/>
    </row>
    <row r="1942" spans="68:68" x14ac:dyDescent="0.25">
      <c r="BP1942"/>
    </row>
    <row r="1943" spans="68:68" x14ac:dyDescent="0.25">
      <c r="BP1943"/>
    </row>
    <row r="1944" spans="68:68" x14ac:dyDescent="0.25">
      <c r="BP1944"/>
    </row>
    <row r="1945" spans="68:68" x14ac:dyDescent="0.25">
      <c r="BP1945"/>
    </row>
    <row r="1946" spans="68:68" x14ac:dyDescent="0.25">
      <c r="BP1946"/>
    </row>
    <row r="1947" spans="68:68" x14ac:dyDescent="0.25">
      <c r="BP1947"/>
    </row>
    <row r="1948" spans="68:68" x14ac:dyDescent="0.25">
      <c r="BP1948"/>
    </row>
    <row r="1949" spans="68:68" x14ac:dyDescent="0.25">
      <c r="BP1949"/>
    </row>
    <row r="1950" spans="68:68" x14ac:dyDescent="0.25">
      <c r="BP1950"/>
    </row>
    <row r="1951" spans="68:68" x14ac:dyDescent="0.25">
      <c r="BP1951"/>
    </row>
    <row r="1952" spans="68:68" x14ac:dyDescent="0.25">
      <c r="BP1952"/>
    </row>
    <row r="1953" spans="68:68" x14ac:dyDescent="0.25">
      <c r="BP1953"/>
    </row>
    <row r="1954" spans="68:68" x14ac:dyDescent="0.25">
      <c r="BP1954"/>
    </row>
    <row r="1955" spans="68:68" x14ac:dyDescent="0.25">
      <c r="BP1955"/>
    </row>
    <row r="1956" spans="68:68" x14ac:dyDescent="0.25">
      <c r="BP1956"/>
    </row>
    <row r="1957" spans="68:68" x14ac:dyDescent="0.25">
      <c r="BP1957"/>
    </row>
    <row r="1958" spans="68:68" x14ac:dyDescent="0.25">
      <c r="BP1958"/>
    </row>
    <row r="1959" spans="68:68" x14ac:dyDescent="0.25">
      <c r="BP1959"/>
    </row>
    <row r="1960" spans="68:68" x14ac:dyDescent="0.25">
      <c r="BP1960"/>
    </row>
    <row r="1961" spans="68:68" x14ac:dyDescent="0.25">
      <c r="BP1961"/>
    </row>
    <row r="1962" spans="68:68" x14ac:dyDescent="0.25">
      <c r="BP1962"/>
    </row>
    <row r="1963" spans="68:68" x14ac:dyDescent="0.25">
      <c r="BP1963"/>
    </row>
    <row r="1964" spans="68:68" x14ac:dyDescent="0.25">
      <c r="BP1964"/>
    </row>
    <row r="1965" spans="68:68" x14ac:dyDescent="0.25">
      <c r="BP1965"/>
    </row>
    <row r="1966" spans="68:68" x14ac:dyDescent="0.25">
      <c r="BP1966"/>
    </row>
    <row r="1967" spans="68:68" x14ac:dyDescent="0.25">
      <c r="BP1967"/>
    </row>
    <row r="1968" spans="68:68" x14ac:dyDescent="0.25">
      <c r="BP1968"/>
    </row>
    <row r="1969" spans="68:68" x14ac:dyDescent="0.25">
      <c r="BP1969"/>
    </row>
    <row r="1970" spans="68:68" x14ac:dyDescent="0.25">
      <c r="BP1970"/>
    </row>
    <row r="1971" spans="68:68" x14ac:dyDescent="0.25">
      <c r="BP1971"/>
    </row>
    <row r="1972" spans="68:68" x14ac:dyDescent="0.25">
      <c r="BP1972"/>
    </row>
    <row r="1973" spans="68:68" x14ac:dyDescent="0.25">
      <c r="BP1973"/>
    </row>
    <row r="1974" spans="68:68" x14ac:dyDescent="0.25">
      <c r="BP1974"/>
    </row>
    <row r="1975" spans="68:68" x14ac:dyDescent="0.25">
      <c r="BP1975"/>
    </row>
    <row r="1976" spans="68:68" x14ac:dyDescent="0.25">
      <c r="BP1976"/>
    </row>
    <row r="1977" spans="68:68" x14ac:dyDescent="0.25">
      <c r="BP1977"/>
    </row>
    <row r="1978" spans="68:68" x14ac:dyDescent="0.25">
      <c r="BP1978"/>
    </row>
    <row r="1979" spans="68:68" x14ac:dyDescent="0.25">
      <c r="BP1979"/>
    </row>
    <row r="1980" spans="68:68" x14ac:dyDescent="0.25">
      <c r="BP1980"/>
    </row>
    <row r="1981" spans="68:68" x14ac:dyDescent="0.25">
      <c r="BP1981"/>
    </row>
    <row r="1982" spans="68:68" x14ac:dyDescent="0.25">
      <c r="BP1982"/>
    </row>
    <row r="1983" spans="68:68" x14ac:dyDescent="0.25">
      <c r="BP1983"/>
    </row>
    <row r="1984" spans="68:68" x14ac:dyDescent="0.25">
      <c r="BP1984"/>
    </row>
    <row r="1985" spans="68:68" x14ac:dyDescent="0.25">
      <c r="BP1985"/>
    </row>
    <row r="1986" spans="68:68" x14ac:dyDescent="0.25">
      <c r="BP1986"/>
    </row>
    <row r="1987" spans="68:68" x14ac:dyDescent="0.25">
      <c r="BP1987"/>
    </row>
    <row r="1988" spans="68:68" x14ac:dyDescent="0.25">
      <c r="BP1988"/>
    </row>
    <row r="1989" spans="68:68" x14ac:dyDescent="0.25">
      <c r="BP1989"/>
    </row>
    <row r="1990" spans="68:68" x14ac:dyDescent="0.25">
      <c r="BP1990"/>
    </row>
    <row r="1991" spans="68:68" x14ac:dyDescent="0.25">
      <c r="BP1991"/>
    </row>
    <row r="1992" spans="68:68" x14ac:dyDescent="0.25">
      <c r="BP1992"/>
    </row>
    <row r="1993" spans="68:68" x14ac:dyDescent="0.25">
      <c r="BP1993"/>
    </row>
    <row r="1994" spans="68:68" x14ac:dyDescent="0.25">
      <c r="BP1994"/>
    </row>
    <row r="1995" spans="68:68" x14ac:dyDescent="0.25">
      <c r="BP1995"/>
    </row>
    <row r="1996" spans="68:68" x14ac:dyDescent="0.25">
      <c r="BP1996"/>
    </row>
    <row r="1997" spans="68:68" x14ac:dyDescent="0.25">
      <c r="BP1997"/>
    </row>
    <row r="1998" spans="68:68" x14ac:dyDescent="0.25">
      <c r="BP1998"/>
    </row>
    <row r="1999" spans="68:68" x14ac:dyDescent="0.25">
      <c r="BP1999"/>
    </row>
    <row r="2000" spans="68:68" x14ac:dyDescent="0.25">
      <c r="BP2000"/>
    </row>
    <row r="2001" spans="68:68" x14ac:dyDescent="0.25">
      <c r="BP2001"/>
    </row>
    <row r="2002" spans="68:68" x14ac:dyDescent="0.25">
      <c r="BP2002"/>
    </row>
    <row r="2003" spans="68:68" x14ac:dyDescent="0.25">
      <c r="BP2003"/>
    </row>
    <row r="2004" spans="68:68" x14ac:dyDescent="0.25">
      <c r="BP2004"/>
    </row>
    <row r="2005" spans="68:68" x14ac:dyDescent="0.25">
      <c r="BP2005"/>
    </row>
    <row r="2006" spans="68:68" x14ac:dyDescent="0.25">
      <c r="BP2006"/>
    </row>
    <row r="2007" spans="68:68" x14ac:dyDescent="0.25">
      <c r="BP2007"/>
    </row>
    <row r="2008" spans="68:68" x14ac:dyDescent="0.25">
      <c r="BP2008"/>
    </row>
    <row r="2009" spans="68:68" x14ac:dyDescent="0.25">
      <c r="BP2009"/>
    </row>
    <row r="2010" spans="68:68" x14ac:dyDescent="0.25">
      <c r="BP2010"/>
    </row>
    <row r="2011" spans="68:68" x14ac:dyDescent="0.25">
      <c r="BP2011"/>
    </row>
    <row r="2012" spans="68:68" x14ac:dyDescent="0.25">
      <c r="BP2012"/>
    </row>
    <row r="2013" spans="68:68" x14ac:dyDescent="0.25">
      <c r="BP2013"/>
    </row>
    <row r="2014" spans="68:68" x14ac:dyDescent="0.25">
      <c r="BP2014"/>
    </row>
    <row r="2015" spans="68:68" x14ac:dyDescent="0.25">
      <c r="BP2015"/>
    </row>
    <row r="2016" spans="68:68" x14ac:dyDescent="0.25">
      <c r="BP2016"/>
    </row>
    <row r="2017" spans="68:68" x14ac:dyDescent="0.25">
      <c r="BP2017"/>
    </row>
    <row r="2018" spans="68:68" x14ac:dyDescent="0.25">
      <c r="BP2018"/>
    </row>
    <row r="2019" spans="68:68" x14ac:dyDescent="0.25">
      <c r="BP2019"/>
    </row>
    <row r="2020" spans="68:68" x14ac:dyDescent="0.25">
      <c r="BP2020"/>
    </row>
    <row r="2021" spans="68:68" x14ac:dyDescent="0.25">
      <c r="BP2021"/>
    </row>
    <row r="2022" spans="68:68" x14ac:dyDescent="0.25">
      <c r="BP2022"/>
    </row>
    <row r="2023" spans="68:68" x14ac:dyDescent="0.25">
      <c r="BP2023"/>
    </row>
    <row r="2024" spans="68:68" x14ac:dyDescent="0.25">
      <c r="BP2024"/>
    </row>
    <row r="2025" spans="68:68" x14ac:dyDescent="0.25">
      <c r="BP2025"/>
    </row>
    <row r="2026" spans="68:68" x14ac:dyDescent="0.25">
      <c r="BP2026"/>
    </row>
    <row r="2027" spans="68:68" x14ac:dyDescent="0.25">
      <c r="BP2027"/>
    </row>
    <row r="2028" spans="68:68" x14ac:dyDescent="0.25">
      <c r="BP2028"/>
    </row>
    <row r="2029" spans="68:68" x14ac:dyDescent="0.25">
      <c r="BP2029"/>
    </row>
    <row r="2030" spans="68:68" x14ac:dyDescent="0.25">
      <c r="BP2030"/>
    </row>
    <row r="2031" spans="68:68" x14ac:dyDescent="0.25">
      <c r="BP2031"/>
    </row>
    <row r="2032" spans="68:68" x14ac:dyDescent="0.25">
      <c r="BP2032"/>
    </row>
    <row r="2033" spans="68:68" x14ac:dyDescent="0.25">
      <c r="BP2033"/>
    </row>
    <row r="2034" spans="68:68" x14ac:dyDescent="0.25">
      <c r="BP2034"/>
    </row>
    <row r="2035" spans="68:68" x14ac:dyDescent="0.25">
      <c r="BP2035"/>
    </row>
    <row r="2036" spans="68:68" x14ac:dyDescent="0.25">
      <c r="BP2036"/>
    </row>
    <row r="2037" spans="68:68" x14ac:dyDescent="0.25">
      <c r="BP2037"/>
    </row>
    <row r="2038" spans="68:68" x14ac:dyDescent="0.25">
      <c r="BP2038"/>
    </row>
    <row r="2039" spans="68:68" x14ac:dyDescent="0.25">
      <c r="BP2039"/>
    </row>
    <row r="2040" spans="68:68" x14ac:dyDescent="0.25">
      <c r="BP2040"/>
    </row>
    <row r="2041" spans="68:68" x14ac:dyDescent="0.25">
      <c r="BP2041"/>
    </row>
    <row r="2042" spans="68:68" x14ac:dyDescent="0.25">
      <c r="BP2042"/>
    </row>
    <row r="2043" spans="68:68" x14ac:dyDescent="0.25">
      <c r="BP2043"/>
    </row>
    <row r="2044" spans="68:68" x14ac:dyDescent="0.25">
      <c r="BP2044"/>
    </row>
    <row r="2045" spans="68:68" x14ac:dyDescent="0.25">
      <c r="BP2045"/>
    </row>
    <row r="2046" spans="68:68" x14ac:dyDescent="0.25">
      <c r="BP2046"/>
    </row>
    <row r="2047" spans="68:68" x14ac:dyDescent="0.25">
      <c r="BP2047"/>
    </row>
    <row r="2048" spans="68:68" x14ac:dyDescent="0.25">
      <c r="BP2048"/>
    </row>
    <row r="2049" spans="68:68" x14ac:dyDescent="0.25">
      <c r="BP2049"/>
    </row>
    <row r="2050" spans="68:68" x14ac:dyDescent="0.25">
      <c r="BP2050"/>
    </row>
    <row r="2051" spans="68:68" x14ac:dyDescent="0.25">
      <c r="BP2051"/>
    </row>
    <row r="2052" spans="68:68" x14ac:dyDescent="0.25">
      <c r="BP2052"/>
    </row>
    <row r="2053" spans="68:68" x14ac:dyDescent="0.25">
      <c r="BP2053"/>
    </row>
    <row r="2054" spans="68:68" x14ac:dyDescent="0.25">
      <c r="BP2054"/>
    </row>
    <row r="2055" spans="68:68" x14ac:dyDescent="0.25">
      <c r="BP2055"/>
    </row>
    <row r="2056" spans="68:68" x14ac:dyDescent="0.25">
      <c r="BP2056"/>
    </row>
    <row r="2057" spans="68:68" x14ac:dyDescent="0.25">
      <c r="BP2057"/>
    </row>
    <row r="2058" spans="68:68" x14ac:dyDescent="0.25">
      <c r="BP2058"/>
    </row>
    <row r="2059" spans="68:68" x14ac:dyDescent="0.25">
      <c r="BP2059"/>
    </row>
    <row r="2060" spans="68:68" x14ac:dyDescent="0.25">
      <c r="BP2060"/>
    </row>
    <row r="2061" spans="68:68" x14ac:dyDescent="0.25">
      <c r="BP2061"/>
    </row>
    <row r="2062" spans="68:68" x14ac:dyDescent="0.25">
      <c r="BP2062"/>
    </row>
    <row r="2063" spans="68:68" x14ac:dyDescent="0.25">
      <c r="BP2063"/>
    </row>
    <row r="2064" spans="68:68" x14ac:dyDescent="0.25">
      <c r="BP2064"/>
    </row>
    <row r="2065" spans="68:68" x14ac:dyDescent="0.25">
      <c r="BP2065"/>
    </row>
    <row r="2066" spans="68:68" x14ac:dyDescent="0.25">
      <c r="BP2066"/>
    </row>
    <row r="2067" spans="68:68" x14ac:dyDescent="0.25">
      <c r="BP2067"/>
    </row>
    <row r="2068" spans="68:68" x14ac:dyDescent="0.25">
      <c r="BP2068"/>
    </row>
    <row r="2069" spans="68:68" x14ac:dyDescent="0.25">
      <c r="BP2069"/>
    </row>
    <row r="2070" spans="68:68" x14ac:dyDescent="0.25">
      <c r="BP2070"/>
    </row>
    <row r="2071" spans="68:68" x14ac:dyDescent="0.25">
      <c r="BP2071"/>
    </row>
    <row r="2072" spans="68:68" x14ac:dyDescent="0.25">
      <c r="BP2072"/>
    </row>
    <row r="2073" spans="68:68" x14ac:dyDescent="0.25">
      <c r="BP2073"/>
    </row>
    <row r="2074" spans="68:68" x14ac:dyDescent="0.25">
      <c r="BP2074"/>
    </row>
    <row r="2075" spans="68:68" x14ac:dyDescent="0.25">
      <c r="BP2075"/>
    </row>
    <row r="2076" spans="68:68" x14ac:dyDescent="0.25">
      <c r="BP2076"/>
    </row>
    <row r="2077" spans="68:68" x14ac:dyDescent="0.25">
      <c r="BP2077"/>
    </row>
    <row r="2078" spans="68:68" x14ac:dyDescent="0.25">
      <c r="BP2078"/>
    </row>
    <row r="2079" spans="68:68" x14ac:dyDescent="0.25">
      <c r="BP2079"/>
    </row>
    <row r="2080" spans="68:68" x14ac:dyDescent="0.25">
      <c r="BP2080"/>
    </row>
    <row r="2081" spans="68:68" x14ac:dyDescent="0.25">
      <c r="BP2081"/>
    </row>
    <row r="2082" spans="68:68" x14ac:dyDescent="0.25">
      <c r="BP2082"/>
    </row>
    <row r="2083" spans="68:68" x14ac:dyDescent="0.25">
      <c r="BP2083"/>
    </row>
    <row r="2084" spans="68:68" x14ac:dyDescent="0.25">
      <c r="BP2084"/>
    </row>
    <row r="2085" spans="68:68" x14ac:dyDescent="0.25">
      <c r="BP2085"/>
    </row>
    <row r="2086" spans="68:68" x14ac:dyDescent="0.25">
      <c r="BP2086"/>
    </row>
    <row r="2087" spans="68:68" x14ac:dyDescent="0.25">
      <c r="BP2087"/>
    </row>
    <row r="2088" spans="68:68" x14ac:dyDescent="0.25">
      <c r="BP2088"/>
    </row>
    <row r="2089" spans="68:68" x14ac:dyDescent="0.25">
      <c r="BP2089"/>
    </row>
    <row r="2090" spans="68:68" x14ac:dyDescent="0.25">
      <c r="BP2090"/>
    </row>
    <row r="2091" spans="68:68" x14ac:dyDescent="0.25">
      <c r="BP2091"/>
    </row>
    <row r="2092" spans="68:68" x14ac:dyDescent="0.25">
      <c r="BP2092"/>
    </row>
    <row r="2093" spans="68:68" x14ac:dyDescent="0.25">
      <c r="BP2093"/>
    </row>
    <row r="2094" spans="68:68" x14ac:dyDescent="0.25">
      <c r="BP2094"/>
    </row>
    <row r="2095" spans="68:68" x14ac:dyDescent="0.25">
      <c r="BP2095"/>
    </row>
    <row r="2096" spans="68:68" x14ac:dyDescent="0.25">
      <c r="BP2096"/>
    </row>
    <row r="2097" spans="68:68" x14ac:dyDescent="0.25">
      <c r="BP2097"/>
    </row>
    <row r="2098" spans="68:68" x14ac:dyDescent="0.25">
      <c r="BP2098"/>
    </row>
    <row r="2099" spans="68:68" x14ac:dyDescent="0.25">
      <c r="BP2099"/>
    </row>
    <row r="2100" spans="68:68" x14ac:dyDescent="0.25">
      <c r="BP2100"/>
    </row>
    <row r="2101" spans="68:68" x14ac:dyDescent="0.25">
      <c r="BP2101"/>
    </row>
    <row r="2102" spans="68:68" x14ac:dyDescent="0.25">
      <c r="BP2102"/>
    </row>
    <row r="2103" spans="68:68" x14ac:dyDescent="0.25">
      <c r="BP2103"/>
    </row>
    <row r="2104" spans="68:68" x14ac:dyDescent="0.25">
      <c r="BP2104"/>
    </row>
    <row r="2105" spans="68:68" x14ac:dyDescent="0.25">
      <c r="BP2105"/>
    </row>
    <row r="2106" spans="68:68" x14ac:dyDescent="0.25">
      <c r="BP2106"/>
    </row>
    <row r="2107" spans="68:68" x14ac:dyDescent="0.25">
      <c r="BP2107"/>
    </row>
    <row r="2108" spans="68:68" x14ac:dyDescent="0.25">
      <c r="BP2108"/>
    </row>
    <row r="2109" spans="68:68" x14ac:dyDescent="0.25">
      <c r="BP2109"/>
    </row>
    <row r="2110" spans="68:68" x14ac:dyDescent="0.25">
      <c r="BP2110"/>
    </row>
    <row r="2111" spans="68:68" x14ac:dyDescent="0.25">
      <c r="BP2111"/>
    </row>
    <row r="2112" spans="68:68" x14ac:dyDescent="0.25">
      <c r="BP2112"/>
    </row>
    <row r="2113" spans="68:68" x14ac:dyDescent="0.25">
      <c r="BP2113"/>
    </row>
    <row r="2114" spans="68:68" x14ac:dyDescent="0.25">
      <c r="BP2114"/>
    </row>
    <row r="2115" spans="68:68" x14ac:dyDescent="0.25">
      <c r="BP2115"/>
    </row>
    <row r="2116" spans="68:68" x14ac:dyDescent="0.25">
      <c r="BP2116"/>
    </row>
    <row r="2117" spans="68:68" x14ac:dyDescent="0.25">
      <c r="BP2117"/>
    </row>
    <row r="2118" spans="68:68" x14ac:dyDescent="0.25">
      <c r="BP2118"/>
    </row>
    <row r="2119" spans="68:68" x14ac:dyDescent="0.25">
      <c r="BP2119"/>
    </row>
    <row r="2120" spans="68:68" x14ac:dyDescent="0.25">
      <c r="BP2120"/>
    </row>
    <row r="2121" spans="68:68" x14ac:dyDescent="0.25">
      <c r="BP2121"/>
    </row>
    <row r="2122" spans="68:68" x14ac:dyDescent="0.25">
      <c r="BP2122"/>
    </row>
    <row r="2123" spans="68:68" x14ac:dyDescent="0.25">
      <c r="BP2123"/>
    </row>
    <row r="2124" spans="68:68" x14ac:dyDescent="0.25">
      <c r="BP2124"/>
    </row>
    <row r="2125" spans="68:68" x14ac:dyDescent="0.25">
      <c r="BP2125"/>
    </row>
    <row r="2126" spans="68:68" x14ac:dyDescent="0.25">
      <c r="BP2126"/>
    </row>
    <row r="2127" spans="68:68" x14ac:dyDescent="0.25">
      <c r="BP2127"/>
    </row>
    <row r="2128" spans="68:68" x14ac:dyDescent="0.25">
      <c r="BP2128"/>
    </row>
    <row r="2129" spans="68:68" x14ac:dyDescent="0.25">
      <c r="BP2129"/>
    </row>
    <row r="2130" spans="68:68" x14ac:dyDescent="0.25">
      <c r="BP2130"/>
    </row>
    <row r="2131" spans="68:68" x14ac:dyDescent="0.25">
      <c r="BP2131"/>
    </row>
    <row r="2132" spans="68:68" x14ac:dyDescent="0.25">
      <c r="BP2132"/>
    </row>
    <row r="2133" spans="68:68" x14ac:dyDescent="0.25">
      <c r="BP2133"/>
    </row>
    <row r="2134" spans="68:68" x14ac:dyDescent="0.25">
      <c r="BP2134"/>
    </row>
    <row r="2135" spans="68:68" x14ac:dyDescent="0.25">
      <c r="BP2135"/>
    </row>
    <row r="2136" spans="68:68" x14ac:dyDescent="0.25">
      <c r="BP2136"/>
    </row>
    <row r="2137" spans="68:68" x14ac:dyDescent="0.25">
      <c r="BP2137"/>
    </row>
    <row r="2138" spans="68:68" x14ac:dyDescent="0.25">
      <c r="BP2138"/>
    </row>
    <row r="2139" spans="68:68" x14ac:dyDescent="0.25">
      <c r="BP2139"/>
    </row>
    <row r="2140" spans="68:68" x14ac:dyDescent="0.25">
      <c r="BP2140"/>
    </row>
    <row r="2141" spans="68:68" x14ac:dyDescent="0.25">
      <c r="BP2141"/>
    </row>
    <row r="2142" spans="68:68" x14ac:dyDescent="0.25">
      <c r="BP2142"/>
    </row>
    <row r="2143" spans="68:68" x14ac:dyDescent="0.25">
      <c r="BP2143"/>
    </row>
    <row r="2144" spans="68:68" x14ac:dyDescent="0.25">
      <c r="BP2144"/>
    </row>
    <row r="2145" spans="68:68" x14ac:dyDescent="0.25">
      <c r="BP2145"/>
    </row>
    <row r="2146" spans="68:68" x14ac:dyDescent="0.25">
      <c r="BP2146"/>
    </row>
    <row r="2147" spans="68:68" x14ac:dyDescent="0.25">
      <c r="BP2147"/>
    </row>
    <row r="2148" spans="68:68" x14ac:dyDescent="0.25">
      <c r="BP2148"/>
    </row>
    <row r="2149" spans="68:68" x14ac:dyDescent="0.25">
      <c r="BP2149"/>
    </row>
    <row r="2150" spans="68:68" x14ac:dyDescent="0.25">
      <c r="BP2150"/>
    </row>
    <row r="2151" spans="68:68" x14ac:dyDescent="0.25">
      <c r="BP2151"/>
    </row>
    <row r="2152" spans="68:68" x14ac:dyDescent="0.25">
      <c r="BP2152"/>
    </row>
    <row r="2153" spans="68:68" x14ac:dyDescent="0.25">
      <c r="BP2153"/>
    </row>
    <row r="2154" spans="68:68" x14ac:dyDescent="0.25">
      <c r="BP2154"/>
    </row>
    <row r="2155" spans="68:68" x14ac:dyDescent="0.25">
      <c r="BP2155"/>
    </row>
    <row r="2156" spans="68:68" x14ac:dyDescent="0.25">
      <c r="BP2156"/>
    </row>
    <row r="2157" spans="68:68" x14ac:dyDescent="0.25">
      <c r="BP2157"/>
    </row>
    <row r="2158" spans="68:68" x14ac:dyDescent="0.25">
      <c r="BP2158"/>
    </row>
    <row r="2159" spans="68:68" x14ac:dyDescent="0.25">
      <c r="BP2159"/>
    </row>
    <row r="2160" spans="68:68" x14ac:dyDescent="0.25">
      <c r="BP2160"/>
    </row>
    <row r="2161" spans="68:68" x14ac:dyDescent="0.25">
      <c r="BP2161"/>
    </row>
    <row r="2162" spans="68:68" x14ac:dyDescent="0.25">
      <c r="BP2162"/>
    </row>
    <row r="2163" spans="68:68" x14ac:dyDescent="0.25">
      <c r="BP2163"/>
    </row>
    <row r="2164" spans="68:68" x14ac:dyDescent="0.25">
      <c r="BP2164"/>
    </row>
    <row r="2165" spans="68:68" x14ac:dyDescent="0.25">
      <c r="BP2165"/>
    </row>
    <row r="2166" spans="68:68" x14ac:dyDescent="0.25">
      <c r="BP2166"/>
    </row>
    <row r="2167" spans="68:68" x14ac:dyDescent="0.25">
      <c r="BP2167"/>
    </row>
    <row r="2168" spans="68:68" x14ac:dyDescent="0.25">
      <c r="BP2168"/>
    </row>
    <row r="2169" spans="68:68" x14ac:dyDescent="0.25">
      <c r="BP2169"/>
    </row>
    <row r="2170" spans="68:68" x14ac:dyDescent="0.25">
      <c r="BP2170"/>
    </row>
    <row r="2171" spans="68:68" x14ac:dyDescent="0.25">
      <c r="BP2171"/>
    </row>
    <row r="2172" spans="68:68" x14ac:dyDescent="0.25">
      <c r="BP2172"/>
    </row>
    <row r="2173" spans="68:68" x14ac:dyDescent="0.25">
      <c r="BP2173"/>
    </row>
    <row r="2174" spans="68:68" x14ac:dyDescent="0.25">
      <c r="BP2174"/>
    </row>
    <row r="2175" spans="68:68" x14ac:dyDescent="0.25">
      <c r="BP2175"/>
    </row>
    <row r="2176" spans="68:68" x14ac:dyDescent="0.25">
      <c r="BP2176"/>
    </row>
    <row r="2177" spans="68:68" x14ac:dyDescent="0.25">
      <c r="BP2177"/>
    </row>
    <row r="2178" spans="68:68" x14ac:dyDescent="0.25">
      <c r="BP2178"/>
    </row>
    <row r="2179" spans="68:68" x14ac:dyDescent="0.25">
      <c r="BP2179"/>
    </row>
    <row r="2180" spans="68:68" x14ac:dyDescent="0.25">
      <c r="BP2180"/>
    </row>
    <row r="2181" spans="68:68" x14ac:dyDescent="0.25">
      <c r="BP2181"/>
    </row>
    <row r="2182" spans="68:68" x14ac:dyDescent="0.25">
      <c r="BP2182"/>
    </row>
    <row r="2183" spans="68:68" x14ac:dyDescent="0.25">
      <c r="BP2183"/>
    </row>
    <row r="2184" spans="68:68" x14ac:dyDescent="0.25">
      <c r="BP2184"/>
    </row>
    <row r="2185" spans="68:68" x14ac:dyDescent="0.25">
      <c r="BP2185"/>
    </row>
    <row r="2186" spans="68:68" x14ac:dyDescent="0.25">
      <c r="BP2186"/>
    </row>
    <row r="2187" spans="68:68" x14ac:dyDescent="0.25">
      <c r="BP2187"/>
    </row>
    <row r="2188" spans="68:68" x14ac:dyDescent="0.25">
      <c r="BP2188"/>
    </row>
    <row r="2189" spans="68:68" x14ac:dyDescent="0.25">
      <c r="BP2189"/>
    </row>
    <row r="2190" spans="68:68" x14ac:dyDescent="0.25">
      <c r="BP2190"/>
    </row>
    <row r="2191" spans="68:68" x14ac:dyDescent="0.25">
      <c r="BP2191"/>
    </row>
    <row r="2192" spans="68:68" x14ac:dyDescent="0.25">
      <c r="BP2192"/>
    </row>
    <row r="2193" spans="68:68" x14ac:dyDescent="0.25">
      <c r="BP2193"/>
    </row>
    <row r="2194" spans="68:68" x14ac:dyDescent="0.25">
      <c r="BP2194"/>
    </row>
    <row r="2195" spans="68:68" x14ac:dyDescent="0.25">
      <c r="BP2195"/>
    </row>
    <row r="2196" spans="68:68" x14ac:dyDescent="0.25">
      <c r="BP2196"/>
    </row>
    <row r="2197" spans="68:68" x14ac:dyDescent="0.25">
      <c r="BP2197"/>
    </row>
    <row r="2198" spans="68:68" x14ac:dyDescent="0.25">
      <c r="BP2198"/>
    </row>
    <row r="2199" spans="68:68" x14ac:dyDescent="0.25">
      <c r="BP2199"/>
    </row>
    <row r="2200" spans="68:68" x14ac:dyDescent="0.25">
      <c r="BP2200"/>
    </row>
    <row r="2201" spans="68:68" x14ac:dyDescent="0.25">
      <c r="BP2201"/>
    </row>
    <row r="2202" spans="68:68" x14ac:dyDescent="0.25">
      <c r="BP2202"/>
    </row>
    <row r="2203" spans="68:68" x14ac:dyDescent="0.25">
      <c r="BP2203"/>
    </row>
    <row r="2204" spans="68:68" x14ac:dyDescent="0.25">
      <c r="BP2204"/>
    </row>
    <row r="2205" spans="68:68" x14ac:dyDescent="0.25">
      <c r="BP2205"/>
    </row>
    <row r="2206" spans="68:68" x14ac:dyDescent="0.25">
      <c r="BP2206"/>
    </row>
    <row r="2207" spans="68:68" x14ac:dyDescent="0.25">
      <c r="BP2207"/>
    </row>
    <row r="2208" spans="68:68" x14ac:dyDescent="0.25">
      <c r="BP2208"/>
    </row>
    <row r="2209" spans="68:68" x14ac:dyDescent="0.25">
      <c r="BP2209"/>
    </row>
    <row r="2210" spans="68:68" x14ac:dyDescent="0.25">
      <c r="BP2210"/>
    </row>
    <row r="2211" spans="68:68" x14ac:dyDescent="0.25">
      <c r="BP2211"/>
    </row>
    <row r="2212" spans="68:68" x14ac:dyDescent="0.25">
      <c r="BP2212"/>
    </row>
    <row r="2213" spans="68:68" x14ac:dyDescent="0.25">
      <c r="BP2213"/>
    </row>
    <row r="2214" spans="68:68" x14ac:dyDescent="0.25">
      <c r="BP2214"/>
    </row>
    <row r="2215" spans="68:68" x14ac:dyDescent="0.25">
      <c r="BP2215"/>
    </row>
    <row r="2216" spans="68:68" x14ac:dyDescent="0.25">
      <c r="BP2216"/>
    </row>
    <row r="2217" spans="68:68" x14ac:dyDescent="0.25">
      <c r="BP2217"/>
    </row>
    <row r="2218" spans="68:68" x14ac:dyDescent="0.25">
      <c r="BP2218"/>
    </row>
    <row r="2219" spans="68:68" x14ac:dyDescent="0.25">
      <c r="BP2219"/>
    </row>
    <row r="2220" spans="68:68" x14ac:dyDescent="0.25">
      <c r="BP2220"/>
    </row>
    <row r="2221" spans="68:68" x14ac:dyDescent="0.25">
      <c r="BP2221"/>
    </row>
    <row r="2222" spans="68:68" x14ac:dyDescent="0.25">
      <c r="BP2222"/>
    </row>
    <row r="2223" spans="68:68" x14ac:dyDescent="0.25">
      <c r="BP2223"/>
    </row>
    <row r="2224" spans="68:68" x14ac:dyDescent="0.25">
      <c r="BP2224"/>
    </row>
    <row r="2225" spans="68:68" x14ac:dyDescent="0.25">
      <c r="BP2225"/>
    </row>
    <row r="2226" spans="68:68" x14ac:dyDescent="0.25">
      <c r="BP2226"/>
    </row>
    <row r="2227" spans="68:68" x14ac:dyDescent="0.25">
      <c r="BP2227"/>
    </row>
    <row r="2228" spans="68:68" x14ac:dyDescent="0.25">
      <c r="BP2228"/>
    </row>
    <row r="2229" spans="68:68" x14ac:dyDescent="0.25">
      <c r="BP2229"/>
    </row>
    <row r="2230" spans="68:68" x14ac:dyDescent="0.25">
      <c r="BP2230"/>
    </row>
    <row r="2231" spans="68:68" x14ac:dyDescent="0.25">
      <c r="BP2231"/>
    </row>
    <row r="2232" spans="68:68" x14ac:dyDescent="0.25">
      <c r="BP2232"/>
    </row>
    <row r="2233" spans="68:68" x14ac:dyDescent="0.25">
      <c r="BP2233"/>
    </row>
    <row r="2234" spans="68:68" x14ac:dyDescent="0.25">
      <c r="BP2234"/>
    </row>
    <row r="2235" spans="68:68" x14ac:dyDescent="0.25">
      <c r="BP2235"/>
    </row>
    <row r="2236" spans="68:68" x14ac:dyDescent="0.25">
      <c r="BP2236"/>
    </row>
    <row r="2237" spans="68:68" x14ac:dyDescent="0.25">
      <c r="BP2237"/>
    </row>
    <row r="2238" spans="68:68" x14ac:dyDescent="0.25">
      <c r="BP2238"/>
    </row>
    <row r="2239" spans="68:68" x14ac:dyDescent="0.25">
      <c r="BP2239"/>
    </row>
    <row r="2240" spans="68:68" x14ac:dyDescent="0.25">
      <c r="BP2240"/>
    </row>
    <row r="2241" spans="68:68" x14ac:dyDescent="0.25">
      <c r="BP2241"/>
    </row>
    <row r="2242" spans="68:68" x14ac:dyDescent="0.25">
      <c r="BP2242"/>
    </row>
    <row r="2243" spans="68:68" x14ac:dyDescent="0.25">
      <c r="BP2243"/>
    </row>
    <row r="2244" spans="68:68" x14ac:dyDescent="0.25">
      <c r="BP2244"/>
    </row>
    <row r="2245" spans="68:68" x14ac:dyDescent="0.25">
      <c r="BP2245"/>
    </row>
    <row r="2246" spans="68:68" x14ac:dyDescent="0.25">
      <c r="BP2246"/>
    </row>
    <row r="2247" spans="68:68" x14ac:dyDescent="0.25">
      <c r="BP2247"/>
    </row>
    <row r="2248" spans="68:68" x14ac:dyDescent="0.25">
      <c r="BP2248"/>
    </row>
    <row r="2249" spans="68:68" x14ac:dyDescent="0.25">
      <c r="BP2249"/>
    </row>
    <row r="2250" spans="68:68" x14ac:dyDescent="0.25">
      <c r="BP2250"/>
    </row>
    <row r="2251" spans="68:68" x14ac:dyDescent="0.25">
      <c r="BP2251"/>
    </row>
    <row r="2252" spans="68:68" x14ac:dyDescent="0.25">
      <c r="BP2252"/>
    </row>
    <row r="2253" spans="68:68" x14ac:dyDescent="0.25">
      <c r="BP2253"/>
    </row>
    <row r="2254" spans="68:68" x14ac:dyDescent="0.25">
      <c r="BP2254"/>
    </row>
    <row r="2255" spans="68:68" x14ac:dyDescent="0.25">
      <c r="BP2255"/>
    </row>
    <row r="2256" spans="68:68" x14ac:dyDescent="0.25">
      <c r="BP2256"/>
    </row>
    <row r="2257" spans="68:68" x14ac:dyDescent="0.25">
      <c r="BP2257"/>
    </row>
    <row r="2258" spans="68:68" x14ac:dyDescent="0.25">
      <c r="BP2258"/>
    </row>
    <row r="2259" spans="68:68" x14ac:dyDescent="0.25">
      <c r="BP2259"/>
    </row>
    <row r="2260" spans="68:68" x14ac:dyDescent="0.25">
      <c r="BP2260"/>
    </row>
    <row r="2261" spans="68:68" x14ac:dyDescent="0.25">
      <c r="BP2261"/>
    </row>
    <row r="2262" spans="68:68" x14ac:dyDescent="0.25">
      <c r="BP2262"/>
    </row>
    <row r="2263" spans="68:68" x14ac:dyDescent="0.25">
      <c r="BP2263"/>
    </row>
    <row r="2264" spans="68:68" x14ac:dyDescent="0.25">
      <c r="BP2264"/>
    </row>
    <row r="2265" spans="68:68" x14ac:dyDescent="0.25">
      <c r="BP2265"/>
    </row>
    <row r="2266" spans="68:68" x14ac:dyDescent="0.25">
      <c r="BP2266"/>
    </row>
    <row r="2267" spans="68:68" x14ac:dyDescent="0.25">
      <c r="BP2267"/>
    </row>
    <row r="2268" spans="68:68" x14ac:dyDescent="0.25">
      <c r="BP2268"/>
    </row>
    <row r="2269" spans="68:68" x14ac:dyDescent="0.25">
      <c r="BP2269"/>
    </row>
    <row r="2270" spans="68:68" x14ac:dyDescent="0.25">
      <c r="BP2270"/>
    </row>
    <row r="2271" spans="68:68" x14ac:dyDescent="0.25">
      <c r="BP2271"/>
    </row>
    <row r="2272" spans="68:68" x14ac:dyDescent="0.25">
      <c r="BP2272"/>
    </row>
    <row r="2273" spans="68:68" x14ac:dyDescent="0.25">
      <c r="BP2273"/>
    </row>
    <row r="2274" spans="68:68" x14ac:dyDescent="0.25">
      <c r="BP2274"/>
    </row>
    <row r="2275" spans="68:68" x14ac:dyDescent="0.25">
      <c r="BP2275"/>
    </row>
    <row r="2276" spans="68:68" x14ac:dyDescent="0.25">
      <c r="BP2276"/>
    </row>
    <row r="2277" spans="68:68" x14ac:dyDescent="0.25">
      <c r="BP2277"/>
    </row>
    <row r="2278" spans="68:68" x14ac:dyDescent="0.25">
      <c r="BP2278"/>
    </row>
    <row r="2279" spans="68:68" x14ac:dyDescent="0.25">
      <c r="BP2279"/>
    </row>
    <row r="2280" spans="68:68" x14ac:dyDescent="0.25">
      <c r="BP2280"/>
    </row>
    <row r="2281" spans="68:68" x14ac:dyDescent="0.25">
      <c r="BP2281"/>
    </row>
    <row r="2282" spans="68:68" x14ac:dyDescent="0.25">
      <c r="BP2282"/>
    </row>
    <row r="2283" spans="68:68" x14ac:dyDescent="0.25">
      <c r="BP2283"/>
    </row>
    <row r="2284" spans="68:68" x14ac:dyDescent="0.25">
      <c r="BP2284"/>
    </row>
    <row r="2285" spans="68:68" x14ac:dyDescent="0.25">
      <c r="BP2285"/>
    </row>
    <row r="2286" spans="68:68" x14ac:dyDescent="0.25">
      <c r="BP2286"/>
    </row>
    <row r="2287" spans="68:68" x14ac:dyDescent="0.25">
      <c r="BP2287"/>
    </row>
    <row r="2288" spans="68:68" x14ac:dyDescent="0.25">
      <c r="BP2288"/>
    </row>
    <row r="2289" spans="68:68" x14ac:dyDescent="0.25">
      <c r="BP2289"/>
    </row>
    <row r="2290" spans="68:68" x14ac:dyDescent="0.25">
      <c r="BP2290"/>
    </row>
    <row r="2291" spans="68:68" x14ac:dyDescent="0.25">
      <c r="BP2291"/>
    </row>
    <row r="2292" spans="68:68" x14ac:dyDescent="0.25">
      <c r="BP2292"/>
    </row>
    <row r="2293" spans="68:68" x14ac:dyDescent="0.25">
      <c r="BP2293"/>
    </row>
    <row r="2294" spans="68:68" x14ac:dyDescent="0.25">
      <c r="BP2294"/>
    </row>
    <row r="2295" spans="68:68" x14ac:dyDescent="0.25">
      <c r="BP2295"/>
    </row>
    <row r="2296" spans="68:68" x14ac:dyDescent="0.25">
      <c r="BP2296"/>
    </row>
    <row r="2297" spans="68:68" x14ac:dyDescent="0.25">
      <c r="BP2297"/>
    </row>
    <row r="2298" spans="68:68" x14ac:dyDescent="0.25">
      <c r="BP2298"/>
    </row>
    <row r="2299" spans="68:68" x14ac:dyDescent="0.25">
      <c r="BP2299"/>
    </row>
    <row r="2300" spans="68:68" x14ac:dyDescent="0.25">
      <c r="BP2300"/>
    </row>
    <row r="2301" spans="68:68" x14ac:dyDescent="0.25">
      <c r="BP2301"/>
    </row>
    <row r="2302" spans="68:68" x14ac:dyDescent="0.25">
      <c r="BP2302"/>
    </row>
    <row r="2303" spans="68:68" x14ac:dyDescent="0.25">
      <c r="BP2303"/>
    </row>
    <row r="2304" spans="68:68" x14ac:dyDescent="0.25">
      <c r="BP2304"/>
    </row>
    <row r="2305" spans="68:68" x14ac:dyDescent="0.25">
      <c r="BP2305"/>
    </row>
    <row r="2306" spans="68:68" x14ac:dyDescent="0.25">
      <c r="BP2306"/>
    </row>
    <row r="2307" spans="68:68" x14ac:dyDescent="0.25">
      <c r="BP2307"/>
    </row>
    <row r="2308" spans="68:68" x14ac:dyDescent="0.25">
      <c r="BP2308"/>
    </row>
    <row r="2309" spans="68:68" x14ac:dyDescent="0.25">
      <c r="BP2309"/>
    </row>
    <row r="2310" spans="68:68" x14ac:dyDescent="0.25">
      <c r="BP2310"/>
    </row>
    <row r="2311" spans="68:68" x14ac:dyDescent="0.25">
      <c r="BP2311"/>
    </row>
    <row r="2312" spans="68:68" x14ac:dyDescent="0.25">
      <c r="BP2312"/>
    </row>
    <row r="2313" spans="68:68" x14ac:dyDescent="0.25">
      <c r="BP2313"/>
    </row>
    <row r="2314" spans="68:68" x14ac:dyDescent="0.25">
      <c r="BP2314"/>
    </row>
    <row r="2315" spans="68:68" x14ac:dyDescent="0.25">
      <c r="BP2315"/>
    </row>
    <row r="2316" spans="68:68" x14ac:dyDescent="0.25">
      <c r="BP2316"/>
    </row>
    <row r="2317" spans="68:68" x14ac:dyDescent="0.25">
      <c r="BP2317"/>
    </row>
    <row r="2318" spans="68:68" x14ac:dyDescent="0.25">
      <c r="BP2318"/>
    </row>
    <row r="2319" spans="68:68" x14ac:dyDescent="0.25">
      <c r="BP2319"/>
    </row>
    <row r="2320" spans="68:68" x14ac:dyDescent="0.25">
      <c r="BP2320"/>
    </row>
    <row r="2321" spans="68:68" x14ac:dyDescent="0.25">
      <c r="BP2321"/>
    </row>
    <row r="2322" spans="68:68" x14ac:dyDescent="0.25">
      <c r="BP2322"/>
    </row>
    <row r="2323" spans="68:68" x14ac:dyDescent="0.25">
      <c r="BP2323"/>
    </row>
    <row r="2324" spans="68:68" x14ac:dyDescent="0.25">
      <c r="BP2324"/>
    </row>
    <row r="2325" spans="68:68" x14ac:dyDescent="0.25">
      <c r="BP2325"/>
    </row>
    <row r="2326" spans="68:68" x14ac:dyDescent="0.25">
      <c r="BP2326"/>
    </row>
    <row r="2327" spans="68:68" x14ac:dyDescent="0.25">
      <c r="BP2327"/>
    </row>
    <row r="2328" spans="68:68" x14ac:dyDescent="0.25">
      <c r="BP2328"/>
    </row>
    <row r="2329" spans="68:68" x14ac:dyDescent="0.25">
      <c r="BP2329"/>
    </row>
    <row r="2330" spans="68:68" x14ac:dyDescent="0.25">
      <c r="BP2330"/>
    </row>
    <row r="2331" spans="68:68" x14ac:dyDescent="0.25">
      <c r="BP2331"/>
    </row>
    <row r="2332" spans="68:68" x14ac:dyDescent="0.25">
      <c r="BP2332"/>
    </row>
    <row r="2333" spans="68:68" x14ac:dyDescent="0.25">
      <c r="BP2333"/>
    </row>
    <row r="2334" spans="68:68" x14ac:dyDescent="0.25">
      <c r="BP2334"/>
    </row>
    <row r="2335" spans="68:68" x14ac:dyDescent="0.25">
      <c r="BP2335"/>
    </row>
    <row r="2336" spans="68:68" x14ac:dyDescent="0.25">
      <c r="BP2336"/>
    </row>
    <row r="2337" spans="68:68" x14ac:dyDescent="0.25">
      <c r="BP2337"/>
    </row>
    <row r="2338" spans="68:68" x14ac:dyDescent="0.25">
      <c r="BP2338"/>
    </row>
    <row r="2339" spans="68:68" x14ac:dyDescent="0.25">
      <c r="BP2339"/>
    </row>
    <row r="2340" spans="68:68" x14ac:dyDescent="0.25">
      <c r="BP2340"/>
    </row>
    <row r="2341" spans="68:68" x14ac:dyDescent="0.25">
      <c r="BP2341"/>
    </row>
    <row r="2342" spans="68:68" x14ac:dyDescent="0.25">
      <c r="BP2342"/>
    </row>
    <row r="2343" spans="68:68" x14ac:dyDescent="0.25">
      <c r="BP2343"/>
    </row>
    <row r="2344" spans="68:68" x14ac:dyDescent="0.25">
      <c r="BP2344"/>
    </row>
    <row r="2345" spans="68:68" x14ac:dyDescent="0.25">
      <c r="BP2345"/>
    </row>
    <row r="2346" spans="68:68" x14ac:dyDescent="0.25">
      <c r="BP2346"/>
    </row>
    <row r="2347" spans="68:68" x14ac:dyDescent="0.25">
      <c r="BP2347"/>
    </row>
    <row r="2348" spans="68:68" x14ac:dyDescent="0.25">
      <c r="BP2348"/>
    </row>
    <row r="2349" spans="68:68" x14ac:dyDescent="0.25">
      <c r="BP2349"/>
    </row>
    <row r="2350" spans="68:68" x14ac:dyDescent="0.25">
      <c r="BP2350"/>
    </row>
    <row r="2351" spans="68:68" x14ac:dyDescent="0.25">
      <c r="BP2351"/>
    </row>
    <row r="2352" spans="68:68" x14ac:dyDescent="0.25">
      <c r="BP2352"/>
    </row>
    <row r="2353" spans="68:68" x14ac:dyDescent="0.25">
      <c r="BP2353"/>
    </row>
    <row r="2354" spans="68:68" x14ac:dyDescent="0.25">
      <c r="BP2354"/>
    </row>
    <row r="2355" spans="68:68" x14ac:dyDescent="0.25">
      <c r="BP2355"/>
    </row>
    <row r="2356" spans="68:68" x14ac:dyDescent="0.25">
      <c r="BP2356"/>
    </row>
    <row r="2357" spans="68:68" x14ac:dyDescent="0.25">
      <c r="BP2357"/>
    </row>
    <row r="2358" spans="68:68" x14ac:dyDescent="0.25">
      <c r="BP2358"/>
    </row>
    <row r="2359" spans="68:68" x14ac:dyDescent="0.25">
      <c r="BP2359"/>
    </row>
    <row r="2360" spans="68:68" x14ac:dyDescent="0.25">
      <c r="BP2360"/>
    </row>
    <row r="2361" spans="68:68" x14ac:dyDescent="0.25">
      <c r="BP2361"/>
    </row>
    <row r="2362" spans="68:68" x14ac:dyDescent="0.25">
      <c r="BP2362"/>
    </row>
    <row r="2363" spans="68:68" x14ac:dyDescent="0.25">
      <c r="BP2363"/>
    </row>
    <row r="2364" spans="68:68" x14ac:dyDescent="0.25">
      <c r="BP2364"/>
    </row>
    <row r="2365" spans="68:68" x14ac:dyDescent="0.25">
      <c r="BP2365"/>
    </row>
    <row r="2366" spans="68:68" x14ac:dyDescent="0.25">
      <c r="BP2366"/>
    </row>
    <row r="2367" spans="68:68" x14ac:dyDescent="0.25">
      <c r="BP2367"/>
    </row>
    <row r="2368" spans="68:68" x14ac:dyDescent="0.25">
      <c r="BP2368"/>
    </row>
    <row r="2369" spans="68:68" x14ac:dyDescent="0.25">
      <c r="BP2369"/>
    </row>
    <row r="2370" spans="68:68" x14ac:dyDescent="0.25">
      <c r="BP2370"/>
    </row>
    <row r="2371" spans="68:68" x14ac:dyDescent="0.25">
      <c r="BP2371"/>
    </row>
    <row r="2372" spans="68:68" x14ac:dyDescent="0.25">
      <c r="BP2372"/>
    </row>
    <row r="2373" spans="68:68" x14ac:dyDescent="0.25">
      <c r="BP2373"/>
    </row>
    <row r="2374" spans="68:68" x14ac:dyDescent="0.25">
      <c r="BP2374"/>
    </row>
    <row r="2375" spans="68:68" x14ac:dyDescent="0.25">
      <c r="BP2375"/>
    </row>
    <row r="2376" spans="68:68" x14ac:dyDescent="0.25">
      <c r="BP2376"/>
    </row>
    <row r="2377" spans="68:68" x14ac:dyDescent="0.25">
      <c r="BP2377"/>
    </row>
    <row r="2378" spans="68:68" x14ac:dyDescent="0.25">
      <c r="BP2378"/>
    </row>
    <row r="2379" spans="68:68" x14ac:dyDescent="0.25">
      <c r="BP2379"/>
    </row>
    <row r="2380" spans="68:68" x14ac:dyDescent="0.25">
      <c r="BP2380"/>
    </row>
    <row r="2381" spans="68:68" x14ac:dyDescent="0.25">
      <c r="BP2381"/>
    </row>
    <row r="2382" spans="68:68" x14ac:dyDescent="0.25">
      <c r="BP2382"/>
    </row>
    <row r="2383" spans="68:68" x14ac:dyDescent="0.25">
      <c r="BP2383"/>
    </row>
    <row r="2384" spans="68:68" x14ac:dyDescent="0.25">
      <c r="BP2384"/>
    </row>
    <row r="2385" spans="68:68" x14ac:dyDescent="0.25">
      <c r="BP2385"/>
    </row>
    <row r="2386" spans="68:68" x14ac:dyDescent="0.25">
      <c r="BP2386"/>
    </row>
    <row r="2387" spans="68:68" x14ac:dyDescent="0.25">
      <c r="BP2387"/>
    </row>
    <row r="2388" spans="68:68" x14ac:dyDescent="0.25">
      <c r="BP2388"/>
    </row>
    <row r="2389" spans="68:68" x14ac:dyDescent="0.25">
      <c r="BP2389"/>
    </row>
    <row r="2390" spans="68:68" x14ac:dyDescent="0.25">
      <c r="BP2390"/>
    </row>
    <row r="2391" spans="68:68" x14ac:dyDescent="0.25">
      <c r="BP2391"/>
    </row>
    <row r="2392" spans="68:68" x14ac:dyDescent="0.25">
      <c r="BP2392"/>
    </row>
    <row r="2393" spans="68:68" x14ac:dyDescent="0.25">
      <c r="BP2393"/>
    </row>
    <row r="2394" spans="68:68" x14ac:dyDescent="0.25">
      <c r="BP2394"/>
    </row>
    <row r="2395" spans="68:68" x14ac:dyDescent="0.25">
      <c r="BP2395"/>
    </row>
    <row r="2396" spans="68:68" x14ac:dyDescent="0.25">
      <c r="BP2396"/>
    </row>
    <row r="2397" spans="68:68" x14ac:dyDescent="0.25">
      <c r="BP2397"/>
    </row>
    <row r="2398" spans="68:68" x14ac:dyDescent="0.25">
      <c r="BP2398"/>
    </row>
    <row r="2399" spans="68:68" x14ac:dyDescent="0.25">
      <c r="BP2399"/>
    </row>
    <row r="2400" spans="68:68" x14ac:dyDescent="0.25">
      <c r="BP2400"/>
    </row>
    <row r="2401" spans="68:68" x14ac:dyDescent="0.25">
      <c r="BP2401"/>
    </row>
    <row r="2402" spans="68:68" x14ac:dyDescent="0.25">
      <c r="BP2402"/>
    </row>
    <row r="2403" spans="68:68" x14ac:dyDescent="0.25">
      <c r="BP2403"/>
    </row>
    <row r="2404" spans="68:68" x14ac:dyDescent="0.25">
      <c r="BP2404"/>
    </row>
    <row r="2405" spans="68:68" x14ac:dyDescent="0.25">
      <c r="BP2405"/>
    </row>
    <row r="2406" spans="68:68" x14ac:dyDescent="0.25">
      <c r="BP2406"/>
    </row>
    <row r="2407" spans="68:68" x14ac:dyDescent="0.25">
      <c r="BP2407"/>
    </row>
    <row r="2408" spans="68:68" x14ac:dyDescent="0.25">
      <c r="BP2408"/>
    </row>
    <row r="2409" spans="68:68" x14ac:dyDescent="0.25">
      <c r="BP2409"/>
    </row>
    <row r="2410" spans="68:68" x14ac:dyDescent="0.25">
      <c r="BP2410"/>
    </row>
    <row r="2411" spans="68:68" x14ac:dyDescent="0.25">
      <c r="BP2411"/>
    </row>
    <row r="2412" spans="68:68" x14ac:dyDescent="0.25">
      <c r="BP2412"/>
    </row>
    <row r="2413" spans="68:68" x14ac:dyDescent="0.25">
      <c r="BP2413"/>
    </row>
    <row r="2414" spans="68:68" x14ac:dyDescent="0.25">
      <c r="BP2414"/>
    </row>
    <row r="2415" spans="68:68" x14ac:dyDescent="0.25">
      <c r="BP2415"/>
    </row>
    <row r="2416" spans="68:68" x14ac:dyDescent="0.25">
      <c r="BP2416"/>
    </row>
    <row r="2417" spans="68:68" x14ac:dyDescent="0.25">
      <c r="BP2417"/>
    </row>
    <row r="2418" spans="68:68" x14ac:dyDescent="0.25">
      <c r="BP2418"/>
    </row>
    <row r="2419" spans="68:68" x14ac:dyDescent="0.25">
      <c r="BP2419"/>
    </row>
    <row r="2420" spans="68:68" x14ac:dyDescent="0.25">
      <c r="BP2420"/>
    </row>
    <row r="2421" spans="68:68" x14ac:dyDescent="0.25">
      <c r="BP2421"/>
    </row>
    <row r="2422" spans="68:68" x14ac:dyDescent="0.25">
      <c r="BP2422"/>
    </row>
    <row r="2423" spans="68:68" x14ac:dyDescent="0.25">
      <c r="BP2423"/>
    </row>
    <row r="2424" spans="68:68" x14ac:dyDescent="0.25">
      <c r="BP2424"/>
    </row>
    <row r="2425" spans="68:68" x14ac:dyDescent="0.25">
      <c r="BP2425"/>
    </row>
    <row r="2426" spans="68:68" x14ac:dyDescent="0.25">
      <c r="BP2426"/>
    </row>
    <row r="2427" spans="68:68" x14ac:dyDescent="0.25">
      <c r="BP2427"/>
    </row>
    <row r="2428" spans="68:68" x14ac:dyDescent="0.25">
      <c r="BP2428"/>
    </row>
    <row r="2429" spans="68:68" x14ac:dyDescent="0.25">
      <c r="BP2429"/>
    </row>
    <row r="2430" spans="68:68" x14ac:dyDescent="0.25">
      <c r="BP2430"/>
    </row>
    <row r="2431" spans="68:68" x14ac:dyDescent="0.25">
      <c r="BP2431"/>
    </row>
    <row r="2432" spans="68:68" x14ac:dyDescent="0.25">
      <c r="BP2432"/>
    </row>
    <row r="2433" spans="68:68" x14ac:dyDescent="0.25">
      <c r="BP2433"/>
    </row>
    <row r="2434" spans="68:68" x14ac:dyDescent="0.25">
      <c r="BP2434"/>
    </row>
    <row r="2435" spans="68:68" x14ac:dyDescent="0.25">
      <c r="BP2435"/>
    </row>
    <row r="2436" spans="68:68" x14ac:dyDescent="0.25">
      <c r="BP2436"/>
    </row>
    <row r="2437" spans="68:68" x14ac:dyDescent="0.25">
      <c r="BP2437"/>
    </row>
    <row r="2438" spans="68:68" x14ac:dyDescent="0.25">
      <c r="BP2438"/>
    </row>
    <row r="2439" spans="68:68" x14ac:dyDescent="0.25">
      <c r="BP2439"/>
    </row>
    <row r="2440" spans="68:68" x14ac:dyDescent="0.25">
      <c r="BP2440"/>
    </row>
    <row r="2441" spans="68:68" x14ac:dyDescent="0.25">
      <c r="BP2441"/>
    </row>
    <row r="2442" spans="68:68" x14ac:dyDescent="0.25">
      <c r="BP2442"/>
    </row>
    <row r="2443" spans="68:68" x14ac:dyDescent="0.25">
      <c r="BP2443"/>
    </row>
    <row r="2444" spans="68:68" x14ac:dyDescent="0.25">
      <c r="BP2444"/>
    </row>
    <row r="2445" spans="68:68" x14ac:dyDescent="0.25">
      <c r="BP2445"/>
    </row>
    <row r="2446" spans="68:68" x14ac:dyDescent="0.25">
      <c r="BP2446"/>
    </row>
    <row r="2447" spans="68:68" x14ac:dyDescent="0.25">
      <c r="BP2447"/>
    </row>
    <row r="2448" spans="68:68" x14ac:dyDescent="0.25">
      <c r="BP2448"/>
    </row>
    <row r="2449" spans="68:68" x14ac:dyDescent="0.25">
      <c r="BP2449"/>
    </row>
    <row r="2450" spans="68:68" x14ac:dyDescent="0.25">
      <c r="BP2450"/>
    </row>
    <row r="2451" spans="68:68" x14ac:dyDescent="0.25">
      <c r="BP2451"/>
    </row>
    <row r="2452" spans="68:68" x14ac:dyDescent="0.25">
      <c r="BP2452"/>
    </row>
    <row r="2453" spans="68:68" x14ac:dyDescent="0.25">
      <c r="BP2453"/>
    </row>
    <row r="2454" spans="68:68" x14ac:dyDescent="0.25">
      <c r="BP2454"/>
    </row>
    <row r="2455" spans="68:68" x14ac:dyDescent="0.25">
      <c r="BP2455"/>
    </row>
    <row r="2456" spans="68:68" x14ac:dyDescent="0.25">
      <c r="BP2456"/>
    </row>
    <row r="2457" spans="68:68" x14ac:dyDescent="0.25">
      <c r="BP2457"/>
    </row>
    <row r="2458" spans="68:68" x14ac:dyDescent="0.25">
      <c r="BP2458"/>
    </row>
    <row r="2459" spans="68:68" x14ac:dyDescent="0.25">
      <c r="BP2459"/>
    </row>
    <row r="2460" spans="68:68" x14ac:dyDescent="0.25">
      <c r="BP2460"/>
    </row>
    <row r="2461" spans="68:68" x14ac:dyDescent="0.25">
      <c r="BP2461"/>
    </row>
    <row r="2462" spans="68:68" x14ac:dyDescent="0.25">
      <c r="BP2462"/>
    </row>
    <row r="2463" spans="68:68" x14ac:dyDescent="0.25">
      <c r="BP2463"/>
    </row>
    <row r="2464" spans="68:68" x14ac:dyDescent="0.25">
      <c r="BP2464"/>
    </row>
    <row r="2465" spans="68:68" x14ac:dyDescent="0.25">
      <c r="BP2465"/>
    </row>
    <row r="2466" spans="68:68" x14ac:dyDescent="0.25">
      <c r="BP2466"/>
    </row>
    <row r="2467" spans="68:68" x14ac:dyDescent="0.25">
      <c r="BP2467"/>
    </row>
    <row r="2468" spans="68:68" x14ac:dyDescent="0.25">
      <c r="BP2468"/>
    </row>
    <row r="2469" spans="68:68" x14ac:dyDescent="0.25">
      <c r="BP2469"/>
    </row>
    <row r="2470" spans="68:68" x14ac:dyDescent="0.25">
      <c r="BP2470"/>
    </row>
    <row r="2471" spans="68:68" x14ac:dyDescent="0.25">
      <c r="BP2471"/>
    </row>
    <row r="2472" spans="68:68" x14ac:dyDescent="0.25">
      <c r="BP2472"/>
    </row>
    <row r="2473" spans="68:68" x14ac:dyDescent="0.25">
      <c r="BP2473"/>
    </row>
    <row r="2474" spans="68:68" x14ac:dyDescent="0.25">
      <c r="BP2474"/>
    </row>
    <row r="2475" spans="68:68" x14ac:dyDescent="0.25">
      <c r="BP2475"/>
    </row>
    <row r="2476" spans="68:68" x14ac:dyDescent="0.25">
      <c r="BP2476"/>
    </row>
    <row r="2477" spans="68:68" x14ac:dyDescent="0.25">
      <c r="BP2477"/>
    </row>
    <row r="2478" spans="68:68" x14ac:dyDescent="0.25">
      <c r="BP2478"/>
    </row>
    <row r="2479" spans="68:68" x14ac:dyDescent="0.25">
      <c r="BP2479"/>
    </row>
    <row r="2480" spans="68:68" x14ac:dyDescent="0.25">
      <c r="BP2480"/>
    </row>
    <row r="2481" spans="68:68" x14ac:dyDescent="0.25">
      <c r="BP2481"/>
    </row>
    <row r="2482" spans="68:68" x14ac:dyDescent="0.25">
      <c r="BP2482"/>
    </row>
    <row r="2483" spans="68:68" x14ac:dyDescent="0.25">
      <c r="BP2483"/>
    </row>
    <row r="2484" spans="68:68" x14ac:dyDescent="0.25">
      <c r="BP2484"/>
    </row>
    <row r="2485" spans="68:68" x14ac:dyDescent="0.25">
      <c r="BP2485"/>
    </row>
    <row r="2486" spans="68:68" x14ac:dyDescent="0.25">
      <c r="BP2486"/>
    </row>
    <row r="2487" spans="68:68" x14ac:dyDescent="0.25">
      <c r="BP2487"/>
    </row>
    <row r="2488" spans="68:68" x14ac:dyDescent="0.25">
      <c r="BP2488"/>
    </row>
    <row r="2489" spans="68:68" x14ac:dyDescent="0.25">
      <c r="BP2489"/>
    </row>
    <row r="2490" spans="68:68" x14ac:dyDescent="0.25">
      <c r="BP2490"/>
    </row>
    <row r="2491" spans="68:68" x14ac:dyDescent="0.25">
      <c r="BP2491"/>
    </row>
    <row r="2492" spans="68:68" x14ac:dyDescent="0.25">
      <c r="BP2492"/>
    </row>
    <row r="2493" spans="68:68" x14ac:dyDescent="0.25">
      <c r="BP2493"/>
    </row>
    <row r="2494" spans="68:68" x14ac:dyDescent="0.25">
      <c r="BP2494"/>
    </row>
    <row r="2495" spans="68:68" x14ac:dyDescent="0.25">
      <c r="BP2495"/>
    </row>
    <row r="2496" spans="68:68" x14ac:dyDescent="0.25">
      <c r="BP2496"/>
    </row>
    <row r="2497" spans="68:68" x14ac:dyDescent="0.25">
      <c r="BP2497"/>
    </row>
    <row r="2498" spans="68:68" x14ac:dyDescent="0.25">
      <c r="BP2498"/>
    </row>
    <row r="2499" spans="68:68" x14ac:dyDescent="0.25">
      <c r="BP2499"/>
    </row>
    <row r="2500" spans="68:68" x14ac:dyDescent="0.25">
      <c r="BP2500"/>
    </row>
    <row r="2501" spans="68:68" x14ac:dyDescent="0.25">
      <c r="BP2501"/>
    </row>
    <row r="2502" spans="68:68" x14ac:dyDescent="0.25">
      <c r="BP2502"/>
    </row>
    <row r="2503" spans="68:68" x14ac:dyDescent="0.25">
      <c r="BP2503"/>
    </row>
    <row r="2504" spans="68:68" x14ac:dyDescent="0.25">
      <c r="BP2504"/>
    </row>
    <row r="2505" spans="68:68" x14ac:dyDescent="0.25">
      <c r="BP2505"/>
    </row>
    <row r="2506" spans="68:68" x14ac:dyDescent="0.25">
      <c r="BP2506"/>
    </row>
    <row r="2507" spans="68:68" x14ac:dyDescent="0.25">
      <c r="BP2507"/>
    </row>
    <row r="2508" spans="68:68" x14ac:dyDescent="0.25">
      <c r="BP2508"/>
    </row>
    <row r="2509" spans="68:68" x14ac:dyDescent="0.25">
      <c r="BP2509"/>
    </row>
    <row r="2510" spans="68:68" x14ac:dyDescent="0.25">
      <c r="BP2510"/>
    </row>
    <row r="2511" spans="68:68" x14ac:dyDescent="0.25">
      <c r="BP2511"/>
    </row>
    <row r="2512" spans="68:68" x14ac:dyDescent="0.25">
      <c r="BP2512"/>
    </row>
    <row r="2513" spans="68:68" x14ac:dyDescent="0.25">
      <c r="BP2513"/>
    </row>
    <row r="2514" spans="68:68" x14ac:dyDescent="0.25">
      <c r="BP2514"/>
    </row>
    <row r="2515" spans="68:68" x14ac:dyDescent="0.25">
      <c r="BP2515"/>
    </row>
    <row r="2516" spans="68:68" x14ac:dyDescent="0.25">
      <c r="BP2516"/>
    </row>
    <row r="2517" spans="68:68" x14ac:dyDescent="0.25">
      <c r="BP2517"/>
    </row>
    <row r="2518" spans="68:68" x14ac:dyDescent="0.25">
      <c r="BP2518"/>
    </row>
    <row r="2519" spans="68:68" x14ac:dyDescent="0.25">
      <c r="BP2519"/>
    </row>
    <row r="2520" spans="68:68" x14ac:dyDescent="0.25">
      <c r="BP2520"/>
    </row>
    <row r="2521" spans="68:68" x14ac:dyDescent="0.25">
      <c r="BP2521"/>
    </row>
    <row r="2522" spans="68:68" x14ac:dyDescent="0.25">
      <c r="BP2522"/>
    </row>
    <row r="2523" spans="68:68" x14ac:dyDescent="0.25">
      <c r="BP2523"/>
    </row>
    <row r="2524" spans="68:68" x14ac:dyDescent="0.25">
      <c r="BP2524"/>
    </row>
    <row r="2525" spans="68:68" x14ac:dyDescent="0.25">
      <c r="BP2525"/>
    </row>
    <row r="2526" spans="68:68" x14ac:dyDescent="0.25">
      <c r="BP2526"/>
    </row>
    <row r="2527" spans="68:68" x14ac:dyDescent="0.25">
      <c r="BP2527"/>
    </row>
    <row r="2528" spans="68:68" x14ac:dyDescent="0.25">
      <c r="BP2528"/>
    </row>
    <row r="2529" spans="68:68" x14ac:dyDescent="0.25">
      <c r="BP2529"/>
    </row>
    <row r="2530" spans="68:68" x14ac:dyDescent="0.25">
      <c r="BP2530"/>
    </row>
    <row r="2531" spans="68:68" x14ac:dyDescent="0.25">
      <c r="BP2531"/>
    </row>
    <row r="2532" spans="68:68" x14ac:dyDescent="0.25">
      <c r="BP2532"/>
    </row>
    <row r="2533" spans="68:68" x14ac:dyDescent="0.25">
      <c r="BP2533"/>
    </row>
    <row r="2534" spans="68:68" x14ac:dyDescent="0.25">
      <c r="BP2534"/>
    </row>
    <row r="2535" spans="68:68" x14ac:dyDescent="0.25">
      <c r="BP2535"/>
    </row>
    <row r="2536" spans="68:68" x14ac:dyDescent="0.25">
      <c r="BP2536"/>
    </row>
    <row r="2537" spans="68:68" x14ac:dyDescent="0.25">
      <c r="BP2537"/>
    </row>
    <row r="2538" spans="68:68" x14ac:dyDescent="0.25">
      <c r="BP2538"/>
    </row>
    <row r="2539" spans="68:68" x14ac:dyDescent="0.25">
      <c r="BP2539"/>
    </row>
    <row r="2540" spans="68:68" x14ac:dyDescent="0.25">
      <c r="BP2540"/>
    </row>
    <row r="2541" spans="68:68" x14ac:dyDescent="0.25">
      <c r="BP2541"/>
    </row>
    <row r="2542" spans="68:68" x14ac:dyDescent="0.25">
      <c r="BP2542"/>
    </row>
    <row r="2543" spans="68:68" x14ac:dyDescent="0.25">
      <c r="BP2543"/>
    </row>
    <row r="2544" spans="68:68" x14ac:dyDescent="0.25">
      <c r="BP2544"/>
    </row>
    <row r="2545" spans="68:68" x14ac:dyDescent="0.25">
      <c r="BP2545"/>
    </row>
    <row r="2546" spans="68:68" x14ac:dyDescent="0.25">
      <c r="BP2546"/>
    </row>
    <row r="2547" spans="68:68" x14ac:dyDescent="0.25">
      <c r="BP2547"/>
    </row>
    <row r="2548" spans="68:68" x14ac:dyDescent="0.25">
      <c r="BP2548"/>
    </row>
    <row r="2549" spans="68:68" x14ac:dyDescent="0.25">
      <c r="BP2549"/>
    </row>
    <row r="2550" spans="68:68" x14ac:dyDescent="0.25">
      <c r="BP2550"/>
    </row>
    <row r="2551" spans="68:68" x14ac:dyDescent="0.25">
      <c r="BP2551"/>
    </row>
    <row r="2552" spans="68:68" x14ac:dyDescent="0.25">
      <c r="BP2552"/>
    </row>
    <row r="2553" spans="68:68" x14ac:dyDescent="0.25">
      <c r="BP2553"/>
    </row>
    <row r="2554" spans="68:68" x14ac:dyDescent="0.25">
      <c r="BP2554"/>
    </row>
    <row r="2555" spans="68:68" x14ac:dyDescent="0.25">
      <c r="BP2555"/>
    </row>
    <row r="2556" spans="68:68" x14ac:dyDescent="0.25">
      <c r="BP2556"/>
    </row>
    <row r="2557" spans="68:68" x14ac:dyDescent="0.25">
      <c r="BP2557"/>
    </row>
    <row r="2558" spans="68:68" x14ac:dyDescent="0.25">
      <c r="BP2558"/>
    </row>
    <row r="2559" spans="68:68" x14ac:dyDescent="0.25">
      <c r="BP2559"/>
    </row>
    <row r="2560" spans="68:68" x14ac:dyDescent="0.25">
      <c r="BP2560"/>
    </row>
    <row r="2561" spans="68:68" x14ac:dyDescent="0.25">
      <c r="BP2561"/>
    </row>
    <row r="2562" spans="68:68" x14ac:dyDescent="0.25">
      <c r="BP2562"/>
    </row>
    <row r="2563" spans="68:68" x14ac:dyDescent="0.25">
      <c r="BP2563"/>
    </row>
    <row r="2564" spans="68:68" x14ac:dyDescent="0.25">
      <c r="BP2564"/>
    </row>
    <row r="2565" spans="68:68" x14ac:dyDescent="0.25">
      <c r="BP2565"/>
    </row>
    <row r="2566" spans="68:68" x14ac:dyDescent="0.25">
      <c r="BP2566"/>
    </row>
    <row r="2567" spans="68:68" x14ac:dyDescent="0.25">
      <c r="BP2567"/>
    </row>
    <row r="2568" spans="68:68" x14ac:dyDescent="0.25">
      <c r="BP2568"/>
    </row>
    <row r="2569" spans="68:68" x14ac:dyDescent="0.25">
      <c r="BP2569"/>
    </row>
    <row r="2570" spans="68:68" x14ac:dyDescent="0.25">
      <c r="BP2570"/>
    </row>
    <row r="2571" spans="68:68" x14ac:dyDescent="0.25">
      <c r="BP2571"/>
    </row>
    <row r="2572" spans="68:68" x14ac:dyDescent="0.25">
      <c r="BP2572"/>
    </row>
    <row r="2573" spans="68:68" x14ac:dyDescent="0.25">
      <c r="BP2573"/>
    </row>
    <row r="2574" spans="68:68" x14ac:dyDescent="0.25">
      <c r="BP2574"/>
    </row>
    <row r="2575" spans="68:68" x14ac:dyDescent="0.25">
      <c r="BP2575"/>
    </row>
    <row r="2576" spans="68:68" x14ac:dyDescent="0.25">
      <c r="BP2576"/>
    </row>
    <row r="2577" spans="68:68" x14ac:dyDescent="0.25">
      <c r="BP2577"/>
    </row>
    <row r="2578" spans="68:68" x14ac:dyDescent="0.25">
      <c r="BP2578"/>
    </row>
    <row r="2579" spans="68:68" x14ac:dyDescent="0.25">
      <c r="BP2579"/>
    </row>
    <row r="2580" spans="68:68" x14ac:dyDescent="0.25">
      <c r="BP2580"/>
    </row>
    <row r="2581" spans="68:68" x14ac:dyDescent="0.25">
      <c r="BP2581"/>
    </row>
    <row r="2582" spans="68:68" x14ac:dyDescent="0.25">
      <c r="BP2582"/>
    </row>
    <row r="2583" spans="68:68" x14ac:dyDescent="0.25">
      <c r="BP2583"/>
    </row>
    <row r="2584" spans="68:68" x14ac:dyDescent="0.25">
      <c r="BP2584"/>
    </row>
    <row r="2585" spans="68:68" x14ac:dyDescent="0.25">
      <c r="BP2585"/>
    </row>
    <row r="2586" spans="68:68" x14ac:dyDescent="0.25">
      <c r="BP2586"/>
    </row>
    <row r="2587" spans="68:68" x14ac:dyDescent="0.25">
      <c r="BP2587"/>
    </row>
    <row r="2588" spans="68:68" x14ac:dyDescent="0.25">
      <c r="BP2588"/>
    </row>
    <row r="2589" spans="68:68" x14ac:dyDescent="0.25">
      <c r="BP2589"/>
    </row>
    <row r="2590" spans="68:68" x14ac:dyDescent="0.25">
      <c r="BP2590"/>
    </row>
    <row r="2591" spans="68:68" x14ac:dyDescent="0.25">
      <c r="BP2591"/>
    </row>
    <row r="2592" spans="68:68" x14ac:dyDescent="0.25">
      <c r="BP2592"/>
    </row>
    <row r="2593" spans="68:68" x14ac:dyDescent="0.25">
      <c r="BP2593"/>
    </row>
    <row r="2594" spans="68:68" x14ac:dyDescent="0.25">
      <c r="BP2594"/>
    </row>
    <row r="2595" spans="68:68" x14ac:dyDescent="0.25">
      <c r="BP2595"/>
    </row>
    <row r="2596" spans="68:68" x14ac:dyDescent="0.25">
      <c r="BP2596"/>
    </row>
    <row r="2597" spans="68:68" x14ac:dyDescent="0.25">
      <c r="BP2597"/>
    </row>
    <row r="2598" spans="68:68" x14ac:dyDescent="0.25">
      <c r="BP2598"/>
    </row>
    <row r="2599" spans="68:68" x14ac:dyDescent="0.25">
      <c r="BP2599"/>
    </row>
    <row r="2600" spans="68:68" x14ac:dyDescent="0.25">
      <c r="BP2600"/>
    </row>
    <row r="2601" spans="68:68" x14ac:dyDescent="0.25">
      <c r="BP2601"/>
    </row>
    <row r="2602" spans="68:68" x14ac:dyDescent="0.25">
      <c r="BP2602"/>
    </row>
    <row r="2603" spans="68:68" x14ac:dyDescent="0.25">
      <c r="BP2603"/>
    </row>
    <row r="2604" spans="68:68" x14ac:dyDescent="0.25">
      <c r="BP2604"/>
    </row>
    <row r="2605" spans="68:68" x14ac:dyDescent="0.25">
      <c r="BP2605"/>
    </row>
    <row r="2606" spans="68:68" x14ac:dyDescent="0.25">
      <c r="BP2606"/>
    </row>
    <row r="2607" spans="68:68" x14ac:dyDescent="0.25">
      <c r="BP2607"/>
    </row>
    <row r="2608" spans="68:68" x14ac:dyDescent="0.25">
      <c r="BP2608"/>
    </row>
    <row r="2609" spans="68:68" x14ac:dyDescent="0.25">
      <c r="BP2609"/>
    </row>
    <row r="2610" spans="68:68" x14ac:dyDescent="0.25">
      <c r="BP2610"/>
    </row>
    <row r="2611" spans="68:68" x14ac:dyDescent="0.25">
      <c r="BP2611"/>
    </row>
    <row r="2612" spans="68:68" x14ac:dyDescent="0.25">
      <c r="BP2612"/>
    </row>
    <row r="2613" spans="68:68" x14ac:dyDescent="0.25">
      <c r="BP2613"/>
    </row>
    <row r="2614" spans="68:68" x14ac:dyDescent="0.25">
      <c r="BP2614"/>
    </row>
    <row r="2615" spans="68:68" x14ac:dyDescent="0.25">
      <c r="BP2615"/>
    </row>
    <row r="2616" spans="68:68" x14ac:dyDescent="0.25">
      <c r="BP2616"/>
    </row>
    <row r="2617" spans="68:68" x14ac:dyDescent="0.25">
      <c r="BP2617"/>
    </row>
    <row r="2618" spans="68:68" x14ac:dyDescent="0.25">
      <c r="BP2618"/>
    </row>
    <row r="2619" spans="68:68" x14ac:dyDescent="0.25">
      <c r="BP2619"/>
    </row>
    <row r="2620" spans="68:68" x14ac:dyDescent="0.25">
      <c r="BP2620"/>
    </row>
    <row r="2621" spans="68:68" x14ac:dyDescent="0.25">
      <c r="BP2621"/>
    </row>
    <row r="2622" spans="68:68" x14ac:dyDescent="0.25">
      <c r="BP2622"/>
    </row>
    <row r="2623" spans="68:68" x14ac:dyDescent="0.25">
      <c r="BP2623"/>
    </row>
    <row r="2624" spans="68:68" x14ac:dyDescent="0.25">
      <c r="BP2624"/>
    </row>
    <row r="2625" spans="68:68" x14ac:dyDescent="0.25">
      <c r="BP2625"/>
    </row>
    <row r="2626" spans="68:68" x14ac:dyDescent="0.25">
      <c r="BP2626"/>
    </row>
    <row r="2627" spans="68:68" x14ac:dyDescent="0.25">
      <c r="BP2627"/>
    </row>
    <row r="2628" spans="68:68" x14ac:dyDescent="0.25">
      <c r="BP2628"/>
    </row>
    <row r="2629" spans="68:68" x14ac:dyDescent="0.25">
      <c r="BP2629"/>
    </row>
    <row r="2630" spans="68:68" x14ac:dyDescent="0.25">
      <c r="BP2630"/>
    </row>
    <row r="2631" spans="68:68" x14ac:dyDescent="0.25">
      <c r="BP2631"/>
    </row>
    <row r="2632" spans="68:68" x14ac:dyDescent="0.25">
      <c r="BP2632"/>
    </row>
    <row r="2633" spans="68:68" x14ac:dyDescent="0.25">
      <c r="BP2633"/>
    </row>
    <row r="2634" spans="68:68" x14ac:dyDescent="0.25">
      <c r="BP2634"/>
    </row>
    <row r="2635" spans="68:68" x14ac:dyDescent="0.25">
      <c r="BP2635"/>
    </row>
    <row r="2636" spans="68:68" x14ac:dyDescent="0.25">
      <c r="BP2636"/>
    </row>
    <row r="2637" spans="68:68" x14ac:dyDescent="0.25">
      <c r="BP2637"/>
    </row>
    <row r="2638" spans="68:68" x14ac:dyDescent="0.25">
      <c r="BP2638"/>
    </row>
    <row r="2639" spans="68:68" x14ac:dyDescent="0.25">
      <c r="BP2639"/>
    </row>
    <row r="2640" spans="68:68" x14ac:dyDescent="0.25">
      <c r="BP2640"/>
    </row>
    <row r="2641" spans="68:68" x14ac:dyDescent="0.25">
      <c r="BP2641"/>
    </row>
    <row r="2642" spans="68:68" x14ac:dyDescent="0.25">
      <c r="BP2642"/>
    </row>
    <row r="2643" spans="68:68" x14ac:dyDescent="0.25">
      <c r="BP2643"/>
    </row>
    <row r="2644" spans="68:68" x14ac:dyDescent="0.25">
      <c r="BP2644"/>
    </row>
    <row r="2645" spans="68:68" x14ac:dyDescent="0.25">
      <c r="BP2645"/>
    </row>
    <row r="2646" spans="68:68" x14ac:dyDescent="0.25">
      <c r="BP2646"/>
    </row>
    <row r="2647" spans="68:68" x14ac:dyDescent="0.25">
      <c r="BP2647"/>
    </row>
    <row r="2648" spans="68:68" x14ac:dyDescent="0.25">
      <c r="BP2648"/>
    </row>
    <row r="2649" spans="68:68" x14ac:dyDescent="0.25">
      <c r="BP2649"/>
    </row>
    <row r="2650" spans="68:68" x14ac:dyDescent="0.25">
      <c r="BP2650"/>
    </row>
    <row r="2651" spans="68:68" x14ac:dyDescent="0.25">
      <c r="BP2651"/>
    </row>
    <row r="2652" spans="68:68" x14ac:dyDescent="0.25">
      <c r="BP2652"/>
    </row>
    <row r="2653" spans="68:68" x14ac:dyDescent="0.25">
      <c r="BP2653"/>
    </row>
    <row r="2654" spans="68:68" x14ac:dyDescent="0.25">
      <c r="BP2654"/>
    </row>
    <row r="2655" spans="68:68" x14ac:dyDescent="0.25">
      <c r="BP2655"/>
    </row>
    <row r="2656" spans="68:68" x14ac:dyDescent="0.25">
      <c r="BP2656"/>
    </row>
    <row r="2657" spans="68:68" x14ac:dyDescent="0.25">
      <c r="BP2657"/>
    </row>
    <row r="2658" spans="68:68" x14ac:dyDescent="0.25">
      <c r="BP2658"/>
    </row>
    <row r="2659" spans="68:68" x14ac:dyDescent="0.25">
      <c r="BP2659"/>
    </row>
    <row r="2660" spans="68:68" x14ac:dyDescent="0.25">
      <c r="BP2660"/>
    </row>
    <row r="2661" spans="68:68" x14ac:dyDescent="0.25">
      <c r="BP2661"/>
    </row>
    <row r="2662" spans="68:68" x14ac:dyDescent="0.25">
      <c r="BP2662"/>
    </row>
    <row r="2663" spans="68:68" x14ac:dyDescent="0.25">
      <c r="BP2663"/>
    </row>
    <row r="2664" spans="68:68" x14ac:dyDescent="0.25">
      <c r="BP2664"/>
    </row>
    <row r="2665" spans="68:68" x14ac:dyDescent="0.25">
      <c r="BP2665"/>
    </row>
    <row r="2666" spans="68:68" x14ac:dyDescent="0.25">
      <c r="BP2666"/>
    </row>
    <row r="2667" spans="68:68" x14ac:dyDescent="0.25">
      <c r="BP2667"/>
    </row>
    <row r="2668" spans="68:68" x14ac:dyDescent="0.25">
      <c r="BP2668"/>
    </row>
    <row r="2669" spans="68:68" x14ac:dyDescent="0.25">
      <c r="BP2669"/>
    </row>
    <row r="2670" spans="68:68" x14ac:dyDescent="0.25">
      <c r="BP2670"/>
    </row>
    <row r="2671" spans="68:68" x14ac:dyDescent="0.25">
      <c r="BP2671"/>
    </row>
    <row r="2672" spans="68:68" x14ac:dyDescent="0.25">
      <c r="BP2672"/>
    </row>
    <row r="2673" spans="68:68" x14ac:dyDescent="0.25">
      <c r="BP2673"/>
    </row>
    <row r="2674" spans="68:68" x14ac:dyDescent="0.25">
      <c r="BP2674"/>
    </row>
    <row r="2675" spans="68:68" x14ac:dyDescent="0.25">
      <c r="BP2675"/>
    </row>
    <row r="2676" spans="68:68" x14ac:dyDescent="0.25">
      <c r="BP2676"/>
    </row>
    <row r="2677" spans="68:68" x14ac:dyDescent="0.25">
      <c r="BP2677"/>
    </row>
    <row r="2678" spans="68:68" x14ac:dyDescent="0.25">
      <c r="BP2678"/>
    </row>
    <row r="2679" spans="68:68" x14ac:dyDescent="0.25">
      <c r="BP2679"/>
    </row>
    <row r="2680" spans="68:68" x14ac:dyDescent="0.25">
      <c r="BP2680"/>
    </row>
    <row r="2681" spans="68:68" x14ac:dyDescent="0.25">
      <c r="BP2681"/>
    </row>
    <row r="2682" spans="68:68" x14ac:dyDescent="0.25">
      <c r="BP2682"/>
    </row>
    <row r="2683" spans="68:68" x14ac:dyDescent="0.25">
      <c r="BP2683"/>
    </row>
    <row r="2684" spans="68:68" x14ac:dyDescent="0.25">
      <c r="BP2684"/>
    </row>
    <row r="2685" spans="68:68" x14ac:dyDescent="0.25">
      <c r="BP2685"/>
    </row>
    <row r="2686" spans="68:68" x14ac:dyDescent="0.25">
      <c r="BP2686"/>
    </row>
    <row r="2687" spans="68:68" x14ac:dyDescent="0.25">
      <c r="BP2687"/>
    </row>
    <row r="2688" spans="68:68" x14ac:dyDescent="0.25">
      <c r="BP2688"/>
    </row>
    <row r="2689" spans="68:68" x14ac:dyDescent="0.25">
      <c r="BP2689"/>
    </row>
    <row r="2690" spans="68:68" x14ac:dyDescent="0.25">
      <c r="BP2690"/>
    </row>
    <row r="2691" spans="68:68" x14ac:dyDescent="0.25">
      <c r="BP2691"/>
    </row>
    <row r="2692" spans="68:68" x14ac:dyDescent="0.25">
      <c r="BP2692"/>
    </row>
    <row r="2693" spans="68:68" x14ac:dyDescent="0.25">
      <c r="BP2693"/>
    </row>
    <row r="2694" spans="68:68" x14ac:dyDescent="0.25">
      <c r="BP2694"/>
    </row>
    <row r="2695" spans="68:68" x14ac:dyDescent="0.25">
      <c r="BP2695"/>
    </row>
    <row r="2696" spans="68:68" x14ac:dyDescent="0.25">
      <c r="BP2696"/>
    </row>
    <row r="2697" spans="68:68" x14ac:dyDescent="0.25">
      <c r="BP2697"/>
    </row>
    <row r="2698" spans="68:68" x14ac:dyDescent="0.25">
      <c r="BP2698"/>
    </row>
    <row r="2699" spans="68:68" x14ac:dyDescent="0.25">
      <c r="BP2699"/>
    </row>
    <row r="2700" spans="68:68" x14ac:dyDescent="0.25">
      <c r="BP2700"/>
    </row>
    <row r="2701" spans="68:68" x14ac:dyDescent="0.25">
      <c r="BP2701"/>
    </row>
    <row r="2702" spans="68:68" x14ac:dyDescent="0.25">
      <c r="BP2702"/>
    </row>
    <row r="2703" spans="68:68" x14ac:dyDescent="0.25">
      <c r="BP2703"/>
    </row>
    <row r="2704" spans="68:68" x14ac:dyDescent="0.25">
      <c r="BP2704"/>
    </row>
    <row r="2705" spans="68:68" x14ac:dyDescent="0.25">
      <c r="BP2705"/>
    </row>
    <row r="2706" spans="68:68" x14ac:dyDescent="0.25">
      <c r="BP2706"/>
    </row>
    <row r="2707" spans="68:68" x14ac:dyDescent="0.25">
      <c r="BP2707"/>
    </row>
    <row r="2708" spans="68:68" x14ac:dyDescent="0.25">
      <c r="BP2708"/>
    </row>
    <row r="2709" spans="68:68" x14ac:dyDescent="0.25">
      <c r="BP2709"/>
    </row>
    <row r="2710" spans="68:68" x14ac:dyDescent="0.25">
      <c r="BP2710"/>
    </row>
    <row r="2711" spans="68:68" x14ac:dyDescent="0.25">
      <c r="BP2711"/>
    </row>
    <row r="2712" spans="68:68" x14ac:dyDescent="0.25">
      <c r="BP2712"/>
    </row>
    <row r="2713" spans="68:68" x14ac:dyDescent="0.25">
      <c r="BP2713"/>
    </row>
    <row r="2714" spans="68:68" x14ac:dyDescent="0.25">
      <c r="BP2714"/>
    </row>
    <row r="2715" spans="68:68" x14ac:dyDescent="0.25">
      <c r="BP2715"/>
    </row>
    <row r="2716" spans="68:68" x14ac:dyDescent="0.25">
      <c r="BP2716"/>
    </row>
    <row r="2717" spans="68:68" x14ac:dyDescent="0.25">
      <c r="BP2717"/>
    </row>
    <row r="2718" spans="68:68" x14ac:dyDescent="0.25">
      <c r="BP2718"/>
    </row>
    <row r="2719" spans="68:68" x14ac:dyDescent="0.25">
      <c r="BP2719"/>
    </row>
    <row r="2720" spans="68:68" x14ac:dyDescent="0.25">
      <c r="BP2720"/>
    </row>
    <row r="2721" spans="68:68" x14ac:dyDescent="0.25">
      <c r="BP2721"/>
    </row>
    <row r="2722" spans="68:68" x14ac:dyDescent="0.25">
      <c r="BP2722"/>
    </row>
    <row r="2723" spans="68:68" x14ac:dyDescent="0.25">
      <c r="BP2723"/>
    </row>
    <row r="2724" spans="68:68" x14ac:dyDescent="0.25">
      <c r="BP2724"/>
    </row>
    <row r="2725" spans="68:68" x14ac:dyDescent="0.25">
      <c r="BP2725"/>
    </row>
    <row r="2726" spans="68:68" x14ac:dyDescent="0.25">
      <c r="BP2726"/>
    </row>
    <row r="2727" spans="68:68" x14ac:dyDescent="0.25">
      <c r="BP2727"/>
    </row>
    <row r="2728" spans="68:68" x14ac:dyDescent="0.25">
      <c r="BP2728"/>
    </row>
    <row r="2729" spans="68:68" x14ac:dyDescent="0.25">
      <c r="BP2729"/>
    </row>
    <row r="2730" spans="68:68" x14ac:dyDescent="0.25">
      <c r="BP2730"/>
    </row>
    <row r="2731" spans="68:68" x14ac:dyDescent="0.25">
      <c r="BP2731"/>
    </row>
    <row r="2732" spans="68:68" x14ac:dyDescent="0.25">
      <c r="BP2732"/>
    </row>
    <row r="2733" spans="68:68" x14ac:dyDescent="0.25">
      <c r="BP2733"/>
    </row>
    <row r="2734" spans="68:68" x14ac:dyDescent="0.25">
      <c r="BP2734"/>
    </row>
    <row r="2735" spans="68:68" x14ac:dyDescent="0.25">
      <c r="BP2735"/>
    </row>
    <row r="2736" spans="68:68" x14ac:dyDescent="0.25">
      <c r="BP2736"/>
    </row>
    <row r="2737" spans="68:68" x14ac:dyDescent="0.25">
      <c r="BP2737"/>
    </row>
    <row r="2738" spans="68:68" x14ac:dyDescent="0.25">
      <c r="BP2738"/>
    </row>
    <row r="2739" spans="68:68" x14ac:dyDescent="0.25">
      <c r="BP2739"/>
    </row>
    <row r="2740" spans="68:68" x14ac:dyDescent="0.25">
      <c r="BP2740"/>
    </row>
    <row r="2741" spans="68:68" x14ac:dyDescent="0.25">
      <c r="BP2741"/>
    </row>
    <row r="2742" spans="68:68" x14ac:dyDescent="0.25">
      <c r="BP2742"/>
    </row>
    <row r="2743" spans="68:68" x14ac:dyDescent="0.25">
      <c r="BP2743"/>
    </row>
    <row r="2744" spans="68:68" x14ac:dyDescent="0.25">
      <c r="BP2744"/>
    </row>
    <row r="2745" spans="68:68" x14ac:dyDescent="0.25">
      <c r="BP2745"/>
    </row>
    <row r="2746" spans="68:68" x14ac:dyDescent="0.25">
      <c r="BP2746"/>
    </row>
    <row r="2747" spans="68:68" x14ac:dyDescent="0.25">
      <c r="BP2747"/>
    </row>
    <row r="2748" spans="68:68" x14ac:dyDescent="0.25">
      <c r="BP2748"/>
    </row>
    <row r="2749" spans="68:68" x14ac:dyDescent="0.25">
      <c r="BP2749"/>
    </row>
    <row r="2750" spans="68:68" x14ac:dyDescent="0.25">
      <c r="BP2750"/>
    </row>
    <row r="2751" spans="68:68" x14ac:dyDescent="0.25">
      <c r="BP2751"/>
    </row>
    <row r="2752" spans="68:68" x14ac:dyDescent="0.25">
      <c r="BP2752"/>
    </row>
    <row r="2753" spans="68:68" x14ac:dyDescent="0.25">
      <c r="BP2753"/>
    </row>
    <row r="2754" spans="68:68" x14ac:dyDescent="0.25">
      <c r="BP2754"/>
    </row>
    <row r="2755" spans="68:68" x14ac:dyDescent="0.25">
      <c r="BP2755"/>
    </row>
    <row r="2756" spans="68:68" x14ac:dyDescent="0.25">
      <c r="BP2756"/>
    </row>
    <row r="2757" spans="68:68" x14ac:dyDescent="0.25">
      <c r="BP2757"/>
    </row>
    <row r="2758" spans="68:68" x14ac:dyDescent="0.25">
      <c r="BP2758"/>
    </row>
    <row r="2759" spans="68:68" x14ac:dyDescent="0.25">
      <c r="BP2759"/>
    </row>
    <row r="2760" spans="68:68" x14ac:dyDescent="0.25">
      <c r="BP2760"/>
    </row>
    <row r="2761" spans="68:68" x14ac:dyDescent="0.25">
      <c r="BP2761"/>
    </row>
    <row r="2762" spans="68:68" x14ac:dyDescent="0.25">
      <c r="BP2762"/>
    </row>
    <row r="2763" spans="68:68" x14ac:dyDescent="0.25">
      <c r="BP2763"/>
    </row>
    <row r="2764" spans="68:68" x14ac:dyDescent="0.25">
      <c r="BP2764"/>
    </row>
    <row r="2765" spans="68:68" x14ac:dyDescent="0.25">
      <c r="BP2765"/>
    </row>
    <row r="2766" spans="68:68" x14ac:dyDescent="0.25">
      <c r="BP2766"/>
    </row>
    <row r="2767" spans="68:68" x14ac:dyDescent="0.25">
      <c r="BP2767"/>
    </row>
    <row r="2768" spans="68:68" x14ac:dyDescent="0.25">
      <c r="BP2768"/>
    </row>
    <row r="2769" spans="68:68" x14ac:dyDescent="0.25">
      <c r="BP2769"/>
    </row>
    <row r="2770" spans="68:68" x14ac:dyDescent="0.25">
      <c r="BP2770"/>
    </row>
    <row r="2771" spans="68:68" x14ac:dyDescent="0.25">
      <c r="BP2771"/>
    </row>
    <row r="2772" spans="68:68" x14ac:dyDescent="0.25">
      <c r="BP2772"/>
    </row>
    <row r="2773" spans="68:68" x14ac:dyDescent="0.25">
      <c r="BP2773"/>
    </row>
    <row r="2774" spans="68:68" x14ac:dyDescent="0.25">
      <c r="BP2774"/>
    </row>
    <row r="2775" spans="68:68" x14ac:dyDescent="0.25">
      <c r="BP2775"/>
    </row>
    <row r="2776" spans="68:68" x14ac:dyDescent="0.25">
      <c r="BP2776"/>
    </row>
    <row r="2777" spans="68:68" x14ac:dyDescent="0.25">
      <c r="BP2777"/>
    </row>
    <row r="2778" spans="68:68" x14ac:dyDescent="0.25">
      <c r="BP2778"/>
    </row>
    <row r="2779" spans="68:68" x14ac:dyDescent="0.25">
      <c r="BP2779"/>
    </row>
    <row r="2780" spans="68:68" x14ac:dyDescent="0.25">
      <c r="BP2780"/>
    </row>
    <row r="2781" spans="68:68" x14ac:dyDescent="0.25">
      <c r="BP2781"/>
    </row>
    <row r="2782" spans="68:68" x14ac:dyDescent="0.25">
      <c r="BP2782"/>
    </row>
    <row r="2783" spans="68:68" x14ac:dyDescent="0.25">
      <c r="BP2783"/>
    </row>
    <row r="2784" spans="68:68" x14ac:dyDescent="0.25">
      <c r="BP2784"/>
    </row>
    <row r="2785" spans="68:68" x14ac:dyDescent="0.25">
      <c r="BP2785"/>
    </row>
    <row r="2786" spans="68:68" x14ac:dyDescent="0.25">
      <c r="BP2786"/>
    </row>
    <row r="2787" spans="68:68" x14ac:dyDescent="0.25">
      <c r="BP2787"/>
    </row>
    <row r="2788" spans="68:68" x14ac:dyDescent="0.25">
      <c r="BP2788"/>
    </row>
    <row r="2789" spans="68:68" x14ac:dyDescent="0.25">
      <c r="BP2789"/>
    </row>
    <row r="2790" spans="68:68" x14ac:dyDescent="0.25">
      <c r="BP2790"/>
    </row>
    <row r="2791" spans="68:68" x14ac:dyDescent="0.25">
      <c r="BP2791"/>
    </row>
    <row r="2792" spans="68:68" x14ac:dyDescent="0.25">
      <c r="BP2792"/>
    </row>
    <row r="2793" spans="68:68" x14ac:dyDescent="0.25">
      <c r="BP2793"/>
    </row>
    <row r="2794" spans="68:68" x14ac:dyDescent="0.25">
      <c r="BP2794"/>
    </row>
    <row r="2795" spans="68:68" x14ac:dyDescent="0.25">
      <c r="BP2795"/>
    </row>
    <row r="2796" spans="68:68" x14ac:dyDescent="0.25">
      <c r="BP2796"/>
    </row>
    <row r="2797" spans="68:68" x14ac:dyDescent="0.25">
      <c r="BP2797"/>
    </row>
    <row r="2798" spans="68:68" x14ac:dyDescent="0.25">
      <c r="BP2798"/>
    </row>
    <row r="2799" spans="68:68" x14ac:dyDescent="0.25">
      <c r="BP2799"/>
    </row>
    <row r="2800" spans="68:68" x14ac:dyDescent="0.25">
      <c r="BP2800"/>
    </row>
    <row r="2801" spans="68:68" x14ac:dyDescent="0.25">
      <c r="BP2801"/>
    </row>
    <row r="2802" spans="68:68" x14ac:dyDescent="0.25">
      <c r="BP2802"/>
    </row>
    <row r="2803" spans="68:68" x14ac:dyDescent="0.25">
      <c r="BP2803"/>
    </row>
    <row r="2804" spans="68:68" x14ac:dyDescent="0.25">
      <c r="BP2804"/>
    </row>
    <row r="2805" spans="68:68" x14ac:dyDescent="0.25">
      <c r="BP2805"/>
    </row>
    <row r="2806" spans="68:68" x14ac:dyDescent="0.25">
      <c r="BP2806"/>
    </row>
    <row r="2807" spans="68:68" x14ac:dyDescent="0.25">
      <c r="BP2807"/>
    </row>
    <row r="2808" spans="68:68" x14ac:dyDescent="0.25">
      <c r="BP2808"/>
    </row>
    <row r="2809" spans="68:68" x14ac:dyDescent="0.25">
      <c r="BP2809"/>
    </row>
    <row r="2810" spans="68:68" x14ac:dyDescent="0.25">
      <c r="BP2810"/>
    </row>
    <row r="2811" spans="68:68" x14ac:dyDescent="0.25">
      <c r="BP2811"/>
    </row>
    <row r="2812" spans="68:68" x14ac:dyDescent="0.25">
      <c r="BP2812"/>
    </row>
    <row r="2813" spans="68:68" x14ac:dyDescent="0.25">
      <c r="BP2813"/>
    </row>
    <row r="2814" spans="68:68" x14ac:dyDescent="0.25">
      <c r="BP2814"/>
    </row>
    <row r="2815" spans="68:68" x14ac:dyDescent="0.25">
      <c r="BP2815"/>
    </row>
    <row r="2816" spans="68:68" x14ac:dyDescent="0.25">
      <c r="BP2816"/>
    </row>
    <row r="2817" spans="68:68" x14ac:dyDescent="0.25">
      <c r="BP2817"/>
    </row>
    <row r="2818" spans="68:68" x14ac:dyDescent="0.25">
      <c r="BP2818"/>
    </row>
    <row r="2819" spans="68:68" x14ac:dyDescent="0.25">
      <c r="BP2819"/>
    </row>
    <row r="2820" spans="68:68" x14ac:dyDescent="0.25">
      <c r="BP2820"/>
    </row>
    <row r="2821" spans="68:68" x14ac:dyDescent="0.25">
      <c r="BP2821"/>
    </row>
    <row r="2822" spans="68:68" x14ac:dyDescent="0.25">
      <c r="BP2822"/>
    </row>
    <row r="2823" spans="68:68" x14ac:dyDescent="0.25">
      <c r="BP2823"/>
    </row>
    <row r="2824" spans="68:68" x14ac:dyDescent="0.25">
      <c r="BP2824"/>
    </row>
    <row r="2825" spans="68:68" x14ac:dyDescent="0.25">
      <c r="BP2825"/>
    </row>
    <row r="2826" spans="68:68" x14ac:dyDescent="0.25">
      <c r="BP2826"/>
    </row>
    <row r="2827" spans="68:68" x14ac:dyDescent="0.25">
      <c r="BP2827"/>
    </row>
    <row r="2828" spans="68:68" x14ac:dyDescent="0.25">
      <c r="BP2828"/>
    </row>
    <row r="2829" spans="68:68" x14ac:dyDescent="0.25">
      <c r="BP2829"/>
    </row>
    <row r="2830" spans="68:68" x14ac:dyDescent="0.25">
      <c r="BP2830"/>
    </row>
    <row r="2831" spans="68:68" x14ac:dyDescent="0.25">
      <c r="BP2831"/>
    </row>
    <row r="2832" spans="68:68" x14ac:dyDescent="0.25">
      <c r="BP2832"/>
    </row>
    <row r="2833" spans="68:68" x14ac:dyDescent="0.25">
      <c r="BP2833"/>
    </row>
    <row r="2834" spans="68:68" x14ac:dyDescent="0.25">
      <c r="BP2834"/>
    </row>
    <row r="2835" spans="68:68" x14ac:dyDescent="0.25">
      <c r="BP2835"/>
    </row>
    <row r="2836" spans="68:68" x14ac:dyDescent="0.25">
      <c r="BP2836"/>
    </row>
    <row r="2837" spans="68:68" x14ac:dyDescent="0.25">
      <c r="BP2837"/>
    </row>
    <row r="2838" spans="68:68" x14ac:dyDescent="0.25">
      <c r="BP2838"/>
    </row>
    <row r="2839" spans="68:68" x14ac:dyDescent="0.25">
      <c r="BP2839"/>
    </row>
    <row r="2840" spans="68:68" x14ac:dyDescent="0.25">
      <c r="BP2840"/>
    </row>
    <row r="2841" spans="68:68" x14ac:dyDescent="0.25">
      <c r="BP2841"/>
    </row>
    <row r="2842" spans="68:68" x14ac:dyDescent="0.25">
      <c r="BP2842"/>
    </row>
    <row r="2843" spans="68:68" x14ac:dyDescent="0.25">
      <c r="BP2843"/>
    </row>
    <row r="2844" spans="68:68" x14ac:dyDescent="0.25">
      <c r="BP2844"/>
    </row>
    <row r="2845" spans="68:68" x14ac:dyDescent="0.25">
      <c r="BP2845"/>
    </row>
    <row r="2846" spans="68:68" x14ac:dyDescent="0.25">
      <c r="BP2846"/>
    </row>
    <row r="2847" spans="68:68" x14ac:dyDescent="0.25">
      <c r="BP2847"/>
    </row>
    <row r="2848" spans="68:68" x14ac:dyDescent="0.25">
      <c r="BP2848"/>
    </row>
    <row r="2849" spans="68:68" x14ac:dyDescent="0.25">
      <c r="BP2849"/>
    </row>
    <row r="2850" spans="68:68" x14ac:dyDescent="0.25">
      <c r="BP2850"/>
    </row>
    <row r="2851" spans="68:68" x14ac:dyDescent="0.25">
      <c r="BP2851"/>
    </row>
    <row r="2852" spans="68:68" x14ac:dyDescent="0.25">
      <c r="BP2852"/>
    </row>
    <row r="2853" spans="68:68" x14ac:dyDescent="0.25">
      <c r="BP2853"/>
    </row>
    <row r="2854" spans="68:68" x14ac:dyDescent="0.25">
      <c r="BP2854"/>
    </row>
    <row r="2855" spans="68:68" x14ac:dyDescent="0.25">
      <c r="BP2855"/>
    </row>
    <row r="2856" spans="68:68" x14ac:dyDescent="0.25">
      <c r="BP2856"/>
    </row>
    <row r="2857" spans="68:68" x14ac:dyDescent="0.25">
      <c r="BP2857"/>
    </row>
    <row r="2858" spans="68:68" x14ac:dyDescent="0.25">
      <c r="BP2858"/>
    </row>
    <row r="2859" spans="68:68" x14ac:dyDescent="0.25">
      <c r="BP2859"/>
    </row>
    <row r="2860" spans="68:68" x14ac:dyDescent="0.25">
      <c r="BP2860"/>
    </row>
    <row r="2861" spans="68:68" x14ac:dyDescent="0.25">
      <c r="BP2861"/>
    </row>
    <row r="2862" spans="68:68" x14ac:dyDescent="0.25">
      <c r="BP2862"/>
    </row>
    <row r="2863" spans="68:68" x14ac:dyDescent="0.25">
      <c r="BP2863"/>
    </row>
    <row r="2864" spans="68:68" x14ac:dyDescent="0.25">
      <c r="BP2864"/>
    </row>
    <row r="2865" spans="68:68" x14ac:dyDescent="0.25">
      <c r="BP2865"/>
    </row>
    <row r="2866" spans="68:68" x14ac:dyDescent="0.25">
      <c r="BP2866"/>
    </row>
    <row r="2867" spans="68:68" x14ac:dyDescent="0.25">
      <c r="BP2867"/>
    </row>
    <row r="2868" spans="68:68" x14ac:dyDescent="0.25">
      <c r="BP2868"/>
    </row>
    <row r="2869" spans="68:68" x14ac:dyDescent="0.25">
      <c r="BP2869"/>
    </row>
    <row r="2870" spans="68:68" x14ac:dyDescent="0.25">
      <c r="BP2870"/>
    </row>
    <row r="2871" spans="68:68" x14ac:dyDescent="0.25">
      <c r="BP2871"/>
    </row>
    <row r="2872" spans="68:68" x14ac:dyDescent="0.25">
      <c r="BP2872"/>
    </row>
    <row r="2873" spans="68:68" x14ac:dyDescent="0.25">
      <c r="BP2873"/>
    </row>
    <row r="2874" spans="68:68" x14ac:dyDescent="0.25">
      <c r="BP2874"/>
    </row>
    <row r="2875" spans="68:68" x14ac:dyDescent="0.25">
      <c r="BP2875"/>
    </row>
    <row r="2876" spans="68:68" x14ac:dyDescent="0.25">
      <c r="BP2876"/>
    </row>
    <row r="2877" spans="68:68" x14ac:dyDescent="0.25">
      <c r="BP2877"/>
    </row>
    <row r="2878" spans="68:68" x14ac:dyDescent="0.25">
      <c r="BP2878"/>
    </row>
    <row r="2879" spans="68:68" x14ac:dyDescent="0.25">
      <c r="BP2879"/>
    </row>
    <row r="2880" spans="68:68" x14ac:dyDescent="0.25">
      <c r="BP2880"/>
    </row>
    <row r="2881" spans="68:68" x14ac:dyDescent="0.25">
      <c r="BP2881"/>
    </row>
    <row r="2882" spans="68:68" x14ac:dyDescent="0.25">
      <c r="BP2882"/>
    </row>
    <row r="2883" spans="68:68" x14ac:dyDescent="0.25">
      <c r="BP2883"/>
    </row>
    <row r="2884" spans="68:68" x14ac:dyDescent="0.25">
      <c r="BP2884"/>
    </row>
    <row r="2885" spans="68:68" x14ac:dyDescent="0.25">
      <c r="BP2885"/>
    </row>
    <row r="2886" spans="68:68" x14ac:dyDescent="0.25">
      <c r="BP2886"/>
    </row>
    <row r="2887" spans="68:68" x14ac:dyDescent="0.25">
      <c r="BP2887"/>
    </row>
    <row r="2888" spans="68:68" x14ac:dyDescent="0.25">
      <c r="BP2888"/>
    </row>
    <row r="2889" spans="68:68" x14ac:dyDescent="0.25">
      <c r="BP2889"/>
    </row>
    <row r="2890" spans="68:68" x14ac:dyDescent="0.25">
      <c r="BP2890"/>
    </row>
    <row r="2891" spans="68:68" x14ac:dyDescent="0.25">
      <c r="BP2891"/>
    </row>
    <row r="2892" spans="68:68" x14ac:dyDescent="0.25">
      <c r="BP2892"/>
    </row>
    <row r="2893" spans="68:68" x14ac:dyDescent="0.25">
      <c r="BP2893"/>
    </row>
    <row r="2894" spans="68:68" x14ac:dyDescent="0.25">
      <c r="BP2894"/>
    </row>
    <row r="2895" spans="68:68" x14ac:dyDescent="0.25">
      <c r="BP2895"/>
    </row>
    <row r="2896" spans="68:68" x14ac:dyDescent="0.25">
      <c r="BP2896"/>
    </row>
    <row r="2897" spans="68:68" x14ac:dyDescent="0.25">
      <c r="BP2897"/>
    </row>
    <row r="2898" spans="68:68" x14ac:dyDescent="0.25">
      <c r="BP2898"/>
    </row>
    <row r="2899" spans="68:68" x14ac:dyDescent="0.25">
      <c r="BP2899"/>
    </row>
    <row r="2900" spans="68:68" x14ac:dyDescent="0.25">
      <c r="BP2900"/>
    </row>
    <row r="2901" spans="68:68" x14ac:dyDescent="0.25">
      <c r="BP2901"/>
    </row>
    <row r="2902" spans="68:68" x14ac:dyDescent="0.25">
      <c r="BP2902"/>
    </row>
    <row r="2903" spans="68:68" x14ac:dyDescent="0.25">
      <c r="BP2903"/>
    </row>
    <row r="2904" spans="68:68" x14ac:dyDescent="0.25">
      <c r="BP2904"/>
    </row>
    <row r="2905" spans="68:68" x14ac:dyDescent="0.25">
      <c r="BP2905"/>
    </row>
    <row r="2906" spans="68:68" x14ac:dyDescent="0.25">
      <c r="BP2906"/>
    </row>
    <row r="2907" spans="68:68" x14ac:dyDescent="0.25">
      <c r="BP2907"/>
    </row>
    <row r="2908" spans="68:68" x14ac:dyDescent="0.25">
      <c r="BP2908"/>
    </row>
    <row r="2909" spans="68:68" x14ac:dyDescent="0.25">
      <c r="BP2909"/>
    </row>
    <row r="2910" spans="68:68" x14ac:dyDescent="0.25">
      <c r="BP2910"/>
    </row>
    <row r="2911" spans="68:68" x14ac:dyDescent="0.25">
      <c r="BP2911"/>
    </row>
    <row r="2912" spans="68:68" x14ac:dyDescent="0.25">
      <c r="BP2912"/>
    </row>
    <row r="2913" spans="68:68" x14ac:dyDescent="0.25">
      <c r="BP2913"/>
    </row>
    <row r="2914" spans="68:68" x14ac:dyDescent="0.25">
      <c r="BP2914"/>
    </row>
    <row r="2915" spans="68:68" x14ac:dyDescent="0.25">
      <c r="BP2915"/>
    </row>
    <row r="2916" spans="68:68" x14ac:dyDescent="0.25">
      <c r="BP2916"/>
    </row>
    <row r="2917" spans="68:68" x14ac:dyDescent="0.25">
      <c r="BP2917"/>
    </row>
    <row r="2918" spans="68:68" x14ac:dyDescent="0.25">
      <c r="BP2918"/>
    </row>
    <row r="2919" spans="68:68" x14ac:dyDescent="0.25">
      <c r="BP2919"/>
    </row>
    <row r="2920" spans="68:68" x14ac:dyDescent="0.25">
      <c r="BP2920"/>
    </row>
    <row r="2921" spans="68:68" x14ac:dyDescent="0.25">
      <c r="BP2921"/>
    </row>
    <row r="2922" spans="68:68" x14ac:dyDescent="0.25">
      <c r="BP2922"/>
    </row>
    <row r="2923" spans="68:68" x14ac:dyDescent="0.25">
      <c r="BP2923"/>
    </row>
    <row r="2924" spans="68:68" x14ac:dyDescent="0.25">
      <c r="BP2924"/>
    </row>
    <row r="2925" spans="68:68" x14ac:dyDescent="0.25">
      <c r="BP2925"/>
    </row>
    <row r="2926" spans="68:68" x14ac:dyDescent="0.25">
      <c r="BP2926"/>
    </row>
    <row r="2927" spans="68:68" x14ac:dyDescent="0.25">
      <c r="BP2927"/>
    </row>
    <row r="2928" spans="68:68" x14ac:dyDescent="0.25">
      <c r="BP2928"/>
    </row>
    <row r="2929" spans="68:68" x14ac:dyDescent="0.25">
      <c r="BP2929"/>
    </row>
    <row r="2930" spans="68:68" x14ac:dyDescent="0.25">
      <c r="BP2930"/>
    </row>
    <row r="2931" spans="68:68" x14ac:dyDescent="0.25">
      <c r="BP2931"/>
    </row>
    <row r="2932" spans="68:68" x14ac:dyDescent="0.25">
      <c r="BP2932"/>
    </row>
    <row r="2933" spans="68:68" x14ac:dyDescent="0.25">
      <c r="BP2933"/>
    </row>
    <row r="2934" spans="68:68" x14ac:dyDescent="0.25">
      <c r="BP2934"/>
    </row>
    <row r="2935" spans="68:68" x14ac:dyDescent="0.25">
      <c r="BP2935"/>
    </row>
    <row r="2936" spans="68:68" x14ac:dyDescent="0.25">
      <c r="BP2936"/>
    </row>
    <row r="2937" spans="68:68" x14ac:dyDescent="0.25">
      <c r="BP2937"/>
    </row>
    <row r="2938" spans="68:68" x14ac:dyDescent="0.25">
      <c r="BP2938"/>
    </row>
    <row r="2939" spans="68:68" x14ac:dyDescent="0.25">
      <c r="BP2939"/>
    </row>
    <row r="2940" spans="68:68" x14ac:dyDescent="0.25">
      <c r="BP2940"/>
    </row>
    <row r="2941" spans="68:68" x14ac:dyDescent="0.25">
      <c r="BP2941"/>
    </row>
    <row r="2942" spans="68:68" x14ac:dyDescent="0.25">
      <c r="BP2942"/>
    </row>
    <row r="2943" spans="68:68" x14ac:dyDescent="0.25">
      <c r="BP2943"/>
    </row>
    <row r="2944" spans="68:68" x14ac:dyDescent="0.25">
      <c r="BP2944"/>
    </row>
    <row r="2945" spans="68:68" x14ac:dyDescent="0.25">
      <c r="BP2945"/>
    </row>
    <row r="2946" spans="68:68" x14ac:dyDescent="0.25">
      <c r="BP2946"/>
    </row>
    <row r="2947" spans="68:68" x14ac:dyDescent="0.25">
      <c r="BP2947"/>
    </row>
    <row r="2948" spans="68:68" x14ac:dyDescent="0.25">
      <c r="BP2948"/>
    </row>
    <row r="2949" spans="68:68" x14ac:dyDescent="0.25">
      <c r="BP2949"/>
    </row>
    <row r="2950" spans="68:68" x14ac:dyDescent="0.25">
      <c r="BP2950"/>
    </row>
    <row r="2951" spans="68:68" x14ac:dyDescent="0.25">
      <c r="BP2951"/>
    </row>
    <row r="2952" spans="68:68" x14ac:dyDescent="0.25">
      <c r="BP2952"/>
    </row>
    <row r="2953" spans="68:68" x14ac:dyDescent="0.25">
      <c r="BP2953"/>
    </row>
    <row r="2954" spans="68:68" x14ac:dyDescent="0.25">
      <c r="BP2954"/>
    </row>
    <row r="2955" spans="68:68" x14ac:dyDescent="0.25">
      <c r="BP2955"/>
    </row>
    <row r="2956" spans="68:68" x14ac:dyDescent="0.25">
      <c r="BP2956"/>
    </row>
    <row r="2957" spans="68:68" x14ac:dyDescent="0.25">
      <c r="BP2957"/>
    </row>
    <row r="2958" spans="68:68" x14ac:dyDescent="0.25">
      <c r="BP2958"/>
    </row>
    <row r="2959" spans="68:68" x14ac:dyDescent="0.25">
      <c r="BP2959"/>
    </row>
    <row r="2960" spans="68:68" x14ac:dyDescent="0.25">
      <c r="BP2960"/>
    </row>
    <row r="2961" spans="68:68" x14ac:dyDescent="0.25">
      <c r="BP2961"/>
    </row>
    <row r="2962" spans="68:68" x14ac:dyDescent="0.25">
      <c r="BP2962"/>
    </row>
    <row r="2963" spans="68:68" x14ac:dyDescent="0.25">
      <c r="BP2963"/>
    </row>
    <row r="2964" spans="68:68" x14ac:dyDescent="0.25">
      <c r="BP2964"/>
    </row>
    <row r="2965" spans="68:68" x14ac:dyDescent="0.25">
      <c r="BP2965"/>
    </row>
    <row r="2966" spans="68:68" x14ac:dyDescent="0.25">
      <c r="BP2966"/>
    </row>
    <row r="2967" spans="68:68" x14ac:dyDescent="0.25">
      <c r="BP2967"/>
    </row>
    <row r="2968" spans="68:68" x14ac:dyDescent="0.25">
      <c r="BP2968"/>
    </row>
    <row r="2969" spans="68:68" x14ac:dyDescent="0.25">
      <c r="BP2969"/>
    </row>
    <row r="2970" spans="68:68" x14ac:dyDescent="0.25">
      <c r="BP2970"/>
    </row>
    <row r="2971" spans="68:68" x14ac:dyDescent="0.25">
      <c r="BP2971"/>
    </row>
    <row r="2972" spans="68:68" x14ac:dyDescent="0.25">
      <c r="BP2972"/>
    </row>
    <row r="2973" spans="68:68" x14ac:dyDescent="0.25">
      <c r="BP2973"/>
    </row>
    <row r="2974" spans="68:68" x14ac:dyDescent="0.25">
      <c r="BP2974"/>
    </row>
    <row r="2975" spans="68:68" x14ac:dyDescent="0.25">
      <c r="BP2975"/>
    </row>
    <row r="2976" spans="68:68" x14ac:dyDescent="0.25">
      <c r="BP2976"/>
    </row>
    <row r="2977" spans="68:68" x14ac:dyDescent="0.25">
      <c r="BP2977"/>
    </row>
    <row r="2978" spans="68:68" x14ac:dyDescent="0.25">
      <c r="BP2978"/>
    </row>
    <row r="2979" spans="68:68" x14ac:dyDescent="0.25">
      <c r="BP2979"/>
    </row>
    <row r="2980" spans="68:68" x14ac:dyDescent="0.25">
      <c r="BP2980"/>
    </row>
    <row r="2981" spans="68:68" x14ac:dyDescent="0.25">
      <c r="BP2981"/>
    </row>
    <row r="2982" spans="68:68" x14ac:dyDescent="0.25">
      <c r="BP2982"/>
    </row>
    <row r="2983" spans="68:68" x14ac:dyDescent="0.25">
      <c r="BP2983"/>
    </row>
    <row r="2984" spans="68:68" x14ac:dyDescent="0.25">
      <c r="BP2984"/>
    </row>
    <row r="2985" spans="68:68" x14ac:dyDescent="0.25">
      <c r="BP2985"/>
    </row>
    <row r="2986" spans="68:68" x14ac:dyDescent="0.25">
      <c r="BP2986"/>
    </row>
    <row r="2987" spans="68:68" x14ac:dyDescent="0.25">
      <c r="BP2987"/>
    </row>
    <row r="2988" spans="68:68" x14ac:dyDescent="0.25">
      <c r="BP2988"/>
    </row>
    <row r="2989" spans="68:68" x14ac:dyDescent="0.25">
      <c r="BP2989"/>
    </row>
    <row r="2990" spans="68:68" x14ac:dyDescent="0.25">
      <c r="BP2990"/>
    </row>
    <row r="2991" spans="68:68" x14ac:dyDescent="0.25">
      <c r="BP2991"/>
    </row>
    <row r="2992" spans="68:68" x14ac:dyDescent="0.25">
      <c r="BP2992"/>
    </row>
    <row r="2993" spans="68:68" x14ac:dyDescent="0.25">
      <c r="BP2993"/>
    </row>
    <row r="2994" spans="68:68" x14ac:dyDescent="0.25">
      <c r="BP2994"/>
    </row>
    <row r="2995" spans="68:68" x14ac:dyDescent="0.25">
      <c r="BP2995"/>
    </row>
    <row r="2996" spans="68:68" x14ac:dyDescent="0.25">
      <c r="BP2996"/>
    </row>
    <row r="2997" spans="68:68" x14ac:dyDescent="0.25">
      <c r="BP2997"/>
    </row>
    <row r="2998" spans="68:68" x14ac:dyDescent="0.25">
      <c r="BP2998"/>
    </row>
    <row r="2999" spans="68:68" x14ac:dyDescent="0.25">
      <c r="BP2999"/>
    </row>
    <row r="3000" spans="68:68" x14ac:dyDescent="0.25">
      <c r="BP3000"/>
    </row>
    <row r="3001" spans="68:68" x14ac:dyDescent="0.25">
      <c r="BP3001"/>
    </row>
    <row r="3002" spans="68:68" x14ac:dyDescent="0.25">
      <c r="BP3002"/>
    </row>
    <row r="3003" spans="68:68" x14ac:dyDescent="0.25">
      <c r="BP3003"/>
    </row>
    <row r="3004" spans="68:68" x14ac:dyDescent="0.25">
      <c r="BP3004"/>
    </row>
    <row r="3005" spans="68:68" x14ac:dyDescent="0.25">
      <c r="BP3005"/>
    </row>
    <row r="3006" spans="68:68" x14ac:dyDescent="0.25">
      <c r="BP3006"/>
    </row>
    <row r="3007" spans="68:68" x14ac:dyDescent="0.25">
      <c r="BP3007"/>
    </row>
    <row r="3008" spans="68:68" x14ac:dyDescent="0.25">
      <c r="BP3008"/>
    </row>
    <row r="3009" spans="68:68" x14ac:dyDescent="0.25">
      <c r="BP3009"/>
    </row>
    <row r="3010" spans="68:68" x14ac:dyDescent="0.25">
      <c r="BP3010"/>
    </row>
    <row r="3011" spans="68:68" x14ac:dyDescent="0.25">
      <c r="BP3011"/>
    </row>
    <row r="3012" spans="68:68" x14ac:dyDescent="0.25">
      <c r="BP3012"/>
    </row>
    <row r="3013" spans="68:68" x14ac:dyDescent="0.25">
      <c r="BP3013"/>
    </row>
    <row r="3014" spans="68:68" x14ac:dyDescent="0.25">
      <c r="BP3014"/>
    </row>
    <row r="3015" spans="68:68" x14ac:dyDescent="0.25">
      <c r="BP3015"/>
    </row>
    <row r="3016" spans="68:68" x14ac:dyDescent="0.25">
      <c r="BP3016"/>
    </row>
    <row r="3017" spans="68:68" x14ac:dyDescent="0.25">
      <c r="BP3017"/>
    </row>
    <row r="3018" spans="68:68" x14ac:dyDescent="0.25">
      <c r="BP3018"/>
    </row>
    <row r="3019" spans="68:68" x14ac:dyDescent="0.25">
      <c r="BP3019"/>
    </row>
    <row r="3020" spans="68:68" x14ac:dyDescent="0.25">
      <c r="BP3020"/>
    </row>
    <row r="3021" spans="68:68" x14ac:dyDescent="0.25">
      <c r="BP3021"/>
    </row>
    <row r="3022" spans="68:68" x14ac:dyDescent="0.25">
      <c r="BP3022"/>
    </row>
    <row r="3023" spans="68:68" x14ac:dyDescent="0.25">
      <c r="BP3023"/>
    </row>
    <row r="3024" spans="68:68" x14ac:dyDescent="0.25">
      <c r="BP3024"/>
    </row>
    <row r="3025" spans="68:68" x14ac:dyDescent="0.25">
      <c r="BP3025"/>
    </row>
    <row r="3026" spans="68:68" x14ac:dyDescent="0.25">
      <c r="BP3026"/>
    </row>
    <row r="3027" spans="68:68" x14ac:dyDescent="0.25">
      <c r="BP3027"/>
    </row>
    <row r="3028" spans="68:68" x14ac:dyDescent="0.25">
      <c r="BP3028"/>
    </row>
    <row r="3029" spans="68:68" x14ac:dyDescent="0.25">
      <c r="BP3029"/>
    </row>
    <row r="3030" spans="68:68" x14ac:dyDescent="0.25">
      <c r="BP3030"/>
    </row>
    <row r="3031" spans="68:68" x14ac:dyDescent="0.25">
      <c r="BP3031"/>
    </row>
    <row r="3032" spans="68:68" x14ac:dyDescent="0.25">
      <c r="BP3032"/>
    </row>
    <row r="3033" spans="68:68" x14ac:dyDescent="0.25">
      <c r="BP3033"/>
    </row>
    <row r="3034" spans="68:68" x14ac:dyDescent="0.25">
      <c r="BP3034"/>
    </row>
    <row r="3035" spans="68:68" x14ac:dyDescent="0.25">
      <c r="BP3035"/>
    </row>
    <row r="3036" spans="68:68" x14ac:dyDescent="0.25">
      <c r="BP3036"/>
    </row>
    <row r="3037" spans="68:68" x14ac:dyDescent="0.25">
      <c r="BP3037"/>
    </row>
    <row r="3038" spans="68:68" x14ac:dyDescent="0.25">
      <c r="BP3038"/>
    </row>
    <row r="3039" spans="68:68" x14ac:dyDescent="0.25">
      <c r="BP3039"/>
    </row>
    <row r="3040" spans="68:68" x14ac:dyDescent="0.25">
      <c r="BP3040"/>
    </row>
    <row r="3041" spans="68:68" x14ac:dyDescent="0.25">
      <c r="BP3041"/>
    </row>
    <row r="3042" spans="68:68" x14ac:dyDescent="0.25">
      <c r="BP3042"/>
    </row>
    <row r="3043" spans="68:68" x14ac:dyDescent="0.25">
      <c r="BP3043"/>
    </row>
    <row r="3044" spans="68:68" x14ac:dyDescent="0.25">
      <c r="BP3044"/>
    </row>
    <row r="3045" spans="68:68" x14ac:dyDescent="0.25">
      <c r="BP3045"/>
    </row>
    <row r="3046" spans="68:68" x14ac:dyDescent="0.25">
      <c r="BP3046"/>
    </row>
    <row r="3047" spans="68:68" x14ac:dyDescent="0.25">
      <c r="BP3047"/>
    </row>
    <row r="3048" spans="68:68" x14ac:dyDescent="0.25">
      <c r="BP3048"/>
    </row>
    <row r="3049" spans="68:68" x14ac:dyDescent="0.25">
      <c r="BP3049"/>
    </row>
    <row r="3050" spans="68:68" x14ac:dyDescent="0.25">
      <c r="BP3050"/>
    </row>
    <row r="3051" spans="68:68" x14ac:dyDescent="0.25">
      <c r="BP3051"/>
    </row>
    <row r="3052" spans="68:68" x14ac:dyDescent="0.25">
      <c r="BP3052"/>
    </row>
    <row r="3053" spans="68:68" x14ac:dyDescent="0.25">
      <c r="BP3053"/>
    </row>
    <row r="3054" spans="68:68" x14ac:dyDescent="0.25">
      <c r="BP3054"/>
    </row>
    <row r="3055" spans="68:68" x14ac:dyDescent="0.25">
      <c r="BP3055"/>
    </row>
    <row r="3056" spans="68:68" x14ac:dyDescent="0.25">
      <c r="BP3056"/>
    </row>
    <row r="3057" spans="68:68" x14ac:dyDescent="0.25">
      <c r="BP3057"/>
    </row>
    <row r="3058" spans="68:68" x14ac:dyDescent="0.25">
      <c r="BP3058"/>
    </row>
    <row r="3059" spans="68:68" x14ac:dyDescent="0.25">
      <c r="BP3059"/>
    </row>
    <row r="3060" spans="68:68" x14ac:dyDescent="0.25">
      <c r="BP3060"/>
    </row>
    <row r="3061" spans="68:68" x14ac:dyDescent="0.25">
      <c r="BP3061"/>
    </row>
    <row r="3062" spans="68:68" x14ac:dyDescent="0.25">
      <c r="BP3062"/>
    </row>
    <row r="3063" spans="68:68" x14ac:dyDescent="0.25">
      <c r="BP3063"/>
    </row>
    <row r="3064" spans="68:68" x14ac:dyDescent="0.25">
      <c r="BP3064"/>
    </row>
    <row r="3065" spans="68:68" x14ac:dyDescent="0.25">
      <c r="BP3065"/>
    </row>
    <row r="3066" spans="68:68" x14ac:dyDescent="0.25">
      <c r="BP3066"/>
    </row>
    <row r="3067" spans="68:68" x14ac:dyDescent="0.25">
      <c r="BP3067"/>
    </row>
    <row r="3068" spans="68:68" x14ac:dyDescent="0.25">
      <c r="BP3068"/>
    </row>
    <row r="3069" spans="68:68" x14ac:dyDescent="0.25">
      <c r="BP3069"/>
    </row>
    <row r="3070" spans="68:68" x14ac:dyDescent="0.25">
      <c r="BP3070"/>
    </row>
    <row r="3071" spans="68:68" x14ac:dyDescent="0.25">
      <c r="BP3071"/>
    </row>
    <row r="3072" spans="68:68" x14ac:dyDescent="0.25">
      <c r="BP3072"/>
    </row>
    <row r="3073" spans="68:68" x14ac:dyDescent="0.25">
      <c r="BP3073"/>
    </row>
    <row r="3074" spans="68:68" x14ac:dyDescent="0.25">
      <c r="BP3074"/>
    </row>
    <row r="3075" spans="68:68" x14ac:dyDescent="0.25">
      <c r="BP3075"/>
    </row>
    <row r="3076" spans="68:68" x14ac:dyDescent="0.25">
      <c r="BP3076"/>
    </row>
    <row r="3077" spans="68:68" x14ac:dyDescent="0.25">
      <c r="BP3077"/>
    </row>
    <row r="3078" spans="68:68" x14ac:dyDescent="0.25">
      <c r="BP3078"/>
    </row>
    <row r="3079" spans="68:68" x14ac:dyDescent="0.25">
      <c r="BP3079"/>
    </row>
    <row r="3080" spans="68:68" x14ac:dyDescent="0.25">
      <c r="BP3080"/>
    </row>
    <row r="3081" spans="68:68" x14ac:dyDescent="0.25">
      <c r="BP3081"/>
    </row>
    <row r="3082" spans="68:68" x14ac:dyDescent="0.25">
      <c r="BP3082"/>
    </row>
    <row r="3083" spans="68:68" x14ac:dyDescent="0.25">
      <c r="BP3083"/>
    </row>
    <row r="3084" spans="68:68" x14ac:dyDescent="0.25">
      <c r="BP3084"/>
    </row>
    <row r="3085" spans="68:68" x14ac:dyDescent="0.25">
      <c r="BP3085"/>
    </row>
    <row r="3086" spans="68:68" x14ac:dyDescent="0.25">
      <c r="BP3086"/>
    </row>
    <row r="3087" spans="68:68" x14ac:dyDescent="0.25">
      <c r="BP3087"/>
    </row>
    <row r="3088" spans="68:68" x14ac:dyDescent="0.25">
      <c r="BP3088"/>
    </row>
    <row r="3089" spans="68:68" x14ac:dyDescent="0.25">
      <c r="BP3089"/>
    </row>
    <row r="3090" spans="68:68" x14ac:dyDescent="0.25">
      <c r="BP3090"/>
    </row>
    <row r="3091" spans="68:68" x14ac:dyDescent="0.25">
      <c r="BP3091"/>
    </row>
    <row r="3092" spans="68:68" x14ac:dyDescent="0.25">
      <c r="BP3092"/>
    </row>
    <row r="3093" spans="68:68" x14ac:dyDescent="0.25">
      <c r="BP3093"/>
    </row>
    <row r="3094" spans="68:68" x14ac:dyDescent="0.25">
      <c r="BP3094"/>
    </row>
    <row r="3095" spans="68:68" x14ac:dyDescent="0.25">
      <c r="BP3095"/>
    </row>
    <row r="3096" spans="68:68" x14ac:dyDescent="0.25">
      <c r="BP3096"/>
    </row>
    <row r="3097" spans="68:68" x14ac:dyDescent="0.25">
      <c r="BP3097"/>
    </row>
    <row r="3098" spans="68:68" x14ac:dyDescent="0.25">
      <c r="BP3098"/>
    </row>
    <row r="3099" spans="68:68" x14ac:dyDescent="0.25">
      <c r="BP3099"/>
    </row>
    <row r="3100" spans="68:68" x14ac:dyDescent="0.25">
      <c r="BP3100"/>
    </row>
    <row r="3101" spans="68:68" x14ac:dyDescent="0.25">
      <c r="BP3101"/>
    </row>
    <row r="3102" spans="68:68" x14ac:dyDescent="0.25">
      <c r="BP3102"/>
    </row>
    <row r="3103" spans="68:68" x14ac:dyDescent="0.25">
      <c r="BP3103"/>
    </row>
    <row r="3104" spans="68:68" x14ac:dyDescent="0.25">
      <c r="BP3104"/>
    </row>
    <row r="3105" spans="68:68" x14ac:dyDescent="0.25">
      <c r="BP3105"/>
    </row>
    <row r="3106" spans="68:68" x14ac:dyDescent="0.25">
      <c r="BP3106"/>
    </row>
    <row r="3107" spans="68:68" x14ac:dyDescent="0.25">
      <c r="BP3107"/>
    </row>
    <row r="3108" spans="68:68" x14ac:dyDescent="0.25">
      <c r="BP3108"/>
    </row>
    <row r="3109" spans="68:68" x14ac:dyDescent="0.25">
      <c r="BP3109"/>
    </row>
    <row r="3110" spans="68:68" x14ac:dyDescent="0.25">
      <c r="BP3110"/>
    </row>
    <row r="3111" spans="68:68" x14ac:dyDescent="0.25">
      <c r="BP3111"/>
    </row>
    <row r="3112" spans="68:68" x14ac:dyDescent="0.25">
      <c r="BP3112"/>
    </row>
    <row r="3113" spans="68:68" x14ac:dyDescent="0.25">
      <c r="BP3113"/>
    </row>
    <row r="3114" spans="68:68" x14ac:dyDescent="0.25">
      <c r="BP3114"/>
    </row>
    <row r="3115" spans="68:68" x14ac:dyDescent="0.25">
      <c r="BP3115"/>
    </row>
    <row r="3116" spans="68:68" x14ac:dyDescent="0.25">
      <c r="BP3116"/>
    </row>
    <row r="3117" spans="68:68" x14ac:dyDescent="0.25">
      <c r="BP3117"/>
    </row>
    <row r="3118" spans="68:68" x14ac:dyDescent="0.25">
      <c r="BP3118"/>
    </row>
    <row r="3119" spans="68:68" x14ac:dyDescent="0.25">
      <c r="BP3119"/>
    </row>
    <row r="3120" spans="68:68" x14ac:dyDescent="0.25">
      <c r="BP3120"/>
    </row>
    <row r="3121" spans="68:68" x14ac:dyDescent="0.25">
      <c r="BP3121"/>
    </row>
    <row r="3122" spans="68:68" x14ac:dyDescent="0.25">
      <c r="BP3122"/>
    </row>
    <row r="3123" spans="68:68" x14ac:dyDescent="0.25">
      <c r="BP3123"/>
    </row>
    <row r="3124" spans="68:68" x14ac:dyDescent="0.25">
      <c r="BP3124"/>
    </row>
    <row r="3125" spans="68:68" x14ac:dyDescent="0.25">
      <c r="BP3125"/>
    </row>
    <row r="3126" spans="68:68" x14ac:dyDescent="0.25">
      <c r="BP3126"/>
    </row>
    <row r="3127" spans="68:68" x14ac:dyDescent="0.25">
      <c r="BP3127"/>
    </row>
    <row r="3128" spans="68:68" x14ac:dyDescent="0.25">
      <c r="BP3128"/>
    </row>
    <row r="3129" spans="68:68" x14ac:dyDescent="0.25">
      <c r="BP3129"/>
    </row>
    <row r="3130" spans="68:68" x14ac:dyDescent="0.25">
      <c r="BP3130"/>
    </row>
    <row r="3131" spans="68:68" x14ac:dyDescent="0.25">
      <c r="BP3131"/>
    </row>
    <row r="3132" spans="68:68" x14ac:dyDescent="0.25">
      <c r="BP3132"/>
    </row>
    <row r="3133" spans="68:68" x14ac:dyDescent="0.25">
      <c r="BP3133"/>
    </row>
    <row r="3134" spans="68:68" x14ac:dyDescent="0.25">
      <c r="BP3134"/>
    </row>
    <row r="3135" spans="68:68" x14ac:dyDescent="0.25">
      <c r="BP3135"/>
    </row>
    <row r="3136" spans="68:68" x14ac:dyDescent="0.25">
      <c r="BP3136"/>
    </row>
    <row r="3137" spans="68:68" x14ac:dyDescent="0.25">
      <c r="BP3137"/>
    </row>
    <row r="3138" spans="68:68" x14ac:dyDescent="0.25">
      <c r="BP3138"/>
    </row>
    <row r="3139" spans="68:68" x14ac:dyDescent="0.25">
      <c r="BP3139"/>
    </row>
    <row r="3140" spans="68:68" x14ac:dyDescent="0.25">
      <c r="BP3140"/>
    </row>
    <row r="3141" spans="68:68" x14ac:dyDescent="0.25">
      <c r="BP3141"/>
    </row>
    <row r="3142" spans="68:68" x14ac:dyDescent="0.25">
      <c r="BP3142"/>
    </row>
    <row r="3143" spans="68:68" x14ac:dyDescent="0.25">
      <c r="BP3143"/>
    </row>
    <row r="3144" spans="68:68" x14ac:dyDescent="0.25">
      <c r="BP3144"/>
    </row>
    <row r="3145" spans="68:68" x14ac:dyDescent="0.25">
      <c r="BP3145"/>
    </row>
    <row r="3146" spans="68:68" x14ac:dyDescent="0.25">
      <c r="BP3146"/>
    </row>
    <row r="3147" spans="68:68" x14ac:dyDescent="0.25">
      <c r="BP3147"/>
    </row>
    <row r="3148" spans="68:68" x14ac:dyDescent="0.25">
      <c r="BP3148"/>
    </row>
    <row r="3149" spans="68:68" x14ac:dyDescent="0.25">
      <c r="BP3149"/>
    </row>
    <row r="3150" spans="68:68" x14ac:dyDescent="0.25">
      <c r="BP3150"/>
    </row>
    <row r="3151" spans="68:68" x14ac:dyDescent="0.25">
      <c r="BP3151"/>
    </row>
    <row r="3152" spans="68:68" x14ac:dyDescent="0.25">
      <c r="BP3152"/>
    </row>
    <row r="3153" spans="68:68" x14ac:dyDescent="0.25">
      <c r="BP3153"/>
    </row>
    <row r="3154" spans="68:68" x14ac:dyDescent="0.25">
      <c r="BP3154"/>
    </row>
    <row r="3155" spans="68:68" x14ac:dyDescent="0.25">
      <c r="BP3155"/>
    </row>
    <row r="3156" spans="68:68" x14ac:dyDescent="0.25">
      <c r="BP3156"/>
    </row>
    <row r="3157" spans="68:68" x14ac:dyDescent="0.25">
      <c r="BP3157"/>
    </row>
    <row r="3158" spans="68:68" x14ac:dyDescent="0.25">
      <c r="BP3158"/>
    </row>
    <row r="3159" spans="68:68" x14ac:dyDescent="0.25">
      <c r="BP3159"/>
    </row>
    <row r="3160" spans="68:68" x14ac:dyDescent="0.25">
      <c r="BP3160"/>
    </row>
    <row r="3161" spans="68:68" x14ac:dyDescent="0.25">
      <c r="BP3161"/>
    </row>
    <row r="3162" spans="68:68" x14ac:dyDescent="0.25">
      <c r="BP3162"/>
    </row>
    <row r="3163" spans="68:68" x14ac:dyDescent="0.25">
      <c r="BP3163"/>
    </row>
    <row r="3164" spans="68:68" x14ac:dyDescent="0.25">
      <c r="BP3164"/>
    </row>
    <row r="3165" spans="68:68" x14ac:dyDescent="0.25">
      <c r="BP3165"/>
    </row>
    <row r="3166" spans="68:68" x14ac:dyDescent="0.25">
      <c r="BP3166"/>
    </row>
    <row r="3167" spans="68:68" x14ac:dyDescent="0.25">
      <c r="BP3167"/>
    </row>
    <row r="3168" spans="68:68" x14ac:dyDescent="0.25">
      <c r="BP3168"/>
    </row>
    <row r="3169" spans="68:68" x14ac:dyDescent="0.25">
      <c r="BP3169"/>
    </row>
    <row r="3170" spans="68:68" x14ac:dyDescent="0.25">
      <c r="BP3170"/>
    </row>
    <row r="3171" spans="68:68" x14ac:dyDescent="0.25">
      <c r="BP3171"/>
    </row>
    <row r="3172" spans="68:68" x14ac:dyDescent="0.25">
      <c r="BP3172"/>
    </row>
    <row r="3173" spans="68:68" x14ac:dyDescent="0.25">
      <c r="BP3173"/>
    </row>
    <row r="3174" spans="68:68" x14ac:dyDescent="0.25">
      <c r="BP3174"/>
    </row>
    <row r="3175" spans="68:68" x14ac:dyDescent="0.25">
      <c r="BP3175"/>
    </row>
    <row r="3176" spans="68:68" x14ac:dyDescent="0.25">
      <c r="BP3176"/>
    </row>
    <row r="3177" spans="68:68" x14ac:dyDescent="0.25">
      <c r="BP3177"/>
    </row>
    <row r="3178" spans="68:68" x14ac:dyDescent="0.25">
      <c r="BP3178"/>
    </row>
    <row r="3179" spans="68:68" x14ac:dyDescent="0.25">
      <c r="BP3179"/>
    </row>
    <row r="3180" spans="68:68" x14ac:dyDescent="0.25">
      <c r="BP3180"/>
    </row>
    <row r="3181" spans="68:68" x14ac:dyDescent="0.25">
      <c r="BP3181"/>
    </row>
    <row r="3182" spans="68:68" x14ac:dyDescent="0.25">
      <c r="BP3182"/>
    </row>
    <row r="3183" spans="68:68" x14ac:dyDescent="0.25">
      <c r="BP3183"/>
    </row>
    <row r="3184" spans="68:68" x14ac:dyDescent="0.25">
      <c r="BP3184"/>
    </row>
    <row r="3185" spans="68:68" x14ac:dyDescent="0.25">
      <c r="BP3185"/>
    </row>
    <row r="3186" spans="68:68" x14ac:dyDescent="0.25">
      <c r="BP3186"/>
    </row>
    <row r="3187" spans="68:68" x14ac:dyDescent="0.25">
      <c r="BP3187"/>
    </row>
    <row r="3188" spans="68:68" x14ac:dyDescent="0.25">
      <c r="BP3188"/>
    </row>
    <row r="3189" spans="68:68" x14ac:dyDescent="0.25">
      <c r="BP3189"/>
    </row>
    <row r="3190" spans="68:68" x14ac:dyDescent="0.25">
      <c r="BP3190"/>
    </row>
    <row r="3191" spans="68:68" x14ac:dyDescent="0.25">
      <c r="BP3191"/>
    </row>
    <row r="3192" spans="68:68" x14ac:dyDescent="0.25">
      <c r="BP3192"/>
    </row>
    <row r="3193" spans="68:68" x14ac:dyDescent="0.25">
      <c r="BP3193"/>
    </row>
    <row r="3194" spans="68:68" x14ac:dyDescent="0.25">
      <c r="BP3194"/>
    </row>
    <row r="3195" spans="68:68" x14ac:dyDescent="0.25">
      <c r="BP3195"/>
    </row>
    <row r="3196" spans="68:68" x14ac:dyDescent="0.25">
      <c r="BP3196"/>
    </row>
    <row r="3197" spans="68:68" x14ac:dyDescent="0.25">
      <c r="BP3197"/>
    </row>
    <row r="3198" spans="68:68" x14ac:dyDescent="0.25">
      <c r="BP3198"/>
    </row>
    <row r="3199" spans="68:68" x14ac:dyDescent="0.25">
      <c r="BP3199"/>
    </row>
    <row r="3200" spans="68:68" x14ac:dyDescent="0.25">
      <c r="BP3200"/>
    </row>
    <row r="3201" spans="68:68" x14ac:dyDescent="0.25">
      <c r="BP3201"/>
    </row>
    <row r="3202" spans="68:68" x14ac:dyDescent="0.25">
      <c r="BP3202"/>
    </row>
    <row r="3203" spans="68:68" x14ac:dyDescent="0.25">
      <c r="BP3203"/>
    </row>
    <row r="3204" spans="68:68" x14ac:dyDescent="0.25">
      <c r="BP3204"/>
    </row>
    <row r="3205" spans="68:68" x14ac:dyDescent="0.25">
      <c r="BP3205"/>
    </row>
    <row r="3206" spans="68:68" x14ac:dyDescent="0.25">
      <c r="BP3206"/>
    </row>
    <row r="3207" spans="68:68" x14ac:dyDescent="0.25">
      <c r="BP3207"/>
    </row>
    <row r="3208" spans="68:68" x14ac:dyDescent="0.25">
      <c r="BP3208"/>
    </row>
    <row r="3209" spans="68:68" x14ac:dyDescent="0.25">
      <c r="BP3209"/>
    </row>
    <row r="3210" spans="68:68" x14ac:dyDescent="0.25">
      <c r="BP3210"/>
    </row>
    <row r="3211" spans="68:68" x14ac:dyDescent="0.25">
      <c r="BP3211"/>
    </row>
    <row r="3212" spans="68:68" x14ac:dyDescent="0.25">
      <c r="BP3212"/>
    </row>
    <row r="3213" spans="68:68" x14ac:dyDescent="0.25">
      <c r="BP3213"/>
    </row>
    <row r="3214" spans="68:68" x14ac:dyDescent="0.25">
      <c r="BP3214"/>
    </row>
    <row r="3215" spans="68:68" x14ac:dyDescent="0.25">
      <c r="BP3215"/>
    </row>
    <row r="3216" spans="68:68" x14ac:dyDescent="0.25">
      <c r="BP3216"/>
    </row>
    <row r="3217" spans="68:68" x14ac:dyDescent="0.25">
      <c r="BP3217"/>
    </row>
    <row r="3218" spans="68:68" x14ac:dyDescent="0.25">
      <c r="BP3218"/>
    </row>
    <row r="3219" spans="68:68" x14ac:dyDescent="0.25">
      <c r="BP3219"/>
    </row>
    <row r="3220" spans="68:68" x14ac:dyDescent="0.25">
      <c r="BP3220"/>
    </row>
    <row r="3221" spans="68:68" x14ac:dyDescent="0.25">
      <c r="BP3221"/>
    </row>
    <row r="3222" spans="68:68" x14ac:dyDescent="0.25">
      <c r="BP3222"/>
    </row>
    <row r="3223" spans="68:68" x14ac:dyDescent="0.25">
      <c r="BP3223"/>
    </row>
    <row r="3224" spans="68:68" x14ac:dyDescent="0.25">
      <c r="BP3224"/>
    </row>
    <row r="3225" spans="68:68" x14ac:dyDescent="0.25">
      <c r="BP3225"/>
    </row>
    <row r="3226" spans="68:68" x14ac:dyDescent="0.25">
      <c r="BP3226"/>
    </row>
    <row r="3227" spans="68:68" x14ac:dyDescent="0.25">
      <c r="BP3227"/>
    </row>
    <row r="3228" spans="68:68" x14ac:dyDescent="0.25">
      <c r="BP3228"/>
    </row>
    <row r="3229" spans="68:68" x14ac:dyDescent="0.25">
      <c r="BP3229"/>
    </row>
    <row r="3230" spans="68:68" x14ac:dyDescent="0.25">
      <c r="BP3230"/>
    </row>
    <row r="3231" spans="68:68" x14ac:dyDescent="0.25">
      <c r="BP3231"/>
    </row>
    <row r="3232" spans="68:68" x14ac:dyDescent="0.25">
      <c r="BP3232"/>
    </row>
    <row r="3233" spans="68:68" x14ac:dyDescent="0.25">
      <c r="BP3233"/>
    </row>
    <row r="3234" spans="68:68" x14ac:dyDescent="0.25">
      <c r="BP3234"/>
    </row>
    <row r="3235" spans="68:68" x14ac:dyDescent="0.25">
      <c r="BP3235"/>
    </row>
    <row r="3236" spans="68:68" x14ac:dyDescent="0.25">
      <c r="BP3236"/>
    </row>
    <row r="3237" spans="68:68" x14ac:dyDescent="0.25">
      <c r="BP3237"/>
    </row>
    <row r="3238" spans="68:68" x14ac:dyDescent="0.25">
      <c r="BP3238"/>
    </row>
    <row r="3239" spans="68:68" x14ac:dyDescent="0.25">
      <c r="BP3239"/>
    </row>
    <row r="3240" spans="68:68" x14ac:dyDescent="0.25">
      <c r="BP3240"/>
    </row>
    <row r="3241" spans="68:68" x14ac:dyDescent="0.25">
      <c r="BP3241"/>
    </row>
    <row r="3242" spans="68:68" x14ac:dyDescent="0.25">
      <c r="BP3242"/>
    </row>
    <row r="3243" spans="68:68" x14ac:dyDescent="0.25">
      <c r="BP3243"/>
    </row>
    <row r="3244" spans="68:68" x14ac:dyDescent="0.25">
      <c r="BP3244"/>
    </row>
    <row r="3245" spans="68:68" x14ac:dyDescent="0.25">
      <c r="BP3245"/>
    </row>
    <row r="3246" spans="68:68" x14ac:dyDescent="0.25">
      <c r="BP3246"/>
    </row>
    <row r="3247" spans="68:68" x14ac:dyDescent="0.25">
      <c r="BP3247"/>
    </row>
    <row r="3248" spans="68:68" x14ac:dyDescent="0.25">
      <c r="BP3248"/>
    </row>
    <row r="3249" spans="68:68" x14ac:dyDescent="0.25">
      <c r="BP3249"/>
    </row>
    <row r="3250" spans="68:68" x14ac:dyDescent="0.25">
      <c r="BP3250"/>
    </row>
    <row r="3251" spans="68:68" x14ac:dyDescent="0.25">
      <c r="BP3251"/>
    </row>
    <row r="3252" spans="68:68" x14ac:dyDescent="0.25">
      <c r="BP3252"/>
    </row>
    <row r="3253" spans="68:68" x14ac:dyDescent="0.25">
      <c r="BP3253"/>
    </row>
    <row r="3254" spans="68:68" x14ac:dyDescent="0.25">
      <c r="BP3254"/>
    </row>
    <row r="3255" spans="68:68" x14ac:dyDescent="0.25">
      <c r="BP3255"/>
    </row>
    <row r="3256" spans="68:68" x14ac:dyDescent="0.25">
      <c r="BP3256"/>
    </row>
    <row r="3257" spans="68:68" x14ac:dyDescent="0.25">
      <c r="BP3257"/>
    </row>
    <row r="3258" spans="68:68" x14ac:dyDescent="0.25">
      <c r="BP3258"/>
    </row>
    <row r="3259" spans="68:68" x14ac:dyDescent="0.25">
      <c r="BP3259"/>
    </row>
    <row r="3260" spans="68:68" x14ac:dyDescent="0.25">
      <c r="BP3260"/>
    </row>
    <row r="3261" spans="68:68" x14ac:dyDescent="0.25">
      <c r="BP3261"/>
    </row>
    <row r="3262" spans="68:68" x14ac:dyDescent="0.25">
      <c r="BP3262"/>
    </row>
    <row r="3263" spans="68:68" x14ac:dyDescent="0.25">
      <c r="BP3263"/>
    </row>
    <row r="3264" spans="68:68" x14ac:dyDescent="0.25">
      <c r="BP3264"/>
    </row>
    <row r="3265" spans="68:68" x14ac:dyDescent="0.25">
      <c r="BP3265"/>
    </row>
    <row r="3266" spans="68:68" x14ac:dyDescent="0.25">
      <c r="BP3266"/>
    </row>
    <row r="3267" spans="68:68" x14ac:dyDescent="0.25">
      <c r="BP3267"/>
    </row>
    <row r="3268" spans="68:68" x14ac:dyDescent="0.25">
      <c r="BP3268"/>
    </row>
    <row r="3269" spans="68:68" x14ac:dyDescent="0.25">
      <c r="BP3269"/>
    </row>
    <row r="3270" spans="68:68" x14ac:dyDescent="0.25">
      <c r="BP3270"/>
    </row>
    <row r="3271" spans="68:68" x14ac:dyDescent="0.25">
      <c r="BP3271"/>
    </row>
    <row r="3272" spans="68:68" x14ac:dyDescent="0.25">
      <c r="BP3272"/>
    </row>
    <row r="3273" spans="68:68" x14ac:dyDescent="0.25">
      <c r="BP3273"/>
    </row>
    <row r="3274" spans="68:68" x14ac:dyDescent="0.25">
      <c r="BP3274"/>
    </row>
    <row r="3275" spans="68:68" x14ac:dyDescent="0.25">
      <c r="BP3275"/>
    </row>
    <row r="3276" spans="68:68" x14ac:dyDescent="0.25">
      <c r="BP3276"/>
    </row>
    <row r="3277" spans="68:68" x14ac:dyDescent="0.25">
      <c r="BP3277"/>
    </row>
    <row r="3278" spans="68:68" x14ac:dyDescent="0.25">
      <c r="BP3278"/>
    </row>
    <row r="3279" spans="68:68" x14ac:dyDescent="0.25">
      <c r="BP3279"/>
    </row>
    <row r="3280" spans="68:68" x14ac:dyDescent="0.25">
      <c r="BP3280"/>
    </row>
    <row r="3281" spans="68:68" x14ac:dyDescent="0.25">
      <c r="BP3281"/>
    </row>
    <row r="3282" spans="68:68" x14ac:dyDescent="0.25">
      <c r="BP3282"/>
    </row>
    <row r="3283" spans="68:68" x14ac:dyDescent="0.25">
      <c r="BP3283"/>
    </row>
    <row r="3284" spans="68:68" x14ac:dyDescent="0.25">
      <c r="BP3284"/>
    </row>
    <row r="3285" spans="68:68" x14ac:dyDescent="0.25">
      <c r="BP3285"/>
    </row>
    <row r="3286" spans="68:68" x14ac:dyDescent="0.25">
      <c r="BP3286"/>
    </row>
    <row r="3287" spans="68:68" x14ac:dyDescent="0.25">
      <c r="BP3287"/>
    </row>
    <row r="3288" spans="68:68" x14ac:dyDescent="0.25">
      <c r="BP3288"/>
    </row>
    <row r="3289" spans="68:68" x14ac:dyDescent="0.25">
      <c r="BP3289"/>
    </row>
    <row r="3290" spans="68:68" x14ac:dyDescent="0.25">
      <c r="BP3290"/>
    </row>
    <row r="3291" spans="68:68" x14ac:dyDescent="0.25">
      <c r="BP3291"/>
    </row>
    <row r="3292" spans="68:68" x14ac:dyDescent="0.25">
      <c r="BP3292"/>
    </row>
    <row r="3293" spans="68:68" x14ac:dyDescent="0.25">
      <c r="BP3293"/>
    </row>
    <row r="3294" spans="68:68" x14ac:dyDescent="0.25">
      <c r="BP3294"/>
    </row>
    <row r="3295" spans="68:68" x14ac:dyDescent="0.25">
      <c r="BP3295"/>
    </row>
    <row r="3296" spans="68:68" x14ac:dyDescent="0.25">
      <c r="BP3296"/>
    </row>
    <row r="3297" spans="68:68" x14ac:dyDescent="0.25">
      <c r="BP3297"/>
    </row>
    <row r="3298" spans="68:68" x14ac:dyDescent="0.25">
      <c r="BP3298"/>
    </row>
    <row r="3299" spans="68:68" x14ac:dyDescent="0.25">
      <c r="BP3299"/>
    </row>
    <row r="3300" spans="68:68" x14ac:dyDescent="0.25">
      <c r="BP3300"/>
    </row>
    <row r="3301" spans="68:68" x14ac:dyDescent="0.25">
      <c r="BP3301"/>
    </row>
    <row r="3302" spans="68:68" x14ac:dyDescent="0.25">
      <c r="BP3302"/>
    </row>
    <row r="3303" spans="68:68" x14ac:dyDescent="0.25">
      <c r="BP3303"/>
    </row>
    <row r="3304" spans="68:68" x14ac:dyDescent="0.25">
      <c r="BP3304"/>
    </row>
    <row r="3305" spans="68:68" x14ac:dyDescent="0.25">
      <c r="BP3305"/>
    </row>
    <row r="3306" spans="68:68" x14ac:dyDescent="0.25">
      <c r="BP3306"/>
    </row>
    <row r="3307" spans="68:68" x14ac:dyDescent="0.25">
      <c r="BP3307"/>
    </row>
    <row r="3308" spans="68:68" x14ac:dyDescent="0.25">
      <c r="BP3308"/>
    </row>
    <row r="3309" spans="68:68" x14ac:dyDescent="0.25">
      <c r="BP3309"/>
    </row>
    <row r="3310" spans="68:68" x14ac:dyDescent="0.25">
      <c r="BP3310"/>
    </row>
    <row r="3311" spans="68:68" x14ac:dyDescent="0.25">
      <c r="BP3311"/>
    </row>
    <row r="3312" spans="68:68" x14ac:dyDescent="0.25">
      <c r="BP3312"/>
    </row>
    <row r="3313" spans="68:68" x14ac:dyDescent="0.25">
      <c r="BP3313"/>
    </row>
    <row r="3314" spans="68:68" x14ac:dyDescent="0.25">
      <c r="BP3314"/>
    </row>
    <row r="3315" spans="68:68" x14ac:dyDescent="0.25">
      <c r="BP3315"/>
    </row>
    <row r="3316" spans="68:68" x14ac:dyDescent="0.25">
      <c r="BP3316"/>
    </row>
    <row r="3317" spans="68:68" x14ac:dyDescent="0.25">
      <c r="BP3317"/>
    </row>
    <row r="3318" spans="68:68" x14ac:dyDescent="0.25">
      <c r="BP3318"/>
    </row>
    <row r="3319" spans="68:68" x14ac:dyDescent="0.25">
      <c r="BP3319"/>
    </row>
    <row r="3320" spans="68:68" x14ac:dyDescent="0.25">
      <c r="BP3320"/>
    </row>
    <row r="3321" spans="68:68" x14ac:dyDescent="0.25">
      <c r="BP3321"/>
    </row>
    <row r="3322" spans="68:68" x14ac:dyDescent="0.25">
      <c r="BP3322"/>
    </row>
    <row r="3323" spans="68:68" x14ac:dyDescent="0.25">
      <c r="BP3323"/>
    </row>
    <row r="3324" spans="68:68" x14ac:dyDescent="0.25">
      <c r="BP3324"/>
    </row>
    <row r="3325" spans="68:68" x14ac:dyDescent="0.25">
      <c r="BP3325"/>
    </row>
    <row r="3326" spans="68:68" x14ac:dyDescent="0.25">
      <c r="BP3326"/>
    </row>
    <row r="3327" spans="68:68" x14ac:dyDescent="0.25">
      <c r="BP3327"/>
    </row>
    <row r="3328" spans="68:68" x14ac:dyDescent="0.25">
      <c r="BP3328"/>
    </row>
    <row r="3329" spans="68:68" x14ac:dyDescent="0.25">
      <c r="BP3329"/>
    </row>
    <row r="3330" spans="68:68" x14ac:dyDescent="0.25">
      <c r="BP3330"/>
    </row>
    <row r="3331" spans="68:68" x14ac:dyDescent="0.25">
      <c r="BP3331"/>
    </row>
    <row r="3332" spans="68:68" x14ac:dyDescent="0.25">
      <c r="BP3332"/>
    </row>
    <row r="3333" spans="68:68" x14ac:dyDescent="0.25">
      <c r="BP3333"/>
    </row>
    <row r="3334" spans="68:68" x14ac:dyDescent="0.25">
      <c r="BP3334"/>
    </row>
    <row r="3335" spans="68:68" x14ac:dyDescent="0.25">
      <c r="BP3335"/>
    </row>
    <row r="3336" spans="68:68" x14ac:dyDescent="0.25">
      <c r="BP3336"/>
    </row>
    <row r="3337" spans="68:68" x14ac:dyDescent="0.25">
      <c r="BP3337"/>
    </row>
    <row r="3338" spans="68:68" x14ac:dyDescent="0.25">
      <c r="BP3338"/>
    </row>
    <row r="3339" spans="68:68" x14ac:dyDescent="0.25">
      <c r="BP3339"/>
    </row>
    <row r="3340" spans="68:68" x14ac:dyDescent="0.25">
      <c r="BP3340"/>
    </row>
    <row r="3341" spans="68:68" x14ac:dyDescent="0.25">
      <c r="BP3341"/>
    </row>
    <row r="3342" spans="68:68" x14ac:dyDescent="0.25">
      <c r="BP3342"/>
    </row>
    <row r="3343" spans="68:68" x14ac:dyDescent="0.25">
      <c r="BP3343"/>
    </row>
    <row r="3344" spans="68:68" x14ac:dyDescent="0.25">
      <c r="BP3344"/>
    </row>
    <row r="3345" spans="68:68" x14ac:dyDescent="0.25">
      <c r="BP3345"/>
    </row>
    <row r="3346" spans="68:68" x14ac:dyDescent="0.25">
      <c r="BP3346"/>
    </row>
    <row r="3347" spans="68:68" x14ac:dyDescent="0.25">
      <c r="BP3347"/>
    </row>
    <row r="3348" spans="68:68" x14ac:dyDescent="0.25">
      <c r="BP3348"/>
    </row>
    <row r="3349" spans="68:68" x14ac:dyDescent="0.25">
      <c r="BP3349"/>
    </row>
    <row r="3350" spans="68:68" x14ac:dyDescent="0.25">
      <c r="BP3350"/>
    </row>
    <row r="3351" spans="68:68" x14ac:dyDescent="0.25">
      <c r="BP3351"/>
    </row>
    <row r="3352" spans="68:68" x14ac:dyDescent="0.25">
      <c r="BP3352"/>
    </row>
    <row r="3353" spans="68:68" x14ac:dyDescent="0.25">
      <c r="BP3353"/>
    </row>
    <row r="3354" spans="68:68" x14ac:dyDescent="0.25">
      <c r="BP3354"/>
    </row>
    <row r="3355" spans="68:68" x14ac:dyDescent="0.25">
      <c r="BP3355"/>
    </row>
    <row r="3356" spans="68:68" x14ac:dyDescent="0.25">
      <c r="BP3356"/>
    </row>
    <row r="3357" spans="68:68" x14ac:dyDescent="0.25">
      <c r="BP3357"/>
    </row>
    <row r="3358" spans="68:68" x14ac:dyDescent="0.25">
      <c r="BP3358"/>
    </row>
    <row r="3359" spans="68:68" x14ac:dyDescent="0.25">
      <c r="BP3359"/>
    </row>
    <row r="3360" spans="68:68" x14ac:dyDescent="0.25">
      <c r="BP3360"/>
    </row>
    <row r="3361" spans="68:68" x14ac:dyDescent="0.25">
      <c r="BP3361"/>
    </row>
    <row r="3362" spans="68:68" x14ac:dyDescent="0.25">
      <c r="BP3362"/>
    </row>
    <row r="3363" spans="68:68" x14ac:dyDescent="0.25">
      <c r="BP3363"/>
    </row>
    <row r="3364" spans="68:68" x14ac:dyDescent="0.25">
      <c r="BP3364"/>
    </row>
    <row r="3365" spans="68:68" x14ac:dyDescent="0.25">
      <c r="BP3365"/>
    </row>
    <row r="3366" spans="68:68" x14ac:dyDescent="0.25">
      <c r="BP3366"/>
    </row>
    <row r="3367" spans="68:68" x14ac:dyDescent="0.25">
      <c r="BP3367"/>
    </row>
    <row r="3368" spans="68:68" x14ac:dyDescent="0.25">
      <c r="BP3368"/>
    </row>
    <row r="3369" spans="68:68" x14ac:dyDescent="0.25">
      <c r="BP3369"/>
    </row>
    <row r="3370" spans="68:68" x14ac:dyDescent="0.25">
      <c r="BP3370"/>
    </row>
    <row r="3371" spans="68:68" x14ac:dyDescent="0.25">
      <c r="BP3371"/>
    </row>
    <row r="3372" spans="68:68" x14ac:dyDescent="0.25">
      <c r="BP3372"/>
    </row>
    <row r="3373" spans="68:68" x14ac:dyDescent="0.25">
      <c r="BP3373"/>
    </row>
    <row r="3374" spans="68:68" x14ac:dyDescent="0.25">
      <c r="BP3374"/>
    </row>
    <row r="3375" spans="68:68" x14ac:dyDescent="0.25">
      <c r="BP3375"/>
    </row>
    <row r="3376" spans="68:68" x14ac:dyDescent="0.25">
      <c r="BP3376"/>
    </row>
    <row r="3377" spans="68:68" x14ac:dyDescent="0.25">
      <c r="BP3377"/>
    </row>
    <row r="3378" spans="68:68" x14ac:dyDescent="0.25">
      <c r="BP3378"/>
    </row>
    <row r="3379" spans="68:68" x14ac:dyDescent="0.25">
      <c r="BP3379"/>
    </row>
    <row r="3380" spans="68:68" x14ac:dyDescent="0.25">
      <c r="BP3380"/>
    </row>
    <row r="3381" spans="68:68" x14ac:dyDescent="0.25">
      <c r="BP3381"/>
    </row>
    <row r="3382" spans="68:68" x14ac:dyDescent="0.25">
      <c r="BP3382"/>
    </row>
    <row r="3383" spans="68:68" x14ac:dyDescent="0.25">
      <c r="BP3383"/>
    </row>
    <row r="3384" spans="68:68" x14ac:dyDescent="0.25">
      <c r="BP3384"/>
    </row>
    <row r="3385" spans="68:68" x14ac:dyDescent="0.25">
      <c r="BP3385"/>
    </row>
    <row r="3386" spans="68:68" x14ac:dyDescent="0.25">
      <c r="BP3386"/>
    </row>
    <row r="3387" spans="68:68" x14ac:dyDescent="0.25">
      <c r="BP3387"/>
    </row>
    <row r="3388" spans="68:68" x14ac:dyDescent="0.25">
      <c r="BP3388"/>
    </row>
    <row r="3389" spans="68:68" x14ac:dyDescent="0.25">
      <c r="BP3389"/>
    </row>
    <row r="3390" spans="68:68" x14ac:dyDescent="0.25">
      <c r="BP3390"/>
    </row>
    <row r="3391" spans="68:68" x14ac:dyDescent="0.25">
      <c r="BP3391"/>
    </row>
    <row r="3392" spans="68:68" x14ac:dyDescent="0.25">
      <c r="BP3392"/>
    </row>
    <row r="3393" spans="68:68" x14ac:dyDescent="0.25">
      <c r="BP3393"/>
    </row>
    <row r="3394" spans="68:68" x14ac:dyDescent="0.25">
      <c r="BP3394"/>
    </row>
    <row r="3395" spans="68:68" x14ac:dyDescent="0.25">
      <c r="BP3395"/>
    </row>
    <row r="3396" spans="68:68" x14ac:dyDescent="0.25">
      <c r="BP3396"/>
    </row>
    <row r="3397" spans="68:68" x14ac:dyDescent="0.25">
      <c r="BP3397"/>
    </row>
    <row r="3398" spans="68:68" x14ac:dyDescent="0.25">
      <c r="BP3398"/>
    </row>
    <row r="3399" spans="68:68" x14ac:dyDescent="0.25">
      <c r="BP3399"/>
    </row>
    <row r="3400" spans="68:68" x14ac:dyDescent="0.25">
      <c r="BP3400"/>
    </row>
    <row r="3401" spans="68:68" x14ac:dyDescent="0.25">
      <c r="BP3401"/>
    </row>
    <row r="3402" spans="68:68" x14ac:dyDescent="0.25">
      <c r="BP3402"/>
    </row>
    <row r="3403" spans="68:68" x14ac:dyDescent="0.25">
      <c r="BP3403"/>
    </row>
    <row r="3404" spans="68:68" x14ac:dyDescent="0.25">
      <c r="BP3404"/>
    </row>
    <row r="3405" spans="68:68" x14ac:dyDescent="0.25">
      <c r="BP3405"/>
    </row>
    <row r="3406" spans="68:68" x14ac:dyDescent="0.25">
      <c r="BP3406"/>
    </row>
    <row r="3407" spans="68:68" x14ac:dyDescent="0.25">
      <c r="BP3407"/>
    </row>
    <row r="3408" spans="68:68" x14ac:dyDescent="0.25">
      <c r="BP3408"/>
    </row>
    <row r="3409" spans="68:68" x14ac:dyDescent="0.25">
      <c r="BP3409"/>
    </row>
    <row r="3410" spans="68:68" x14ac:dyDescent="0.25">
      <c r="BP3410"/>
    </row>
    <row r="3411" spans="68:68" x14ac:dyDescent="0.25">
      <c r="BP3411"/>
    </row>
    <row r="3412" spans="68:68" x14ac:dyDescent="0.25">
      <c r="BP3412"/>
    </row>
    <row r="3413" spans="68:68" x14ac:dyDescent="0.25">
      <c r="BP3413"/>
    </row>
    <row r="3414" spans="68:68" x14ac:dyDescent="0.25">
      <c r="BP3414"/>
    </row>
    <row r="3415" spans="68:68" x14ac:dyDescent="0.25">
      <c r="BP3415"/>
    </row>
    <row r="3416" spans="68:68" x14ac:dyDescent="0.25">
      <c r="BP3416"/>
    </row>
    <row r="3417" spans="68:68" x14ac:dyDescent="0.25">
      <c r="BP3417"/>
    </row>
    <row r="3418" spans="68:68" x14ac:dyDescent="0.25">
      <c r="BP3418"/>
    </row>
    <row r="3419" spans="68:68" x14ac:dyDescent="0.25">
      <c r="BP3419"/>
    </row>
    <row r="3420" spans="68:68" x14ac:dyDescent="0.25">
      <c r="BP3420"/>
    </row>
    <row r="3421" spans="68:68" x14ac:dyDescent="0.25">
      <c r="BP3421"/>
    </row>
    <row r="3422" spans="68:68" x14ac:dyDescent="0.25">
      <c r="BP3422"/>
    </row>
    <row r="3423" spans="68:68" x14ac:dyDescent="0.25">
      <c r="BP3423"/>
    </row>
    <row r="3424" spans="68:68" x14ac:dyDescent="0.25">
      <c r="BP3424"/>
    </row>
    <row r="3425" spans="68:68" x14ac:dyDescent="0.25">
      <c r="BP3425"/>
    </row>
    <row r="3426" spans="68:68" x14ac:dyDescent="0.25">
      <c r="BP3426"/>
    </row>
    <row r="3427" spans="68:68" x14ac:dyDescent="0.25">
      <c r="BP3427"/>
    </row>
    <row r="3428" spans="68:68" x14ac:dyDescent="0.25">
      <c r="BP3428"/>
    </row>
    <row r="3429" spans="68:68" x14ac:dyDescent="0.25">
      <c r="BP3429"/>
    </row>
    <row r="3430" spans="68:68" x14ac:dyDescent="0.25">
      <c r="BP3430"/>
    </row>
    <row r="3431" spans="68:68" x14ac:dyDescent="0.25">
      <c r="BP3431"/>
    </row>
    <row r="3432" spans="68:68" x14ac:dyDescent="0.25">
      <c r="BP3432"/>
    </row>
    <row r="3433" spans="68:68" x14ac:dyDescent="0.25">
      <c r="BP3433"/>
    </row>
    <row r="3434" spans="68:68" x14ac:dyDescent="0.25">
      <c r="BP3434"/>
    </row>
    <row r="3435" spans="68:68" x14ac:dyDescent="0.25">
      <c r="BP3435"/>
    </row>
    <row r="3436" spans="68:68" x14ac:dyDescent="0.25">
      <c r="BP3436"/>
    </row>
    <row r="3437" spans="68:68" x14ac:dyDescent="0.25">
      <c r="BP3437"/>
    </row>
    <row r="3438" spans="68:68" x14ac:dyDescent="0.25">
      <c r="BP3438"/>
    </row>
    <row r="3439" spans="68:68" x14ac:dyDescent="0.25">
      <c r="BP3439"/>
    </row>
    <row r="3440" spans="68:68" x14ac:dyDescent="0.25">
      <c r="BP3440"/>
    </row>
    <row r="3441" spans="68:68" x14ac:dyDescent="0.25">
      <c r="BP3441"/>
    </row>
    <row r="3442" spans="68:68" x14ac:dyDescent="0.25">
      <c r="BP3442"/>
    </row>
    <row r="3443" spans="68:68" x14ac:dyDescent="0.25">
      <c r="BP3443"/>
    </row>
    <row r="3444" spans="68:68" x14ac:dyDescent="0.25">
      <c r="BP3444"/>
    </row>
    <row r="3445" spans="68:68" x14ac:dyDescent="0.25">
      <c r="BP3445"/>
    </row>
    <row r="3446" spans="68:68" x14ac:dyDescent="0.25">
      <c r="BP3446"/>
    </row>
    <row r="3447" spans="68:68" x14ac:dyDescent="0.25">
      <c r="BP3447"/>
    </row>
    <row r="3448" spans="68:68" x14ac:dyDescent="0.25">
      <c r="BP3448"/>
    </row>
    <row r="3449" spans="68:68" x14ac:dyDescent="0.25">
      <c r="BP3449"/>
    </row>
    <row r="3450" spans="68:68" x14ac:dyDescent="0.25">
      <c r="BP3450"/>
    </row>
    <row r="3451" spans="68:68" x14ac:dyDescent="0.25">
      <c r="BP3451"/>
    </row>
    <row r="3452" spans="68:68" x14ac:dyDescent="0.25">
      <c r="BP3452"/>
    </row>
    <row r="3453" spans="68:68" x14ac:dyDescent="0.25">
      <c r="BP3453"/>
    </row>
    <row r="3454" spans="68:68" x14ac:dyDescent="0.25">
      <c r="BP3454"/>
    </row>
    <row r="3455" spans="68:68" x14ac:dyDescent="0.25">
      <c r="BP3455"/>
    </row>
    <row r="3456" spans="68:68" x14ac:dyDescent="0.25">
      <c r="BP3456"/>
    </row>
    <row r="3457" spans="68:68" x14ac:dyDescent="0.25">
      <c r="BP3457"/>
    </row>
    <row r="3458" spans="68:68" x14ac:dyDescent="0.25">
      <c r="BP3458"/>
    </row>
    <row r="3459" spans="68:68" x14ac:dyDescent="0.25">
      <c r="BP3459"/>
    </row>
    <row r="3460" spans="68:68" x14ac:dyDescent="0.25">
      <c r="BP3460"/>
    </row>
    <row r="3461" spans="68:68" x14ac:dyDescent="0.25">
      <c r="BP3461"/>
    </row>
    <row r="3462" spans="68:68" x14ac:dyDescent="0.25">
      <c r="BP3462"/>
    </row>
    <row r="3463" spans="68:68" x14ac:dyDescent="0.25">
      <c r="BP3463"/>
    </row>
    <row r="3464" spans="68:68" x14ac:dyDescent="0.25">
      <c r="BP3464"/>
    </row>
    <row r="3465" spans="68:68" x14ac:dyDescent="0.25">
      <c r="BP3465"/>
    </row>
    <row r="3466" spans="68:68" x14ac:dyDescent="0.25">
      <c r="BP3466"/>
    </row>
    <row r="3467" spans="68:68" x14ac:dyDescent="0.25">
      <c r="BP3467"/>
    </row>
    <row r="3468" spans="68:68" x14ac:dyDescent="0.25">
      <c r="BP3468"/>
    </row>
    <row r="3469" spans="68:68" x14ac:dyDescent="0.25">
      <c r="BP3469"/>
    </row>
    <row r="3470" spans="68:68" x14ac:dyDescent="0.25">
      <c r="BP3470"/>
    </row>
    <row r="3471" spans="68:68" x14ac:dyDescent="0.25">
      <c r="BP3471"/>
    </row>
    <row r="3472" spans="68:68" x14ac:dyDescent="0.25">
      <c r="BP3472"/>
    </row>
    <row r="3473" spans="68:68" x14ac:dyDescent="0.25">
      <c r="BP3473"/>
    </row>
    <row r="3474" spans="68:68" x14ac:dyDescent="0.25">
      <c r="BP3474"/>
    </row>
    <row r="3475" spans="68:68" x14ac:dyDescent="0.25">
      <c r="BP3475"/>
    </row>
    <row r="3476" spans="68:68" x14ac:dyDescent="0.25">
      <c r="BP3476"/>
    </row>
    <row r="3477" spans="68:68" x14ac:dyDescent="0.25">
      <c r="BP3477"/>
    </row>
    <row r="3478" spans="68:68" x14ac:dyDescent="0.25">
      <c r="BP3478"/>
    </row>
    <row r="3479" spans="68:68" x14ac:dyDescent="0.25">
      <c r="BP3479"/>
    </row>
    <row r="3480" spans="68:68" x14ac:dyDescent="0.25">
      <c r="BP3480"/>
    </row>
    <row r="3481" spans="68:68" x14ac:dyDescent="0.25">
      <c r="BP3481"/>
    </row>
    <row r="3482" spans="68:68" x14ac:dyDescent="0.25">
      <c r="BP3482"/>
    </row>
    <row r="3483" spans="68:68" x14ac:dyDescent="0.25">
      <c r="BP3483"/>
    </row>
    <row r="3484" spans="68:68" x14ac:dyDescent="0.25">
      <c r="BP3484"/>
    </row>
    <row r="3485" spans="68:68" x14ac:dyDescent="0.25">
      <c r="BP3485"/>
    </row>
    <row r="3486" spans="68:68" x14ac:dyDescent="0.25">
      <c r="BP3486"/>
    </row>
    <row r="3487" spans="68:68" x14ac:dyDescent="0.25">
      <c r="BP3487"/>
    </row>
    <row r="3488" spans="68:68" x14ac:dyDescent="0.25">
      <c r="BP3488"/>
    </row>
    <row r="3489" spans="68:68" x14ac:dyDescent="0.25">
      <c r="BP3489"/>
    </row>
    <row r="3490" spans="68:68" x14ac:dyDescent="0.25">
      <c r="BP3490"/>
    </row>
    <row r="3491" spans="68:68" x14ac:dyDescent="0.25">
      <c r="BP3491"/>
    </row>
    <row r="3492" spans="68:68" x14ac:dyDescent="0.25">
      <c r="BP3492"/>
    </row>
    <row r="3493" spans="68:68" x14ac:dyDescent="0.25">
      <c r="BP3493"/>
    </row>
    <row r="3494" spans="68:68" x14ac:dyDescent="0.25">
      <c r="BP3494"/>
    </row>
    <row r="3495" spans="68:68" x14ac:dyDescent="0.25">
      <c r="BP3495"/>
    </row>
    <row r="3496" spans="68:68" x14ac:dyDescent="0.25">
      <c r="BP3496"/>
    </row>
    <row r="3497" spans="68:68" x14ac:dyDescent="0.25">
      <c r="BP3497"/>
    </row>
    <row r="3498" spans="68:68" x14ac:dyDescent="0.25">
      <c r="BP3498"/>
    </row>
    <row r="3499" spans="68:68" x14ac:dyDescent="0.25">
      <c r="BP3499"/>
    </row>
    <row r="3500" spans="68:68" x14ac:dyDescent="0.25">
      <c r="BP3500"/>
    </row>
    <row r="3501" spans="68:68" x14ac:dyDescent="0.25">
      <c r="BP3501"/>
    </row>
    <row r="3502" spans="68:68" x14ac:dyDescent="0.25">
      <c r="BP3502"/>
    </row>
    <row r="3503" spans="68:68" x14ac:dyDescent="0.25">
      <c r="BP3503"/>
    </row>
    <row r="3504" spans="68:68" x14ac:dyDescent="0.25">
      <c r="BP3504"/>
    </row>
    <row r="3505" spans="68:68" x14ac:dyDescent="0.25">
      <c r="BP3505"/>
    </row>
    <row r="3506" spans="68:68" x14ac:dyDescent="0.25">
      <c r="BP3506"/>
    </row>
    <row r="3507" spans="68:68" x14ac:dyDescent="0.25">
      <c r="BP3507"/>
    </row>
    <row r="3508" spans="68:68" x14ac:dyDescent="0.25">
      <c r="BP3508"/>
    </row>
    <row r="3509" spans="68:68" x14ac:dyDescent="0.25">
      <c r="BP3509"/>
    </row>
    <row r="3510" spans="68:68" x14ac:dyDescent="0.25">
      <c r="BP3510"/>
    </row>
    <row r="3511" spans="68:68" x14ac:dyDescent="0.25">
      <c r="BP3511"/>
    </row>
    <row r="3512" spans="68:68" x14ac:dyDescent="0.25">
      <c r="BP3512"/>
    </row>
    <row r="3513" spans="68:68" x14ac:dyDescent="0.25">
      <c r="BP3513"/>
    </row>
    <row r="3514" spans="68:68" x14ac:dyDescent="0.25">
      <c r="BP3514"/>
    </row>
    <row r="3515" spans="68:68" x14ac:dyDescent="0.25">
      <c r="BP3515"/>
    </row>
    <row r="3516" spans="68:68" x14ac:dyDescent="0.25">
      <c r="BP3516"/>
    </row>
    <row r="3517" spans="68:68" x14ac:dyDescent="0.25">
      <c r="BP3517"/>
    </row>
    <row r="3518" spans="68:68" x14ac:dyDescent="0.25">
      <c r="BP3518"/>
    </row>
    <row r="3519" spans="68:68" x14ac:dyDescent="0.25">
      <c r="BP3519"/>
    </row>
    <row r="3520" spans="68:68" x14ac:dyDescent="0.25">
      <c r="BP3520"/>
    </row>
    <row r="3521" spans="68:68" x14ac:dyDescent="0.25">
      <c r="BP3521"/>
    </row>
    <row r="3522" spans="68:68" x14ac:dyDescent="0.25">
      <c r="BP3522"/>
    </row>
    <row r="3523" spans="68:68" x14ac:dyDescent="0.25">
      <c r="BP3523"/>
    </row>
    <row r="3524" spans="68:68" x14ac:dyDescent="0.25">
      <c r="BP3524"/>
    </row>
    <row r="3525" spans="68:68" x14ac:dyDescent="0.25">
      <c r="BP3525"/>
    </row>
    <row r="3526" spans="68:68" x14ac:dyDescent="0.25">
      <c r="BP3526"/>
    </row>
    <row r="3527" spans="68:68" x14ac:dyDescent="0.25">
      <c r="BP3527"/>
    </row>
    <row r="3528" spans="68:68" x14ac:dyDescent="0.25">
      <c r="BP3528"/>
    </row>
    <row r="3529" spans="68:68" x14ac:dyDescent="0.25">
      <c r="BP3529"/>
    </row>
    <row r="3530" spans="68:68" x14ac:dyDescent="0.25">
      <c r="BP3530"/>
    </row>
    <row r="3531" spans="68:68" x14ac:dyDescent="0.25">
      <c r="BP3531"/>
    </row>
    <row r="3532" spans="68:68" x14ac:dyDescent="0.25">
      <c r="BP3532"/>
    </row>
    <row r="3533" spans="68:68" x14ac:dyDescent="0.25">
      <c r="BP3533"/>
    </row>
    <row r="3534" spans="68:68" x14ac:dyDescent="0.25">
      <c r="BP3534"/>
    </row>
    <row r="3535" spans="68:68" x14ac:dyDescent="0.25">
      <c r="BP3535"/>
    </row>
    <row r="3536" spans="68:68" x14ac:dyDescent="0.25">
      <c r="BP3536"/>
    </row>
    <row r="3537" spans="68:68" x14ac:dyDescent="0.25">
      <c r="BP3537"/>
    </row>
    <row r="3538" spans="68:68" x14ac:dyDescent="0.25">
      <c r="BP3538"/>
    </row>
    <row r="3539" spans="68:68" x14ac:dyDescent="0.25">
      <c r="BP3539"/>
    </row>
    <row r="3540" spans="68:68" x14ac:dyDescent="0.25">
      <c r="BP3540"/>
    </row>
    <row r="3541" spans="68:68" x14ac:dyDescent="0.25">
      <c r="BP3541"/>
    </row>
    <row r="3542" spans="68:68" x14ac:dyDescent="0.25">
      <c r="BP3542"/>
    </row>
    <row r="3543" spans="68:68" x14ac:dyDescent="0.25">
      <c r="BP3543"/>
    </row>
    <row r="3544" spans="68:68" x14ac:dyDescent="0.25">
      <c r="BP3544"/>
    </row>
    <row r="3545" spans="68:68" x14ac:dyDescent="0.25">
      <c r="BP3545"/>
    </row>
    <row r="3546" spans="68:68" x14ac:dyDescent="0.25">
      <c r="BP3546"/>
    </row>
    <row r="3547" spans="68:68" x14ac:dyDescent="0.25">
      <c r="BP3547"/>
    </row>
    <row r="3548" spans="68:68" x14ac:dyDescent="0.25">
      <c r="BP3548"/>
    </row>
    <row r="3549" spans="68:68" x14ac:dyDescent="0.25">
      <c r="BP3549"/>
    </row>
    <row r="3550" spans="68:68" x14ac:dyDescent="0.25">
      <c r="BP3550"/>
    </row>
    <row r="3551" spans="68:68" x14ac:dyDescent="0.25">
      <c r="BP3551"/>
    </row>
    <row r="3552" spans="68:68" x14ac:dyDescent="0.25">
      <c r="BP3552"/>
    </row>
    <row r="3553" spans="68:68" x14ac:dyDescent="0.25">
      <c r="BP3553"/>
    </row>
    <row r="3554" spans="68:68" x14ac:dyDescent="0.25">
      <c r="BP3554"/>
    </row>
    <row r="3555" spans="68:68" x14ac:dyDescent="0.25">
      <c r="BP3555"/>
    </row>
    <row r="3556" spans="68:68" x14ac:dyDescent="0.25">
      <c r="BP3556"/>
    </row>
    <row r="3557" spans="68:68" x14ac:dyDescent="0.25">
      <c r="BP3557"/>
    </row>
    <row r="3558" spans="68:68" x14ac:dyDescent="0.25">
      <c r="BP3558"/>
    </row>
    <row r="3559" spans="68:68" x14ac:dyDescent="0.25">
      <c r="BP3559"/>
    </row>
    <row r="3560" spans="68:68" x14ac:dyDescent="0.25">
      <c r="BP3560"/>
    </row>
    <row r="3561" spans="68:68" x14ac:dyDescent="0.25">
      <c r="BP3561"/>
    </row>
    <row r="3562" spans="68:68" x14ac:dyDescent="0.25">
      <c r="BP3562"/>
    </row>
    <row r="3563" spans="68:68" x14ac:dyDescent="0.25">
      <c r="BP3563"/>
    </row>
    <row r="3564" spans="68:68" x14ac:dyDescent="0.25">
      <c r="BP3564"/>
    </row>
    <row r="3565" spans="68:68" x14ac:dyDescent="0.25">
      <c r="BP3565"/>
    </row>
    <row r="3566" spans="68:68" x14ac:dyDescent="0.25">
      <c r="BP3566"/>
    </row>
    <row r="3567" spans="68:68" x14ac:dyDescent="0.25">
      <c r="BP3567"/>
    </row>
    <row r="3568" spans="68:68" x14ac:dyDescent="0.25">
      <c r="BP3568"/>
    </row>
    <row r="3569" spans="68:68" x14ac:dyDescent="0.25">
      <c r="BP3569"/>
    </row>
    <row r="3570" spans="68:68" x14ac:dyDescent="0.25">
      <c r="BP3570"/>
    </row>
    <row r="3571" spans="68:68" x14ac:dyDescent="0.25">
      <c r="BP3571"/>
    </row>
    <row r="3572" spans="68:68" x14ac:dyDescent="0.25">
      <c r="BP3572"/>
    </row>
    <row r="3573" spans="68:68" x14ac:dyDescent="0.25">
      <c r="BP3573"/>
    </row>
    <row r="3574" spans="68:68" x14ac:dyDescent="0.25">
      <c r="BP3574"/>
    </row>
    <row r="3575" spans="68:68" x14ac:dyDescent="0.25">
      <c r="BP3575"/>
    </row>
    <row r="3576" spans="68:68" x14ac:dyDescent="0.25">
      <c r="BP3576"/>
    </row>
    <row r="3577" spans="68:68" x14ac:dyDescent="0.25">
      <c r="BP3577"/>
    </row>
    <row r="3578" spans="68:68" x14ac:dyDescent="0.25">
      <c r="BP3578"/>
    </row>
    <row r="3579" spans="68:68" x14ac:dyDescent="0.25">
      <c r="BP3579"/>
    </row>
    <row r="3580" spans="68:68" x14ac:dyDescent="0.25">
      <c r="BP3580"/>
    </row>
    <row r="3581" spans="68:68" x14ac:dyDescent="0.25">
      <c r="BP3581"/>
    </row>
    <row r="3582" spans="68:68" x14ac:dyDescent="0.25">
      <c r="BP3582"/>
    </row>
    <row r="3583" spans="68:68" x14ac:dyDescent="0.25">
      <c r="BP3583"/>
    </row>
    <row r="3584" spans="68:68" x14ac:dyDescent="0.25">
      <c r="BP3584"/>
    </row>
    <row r="3585" spans="68:68" x14ac:dyDescent="0.25">
      <c r="BP3585"/>
    </row>
    <row r="3586" spans="68:68" x14ac:dyDescent="0.25">
      <c r="BP3586"/>
    </row>
    <row r="3587" spans="68:68" x14ac:dyDescent="0.25">
      <c r="BP3587"/>
    </row>
    <row r="3588" spans="68:68" x14ac:dyDescent="0.25">
      <c r="BP3588"/>
    </row>
    <row r="3589" spans="68:68" x14ac:dyDescent="0.25">
      <c r="BP3589"/>
    </row>
    <row r="3590" spans="68:68" x14ac:dyDescent="0.25">
      <c r="BP3590"/>
    </row>
    <row r="3591" spans="68:68" x14ac:dyDescent="0.25">
      <c r="BP3591"/>
    </row>
    <row r="3592" spans="68:68" x14ac:dyDescent="0.25">
      <c r="BP3592"/>
    </row>
    <row r="3593" spans="68:68" x14ac:dyDescent="0.25">
      <c r="BP3593"/>
    </row>
    <row r="3594" spans="68:68" x14ac:dyDescent="0.25">
      <c r="BP3594"/>
    </row>
    <row r="3595" spans="68:68" x14ac:dyDescent="0.25">
      <c r="BP3595"/>
    </row>
    <row r="3596" spans="68:68" x14ac:dyDescent="0.25">
      <c r="BP3596"/>
    </row>
    <row r="3597" spans="68:68" x14ac:dyDescent="0.25">
      <c r="BP3597"/>
    </row>
    <row r="3598" spans="68:68" x14ac:dyDescent="0.25">
      <c r="BP3598"/>
    </row>
    <row r="3599" spans="68:68" x14ac:dyDescent="0.25">
      <c r="BP3599"/>
    </row>
    <row r="3600" spans="68:68" x14ac:dyDescent="0.25">
      <c r="BP3600"/>
    </row>
    <row r="3601" spans="68:68" x14ac:dyDescent="0.25">
      <c r="BP3601"/>
    </row>
    <row r="3602" spans="68:68" x14ac:dyDescent="0.25">
      <c r="BP3602"/>
    </row>
    <row r="3603" spans="68:68" x14ac:dyDescent="0.25">
      <c r="BP3603"/>
    </row>
    <row r="3604" spans="68:68" x14ac:dyDescent="0.25">
      <c r="BP3604"/>
    </row>
    <row r="3605" spans="68:68" x14ac:dyDescent="0.25">
      <c r="BP3605"/>
    </row>
    <row r="3606" spans="68:68" x14ac:dyDescent="0.25">
      <c r="BP3606"/>
    </row>
    <row r="3607" spans="68:68" x14ac:dyDescent="0.25">
      <c r="BP3607"/>
    </row>
    <row r="3608" spans="68:68" x14ac:dyDescent="0.25">
      <c r="BP3608"/>
    </row>
    <row r="3609" spans="68:68" x14ac:dyDescent="0.25">
      <c r="BP3609"/>
    </row>
    <row r="3610" spans="68:68" x14ac:dyDescent="0.25">
      <c r="BP3610"/>
    </row>
    <row r="3611" spans="68:68" x14ac:dyDescent="0.25">
      <c r="BP3611"/>
    </row>
    <row r="3612" spans="68:68" x14ac:dyDescent="0.25">
      <c r="BP3612"/>
    </row>
    <row r="3613" spans="68:68" x14ac:dyDescent="0.25">
      <c r="BP3613"/>
    </row>
    <row r="3614" spans="68:68" x14ac:dyDescent="0.25">
      <c r="BP3614"/>
    </row>
    <row r="3615" spans="68:68" x14ac:dyDescent="0.25">
      <c r="BP3615"/>
    </row>
    <row r="3616" spans="68:68" x14ac:dyDescent="0.25">
      <c r="BP3616"/>
    </row>
    <row r="3617" spans="68:68" x14ac:dyDescent="0.25">
      <c r="BP3617"/>
    </row>
    <row r="3618" spans="68:68" x14ac:dyDescent="0.25">
      <c r="BP3618"/>
    </row>
    <row r="3619" spans="68:68" x14ac:dyDescent="0.25">
      <c r="BP3619"/>
    </row>
    <row r="3620" spans="68:68" x14ac:dyDescent="0.25">
      <c r="BP3620"/>
    </row>
    <row r="3621" spans="68:68" x14ac:dyDescent="0.25">
      <c r="BP3621"/>
    </row>
    <row r="3622" spans="68:68" x14ac:dyDescent="0.25">
      <c r="BP3622"/>
    </row>
    <row r="3623" spans="68:68" x14ac:dyDescent="0.25">
      <c r="BP3623"/>
    </row>
    <row r="3624" spans="68:68" x14ac:dyDescent="0.25">
      <c r="BP3624"/>
    </row>
    <row r="3625" spans="68:68" x14ac:dyDescent="0.25">
      <c r="BP3625"/>
    </row>
    <row r="3626" spans="68:68" x14ac:dyDescent="0.25">
      <c r="BP3626"/>
    </row>
    <row r="3627" spans="68:68" x14ac:dyDescent="0.25">
      <c r="BP3627"/>
    </row>
    <row r="3628" spans="68:68" x14ac:dyDescent="0.25">
      <c r="BP3628"/>
    </row>
    <row r="3629" spans="68:68" x14ac:dyDescent="0.25">
      <c r="BP3629"/>
    </row>
    <row r="3630" spans="68:68" x14ac:dyDescent="0.25">
      <c r="BP3630"/>
    </row>
    <row r="3631" spans="68:68" x14ac:dyDescent="0.25">
      <c r="BP3631"/>
    </row>
    <row r="3632" spans="68:68" x14ac:dyDescent="0.25">
      <c r="BP3632"/>
    </row>
    <row r="3633" spans="68:68" x14ac:dyDescent="0.25">
      <c r="BP3633"/>
    </row>
    <row r="3634" spans="68:68" x14ac:dyDescent="0.25">
      <c r="BP3634"/>
    </row>
    <row r="3635" spans="68:68" x14ac:dyDescent="0.25">
      <c r="BP3635"/>
    </row>
    <row r="3636" spans="68:68" x14ac:dyDescent="0.25">
      <c r="BP3636"/>
    </row>
    <row r="3637" spans="68:68" x14ac:dyDescent="0.25">
      <c r="BP3637"/>
    </row>
    <row r="3638" spans="68:68" x14ac:dyDescent="0.25">
      <c r="BP3638"/>
    </row>
    <row r="3639" spans="68:68" x14ac:dyDescent="0.25">
      <c r="BP3639"/>
    </row>
    <row r="3640" spans="68:68" x14ac:dyDescent="0.25">
      <c r="BP3640"/>
    </row>
    <row r="3641" spans="68:68" x14ac:dyDescent="0.25">
      <c r="BP3641"/>
    </row>
    <row r="3642" spans="68:68" x14ac:dyDescent="0.25">
      <c r="BP3642"/>
    </row>
    <row r="3643" spans="68:68" x14ac:dyDescent="0.25">
      <c r="BP3643"/>
    </row>
    <row r="3644" spans="68:68" x14ac:dyDescent="0.25">
      <c r="BP3644"/>
    </row>
    <row r="3645" spans="68:68" x14ac:dyDescent="0.25">
      <c r="BP3645"/>
    </row>
    <row r="3646" spans="68:68" x14ac:dyDescent="0.25">
      <c r="BP3646"/>
    </row>
    <row r="3647" spans="68:68" x14ac:dyDescent="0.25">
      <c r="BP3647"/>
    </row>
    <row r="3648" spans="68:68" x14ac:dyDescent="0.25">
      <c r="BP3648"/>
    </row>
    <row r="3649" spans="68:68" x14ac:dyDescent="0.25">
      <c r="BP3649"/>
    </row>
    <row r="3650" spans="68:68" x14ac:dyDescent="0.25">
      <c r="BP3650"/>
    </row>
    <row r="3651" spans="68:68" x14ac:dyDescent="0.25">
      <c r="BP3651"/>
    </row>
    <row r="3652" spans="68:68" x14ac:dyDescent="0.25">
      <c r="BP3652"/>
    </row>
    <row r="3653" spans="68:68" x14ac:dyDescent="0.25">
      <c r="BP3653"/>
    </row>
    <row r="3654" spans="68:68" x14ac:dyDescent="0.25">
      <c r="BP3654"/>
    </row>
    <row r="3655" spans="68:68" x14ac:dyDescent="0.25">
      <c r="BP3655"/>
    </row>
    <row r="3656" spans="68:68" x14ac:dyDescent="0.25">
      <c r="BP3656"/>
    </row>
    <row r="3657" spans="68:68" x14ac:dyDescent="0.25">
      <c r="BP3657"/>
    </row>
    <row r="3658" spans="68:68" x14ac:dyDescent="0.25">
      <c r="BP3658"/>
    </row>
    <row r="3659" spans="68:68" x14ac:dyDescent="0.25">
      <c r="BP3659"/>
    </row>
    <row r="3660" spans="68:68" x14ac:dyDescent="0.25">
      <c r="BP3660"/>
    </row>
    <row r="3661" spans="68:68" x14ac:dyDescent="0.25">
      <c r="BP3661"/>
    </row>
    <row r="3662" spans="68:68" x14ac:dyDescent="0.25">
      <c r="BP3662"/>
    </row>
    <row r="3663" spans="68:68" x14ac:dyDescent="0.25">
      <c r="BP3663"/>
    </row>
    <row r="3664" spans="68:68" x14ac:dyDescent="0.25">
      <c r="BP3664"/>
    </row>
    <row r="3665" spans="68:68" x14ac:dyDescent="0.25">
      <c r="BP3665"/>
    </row>
    <row r="3666" spans="68:68" x14ac:dyDescent="0.25">
      <c r="BP3666"/>
    </row>
    <row r="3667" spans="68:68" x14ac:dyDescent="0.25">
      <c r="BP3667"/>
    </row>
    <row r="3668" spans="68:68" x14ac:dyDescent="0.25">
      <c r="BP3668"/>
    </row>
    <row r="3669" spans="68:68" x14ac:dyDescent="0.25">
      <c r="BP3669"/>
    </row>
    <row r="3670" spans="68:68" x14ac:dyDescent="0.25">
      <c r="BP3670"/>
    </row>
    <row r="3671" spans="68:68" x14ac:dyDescent="0.25">
      <c r="BP3671"/>
    </row>
    <row r="3672" spans="68:68" x14ac:dyDescent="0.25">
      <c r="BP3672"/>
    </row>
    <row r="3673" spans="68:68" x14ac:dyDescent="0.25">
      <c r="BP3673"/>
    </row>
    <row r="3674" spans="68:68" x14ac:dyDescent="0.25">
      <c r="BP3674"/>
    </row>
    <row r="3675" spans="68:68" x14ac:dyDescent="0.25">
      <c r="BP3675"/>
    </row>
    <row r="3676" spans="68:68" x14ac:dyDescent="0.25">
      <c r="BP3676"/>
    </row>
    <row r="3677" spans="68:68" x14ac:dyDescent="0.25">
      <c r="BP3677"/>
    </row>
    <row r="3678" spans="68:68" x14ac:dyDescent="0.25">
      <c r="BP3678"/>
    </row>
    <row r="3679" spans="68:68" x14ac:dyDescent="0.25">
      <c r="BP3679"/>
    </row>
    <row r="3680" spans="68:68" x14ac:dyDescent="0.25">
      <c r="BP3680"/>
    </row>
    <row r="3681" spans="68:68" x14ac:dyDescent="0.25">
      <c r="BP3681"/>
    </row>
    <row r="3682" spans="68:68" x14ac:dyDescent="0.25">
      <c r="BP3682"/>
    </row>
    <row r="3683" spans="68:68" x14ac:dyDescent="0.25">
      <c r="BP3683"/>
    </row>
    <row r="3684" spans="68:68" x14ac:dyDescent="0.25">
      <c r="BP3684"/>
    </row>
    <row r="3685" spans="68:68" x14ac:dyDescent="0.25">
      <c r="BP3685"/>
    </row>
    <row r="3686" spans="68:68" x14ac:dyDescent="0.25">
      <c r="BP3686"/>
    </row>
    <row r="3687" spans="68:68" x14ac:dyDescent="0.25">
      <c r="BP3687"/>
    </row>
    <row r="3688" spans="68:68" x14ac:dyDescent="0.25">
      <c r="BP3688"/>
    </row>
    <row r="3689" spans="68:68" x14ac:dyDescent="0.25">
      <c r="BP3689"/>
    </row>
    <row r="3690" spans="68:68" x14ac:dyDescent="0.25">
      <c r="BP3690"/>
    </row>
    <row r="3691" spans="68:68" x14ac:dyDescent="0.25">
      <c r="BP3691"/>
    </row>
    <row r="3692" spans="68:68" x14ac:dyDescent="0.25">
      <c r="BP3692"/>
    </row>
    <row r="3693" spans="68:68" x14ac:dyDescent="0.25">
      <c r="BP3693"/>
    </row>
    <row r="3694" spans="68:68" x14ac:dyDescent="0.25">
      <c r="BP3694"/>
    </row>
    <row r="3695" spans="68:68" x14ac:dyDescent="0.25">
      <c r="BP3695"/>
    </row>
    <row r="3696" spans="68:68" x14ac:dyDescent="0.25">
      <c r="BP3696"/>
    </row>
    <row r="3697" spans="68:68" x14ac:dyDescent="0.25">
      <c r="BP3697"/>
    </row>
    <row r="3698" spans="68:68" x14ac:dyDescent="0.25">
      <c r="BP3698"/>
    </row>
    <row r="3699" spans="68:68" x14ac:dyDescent="0.25">
      <c r="BP3699"/>
    </row>
    <row r="3700" spans="68:68" x14ac:dyDescent="0.25">
      <c r="BP3700"/>
    </row>
    <row r="3701" spans="68:68" x14ac:dyDescent="0.25">
      <c r="BP3701"/>
    </row>
    <row r="3702" spans="68:68" x14ac:dyDescent="0.25">
      <c r="BP3702"/>
    </row>
    <row r="3703" spans="68:68" x14ac:dyDescent="0.25">
      <c r="BP3703"/>
    </row>
    <row r="3704" spans="68:68" x14ac:dyDescent="0.25">
      <c r="BP3704"/>
    </row>
    <row r="3705" spans="68:68" x14ac:dyDescent="0.25">
      <c r="BP3705"/>
    </row>
    <row r="3706" spans="68:68" x14ac:dyDescent="0.25">
      <c r="BP3706"/>
    </row>
    <row r="3707" spans="68:68" x14ac:dyDescent="0.25">
      <c r="BP3707"/>
    </row>
    <row r="3708" spans="68:68" x14ac:dyDescent="0.25">
      <c r="BP3708"/>
    </row>
    <row r="3709" spans="68:68" x14ac:dyDescent="0.25">
      <c r="BP3709"/>
    </row>
    <row r="3710" spans="68:68" x14ac:dyDescent="0.25">
      <c r="BP3710"/>
    </row>
    <row r="3711" spans="68:68" x14ac:dyDescent="0.25">
      <c r="BP3711"/>
    </row>
    <row r="3712" spans="68:68" x14ac:dyDescent="0.25">
      <c r="BP3712"/>
    </row>
    <row r="3713" spans="68:68" x14ac:dyDescent="0.25">
      <c r="BP3713"/>
    </row>
    <row r="3714" spans="68:68" x14ac:dyDescent="0.25">
      <c r="BP3714"/>
    </row>
    <row r="3715" spans="68:68" x14ac:dyDescent="0.25">
      <c r="BP3715"/>
    </row>
    <row r="3716" spans="68:68" x14ac:dyDescent="0.25">
      <c r="BP3716"/>
    </row>
    <row r="3717" spans="68:68" x14ac:dyDescent="0.25">
      <c r="BP3717"/>
    </row>
    <row r="3718" spans="68:68" x14ac:dyDescent="0.25">
      <c r="BP3718"/>
    </row>
    <row r="3719" spans="68:68" x14ac:dyDescent="0.25">
      <c r="BP3719"/>
    </row>
    <row r="3720" spans="68:68" x14ac:dyDescent="0.25">
      <c r="BP3720"/>
    </row>
    <row r="3721" spans="68:68" x14ac:dyDescent="0.25">
      <c r="BP3721"/>
    </row>
    <row r="3722" spans="68:68" x14ac:dyDescent="0.25">
      <c r="BP3722"/>
    </row>
    <row r="3723" spans="68:68" x14ac:dyDescent="0.25">
      <c r="BP3723"/>
    </row>
    <row r="3724" spans="68:68" x14ac:dyDescent="0.25">
      <c r="BP3724"/>
    </row>
    <row r="3725" spans="68:68" x14ac:dyDescent="0.25">
      <c r="BP3725"/>
    </row>
    <row r="3726" spans="68:68" x14ac:dyDescent="0.25">
      <c r="BP3726"/>
    </row>
    <row r="3727" spans="68:68" x14ac:dyDescent="0.25">
      <c r="BP3727"/>
    </row>
    <row r="3728" spans="68:68" x14ac:dyDescent="0.25">
      <c r="BP3728"/>
    </row>
    <row r="3729" spans="68:68" x14ac:dyDescent="0.25">
      <c r="BP3729"/>
    </row>
    <row r="3730" spans="68:68" x14ac:dyDescent="0.25">
      <c r="BP3730"/>
    </row>
    <row r="3731" spans="68:68" x14ac:dyDescent="0.25">
      <c r="BP3731"/>
    </row>
    <row r="3732" spans="68:68" x14ac:dyDescent="0.25">
      <c r="BP3732"/>
    </row>
    <row r="3733" spans="68:68" x14ac:dyDescent="0.25">
      <c r="BP3733"/>
    </row>
    <row r="3734" spans="68:68" x14ac:dyDescent="0.25">
      <c r="BP3734"/>
    </row>
    <row r="3735" spans="68:68" x14ac:dyDescent="0.25">
      <c r="BP3735"/>
    </row>
    <row r="3736" spans="68:68" x14ac:dyDescent="0.25">
      <c r="BP3736"/>
    </row>
    <row r="3737" spans="68:68" x14ac:dyDescent="0.25">
      <c r="BP3737"/>
    </row>
    <row r="3738" spans="68:68" x14ac:dyDescent="0.25">
      <c r="BP3738"/>
    </row>
    <row r="3739" spans="68:68" x14ac:dyDescent="0.25">
      <c r="BP3739"/>
    </row>
    <row r="3740" spans="68:68" x14ac:dyDescent="0.25">
      <c r="BP3740"/>
    </row>
    <row r="3741" spans="68:68" x14ac:dyDescent="0.25">
      <c r="BP3741"/>
    </row>
    <row r="3742" spans="68:68" x14ac:dyDescent="0.25">
      <c r="BP3742"/>
    </row>
    <row r="3743" spans="68:68" x14ac:dyDescent="0.25">
      <c r="BP3743"/>
    </row>
    <row r="3744" spans="68:68" x14ac:dyDescent="0.25">
      <c r="BP3744"/>
    </row>
    <row r="3745" spans="68:68" x14ac:dyDescent="0.25">
      <c r="BP3745"/>
    </row>
    <row r="3746" spans="68:68" x14ac:dyDescent="0.25">
      <c r="BP3746"/>
    </row>
    <row r="3747" spans="68:68" x14ac:dyDescent="0.25">
      <c r="BP3747"/>
    </row>
    <row r="3748" spans="68:68" x14ac:dyDescent="0.25">
      <c r="BP3748"/>
    </row>
    <row r="3749" spans="68:68" x14ac:dyDescent="0.25">
      <c r="BP3749"/>
    </row>
    <row r="3750" spans="68:68" x14ac:dyDescent="0.25">
      <c r="BP3750"/>
    </row>
    <row r="3751" spans="68:68" x14ac:dyDescent="0.25">
      <c r="BP3751"/>
    </row>
    <row r="3752" spans="68:68" x14ac:dyDescent="0.25">
      <c r="BP3752"/>
    </row>
    <row r="3753" spans="68:68" x14ac:dyDescent="0.25">
      <c r="BP3753"/>
    </row>
    <row r="3754" spans="68:68" x14ac:dyDescent="0.25">
      <c r="BP3754"/>
    </row>
    <row r="3755" spans="68:68" x14ac:dyDescent="0.25">
      <c r="BP3755"/>
    </row>
    <row r="3756" spans="68:68" x14ac:dyDescent="0.25">
      <c r="BP3756"/>
    </row>
    <row r="3757" spans="68:68" x14ac:dyDescent="0.25">
      <c r="BP3757"/>
    </row>
    <row r="3758" spans="68:68" x14ac:dyDescent="0.25">
      <c r="BP3758"/>
    </row>
    <row r="3759" spans="68:68" x14ac:dyDescent="0.25">
      <c r="BP3759"/>
    </row>
    <row r="3760" spans="68:68" x14ac:dyDescent="0.25">
      <c r="BP3760"/>
    </row>
    <row r="3761" spans="68:68" x14ac:dyDescent="0.25">
      <c r="BP3761"/>
    </row>
    <row r="3762" spans="68:68" x14ac:dyDescent="0.25">
      <c r="BP3762"/>
    </row>
    <row r="3763" spans="68:68" x14ac:dyDescent="0.25">
      <c r="BP3763"/>
    </row>
    <row r="3764" spans="68:68" x14ac:dyDescent="0.25">
      <c r="BP3764"/>
    </row>
    <row r="3765" spans="68:68" x14ac:dyDescent="0.25">
      <c r="BP3765"/>
    </row>
    <row r="3766" spans="68:68" x14ac:dyDescent="0.25">
      <c r="BP3766"/>
    </row>
    <row r="3767" spans="68:68" x14ac:dyDescent="0.25">
      <c r="BP3767"/>
    </row>
    <row r="3768" spans="68:68" x14ac:dyDescent="0.25">
      <c r="BP3768"/>
    </row>
    <row r="3769" spans="68:68" x14ac:dyDescent="0.25">
      <c r="BP3769"/>
    </row>
    <row r="3770" spans="68:68" x14ac:dyDescent="0.25">
      <c r="BP3770"/>
    </row>
    <row r="3771" spans="68:68" x14ac:dyDescent="0.25">
      <c r="BP3771"/>
    </row>
    <row r="3772" spans="68:68" x14ac:dyDescent="0.25">
      <c r="BP3772"/>
    </row>
    <row r="3773" spans="68:68" x14ac:dyDescent="0.25">
      <c r="BP3773"/>
    </row>
    <row r="3774" spans="68:68" x14ac:dyDescent="0.25">
      <c r="BP3774"/>
    </row>
    <row r="3775" spans="68:68" x14ac:dyDescent="0.25">
      <c r="BP3775"/>
    </row>
    <row r="3776" spans="68:68" x14ac:dyDescent="0.25">
      <c r="BP3776"/>
    </row>
    <row r="3777" spans="68:68" x14ac:dyDescent="0.25">
      <c r="BP3777"/>
    </row>
    <row r="3778" spans="68:68" x14ac:dyDescent="0.25">
      <c r="BP3778"/>
    </row>
    <row r="3779" spans="68:68" x14ac:dyDescent="0.25">
      <c r="BP3779"/>
    </row>
    <row r="3780" spans="68:68" x14ac:dyDescent="0.25">
      <c r="BP3780"/>
    </row>
    <row r="3781" spans="68:68" x14ac:dyDescent="0.25">
      <c r="BP3781"/>
    </row>
    <row r="3782" spans="68:68" x14ac:dyDescent="0.25">
      <c r="BP3782"/>
    </row>
    <row r="3783" spans="68:68" x14ac:dyDescent="0.25">
      <c r="BP3783"/>
    </row>
    <row r="3784" spans="68:68" x14ac:dyDescent="0.25">
      <c r="BP3784"/>
    </row>
    <row r="3785" spans="68:68" x14ac:dyDescent="0.25">
      <c r="BP3785"/>
    </row>
    <row r="3786" spans="68:68" x14ac:dyDescent="0.25">
      <c r="BP3786"/>
    </row>
    <row r="3787" spans="68:68" x14ac:dyDescent="0.25">
      <c r="BP3787"/>
    </row>
    <row r="3788" spans="68:68" x14ac:dyDescent="0.25">
      <c r="BP3788"/>
    </row>
    <row r="3789" spans="68:68" x14ac:dyDescent="0.25">
      <c r="BP3789"/>
    </row>
    <row r="3790" spans="68:68" x14ac:dyDescent="0.25">
      <c r="BP3790"/>
    </row>
    <row r="3791" spans="68:68" x14ac:dyDescent="0.25">
      <c r="BP3791"/>
    </row>
    <row r="3792" spans="68:68" x14ac:dyDescent="0.25">
      <c r="BP3792"/>
    </row>
    <row r="3793" spans="68:68" x14ac:dyDescent="0.25">
      <c r="BP3793"/>
    </row>
    <row r="3794" spans="68:68" x14ac:dyDescent="0.25">
      <c r="BP3794"/>
    </row>
    <row r="3795" spans="68:68" x14ac:dyDescent="0.25">
      <c r="BP3795"/>
    </row>
    <row r="3796" spans="68:68" x14ac:dyDescent="0.25">
      <c r="BP3796"/>
    </row>
    <row r="3797" spans="68:68" x14ac:dyDescent="0.25">
      <c r="BP3797"/>
    </row>
    <row r="3798" spans="68:68" x14ac:dyDescent="0.25">
      <c r="BP3798"/>
    </row>
    <row r="3799" spans="68:68" x14ac:dyDescent="0.25">
      <c r="BP3799"/>
    </row>
    <row r="3800" spans="68:68" x14ac:dyDescent="0.25">
      <c r="BP3800"/>
    </row>
    <row r="3801" spans="68:68" x14ac:dyDescent="0.25">
      <c r="BP3801"/>
    </row>
    <row r="3802" spans="68:68" x14ac:dyDescent="0.25">
      <c r="BP3802"/>
    </row>
    <row r="3803" spans="68:68" x14ac:dyDescent="0.25">
      <c r="BP3803"/>
    </row>
    <row r="3804" spans="68:68" x14ac:dyDescent="0.25">
      <c r="BP3804"/>
    </row>
    <row r="3805" spans="68:68" x14ac:dyDescent="0.25">
      <c r="BP3805"/>
    </row>
    <row r="3806" spans="68:68" x14ac:dyDescent="0.25">
      <c r="BP3806"/>
    </row>
    <row r="3807" spans="68:68" x14ac:dyDescent="0.25">
      <c r="BP3807"/>
    </row>
    <row r="3808" spans="68:68" x14ac:dyDescent="0.25">
      <c r="BP3808"/>
    </row>
    <row r="3809" spans="68:68" x14ac:dyDescent="0.25">
      <c r="BP3809"/>
    </row>
    <row r="3810" spans="68:68" x14ac:dyDescent="0.25">
      <c r="BP3810"/>
    </row>
    <row r="3811" spans="68:68" x14ac:dyDescent="0.25">
      <c r="BP3811"/>
    </row>
    <row r="3812" spans="68:68" x14ac:dyDescent="0.25">
      <c r="BP3812"/>
    </row>
    <row r="3813" spans="68:68" x14ac:dyDescent="0.25">
      <c r="BP3813"/>
    </row>
    <row r="3814" spans="68:68" x14ac:dyDescent="0.25">
      <c r="BP3814"/>
    </row>
    <row r="3815" spans="68:68" x14ac:dyDescent="0.25">
      <c r="BP3815"/>
    </row>
    <row r="3816" spans="68:68" x14ac:dyDescent="0.25">
      <c r="BP3816"/>
    </row>
    <row r="3817" spans="68:68" x14ac:dyDescent="0.25">
      <c r="BP3817"/>
    </row>
    <row r="3818" spans="68:68" x14ac:dyDescent="0.25">
      <c r="BP3818"/>
    </row>
    <row r="3819" spans="68:68" x14ac:dyDescent="0.25">
      <c r="BP3819"/>
    </row>
    <row r="3820" spans="68:68" x14ac:dyDescent="0.25">
      <c r="BP3820"/>
    </row>
    <row r="3821" spans="68:68" x14ac:dyDescent="0.25">
      <c r="BP3821"/>
    </row>
    <row r="3822" spans="68:68" x14ac:dyDescent="0.25">
      <c r="BP3822"/>
    </row>
    <row r="3823" spans="68:68" x14ac:dyDescent="0.25">
      <c r="BP3823"/>
    </row>
    <row r="3824" spans="68:68" x14ac:dyDescent="0.25">
      <c r="BP3824"/>
    </row>
    <row r="3825" spans="68:68" x14ac:dyDescent="0.25">
      <c r="BP3825"/>
    </row>
    <row r="3826" spans="68:68" x14ac:dyDescent="0.25">
      <c r="BP3826"/>
    </row>
    <row r="3827" spans="68:68" x14ac:dyDescent="0.25">
      <c r="BP3827"/>
    </row>
    <row r="3828" spans="68:68" x14ac:dyDescent="0.25">
      <c r="BP3828"/>
    </row>
    <row r="3829" spans="68:68" x14ac:dyDescent="0.25">
      <c r="BP3829"/>
    </row>
    <row r="3830" spans="68:68" x14ac:dyDescent="0.25">
      <c r="BP3830"/>
    </row>
    <row r="3831" spans="68:68" x14ac:dyDescent="0.25">
      <c r="BP3831"/>
    </row>
    <row r="3832" spans="68:68" x14ac:dyDescent="0.25">
      <c r="BP3832"/>
    </row>
    <row r="3833" spans="68:68" x14ac:dyDescent="0.25">
      <c r="BP3833"/>
    </row>
    <row r="3834" spans="68:68" x14ac:dyDescent="0.25">
      <c r="BP3834"/>
    </row>
    <row r="3835" spans="68:68" x14ac:dyDescent="0.25">
      <c r="BP3835"/>
    </row>
    <row r="3836" spans="68:68" x14ac:dyDescent="0.25">
      <c r="BP3836"/>
    </row>
    <row r="3837" spans="68:68" x14ac:dyDescent="0.25">
      <c r="BP3837"/>
    </row>
    <row r="3838" spans="68:68" x14ac:dyDescent="0.25">
      <c r="BP3838"/>
    </row>
    <row r="3839" spans="68:68" x14ac:dyDescent="0.25">
      <c r="BP3839"/>
    </row>
    <row r="3840" spans="68:68" x14ac:dyDescent="0.25">
      <c r="BP3840"/>
    </row>
    <row r="3841" spans="68:68" x14ac:dyDescent="0.25">
      <c r="BP3841"/>
    </row>
    <row r="3842" spans="68:68" x14ac:dyDescent="0.25">
      <c r="BP3842"/>
    </row>
    <row r="3843" spans="68:68" x14ac:dyDescent="0.25">
      <c r="BP3843"/>
    </row>
    <row r="3844" spans="68:68" x14ac:dyDescent="0.25">
      <c r="BP3844"/>
    </row>
    <row r="3845" spans="68:68" x14ac:dyDescent="0.25">
      <c r="BP3845"/>
    </row>
    <row r="3846" spans="68:68" x14ac:dyDescent="0.25">
      <c r="BP3846"/>
    </row>
    <row r="3847" spans="68:68" x14ac:dyDescent="0.25">
      <c r="BP3847"/>
    </row>
    <row r="3848" spans="68:68" x14ac:dyDescent="0.25">
      <c r="BP3848"/>
    </row>
    <row r="3849" spans="68:68" x14ac:dyDescent="0.25">
      <c r="BP3849"/>
    </row>
    <row r="3850" spans="68:68" x14ac:dyDescent="0.25">
      <c r="BP3850"/>
    </row>
    <row r="3851" spans="68:68" x14ac:dyDescent="0.25">
      <c r="BP3851"/>
    </row>
    <row r="3852" spans="68:68" x14ac:dyDescent="0.25">
      <c r="BP3852"/>
    </row>
    <row r="3853" spans="68:68" x14ac:dyDescent="0.25">
      <c r="BP3853"/>
    </row>
    <row r="3854" spans="68:68" x14ac:dyDescent="0.25">
      <c r="BP3854"/>
    </row>
    <row r="3855" spans="68:68" x14ac:dyDescent="0.25">
      <c r="BP3855"/>
    </row>
    <row r="3856" spans="68:68" x14ac:dyDescent="0.25">
      <c r="BP3856"/>
    </row>
    <row r="3857" spans="68:68" x14ac:dyDescent="0.25">
      <c r="BP3857"/>
    </row>
    <row r="3858" spans="68:68" x14ac:dyDescent="0.25">
      <c r="BP3858"/>
    </row>
    <row r="3859" spans="68:68" x14ac:dyDescent="0.25">
      <c r="BP3859"/>
    </row>
    <row r="3860" spans="68:68" x14ac:dyDescent="0.25">
      <c r="BP3860"/>
    </row>
    <row r="3861" spans="68:68" x14ac:dyDescent="0.25">
      <c r="BP3861"/>
    </row>
    <row r="3862" spans="68:68" x14ac:dyDescent="0.25">
      <c r="BP3862"/>
    </row>
    <row r="3863" spans="68:68" x14ac:dyDescent="0.25">
      <c r="BP3863"/>
    </row>
    <row r="3864" spans="68:68" x14ac:dyDescent="0.25">
      <c r="BP3864"/>
    </row>
    <row r="3865" spans="68:68" x14ac:dyDescent="0.25">
      <c r="BP3865"/>
    </row>
    <row r="3866" spans="68:68" x14ac:dyDescent="0.25">
      <c r="BP3866"/>
    </row>
    <row r="3867" spans="68:68" x14ac:dyDescent="0.25">
      <c r="BP3867"/>
    </row>
    <row r="3868" spans="68:68" x14ac:dyDescent="0.25">
      <c r="BP3868"/>
    </row>
    <row r="3869" spans="68:68" x14ac:dyDescent="0.25">
      <c r="BP3869"/>
    </row>
    <row r="3870" spans="68:68" x14ac:dyDescent="0.25">
      <c r="BP3870"/>
    </row>
    <row r="3871" spans="68:68" x14ac:dyDescent="0.25">
      <c r="BP3871"/>
    </row>
    <row r="3872" spans="68:68" x14ac:dyDescent="0.25">
      <c r="BP3872"/>
    </row>
    <row r="3873" spans="68:68" x14ac:dyDescent="0.25">
      <c r="BP3873"/>
    </row>
    <row r="3874" spans="68:68" x14ac:dyDescent="0.25">
      <c r="BP3874"/>
    </row>
    <row r="3875" spans="68:68" x14ac:dyDescent="0.25">
      <c r="BP3875"/>
    </row>
    <row r="3876" spans="68:68" x14ac:dyDescent="0.25">
      <c r="BP3876"/>
    </row>
    <row r="3877" spans="68:68" x14ac:dyDescent="0.25">
      <c r="BP3877"/>
    </row>
    <row r="3878" spans="68:68" x14ac:dyDescent="0.25">
      <c r="BP3878"/>
    </row>
    <row r="3879" spans="68:68" x14ac:dyDescent="0.25">
      <c r="BP3879"/>
    </row>
    <row r="3880" spans="68:68" x14ac:dyDescent="0.25">
      <c r="BP3880"/>
    </row>
    <row r="3881" spans="68:68" x14ac:dyDescent="0.25">
      <c r="BP3881"/>
    </row>
    <row r="3882" spans="68:68" x14ac:dyDescent="0.25">
      <c r="BP3882"/>
    </row>
    <row r="3883" spans="68:68" x14ac:dyDescent="0.25">
      <c r="BP3883"/>
    </row>
    <row r="3884" spans="68:68" x14ac:dyDescent="0.25">
      <c r="BP3884"/>
    </row>
    <row r="3885" spans="68:68" x14ac:dyDescent="0.25">
      <c r="BP3885"/>
    </row>
    <row r="3886" spans="68:68" x14ac:dyDescent="0.25">
      <c r="BP3886"/>
    </row>
    <row r="3887" spans="68:68" x14ac:dyDescent="0.25">
      <c r="BP3887"/>
    </row>
    <row r="3888" spans="68:68" x14ac:dyDescent="0.25">
      <c r="BP3888"/>
    </row>
    <row r="3889" spans="68:68" x14ac:dyDescent="0.25">
      <c r="BP3889"/>
    </row>
    <row r="3890" spans="68:68" x14ac:dyDescent="0.25">
      <c r="BP3890"/>
    </row>
    <row r="3891" spans="68:68" x14ac:dyDescent="0.25">
      <c r="BP3891"/>
    </row>
    <row r="3892" spans="68:68" x14ac:dyDescent="0.25">
      <c r="BP3892"/>
    </row>
    <row r="3893" spans="68:68" x14ac:dyDescent="0.25">
      <c r="BP3893"/>
    </row>
    <row r="3894" spans="68:68" x14ac:dyDescent="0.25">
      <c r="BP3894"/>
    </row>
    <row r="3895" spans="68:68" x14ac:dyDescent="0.25">
      <c r="BP3895"/>
    </row>
    <row r="3896" spans="68:68" x14ac:dyDescent="0.25">
      <c r="BP3896"/>
    </row>
    <row r="3897" spans="68:68" x14ac:dyDescent="0.25">
      <c r="BP3897"/>
    </row>
    <row r="3898" spans="68:68" x14ac:dyDescent="0.25">
      <c r="BP3898"/>
    </row>
    <row r="3899" spans="68:68" x14ac:dyDescent="0.25">
      <c r="BP3899"/>
    </row>
    <row r="3900" spans="68:68" x14ac:dyDescent="0.25">
      <c r="BP3900"/>
    </row>
    <row r="3901" spans="68:68" x14ac:dyDescent="0.25">
      <c r="BP3901"/>
    </row>
    <row r="3902" spans="68:68" x14ac:dyDescent="0.25">
      <c r="BP3902"/>
    </row>
    <row r="3903" spans="68:68" x14ac:dyDescent="0.25">
      <c r="BP3903"/>
    </row>
    <row r="3904" spans="68:68" x14ac:dyDescent="0.25">
      <c r="BP3904"/>
    </row>
    <row r="3905" spans="68:68" x14ac:dyDescent="0.25">
      <c r="BP3905"/>
    </row>
    <row r="3906" spans="68:68" x14ac:dyDescent="0.25">
      <c r="BP3906"/>
    </row>
    <row r="3907" spans="68:68" x14ac:dyDescent="0.25">
      <c r="BP3907"/>
    </row>
    <row r="3908" spans="68:68" x14ac:dyDescent="0.25">
      <c r="BP3908"/>
    </row>
    <row r="3909" spans="68:68" x14ac:dyDescent="0.25">
      <c r="BP3909"/>
    </row>
    <row r="3910" spans="68:68" x14ac:dyDescent="0.25">
      <c r="BP3910"/>
    </row>
    <row r="3911" spans="68:68" x14ac:dyDescent="0.25">
      <c r="BP3911"/>
    </row>
    <row r="3912" spans="68:68" x14ac:dyDescent="0.25">
      <c r="BP3912"/>
    </row>
    <row r="3913" spans="68:68" x14ac:dyDescent="0.25">
      <c r="BP3913"/>
    </row>
    <row r="3914" spans="68:68" x14ac:dyDescent="0.25">
      <c r="BP3914"/>
    </row>
    <row r="3915" spans="68:68" x14ac:dyDescent="0.25">
      <c r="BP3915"/>
    </row>
    <row r="3916" spans="68:68" x14ac:dyDescent="0.25">
      <c r="BP3916"/>
    </row>
    <row r="3917" spans="68:68" x14ac:dyDescent="0.25">
      <c r="BP3917"/>
    </row>
    <row r="3918" spans="68:68" x14ac:dyDescent="0.25">
      <c r="BP3918"/>
    </row>
    <row r="3919" spans="68:68" x14ac:dyDescent="0.25">
      <c r="BP3919"/>
    </row>
    <row r="3920" spans="68:68" x14ac:dyDescent="0.25">
      <c r="BP3920"/>
    </row>
    <row r="3921" spans="68:68" x14ac:dyDescent="0.25">
      <c r="BP3921"/>
    </row>
    <row r="3922" spans="68:68" x14ac:dyDescent="0.25">
      <c r="BP3922"/>
    </row>
    <row r="3923" spans="68:68" x14ac:dyDescent="0.25">
      <c r="BP3923"/>
    </row>
    <row r="3924" spans="68:68" x14ac:dyDescent="0.25">
      <c r="BP3924"/>
    </row>
    <row r="3925" spans="68:68" x14ac:dyDescent="0.25">
      <c r="BP3925"/>
    </row>
    <row r="3926" spans="68:68" x14ac:dyDescent="0.25">
      <c r="BP3926"/>
    </row>
    <row r="3927" spans="68:68" x14ac:dyDescent="0.25">
      <c r="BP3927"/>
    </row>
    <row r="3928" spans="68:68" x14ac:dyDescent="0.25">
      <c r="BP3928"/>
    </row>
    <row r="3929" spans="68:68" x14ac:dyDescent="0.25">
      <c r="BP3929"/>
    </row>
    <row r="3930" spans="68:68" x14ac:dyDescent="0.25">
      <c r="BP3930"/>
    </row>
    <row r="3931" spans="68:68" x14ac:dyDescent="0.25">
      <c r="BP3931"/>
    </row>
    <row r="3932" spans="68:68" x14ac:dyDescent="0.25">
      <c r="BP3932"/>
    </row>
    <row r="3933" spans="68:68" x14ac:dyDescent="0.25">
      <c r="BP3933"/>
    </row>
    <row r="3934" spans="68:68" x14ac:dyDescent="0.25">
      <c r="BP3934"/>
    </row>
    <row r="3935" spans="68:68" x14ac:dyDescent="0.25">
      <c r="BP3935"/>
    </row>
    <row r="3936" spans="68:68" x14ac:dyDescent="0.25">
      <c r="BP3936"/>
    </row>
    <row r="3937" spans="68:68" x14ac:dyDescent="0.25">
      <c r="BP3937"/>
    </row>
    <row r="3938" spans="68:68" x14ac:dyDescent="0.25">
      <c r="BP3938"/>
    </row>
    <row r="3939" spans="68:68" x14ac:dyDescent="0.25">
      <c r="BP3939"/>
    </row>
    <row r="3940" spans="68:68" x14ac:dyDescent="0.25">
      <c r="BP3940"/>
    </row>
    <row r="3941" spans="68:68" x14ac:dyDescent="0.25">
      <c r="BP3941"/>
    </row>
    <row r="3942" spans="68:68" x14ac:dyDescent="0.25">
      <c r="BP3942"/>
    </row>
    <row r="3943" spans="68:68" x14ac:dyDescent="0.25">
      <c r="BP3943"/>
    </row>
    <row r="3944" spans="68:68" x14ac:dyDescent="0.25">
      <c r="BP3944"/>
    </row>
    <row r="3945" spans="68:68" x14ac:dyDescent="0.25">
      <c r="BP3945"/>
    </row>
    <row r="3946" spans="68:68" x14ac:dyDescent="0.25">
      <c r="BP3946"/>
    </row>
    <row r="3947" spans="68:68" x14ac:dyDescent="0.25">
      <c r="BP3947"/>
    </row>
    <row r="3948" spans="68:68" x14ac:dyDescent="0.25">
      <c r="BP3948"/>
    </row>
    <row r="3949" spans="68:68" x14ac:dyDescent="0.25">
      <c r="BP3949"/>
    </row>
    <row r="3950" spans="68:68" x14ac:dyDescent="0.25">
      <c r="BP3950"/>
    </row>
    <row r="3951" spans="68:68" x14ac:dyDescent="0.25">
      <c r="BP3951"/>
    </row>
    <row r="3952" spans="68:68" x14ac:dyDescent="0.25">
      <c r="BP3952"/>
    </row>
    <row r="3953" spans="68:68" x14ac:dyDescent="0.25">
      <c r="BP3953"/>
    </row>
    <row r="3954" spans="68:68" x14ac:dyDescent="0.25">
      <c r="BP3954"/>
    </row>
    <row r="3955" spans="68:68" x14ac:dyDescent="0.25">
      <c r="BP3955"/>
    </row>
    <row r="3956" spans="68:68" x14ac:dyDescent="0.25">
      <c r="BP3956"/>
    </row>
    <row r="3957" spans="68:68" x14ac:dyDescent="0.25">
      <c r="BP3957"/>
    </row>
    <row r="3958" spans="68:68" x14ac:dyDescent="0.25">
      <c r="BP3958"/>
    </row>
    <row r="3959" spans="68:68" x14ac:dyDescent="0.25">
      <c r="BP3959"/>
    </row>
    <row r="3960" spans="68:68" x14ac:dyDescent="0.25">
      <c r="BP3960"/>
    </row>
    <row r="3961" spans="68:68" x14ac:dyDescent="0.25">
      <c r="BP3961"/>
    </row>
    <row r="3962" spans="68:68" x14ac:dyDescent="0.25">
      <c r="BP3962"/>
    </row>
    <row r="3963" spans="68:68" x14ac:dyDescent="0.25">
      <c r="BP3963"/>
    </row>
    <row r="3964" spans="68:68" x14ac:dyDescent="0.25">
      <c r="BP3964"/>
    </row>
    <row r="3965" spans="68:68" x14ac:dyDescent="0.25">
      <c r="BP3965"/>
    </row>
    <row r="3966" spans="68:68" x14ac:dyDescent="0.25">
      <c r="BP3966"/>
    </row>
    <row r="3967" spans="68:68" x14ac:dyDescent="0.25">
      <c r="BP3967"/>
    </row>
    <row r="3968" spans="68:68" x14ac:dyDescent="0.25">
      <c r="BP3968"/>
    </row>
    <row r="3969" spans="68:68" x14ac:dyDescent="0.25">
      <c r="BP3969"/>
    </row>
    <row r="3970" spans="68:68" x14ac:dyDescent="0.25">
      <c r="BP3970"/>
    </row>
    <row r="3971" spans="68:68" x14ac:dyDescent="0.25">
      <c r="BP3971"/>
    </row>
    <row r="3972" spans="68:68" x14ac:dyDescent="0.25">
      <c r="BP3972"/>
    </row>
    <row r="3973" spans="68:68" x14ac:dyDescent="0.25">
      <c r="BP3973"/>
    </row>
    <row r="3974" spans="68:68" x14ac:dyDescent="0.25">
      <c r="BP3974"/>
    </row>
    <row r="3975" spans="68:68" x14ac:dyDescent="0.25">
      <c r="BP3975"/>
    </row>
    <row r="3976" spans="68:68" x14ac:dyDescent="0.25">
      <c r="BP3976"/>
    </row>
    <row r="3977" spans="68:68" x14ac:dyDescent="0.25">
      <c r="BP3977"/>
    </row>
    <row r="3978" spans="68:68" x14ac:dyDescent="0.25">
      <c r="BP3978"/>
    </row>
    <row r="3979" spans="68:68" x14ac:dyDescent="0.25">
      <c r="BP3979"/>
    </row>
    <row r="3980" spans="68:68" x14ac:dyDescent="0.25">
      <c r="BP3980"/>
    </row>
    <row r="3981" spans="68:68" x14ac:dyDescent="0.25">
      <c r="BP3981"/>
    </row>
    <row r="3982" spans="68:68" x14ac:dyDescent="0.25">
      <c r="BP3982"/>
    </row>
    <row r="3983" spans="68:68" x14ac:dyDescent="0.25">
      <c r="BP3983"/>
    </row>
    <row r="3984" spans="68:68" x14ac:dyDescent="0.25">
      <c r="BP3984"/>
    </row>
    <row r="3985" spans="68:68" x14ac:dyDescent="0.25">
      <c r="BP3985"/>
    </row>
    <row r="3986" spans="68:68" x14ac:dyDescent="0.25">
      <c r="BP3986"/>
    </row>
    <row r="3987" spans="68:68" x14ac:dyDescent="0.25">
      <c r="BP3987"/>
    </row>
    <row r="3988" spans="68:68" x14ac:dyDescent="0.25">
      <c r="BP3988"/>
    </row>
    <row r="3989" spans="68:68" x14ac:dyDescent="0.25">
      <c r="BP3989"/>
    </row>
    <row r="3990" spans="68:68" x14ac:dyDescent="0.25">
      <c r="BP3990"/>
    </row>
    <row r="3991" spans="68:68" x14ac:dyDescent="0.25">
      <c r="BP3991"/>
    </row>
    <row r="3992" spans="68:68" x14ac:dyDescent="0.25">
      <c r="BP3992"/>
    </row>
    <row r="3993" spans="68:68" x14ac:dyDescent="0.25">
      <c r="BP3993"/>
    </row>
    <row r="3994" spans="68:68" x14ac:dyDescent="0.25">
      <c r="BP3994"/>
    </row>
    <row r="3995" spans="68:68" x14ac:dyDescent="0.25">
      <c r="BP3995"/>
    </row>
    <row r="3996" spans="68:68" x14ac:dyDescent="0.25">
      <c r="BP3996"/>
    </row>
    <row r="3997" spans="68:68" x14ac:dyDescent="0.25">
      <c r="BP3997"/>
    </row>
    <row r="3998" spans="68:68" x14ac:dyDescent="0.25">
      <c r="BP3998"/>
    </row>
    <row r="3999" spans="68:68" x14ac:dyDescent="0.25">
      <c r="BP3999"/>
    </row>
    <row r="4000" spans="68:68" x14ac:dyDescent="0.25">
      <c r="BP4000"/>
    </row>
    <row r="4001" spans="68:68" x14ac:dyDescent="0.25">
      <c r="BP4001"/>
    </row>
    <row r="4002" spans="68:68" x14ac:dyDescent="0.25">
      <c r="BP4002"/>
    </row>
    <row r="4003" spans="68:68" x14ac:dyDescent="0.25">
      <c r="BP4003"/>
    </row>
    <row r="4004" spans="68:68" x14ac:dyDescent="0.25">
      <c r="BP4004"/>
    </row>
    <row r="4005" spans="68:68" x14ac:dyDescent="0.25">
      <c r="BP4005"/>
    </row>
    <row r="4006" spans="68:68" x14ac:dyDescent="0.25">
      <c r="BP4006"/>
    </row>
    <row r="4007" spans="68:68" x14ac:dyDescent="0.25">
      <c r="BP4007"/>
    </row>
    <row r="4008" spans="68:68" x14ac:dyDescent="0.25">
      <c r="BP4008"/>
    </row>
    <row r="4009" spans="68:68" x14ac:dyDescent="0.25">
      <c r="BP4009"/>
    </row>
    <row r="4010" spans="68:68" x14ac:dyDescent="0.25">
      <c r="BP4010"/>
    </row>
    <row r="4011" spans="68:68" x14ac:dyDescent="0.25">
      <c r="BP4011"/>
    </row>
    <row r="4012" spans="68:68" x14ac:dyDescent="0.25">
      <c r="BP4012"/>
    </row>
    <row r="4013" spans="68:68" x14ac:dyDescent="0.25">
      <c r="BP4013"/>
    </row>
    <row r="4014" spans="68:68" x14ac:dyDescent="0.25">
      <c r="BP4014"/>
    </row>
    <row r="4015" spans="68:68" x14ac:dyDescent="0.25">
      <c r="BP4015"/>
    </row>
    <row r="4016" spans="68:68" x14ac:dyDescent="0.25">
      <c r="BP4016"/>
    </row>
    <row r="4017" spans="68:68" x14ac:dyDescent="0.25">
      <c r="BP4017"/>
    </row>
    <row r="4018" spans="68:68" x14ac:dyDescent="0.25">
      <c r="BP4018"/>
    </row>
    <row r="4019" spans="68:68" x14ac:dyDescent="0.25">
      <c r="BP4019"/>
    </row>
    <row r="4020" spans="68:68" x14ac:dyDescent="0.25">
      <c r="BP4020"/>
    </row>
    <row r="4021" spans="68:68" x14ac:dyDescent="0.25">
      <c r="BP4021"/>
    </row>
    <row r="4022" spans="68:68" x14ac:dyDescent="0.25">
      <c r="BP4022"/>
    </row>
    <row r="4023" spans="68:68" x14ac:dyDescent="0.25">
      <c r="BP4023"/>
    </row>
    <row r="4024" spans="68:68" x14ac:dyDescent="0.25">
      <c r="BP4024"/>
    </row>
    <row r="4025" spans="68:68" x14ac:dyDescent="0.25">
      <c r="BP4025"/>
    </row>
    <row r="4026" spans="68:68" x14ac:dyDescent="0.25">
      <c r="BP4026"/>
    </row>
    <row r="4027" spans="68:68" x14ac:dyDescent="0.25">
      <c r="BP4027"/>
    </row>
    <row r="4028" spans="68:68" x14ac:dyDescent="0.25">
      <c r="BP4028"/>
    </row>
    <row r="4029" spans="68:68" x14ac:dyDescent="0.25">
      <c r="BP4029"/>
    </row>
    <row r="4030" spans="68:68" x14ac:dyDescent="0.25">
      <c r="BP4030"/>
    </row>
    <row r="4031" spans="68:68" x14ac:dyDescent="0.25">
      <c r="BP4031"/>
    </row>
    <row r="4032" spans="68:68" x14ac:dyDescent="0.25">
      <c r="BP4032"/>
    </row>
    <row r="4033" spans="68:68" x14ac:dyDescent="0.25">
      <c r="BP4033"/>
    </row>
    <row r="4034" spans="68:68" x14ac:dyDescent="0.25">
      <c r="BP4034"/>
    </row>
    <row r="4035" spans="68:68" x14ac:dyDescent="0.25">
      <c r="BP4035"/>
    </row>
    <row r="4036" spans="68:68" x14ac:dyDescent="0.25">
      <c r="BP4036"/>
    </row>
    <row r="4037" spans="68:68" x14ac:dyDescent="0.25">
      <c r="BP4037"/>
    </row>
    <row r="4038" spans="68:68" x14ac:dyDescent="0.25">
      <c r="BP4038"/>
    </row>
    <row r="4039" spans="68:68" x14ac:dyDescent="0.25">
      <c r="BP4039"/>
    </row>
    <row r="4040" spans="68:68" x14ac:dyDescent="0.25">
      <c r="BP4040"/>
    </row>
    <row r="4041" spans="68:68" x14ac:dyDescent="0.25">
      <c r="BP4041"/>
    </row>
    <row r="4042" spans="68:68" x14ac:dyDescent="0.25">
      <c r="BP4042"/>
    </row>
    <row r="4043" spans="68:68" x14ac:dyDescent="0.25">
      <c r="BP4043"/>
    </row>
    <row r="4044" spans="68:68" x14ac:dyDescent="0.25">
      <c r="BP4044"/>
    </row>
    <row r="4045" spans="68:68" x14ac:dyDescent="0.25">
      <c r="BP4045"/>
    </row>
    <row r="4046" spans="68:68" x14ac:dyDescent="0.25">
      <c r="BP4046"/>
    </row>
    <row r="4047" spans="68:68" x14ac:dyDescent="0.25">
      <c r="BP4047"/>
    </row>
    <row r="4048" spans="68:68" x14ac:dyDescent="0.25">
      <c r="BP4048"/>
    </row>
    <row r="4049" spans="68:68" x14ac:dyDescent="0.25">
      <c r="BP4049"/>
    </row>
    <row r="4050" spans="68:68" x14ac:dyDescent="0.25">
      <c r="BP4050"/>
    </row>
    <row r="4051" spans="68:68" x14ac:dyDescent="0.25">
      <c r="BP4051"/>
    </row>
    <row r="4052" spans="68:68" x14ac:dyDescent="0.25">
      <c r="BP4052"/>
    </row>
    <row r="4053" spans="68:68" x14ac:dyDescent="0.25">
      <c r="BP4053"/>
    </row>
    <row r="4054" spans="68:68" x14ac:dyDescent="0.25">
      <c r="BP4054"/>
    </row>
    <row r="4055" spans="68:68" x14ac:dyDescent="0.25">
      <c r="BP4055"/>
    </row>
    <row r="4056" spans="68:68" x14ac:dyDescent="0.25">
      <c r="BP4056"/>
    </row>
    <row r="4057" spans="68:68" x14ac:dyDescent="0.25">
      <c r="BP4057"/>
    </row>
    <row r="4058" spans="68:68" x14ac:dyDescent="0.25">
      <c r="BP4058"/>
    </row>
    <row r="4059" spans="68:68" x14ac:dyDescent="0.25">
      <c r="BP4059"/>
    </row>
    <row r="4060" spans="68:68" x14ac:dyDescent="0.25">
      <c r="BP4060"/>
    </row>
    <row r="4061" spans="68:68" x14ac:dyDescent="0.25">
      <c r="BP4061"/>
    </row>
    <row r="4062" spans="68:68" x14ac:dyDescent="0.25">
      <c r="BP4062"/>
    </row>
    <row r="4063" spans="68:68" x14ac:dyDescent="0.25">
      <c r="BP4063"/>
    </row>
    <row r="4064" spans="68:68" x14ac:dyDescent="0.25">
      <c r="BP4064"/>
    </row>
    <row r="4065" spans="68:68" x14ac:dyDescent="0.25">
      <c r="BP4065"/>
    </row>
    <row r="4066" spans="68:68" x14ac:dyDescent="0.25">
      <c r="BP4066"/>
    </row>
    <row r="4067" spans="68:68" x14ac:dyDescent="0.25">
      <c r="BP4067"/>
    </row>
    <row r="4068" spans="68:68" x14ac:dyDescent="0.25">
      <c r="BP4068"/>
    </row>
    <row r="4069" spans="68:68" x14ac:dyDescent="0.25">
      <c r="BP4069"/>
    </row>
    <row r="4070" spans="68:68" x14ac:dyDescent="0.25">
      <c r="BP4070"/>
    </row>
    <row r="4071" spans="68:68" x14ac:dyDescent="0.25">
      <c r="BP4071"/>
    </row>
    <row r="4072" spans="68:68" x14ac:dyDescent="0.25">
      <c r="BP4072"/>
    </row>
    <row r="4073" spans="68:68" x14ac:dyDescent="0.25">
      <c r="BP4073"/>
    </row>
    <row r="4074" spans="68:68" x14ac:dyDescent="0.25">
      <c r="BP4074"/>
    </row>
    <row r="4075" spans="68:68" x14ac:dyDescent="0.25">
      <c r="BP4075"/>
    </row>
    <row r="4076" spans="68:68" x14ac:dyDescent="0.25">
      <c r="BP4076"/>
    </row>
    <row r="4077" spans="68:68" x14ac:dyDescent="0.25">
      <c r="BP4077"/>
    </row>
    <row r="4078" spans="68:68" x14ac:dyDescent="0.25">
      <c r="BP4078"/>
    </row>
    <row r="4079" spans="68:68" x14ac:dyDescent="0.25">
      <c r="BP4079"/>
    </row>
    <row r="4080" spans="68:68" x14ac:dyDescent="0.25">
      <c r="BP4080"/>
    </row>
    <row r="4081" spans="68:68" x14ac:dyDescent="0.25">
      <c r="BP4081"/>
    </row>
    <row r="4082" spans="68:68" x14ac:dyDescent="0.25">
      <c r="BP4082"/>
    </row>
    <row r="4083" spans="68:68" x14ac:dyDescent="0.25">
      <c r="BP4083"/>
    </row>
    <row r="4084" spans="68:68" x14ac:dyDescent="0.25">
      <c r="BP4084"/>
    </row>
    <row r="4085" spans="68:68" x14ac:dyDescent="0.25">
      <c r="BP4085"/>
    </row>
    <row r="4086" spans="68:68" x14ac:dyDescent="0.25">
      <c r="BP4086"/>
    </row>
    <row r="4087" spans="68:68" x14ac:dyDescent="0.25">
      <c r="BP4087"/>
    </row>
    <row r="4088" spans="68:68" x14ac:dyDescent="0.25">
      <c r="BP4088"/>
    </row>
    <row r="4089" spans="68:68" x14ac:dyDescent="0.25">
      <c r="BP4089"/>
    </row>
    <row r="4090" spans="68:68" x14ac:dyDescent="0.25">
      <c r="BP4090"/>
    </row>
    <row r="4091" spans="68:68" x14ac:dyDescent="0.25">
      <c r="BP4091"/>
    </row>
    <row r="4092" spans="68:68" x14ac:dyDescent="0.25">
      <c r="BP4092"/>
    </row>
    <row r="4093" spans="68:68" x14ac:dyDescent="0.25">
      <c r="BP4093"/>
    </row>
    <row r="4094" spans="68:68" x14ac:dyDescent="0.25">
      <c r="BP4094"/>
    </row>
    <row r="4095" spans="68:68" x14ac:dyDescent="0.25">
      <c r="BP4095"/>
    </row>
    <row r="4096" spans="68:68" x14ac:dyDescent="0.25">
      <c r="BP4096"/>
    </row>
    <row r="4097" spans="68:68" x14ac:dyDescent="0.25">
      <c r="BP4097"/>
    </row>
    <row r="4098" spans="68:68" x14ac:dyDescent="0.25">
      <c r="BP4098"/>
    </row>
    <row r="4099" spans="68:68" x14ac:dyDescent="0.25">
      <c r="BP4099"/>
    </row>
    <row r="4100" spans="68:68" x14ac:dyDescent="0.25">
      <c r="BP4100"/>
    </row>
    <row r="4101" spans="68:68" x14ac:dyDescent="0.25">
      <c r="BP4101"/>
    </row>
    <row r="4102" spans="68:68" x14ac:dyDescent="0.25">
      <c r="BP4102"/>
    </row>
    <row r="4103" spans="68:68" x14ac:dyDescent="0.25">
      <c r="BP4103"/>
    </row>
    <row r="4104" spans="68:68" x14ac:dyDescent="0.25">
      <c r="BP4104"/>
    </row>
    <row r="4105" spans="68:68" x14ac:dyDescent="0.25">
      <c r="BP4105"/>
    </row>
    <row r="4106" spans="68:68" x14ac:dyDescent="0.25">
      <c r="BP4106"/>
    </row>
    <row r="4107" spans="68:68" x14ac:dyDescent="0.25">
      <c r="BP4107"/>
    </row>
    <row r="4108" spans="68:68" x14ac:dyDescent="0.25">
      <c r="BP4108"/>
    </row>
    <row r="4109" spans="68:68" x14ac:dyDescent="0.25">
      <c r="BP4109"/>
    </row>
    <row r="4110" spans="68:68" x14ac:dyDescent="0.25">
      <c r="BP4110"/>
    </row>
    <row r="4111" spans="68:68" x14ac:dyDescent="0.25">
      <c r="BP4111"/>
    </row>
    <row r="4112" spans="68:68" x14ac:dyDescent="0.25">
      <c r="BP4112"/>
    </row>
    <row r="4113" spans="68:68" x14ac:dyDescent="0.25">
      <c r="BP4113"/>
    </row>
    <row r="4114" spans="68:68" x14ac:dyDescent="0.25">
      <c r="BP4114"/>
    </row>
    <row r="4115" spans="68:68" x14ac:dyDescent="0.25">
      <c r="BP4115"/>
    </row>
    <row r="4116" spans="68:68" x14ac:dyDescent="0.25">
      <c r="BP4116"/>
    </row>
    <row r="4117" spans="68:68" x14ac:dyDescent="0.25">
      <c r="BP4117"/>
    </row>
    <row r="4118" spans="68:68" x14ac:dyDescent="0.25">
      <c r="BP4118"/>
    </row>
    <row r="4119" spans="68:68" x14ac:dyDescent="0.25">
      <c r="BP4119"/>
    </row>
    <row r="4120" spans="68:68" x14ac:dyDescent="0.25">
      <c r="BP4120"/>
    </row>
    <row r="4121" spans="68:68" x14ac:dyDescent="0.25">
      <c r="BP4121"/>
    </row>
    <row r="4122" spans="68:68" x14ac:dyDescent="0.25">
      <c r="BP4122"/>
    </row>
    <row r="4123" spans="68:68" x14ac:dyDescent="0.25">
      <c r="BP4123"/>
    </row>
    <row r="4124" spans="68:68" x14ac:dyDescent="0.25">
      <c r="BP4124"/>
    </row>
    <row r="4125" spans="68:68" x14ac:dyDescent="0.25">
      <c r="BP4125"/>
    </row>
    <row r="4126" spans="68:68" x14ac:dyDescent="0.25">
      <c r="BP4126"/>
    </row>
    <row r="4127" spans="68:68" x14ac:dyDescent="0.25">
      <c r="BP4127"/>
    </row>
    <row r="4128" spans="68:68" x14ac:dyDescent="0.25">
      <c r="BP4128"/>
    </row>
    <row r="4129" spans="68:68" x14ac:dyDescent="0.25">
      <c r="BP4129"/>
    </row>
    <row r="4130" spans="68:68" x14ac:dyDescent="0.25">
      <c r="BP4130"/>
    </row>
    <row r="4131" spans="68:68" x14ac:dyDescent="0.25">
      <c r="BP4131"/>
    </row>
    <row r="4132" spans="68:68" x14ac:dyDescent="0.25">
      <c r="BP4132"/>
    </row>
    <row r="4133" spans="68:68" x14ac:dyDescent="0.25">
      <c r="BP4133"/>
    </row>
    <row r="4134" spans="68:68" x14ac:dyDescent="0.25">
      <c r="BP4134"/>
    </row>
    <row r="4135" spans="68:68" x14ac:dyDescent="0.25">
      <c r="BP4135"/>
    </row>
    <row r="4136" spans="68:68" x14ac:dyDescent="0.25">
      <c r="BP4136"/>
    </row>
    <row r="4137" spans="68:68" x14ac:dyDescent="0.25">
      <c r="BP4137"/>
    </row>
    <row r="4138" spans="68:68" x14ac:dyDescent="0.25">
      <c r="BP4138"/>
    </row>
    <row r="4139" spans="68:68" x14ac:dyDescent="0.25">
      <c r="BP4139"/>
    </row>
    <row r="4140" spans="68:68" x14ac:dyDescent="0.25">
      <c r="BP4140"/>
    </row>
    <row r="4141" spans="68:68" x14ac:dyDescent="0.25">
      <c r="BP4141"/>
    </row>
    <row r="4142" spans="68:68" x14ac:dyDescent="0.25">
      <c r="BP4142"/>
    </row>
    <row r="4143" spans="68:68" x14ac:dyDescent="0.25">
      <c r="BP4143"/>
    </row>
    <row r="4144" spans="68:68" x14ac:dyDescent="0.25">
      <c r="BP4144"/>
    </row>
    <row r="4145" spans="68:68" x14ac:dyDescent="0.25">
      <c r="BP4145"/>
    </row>
    <row r="4146" spans="68:68" x14ac:dyDescent="0.25">
      <c r="BP4146"/>
    </row>
    <row r="4147" spans="68:68" x14ac:dyDescent="0.25">
      <c r="BP4147"/>
    </row>
    <row r="4148" spans="68:68" x14ac:dyDescent="0.25">
      <c r="BP4148"/>
    </row>
    <row r="4149" spans="68:68" x14ac:dyDescent="0.25">
      <c r="BP4149"/>
    </row>
    <row r="4150" spans="68:68" x14ac:dyDescent="0.25">
      <c r="BP4150"/>
    </row>
    <row r="4151" spans="68:68" x14ac:dyDescent="0.25">
      <c r="BP4151"/>
    </row>
    <row r="4152" spans="68:68" x14ac:dyDescent="0.25">
      <c r="BP4152"/>
    </row>
    <row r="4153" spans="68:68" x14ac:dyDescent="0.25">
      <c r="BP4153"/>
    </row>
    <row r="4154" spans="68:68" x14ac:dyDescent="0.25">
      <c r="BP4154"/>
    </row>
    <row r="4155" spans="68:68" x14ac:dyDescent="0.25">
      <c r="BP4155"/>
    </row>
    <row r="4156" spans="68:68" x14ac:dyDescent="0.25">
      <c r="BP4156"/>
    </row>
    <row r="4157" spans="68:68" x14ac:dyDescent="0.25">
      <c r="BP4157"/>
    </row>
    <row r="4158" spans="68:68" x14ac:dyDescent="0.25">
      <c r="BP4158"/>
    </row>
    <row r="4159" spans="68:68" x14ac:dyDescent="0.25">
      <c r="BP4159"/>
    </row>
    <row r="4160" spans="68:68" x14ac:dyDescent="0.25">
      <c r="BP4160"/>
    </row>
    <row r="4161" spans="68:68" x14ac:dyDescent="0.25">
      <c r="BP4161"/>
    </row>
    <row r="4162" spans="68:68" x14ac:dyDescent="0.25">
      <c r="BP4162"/>
    </row>
    <row r="4163" spans="68:68" x14ac:dyDescent="0.25">
      <c r="BP4163"/>
    </row>
    <row r="4164" spans="68:68" x14ac:dyDescent="0.25">
      <c r="BP4164"/>
    </row>
    <row r="4165" spans="68:68" x14ac:dyDescent="0.25">
      <c r="BP4165"/>
    </row>
    <row r="4166" spans="68:68" x14ac:dyDescent="0.25">
      <c r="BP4166"/>
    </row>
    <row r="4167" spans="68:68" x14ac:dyDescent="0.25">
      <c r="BP4167"/>
    </row>
    <row r="4168" spans="68:68" x14ac:dyDescent="0.25">
      <c r="BP4168"/>
    </row>
    <row r="4169" spans="68:68" x14ac:dyDescent="0.25">
      <c r="BP4169"/>
    </row>
    <row r="4170" spans="68:68" x14ac:dyDescent="0.25">
      <c r="BP4170"/>
    </row>
    <row r="4171" spans="68:68" x14ac:dyDescent="0.25">
      <c r="BP4171"/>
    </row>
    <row r="4172" spans="68:68" x14ac:dyDescent="0.25">
      <c r="BP4172"/>
    </row>
    <row r="4173" spans="68:68" x14ac:dyDescent="0.25">
      <c r="BP4173"/>
    </row>
    <row r="4174" spans="68:68" x14ac:dyDescent="0.25">
      <c r="BP4174"/>
    </row>
    <row r="4175" spans="68:68" x14ac:dyDescent="0.25">
      <c r="BP4175"/>
    </row>
    <row r="4176" spans="68:68" x14ac:dyDescent="0.25">
      <c r="BP4176"/>
    </row>
    <row r="4177" spans="68:68" x14ac:dyDescent="0.25">
      <c r="BP4177"/>
    </row>
    <row r="4178" spans="68:68" x14ac:dyDescent="0.25">
      <c r="BP4178"/>
    </row>
    <row r="4179" spans="68:68" x14ac:dyDescent="0.25">
      <c r="BP4179"/>
    </row>
    <row r="4180" spans="68:68" x14ac:dyDescent="0.25">
      <c r="BP4180"/>
    </row>
    <row r="4181" spans="68:68" x14ac:dyDescent="0.25">
      <c r="BP4181"/>
    </row>
    <row r="4182" spans="68:68" x14ac:dyDescent="0.25">
      <c r="BP4182"/>
    </row>
    <row r="4183" spans="68:68" x14ac:dyDescent="0.25">
      <c r="BP4183"/>
    </row>
    <row r="4184" spans="68:68" x14ac:dyDescent="0.25">
      <c r="BP4184"/>
    </row>
    <row r="4185" spans="68:68" x14ac:dyDescent="0.25">
      <c r="BP4185"/>
    </row>
    <row r="4186" spans="68:68" x14ac:dyDescent="0.25">
      <c r="BP4186"/>
    </row>
    <row r="4187" spans="68:68" x14ac:dyDescent="0.25">
      <c r="BP4187"/>
    </row>
    <row r="4188" spans="68:68" x14ac:dyDescent="0.25">
      <c r="BP4188"/>
    </row>
    <row r="4189" spans="68:68" x14ac:dyDescent="0.25">
      <c r="BP4189"/>
    </row>
    <row r="4190" spans="68:68" x14ac:dyDescent="0.25">
      <c r="BP4190"/>
    </row>
    <row r="4191" spans="68:68" x14ac:dyDescent="0.25">
      <c r="BP4191"/>
    </row>
    <row r="4192" spans="68:68" x14ac:dyDescent="0.25">
      <c r="BP4192"/>
    </row>
    <row r="4193" spans="68:68" x14ac:dyDescent="0.25">
      <c r="BP4193"/>
    </row>
    <row r="4194" spans="68:68" x14ac:dyDescent="0.25">
      <c r="BP4194"/>
    </row>
    <row r="4195" spans="68:68" x14ac:dyDescent="0.25">
      <c r="BP4195"/>
    </row>
    <row r="4196" spans="68:68" x14ac:dyDescent="0.25">
      <c r="BP4196"/>
    </row>
    <row r="4197" spans="68:68" x14ac:dyDescent="0.25">
      <c r="BP4197"/>
    </row>
    <row r="4198" spans="68:68" x14ac:dyDescent="0.25">
      <c r="BP4198"/>
    </row>
    <row r="4199" spans="68:68" x14ac:dyDescent="0.25">
      <c r="BP4199"/>
    </row>
    <row r="4200" spans="68:68" x14ac:dyDescent="0.25">
      <c r="BP4200"/>
    </row>
    <row r="4201" spans="68:68" x14ac:dyDescent="0.25">
      <c r="BP4201"/>
    </row>
    <row r="4202" spans="68:68" x14ac:dyDescent="0.25">
      <c r="BP4202"/>
    </row>
    <row r="4203" spans="68:68" x14ac:dyDescent="0.25">
      <c r="BP4203"/>
    </row>
    <row r="4204" spans="68:68" x14ac:dyDescent="0.25">
      <c r="BP4204"/>
    </row>
    <row r="4205" spans="68:68" x14ac:dyDescent="0.25">
      <c r="BP4205"/>
    </row>
    <row r="4206" spans="68:68" x14ac:dyDescent="0.25">
      <c r="BP4206"/>
    </row>
    <row r="4207" spans="68:68" x14ac:dyDescent="0.25">
      <c r="BP4207"/>
    </row>
    <row r="4208" spans="68:68" x14ac:dyDescent="0.25">
      <c r="BP4208"/>
    </row>
    <row r="4209" spans="68:68" x14ac:dyDescent="0.25">
      <c r="BP4209"/>
    </row>
    <row r="4210" spans="68:68" x14ac:dyDescent="0.25">
      <c r="BP4210"/>
    </row>
    <row r="4211" spans="68:68" x14ac:dyDescent="0.25">
      <c r="BP4211"/>
    </row>
    <row r="4212" spans="68:68" x14ac:dyDescent="0.25">
      <c r="BP4212"/>
    </row>
    <row r="4213" spans="68:68" x14ac:dyDescent="0.25">
      <c r="BP4213"/>
    </row>
    <row r="4214" spans="68:68" x14ac:dyDescent="0.25">
      <c r="BP4214"/>
    </row>
    <row r="4215" spans="68:68" x14ac:dyDescent="0.25">
      <c r="BP4215"/>
    </row>
    <row r="4216" spans="68:68" x14ac:dyDescent="0.25">
      <c r="BP4216"/>
    </row>
    <row r="4217" spans="68:68" x14ac:dyDescent="0.25">
      <c r="BP4217"/>
    </row>
    <row r="4218" spans="68:68" x14ac:dyDescent="0.25">
      <c r="BP4218"/>
    </row>
    <row r="4219" spans="68:68" x14ac:dyDescent="0.25">
      <c r="BP4219"/>
    </row>
    <row r="4220" spans="68:68" x14ac:dyDescent="0.25">
      <c r="BP4220"/>
    </row>
    <row r="4221" spans="68:68" x14ac:dyDescent="0.25">
      <c r="BP4221"/>
    </row>
    <row r="4222" spans="68:68" x14ac:dyDescent="0.25">
      <c r="BP4222"/>
    </row>
    <row r="4223" spans="68:68" x14ac:dyDescent="0.25">
      <c r="BP4223"/>
    </row>
    <row r="4224" spans="68:68" x14ac:dyDescent="0.25">
      <c r="BP4224"/>
    </row>
    <row r="4225" spans="68:68" x14ac:dyDescent="0.25">
      <c r="BP4225"/>
    </row>
    <row r="4226" spans="68:68" x14ac:dyDescent="0.25">
      <c r="BP4226"/>
    </row>
    <row r="4227" spans="68:68" x14ac:dyDescent="0.25">
      <c r="BP4227"/>
    </row>
    <row r="4228" spans="68:68" x14ac:dyDescent="0.25">
      <c r="BP4228"/>
    </row>
    <row r="4229" spans="68:68" x14ac:dyDescent="0.25">
      <c r="BP4229"/>
    </row>
    <row r="4230" spans="68:68" x14ac:dyDescent="0.25">
      <c r="BP4230"/>
    </row>
    <row r="4231" spans="68:68" x14ac:dyDescent="0.25">
      <c r="BP4231"/>
    </row>
    <row r="4232" spans="68:68" x14ac:dyDescent="0.25">
      <c r="BP4232"/>
    </row>
    <row r="4233" spans="68:68" x14ac:dyDescent="0.25">
      <c r="BP4233"/>
    </row>
    <row r="4234" spans="68:68" x14ac:dyDescent="0.25">
      <c r="BP4234"/>
    </row>
    <row r="4235" spans="68:68" x14ac:dyDescent="0.25">
      <c r="BP4235"/>
    </row>
    <row r="4236" spans="68:68" x14ac:dyDescent="0.25">
      <c r="BP4236"/>
    </row>
    <row r="4237" spans="68:68" x14ac:dyDescent="0.25">
      <c r="BP4237"/>
    </row>
    <row r="4238" spans="68:68" x14ac:dyDescent="0.25">
      <c r="BP4238"/>
    </row>
    <row r="4239" spans="68:68" x14ac:dyDescent="0.25">
      <c r="BP4239"/>
    </row>
    <row r="4240" spans="68:68" x14ac:dyDescent="0.25">
      <c r="BP4240"/>
    </row>
    <row r="4241" spans="68:68" x14ac:dyDescent="0.25">
      <c r="BP4241"/>
    </row>
    <row r="4242" spans="68:68" x14ac:dyDescent="0.25">
      <c r="BP4242"/>
    </row>
    <row r="4243" spans="68:68" x14ac:dyDescent="0.25">
      <c r="BP4243"/>
    </row>
    <row r="4244" spans="68:68" x14ac:dyDescent="0.25">
      <c r="BP4244"/>
    </row>
    <row r="4245" spans="68:68" x14ac:dyDescent="0.25">
      <c r="BP4245"/>
    </row>
    <row r="4246" spans="68:68" x14ac:dyDescent="0.25">
      <c r="BP4246"/>
    </row>
    <row r="4247" spans="68:68" x14ac:dyDescent="0.25">
      <c r="BP4247"/>
    </row>
    <row r="4248" spans="68:68" x14ac:dyDescent="0.25">
      <c r="BP4248"/>
    </row>
    <row r="4249" spans="68:68" x14ac:dyDescent="0.25">
      <c r="BP4249"/>
    </row>
    <row r="4250" spans="68:68" x14ac:dyDescent="0.25">
      <c r="BP4250"/>
    </row>
    <row r="4251" spans="68:68" x14ac:dyDescent="0.25">
      <c r="BP4251"/>
    </row>
    <row r="4252" spans="68:68" x14ac:dyDescent="0.25">
      <c r="BP4252"/>
    </row>
    <row r="4253" spans="68:68" x14ac:dyDescent="0.25">
      <c r="BP4253"/>
    </row>
    <row r="4254" spans="68:68" x14ac:dyDescent="0.25">
      <c r="BP4254"/>
    </row>
    <row r="4255" spans="68:68" x14ac:dyDescent="0.25">
      <c r="BP4255"/>
    </row>
    <row r="4256" spans="68:68" x14ac:dyDescent="0.25">
      <c r="BP4256"/>
    </row>
    <row r="4257" spans="68:68" x14ac:dyDescent="0.25">
      <c r="BP4257"/>
    </row>
    <row r="4258" spans="68:68" x14ac:dyDescent="0.25">
      <c r="BP4258"/>
    </row>
    <row r="4259" spans="68:68" x14ac:dyDescent="0.25">
      <c r="BP4259"/>
    </row>
    <row r="4260" spans="68:68" x14ac:dyDescent="0.25">
      <c r="BP4260"/>
    </row>
    <row r="4261" spans="68:68" x14ac:dyDescent="0.25">
      <c r="BP4261"/>
    </row>
    <row r="4262" spans="68:68" x14ac:dyDescent="0.25">
      <c r="BP4262"/>
    </row>
    <row r="4263" spans="68:68" x14ac:dyDescent="0.25">
      <c r="BP4263"/>
    </row>
    <row r="4264" spans="68:68" x14ac:dyDescent="0.25">
      <c r="BP4264"/>
    </row>
    <row r="4265" spans="68:68" x14ac:dyDescent="0.25">
      <c r="BP4265"/>
    </row>
    <row r="4266" spans="68:68" x14ac:dyDescent="0.25">
      <c r="BP4266"/>
    </row>
    <row r="4267" spans="68:68" x14ac:dyDescent="0.25">
      <c r="BP4267"/>
    </row>
    <row r="4268" spans="68:68" x14ac:dyDescent="0.25">
      <c r="BP4268"/>
    </row>
    <row r="4269" spans="68:68" x14ac:dyDescent="0.25">
      <c r="BP4269"/>
    </row>
    <row r="4270" spans="68:68" x14ac:dyDescent="0.25">
      <c r="BP4270"/>
    </row>
    <row r="4271" spans="68:68" x14ac:dyDescent="0.25">
      <c r="BP4271"/>
    </row>
    <row r="4272" spans="68:68" x14ac:dyDescent="0.25">
      <c r="BP4272"/>
    </row>
    <row r="4273" spans="68:68" x14ac:dyDescent="0.25">
      <c r="BP4273"/>
    </row>
    <row r="4274" spans="68:68" x14ac:dyDescent="0.25">
      <c r="BP4274"/>
    </row>
    <row r="4275" spans="68:68" x14ac:dyDescent="0.25">
      <c r="BP4275"/>
    </row>
    <row r="4276" spans="68:68" x14ac:dyDescent="0.25">
      <c r="BP4276"/>
    </row>
    <row r="4277" spans="68:68" x14ac:dyDescent="0.25">
      <c r="BP4277"/>
    </row>
    <row r="4278" spans="68:68" x14ac:dyDescent="0.25">
      <c r="BP4278"/>
    </row>
    <row r="4279" spans="68:68" x14ac:dyDescent="0.25">
      <c r="BP4279"/>
    </row>
    <row r="4280" spans="68:68" x14ac:dyDescent="0.25">
      <c r="BP4280"/>
    </row>
    <row r="4281" spans="68:68" x14ac:dyDescent="0.25">
      <c r="BP4281"/>
    </row>
    <row r="4282" spans="68:68" x14ac:dyDescent="0.25">
      <c r="BP4282"/>
    </row>
    <row r="4283" spans="68:68" x14ac:dyDescent="0.25">
      <c r="BP4283"/>
    </row>
    <row r="4284" spans="68:68" x14ac:dyDescent="0.25">
      <c r="BP4284"/>
    </row>
    <row r="4285" spans="68:68" x14ac:dyDescent="0.25">
      <c r="BP4285"/>
    </row>
    <row r="4286" spans="68:68" x14ac:dyDescent="0.25">
      <c r="BP4286"/>
    </row>
    <row r="4287" spans="68:68" x14ac:dyDescent="0.25">
      <c r="BP4287"/>
    </row>
    <row r="4288" spans="68:68" x14ac:dyDescent="0.25">
      <c r="BP4288"/>
    </row>
    <row r="4289" spans="68:68" x14ac:dyDescent="0.25">
      <c r="BP4289"/>
    </row>
    <row r="4290" spans="68:68" x14ac:dyDescent="0.25">
      <c r="BP4290"/>
    </row>
    <row r="4291" spans="68:68" x14ac:dyDescent="0.25">
      <c r="BP4291"/>
    </row>
    <row r="4292" spans="68:68" x14ac:dyDescent="0.25">
      <c r="BP4292"/>
    </row>
    <row r="4293" spans="68:68" x14ac:dyDescent="0.25">
      <c r="BP4293"/>
    </row>
    <row r="4294" spans="68:68" x14ac:dyDescent="0.25">
      <c r="BP4294"/>
    </row>
    <row r="4295" spans="68:68" x14ac:dyDescent="0.25">
      <c r="BP4295"/>
    </row>
    <row r="4296" spans="68:68" x14ac:dyDescent="0.25">
      <c r="BP4296"/>
    </row>
    <row r="4297" spans="68:68" x14ac:dyDescent="0.25">
      <c r="BP4297"/>
    </row>
    <row r="4298" spans="68:68" x14ac:dyDescent="0.25">
      <c r="BP4298"/>
    </row>
    <row r="4299" spans="68:68" x14ac:dyDescent="0.25">
      <c r="BP4299"/>
    </row>
    <row r="4300" spans="68:68" x14ac:dyDescent="0.25">
      <c r="BP4300"/>
    </row>
    <row r="4301" spans="68:68" x14ac:dyDescent="0.25">
      <c r="BP4301"/>
    </row>
    <row r="4302" spans="68:68" x14ac:dyDescent="0.25">
      <c r="BP4302"/>
    </row>
    <row r="4303" spans="68:68" x14ac:dyDescent="0.25">
      <c r="BP4303"/>
    </row>
    <row r="4304" spans="68:68" x14ac:dyDescent="0.25">
      <c r="BP4304"/>
    </row>
    <row r="4305" spans="68:68" x14ac:dyDescent="0.25">
      <c r="BP4305"/>
    </row>
    <row r="4306" spans="68:68" x14ac:dyDescent="0.25">
      <c r="BP4306"/>
    </row>
    <row r="4307" spans="68:68" x14ac:dyDescent="0.25">
      <c r="BP4307"/>
    </row>
    <row r="4308" spans="68:68" x14ac:dyDescent="0.25">
      <c r="BP4308"/>
    </row>
    <row r="4309" spans="68:68" x14ac:dyDescent="0.25">
      <c r="BP4309"/>
    </row>
    <row r="4310" spans="68:68" x14ac:dyDescent="0.25">
      <c r="BP4310"/>
    </row>
    <row r="4311" spans="68:68" x14ac:dyDescent="0.25">
      <c r="BP4311"/>
    </row>
    <row r="4312" spans="68:68" x14ac:dyDescent="0.25">
      <c r="BP4312"/>
    </row>
    <row r="4313" spans="68:68" x14ac:dyDescent="0.25">
      <c r="BP4313"/>
    </row>
    <row r="4314" spans="68:68" x14ac:dyDescent="0.25">
      <c r="BP4314"/>
    </row>
    <row r="4315" spans="68:68" x14ac:dyDescent="0.25">
      <c r="BP4315"/>
    </row>
    <row r="4316" spans="68:68" x14ac:dyDescent="0.25">
      <c r="BP4316"/>
    </row>
    <row r="4317" spans="68:68" x14ac:dyDescent="0.25">
      <c r="BP4317"/>
    </row>
  </sheetData>
  <mergeCells count="101">
    <mergeCell ref="B1:BQ5"/>
    <mergeCell ref="N8:N41"/>
    <mergeCell ref="BM28:BN28"/>
    <mergeCell ref="BM29:BN29"/>
    <mergeCell ref="BM39:BN39"/>
    <mergeCell ref="BM40:BN40"/>
    <mergeCell ref="BM16:BN16"/>
    <mergeCell ref="BM13:BN13"/>
    <mergeCell ref="BM14:BN14"/>
    <mergeCell ref="BM19:BN19"/>
    <mergeCell ref="S8:S41"/>
    <mergeCell ref="X8:X41"/>
    <mergeCell ref="BM17:BN17"/>
    <mergeCell ref="BM21:BN21"/>
    <mergeCell ref="BM18:BN18"/>
    <mergeCell ref="BM20:BN20"/>
    <mergeCell ref="BM30:BN30"/>
    <mergeCell ref="BM31:BN31"/>
    <mergeCell ref="BM32:BN32"/>
    <mergeCell ref="BM33:BN33"/>
    <mergeCell ref="BM34:BN34"/>
    <mergeCell ref="BM22:BN22"/>
    <mergeCell ref="AC8:AC41"/>
    <mergeCell ref="BM15:BN15"/>
    <mergeCell ref="A6:A7"/>
    <mergeCell ref="B6:B7"/>
    <mergeCell ref="C6:C7"/>
    <mergeCell ref="D6:D7"/>
    <mergeCell ref="E6:E7"/>
    <mergeCell ref="F6:F7"/>
    <mergeCell ref="G6:H6"/>
    <mergeCell ref="I6:I7"/>
    <mergeCell ref="J6:K6"/>
    <mergeCell ref="BM26:BN26"/>
    <mergeCell ref="BM41:BN41"/>
    <mergeCell ref="BM23:BN23"/>
    <mergeCell ref="BM24:BN24"/>
    <mergeCell ref="AD6:AD7"/>
    <mergeCell ref="BM11:BN11"/>
    <mergeCell ref="BM12:BN12"/>
    <mergeCell ref="BM8:BN8"/>
    <mergeCell ref="BM9:BN9"/>
    <mergeCell ref="BM10:BN10"/>
    <mergeCell ref="AH8:AH41"/>
    <mergeCell ref="AM8:AM41"/>
    <mergeCell ref="AR8:AR41"/>
    <mergeCell ref="AW8:AW41"/>
    <mergeCell ref="BB8:BB41"/>
    <mergeCell ref="BH8:BH41"/>
    <mergeCell ref="BM35:BN35"/>
    <mergeCell ref="BM36:BN36"/>
    <mergeCell ref="BM37:BN37"/>
    <mergeCell ref="BM38:BN38"/>
    <mergeCell ref="BM27:BN27"/>
    <mergeCell ref="BM25:BN25"/>
    <mergeCell ref="AG6:AG7"/>
    <mergeCell ref="AJ6:AK6"/>
    <mergeCell ref="L6:L7"/>
    <mergeCell ref="M6:M7"/>
    <mergeCell ref="BL6:BL7"/>
    <mergeCell ref="BJ6:BJ7"/>
    <mergeCell ref="BI6:BI7"/>
    <mergeCell ref="BH6:BH7"/>
    <mergeCell ref="BK6:BK7"/>
    <mergeCell ref="AN6:AN7"/>
    <mergeCell ref="R6:R7"/>
    <mergeCell ref="AB6:AB7"/>
    <mergeCell ref="AO6:AP6"/>
    <mergeCell ref="BG6:BG7"/>
    <mergeCell ref="N6:N7"/>
    <mergeCell ref="O6:O7"/>
    <mergeCell ref="P6:Q6"/>
    <mergeCell ref="AH6:AH7"/>
    <mergeCell ref="AV6:AV7"/>
    <mergeCell ref="AM6:AM7"/>
    <mergeCell ref="S6:S7"/>
    <mergeCell ref="T6:T7"/>
    <mergeCell ref="X6:X7"/>
    <mergeCell ref="W6:W7"/>
    <mergeCell ref="AC6:AC7"/>
    <mergeCell ref="U6:V6"/>
    <mergeCell ref="Y6:Y7"/>
    <mergeCell ref="AI6:AI7"/>
    <mergeCell ref="Z6:AA6"/>
    <mergeCell ref="AE6:AF6"/>
    <mergeCell ref="BQ6:BQ7"/>
    <mergeCell ref="AL6:AL7"/>
    <mergeCell ref="AQ6:AQ7"/>
    <mergeCell ref="AR6:AR7"/>
    <mergeCell ref="AS6:AS7"/>
    <mergeCell ref="AT6:AU6"/>
    <mergeCell ref="BO6:BO7"/>
    <mergeCell ref="BP6:BP7"/>
    <mergeCell ref="BM6:BN7"/>
    <mergeCell ref="BD6:BF6"/>
    <mergeCell ref="AW6:AW7"/>
    <mergeCell ref="AX6:AX7"/>
    <mergeCell ref="AY6:AZ6"/>
    <mergeCell ref="BC6:BC7"/>
    <mergeCell ref="BA6:BA7"/>
    <mergeCell ref="BB6:BB7"/>
  </mergeCells>
  <phoneticPr fontId="4" type="noConversion"/>
  <conditionalFormatting sqref="G7:G41 J7:J41 U7:U41 Z7:Z41 AJ7:AJ41 AO8:AP41">
    <cfRule type="cellIs" dxfId="1" priority="32" operator="lessThan">
      <formula>28</formula>
    </cfRule>
  </conditionalFormatting>
  <pageMargins left="0.19685039370078741" right="0.19685039370078741" top="0.19685039370078741" bottom="0.19685039370078741" header="0.19685039370078741" footer="0.19685039370078741"/>
  <pageSetup paperSize="5" scale="92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K39"/>
  <sheetViews>
    <sheetView tabSelected="1" topLeftCell="A16" workbookViewId="0">
      <selection activeCell="I7" sqref="I7:K7"/>
    </sheetView>
  </sheetViews>
  <sheetFormatPr defaultRowHeight="15" x14ac:dyDescent="0.25"/>
  <cols>
    <col min="3" max="3" width="11.42578125" customWidth="1"/>
    <col min="4" max="6" width="9.7109375" customWidth="1"/>
    <col min="7" max="7" width="9.28515625" customWidth="1"/>
    <col min="8" max="8" width="9" customWidth="1"/>
    <col min="9" max="9" width="9.140625" customWidth="1"/>
    <col min="10" max="10" width="9" customWidth="1"/>
    <col min="11" max="11" width="9.28515625" customWidth="1"/>
  </cols>
  <sheetData>
    <row r="1" spans="1:11" ht="9" customHeight="1" x14ac:dyDescent="0.25"/>
    <row r="2" spans="1:11" s="23" customFormat="1" ht="18.95" customHeight="1" x14ac:dyDescent="0.25">
      <c r="A2" s="111" t="s">
        <v>204</v>
      </c>
      <c r="B2" s="112"/>
      <c r="C2" s="112"/>
      <c r="D2" s="112"/>
      <c r="E2" s="112"/>
      <c r="F2" s="112"/>
      <c r="G2" s="112"/>
      <c r="H2" s="112"/>
      <c r="I2" s="112"/>
      <c r="J2" s="113"/>
      <c r="K2" s="112"/>
    </row>
    <row r="3" spans="1:11" s="23" customFormat="1" ht="13.5" customHeight="1" x14ac:dyDescent="0.25">
      <c r="A3" s="112"/>
      <c r="B3" s="112"/>
      <c r="C3" s="112"/>
      <c r="D3" s="112"/>
      <c r="E3" s="112"/>
      <c r="F3" s="112"/>
      <c r="G3" s="112"/>
      <c r="H3" s="112"/>
      <c r="I3" s="112"/>
      <c r="J3" s="113"/>
      <c r="K3" s="112"/>
    </row>
    <row r="4" spans="1:11" s="23" customFormat="1" ht="19.5" customHeight="1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3"/>
      <c r="K4" s="112"/>
    </row>
    <row r="5" spans="1:11" s="23" customFormat="1" ht="44.25" customHeight="1" x14ac:dyDescent="0.25">
      <c r="A5" s="114"/>
      <c r="B5" s="114"/>
      <c r="C5" s="114"/>
      <c r="D5" s="114"/>
      <c r="E5" s="114"/>
      <c r="F5" s="114"/>
      <c r="G5" s="114"/>
      <c r="H5" s="114"/>
      <c r="I5" s="114"/>
      <c r="J5" s="115"/>
      <c r="K5" s="114"/>
    </row>
    <row r="6" spans="1:11" s="23" customFormat="1" ht="24.95" customHeight="1" x14ac:dyDescent="0.25">
      <c r="A6" s="116" t="s">
        <v>46</v>
      </c>
      <c r="B6" s="117"/>
      <c r="C6" s="118" t="str">
        <f>IFERROR(VLOOKUP($I$6,'TABULATION SCI'!$B$6:$BQ$46,2,0),"PLEASE ENTER ROLL")</f>
        <v>Mushfiqur Rahman</v>
      </c>
      <c r="D6" s="118"/>
      <c r="E6" s="118"/>
      <c r="F6" s="117" t="s">
        <v>53</v>
      </c>
      <c r="G6" s="117"/>
      <c r="H6" s="117"/>
      <c r="I6" s="119">
        <v>41</v>
      </c>
      <c r="J6" s="119"/>
      <c r="K6" s="120"/>
    </row>
    <row r="7" spans="1:11" s="23" customFormat="1" ht="24.95" customHeight="1" x14ac:dyDescent="0.25">
      <c r="A7" s="105" t="s">
        <v>47</v>
      </c>
      <c r="B7" s="106"/>
      <c r="C7" s="107">
        <f>IFERROR(VLOOKUP($I$6,'TABULATION SCI'!$B$6:$BQ$46,3,0),"")</f>
        <v>0</v>
      </c>
      <c r="D7" s="107"/>
      <c r="E7" s="107"/>
      <c r="F7" s="110"/>
      <c r="G7" s="110"/>
      <c r="H7" s="39" t="s">
        <v>51</v>
      </c>
      <c r="I7" s="108" t="s">
        <v>55</v>
      </c>
      <c r="J7" s="108"/>
      <c r="K7" s="109"/>
    </row>
    <row r="8" spans="1:11" s="23" customFormat="1" ht="24.95" customHeight="1" x14ac:dyDescent="0.25">
      <c r="A8" s="105" t="s">
        <v>48</v>
      </c>
      <c r="B8" s="106"/>
      <c r="C8" s="107">
        <f>IFERROR(VLOOKUP($I$6,'TABULATION SCI'!$B$6:$BQ$46,4,0),"")</f>
        <v>0</v>
      </c>
      <c r="D8" s="107"/>
      <c r="E8" s="107"/>
      <c r="F8" s="106" t="s">
        <v>54</v>
      </c>
      <c r="G8" s="106"/>
      <c r="H8" s="106"/>
      <c r="I8" s="108" t="s">
        <v>57</v>
      </c>
      <c r="J8" s="108"/>
      <c r="K8" s="109"/>
    </row>
    <row r="9" spans="1:11" s="23" customFormat="1" ht="24.95" customHeight="1" x14ac:dyDescent="0.25">
      <c r="A9" s="105" t="s">
        <v>49</v>
      </c>
      <c r="B9" s="106"/>
      <c r="C9" s="107" t="s">
        <v>203</v>
      </c>
      <c r="D9" s="107"/>
      <c r="E9" s="107"/>
      <c r="F9" s="106" t="s">
        <v>56</v>
      </c>
      <c r="G9" s="106"/>
      <c r="H9" s="106"/>
      <c r="I9" s="108">
        <v>36</v>
      </c>
      <c r="J9" s="108"/>
      <c r="K9" s="109"/>
    </row>
    <row r="10" spans="1:11" s="23" customFormat="1" ht="24.95" customHeight="1" x14ac:dyDescent="0.25">
      <c r="A10" s="92" t="s">
        <v>50</v>
      </c>
      <c r="B10" s="93"/>
      <c r="C10" s="94" t="s">
        <v>197</v>
      </c>
      <c r="D10" s="95"/>
      <c r="E10" s="95"/>
      <c r="F10" s="40"/>
      <c r="G10" s="93" t="s">
        <v>52</v>
      </c>
      <c r="H10" s="93"/>
      <c r="I10" s="96">
        <v>0</v>
      </c>
      <c r="J10" s="96"/>
      <c r="K10" s="97" t="e">
        <f>VLOOKUP($I$6,'TABULATION SCI'!$B$6:$BQ$20,10,0)</f>
        <v>#N/A</v>
      </c>
    </row>
    <row r="11" spans="1:11" s="23" customFormat="1" x14ac:dyDescent="0.25">
      <c r="A11" s="98" t="s">
        <v>21</v>
      </c>
      <c r="B11" s="99"/>
      <c r="C11" s="99"/>
      <c r="D11" s="24"/>
      <c r="E11" s="24"/>
      <c r="F11" s="24"/>
      <c r="G11" s="101" t="s">
        <v>22</v>
      </c>
      <c r="H11" s="102" t="s">
        <v>23</v>
      </c>
      <c r="I11" s="88" t="s">
        <v>2</v>
      </c>
      <c r="J11" s="88" t="s">
        <v>64</v>
      </c>
      <c r="K11" s="88" t="s">
        <v>6</v>
      </c>
    </row>
    <row r="12" spans="1:11" s="23" customFormat="1" x14ac:dyDescent="0.25">
      <c r="A12" s="98"/>
      <c r="B12" s="99"/>
      <c r="C12" s="100"/>
      <c r="D12" s="88" t="s">
        <v>25</v>
      </c>
      <c r="E12" s="88" t="s">
        <v>24</v>
      </c>
      <c r="F12" s="88" t="s">
        <v>26</v>
      </c>
      <c r="G12" s="102"/>
      <c r="H12" s="102"/>
      <c r="I12" s="88"/>
      <c r="J12" s="88"/>
      <c r="K12" s="88"/>
    </row>
    <row r="13" spans="1:11" s="23" customFormat="1" x14ac:dyDescent="0.25">
      <c r="A13" s="98"/>
      <c r="B13" s="99"/>
      <c r="C13" s="100"/>
      <c r="D13" s="88"/>
      <c r="E13" s="88"/>
      <c r="F13" s="88"/>
      <c r="G13" s="102"/>
      <c r="H13" s="102"/>
      <c r="I13" s="88"/>
      <c r="J13" s="88"/>
      <c r="K13" s="88"/>
    </row>
    <row r="14" spans="1:11" s="23" customFormat="1" x14ac:dyDescent="0.25">
      <c r="A14" s="98"/>
      <c r="B14" s="99"/>
      <c r="C14" s="100"/>
      <c r="D14" s="88"/>
      <c r="E14" s="88"/>
      <c r="F14" s="88"/>
      <c r="G14" s="102"/>
      <c r="H14" s="102"/>
      <c r="I14" s="88"/>
      <c r="J14" s="88"/>
      <c r="K14" s="88"/>
    </row>
    <row r="15" spans="1:11" s="23" customFormat="1" x14ac:dyDescent="0.25">
      <c r="A15" s="98"/>
      <c r="B15" s="99"/>
      <c r="C15" s="100"/>
      <c r="D15" s="88"/>
      <c r="E15" s="88"/>
      <c r="F15" s="88"/>
      <c r="G15" s="102"/>
      <c r="H15" s="102"/>
      <c r="I15" s="88"/>
      <c r="J15" s="88"/>
      <c r="K15" s="88"/>
    </row>
    <row r="16" spans="1:11" s="23" customFormat="1" x14ac:dyDescent="0.25">
      <c r="A16" s="98"/>
      <c r="B16" s="99"/>
      <c r="C16" s="100"/>
      <c r="D16" s="88"/>
      <c r="E16" s="88"/>
      <c r="F16" s="88"/>
      <c r="G16" s="102"/>
      <c r="H16" s="102"/>
      <c r="I16" s="88"/>
      <c r="J16" s="88"/>
      <c r="K16" s="88"/>
    </row>
    <row r="17" spans="1:11" s="23" customFormat="1" ht="27" customHeight="1" x14ac:dyDescent="0.25">
      <c r="A17" s="98"/>
      <c r="B17" s="99"/>
      <c r="C17" s="100"/>
      <c r="D17" s="88"/>
      <c r="E17" s="88"/>
      <c r="F17" s="88"/>
      <c r="G17" s="103"/>
      <c r="H17" s="103"/>
      <c r="I17" s="88"/>
      <c r="J17" s="104"/>
      <c r="K17" s="88"/>
    </row>
    <row r="18" spans="1:11" s="23" customFormat="1" ht="29.1" customHeight="1" x14ac:dyDescent="0.25">
      <c r="A18" s="67" t="s">
        <v>27</v>
      </c>
      <c r="B18" s="68"/>
      <c r="C18" s="69"/>
      <c r="D18" s="25">
        <f>IFERROR(VLOOKUP($I$6,'TABULATION SCI'!$B$6:$BQ$46,7,0),"")</f>
        <v>19</v>
      </c>
      <c r="E18" s="25">
        <f>IFERROR(VLOOKUP($I$6,'TABULATION SCI'!$B$6:$BQ$46,6,0),"")</f>
        <v>28</v>
      </c>
      <c r="F18" s="82"/>
      <c r="G18" s="89">
        <f>IFERROR(VLOOKUP($I$6,'TABULATION SCI'!$B$6:$BQ$46,12,0),"")</f>
        <v>97</v>
      </c>
      <c r="H18" s="89">
        <f>'TABULATION SCI'!N8</f>
        <v>148</v>
      </c>
      <c r="I18" s="89">
        <f>IFERROR(VLOOKUP($I$6,'TABULATION SCI'!$B$6:$BQ$46,14,0),"")</f>
        <v>2</v>
      </c>
      <c r="J18" s="89" t="str">
        <f>IF(I18="F","F",IF(I18&lt;2,"D",IF(I18&lt;3,"C",IF(I18&lt;3.5,"B",IF(I18&lt;4,"A-",IF(I18&lt;5,"A","A+"))))))</f>
        <v>C</v>
      </c>
      <c r="K18" s="91" t="str">
        <f>IFERROR(VLOOKUP($I$6,'TABULATION SCI'!$B$6:$BQ$46,63,0),"")</f>
        <v>F</v>
      </c>
    </row>
    <row r="19" spans="1:11" s="23" customFormat="1" ht="29.1" customHeight="1" x14ac:dyDescent="0.25">
      <c r="A19" s="67" t="s">
        <v>28</v>
      </c>
      <c r="B19" s="68"/>
      <c r="C19" s="69"/>
      <c r="D19" s="25">
        <f>IFERROR(VLOOKUP($I$6,'TABULATION SCI'!$B$6:$BQ$46,10,0),"")</f>
        <v>17</v>
      </c>
      <c r="E19" s="25">
        <f>IFERROR(VLOOKUP($I$6,'TABULATION SCI'!$B$6:$BQ$46,9,0),"")</f>
        <v>33</v>
      </c>
      <c r="F19" s="83"/>
      <c r="G19" s="90"/>
      <c r="H19" s="90"/>
      <c r="I19" s="90"/>
      <c r="J19" s="90"/>
      <c r="K19" s="91" t="e">
        <f>VLOOKUP($I$6,'TABULATION SCI'!$B$6:$BQ$20,47,0)</f>
        <v>#N/A</v>
      </c>
    </row>
    <row r="20" spans="1:11" s="23" customFormat="1" ht="29.1" customHeight="1" x14ac:dyDescent="0.25">
      <c r="A20" s="67" t="s">
        <v>29</v>
      </c>
      <c r="B20" s="68"/>
      <c r="C20" s="69"/>
      <c r="D20" s="89"/>
      <c r="E20" s="25">
        <f>IFERROR(VLOOKUP($I$6,'TABULATION SCI'!$B$6:$BQ$46,15,0),"")</f>
        <v>34</v>
      </c>
      <c r="F20" s="83"/>
      <c r="G20" s="89">
        <f>IFERROR(VLOOKUP($I$6,'TABULATION SCI'!$B$6:$BQ$46,17,0),"")</f>
        <v>59</v>
      </c>
      <c r="H20" s="89">
        <f>'TABULATION SCI'!S8</f>
        <v>95</v>
      </c>
      <c r="I20" s="89" t="str">
        <f>IFERROR(VLOOKUP($I$6,'TABULATION SCI'!$B$6:$BQ$46,19,0),"")</f>
        <v>F</v>
      </c>
      <c r="J20" s="89" t="str">
        <f>IF(I20="F","F",IF(I20&lt;2,"D",IF(I20&lt;3,"C",IF(I20&lt;3.5,"B",IF(I20&lt;4,"A-",IF(I20&lt;5,"A","A+"))))))</f>
        <v>F</v>
      </c>
      <c r="K20" s="91" t="e">
        <f>VLOOKUP($I$6,'TABULATION SCI'!$B$6:$BQ$20,47,0)</f>
        <v>#N/A</v>
      </c>
    </row>
    <row r="21" spans="1:11" s="23" customFormat="1" ht="29.1" customHeight="1" x14ac:dyDescent="0.25">
      <c r="A21" s="67" t="s">
        <v>30</v>
      </c>
      <c r="B21" s="68"/>
      <c r="C21" s="69"/>
      <c r="D21" s="90"/>
      <c r="E21" s="25">
        <f>IFERROR(VLOOKUP($I$6,'TABULATION SCI'!$B$6:$BQ$46,16,0),"")</f>
        <v>25</v>
      </c>
      <c r="F21" s="83"/>
      <c r="G21" s="90"/>
      <c r="H21" s="90"/>
      <c r="I21" s="90"/>
      <c r="J21" s="90"/>
      <c r="K21" s="91" t="e">
        <f>VLOOKUP($I$6,'TABULATION SCI'!$B$6:$BQ$20,47,0)</f>
        <v>#N/A</v>
      </c>
    </row>
    <row r="22" spans="1:11" s="23" customFormat="1" ht="29.1" customHeight="1" x14ac:dyDescent="0.25">
      <c r="A22" s="67" t="s">
        <v>31</v>
      </c>
      <c r="B22" s="68"/>
      <c r="C22" s="69"/>
      <c r="D22" s="25">
        <f>IFERROR(VLOOKUP($I$6,'TABULATION SCI'!$B$6:$BQ$46,21,0),"")</f>
        <v>18</v>
      </c>
      <c r="E22" s="25">
        <f>IFERROR(VLOOKUP($I$6,'TABULATION SCI'!$B$6:$BQ$46,20,0),"")</f>
        <v>23</v>
      </c>
      <c r="F22" s="83"/>
      <c r="G22" s="25">
        <f>IFERROR(VLOOKUP($I$6,'TABULATION SCI'!$B$6:$BQ$46,22,0),"")</f>
        <v>41</v>
      </c>
      <c r="H22" s="25">
        <f>'TABULATION SCI'!X8</f>
        <v>82</v>
      </c>
      <c r="I22" s="25">
        <f>IFERROR(VLOOKUP($I$6,'TABULATION SCI'!$B$6:$BQ$46,24,0),"")</f>
        <v>2</v>
      </c>
      <c r="J22" s="26" t="str">
        <f t="shared" ref="J22:J28" si="0">IF(I22="F","F",IF(I22&lt;2,"D",IF(I22&lt;3,"C",IF(I22&lt;3.5,"B",IF(I22&lt;4,"A-",IF(I22&lt;5,"A","A+"))))))</f>
        <v>C</v>
      </c>
      <c r="K22" s="91" t="e">
        <f>VLOOKUP($I$6,'TABULATION SCI'!$B$6:$BQ$20,47,0)</f>
        <v>#N/A</v>
      </c>
    </row>
    <row r="23" spans="1:11" s="23" customFormat="1" ht="29.1" customHeight="1" x14ac:dyDescent="0.25">
      <c r="A23" s="67" t="s">
        <v>32</v>
      </c>
      <c r="B23" s="68"/>
      <c r="C23" s="69"/>
      <c r="D23" s="25">
        <f>IFERROR(VLOOKUP($I$6,'TABULATION SCI'!$B$6:$BQ$46,26,0),"")</f>
        <v>17</v>
      </c>
      <c r="E23" s="25">
        <f>IFERROR(VLOOKUP($I$6,'TABULATION SCI'!$B$6:$BQ$46,25,0),"")</f>
        <v>18</v>
      </c>
      <c r="F23" s="84"/>
      <c r="G23" s="25">
        <f>IFERROR(VLOOKUP($I$6,'TABULATION SCI'!$B$6:$BQ$46,27,0),"")</f>
        <v>35</v>
      </c>
      <c r="H23" s="25">
        <f>'TABULATION SCI'!AC8</f>
        <v>80</v>
      </c>
      <c r="I23" s="25" t="str">
        <f>IFERROR(VLOOKUP($I$6,'TABULATION SCI'!$B$6:$BQ$46,29,0),"")</f>
        <v>F</v>
      </c>
      <c r="J23" s="26" t="str">
        <f t="shared" si="0"/>
        <v>F</v>
      </c>
      <c r="K23" s="91" t="e">
        <f>VLOOKUP($I$6,'TABULATION SCI'!$B$6:$BQ$20,47,0)</f>
        <v>#N/A</v>
      </c>
    </row>
    <row r="24" spans="1:11" s="23" customFormat="1" ht="29.1" customHeight="1" x14ac:dyDescent="0.25">
      <c r="A24" s="67" t="s">
        <v>5</v>
      </c>
      <c r="B24" s="68"/>
      <c r="C24" s="69"/>
      <c r="D24" s="25">
        <f>IFERROR(VLOOKUP($I$6,'TABULATION SCI'!$B$6:$BQ$46,30,0),"")</f>
        <v>17</v>
      </c>
      <c r="E24" s="25"/>
      <c r="F24" s="25">
        <f>IFERROR(VLOOKUP($I$6,'TABULATION SCI'!$B$6:$BQ$46,31,0),"")</f>
        <v>17</v>
      </c>
      <c r="G24" s="25">
        <f>IFERROR(VLOOKUP($I$6,'TABULATION SCI'!$B$6:$BQ$46,32,0),"")</f>
        <v>34</v>
      </c>
      <c r="H24" s="25">
        <f>'TABULATION SCI'!AH8</f>
        <v>40</v>
      </c>
      <c r="I24" s="25">
        <f>IFERROR(VLOOKUP($I$6,'TABULATION SCI'!$B$6:$BQ$46,34,0),"")</f>
        <v>3.5</v>
      </c>
      <c r="J24" s="26" t="str">
        <f t="shared" si="0"/>
        <v>A-</v>
      </c>
      <c r="K24" s="91" t="e">
        <f>VLOOKUP($I$6,'TABULATION SCI'!$B$6:$BQ$20,47,0)</f>
        <v>#N/A</v>
      </c>
    </row>
    <row r="25" spans="1:11" s="23" customFormat="1" ht="29.1" customHeight="1" x14ac:dyDescent="0.25">
      <c r="A25" s="67" t="s">
        <v>20</v>
      </c>
      <c r="B25" s="68"/>
      <c r="C25" s="69"/>
      <c r="D25" s="25">
        <f>IFERROR(VLOOKUP($I$6,'TABULATION SCI'!$B$6:$BQ$46,36,0),"")</f>
        <v>19</v>
      </c>
      <c r="E25" s="25">
        <f>IFERROR(VLOOKUP($I$6,'TABULATION SCI'!$B$6:$BQ$46,35,0),"")</f>
        <v>34</v>
      </c>
      <c r="F25" s="82"/>
      <c r="G25" s="25">
        <f>IFERROR(VLOOKUP($I$6,'TABULATION SCI'!$B$6:$BQ$46,37,0),"")</f>
        <v>53</v>
      </c>
      <c r="H25" s="25">
        <f>'TABULATION SCI'!AM8</f>
        <v>77</v>
      </c>
      <c r="I25" s="25">
        <f>IFERROR(VLOOKUP($I$6,'TABULATION SCI'!$B$6:$BQ$46,39,0),"")</f>
        <v>3</v>
      </c>
      <c r="J25" s="26" t="str">
        <f t="shared" si="0"/>
        <v>B</v>
      </c>
      <c r="K25" s="91" t="e">
        <f>VLOOKUP($I$6,'TABULATION SCI'!$B$6:$BQ$20,47,0)</f>
        <v>#N/A</v>
      </c>
    </row>
    <row r="26" spans="1:11" s="23" customFormat="1" ht="29.1" customHeight="1" x14ac:dyDescent="0.25">
      <c r="A26" s="67" t="s">
        <v>44</v>
      </c>
      <c r="B26" s="68"/>
      <c r="C26" s="69"/>
      <c r="D26" s="25">
        <f>IFERROR(VLOOKUP($I$6,'TABULATION SCI'!$B$6:$BQ$46,41,0),"")</f>
        <v>17</v>
      </c>
      <c r="E26" s="25">
        <f>IFERROR(VLOOKUP($I$6,'TABULATION SCI'!$B$6:$BQ$46,40,0),"")</f>
        <v>25</v>
      </c>
      <c r="F26" s="83"/>
      <c r="G26" s="25">
        <f>IFERROR(VLOOKUP($I$6,'TABULATION SCI'!$B$6:$BQ$46,42,0),"")</f>
        <v>42</v>
      </c>
      <c r="H26" s="25">
        <f>'TABULATION SCI'!AR8</f>
        <v>67</v>
      </c>
      <c r="I26" s="25">
        <f>IFERROR(VLOOKUP($I$6,'TABULATION SCI'!$B$6:$BQ$46,44,0),"")</f>
        <v>2</v>
      </c>
      <c r="J26" s="26" t="str">
        <f t="shared" si="0"/>
        <v>C</v>
      </c>
      <c r="K26" s="91" t="e">
        <f>VLOOKUP($I$6,'TABULATION SCI'!$B$6:$BQ$20,47,0)</f>
        <v>#N/A</v>
      </c>
    </row>
    <row r="27" spans="1:11" s="23" customFormat="1" ht="29.1" customHeight="1" x14ac:dyDescent="0.25">
      <c r="A27" s="67" t="s">
        <v>45</v>
      </c>
      <c r="B27" s="68"/>
      <c r="C27" s="69"/>
      <c r="D27" s="25">
        <f>IFERROR(VLOOKUP($I$6,'TABULATION SCI'!$B$6:$BQ$46,46,0),"")</f>
        <v>18</v>
      </c>
      <c r="E27" s="25">
        <f>IFERROR(VLOOKUP($I$6,'TABULATION SCI'!$B$6:$BQ$46,45,0),"")</f>
        <v>23</v>
      </c>
      <c r="F27" s="83"/>
      <c r="G27" s="25">
        <f>IFERROR(VLOOKUP($I$6,'TABULATION SCI'!$B$6:$BQ$46,47,0),"")</f>
        <v>41</v>
      </c>
      <c r="H27" s="25">
        <f>'TABULATION SCI'!AW8</f>
        <v>76</v>
      </c>
      <c r="I27" s="25">
        <f>IFERROR(VLOOKUP($I$6,'TABULATION SCI'!$B$6:$BQ$46,49,0),"")</f>
        <v>2</v>
      </c>
      <c r="J27" s="26" t="str">
        <f t="shared" si="0"/>
        <v>C</v>
      </c>
      <c r="K27" s="91" t="e">
        <f>VLOOKUP($I$6,'TABULATION SCI'!$B$6:$BQ$20,47,0)</f>
        <v>#N/A</v>
      </c>
    </row>
    <row r="28" spans="1:11" s="23" customFormat="1" ht="29.1" customHeight="1" x14ac:dyDescent="0.25">
      <c r="A28" s="67" t="s">
        <v>10</v>
      </c>
      <c r="B28" s="68"/>
      <c r="C28" s="69"/>
      <c r="D28" s="25">
        <f>IFERROR(VLOOKUP($I$6,'TABULATION SCI'!$B$6:$BQ$46,51,0),"")</f>
        <v>17</v>
      </c>
      <c r="E28" s="25">
        <f>IFERROR(VLOOKUP($I$6,'TABULATION SCI'!$B$6:$BQ$46,50,0),"")</f>
        <v>19</v>
      </c>
      <c r="F28" s="84"/>
      <c r="G28" s="25">
        <f>IFERROR(VLOOKUP($I$6,'TABULATION SCI'!$B$6:$BQ$46,52,0),"")</f>
        <v>36</v>
      </c>
      <c r="H28" s="25">
        <f>'TABULATION SCI'!BB8</f>
        <v>76</v>
      </c>
      <c r="I28" s="25" t="str">
        <f>IFERROR(VLOOKUP($I$6,'TABULATION SCI'!$B$6:$BQ$46,54,0),"")</f>
        <v>F</v>
      </c>
      <c r="J28" s="26" t="str">
        <f t="shared" si="0"/>
        <v>F</v>
      </c>
      <c r="K28" s="91" t="e">
        <f>VLOOKUP($I$6,'TABULATION SCI'!$B$6:$BQ$20,47,0)</f>
        <v>#N/A</v>
      </c>
    </row>
    <row r="29" spans="1:11" s="23" customFormat="1" ht="29.1" customHeight="1" x14ac:dyDescent="0.25">
      <c r="A29" s="77" t="s">
        <v>33</v>
      </c>
      <c r="B29" s="78"/>
      <c r="C29" s="78"/>
      <c r="D29" s="78"/>
      <c r="E29" s="78"/>
      <c r="F29" s="78"/>
      <c r="G29" s="78"/>
      <c r="H29" s="79"/>
      <c r="I29" s="122" t="s">
        <v>36</v>
      </c>
      <c r="J29" s="123"/>
      <c r="K29" s="91" t="e">
        <f>VLOOKUP($I$6,'TABULATION SCI'!$B$6:$BQ$20,47,0)</f>
        <v>#N/A</v>
      </c>
    </row>
    <row r="30" spans="1:11" s="23" customFormat="1" ht="29.1" customHeight="1" x14ac:dyDescent="0.25">
      <c r="A30" s="67" t="s">
        <v>34</v>
      </c>
      <c r="B30" s="68"/>
      <c r="C30" s="69"/>
      <c r="D30" s="25">
        <f>IFERROR(VLOOKUP($I$6,'TABULATION SCI'!$B$6:$BQ$46,56,0),"")</f>
        <v>8</v>
      </c>
      <c r="E30" s="25">
        <f>IFERROR(VLOOKUP($I$6,'TABULATION SCI'!$B$6:$BQ$46,55,0),"")</f>
        <v>11</v>
      </c>
      <c r="F30" s="25" t="str">
        <f>IFERROR(VLOOKUP($I$6,'TABULATION SCI'!$B$6:$BQ$27,57,0),"")</f>
        <v/>
      </c>
      <c r="G30" s="25">
        <f>IFERROR(VLOOKUP($I$6,'TABULATION SCI'!$B$6:$BQ$46,58,0),"")</f>
        <v>39</v>
      </c>
      <c r="H30" s="25">
        <f>'TABULATION SCI'!BH8</f>
        <v>72</v>
      </c>
      <c r="I30" s="25" t="str">
        <f>IFERROR(VLOOKUP($I$6,'TABULATION SCI'!$B$6:$BQ$46,61,0),"")</f>
        <v>F</v>
      </c>
      <c r="J30" s="26" t="str">
        <f>IF(I30="F","F",IF(I30&lt;2,"D",IF(I30&lt;3,"C",IF(I30&lt;3.5,"B",IF(I30&lt;4,"A-",IF(I30&lt;5,"A","A+"))))))</f>
        <v>F</v>
      </c>
      <c r="K30" s="91" t="e">
        <f>VLOOKUP($I$6,'TABULATION SCI'!$B$6:$BQ$20,47,0)</f>
        <v>#N/A</v>
      </c>
    </row>
    <row r="31" spans="1:11" s="23" customFormat="1" ht="29.1" customHeight="1" x14ac:dyDescent="0.25">
      <c r="A31" s="67" t="s">
        <v>35</v>
      </c>
      <c r="B31" s="68"/>
      <c r="C31" s="69"/>
      <c r="D31" s="70"/>
      <c r="E31" s="70"/>
      <c r="F31" s="71"/>
      <c r="G31" s="25">
        <f>SUM(G18:G30)</f>
        <v>477</v>
      </c>
      <c r="H31" s="80"/>
      <c r="I31" s="71"/>
      <c r="J31" s="27"/>
      <c r="K31" s="91" t="e">
        <f>VLOOKUP($I$6,'TABULATION SCI'!$B$6:$BQ$20,47,0)</f>
        <v>#N/A</v>
      </c>
    </row>
    <row r="32" spans="1:11" s="23" customFormat="1" x14ac:dyDescent="0.25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30"/>
    </row>
    <row r="33" spans="1:11" s="23" customFormat="1" ht="19.5" customHeight="1" x14ac:dyDescent="0.25">
      <c r="A33" s="72" t="s">
        <v>37</v>
      </c>
      <c r="B33" s="73"/>
      <c r="C33" s="73"/>
      <c r="D33" s="81" t="str">
        <f>IFERROR(VLOOKUP($I$6,'TABULATION SCI'!$B$6:$BQ$46,64,0),"")</f>
        <v>NEED TO PROGRESS</v>
      </c>
      <c r="E33" s="81"/>
      <c r="F33" s="81"/>
      <c r="G33" s="81"/>
      <c r="H33" s="81"/>
      <c r="K33" s="31"/>
    </row>
    <row r="34" spans="1:11" s="23" customFormat="1" ht="21" customHeight="1" x14ac:dyDescent="0.3">
      <c r="A34" s="74" t="s">
        <v>38</v>
      </c>
      <c r="B34" s="75"/>
      <c r="C34" s="75"/>
      <c r="D34" s="76" t="str">
        <f>IFERROR(VLOOKUP($I$6,'TABULATION SCI'!$B$6:$BQ$27,69,0),"")</f>
        <v/>
      </c>
      <c r="E34" s="76" t="e">
        <f>VLOOKUP($I$6,'TABULATION SCI'!$B$6:$BQ$20,101,0)</f>
        <v>#N/A</v>
      </c>
      <c r="K34" s="31"/>
    </row>
    <row r="35" spans="1:11" s="23" customFormat="1" x14ac:dyDescent="0.25">
      <c r="A35" s="32"/>
      <c r="B35" s="33"/>
      <c r="C35" s="33"/>
      <c r="D35" s="33"/>
      <c r="E35" s="33"/>
      <c r="F35" s="33"/>
      <c r="G35" s="33"/>
      <c r="H35" s="33"/>
      <c r="I35" s="33"/>
      <c r="J35" s="33"/>
      <c r="K35" s="34"/>
    </row>
    <row r="36" spans="1:11" s="23" customFormat="1" x14ac:dyDescent="0.25">
      <c r="A36" s="35"/>
      <c r="H36" s="36"/>
      <c r="I36" s="36"/>
      <c r="J36" s="36"/>
      <c r="K36" s="37"/>
    </row>
    <row r="37" spans="1:11" s="23" customFormat="1" x14ac:dyDescent="0.25">
      <c r="A37" s="35"/>
      <c r="H37" s="36"/>
      <c r="I37" s="36"/>
      <c r="J37" s="36"/>
      <c r="K37" s="37"/>
    </row>
    <row r="38" spans="1:11" s="23" customFormat="1" x14ac:dyDescent="0.25">
      <c r="A38" s="35"/>
      <c r="B38" s="38" t="s">
        <v>65</v>
      </c>
      <c r="E38" s="121" t="s">
        <v>201</v>
      </c>
      <c r="F38" s="121"/>
      <c r="G38" s="121"/>
      <c r="H38" s="36"/>
      <c r="I38" s="121" t="s">
        <v>198</v>
      </c>
      <c r="J38" s="121"/>
      <c r="K38" s="124"/>
    </row>
    <row r="39" spans="1:11" s="23" customFormat="1" x14ac:dyDescent="0.25">
      <c r="A39" s="85"/>
      <c r="B39" s="86"/>
      <c r="C39" s="86"/>
      <c r="D39" s="86"/>
      <c r="E39" s="86"/>
      <c r="F39" s="86"/>
      <c r="G39" s="86"/>
      <c r="H39" s="86"/>
      <c r="I39" s="86"/>
      <c r="J39" s="86"/>
      <c r="K39" s="87"/>
    </row>
  </sheetData>
  <mergeCells count="66">
    <mergeCell ref="E38:G38"/>
    <mergeCell ref="J18:J19"/>
    <mergeCell ref="J20:J21"/>
    <mergeCell ref="I29:J29"/>
    <mergeCell ref="G18:G19"/>
    <mergeCell ref="G20:G21"/>
    <mergeCell ref="I38:K38"/>
    <mergeCell ref="A7:B7"/>
    <mergeCell ref="C7:E7"/>
    <mergeCell ref="F7:G7"/>
    <mergeCell ref="I7:K7"/>
    <mergeCell ref="A2:K5"/>
    <mergeCell ref="A6:B6"/>
    <mergeCell ref="C6:E6"/>
    <mergeCell ref="I6:K6"/>
    <mergeCell ref="F6:H6"/>
    <mergeCell ref="A8:B8"/>
    <mergeCell ref="C8:E8"/>
    <mergeCell ref="I8:K8"/>
    <mergeCell ref="A9:B9"/>
    <mergeCell ref="C9:E9"/>
    <mergeCell ref="F9:H9"/>
    <mergeCell ref="I9:K9"/>
    <mergeCell ref="F8:H8"/>
    <mergeCell ref="I10:K10"/>
    <mergeCell ref="A11:C17"/>
    <mergeCell ref="G11:G17"/>
    <mergeCell ref="H11:H17"/>
    <mergeCell ref="I11:I17"/>
    <mergeCell ref="J11:J17"/>
    <mergeCell ref="A23:C23"/>
    <mergeCell ref="A10:B10"/>
    <mergeCell ref="C10:E10"/>
    <mergeCell ref="D20:D21"/>
    <mergeCell ref="G10:H10"/>
    <mergeCell ref="F18:F23"/>
    <mergeCell ref="A39:K39"/>
    <mergeCell ref="A24:C24"/>
    <mergeCell ref="K11:K17"/>
    <mergeCell ref="D12:D17"/>
    <mergeCell ref="E12:E17"/>
    <mergeCell ref="F12:F17"/>
    <mergeCell ref="A18:C18"/>
    <mergeCell ref="H18:H19"/>
    <mergeCell ref="I18:I19"/>
    <mergeCell ref="K18:K31"/>
    <mergeCell ref="A19:C19"/>
    <mergeCell ref="A20:C20"/>
    <mergeCell ref="H20:H21"/>
    <mergeCell ref="I20:I21"/>
    <mergeCell ref="A21:C21"/>
    <mergeCell ref="A22:C22"/>
    <mergeCell ref="A25:C25"/>
    <mergeCell ref="A31:C31"/>
    <mergeCell ref="D31:F31"/>
    <mergeCell ref="A33:C33"/>
    <mergeCell ref="A34:C34"/>
    <mergeCell ref="D34:E34"/>
    <mergeCell ref="A26:C26"/>
    <mergeCell ref="A27:C27"/>
    <mergeCell ref="A28:C28"/>
    <mergeCell ref="A29:H29"/>
    <mergeCell ref="A30:C30"/>
    <mergeCell ref="H31:I31"/>
    <mergeCell ref="D33:H33"/>
    <mergeCell ref="F25:F28"/>
  </mergeCells>
  <phoneticPr fontId="4" type="noConversion"/>
  <conditionalFormatting sqref="C6:E6">
    <cfRule type="containsText" dxfId="0" priority="1" operator="containsText" text="PLEASE ENTER ROLL">
      <formula>NOT(ISERROR(SEARCH("PLEASE ENTER ROLL",C6)))</formula>
    </cfRule>
  </conditionalFormatting>
  <pageMargins left="0.19685039370078741" right="0.19685039370078741" top="0.19685039370078741" bottom="0.19685039370078741" header="0.19685039370078741" footer="0.19685039370078741"/>
  <pageSetup paperSize="9" scale="95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2025-02-13T08:33:40Z</cp:lastPrinted>
  <dcterms:created xsi:type="dcterms:W3CDTF">2020-11-16T04:30:11Z</dcterms:created>
  <dcterms:modified xsi:type="dcterms:W3CDTF">2025-02-13T08:33:43Z</dcterms:modified>
</cp:coreProperties>
</file>