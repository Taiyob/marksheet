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SSC-25\Final Model Test\"/>
    </mc:Choice>
  </mc:AlternateContent>
  <xr:revisionPtr revIDLastSave="0" documentId="13_ncr:1_{DD5AE2AE-AFEF-44EB-BCFA-D75E0B5DC3B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ULATION SCI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L12" i="4" l="1"/>
  <c r="BM12" i="4"/>
  <c r="BL15" i="4"/>
  <c r="BM15" i="4"/>
  <c r="BL16" i="4"/>
  <c r="BM16" i="4"/>
  <c r="BL23" i="4"/>
  <c r="BM23" i="4"/>
  <c r="BL24" i="4"/>
  <c r="BM24" i="4"/>
  <c r="BL25" i="4"/>
  <c r="BL26" i="4"/>
  <c r="BM26" i="4"/>
  <c r="BL27" i="4"/>
  <c r="BM27" i="4"/>
  <c r="BL28" i="4"/>
  <c r="BM28" i="4"/>
  <c r="BJ10" i="4"/>
  <c r="BJ11" i="4"/>
  <c r="BL11" i="4" s="1"/>
  <c r="BJ12" i="4"/>
  <c r="BJ13" i="4"/>
  <c r="BL13" i="4" s="1"/>
  <c r="BJ14" i="4"/>
  <c r="BL14" i="4" s="1"/>
  <c r="BJ15" i="4"/>
  <c r="BJ16" i="4"/>
  <c r="BJ17" i="4"/>
  <c r="BL17" i="4" s="1"/>
  <c r="BJ18" i="4"/>
  <c r="BL18" i="4" s="1"/>
  <c r="BJ19" i="4"/>
  <c r="BL19" i="4" s="1"/>
  <c r="BJ20" i="4"/>
  <c r="BL20" i="4" s="1"/>
  <c r="BJ21" i="4"/>
  <c r="BL21" i="4" s="1"/>
  <c r="BJ22" i="4"/>
  <c r="BL22" i="4" s="1"/>
  <c r="BJ23" i="4"/>
  <c r="BJ24" i="4"/>
  <c r="BJ25" i="4"/>
  <c r="BM25" i="4" s="1"/>
  <c r="BJ26" i="4"/>
  <c r="BJ27" i="4"/>
  <c r="BJ28" i="4"/>
  <c r="BJ29" i="4"/>
  <c r="BL29" i="4" s="1"/>
  <c r="BJ30" i="4"/>
  <c r="BL30" i="4" s="1"/>
  <c r="BF16" i="4"/>
  <c r="BF26" i="4"/>
  <c r="BF27" i="4"/>
  <c r="BD10" i="4"/>
  <c r="BF10" i="4" s="1"/>
  <c r="BD11" i="4"/>
  <c r="BF11" i="4" s="1"/>
  <c r="BD12" i="4"/>
  <c r="BF12" i="4" s="1"/>
  <c r="BD13" i="4"/>
  <c r="BF13" i="4" s="1"/>
  <c r="BD14" i="4"/>
  <c r="BF14" i="4" s="1"/>
  <c r="BD15" i="4"/>
  <c r="BF15" i="4" s="1"/>
  <c r="BD16" i="4"/>
  <c r="BD17" i="4"/>
  <c r="BF17" i="4" s="1"/>
  <c r="BD18" i="4"/>
  <c r="BF18" i="4" s="1"/>
  <c r="BD19" i="4"/>
  <c r="BF19" i="4" s="1"/>
  <c r="BD20" i="4"/>
  <c r="BF20" i="4" s="1"/>
  <c r="BD21" i="4"/>
  <c r="BF21" i="4" s="1"/>
  <c r="BD22" i="4"/>
  <c r="BF22" i="4" s="1"/>
  <c r="BD23" i="4"/>
  <c r="BF23" i="4" s="1"/>
  <c r="BD24" i="4"/>
  <c r="BF24" i="4" s="1"/>
  <c r="BD25" i="4"/>
  <c r="BF25" i="4" s="1"/>
  <c r="BD26" i="4"/>
  <c r="BD27" i="4"/>
  <c r="BD28" i="4"/>
  <c r="BF28" i="4" s="1"/>
  <c r="BD29" i="4"/>
  <c r="BF29" i="4" s="1"/>
  <c r="BD30" i="4"/>
  <c r="BF30" i="4" s="1"/>
  <c r="AZ12" i="4"/>
  <c r="AZ16" i="4"/>
  <c r="AZ26" i="4"/>
  <c r="AZ27" i="4"/>
  <c r="AZ28" i="4"/>
  <c r="AX10" i="4"/>
  <c r="AZ10" i="4" s="1"/>
  <c r="AX11" i="4"/>
  <c r="AZ11" i="4" s="1"/>
  <c r="AX12" i="4"/>
  <c r="AX13" i="4"/>
  <c r="AZ13" i="4" s="1"/>
  <c r="AX14" i="4"/>
  <c r="AZ14" i="4" s="1"/>
  <c r="AX15" i="4"/>
  <c r="AZ15" i="4" s="1"/>
  <c r="AX16" i="4"/>
  <c r="AX17" i="4"/>
  <c r="AZ17" i="4" s="1"/>
  <c r="AX18" i="4"/>
  <c r="AZ18" i="4" s="1"/>
  <c r="AX19" i="4"/>
  <c r="AZ19" i="4" s="1"/>
  <c r="AX20" i="4"/>
  <c r="AZ20" i="4" s="1"/>
  <c r="AX21" i="4"/>
  <c r="AZ21" i="4" s="1"/>
  <c r="AX22" i="4"/>
  <c r="AZ22" i="4" s="1"/>
  <c r="AX23" i="4"/>
  <c r="AZ23" i="4" s="1"/>
  <c r="AX24" i="4"/>
  <c r="AZ24" i="4" s="1"/>
  <c r="AX25" i="4"/>
  <c r="AZ25" i="4" s="1"/>
  <c r="AX26" i="4"/>
  <c r="AX27" i="4"/>
  <c r="AX28" i="4"/>
  <c r="AX29" i="4"/>
  <c r="AZ29" i="4" s="1"/>
  <c r="AX30" i="4"/>
  <c r="AZ30" i="4" s="1"/>
  <c r="AT26" i="4"/>
  <c r="AT28" i="4"/>
  <c r="AR10" i="4"/>
  <c r="AT10" i="4" s="1"/>
  <c r="AR11" i="4"/>
  <c r="AT11" i="4" s="1"/>
  <c r="AR12" i="4"/>
  <c r="AT12" i="4" s="1"/>
  <c r="AR13" i="4"/>
  <c r="AT13" i="4" s="1"/>
  <c r="AR14" i="4"/>
  <c r="AT14" i="4" s="1"/>
  <c r="AR15" i="4"/>
  <c r="AT15" i="4" s="1"/>
  <c r="AR16" i="4"/>
  <c r="AT16" i="4" s="1"/>
  <c r="AR17" i="4"/>
  <c r="AT17" i="4" s="1"/>
  <c r="AR18" i="4"/>
  <c r="AT18" i="4" s="1"/>
  <c r="AR19" i="4"/>
  <c r="AT19" i="4" s="1"/>
  <c r="AR20" i="4"/>
  <c r="AT20" i="4" s="1"/>
  <c r="AR21" i="4"/>
  <c r="AT21" i="4" s="1"/>
  <c r="AR22" i="4"/>
  <c r="AT22" i="4" s="1"/>
  <c r="AR23" i="4"/>
  <c r="AT23" i="4" s="1"/>
  <c r="AR24" i="4"/>
  <c r="AT24" i="4" s="1"/>
  <c r="AR25" i="4"/>
  <c r="AT25" i="4" s="1"/>
  <c r="AR26" i="4"/>
  <c r="AR27" i="4"/>
  <c r="AT27" i="4" s="1"/>
  <c r="AR28" i="4"/>
  <c r="AR29" i="4"/>
  <c r="AT29" i="4" s="1"/>
  <c r="AR30" i="4"/>
  <c r="AT30" i="4" s="1"/>
  <c r="AN11" i="4"/>
  <c r="AN16" i="4"/>
  <c r="AN24" i="4"/>
  <c r="AN26" i="4"/>
  <c r="AN27" i="4"/>
  <c r="AL10" i="4"/>
  <c r="AN10" i="4" s="1"/>
  <c r="AL11" i="4"/>
  <c r="AL12" i="4"/>
  <c r="AN12" i="4" s="1"/>
  <c r="AL13" i="4"/>
  <c r="AN13" i="4" s="1"/>
  <c r="AL14" i="4"/>
  <c r="AN14" i="4" s="1"/>
  <c r="AL15" i="4"/>
  <c r="AN15" i="4" s="1"/>
  <c r="AL16" i="4"/>
  <c r="AL17" i="4"/>
  <c r="AN17" i="4" s="1"/>
  <c r="AL18" i="4"/>
  <c r="AN18" i="4" s="1"/>
  <c r="AL19" i="4"/>
  <c r="AN19" i="4" s="1"/>
  <c r="AL20" i="4"/>
  <c r="AN20" i="4" s="1"/>
  <c r="AL21" i="4"/>
  <c r="AN21" i="4" s="1"/>
  <c r="AL22" i="4"/>
  <c r="AN22" i="4" s="1"/>
  <c r="AL23" i="4"/>
  <c r="AN23" i="4" s="1"/>
  <c r="AL24" i="4"/>
  <c r="AL25" i="4"/>
  <c r="AN25" i="4" s="1"/>
  <c r="AL26" i="4"/>
  <c r="AL27" i="4"/>
  <c r="AL28" i="4"/>
  <c r="AN28" i="4" s="1"/>
  <c r="AL29" i="4"/>
  <c r="AN29" i="4" s="1"/>
  <c r="AL30" i="4"/>
  <c r="AN30" i="4" s="1"/>
  <c r="AI11" i="4"/>
  <c r="AI16" i="4"/>
  <c r="AI19" i="4"/>
  <c r="AI26" i="4"/>
  <c r="AI27" i="4"/>
  <c r="AG10" i="4"/>
  <c r="AI10" i="4" s="1"/>
  <c r="AG11" i="4"/>
  <c r="AG12" i="4"/>
  <c r="AI12" i="4" s="1"/>
  <c r="AG13" i="4"/>
  <c r="AI13" i="4" s="1"/>
  <c r="AG14" i="4"/>
  <c r="AI14" i="4" s="1"/>
  <c r="AG15" i="4"/>
  <c r="AI15" i="4" s="1"/>
  <c r="AG16" i="4"/>
  <c r="AG17" i="4"/>
  <c r="AI17" i="4" s="1"/>
  <c r="AG18" i="4"/>
  <c r="AI18" i="4" s="1"/>
  <c r="AG19" i="4"/>
  <c r="AG20" i="4"/>
  <c r="AI20" i="4" s="1"/>
  <c r="AG21" i="4"/>
  <c r="AI21" i="4" s="1"/>
  <c r="AG22" i="4"/>
  <c r="AI22" i="4" s="1"/>
  <c r="AG23" i="4"/>
  <c r="AI23" i="4" s="1"/>
  <c r="AG24" i="4"/>
  <c r="AI24" i="4" s="1"/>
  <c r="AG25" i="4"/>
  <c r="AI25" i="4" s="1"/>
  <c r="AG26" i="4"/>
  <c r="AG27" i="4"/>
  <c r="AG28" i="4"/>
  <c r="AI28" i="4" s="1"/>
  <c r="AG29" i="4"/>
  <c r="AI29" i="4" s="1"/>
  <c r="AG30" i="4"/>
  <c r="AI30" i="4" s="1"/>
  <c r="AD11" i="4"/>
  <c r="AD16" i="4"/>
  <c r="AD26" i="4"/>
  <c r="AD27" i="4"/>
  <c r="AB10" i="4"/>
  <c r="AD10" i="4" s="1"/>
  <c r="AB11" i="4"/>
  <c r="AB12" i="4"/>
  <c r="AD12" i="4" s="1"/>
  <c r="AB13" i="4"/>
  <c r="AD13" i="4" s="1"/>
  <c r="AB14" i="4"/>
  <c r="AD14" i="4" s="1"/>
  <c r="AB15" i="4"/>
  <c r="AD15" i="4" s="1"/>
  <c r="AB16" i="4"/>
  <c r="AB17" i="4"/>
  <c r="AD17" i="4" s="1"/>
  <c r="AB18" i="4"/>
  <c r="AD18" i="4" s="1"/>
  <c r="AB19" i="4"/>
  <c r="AD19" i="4" s="1"/>
  <c r="AB20" i="4"/>
  <c r="AD20" i="4" s="1"/>
  <c r="AB21" i="4"/>
  <c r="AD21" i="4" s="1"/>
  <c r="AB22" i="4"/>
  <c r="AD22" i="4" s="1"/>
  <c r="AB23" i="4"/>
  <c r="AD23" i="4" s="1"/>
  <c r="AB24" i="4"/>
  <c r="AD24" i="4" s="1"/>
  <c r="AB25" i="4"/>
  <c r="AD25" i="4" s="1"/>
  <c r="AB26" i="4"/>
  <c r="AB27" i="4"/>
  <c r="AB28" i="4"/>
  <c r="AD28" i="4" s="1"/>
  <c r="AB29" i="4"/>
  <c r="AD29" i="4" s="1"/>
  <c r="AB30" i="4"/>
  <c r="AD30" i="4" s="1"/>
  <c r="Y10" i="4"/>
  <c r="Y11" i="4"/>
  <c r="Y13" i="4"/>
  <c r="Y23" i="4"/>
  <c r="Y24" i="4"/>
  <c r="Y26" i="4"/>
  <c r="Y28" i="4"/>
  <c r="Y30" i="4"/>
  <c r="W10" i="4"/>
  <c r="W11" i="4"/>
  <c r="W12" i="4"/>
  <c r="Y12" i="4" s="1"/>
  <c r="W13" i="4"/>
  <c r="W14" i="4"/>
  <c r="Y14" i="4" s="1"/>
  <c r="W15" i="4"/>
  <c r="Y15" i="4" s="1"/>
  <c r="W16" i="4"/>
  <c r="Y16" i="4" s="1"/>
  <c r="W17" i="4"/>
  <c r="Y17" i="4" s="1"/>
  <c r="W18" i="4"/>
  <c r="Y18" i="4" s="1"/>
  <c r="W19" i="4"/>
  <c r="Y19" i="4" s="1"/>
  <c r="W20" i="4"/>
  <c r="Y20" i="4" s="1"/>
  <c r="W21" i="4"/>
  <c r="Y21" i="4" s="1"/>
  <c r="W22" i="4"/>
  <c r="Y22" i="4" s="1"/>
  <c r="W23" i="4"/>
  <c r="W24" i="4"/>
  <c r="W25" i="4"/>
  <c r="Y25" i="4" s="1"/>
  <c r="W26" i="4"/>
  <c r="W27" i="4"/>
  <c r="Y27" i="4" s="1"/>
  <c r="W28" i="4"/>
  <c r="W29" i="4"/>
  <c r="Y29" i="4" s="1"/>
  <c r="W30" i="4"/>
  <c r="R10" i="4"/>
  <c r="T10" i="4" s="1"/>
  <c r="R11" i="4"/>
  <c r="T11" i="4" s="1"/>
  <c r="R12" i="4"/>
  <c r="T12" i="4" s="1"/>
  <c r="R13" i="4"/>
  <c r="T13" i="4" s="1"/>
  <c r="R14" i="4"/>
  <c r="T14" i="4" s="1"/>
  <c r="R15" i="4"/>
  <c r="T15" i="4" s="1"/>
  <c r="R16" i="4"/>
  <c r="T16" i="4" s="1"/>
  <c r="R17" i="4"/>
  <c r="T17" i="4" s="1"/>
  <c r="R18" i="4"/>
  <c r="T18" i="4" s="1"/>
  <c r="R19" i="4"/>
  <c r="T19" i="4" s="1"/>
  <c r="R20" i="4"/>
  <c r="T20" i="4" s="1"/>
  <c r="R21" i="4"/>
  <c r="T21" i="4" s="1"/>
  <c r="R22" i="4"/>
  <c r="T22" i="4" s="1"/>
  <c r="R23" i="4"/>
  <c r="T23" i="4" s="1"/>
  <c r="R24" i="4"/>
  <c r="T24" i="4" s="1"/>
  <c r="R25" i="4"/>
  <c r="T25" i="4" s="1"/>
  <c r="R26" i="4"/>
  <c r="T26" i="4" s="1"/>
  <c r="R27" i="4"/>
  <c r="T27" i="4" s="1"/>
  <c r="R28" i="4"/>
  <c r="T28" i="4" s="1"/>
  <c r="R29" i="4"/>
  <c r="T29" i="4" s="1"/>
  <c r="R30" i="4"/>
  <c r="T30" i="4" s="1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M23" i="4" s="1"/>
  <c r="I24" i="4"/>
  <c r="I25" i="4"/>
  <c r="I26" i="4"/>
  <c r="I27" i="4"/>
  <c r="I28" i="4"/>
  <c r="I29" i="4"/>
  <c r="I30" i="4"/>
  <c r="W9" i="4"/>
  <c r="BL10" i="4"/>
  <c r="BM10" i="4"/>
  <c r="BM11" i="4"/>
  <c r="BM30" i="4" l="1"/>
  <c r="BM22" i="4"/>
  <c r="BM29" i="4"/>
  <c r="BM21" i="4"/>
  <c r="BM20" i="4"/>
  <c r="BM19" i="4"/>
  <c r="BM18" i="4"/>
  <c r="BM17" i="4"/>
  <c r="M28" i="4"/>
  <c r="O28" i="4" s="1"/>
  <c r="M14" i="4"/>
  <c r="O14" i="4" s="1"/>
  <c r="BN14" i="4" s="1"/>
  <c r="BO14" i="4" s="1"/>
  <c r="BP14" i="4" s="1"/>
  <c r="BM14" i="4"/>
  <c r="BM13" i="4"/>
  <c r="M18" i="4"/>
  <c r="O18" i="4" s="1"/>
  <c r="BN18" i="4" s="1"/>
  <c r="BO18" i="4" s="1"/>
  <c r="BP18" i="4" s="1"/>
  <c r="M27" i="4"/>
  <c r="O27" i="4" s="1"/>
  <c r="BN27" i="4" s="1"/>
  <c r="BO27" i="4" s="1"/>
  <c r="BP27" i="4" s="1"/>
  <c r="M30" i="4"/>
  <c r="O30" i="4" s="1"/>
  <c r="BN30" i="4" s="1"/>
  <c r="BO30" i="4" s="1"/>
  <c r="BP30" i="4" s="1"/>
  <c r="M20" i="4"/>
  <c r="O20" i="4" s="1"/>
  <c r="BN20" i="4" s="1"/>
  <c r="BO20" i="4" s="1"/>
  <c r="BP20" i="4" s="1"/>
  <c r="M11" i="4"/>
  <c r="O11" i="4" s="1"/>
  <c r="M10" i="4"/>
  <c r="O10" i="4" s="1"/>
  <c r="M19" i="4"/>
  <c r="BQ19" i="4" s="1"/>
  <c r="M17" i="4"/>
  <c r="M29" i="4"/>
  <c r="O29" i="4" s="1"/>
  <c r="BN29" i="4" s="1"/>
  <c r="BO29" i="4" s="1"/>
  <c r="BP29" i="4" s="1"/>
  <c r="M26" i="4"/>
  <c r="BQ26" i="4" s="1"/>
  <c r="M24" i="4"/>
  <c r="O24" i="4" s="1"/>
  <c r="BN24" i="4" s="1"/>
  <c r="BO24" i="4" s="1"/>
  <c r="BP24" i="4" s="1"/>
  <c r="M15" i="4"/>
  <c r="O15" i="4" s="1"/>
  <c r="BN15" i="4" s="1"/>
  <c r="BO15" i="4" s="1"/>
  <c r="BP15" i="4" s="1"/>
  <c r="M16" i="4"/>
  <c r="O16" i="4" s="1"/>
  <c r="BN16" i="4" s="1"/>
  <c r="BO16" i="4" s="1"/>
  <c r="BP16" i="4" s="1"/>
  <c r="M25" i="4"/>
  <c r="O25" i="4" s="1"/>
  <c r="BN25" i="4" s="1"/>
  <c r="BO25" i="4" s="1"/>
  <c r="BP25" i="4" s="1"/>
  <c r="M22" i="4"/>
  <c r="O22" i="4" s="1"/>
  <c r="BN22" i="4" s="1"/>
  <c r="BO22" i="4" s="1"/>
  <c r="BP22" i="4" s="1"/>
  <c r="M13" i="4"/>
  <c r="O13" i="4" s="1"/>
  <c r="BN13" i="4" s="1"/>
  <c r="BO13" i="4" s="1"/>
  <c r="BP13" i="4" s="1"/>
  <c r="M21" i="4"/>
  <c r="O21" i="4" s="1"/>
  <c r="BN21" i="4" s="1"/>
  <c r="BO21" i="4" s="1"/>
  <c r="BP21" i="4" s="1"/>
  <c r="M12" i="4"/>
  <c r="O12" i="4" s="1"/>
  <c r="BN12" i="4" s="1"/>
  <c r="BO12" i="4" s="1"/>
  <c r="BP12" i="4" s="1"/>
  <c r="BQ17" i="4"/>
  <c r="O17" i="4"/>
  <c r="BN17" i="4" s="1"/>
  <c r="BO17" i="4" s="1"/>
  <c r="BP17" i="4" s="1"/>
  <c r="O23" i="4"/>
  <c r="BN23" i="4" s="1"/>
  <c r="BO23" i="4" s="1"/>
  <c r="BP23" i="4" s="1"/>
  <c r="BQ23" i="4"/>
  <c r="BN28" i="4"/>
  <c r="BO28" i="4" s="1"/>
  <c r="BP28" i="4" s="1"/>
  <c r="BQ14" i="4"/>
  <c r="BQ28" i="4"/>
  <c r="E35" i="2"/>
  <c r="BJ9" i="4"/>
  <c r="BM9" i="4" s="1"/>
  <c r="BD9" i="4"/>
  <c r="BF9" i="4" s="1"/>
  <c r="AX9" i="4"/>
  <c r="AZ9" i="4" s="1"/>
  <c r="AR9" i="4"/>
  <c r="AT9" i="4" s="1"/>
  <c r="AL9" i="4"/>
  <c r="AN9" i="4" s="1"/>
  <c r="AG9" i="4"/>
  <c r="AI9" i="4" s="1"/>
  <c r="AB9" i="4"/>
  <c r="AD9" i="4" s="1"/>
  <c r="Y9" i="4"/>
  <c r="R9" i="4"/>
  <c r="T9" i="4" s="1"/>
  <c r="L9" i="4"/>
  <c r="I9" i="4"/>
  <c r="BQ18" i="4" l="1"/>
  <c r="BQ12" i="4"/>
  <c r="BQ27" i="4"/>
  <c r="BQ11" i="4"/>
  <c r="BQ30" i="4"/>
  <c r="BQ20" i="4"/>
  <c r="BQ13" i="4"/>
  <c r="O19" i="4"/>
  <c r="BN19" i="4" s="1"/>
  <c r="BO19" i="4" s="1"/>
  <c r="BP19" i="4" s="1"/>
  <c r="BQ16" i="4"/>
  <c r="BQ10" i="4"/>
  <c r="BQ25" i="4"/>
  <c r="BQ21" i="4"/>
  <c r="BQ22" i="4"/>
  <c r="BQ15" i="4"/>
  <c r="O26" i="4"/>
  <c r="BN26" i="4" s="1"/>
  <c r="BO26" i="4" s="1"/>
  <c r="BP26" i="4" s="1"/>
  <c r="BQ24" i="4"/>
  <c r="BQ29" i="4"/>
  <c r="BN11" i="4"/>
  <c r="BO11" i="4" s="1"/>
  <c r="BP11" i="4" s="1"/>
  <c r="BL9" i="4"/>
  <c r="BN10" i="4" l="1"/>
  <c r="BO10" i="4" s="1"/>
  <c r="BP10" i="4" s="1"/>
  <c r="M9" i="4"/>
  <c r="O9" i="4" s="1"/>
  <c r="F31" i="2"/>
  <c r="F29" i="2"/>
  <c r="F28" i="2"/>
  <c r="F27" i="2"/>
  <c r="F26" i="2"/>
  <c r="F24" i="2"/>
  <c r="F23" i="2"/>
  <c r="F22" i="2"/>
  <c r="F21" i="2"/>
  <c r="F20" i="2"/>
  <c r="F19" i="2"/>
  <c r="E31" i="2"/>
  <c r="E29" i="2"/>
  <c r="E28" i="2"/>
  <c r="E27" i="2"/>
  <c r="E26" i="2"/>
  <c r="E25" i="2"/>
  <c r="E24" i="2"/>
  <c r="E23" i="2"/>
  <c r="E20" i="2"/>
  <c r="E19" i="2"/>
  <c r="D8" i="2"/>
  <c r="D7" i="2"/>
  <c r="D6" i="2"/>
  <c r="G31" i="2"/>
  <c r="G29" i="2"/>
  <c r="G28" i="2"/>
  <c r="G27" i="2"/>
  <c r="G25" i="2"/>
  <c r="F35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J22" i="2"/>
  <c r="J20" i="2"/>
  <c r="H22" i="2"/>
  <c r="H20" i="2"/>
  <c r="J24" i="2" l="1"/>
  <c r="J26" i="2"/>
  <c r="K26" i="2" s="1"/>
  <c r="BN9" i="4"/>
  <c r="BO9" i="4" s="1"/>
  <c r="BP9" i="4" s="1"/>
  <c r="BQ9" i="4"/>
  <c r="J23" i="2"/>
  <c r="H31" i="2"/>
  <c r="X9" i="4"/>
  <c r="I23" i="2" s="1"/>
  <c r="S9" i="4"/>
  <c r="I21" i="2" s="1"/>
  <c r="AM9" i="4"/>
  <c r="I26" i="2" s="1"/>
  <c r="AH9" i="4"/>
  <c r="I25" i="2" s="1"/>
  <c r="BE9" i="4"/>
  <c r="I29" i="2" s="1"/>
  <c r="AS9" i="4"/>
  <c r="I27" i="2" s="1"/>
  <c r="AC9" i="4"/>
  <c r="I24" i="2" s="1"/>
  <c r="AY9" i="4"/>
  <c r="I28" i="2" s="1"/>
  <c r="BK9" i="4"/>
  <c r="I31" i="2" s="1"/>
  <c r="J29" i="2"/>
  <c r="K29" i="2" s="1"/>
  <c r="J25" i="2"/>
  <c r="K25" i="2" s="1"/>
  <c r="J27" i="2"/>
  <c r="K27" i="2" s="1"/>
  <c r="J21" i="2"/>
  <c r="J28" i="2"/>
  <c r="H21" i="2"/>
  <c r="H23" i="2"/>
  <c r="H24" i="2"/>
  <c r="H25" i="2"/>
  <c r="H26" i="2"/>
  <c r="H27" i="2"/>
  <c r="H28" i="2"/>
  <c r="H29" i="2"/>
  <c r="K23" i="2" l="1"/>
  <c r="N9" i="4"/>
  <c r="I19" i="2" s="1"/>
  <c r="K21" i="2"/>
  <c r="K28" i="2"/>
  <c r="K24" i="2"/>
  <c r="J31" i="2"/>
  <c r="K31" i="2" s="1"/>
  <c r="H19" i="2"/>
  <c r="J19" i="2" l="1"/>
  <c r="K19" i="2" s="1"/>
  <c r="L19" i="2" l="1"/>
  <c r="E34" i="2"/>
  <c r="H32" i="2" l="1"/>
</calcChain>
</file>

<file path=xl/sharedStrings.xml><?xml version="1.0" encoding="utf-8"?>
<sst xmlns="http://schemas.openxmlformats.org/spreadsheetml/2006/main" count="205" uniqueCount="152">
  <si>
    <t>ROLL</t>
  </si>
  <si>
    <t>TOTAL</t>
  </si>
  <si>
    <t>GP</t>
  </si>
  <si>
    <t>MATH</t>
  </si>
  <si>
    <t>RELIGION</t>
  </si>
  <si>
    <t>ICT</t>
  </si>
  <si>
    <t>T-GP</t>
  </si>
  <si>
    <t>GPA</t>
  </si>
  <si>
    <t>CR</t>
  </si>
  <si>
    <t>OB</t>
  </si>
  <si>
    <t>PR</t>
  </si>
  <si>
    <t>ENGLISH</t>
  </si>
  <si>
    <t>1st</t>
  </si>
  <si>
    <t>2nd</t>
  </si>
  <si>
    <t>Mother's Name</t>
  </si>
  <si>
    <t>Student's Name</t>
  </si>
  <si>
    <t>Mobile No.</t>
  </si>
  <si>
    <t>HIGHST
MARKS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</si>
  <si>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</si>
  <si>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</si>
  <si>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</si>
  <si>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</si>
  <si>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</si>
  <si>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</si>
  <si>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</si>
  <si>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</si>
  <si>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</si>
  <si>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</si>
  <si>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</si>
  <si>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</si>
  <si>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</si>
  <si>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</si>
  <si>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</si>
  <si>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</si>
  <si>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</si>
  <si>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</si>
  <si>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</si>
  <si>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</si>
  <si>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PHYSICS</t>
  </si>
  <si>
    <t>CHEMISTRY</t>
  </si>
  <si>
    <t>BEHABIOUR</t>
  </si>
  <si>
    <t>GRAND TOTAL 
MARKS</t>
  </si>
  <si>
    <t>RANK OF STUDENT</t>
  </si>
  <si>
    <t>BGS</t>
  </si>
  <si>
    <t>BIOLOGY / H-MATH</t>
  </si>
  <si>
    <t>BIOLOGY / H-MATH / AG</t>
  </si>
  <si>
    <t>Fahther`s Name</t>
  </si>
  <si>
    <t>TOTAL
 100</t>
  </si>
  <si>
    <t>TOTAL
100</t>
  </si>
  <si>
    <t>TOTAL
200</t>
  </si>
  <si>
    <t>BANGLA-1</t>
  </si>
  <si>
    <t>BANGLA-2</t>
  </si>
  <si>
    <t>GP1</t>
  </si>
  <si>
    <t>GRADE</t>
  </si>
  <si>
    <t xml:space="preserve">TEN </t>
  </si>
  <si>
    <t>SCIENCE (B)</t>
  </si>
  <si>
    <t>TOTAL STUDENT       :</t>
  </si>
  <si>
    <t>WORKING DAYS        :</t>
  </si>
  <si>
    <t>Class Teacher</t>
  </si>
  <si>
    <r>
      <t>STUDENTS BEHAVIOURS AND SKILL</t>
    </r>
    <r>
      <rPr>
        <sz val="14"/>
        <color theme="1"/>
        <rFont val="Cambria"/>
        <family val="1"/>
        <scheme val="major"/>
      </rPr>
      <t>:</t>
    </r>
  </si>
  <si>
    <r>
      <t xml:space="preserve">POSITION OF THE EXAMINEE           </t>
    </r>
    <r>
      <rPr>
        <sz val="14"/>
        <color theme="1"/>
        <rFont val="Cambria"/>
        <family val="1"/>
        <scheme val="major"/>
      </rPr>
      <t>:</t>
    </r>
  </si>
  <si>
    <t>MD.MUSFIQUR RAHMAN</t>
  </si>
  <si>
    <t>SECTION                        :</t>
  </si>
  <si>
    <t>CLASS                            :</t>
  </si>
  <si>
    <t>ROLL NO.                        :</t>
  </si>
  <si>
    <t>Principal</t>
  </si>
  <si>
    <t xml:space="preserve">Afsana Kabir Rose </t>
  </si>
  <si>
    <t xml:space="preserve">Md. Shamim Kabir </t>
  </si>
  <si>
    <t xml:space="preserve">Mst. Salma </t>
  </si>
  <si>
    <t xml:space="preserve">Md. Ashiqur Rhaman </t>
  </si>
  <si>
    <t>Nasima Rahman</t>
  </si>
  <si>
    <t>01670-313037</t>
  </si>
  <si>
    <t>Md. Ismail Hossen Labib</t>
  </si>
  <si>
    <t>Md. Faruk Hossain</t>
  </si>
  <si>
    <t>Ayesha Akhter</t>
  </si>
  <si>
    <t xml:space="preserve">Mahbuba Akter Mouli </t>
  </si>
  <si>
    <t xml:space="preserve">Md. Muhibbullah </t>
  </si>
  <si>
    <t xml:space="preserve">Msot. Mafraha Pervin </t>
  </si>
  <si>
    <t>01715-182107</t>
  </si>
  <si>
    <t xml:space="preserve">Tahseen Ul Islam </t>
  </si>
  <si>
    <t xml:space="preserve">Tohidul Islam </t>
  </si>
  <si>
    <t xml:space="preserve">Hasina Akter </t>
  </si>
  <si>
    <t xml:space="preserve">Sadiya  Khatun </t>
  </si>
  <si>
    <t>Md. Nurul Islam</t>
  </si>
  <si>
    <t>Arifa Begum</t>
  </si>
  <si>
    <t xml:space="preserve"> 01300-843961</t>
  </si>
  <si>
    <t xml:space="preserve">Md. Sakib Al Hassan </t>
  </si>
  <si>
    <t xml:space="preserve">Md. Hilal Uddin </t>
  </si>
  <si>
    <t xml:space="preserve">Sabekun Nahar Sobnom </t>
  </si>
  <si>
    <t xml:space="preserve">Shaikhul Islam Kabir </t>
  </si>
  <si>
    <t xml:space="preserve">Minara Pervin </t>
  </si>
  <si>
    <t>01816-054106</t>
  </si>
  <si>
    <t xml:space="preserve">Md. Shohel Rana </t>
  </si>
  <si>
    <t xml:space="preserve">Nelufa Yeasmin </t>
  </si>
  <si>
    <t xml:space="preserve">Jubair Islam Rifat </t>
  </si>
  <si>
    <t xml:space="preserve">Aminor Islam </t>
  </si>
  <si>
    <t xml:space="preserve">Rita Akter </t>
  </si>
  <si>
    <t>Md. Mahim Chowdhury</t>
  </si>
  <si>
    <t xml:space="preserve">Biplob Chowdhury </t>
  </si>
  <si>
    <t xml:space="preserve">Zakia Sultana </t>
  </si>
  <si>
    <t>01303-991350</t>
  </si>
  <si>
    <t>Md. Mahmudul Hasan</t>
  </si>
  <si>
    <t xml:space="preserve">Abdul Hamid </t>
  </si>
  <si>
    <t xml:space="preserve">Mst. Marufa Akter </t>
  </si>
  <si>
    <t>01610-300535</t>
  </si>
  <si>
    <t xml:space="preserve">Muhammad Foyezul </t>
  </si>
  <si>
    <t xml:space="preserve">Md. Faridul Haque </t>
  </si>
  <si>
    <t xml:space="preserve">Mrs. Farida Easmin </t>
  </si>
  <si>
    <t>Ratul</t>
  </si>
  <si>
    <t>Saha Alam</t>
  </si>
  <si>
    <t xml:space="preserve">Rina Akter </t>
  </si>
  <si>
    <t>01676255489</t>
  </si>
  <si>
    <t xml:space="preserve">Jannatul ferdous </t>
  </si>
  <si>
    <t>Nusrat Jahan Trisha</t>
  </si>
  <si>
    <t>Tariqul Islam</t>
  </si>
  <si>
    <t>Salma Akter</t>
  </si>
  <si>
    <t>01725-490167</t>
  </si>
  <si>
    <t>BIOLOGY</t>
  </si>
  <si>
    <t>H-MATH/ AGGRICULTURE</t>
  </si>
  <si>
    <t>Kaisha Islam Shefa</t>
  </si>
  <si>
    <t>01711-346161</t>
  </si>
  <si>
    <t>01972-128586</t>
  </si>
  <si>
    <t>01763-486150</t>
  </si>
  <si>
    <t>01970-950950</t>
  </si>
  <si>
    <t>01727-744722</t>
  </si>
  <si>
    <t>01932-797093</t>
  </si>
  <si>
    <t>01751-154332</t>
  </si>
  <si>
    <t>01326-860205</t>
  </si>
  <si>
    <t>Co-Ordinator</t>
  </si>
  <si>
    <t xml:space="preserve">Tasmiya Islam Zannat </t>
  </si>
  <si>
    <t xml:space="preserve">Shafiqul Islam </t>
  </si>
  <si>
    <t xml:space="preserve">Shapna </t>
  </si>
  <si>
    <t>01928-150100</t>
  </si>
  <si>
    <t>Shazahan Gazi</t>
  </si>
  <si>
    <t xml:space="preserve">Mahamuda </t>
  </si>
  <si>
    <t>01670-164667</t>
  </si>
  <si>
    <t>Anowarul Kawsar</t>
  </si>
  <si>
    <t>Mst. Jannatul Ambia</t>
  </si>
  <si>
    <t>01717-341822</t>
  </si>
  <si>
    <t>Zarin Farhana Liya</t>
  </si>
  <si>
    <t xml:space="preserve">Md. Al-Abid Deluar </t>
  </si>
  <si>
    <t xml:space="preserve">Mohammad Deluar Hossen </t>
  </si>
  <si>
    <t xml:space="preserve">Mst. Zubida </t>
  </si>
  <si>
    <t xml:space="preserve">01811-789628   </t>
  </si>
  <si>
    <t>Tanvir sadaf</t>
  </si>
  <si>
    <t>Abdullah</t>
  </si>
  <si>
    <t>S.L</t>
  </si>
  <si>
    <r>
      <rPr>
        <b/>
        <sz val="28"/>
        <color theme="1"/>
        <rFont val="Calibri"/>
        <family val="2"/>
        <scheme val="minor"/>
      </rPr>
      <t xml:space="preserve">AMIN CADET RESIDENTIAL ACADEMY
</t>
    </r>
    <r>
      <rPr>
        <b/>
        <sz val="11"/>
        <color theme="1"/>
        <rFont val="Calibri"/>
        <family val="2"/>
        <scheme val="minor"/>
      </rPr>
      <t>Amin Model Town, Savar Cantonment, Ashulia, Dhaka - 1344.</t>
    </r>
    <r>
      <rPr>
        <b/>
        <sz val="15"/>
        <color theme="1"/>
        <rFont val="Calibri"/>
        <family val="2"/>
        <scheme val="minor"/>
      </rPr>
      <t xml:space="preserve">
FINAL MODEL TEST EXAMINATION</t>
    </r>
    <r>
      <rPr>
        <b/>
        <sz val="15"/>
        <color rgb="FFFF0000"/>
        <rFont val="Calibri"/>
        <family val="2"/>
        <scheme val="minor"/>
      </rPr>
      <t xml:space="preserve"> </t>
    </r>
    <r>
      <rPr>
        <b/>
        <sz val="15"/>
        <rFont val="Calibri"/>
        <family val="2"/>
        <scheme val="minor"/>
      </rPr>
      <t>TABULATION SHEET-2025</t>
    </r>
    <r>
      <rPr>
        <b/>
        <sz val="15"/>
        <color rgb="FFFF0000"/>
        <rFont val="Calibri"/>
        <family val="2"/>
        <scheme val="minor"/>
      </rPr>
      <t xml:space="preserve">
</t>
    </r>
    <r>
      <rPr>
        <b/>
        <sz val="15"/>
        <rFont val="Calibri"/>
        <family val="2"/>
        <scheme val="minor"/>
      </rPr>
      <t>CLASS-10 (SCIENCE-B)</t>
    </r>
  </si>
  <si>
    <r>
      <t xml:space="preserve">       </t>
    </r>
    <r>
      <rPr>
        <b/>
        <sz val="18"/>
        <rFont val="Times New Roman"/>
        <family val="1"/>
      </rPr>
      <t xml:space="preserve">AMIN CADET RESIDENTIAL ACADEMY
</t>
    </r>
    <r>
      <rPr>
        <b/>
        <sz val="8"/>
        <rFont val="Times New Roman"/>
        <family val="1"/>
      </rPr>
      <t>Amin Model Town, Savar Cantonment, Ashulia, Dhaka-1344.</t>
    </r>
    <r>
      <rPr>
        <b/>
        <sz val="12"/>
        <rFont val="Times New Roman"/>
        <family val="1"/>
      </rPr>
      <t xml:space="preserve">
</t>
    </r>
    <r>
      <rPr>
        <b/>
        <sz val="14"/>
        <rFont val="Times New Roman"/>
        <family val="1"/>
      </rPr>
      <t>Final Model Test Examination</t>
    </r>
    <r>
      <rPr>
        <b/>
        <sz val="12"/>
        <rFont val="Times New Roman"/>
        <family val="1"/>
      </rPr>
      <t xml:space="preserve">
Progressive Report - 2025</t>
    </r>
  </si>
  <si>
    <t xml:space="preserve">Md. Mizanur Rahman </t>
  </si>
  <si>
    <t>Shahrin Jahan Sweety</t>
  </si>
  <si>
    <t>K.M. Abir Soyad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</si>
</sst>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u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5"/>
      <name val="Calibri"/>
      <family val="2"/>
      <scheme val="minor"/>
    </font>
    <font>
      <sz val="8"/>
      <color theme="1"/>
      <name val="Cambria"/>
      <family val="1"/>
      <scheme val="major"/>
    </font>
    <font>
      <sz val="10"/>
      <color theme="1"/>
      <name val="Lucida Handwriting"/>
      <family val="4"/>
    </font>
    <font>
      <b/>
      <sz val="12"/>
      <color rgb="FF00B0F0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sz val="14"/>
      <color theme="1"/>
      <name val="Cambria"/>
      <family val="1"/>
      <scheme val="major"/>
    </font>
    <font>
      <b/>
      <sz val="18"/>
      <name val="Times New Roman"/>
      <family val="1"/>
    </font>
    <font>
      <b/>
      <sz val="8"/>
      <name val="Times New Roman"/>
      <family val="1"/>
    </font>
    <font>
      <b/>
      <sz val="14"/>
      <name val="Times New Roman"/>
      <family val="1"/>
    </font>
    <font>
      <sz val="14"/>
      <name val="Algerian"/>
      <family val="5"/>
    </font>
    <font>
      <b/>
      <sz val="11"/>
      <color theme="1"/>
      <name val="Tempus Sans ITC"/>
      <family val="5"/>
    </font>
    <font>
      <sz val="10"/>
      <name val="Times New Roman"/>
      <family val="1"/>
    </font>
    <font>
      <sz val="11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" fontId="3" fillId="0" borderId="0" xfId="1" applyNumberFormat="1" applyFont="1" applyFill="1" applyBorder="1" applyAlignment="1">
      <alignment horizontal="center" vertical="center"/>
    </xf>
    <xf numFmtId="0" fontId="16" fillId="0" borderId="0" xfId="0" applyFont="1"/>
    <xf numFmtId="0" fontId="31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 wrapText="1"/>
    </xf>
    <xf numFmtId="0" fontId="31" fillId="2" borderId="1" xfId="0" applyFont="1" applyFill="1" applyBorder="1" applyAlignment="1">
      <alignment horizontal="left" vertical="center" wrapText="1"/>
    </xf>
    <xf numFmtId="0" fontId="31" fillId="2" borderId="1" xfId="0" applyFont="1" applyFill="1" applyBorder="1" applyAlignment="1">
      <alignment horizontal="left" vertical="center"/>
    </xf>
    <xf numFmtId="0" fontId="11" fillId="0" borderId="0" xfId="0" applyFont="1"/>
    <xf numFmtId="0" fontId="7" fillId="0" borderId="1" xfId="0" applyFont="1" applyBorder="1" applyAlignment="1">
      <alignment horizontal="center" vertical="center" wrapText="1"/>
    </xf>
    <xf numFmtId="0" fontId="0" fillId="2" borderId="0" xfId="0" applyFill="1"/>
    <xf numFmtId="0" fontId="0" fillId="2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center" vertical="center"/>
    </xf>
    <xf numFmtId="0" fontId="0" fillId="2" borderId="9" xfId="0" applyFill="1" applyBorder="1"/>
    <xf numFmtId="0" fontId="0" fillId="2" borderId="11" xfId="0" applyFill="1" applyBorder="1"/>
    <xf numFmtId="0" fontId="0" fillId="2" borderId="13" xfId="0" applyFill="1" applyBorder="1"/>
    <xf numFmtId="0" fontId="23" fillId="2" borderId="0" xfId="0" applyFont="1" applyFill="1"/>
    <xf numFmtId="0" fontId="0" fillId="2" borderId="14" xfId="0" applyFill="1" applyBorder="1"/>
    <xf numFmtId="0" fontId="0" fillId="2" borderId="15" xfId="0" applyFill="1" applyBorder="1"/>
    <xf numFmtId="0" fontId="14" fillId="2" borderId="15" xfId="0" applyFont="1" applyFill="1" applyBorder="1" applyAlignment="1">
      <alignment horizontal="center" vertical="center"/>
    </xf>
    <xf numFmtId="0" fontId="0" fillId="2" borderId="12" xfId="0" applyFill="1" applyBorder="1"/>
    <xf numFmtId="0" fontId="32" fillId="2" borderId="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12" xfId="0" applyFont="1" applyFill="1" applyBorder="1" applyAlignment="1">
      <alignment horizontal="center" vertical="center"/>
    </xf>
    <xf numFmtId="0" fontId="32" fillId="2" borderId="1" xfId="0" applyFont="1" applyFill="1" applyBorder="1"/>
    <xf numFmtId="0" fontId="32" fillId="2" borderId="6" xfId="0" applyFont="1" applyFill="1" applyBorder="1"/>
    <xf numFmtId="164" fontId="31" fillId="2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34" fillId="0" borderId="1" xfId="0" applyFont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2" fontId="34" fillId="0" borderId="1" xfId="1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0" fillId="2" borderId="13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11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21" fillId="2" borderId="10" xfId="0" applyFont="1" applyFill="1" applyBorder="1" applyAlignment="1">
      <alignment horizontal="left"/>
    </xf>
    <xf numFmtId="0" fontId="21" fillId="2" borderId="9" xfId="0" applyFont="1" applyFill="1" applyBorder="1" applyAlignment="1">
      <alignment horizontal="left"/>
    </xf>
    <xf numFmtId="0" fontId="15" fillId="2" borderId="10" xfId="0" applyFont="1" applyFill="1" applyBorder="1" applyAlignment="1">
      <alignment horizontal="right"/>
    </xf>
    <xf numFmtId="0" fontId="15" fillId="2" borderId="0" xfId="0" applyFont="1" applyFill="1" applyAlignment="1">
      <alignment horizontal="right"/>
    </xf>
    <xf numFmtId="0" fontId="10" fillId="2" borderId="0" xfId="0" applyFont="1" applyFill="1" applyAlignment="1">
      <alignment horizontal="right" vertical="center"/>
    </xf>
    <xf numFmtId="0" fontId="10" fillId="2" borderId="14" xfId="0" applyFont="1" applyFill="1" applyBorder="1" applyAlignment="1">
      <alignment horizontal="center"/>
    </xf>
    <xf numFmtId="0" fontId="10" fillId="2" borderId="15" xfId="0" applyFont="1" applyFill="1" applyBorder="1" applyAlignment="1">
      <alignment horizontal="center"/>
    </xf>
    <xf numFmtId="49" fontId="21" fillId="2" borderId="15" xfId="0" applyNumberFormat="1" applyFont="1" applyFill="1" applyBorder="1" applyAlignment="1">
      <alignment horizontal="left"/>
    </xf>
    <xf numFmtId="0" fontId="21" fillId="2" borderId="15" xfId="0" applyFont="1" applyFill="1" applyBorder="1" applyAlignment="1">
      <alignment horizontal="left"/>
    </xf>
    <xf numFmtId="0" fontId="21" fillId="2" borderId="12" xfId="0" applyFont="1" applyFill="1" applyBorder="1" applyAlignment="1">
      <alignment horizontal="left"/>
    </xf>
    <xf numFmtId="0" fontId="29" fillId="2" borderId="13" xfId="0" applyFont="1" applyFill="1" applyBorder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9" fillId="2" borderId="11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 textRotation="90"/>
    </xf>
    <xf numFmtId="0" fontId="13" fillId="2" borderId="3" xfId="0" applyFont="1" applyFill="1" applyBorder="1" applyAlignment="1">
      <alignment horizontal="center" vertical="center" textRotation="90"/>
    </xf>
    <xf numFmtId="0" fontId="10" fillId="2" borderId="15" xfId="0" applyFont="1" applyFill="1" applyBorder="1" applyAlignment="1">
      <alignment horizontal="right" vertical="center"/>
    </xf>
    <xf numFmtId="0" fontId="10" fillId="2" borderId="1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2" fontId="25" fillId="2" borderId="1" xfId="0" applyNumberFormat="1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3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24" fillId="2" borderId="0" xfId="0" applyFont="1" applyFill="1" applyAlignment="1">
      <alignment horizontal="left"/>
    </xf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30" fillId="2" borderId="0" xfId="0" applyFont="1" applyFill="1" applyAlignment="1">
      <alignment horizontal="left" vertical="center"/>
    </xf>
    <xf numFmtId="0" fontId="32" fillId="2" borderId="5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7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/>
    </xf>
    <xf numFmtId="0" fontId="32" fillId="2" borderId="4" xfId="0" applyFont="1" applyFill="1" applyBorder="1" applyAlignment="1">
      <alignment horizontal="center"/>
    </xf>
    <xf numFmtId="0" fontId="32" fillId="2" borderId="3" xfId="0" applyFont="1" applyFill="1" applyBorder="1" applyAlignment="1">
      <alignment horizontal="center"/>
    </xf>
    <xf numFmtId="0" fontId="20" fillId="2" borderId="1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FF99FF"/>
      <color rgb="FF9ABB59"/>
      <color rgb="FF87FD6B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76200</xdr:colOff>
      <xdr:row>0</xdr:row>
      <xdr:rowOff>28575</xdr:rowOff>
    </xdr:from>
    <xdr:to>
      <xdr:col>27</xdr:col>
      <xdr:colOff>351866</xdr:colOff>
      <xdr:row>5</xdr:row>
      <xdr:rowOff>209550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905750" y="28575"/>
          <a:ext cx="990041" cy="1123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372717</xdr:colOff>
      <xdr:row>1</xdr:row>
      <xdr:rowOff>41413</xdr:rowOff>
    </xdr:from>
    <xdr:to>
      <xdr:col>2</xdr:col>
      <xdr:colOff>550773</xdr:colOff>
      <xdr:row>4</xdr:row>
      <xdr:rowOff>186553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480391" y="231913"/>
          <a:ext cx="790969" cy="97340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438977</xdr:colOff>
      <xdr:row>37</xdr:row>
      <xdr:rowOff>33132</xdr:rowOff>
    </xdr:from>
    <xdr:to>
      <xdr:col>11</xdr:col>
      <xdr:colOff>298173</xdr:colOff>
      <xdr:row>39</xdr:row>
      <xdr:rowOff>19772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F8B9FC-9151-4C15-B98D-AB4398AAC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572592" y="9427213"/>
          <a:ext cx="367640" cy="927652"/>
        </a:xfrm>
        <a:prstGeom prst="rect">
          <a:avLst/>
        </a:prstGeom>
      </xdr:spPr>
    </xdr:pic>
    <xdr:clientData/>
  </xdr:twoCellAnchor>
  <xdr:twoCellAnchor editAs="oneCell">
    <xdr:from>
      <xdr:col>5</xdr:col>
      <xdr:colOff>480390</xdr:colOff>
      <xdr:row>37</xdr:row>
      <xdr:rowOff>66261</xdr:rowOff>
    </xdr:from>
    <xdr:to>
      <xdr:col>7</xdr:col>
      <xdr:colOff>416248</xdr:colOff>
      <xdr:row>39</xdr:row>
      <xdr:rowOff>48104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52C0B9-DB6C-41C8-8D36-573099A0C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2847" y="9740348"/>
          <a:ext cx="1087140" cy="3628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R4279"/>
  <sheetViews>
    <sheetView tabSelected="1" topLeftCell="B1" zoomScaleNormal="100" workbookViewId="0">
      <selection activeCell="B1" sqref="B1:BR6"/>
    </sheetView>
  </sheetViews>
  <sheetFormatPr defaultRowHeight="15" x14ac:dyDescent="0.25"/>
  <cols>
    <col min="1" max="1" width="5" customWidth="1"/>
    <col min="2" max="2" width="5.140625" customWidth="1"/>
    <col min="3" max="3" width="20.28515625" bestFit="1" customWidth="1"/>
    <col min="4" max="4" width="22.42578125" hidden="1" customWidth="1"/>
    <col min="5" max="5" width="19.5703125" hidden="1" customWidth="1"/>
    <col min="6" max="6" width="13.5703125" hidden="1" customWidth="1"/>
    <col min="7" max="7" width="3.7109375" customWidth="1"/>
    <col min="8" max="8" width="4.28515625" customWidth="1"/>
    <col min="9" max="9" width="6" bestFit="1" customWidth="1"/>
    <col min="10" max="10" width="3.28515625" bestFit="1" customWidth="1"/>
    <col min="11" max="11" width="3.5703125" bestFit="1" customWidth="1"/>
    <col min="12" max="12" width="6" bestFit="1" customWidth="1"/>
    <col min="13" max="13" width="4.42578125" customWidth="1"/>
    <col min="14" max="14" width="6.5703125" bestFit="1" customWidth="1"/>
    <col min="15" max="15" width="4.140625" customWidth="1"/>
    <col min="16" max="16" width="3.7109375" bestFit="1" customWidth="1"/>
    <col min="17" max="17" width="4.28515625" bestFit="1" customWidth="1"/>
    <col min="18" max="18" width="6" bestFit="1" customWidth="1"/>
    <col min="19" max="19" width="6.5703125" bestFit="1" customWidth="1"/>
    <col min="20" max="20" width="3.42578125" bestFit="1" customWidth="1"/>
    <col min="21" max="21" width="4.85546875" bestFit="1" customWidth="1"/>
    <col min="22" max="22" width="3.5703125" bestFit="1" customWidth="1"/>
    <col min="23" max="23" width="6" bestFit="1" customWidth="1"/>
    <col min="24" max="24" width="6.5703125" bestFit="1" customWidth="1"/>
    <col min="25" max="25" width="3.85546875" bestFit="1" customWidth="1"/>
    <col min="26" max="26" width="3.28515625" bestFit="1" customWidth="1"/>
    <col min="27" max="27" width="3.5703125" bestFit="1" customWidth="1"/>
    <col min="28" max="28" width="5.85546875" customWidth="1"/>
    <col min="29" max="29" width="6.5703125" bestFit="1" customWidth="1"/>
    <col min="30" max="30" width="3.85546875" bestFit="1" customWidth="1"/>
    <col min="31" max="31" width="3.5703125" bestFit="1" customWidth="1"/>
    <col min="32" max="32" width="5.28515625" bestFit="1" customWidth="1"/>
    <col min="33" max="33" width="6" bestFit="1" customWidth="1"/>
    <col min="34" max="34" width="6.5703125" bestFit="1" customWidth="1"/>
    <col min="35" max="35" width="3.85546875" bestFit="1" customWidth="1"/>
    <col min="36" max="36" width="3.28515625" bestFit="1" customWidth="1"/>
    <col min="37" max="37" width="4.7109375" bestFit="1" customWidth="1"/>
    <col min="38" max="38" width="6" bestFit="1" customWidth="1"/>
    <col min="39" max="39" width="6.5703125" bestFit="1" customWidth="1"/>
    <col min="40" max="40" width="4.28515625" customWidth="1"/>
    <col min="41" max="41" width="3.28515625" bestFit="1" customWidth="1"/>
    <col min="42" max="42" width="3.5703125" bestFit="1" customWidth="1"/>
    <col min="43" max="43" width="3.28515625" bestFit="1" customWidth="1"/>
    <col min="44" max="44" width="4.42578125" customWidth="1"/>
    <col min="45" max="45" width="6.5703125" bestFit="1" customWidth="1"/>
    <col min="46" max="46" width="3.85546875" bestFit="1" customWidth="1"/>
    <col min="47" max="47" width="3.28515625" bestFit="1" customWidth="1"/>
    <col min="48" max="48" width="3.5703125" bestFit="1" customWidth="1"/>
    <col min="49" max="49" width="3.28515625" bestFit="1" customWidth="1"/>
    <col min="50" max="50" width="6" bestFit="1" customWidth="1"/>
    <col min="51" max="51" width="6.5703125" bestFit="1" customWidth="1"/>
    <col min="52" max="52" width="3.42578125" bestFit="1" customWidth="1"/>
    <col min="53" max="53" width="3.28515625" bestFit="1" customWidth="1"/>
    <col min="54" max="54" width="3.5703125" bestFit="1" customWidth="1"/>
    <col min="55" max="55" width="3.28515625" bestFit="1" customWidth="1"/>
    <col min="56" max="56" width="5.140625" bestFit="1" customWidth="1"/>
    <col min="57" max="57" width="6.5703125" bestFit="1" customWidth="1"/>
    <col min="58" max="58" width="3.85546875" bestFit="1" customWidth="1"/>
    <col min="59" max="59" width="5.140625" bestFit="1" customWidth="1"/>
    <col min="60" max="60" width="3.5703125" bestFit="1" customWidth="1"/>
    <col min="61" max="61" width="3.28515625" bestFit="1" customWidth="1"/>
    <col min="62" max="62" width="5.140625" bestFit="1" customWidth="1"/>
    <col min="63" max="63" width="6.5703125" bestFit="1" customWidth="1"/>
    <col min="64" max="64" width="4.42578125" bestFit="1" customWidth="1"/>
    <col min="65" max="65" width="3.85546875" bestFit="1" customWidth="1"/>
    <col min="66" max="67" width="5" bestFit="1" customWidth="1"/>
    <col min="68" max="68" width="16.140625" bestFit="1" customWidth="1"/>
    <col min="69" max="69" width="6.5703125" customWidth="1"/>
    <col min="70" max="70" width="8" style="11" bestFit="1" customWidth="1"/>
  </cols>
  <sheetData>
    <row r="1" spans="1:70" x14ac:dyDescent="0.25">
      <c r="B1" s="48" t="s">
        <v>147</v>
      </c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  <c r="BF1" s="48"/>
      <c r="BG1" s="48"/>
      <c r="BH1" s="48"/>
      <c r="BI1" s="48"/>
      <c r="BJ1" s="48"/>
      <c r="BK1" s="48"/>
      <c r="BL1" s="48"/>
      <c r="BM1" s="48"/>
      <c r="BN1" s="48"/>
      <c r="BO1" s="48"/>
      <c r="BP1" s="48"/>
      <c r="BQ1" s="48"/>
      <c r="BR1" s="48"/>
    </row>
    <row r="2" spans="1:70" ht="14.45" customHeight="1" x14ac:dyDescent="0.25"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</row>
    <row r="3" spans="1:70" x14ac:dyDescent="0.25"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</row>
    <row r="4" spans="1:70" x14ac:dyDescent="0.25"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</row>
    <row r="5" spans="1:70" x14ac:dyDescent="0.25"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8"/>
      <c r="BO5" s="48"/>
      <c r="BP5" s="48"/>
      <c r="BQ5" s="48"/>
      <c r="BR5" s="48"/>
    </row>
    <row r="6" spans="1:70" ht="19.5" customHeight="1" x14ac:dyDescent="0.25"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8"/>
      <c r="BO6" s="48"/>
      <c r="BP6" s="48"/>
      <c r="BQ6" s="48"/>
      <c r="BR6" s="48"/>
    </row>
    <row r="7" spans="1:70" s="16" customFormat="1" ht="28.5" customHeight="1" x14ac:dyDescent="0.2">
      <c r="A7" s="47" t="s">
        <v>146</v>
      </c>
      <c r="B7" s="42" t="s">
        <v>0</v>
      </c>
      <c r="C7" s="42" t="s">
        <v>15</v>
      </c>
      <c r="D7" s="42" t="s">
        <v>46</v>
      </c>
      <c r="E7" s="42" t="s">
        <v>14</v>
      </c>
      <c r="F7" s="42" t="s">
        <v>16</v>
      </c>
      <c r="G7" s="44" t="s">
        <v>50</v>
      </c>
      <c r="H7" s="45"/>
      <c r="I7" s="42" t="s">
        <v>47</v>
      </c>
      <c r="J7" s="44" t="s">
        <v>51</v>
      </c>
      <c r="K7" s="45"/>
      <c r="L7" s="42" t="s">
        <v>48</v>
      </c>
      <c r="M7" s="42" t="s">
        <v>1</v>
      </c>
      <c r="N7" s="42" t="s">
        <v>17</v>
      </c>
      <c r="O7" s="42" t="s">
        <v>2</v>
      </c>
      <c r="P7" s="44" t="s">
        <v>11</v>
      </c>
      <c r="Q7" s="45"/>
      <c r="R7" s="42" t="s">
        <v>49</v>
      </c>
      <c r="S7" s="42" t="s">
        <v>17</v>
      </c>
      <c r="T7" s="42" t="s">
        <v>2</v>
      </c>
      <c r="U7" s="44" t="s">
        <v>3</v>
      </c>
      <c r="V7" s="45"/>
      <c r="W7" s="42" t="s">
        <v>1</v>
      </c>
      <c r="X7" s="42" t="s">
        <v>17</v>
      </c>
      <c r="Y7" s="42" t="s">
        <v>2</v>
      </c>
      <c r="Z7" s="44" t="s">
        <v>4</v>
      </c>
      <c r="AA7" s="45"/>
      <c r="AB7" s="42" t="s">
        <v>1</v>
      </c>
      <c r="AC7" s="42" t="s">
        <v>17</v>
      </c>
      <c r="AD7" s="42" t="s">
        <v>2</v>
      </c>
      <c r="AE7" s="44" t="s">
        <v>5</v>
      </c>
      <c r="AF7" s="45"/>
      <c r="AG7" s="42" t="s">
        <v>1</v>
      </c>
      <c r="AH7" s="42" t="s">
        <v>17</v>
      </c>
      <c r="AI7" s="42" t="s">
        <v>2</v>
      </c>
      <c r="AJ7" s="44" t="s">
        <v>43</v>
      </c>
      <c r="AK7" s="45"/>
      <c r="AL7" s="42" t="s">
        <v>1</v>
      </c>
      <c r="AM7" s="42" t="s">
        <v>17</v>
      </c>
      <c r="AN7" s="42" t="s">
        <v>2</v>
      </c>
      <c r="AO7" s="44" t="s">
        <v>38</v>
      </c>
      <c r="AP7" s="46"/>
      <c r="AQ7" s="45"/>
      <c r="AR7" s="42" t="s">
        <v>1</v>
      </c>
      <c r="AS7" s="42" t="s">
        <v>17</v>
      </c>
      <c r="AT7" s="42" t="s">
        <v>2</v>
      </c>
      <c r="AU7" s="44" t="s">
        <v>39</v>
      </c>
      <c r="AV7" s="46"/>
      <c r="AW7" s="45"/>
      <c r="AX7" s="42" t="s">
        <v>1</v>
      </c>
      <c r="AY7" s="42" t="s">
        <v>17</v>
      </c>
      <c r="AZ7" s="42" t="s">
        <v>2</v>
      </c>
      <c r="BA7" s="44" t="s">
        <v>117</v>
      </c>
      <c r="BB7" s="46"/>
      <c r="BC7" s="45"/>
      <c r="BD7" s="42" t="s">
        <v>1</v>
      </c>
      <c r="BE7" s="42" t="s">
        <v>17</v>
      </c>
      <c r="BF7" s="42" t="s">
        <v>2</v>
      </c>
      <c r="BG7" s="44" t="s">
        <v>118</v>
      </c>
      <c r="BH7" s="46"/>
      <c r="BI7" s="45"/>
      <c r="BJ7" s="42" t="s">
        <v>1</v>
      </c>
      <c r="BK7" s="42" t="s">
        <v>17</v>
      </c>
      <c r="BL7" s="42" t="s">
        <v>52</v>
      </c>
      <c r="BM7" s="42" t="s">
        <v>2</v>
      </c>
      <c r="BN7" s="42" t="s">
        <v>6</v>
      </c>
      <c r="BO7" s="42" t="s">
        <v>7</v>
      </c>
      <c r="BP7" s="42" t="s">
        <v>40</v>
      </c>
      <c r="BQ7" s="42" t="s">
        <v>41</v>
      </c>
      <c r="BR7" s="42" t="s">
        <v>42</v>
      </c>
    </row>
    <row r="8" spans="1:70" s="16" customFormat="1" ht="20.100000000000001" customHeight="1" x14ac:dyDescent="0.2">
      <c r="A8" s="47"/>
      <c r="B8" s="43"/>
      <c r="C8" s="43"/>
      <c r="D8" s="43"/>
      <c r="E8" s="43"/>
      <c r="F8" s="43"/>
      <c r="G8" s="17" t="s">
        <v>8</v>
      </c>
      <c r="H8" s="17" t="s">
        <v>9</v>
      </c>
      <c r="I8" s="43"/>
      <c r="J8" s="17" t="s">
        <v>8</v>
      </c>
      <c r="K8" s="17" t="s">
        <v>9</v>
      </c>
      <c r="L8" s="43"/>
      <c r="M8" s="43"/>
      <c r="N8" s="43"/>
      <c r="O8" s="43"/>
      <c r="P8" s="17" t="s">
        <v>12</v>
      </c>
      <c r="Q8" s="17" t="s">
        <v>13</v>
      </c>
      <c r="R8" s="43"/>
      <c r="S8" s="43"/>
      <c r="T8" s="43"/>
      <c r="U8" s="17" t="s">
        <v>8</v>
      </c>
      <c r="V8" s="17" t="s">
        <v>9</v>
      </c>
      <c r="W8" s="43"/>
      <c r="X8" s="43"/>
      <c r="Y8" s="43"/>
      <c r="Z8" s="17" t="s">
        <v>8</v>
      </c>
      <c r="AA8" s="17" t="s">
        <v>9</v>
      </c>
      <c r="AB8" s="43"/>
      <c r="AC8" s="43"/>
      <c r="AD8" s="43"/>
      <c r="AE8" s="17" t="s">
        <v>9</v>
      </c>
      <c r="AF8" s="17" t="s">
        <v>10</v>
      </c>
      <c r="AG8" s="43"/>
      <c r="AH8" s="43"/>
      <c r="AI8" s="43"/>
      <c r="AJ8" s="17" t="s">
        <v>8</v>
      </c>
      <c r="AK8" s="17" t="s">
        <v>9</v>
      </c>
      <c r="AL8" s="43"/>
      <c r="AM8" s="43"/>
      <c r="AN8" s="43"/>
      <c r="AO8" s="17" t="s">
        <v>8</v>
      </c>
      <c r="AP8" s="17" t="s">
        <v>9</v>
      </c>
      <c r="AQ8" s="17" t="s">
        <v>10</v>
      </c>
      <c r="AR8" s="43"/>
      <c r="AS8" s="43"/>
      <c r="AT8" s="43"/>
      <c r="AU8" s="17" t="s">
        <v>8</v>
      </c>
      <c r="AV8" s="17" t="s">
        <v>9</v>
      </c>
      <c r="AW8" s="17" t="s">
        <v>10</v>
      </c>
      <c r="AX8" s="43"/>
      <c r="AY8" s="43"/>
      <c r="AZ8" s="43"/>
      <c r="BA8" s="17" t="s">
        <v>8</v>
      </c>
      <c r="BB8" s="17" t="s">
        <v>9</v>
      </c>
      <c r="BC8" s="17" t="s">
        <v>10</v>
      </c>
      <c r="BD8" s="43"/>
      <c r="BE8" s="43"/>
      <c r="BF8" s="43"/>
      <c r="BG8" s="17" t="s">
        <v>8</v>
      </c>
      <c r="BH8" s="17" t="s">
        <v>9</v>
      </c>
      <c r="BI8" s="17" t="s">
        <v>10</v>
      </c>
      <c r="BJ8" s="43"/>
      <c r="BK8" s="43"/>
      <c r="BL8" s="43"/>
      <c r="BM8" s="43"/>
      <c r="BN8" s="43"/>
      <c r="BO8" s="43"/>
      <c r="BP8" s="43"/>
      <c r="BQ8" s="43"/>
      <c r="BR8" s="43"/>
    </row>
    <row r="9" spans="1:70" s="3" customFormat="1" ht="20.100000000000001" customHeight="1" x14ac:dyDescent="0.2">
      <c r="A9" s="39">
        <v>1</v>
      </c>
      <c r="B9" s="12">
        <v>13</v>
      </c>
      <c r="C9" s="15" t="s">
        <v>129</v>
      </c>
      <c r="D9" s="15" t="s">
        <v>130</v>
      </c>
      <c r="E9" s="15" t="s">
        <v>131</v>
      </c>
      <c r="F9" s="35" t="s">
        <v>132</v>
      </c>
      <c r="G9" s="37">
        <v>36</v>
      </c>
      <c r="H9" s="37">
        <v>14</v>
      </c>
      <c r="I9" s="37">
        <f>G9+H9</f>
        <v>50</v>
      </c>
      <c r="J9" s="37">
        <v>48</v>
      </c>
      <c r="K9" s="37">
        <v>15</v>
      </c>
      <c r="L9" s="37">
        <f>J9+K9</f>
        <v>63</v>
      </c>
      <c r="M9" s="37">
        <f t="shared" ref="M9:M30" si="0">I9+L9</f>
        <v>113</v>
      </c>
      <c r="N9" s="41">
        <f>MAX(M9:M30)</f>
        <v>125</v>
      </c>
      <c r="O9" s="37">
        <f>IF(M9&lt;66,"F",IF(M9&lt;80,1,IF(M9&lt;100,2,IF(M9&lt;120,3,IF(M9&lt;140,3.5,IF(M9&lt;160,4,5))))))</f>
        <v>3</v>
      </c>
      <c r="P9" s="37">
        <v>48</v>
      </c>
      <c r="Q9" s="37">
        <v>41</v>
      </c>
      <c r="R9" s="37">
        <f t="shared" ref="R9:R30" si="1">P9+Q9</f>
        <v>89</v>
      </c>
      <c r="S9" s="41">
        <f>MAX(R9:R30)</f>
        <v>118</v>
      </c>
      <c r="T9" s="37">
        <f t="shared" ref="T9:T30" si="2">IF(R9&lt;66,"F",IF(R9&lt;80,1,IF(R9&lt;100,2,IF(R9&lt;120,3,IF(R9&lt;140,3.5,IF(R9&lt;160,4,5))))))</f>
        <v>2</v>
      </c>
      <c r="U9" s="37">
        <v>34</v>
      </c>
      <c r="V9" s="37">
        <v>9</v>
      </c>
      <c r="W9" s="37">
        <f t="shared" ref="W9:W30" si="3">U9+V9</f>
        <v>43</v>
      </c>
      <c r="X9" s="41">
        <f>MAX(W9:W30)</f>
        <v>69</v>
      </c>
      <c r="Y9" s="37" t="str">
        <f t="shared" ref="Y9:Y30" si="4">IF(U9&lt;23,"F",IF(V9&lt;10,"F",IF(W9&lt;33,"F",IF(W9&lt;40,1,IF(W9&lt;50,2,IF(W9&lt;60,3,IF(W9&lt;70,3.5,IF(W9&lt;80,4,5))))))))</f>
        <v>F</v>
      </c>
      <c r="Z9" s="37">
        <v>28</v>
      </c>
      <c r="AA9" s="37">
        <v>22</v>
      </c>
      <c r="AB9" s="37">
        <f t="shared" ref="AB9:AB30" si="5">Z9+AA9</f>
        <v>50</v>
      </c>
      <c r="AC9" s="41">
        <f>MAX(AB9:AB30)</f>
        <v>80</v>
      </c>
      <c r="AD9" s="37">
        <f t="shared" ref="AD9:AD30" si="6">IF(Z9&lt;23,"F",IF(AA9&lt;10,"F",IF(AB9&lt;33,"F",IF(AB9&lt;40,1,IF(AB9&lt;50,2,IF(AB9&lt;60,3,IF(AB9&lt;70,3.5,IF(AB9&lt;80,4,5))))))))</f>
        <v>3</v>
      </c>
      <c r="AE9" s="37">
        <v>17</v>
      </c>
      <c r="AF9" s="37">
        <v>22</v>
      </c>
      <c r="AG9" s="37">
        <f t="shared" ref="AG9:AG30" si="7">AE9+AF9</f>
        <v>39</v>
      </c>
      <c r="AH9" s="41">
        <f>MAX(AG9:AG30)</f>
        <v>39</v>
      </c>
      <c r="AI9" s="37">
        <f t="shared" ref="AI9:AI30" si="8">IF(AE9&lt;8,"F",IF(AF9&lt;9,"F",IF(AG9&lt;17,"F",IF(AG9&lt;25,2,IF(AG9&lt;30,3,IF(AG9&lt;35,3.5,IF(AG9&lt;40,4,5)))))))</f>
        <v>4</v>
      </c>
      <c r="AJ9" s="37">
        <v>22</v>
      </c>
      <c r="AK9" s="37">
        <v>14</v>
      </c>
      <c r="AL9" s="37">
        <f t="shared" ref="AL9:AL30" si="9">AJ9+AK9</f>
        <v>36</v>
      </c>
      <c r="AM9" s="41">
        <f>MAX(AL9:AL30)</f>
        <v>65</v>
      </c>
      <c r="AN9" s="37" t="str">
        <f t="shared" ref="AN9:AN30" si="10">IF(AJ9&lt;23,"F",IF(AK9&lt;10,"F",IF(AL9&lt;33,"F",IF(AL9&lt;40,1,IF(AL9&lt;50,2,IF(AL9&lt;60,3,IF(AL9&lt;70,3.5,IF(AL9&lt;80,4,5))))))))</f>
        <v>F</v>
      </c>
      <c r="AO9" s="37"/>
      <c r="AP9" s="37"/>
      <c r="AQ9" s="37"/>
      <c r="AR9" s="37">
        <f t="shared" ref="AR9:AR30" si="11">AO9+AP9+AQ9</f>
        <v>0</v>
      </c>
      <c r="AS9" s="41">
        <f>MAX(AR9:AR30)</f>
        <v>88</v>
      </c>
      <c r="AT9" s="37" t="str">
        <f>IF(AO9&lt;17,"F",IF(AP9&lt;8,"F",IF(AQ9&lt;8,"F",IF(AR9&lt;33,"F",IF(AR9&lt;40,1,IF(AR9&lt;50,2,IF(AR9&lt;60,3,IF(AR9&lt;70,3.5,IF(AR9&lt;80,4,5)))))))))</f>
        <v>F</v>
      </c>
      <c r="AU9" s="37">
        <v>35</v>
      </c>
      <c r="AV9" s="37">
        <v>13</v>
      </c>
      <c r="AW9" s="37">
        <v>22</v>
      </c>
      <c r="AX9" s="37">
        <f t="shared" ref="AX9:AX30" si="12">AU9+AV9+AW9</f>
        <v>70</v>
      </c>
      <c r="AY9" s="41">
        <f>MAX(AX9:AX30)</f>
        <v>75</v>
      </c>
      <c r="AZ9" s="37">
        <f t="shared" ref="AZ9:AZ30" si="13">IF(AU9&lt;17,"F",IF(AV9&lt;8,"F",IF(AW9&lt;8,"F",IF(AX9&lt;33,"F",IF(AX9&lt;40,1,IF(AX9&lt;50,2,IF(AX9&lt;60,3,IF(AX9&lt;70,3.5,IF(AX9&lt;80,4,5)))))))))</f>
        <v>4</v>
      </c>
      <c r="BA9" s="37">
        <v>25</v>
      </c>
      <c r="BB9" s="37">
        <v>9</v>
      </c>
      <c r="BC9" s="37">
        <v>22</v>
      </c>
      <c r="BD9" s="37">
        <f t="shared" ref="BD9:BD30" si="14">BA9+BB9+BC9</f>
        <v>56</v>
      </c>
      <c r="BE9" s="41">
        <f>MAX(BD9:BD30)</f>
        <v>73</v>
      </c>
      <c r="BF9" s="37">
        <f t="shared" ref="BF9:BF30" si="15">IF(BA9&lt;17,"F",IF(BB9&lt;8,"F",IF(BC9&lt;8,"F",IF(BD9&lt;33,"F",IF(BD9&lt;40,1,IF(BD9&lt;50,2,IF(BD9&lt;60,3,IF(BD9&lt;70,3.5,IF(BD9&lt;80,4,5)))))))))</f>
        <v>3</v>
      </c>
      <c r="BG9" s="37">
        <v>21</v>
      </c>
      <c r="BH9" s="37">
        <v>8</v>
      </c>
      <c r="BI9" s="37">
        <v>24</v>
      </c>
      <c r="BJ9" s="37">
        <f t="shared" ref="BJ9:BJ30" si="16">BG9+BH9+BI9</f>
        <v>53</v>
      </c>
      <c r="BK9" s="41">
        <f>MAX(BJ9:BJ30)</f>
        <v>91</v>
      </c>
      <c r="BL9" s="37">
        <f t="shared" ref="BL9:BL11" si="17">IF(BG9&lt;17,"0",IF(BH9&lt;8,"0",IF(BI9&lt;8,"0",IF(BJ9&lt;33,"0",IF(BJ9&lt;40,1,IF(BJ9&lt;50,2,IF(BJ9&lt;60,3,IF(BJ9&lt;70,3.5,IF(BJ9&lt;80,4,5)))))))))</f>
        <v>3</v>
      </c>
      <c r="BM9" s="37">
        <f>IF(BG9&lt;17,"F",IF(BH9&lt;8,"F",IF(BI9&lt;8,"F",IF(BJ9&lt;33,"F",IF(BJ9&lt;40,1,IF(BJ9&lt;50,2,IF(BJ9&lt;60,3,IF(BJ9&lt;70,3.5,IF(BJ9&lt;80,4,5)))))))))</f>
        <v>3</v>
      </c>
      <c r="BN9" s="37" t="str">
        <f>IF(O9="F","F",IF(T9="F","F",IF(Y9="F","F",IF(AD9="F","F",IF(AN9="F","F",IF(AT9="F","F",IF(AZ9="F","F",IF(BF9="F","F",IF(BL9="F","F",IF(AI9="F","F", IF(BL9&lt;2,SUM(O9,T9,Y9,AD9,AI9,AN9,AT9,AZ9,BF9,BL9),IF(BL9&gt;=2,SUM(O9,T9,Y9,AD9,AN9,AT9,AI9,AZ9,BF9,BL9-2)))))))))))))</f>
        <v>F</v>
      </c>
      <c r="BO9" s="40" t="str">
        <f t="shared" ref="BO9:BO11" si="18">IF(BN9="F","F",IF(BN9&gt;=45,5,IF(BN9&lt;45,BN9/9)))</f>
        <v>F</v>
      </c>
      <c r="BP9" s="37" t="str">
        <f t="shared" ref="BP9" si="19">IF(BO9="F","NEED TO PROGRESS",IF(BO9&gt;=5,"BEST",IF(BO9&gt;=4,"BETTER",IF(BO9&gt;=2,"GOOD"))))</f>
        <v>NEED TO PROGRESS</v>
      </c>
      <c r="BQ9" s="37">
        <f t="shared" ref="BQ9" si="20">M9+W9+AB9+AG9+AL9+AR9+AX9+BD9+BJ9+R9</f>
        <v>549</v>
      </c>
      <c r="BR9" s="37"/>
    </row>
    <row r="10" spans="1:70" ht="20.100000000000001" customHeight="1" x14ac:dyDescent="0.25">
      <c r="A10" s="39">
        <v>2</v>
      </c>
      <c r="B10" s="12">
        <v>21</v>
      </c>
      <c r="C10" s="15" t="s">
        <v>150</v>
      </c>
      <c r="D10" s="14" t="s">
        <v>133</v>
      </c>
      <c r="E10" s="14" t="s">
        <v>134</v>
      </c>
      <c r="F10" s="35" t="s">
        <v>135</v>
      </c>
      <c r="G10" s="37">
        <v>26</v>
      </c>
      <c r="H10" s="37">
        <v>16</v>
      </c>
      <c r="I10" s="37">
        <f t="shared" ref="I10:I30" si="21">G10+H10</f>
        <v>42</v>
      </c>
      <c r="J10" s="37">
        <v>46</v>
      </c>
      <c r="K10" s="37">
        <v>14</v>
      </c>
      <c r="L10" s="37">
        <f t="shared" ref="L10:L30" si="22">J10+K10</f>
        <v>60</v>
      </c>
      <c r="M10" s="37">
        <f t="shared" si="0"/>
        <v>102</v>
      </c>
      <c r="N10" s="41"/>
      <c r="O10" s="37">
        <f t="shared" ref="O10:O30" si="23">IF(M10&lt;66,"F",IF(M10&lt;80,1,IF(M10&lt;100,2,IF(M10&lt;120,3,IF(M10&lt;140,3.5,IF(M10&lt;160,4,5))))))</f>
        <v>3</v>
      </c>
      <c r="P10" s="37">
        <v>49</v>
      </c>
      <c r="Q10" s="37">
        <v>44</v>
      </c>
      <c r="R10" s="37">
        <f t="shared" si="1"/>
        <v>93</v>
      </c>
      <c r="S10" s="41"/>
      <c r="T10" s="37">
        <f t="shared" si="2"/>
        <v>2</v>
      </c>
      <c r="U10" s="37">
        <v>39</v>
      </c>
      <c r="V10" s="37">
        <v>8</v>
      </c>
      <c r="W10" s="37">
        <f t="shared" si="3"/>
        <v>47</v>
      </c>
      <c r="X10" s="41"/>
      <c r="Y10" s="37" t="str">
        <f t="shared" si="4"/>
        <v>F</v>
      </c>
      <c r="Z10" s="37">
        <v>41</v>
      </c>
      <c r="AA10" s="37">
        <v>21</v>
      </c>
      <c r="AB10" s="37">
        <f t="shared" si="5"/>
        <v>62</v>
      </c>
      <c r="AC10" s="41"/>
      <c r="AD10" s="37">
        <f t="shared" si="6"/>
        <v>3.5</v>
      </c>
      <c r="AE10" s="37">
        <v>14</v>
      </c>
      <c r="AF10" s="37">
        <v>22</v>
      </c>
      <c r="AG10" s="37">
        <f t="shared" si="7"/>
        <v>36</v>
      </c>
      <c r="AH10" s="41"/>
      <c r="AI10" s="37">
        <f t="shared" si="8"/>
        <v>4</v>
      </c>
      <c r="AJ10" s="37">
        <v>26</v>
      </c>
      <c r="AK10" s="37">
        <v>14</v>
      </c>
      <c r="AL10" s="37">
        <f t="shared" si="9"/>
        <v>40</v>
      </c>
      <c r="AM10" s="41"/>
      <c r="AN10" s="37">
        <f t="shared" si="10"/>
        <v>2</v>
      </c>
      <c r="AO10" s="37">
        <v>26</v>
      </c>
      <c r="AP10" s="37">
        <v>24</v>
      </c>
      <c r="AQ10" s="37">
        <v>25</v>
      </c>
      <c r="AR10" s="37">
        <f t="shared" si="11"/>
        <v>75</v>
      </c>
      <c r="AS10" s="41"/>
      <c r="AT10" s="37">
        <f t="shared" ref="AT10:AT30" si="24">IF(AO10&lt;17,"F",IF(AP10&lt;8,"F",IF(AQ10&lt;8,"F",IF(AR10&lt;33,"F",IF(AR10&lt;40,1,IF(AR10&lt;50,2,IF(AR10&lt;60,3,IF(AR10&lt;70,3.5,IF(AR10&lt;80,4,5)))))))))</f>
        <v>4</v>
      </c>
      <c r="AU10" s="37">
        <v>34</v>
      </c>
      <c r="AV10" s="37">
        <v>8</v>
      </c>
      <c r="AW10" s="37">
        <v>22</v>
      </c>
      <c r="AX10" s="37">
        <f t="shared" si="12"/>
        <v>64</v>
      </c>
      <c r="AY10" s="41"/>
      <c r="AZ10" s="37">
        <f t="shared" si="13"/>
        <v>3.5</v>
      </c>
      <c r="BA10" s="37">
        <v>25</v>
      </c>
      <c r="BB10" s="37">
        <v>14</v>
      </c>
      <c r="BC10" s="37">
        <v>22</v>
      </c>
      <c r="BD10" s="37">
        <f t="shared" si="14"/>
        <v>61</v>
      </c>
      <c r="BE10" s="41"/>
      <c r="BF10" s="37">
        <f t="shared" si="15"/>
        <v>3.5</v>
      </c>
      <c r="BG10" s="37">
        <v>37</v>
      </c>
      <c r="BH10" s="37">
        <v>23</v>
      </c>
      <c r="BI10" s="37">
        <v>24</v>
      </c>
      <c r="BJ10" s="37">
        <f t="shared" si="16"/>
        <v>84</v>
      </c>
      <c r="BK10" s="41"/>
      <c r="BL10" s="37">
        <f t="shared" si="17"/>
        <v>5</v>
      </c>
      <c r="BM10" s="37">
        <f t="shared" ref="BM10:BM11" si="25">IF(BG10&lt;17,"F",IF(BH10&lt;8,"F",IF(BI10&lt;8,"F",IF(BJ10&lt;33,"F",IF(BJ10&lt;40,1,IF(BJ10&lt;50,2,IF(BJ10&lt;60,3,IF(BJ10&lt;70,3.5,IF(BJ10&lt;80,4,5)))))))))</f>
        <v>5</v>
      </c>
      <c r="BN10" s="37" t="str">
        <f t="shared" ref="BN10:BN11" si="26">IF(O10="F","F",IF(T10="F","F",IF(Y10="F","F",IF(AD10="F","F",IF(AN10="F","F",IF(AT10="F","F",IF(AZ10="F","F",IF(BF10="F","F",IF(BL10="F","F",IF(AI10="F","F", IF(BL10&lt;2,SUM(O10,T10,Y10,AD10,AI10,AN10,AT10,AZ10,BF10,BL10),IF(BL10&gt;=2,SUM(O10,T10,Y10,AD10,AN10,AT10,AI10,AZ10,BF10,BL10-2)))))))))))))</f>
        <v>F</v>
      </c>
      <c r="BO10" s="40" t="str">
        <f t="shared" si="18"/>
        <v>F</v>
      </c>
      <c r="BP10" s="37" t="str">
        <f t="shared" ref="BP10:BP17" si="27">IF(BO10="F","NEED TO PROGRESS",IF(BO10&gt;=5,"BEST",IF(BO10&gt;=4,"BETTER",IF(BO10&gt;=2,"GOOD"))))</f>
        <v>NEED TO PROGRESS</v>
      </c>
      <c r="BQ10" s="37">
        <f t="shared" ref="BQ10:BQ17" si="28">M10+W10+AB10+AG10+AL10+AR10+AX10+BD10+BJ10+R10</f>
        <v>664</v>
      </c>
      <c r="BR10" s="37"/>
    </row>
    <row r="11" spans="1:70" ht="20.100000000000001" customHeight="1" x14ac:dyDescent="0.25">
      <c r="A11" s="39">
        <v>3</v>
      </c>
      <c r="B11" s="12">
        <v>25</v>
      </c>
      <c r="C11" s="15" t="s">
        <v>113</v>
      </c>
      <c r="D11" s="15" t="s">
        <v>114</v>
      </c>
      <c r="E11" s="15" t="s">
        <v>115</v>
      </c>
      <c r="F11" s="13" t="s">
        <v>116</v>
      </c>
      <c r="G11" s="37"/>
      <c r="H11" s="37"/>
      <c r="I11" s="37">
        <f t="shared" si="21"/>
        <v>0</v>
      </c>
      <c r="J11" s="37"/>
      <c r="K11" s="37"/>
      <c r="L11" s="37">
        <f t="shared" si="22"/>
        <v>0</v>
      </c>
      <c r="M11" s="37">
        <f t="shared" si="0"/>
        <v>0</v>
      </c>
      <c r="N11" s="41"/>
      <c r="O11" s="37" t="str">
        <f t="shared" si="23"/>
        <v>F</v>
      </c>
      <c r="P11" s="37"/>
      <c r="Q11" s="37"/>
      <c r="R11" s="37">
        <f t="shared" si="1"/>
        <v>0</v>
      </c>
      <c r="S11" s="41"/>
      <c r="T11" s="37" t="str">
        <f t="shared" si="2"/>
        <v>F</v>
      </c>
      <c r="U11" s="37"/>
      <c r="V11" s="37"/>
      <c r="W11" s="37">
        <f t="shared" si="3"/>
        <v>0</v>
      </c>
      <c r="X11" s="41"/>
      <c r="Y11" s="37" t="str">
        <f t="shared" si="4"/>
        <v>F</v>
      </c>
      <c r="Z11" s="37"/>
      <c r="AA11" s="37"/>
      <c r="AB11" s="37">
        <f t="shared" si="5"/>
        <v>0</v>
      </c>
      <c r="AC11" s="41"/>
      <c r="AD11" s="37" t="str">
        <f t="shared" si="6"/>
        <v>F</v>
      </c>
      <c r="AE11" s="37"/>
      <c r="AF11" s="37"/>
      <c r="AG11" s="37">
        <f t="shared" si="7"/>
        <v>0</v>
      </c>
      <c r="AH11" s="41"/>
      <c r="AI11" s="37" t="str">
        <f t="shared" si="8"/>
        <v>F</v>
      </c>
      <c r="AJ11" s="37">
        <v>21</v>
      </c>
      <c r="AK11" s="37">
        <v>10</v>
      </c>
      <c r="AL11" s="37">
        <f t="shared" si="9"/>
        <v>31</v>
      </c>
      <c r="AM11" s="41"/>
      <c r="AN11" s="37" t="str">
        <f t="shared" si="10"/>
        <v>F</v>
      </c>
      <c r="AO11" s="37">
        <v>34</v>
      </c>
      <c r="AP11" s="37">
        <v>20</v>
      </c>
      <c r="AQ11" s="37">
        <v>25</v>
      </c>
      <c r="AR11" s="37">
        <f t="shared" si="11"/>
        <v>79</v>
      </c>
      <c r="AS11" s="41"/>
      <c r="AT11" s="37">
        <f t="shared" si="24"/>
        <v>4</v>
      </c>
      <c r="AU11" s="37">
        <v>33</v>
      </c>
      <c r="AV11" s="37">
        <v>14</v>
      </c>
      <c r="AW11" s="37">
        <v>22</v>
      </c>
      <c r="AX11" s="37">
        <f t="shared" si="12"/>
        <v>69</v>
      </c>
      <c r="AY11" s="41"/>
      <c r="AZ11" s="37">
        <f t="shared" si="13"/>
        <v>3.5</v>
      </c>
      <c r="BA11" s="37">
        <v>34</v>
      </c>
      <c r="BB11" s="37">
        <v>15</v>
      </c>
      <c r="BC11" s="37">
        <v>22</v>
      </c>
      <c r="BD11" s="37">
        <f t="shared" si="14"/>
        <v>71</v>
      </c>
      <c r="BE11" s="41"/>
      <c r="BF11" s="37">
        <f t="shared" si="15"/>
        <v>4</v>
      </c>
      <c r="BG11" s="37">
        <v>47</v>
      </c>
      <c r="BH11" s="37">
        <v>20</v>
      </c>
      <c r="BI11" s="37">
        <v>24</v>
      </c>
      <c r="BJ11" s="37">
        <f t="shared" si="16"/>
        <v>91</v>
      </c>
      <c r="BK11" s="41"/>
      <c r="BL11" s="37">
        <f t="shared" si="17"/>
        <v>5</v>
      </c>
      <c r="BM11" s="37">
        <f t="shared" si="25"/>
        <v>5</v>
      </c>
      <c r="BN11" s="37" t="str">
        <f t="shared" si="26"/>
        <v>F</v>
      </c>
      <c r="BO11" s="40" t="str">
        <f t="shared" si="18"/>
        <v>F</v>
      </c>
      <c r="BP11" s="37" t="str">
        <f t="shared" si="27"/>
        <v>NEED TO PROGRESS</v>
      </c>
      <c r="BQ11" s="37">
        <f t="shared" si="28"/>
        <v>341</v>
      </c>
      <c r="BR11" s="37"/>
    </row>
    <row r="12" spans="1:70" ht="20.100000000000001" customHeight="1" x14ac:dyDescent="0.25">
      <c r="A12" s="39">
        <v>4</v>
      </c>
      <c r="B12" s="13">
        <v>26</v>
      </c>
      <c r="C12" s="15" t="s">
        <v>151</v>
      </c>
      <c r="D12" s="15" t="s">
        <v>136</v>
      </c>
      <c r="E12" s="15" t="s">
        <v>137</v>
      </c>
      <c r="F12" s="35" t="s">
        <v>138</v>
      </c>
      <c r="G12" s="37">
        <v>45</v>
      </c>
      <c r="H12" s="37">
        <v>17</v>
      </c>
      <c r="I12" s="37">
        <f t="shared" si="21"/>
        <v>62</v>
      </c>
      <c r="J12" s="37">
        <v>44</v>
      </c>
      <c r="K12" s="37">
        <v>19</v>
      </c>
      <c r="L12" s="37">
        <f t="shared" si="22"/>
        <v>63</v>
      </c>
      <c r="M12" s="37">
        <f t="shared" si="0"/>
        <v>125</v>
      </c>
      <c r="N12" s="41"/>
      <c r="O12" s="37">
        <f t="shared" si="23"/>
        <v>3.5</v>
      </c>
      <c r="P12" s="37">
        <v>66</v>
      </c>
      <c r="Q12" s="37">
        <v>50</v>
      </c>
      <c r="R12" s="37">
        <f t="shared" si="1"/>
        <v>116</v>
      </c>
      <c r="S12" s="41"/>
      <c r="T12" s="37">
        <f t="shared" si="2"/>
        <v>3</v>
      </c>
      <c r="U12" s="37">
        <v>34</v>
      </c>
      <c r="V12" s="37">
        <v>20</v>
      </c>
      <c r="W12" s="37">
        <f t="shared" si="3"/>
        <v>54</v>
      </c>
      <c r="X12" s="41"/>
      <c r="Y12" s="37">
        <f t="shared" si="4"/>
        <v>3</v>
      </c>
      <c r="Z12" s="37">
        <v>55</v>
      </c>
      <c r="AA12" s="37">
        <v>25</v>
      </c>
      <c r="AB12" s="37">
        <f t="shared" si="5"/>
        <v>80</v>
      </c>
      <c r="AC12" s="41"/>
      <c r="AD12" s="37">
        <f t="shared" si="6"/>
        <v>5</v>
      </c>
      <c r="AE12" s="37">
        <v>11</v>
      </c>
      <c r="AF12" s="37">
        <v>22</v>
      </c>
      <c r="AG12" s="37">
        <f t="shared" si="7"/>
        <v>33</v>
      </c>
      <c r="AH12" s="41"/>
      <c r="AI12" s="37">
        <f t="shared" si="8"/>
        <v>3.5</v>
      </c>
      <c r="AJ12" s="37">
        <v>50</v>
      </c>
      <c r="AK12" s="37">
        <v>15</v>
      </c>
      <c r="AL12" s="37">
        <f t="shared" si="9"/>
        <v>65</v>
      </c>
      <c r="AM12" s="41"/>
      <c r="AN12" s="37">
        <f t="shared" si="10"/>
        <v>3.5</v>
      </c>
      <c r="AO12" s="37">
        <v>34</v>
      </c>
      <c r="AP12" s="37">
        <v>21</v>
      </c>
      <c r="AQ12" s="37">
        <v>25</v>
      </c>
      <c r="AR12" s="37">
        <f t="shared" si="11"/>
        <v>80</v>
      </c>
      <c r="AS12" s="41"/>
      <c r="AT12" s="37">
        <f t="shared" si="24"/>
        <v>5</v>
      </c>
      <c r="AU12" s="37"/>
      <c r="AV12" s="37"/>
      <c r="AW12" s="37"/>
      <c r="AX12" s="37">
        <f t="shared" si="12"/>
        <v>0</v>
      </c>
      <c r="AY12" s="41"/>
      <c r="AZ12" s="37" t="str">
        <f t="shared" si="13"/>
        <v>F</v>
      </c>
      <c r="BA12" s="37">
        <v>26</v>
      </c>
      <c r="BB12" s="37">
        <v>17</v>
      </c>
      <c r="BC12" s="37">
        <v>22</v>
      </c>
      <c r="BD12" s="37">
        <f t="shared" si="14"/>
        <v>65</v>
      </c>
      <c r="BE12" s="41"/>
      <c r="BF12" s="37">
        <f t="shared" si="15"/>
        <v>3.5</v>
      </c>
      <c r="BG12" s="37"/>
      <c r="BH12" s="37"/>
      <c r="BI12" s="37"/>
      <c r="BJ12" s="37">
        <f t="shared" si="16"/>
        <v>0</v>
      </c>
      <c r="BK12" s="41"/>
      <c r="BL12" s="37" t="str">
        <f t="shared" ref="BL12:BL30" si="29">IF(BG12&lt;17,"0",IF(BH12&lt;8,"0",IF(BI12&lt;8,"0",IF(BJ12&lt;33,"0",IF(BJ12&lt;40,1,IF(BJ12&lt;50,2,IF(BJ12&lt;60,3,IF(BJ12&lt;70,3.5,IF(BJ12&lt;80,4,5)))))))))</f>
        <v>0</v>
      </c>
      <c r="BM12" s="37" t="str">
        <f t="shared" ref="BM12:BM30" si="30">IF(BG12&lt;17,"F",IF(BH12&lt;8,"F",IF(BI12&lt;8,"F",IF(BJ12&lt;33,"F",IF(BJ12&lt;40,1,IF(BJ12&lt;50,2,IF(BJ12&lt;60,3,IF(BJ12&lt;70,3.5,IF(BJ12&lt;80,4,5)))))))))</f>
        <v>F</v>
      </c>
      <c r="BN12" s="37" t="str">
        <f t="shared" ref="BN12:BN30" si="31">IF(O12="F","F",IF(T12="F","F",IF(Y12="F","F",IF(AD12="F","F",IF(AN12="F","F",IF(AT12="F","F",IF(AZ12="F","F",IF(BF12="F","F",IF(BL12="F","F",IF(AI12="F","F", IF(BL12&lt;2,SUM(O12,T12,Y12,AD12,AI12,AN12,AT12,AZ12,BF12,BL12),IF(BL12&gt;=2,SUM(O12,T12,Y12,AD12,AN12,AT12,AI12,AZ12,BF12,BL12-2)))))))))))))</f>
        <v>F</v>
      </c>
      <c r="BO12" s="40" t="str">
        <f t="shared" ref="BO12:BO30" si="32">IF(BN12="F","F",IF(BN12&gt;=45,5,IF(BN12&lt;45,BN12/9)))</f>
        <v>F</v>
      </c>
      <c r="BP12" s="37" t="str">
        <f t="shared" si="27"/>
        <v>NEED TO PROGRESS</v>
      </c>
      <c r="BQ12" s="37">
        <f t="shared" si="28"/>
        <v>618</v>
      </c>
      <c r="BR12" s="37"/>
    </row>
    <row r="13" spans="1:70" ht="20.100000000000001" customHeight="1" x14ac:dyDescent="0.25">
      <c r="A13" s="39">
        <v>5</v>
      </c>
      <c r="B13" s="13">
        <v>29</v>
      </c>
      <c r="C13" s="15" t="s">
        <v>139</v>
      </c>
      <c r="D13" s="15"/>
      <c r="E13" s="15"/>
      <c r="F13" s="35"/>
      <c r="G13" s="37">
        <v>32</v>
      </c>
      <c r="H13" s="37">
        <v>12</v>
      </c>
      <c r="I13" s="37">
        <f t="shared" si="21"/>
        <v>44</v>
      </c>
      <c r="J13" s="37">
        <v>48</v>
      </c>
      <c r="K13" s="37">
        <v>15</v>
      </c>
      <c r="L13" s="37">
        <f t="shared" si="22"/>
        <v>63</v>
      </c>
      <c r="M13" s="37">
        <f t="shared" si="0"/>
        <v>107</v>
      </c>
      <c r="N13" s="41"/>
      <c r="O13" s="37">
        <f t="shared" si="23"/>
        <v>3</v>
      </c>
      <c r="P13" s="37">
        <v>66</v>
      </c>
      <c r="Q13" s="37">
        <v>52</v>
      </c>
      <c r="R13" s="37">
        <f t="shared" si="1"/>
        <v>118</v>
      </c>
      <c r="S13" s="41"/>
      <c r="T13" s="37">
        <f t="shared" si="2"/>
        <v>3</v>
      </c>
      <c r="U13" s="37">
        <v>23</v>
      </c>
      <c r="V13" s="37">
        <v>19</v>
      </c>
      <c r="W13" s="37">
        <f t="shared" si="3"/>
        <v>42</v>
      </c>
      <c r="X13" s="41"/>
      <c r="Y13" s="37">
        <f t="shared" si="4"/>
        <v>2</v>
      </c>
      <c r="Z13" s="37">
        <v>51</v>
      </c>
      <c r="AA13" s="37">
        <v>24</v>
      </c>
      <c r="AB13" s="37">
        <f t="shared" si="5"/>
        <v>75</v>
      </c>
      <c r="AC13" s="41"/>
      <c r="AD13" s="37">
        <f t="shared" si="6"/>
        <v>4</v>
      </c>
      <c r="AE13" s="37">
        <v>15</v>
      </c>
      <c r="AF13" s="37">
        <v>22</v>
      </c>
      <c r="AG13" s="37">
        <f t="shared" si="7"/>
        <v>37</v>
      </c>
      <c r="AH13" s="41"/>
      <c r="AI13" s="37">
        <f t="shared" si="8"/>
        <v>4</v>
      </c>
      <c r="AJ13" s="37">
        <v>35</v>
      </c>
      <c r="AK13" s="37">
        <v>11</v>
      </c>
      <c r="AL13" s="37">
        <f t="shared" si="9"/>
        <v>46</v>
      </c>
      <c r="AM13" s="41"/>
      <c r="AN13" s="37">
        <f t="shared" si="10"/>
        <v>2</v>
      </c>
      <c r="AO13" s="37">
        <v>19</v>
      </c>
      <c r="AP13" s="37">
        <v>23</v>
      </c>
      <c r="AQ13" s="37">
        <v>25</v>
      </c>
      <c r="AR13" s="37">
        <f t="shared" si="11"/>
        <v>67</v>
      </c>
      <c r="AS13" s="41"/>
      <c r="AT13" s="37">
        <f t="shared" si="24"/>
        <v>3.5</v>
      </c>
      <c r="AU13" s="37">
        <v>35</v>
      </c>
      <c r="AV13" s="37">
        <v>13</v>
      </c>
      <c r="AW13" s="37">
        <v>22</v>
      </c>
      <c r="AX13" s="37">
        <f t="shared" si="12"/>
        <v>70</v>
      </c>
      <c r="AY13" s="41"/>
      <c r="AZ13" s="37">
        <f t="shared" si="13"/>
        <v>4</v>
      </c>
      <c r="BA13" s="37">
        <v>35</v>
      </c>
      <c r="BB13" s="37">
        <v>10</v>
      </c>
      <c r="BC13" s="37">
        <v>22</v>
      </c>
      <c r="BD13" s="37">
        <f t="shared" si="14"/>
        <v>67</v>
      </c>
      <c r="BE13" s="41"/>
      <c r="BF13" s="37">
        <f t="shared" si="15"/>
        <v>3.5</v>
      </c>
      <c r="BG13" s="37">
        <v>22</v>
      </c>
      <c r="BH13" s="37">
        <v>16</v>
      </c>
      <c r="BI13" s="37">
        <v>24</v>
      </c>
      <c r="BJ13" s="37">
        <f t="shared" si="16"/>
        <v>62</v>
      </c>
      <c r="BK13" s="41"/>
      <c r="BL13" s="37">
        <f t="shared" si="29"/>
        <v>3.5</v>
      </c>
      <c r="BM13" s="37">
        <f t="shared" si="30"/>
        <v>3.5</v>
      </c>
      <c r="BN13" s="37">
        <f t="shared" si="31"/>
        <v>30.5</v>
      </c>
      <c r="BO13" s="40">
        <f t="shared" si="32"/>
        <v>3.3888888888888888</v>
      </c>
      <c r="BP13" s="37" t="str">
        <f t="shared" si="27"/>
        <v>GOOD</v>
      </c>
      <c r="BQ13" s="37">
        <f t="shared" si="28"/>
        <v>691</v>
      </c>
      <c r="BR13" s="37"/>
    </row>
    <row r="14" spans="1:70" ht="20.100000000000001" customHeight="1" x14ac:dyDescent="0.25">
      <c r="A14" s="39">
        <v>6</v>
      </c>
      <c r="B14" s="13">
        <v>32</v>
      </c>
      <c r="C14" s="14" t="s">
        <v>140</v>
      </c>
      <c r="D14" s="14" t="s">
        <v>141</v>
      </c>
      <c r="E14" s="14" t="s">
        <v>142</v>
      </c>
      <c r="F14" s="35" t="s">
        <v>143</v>
      </c>
      <c r="G14" s="37">
        <v>24</v>
      </c>
      <c r="H14" s="37">
        <v>19</v>
      </c>
      <c r="I14" s="37">
        <f t="shared" si="21"/>
        <v>43</v>
      </c>
      <c r="J14" s="37">
        <v>26</v>
      </c>
      <c r="K14" s="37">
        <v>20</v>
      </c>
      <c r="L14" s="37">
        <f t="shared" si="22"/>
        <v>46</v>
      </c>
      <c r="M14" s="37">
        <f t="shared" si="0"/>
        <v>89</v>
      </c>
      <c r="N14" s="41"/>
      <c r="O14" s="37">
        <f t="shared" si="23"/>
        <v>2</v>
      </c>
      <c r="P14" s="37">
        <v>56</v>
      </c>
      <c r="Q14" s="37">
        <v>39</v>
      </c>
      <c r="R14" s="37">
        <f t="shared" si="1"/>
        <v>95</v>
      </c>
      <c r="S14" s="41"/>
      <c r="T14" s="37">
        <f t="shared" si="2"/>
        <v>2</v>
      </c>
      <c r="U14" s="37">
        <v>39</v>
      </c>
      <c r="V14" s="37">
        <v>22</v>
      </c>
      <c r="W14" s="37">
        <f t="shared" si="3"/>
        <v>61</v>
      </c>
      <c r="X14" s="41"/>
      <c r="Y14" s="37">
        <f t="shared" si="4"/>
        <v>3.5</v>
      </c>
      <c r="Z14" s="37">
        <v>36</v>
      </c>
      <c r="AA14" s="37">
        <v>23</v>
      </c>
      <c r="AB14" s="37">
        <f t="shared" si="5"/>
        <v>59</v>
      </c>
      <c r="AC14" s="41"/>
      <c r="AD14" s="37">
        <f t="shared" si="6"/>
        <v>3</v>
      </c>
      <c r="AE14" s="37">
        <v>13</v>
      </c>
      <c r="AF14" s="37">
        <v>22</v>
      </c>
      <c r="AG14" s="37">
        <f t="shared" si="7"/>
        <v>35</v>
      </c>
      <c r="AH14" s="41"/>
      <c r="AI14" s="37">
        <f t="shared" si="8"/>
        <v>4</v>
      </c>
      <c r="AJ14" s="37">
        <v>23</v>
      </c>
      <c r="AK14" s="37">
        <v>16</v>
      </c>
      <c r="AL14" s="37">
        <f t="shared" si="9"/>
        <v>39</v>
      </c>
      <c r="AM14" s="41"/>
      <c r="AN14" s="37">
        <f t="shared" si="10"/>
        <v>1</v>
      </c>
      <c r="AO14" s="37">
        <v>39</v>
      </c>
      <c r="AP14" s="37">
        <v>24</v>
      </c>
      <c r="AQ14" s="37">
        <v>25</v>
      </c>
      <c r="AR14" s="37">
        <f t="shared" si="11"/>
        <v>88</v>
      </c>
      <c r="AS14" s="41"/>
      <c r="AT14" s="37">
        <f t="shared" si="24"/>
        <v>5</v>
      </c>
      <c r="AU14" s="37">
        <v>27</v>
      </c>
      <c r="AV14" s="37">
        <v>9</v>
      </c>
      <c r="AW14" s="37">
        <v>22</v>
      </c>
      <c r="AX14" s="37">
        <f t="shared" si="12"/>
        <v>58</v>
      </c>
      <c r="AY14" s="41"/>
      <c r="AZ14" s="37">
        <f t="shared" si="13"/>
        <v>3</v>
      </c>
      <c r="BA14" s="37">
        <v>20</v>
      </c>
      <c r="BB14" s="37">
        <v>17</v>
      </c>
      <c r="BC14" s="37">
        <v>22</v>
      </c>
      <c r="BD14" s="37">
        <f t="shared" si="14"/>
        <v>59</v>
      </c>
      <c r="BE14" s="41"/>
      <c r="BF14" s="37">
        <f t="shared" si="15"/>
        <v>3</v>
      </c>
      <c r="BG14" s="37">
        <v>20</v>
      </c>
      <c r="BH14" s="37">
        <v>20</v>
      </c>
      <c r="BI14" s="37">
        <v>24</v>
      </c>
      <c r="BJ14" s="37">
        <f t="shared" si="16"/>
        <v>64</v>
      </c>
      <c r="BK14" s="41"/>
      <c r="BL14" s="37">
        <f t="shared" si="29"/>
        <v>3.5</v>
      </c>
      <c r="BM14" s="37">
        <f t="shared" si="30"/>
        <v>3.5</v>
      </c>
      <c r="BN14" s="37">
        <f t="shared" si="31"/>
        <v>28</v>
      </c>
      <c r="BO14" s="40">
        <f t="shared" si="32"/>
        <v>3.1111111111111112</v>
      </c>
      <c r="BP14" s="37" t="str">
        <f t="shared" si="27"/>
        <v>GOOD</v>
      </c>
      <c r="BQ14" s="37">
        <f t="shared" si="28"/>
        <v>647</v>
      </c>
      <c r="BR14" s="37"/>
    </row>
    <row r="15" spans="1:70" ht="20.100000000000001" customHeight="1" x14ac:dyDescent="0.25">
      <c r="A15" s="39">
        <v>8</v>
      </c>
      <c r="B15" s="13">
        <v>36</v>
      </c>
      <c r="C15" s="15" t="s">
        <v>66</v>
      </c>
      <c r="D15" s="15" t="s">
        <v>67</v>
      </c>
      <c r="E15" s="15" t="s">
        <v>68</v>
      </c>
      <c r="F15" s="13" t="s">
        <v>120</v>
      </c>
      <c r="G15" s="37">
        <v>25</v>
      </c>
      <c r="H15" s="37">
        <v>13</v>
      </c>
      <c r="I15" s="37">
        <f t="shared" si="21"/>
        <v>38</v>
      </c>
      <c r="J15" s="37">
        <v>48</v>
      </c>
      <c r="K15" s="37">
        <v>14</v>
      </c>
      <c r="L15" s="37">
        <f t="shared" si="22"/>
        <v>62</v>
      </c>
      <c r="M15" s="37">
        <f t="shared" si="0"/>
        <v>100</v>
      </c>
      <c r="N15" s="41"/>
      <c r="O15" s="37">
        <f t="shared" si="23"/>
        <v>3</v>
      </c>
      <c r="P15" s="37">
        <v>60</v>
      </c>
      <c r="Q15" s="37">
        <v>50</v>
      </c>
      <c r="R15" s="37">
        <f t="shared" si="1"/>
        <v>110</v>
      </c>
      <c r="S15" s="41"/>
      <c r="T15" s="37">
        <f t="shared" si="2"/>
        <v>3</v>
      </c>
      <c r="U15" s="37">
        <v>27</v>
      </c>
      <c r="V15" s="37">
        <v>16</v>
      </c>
      <c r="W15" s="37">
        <f t="shared" si="3"/>
        <v>43</v>
      </c>
      <c r="X15" s="41"/>
      <c r="Y15" s="37">
        <f t="shared" si="4"/>
        <v>2</v>
      </c>
      <c r="Z15" s="37">
        <v>43</v>
      </c>
      <c r="AA15" s="37">
        <v>18</v>
      </c>
      <c r="AB15" s="37">
        <f t="shared" si="5"/>
        <v>61</v>
      </c>
      <c r="AC15" s="41"/>
      <c r="AD15" s="37">
        <f t="shared" si="6"/>
        <v>3.5</v>
      </c>
      <c r="AE15" s="37">
        <v>17</v>
      </c>
      <c r="AF15" s="37">
        <v>22</v>
      </c>
      <c r="AG15" s="37">
        <f t="shared" si="7"/>
        <v>39</v>
      </c>
      <c r="AH15" s="41"/>
      <c r="AI15" s="37">
        <f t="shared" si="8"/>
        <v>4</v>
      </c>
      <c r="AJ15" s="37">
        <v>33</v>
      </c>
      <c r="AK15" s="37">
        <v>12</v>
      </c>
      <c r="AL15" s="37">
        <f t="shared" si="9"/>
        <v>45</v>
      </c>
      <c r="AM15" s="41"/>
      <c r="AN15" s="37">
        <f t="shared" si="10"/>
        <v>2</v>
      </c>
      <c r="AO15" s="37">
        <v>27</v>
      </c>
      <c r="AP15" s="37">
        <v>19</v>
      </c>
      <c r="AQ15" s="37">
        <v>25</v>
      </c>
      <c r="AR15" s="37">
        <f t="shared" si="11"/>
        <v>71</v>
      </c>
      <c r="AS15" s="41"/>
      <c r="AT15" s="37">
        <f t="shared" si="24"/>
        <v>4</v>
      </c>
      <c r="AU15" s="37">
        <v>28</v>
      </c>
      <c r="AV15" s="37">
        <v>13</v>
      </c>
      <c r="AW15" s="37">
        <v>22</v>
      </c>
      <c r="AX15" s="37">
        <f t="shared" si="12"/>
        <v>63</v>
      </c>
      <c r="AY15" s="41"/>
      <c r="AZ15" s="37">
        <f t="shared" si="13"/>
        <v>3.5</v>
      </c>
      <c r="BA15" s="37">
        <v>37</v>
      </c>
      <c r="BB15" s="37">
        <v>13</v>
      </c>
      <c r="BC15" s="37">
        <v>22</v>
      </c>
      <c r="BD15" s="37">
        <f t="shared" si="14"/>
        <v>72</v>
      </c>
      <c r="BE15" s="41"/>
      <c r="BF15" s="37">
        <f t="shared" si="15"/>
        <v>4</v>
      </c>
      <c r="BG15" s="37">
        <v>16</v>
      </c>
      <c r="BH15" s="37">
        <v>17</v>
      </c>
      <c r="BI15" s="37">
        <v>24</v>
      </c>
      <c r="BJ15" s="37">
        <f t="shared" si="16"/>
        <v>57</v>
      </c>
      <c r="BK15" s="41"/>
      <c r="BL15" s="37" t="str">
        <f t="shared" si="29"/>
        <v>0</v>
      </c>
      <c r="BM15" s="37" t="str">
        <f t="shared" si="30"/>
        <v>F</v>
      </c>
      <c r="BN15" s="37">
        <f t="shared" si="31"/>
        <v>27</v>
      </c>
      <c r="BO15" s="40">
        <f t="shared" si="32"/>
        <v>3</v>
      </c>
      <c r="BP15" s="37" t="str">
        <f t="shared" si="27"/>
        <v>GOOD</v>
      </c>
      <c r="BQ15" s="37">
        <f t="shared" si="28"/>
        <v>661</v>
      </c>
      <c r="BR15" s="37"/>
    </row>
    <row r="16" spans="1:70" ht="20.100000000000001" customHeight="1" x14ac:dyDescent="0.25">
      <c r="A16" s="39">
        <v>10</v>
      </c>
      <c r="B16" s="13">
        <v>39</v>
      </c>
      <c r="C16" s="14" t="s">
        <v>69</v>
      </c>
      <c r="D16" s="14" t="s">
        <v>149</v>
      </c>
      <c r="E16" s="14" t="s">
        <v>70</v>
      </c>
      <c r="F16" s="13" t="s">
        <v>71</v>
      </c>
      <c r="G16" s="37"/>
      <c r="H16" s="37"/>
      <c r="I16" s="37">
        <f t="shared" si="21"/>
        <v>0</v>
      </c>
      <c r="J16" s="37">
        <v>32</v>
      </c>
      <c r="K16" s="37">
        <v>19</v>
      </c>
      <c r="L16" s="37">
        <f t="shared" si="22"/>
        <v>51</v>
      </c>
      <c r="M16" s="37">
        <f t="shared" si="0"/>
        <v>51</v>
      </c>
      <c r="N16" s="41"/>
      <c r="O16" s="37" t="str">
        <f t="shared" si="23"/>
        <v>F</v>
      </c>
      <c r="P16" s="37">
        <v>62</v>
      </c>
      <c r="Q16" s="37"/>
      <c r="R16" s="37">
        <f t="shared" si="1"/>
        <v>62</v>
      </c>
      <c r="S16" s="41"/>
      <c r="T16" s="37" t="str">
        <f t="shared" si="2"/>
        <v>F</v>
      </c>
      <c r="U16" s="37">
        <v>26</v>
      </c>
      <c r="V16" s="37">
        <v>21</v>
      </c>
      <c r="W16" s="37">
        <f t="shared" si="3"/>
        <v>47</v>
      </c>
      <c r="X16" s="41"/>
      <c r="Y16" s="37">
        <f t="shared" si="4"/>
        <v>2</v>
      </c>
      <c r="Z16" s="37"/>
      <c r="AA16" s="37"/>
      <c r="AB16" s="37">
        <f t="shared" si="5"/>
        <v>0</v>
      </c>
      <c r="AC16" s="41"/>
      <c r="AD16" s="37" t="str">
        <f t="shared" si="6"/>
        <v>F</v>
      </c>
      <c r="AE16" s="37"/>
      <c r="AF16" s="37"/>
      <c r="AG16" s="37">
        <f t="shared" si="7"/>
        <v>0</v>
      </c>
      <c r="AH16" s="41"/>
      <c r="AI16" s="37" t="str">
        <f t="shared" si="8"/>
        <v>F</v>
      </c>
      <c r="AJ16" s="37"/>
      <c r="AK16" s="37"/>
      <c r="AL16" s="37">
        <f t="shared" si="9"/>
        <v>0</v>
      </c>
      <c r="AM16" s="41"/>
      <c r="AN16" s="37" t="str">
        <f t="shared" si="10"/>
        <v>F</v>
      </c>
      <c r="AO16" s="37">
        <v>27</v>
      </c>
      <c r="AP16" s="37">
        <v>19</v>
      </c>
      <c r="AQ16" s="37">
        <v>25</v>
      </c>
      <c r="AR16" s="37">
        <f t="shared" si="11"/>
        <v>71</v>
      </c>
      <c r="AS16" s="41"/>
      <c r="AT16" s="37">
        <f t="shared" si="24"/>
        <v>4</v>
      </c>
      <c r="AU16" s="37">
        <v>29</v>
      </c>
      <c r="AV16" s="37">
        <v>4</v>
      </c>
      <c r="AW16" s="37">
        <v>22</v>
      </c>
      <c r="AX16" s="37">
        <f t="shared" si="12"/>
        <v>55</v>
      </c>
      <c r="AY16" s="41"/>
      <c r="AZ16" s="37" t="str">
        <f t="shared" si="13"/>
        <v>F</v>
      </c>
      <c r="BA16" s="37">
        <v>10</v>
      </c>
      <c r="BB16" s="37">
        <v>10</v>
      </c>
      <c r="BC16" s="37">
        <v>22</v>
      </c>
      <c r="BD16" s="37">
        <f t="shared" si="14"/>
        <v>42</v>
      </c>
      <c r="BE16" s="41"/>
      <c r="BF16" s="37" t="str">
        <f t="shared" si="15"/>
        <v>F</v>
      </c>
      <c r="BG16" s="37">
        <v>16</v>
      </c>
      <c r="BH16" s="37">
        <v>18</v>
      </c>
      <c r="BI16" s="37">
        <v>24</v>
      </c>
      <c r="BJ16" s="37">
        <f t="shared" si="16"/>
        <v>58</v>
      </c>
      <c r="BK16" s="41"/>
      <c r="BL16" s="37" t="str">
        <f t="shared" si="29"/>
        <v>0</v>
      </c>
      <c r="BM16" s="37" t="str">
        <f t="shared" si="30"/>
        <v>F</v>
      </c>
      <c r="BN16" s="37" t="str">
        <f t="shared" si="31"/>
        <v>F</v>
      </c>
      <c r="BO16" s="40" t="str">
        <f t="shared" si="32"/>
        <v>F</v>
      </c>
      <c r="BP16" s="37" t="str">
        <f t="shared" si="27"/>
        <v>NEED TO PROGRESS</v>
      </c>
      <c r="BQ16" s="37">
        <f t="shared" si="28"/>
        <v>386</v>
      </c>
      <c r="BR16" s="37"/>
    </row>
    <row r="17" spans="1:70" ht="20.100000000000001" customHeight="1" x14ac:dyDescent="0.25">
      <c r="A17" s="39">
        <v>11</v>
      </c>
      <c r="B17" s="13">
        <v>40</v>
      </c>
      <c r="C17" s="15" t="s">
        <v>72</v>
      </c>
      <c r="D17" s="15" t="s">
        <v>73</v>
      </c>
      <c r="E17" s="15" t="s">
        <v>74</v>
      </c>
      <c r="F17" s="13" t="s">
        <v>121</v>
      </c>
      <c r="G17" s="37">
        <v>33</v>
      </c>
      <c r="H17" s="37">
        <v>14</v>
      </c>
      <c r="I17" s="37">
        <f t="shared" si="21"/>
        <v>47</v>
      </c>
      <c r="J17" s="37">
        <v>38</v>
      </c>
      <c r="K17" s="37">
        <v>15</v>
      </c>
      <c r="L17" s="37">
        <f t="shared" si="22"/>
        <v>53</v>
      </c>
      <c r="M17" s="37">
        <f t="shared" si="0"/>
        <v>100</v>
      </c>
      <c r="N17" s="41"/>
      <c r="O17" s="37">
        <f t="shared" si="23"/>
        <v>3</v>
      </c>
      <c r="P17" s="37">
        <v>66</v>
      </c>
      <c r="Q17" s="37">
        <v>48</v>
      </c>
      <c r="R17" s="37">
        <f t="shared" si="1"/>
        <v>114</v>
      </c>
      <c r="S17" s="41"/>
      <c r="T17" s="37">
        <f t="shared" si="2"/>
        <v>3</v>
      </c>
      <c r="U17" s="37">
        <v>46</v>
      </c>
      <c r="V17" s="37">
        <v>19</v>
      </c>
      <c r="W17" s="37">
        <f t="shared" si="3"/>
        <v>65</v>
      </c>
      <c r="X17" s="41"/>
      <c r="Y17" s="37">
        <f t="shared" si="4"/>
        <v>3.5</v>
      </c>
      <c r="Z17" s="37">
        <v>44</v>
      </c>
      <c r="AA17" s="37">
        <v>24</v>
      </c>
      <c r="AB17" s="37">
        <f t="shared" si="5"/>
        <v>68</v>
      </c>
      <c r="AC17" s="41"/>
      <c r="AD17" s="37">
        <f t="shared" si="6"/>
        <v>3.5</v>
      </c>
      <c r="AE17" s="37">
        <v>9</v>
      </c>
      <c r="AF17" s="37">
        <v>22</v>
      </c>
      <c r="AG17" s="37">
        <f t="shared" si="7"/>
        <v>31</v>
      </c>
      <c r="AH17" s="41"/>
      <c r="AI17" s="37">
        <f t="shared" si="8"/>
        <v>3.5</v>
      </c>
      <c r="AJ17" s="37">
        <v>34</v>
      </c>
      <c r="AK17" s="37">
        <v>16</v>
      </c>
      <c r="AL17" s="37">
        <f t="shared" si="9"/>
        <v>50</v>
      </c>
      <c r="AM17" s="41"/>
      <c r="AN17" s="37">
        <f t="shared" si="10"/>
        <v>3</v>
      </c>
      <c r="AO17" s="37">
        <v>20</v>
      </c>
      <c r="AP17" s="37">
        <v>21</v>
      </c>
      <c r="AQ17" s="37">
        <v>25</v>
      </c>
      <c r="AR17" s="37">
        <f t="shared" si="11"/>
        <v>66</v>
      </c>
      <c r="AS17" s="41"/>
      <c r="AT17" s="37">
        <f t="shared" si="24"/>
        <v>3.5</v>
      </c>
      <c r="AU17" s="37">
        <v>31</v>
      </c>
      <c r="AV17" s="37">
        <v>8</v>
      </c>
      <c r="AW17" s="37">
        <v>22</v>
      </c>
      <c r="AX17" s="37">
        <f t="shared" si="12"/>
        <v>61</v>
      </c>
      <c r="AY17" s="41"/>
      <c r="AZ17" s="37">
        <f t="shared" si="13"/>
        <v>3.5</v>
      </c>
      <c r="BA17" s="37">
        <v>27</v>
      </c>
      <c r="BB17" s="37">
        <v>15</v>
      </c>
      <c r="BC17" s="37">
        <v>22</v>
      </c>
      <c r="BD17" s="37">
        <f t="shared" si="14"/>
        <v>64</v>
      </c>
      <c r="BE17" s="41"/>
      <c r="BF17" s="37">
        <f t="shared" si="15"/>
        <v>3.5</v>
      </c>
      <c r="BG17" s="37">
        <v>21</v>
      </c>
      <c r="BH17" s="37">
        <v>18</v>
      </c>
      <c r="BI17" s="37">
        <v>24</v>
      </c>
      <c r="BJ17" s="37">
        <f t="shared" si="16"/>
        <v>63</v>
      </c>
      <c r="BK17" s="41"/>
      <c r="BL17" s="37">
        <f t="shared" si="29"/>
        <v>3.5</v>
      </c>
      <c r="BM17" s="37">
        <f t="shared" si="30"/>
        <v>3.5</v>
      </c>
      <c r="BN17" s="37">
        <f t="shared" si="31"/>
        <v>31.5</v>
      </c>
      <c r="BO17" s="40">
        <f t="shared" si="32"/>
        <v>3.5</v>
      </c>
      <c r="BP17" s="37" t="str">
        <f t="shared" si="27"/>
        <v>GOOD</v>
      </c>
      <c r="BQ17" s="37">
        <f t="shared" si="28"/>
        <v>682</v>
      </c>
      <c r="BR17" s="37"/>
    </row>
    <row r="18" spans="1:70" ht="20.100000000000001" customHeight="1" x14ac:dyDescent="0.25">
      <c r="A18" s="39">
        <v>12</v>
      </c>
      <c r="B18" s="12">
        <v>41</v>
      </c>
      <c r="C18" s="15" t="s">
        <v>75</v>
      </c>
      <c r="D18" s="15" t="s">
        <v>76</v>
      </c>
      <c r="E18" s="15" t="s">
        <v>77</v>
      </c>
      <c r="F18" s="13" t="s">
        <v>78</v>
      </c>
      <c r="G18" s="37">
        <v>31</v>
      </c>
      <c r="H18" s="37">
        <v>14</v>
      </c>
      <c r="I18" s="37">
        <f t="shared" si="21"/>
        <v>45</v>
      </c>
      <c r="J18" s="37">
        <v>45</v>
      </c>
      <c r="K18" s="37">
        <v>15</v>
      </c>
      <c r="L18" s="37">
        <f t="shared" si="22"/>
        <v>60</v>
      </c>
      <c r="M18" s="37">
        <f t="shared" si="0"/>
        <v>105</v>
      </c>
      <c r="N18" s="41"/>
      <c r="O18" s="37">
        <f t="shared" si="23"/>
        <v>3</v>
      </c>
      <c r="P18" s="37">
        <v>58</v>
      </c>
      <c r="Q18" s="37">
        <v>52</v>
      </c>
      <c r="R18" s="37">
        <f t="shared" si="1"/>
        <v>110</v>
      </c>
      <c r="S18" s="41"/>
      <c r="T18" s="37">
        <f t="shared" si="2"/>
        <v>3</v>
      </c>
      <c r="U18" s="37">
        <v>45</v>
      </c>
      <c r="V18" s="37">
        <v>17</v>
      </c>
      <c r="W18" s="37">
        <f t="shared" si="3"/>
        <v>62</v>
      </c>
      <c r="X18" s="41"/>
      <c r="Y18" s="37">
        <f t="shared" si="4"/>
        <v>3.5</v>
      </c>
      <c r="Z18" s="37">
        <v>52</v>
      </c>
      <c r="AA18" s="37">
        <v>18</v>
      </c>
      <c r="AB18" s="37">
        <f t="shared" si="5"/>
        <v>70</v>
      </c>
      <c r="AC18" s="41"/>
      <c r="AD18" s="37">
        <f t="shared" si="6"/>
        <v>4</v>
      </c>
      <c r="AE18" s="37">
        <v>17</v>
      </c>
      <c r="AF18" s="37">
        <v>22</v>
      </c>
      <c r="AG18" s="37">
        <f t="shared" si="7"/>
        <v>39</v>
      </c>
      <c r="AH18" s="41"/>
      <c r="AI18" s="37">
        <f t="shared" si="8"/>
        <v>4</v>
      </c>
      <c r="AJ18" s="37">
        <v>37</v>
      </c>
      <c r="AK18" s="37">
        <v>13</v>
      </c>
      <c r="AL18" s="37">
        <f t="shared" si="9"/>
        <v>50</v>
      </c>
      <c r="AM18" s="41"/>
      <c r="AN18" s="37">
        <f t="shared" si="10"/>
        <v>3</v>
      </c>
      <c r="AO18" s="37">
        <v>31</v>
      </c>
      <c r="AP18" s="37">
        <v>19</v>
      </c>
      <c r="AQ18" s="37">
        <v>25</v>
      </c>
      <c r="AR18" s="37">
        <f t="shared" si="11"/>
        <v>75</v>
      </c>
      <c r="AS18" s="41"/>
      <c r="AT18" s="37">
        <f t="shared" si="24"/>
        <v>4</v>
      </c>
      <c r="AU18" s="37">
        <v>37</v>
      </c>
      <c r="AV18" s="37">
        <v>16</v>
      </c>
      <c r="AW18" s="37">
        <v>22</v>
      </c>
      <c r="AX18" s="37">
        <f t="shared" si="12"/>
        <v>75</v>
      </c>
      <c r="AY18" s="41"/>
      <c r="AZ18" s="37">
        <f t="shared" si="13"/>
        <v>4</v>
      </c>
      <c r="BA18" s="37">
        <v>37</v>
      </c>
      <c r="BB18" s="37">
        <v>14</v>
      </c>
      <c r="BC18" s="37">
        <v>22</v>
      </c>
      <c r="BD18" s="37">
        <f t="shared" si="14"/>
        <v>73</v>
      </c>
      <c r="BE18" s="41"/>
      <c r="BF18" s="37">
        <f t="shared" si="15"/>
        <v>4</v>
      </c>
      <c r="BG18" s="37">
        <v>37</v>
      </c>
      <c r="BH18" s="37">
        <v>17</v>
      </c>
      <c r="BI18" s="37">
        <v>24</v>
      </c>
      <c r="BJ18" s="37">
        <f t="shared" si="16"/>
        <v>78</v>
      </c>
      <c r="BK18" s="41"/>
      <c r="BL18" s="37">
        <f t="shared" si="29"/>
        <v>4</v>
      </c>
      <c r="BM18" s="37">
        <f t="shared" si="30"/>
        <v>4</v>
      </c>
      <c r="BN18" s="37">
        <f t="shared" si="31"/>
        <v>34.5</v>
      </c>
      <c r="BO18" s="40">
        <f t="shared" si="32"/>
        <v>3.8333333333333335</v>
      </c>
      <c r="BP18" s="37" t="str">
        <f t="shared" ref="BP18:BP30" si="33">IF(BO18="F","NEED TO PROGRESS",IF(BO18&gt;=5,"BEST",IF(BO18&gt;=4,"BETTER",IF(BO18&gt;=2,"GOOD"))))</f>
        <v>GOOD</v>
      </c>
      <c r="BQ18" s="37">
        <f t="shared" ref="BQ18:BQ30" si="34">M18+W18+AB18+AG18+AL18+AR18+AX18+BD18+BJ18+R18</f>
        <v>737</v>
      </c>
      <c r="BR18" s="37"/>
    </row>
    <row r="19" spans="1:70" ht="20.100000000000001" customHeight="1" x14ac:dyDescent="0.25">
      <c r="A19" s="39">
        <v>13</v>
      </c>
      <c r="B19" s="13">
        <v>42</v>
      </c>
      <c r="C19" s="14" t="s">
        <v>79</v>
      </c>
      <c r="D19" s="14" t="s">
        <v>80</v>
      </c>
      <c r="E19" s="14" t="s">
        <v>81</v>
      </c>
      <c r="F19" s="13" t="s">
        <v>122</v>
      </c>
      <c r="G19" s="37">
        <v>31</v>
      </c>
      <c r="H19" s="37">
        <v>15</v>
      </c>
      <c r="I19" s="37">
        <f t="shared" si="21"/>
        <v>46</v>
      </c>
      <c r="J19" s="37">
        <v>42</v>
      </c>
      <c r="K19" s="37">
        <v>19</v>
      </c>
      <c r="L19" s="37">
        <f t="shared" si="22"/>
        <v>61</v>
      </c>
      <c r="M19" s="37">
        <f t="shared" si="0"/>
        <v>107</v>
      </c>
      <c r="N19" s="41"/>
      <c r="O19" s="37">
        <f t="shared" si="23"/>
        <v>3</v>
      </c>
      <c r="P19" s="37">
        <v>49</v>
      </c>
      <c r="Q19" s="37">
        <v>33</v>
      </c>
      <c r="R19" s="37">
        <f t="shared" si="1"/>
        <v>82</v>
      </c>
      <c r="S19" s="41"/>
      <c r="T19" s="37">
        <f t="shared" si="2"/>
        <v>2</v>
      </c>
      <c r="U19" s="37">
        <v>36</v>
      </c>
      <c r="V19" s="37">
        <v>25</v>
      </c>
      <c r="W19" s="37">
        <f t="shared" si="3"/>
        <v>61</v>
      </c>
      <c r="X19" s="41"/>
      <c r="Y19" s="37">
        <f t="shared" si="4"/>
        <v>3.5</v>
      </c>
      <c r="Z19" s="37">
        <v>44</v>
      </c>
      <c r="AA19" s="37">
        <v>22</v>
      </c>
      <c r="AB19" s="37">
        <f t="shared" si="5"/>
        <v>66</v>
      </c>
      <c r="AC19" s="41"/>
      <c r="AD19" s="37">
        <f t="shared" si="6"/>
        <v>3.5</v>
      </c>
      <c r="AE19" s="37"/>
      <c r="AF19" s="37"/>
      <c r="AG19" s="37">
        <f t="shared" si="7"/>
        <v>0</v>
      </c>
      <c r="AH19" s="41"/>
      <c r="AI19" s="37" t="str">
        <f t="shared" si="8"/>
        <v>F</v>
      </c>
      <c r="AJ19" s="37">
        <v>37</v>
      </c>
      <c r="AK19" s="37">
        <v>14</v>
      </c>
      <c r="AL19" s="37">
        <f t="shared" si="9"/>
        <v>51</v>
      </c>
      <c r="AM19" s="41"/>
      <c r="AN19" s="37">
        <f t="shared" si="10"/>
        <v>3</v>
      </c>
      <c r="AO19" s="37">
        <v>32</v>
      </c>
      <c r="AP19" s="37">
        <v>24</v>
      </c>
      <c r="AQ19" s="37">
        <v>25</v>
      </c>
      <c r="AR19" s="37">
        <f t="shared" si="11"/>
        <v>81</v>
      </c>
      <c r="AS19" s="41"/>
      <c r="AT19" s="37">
        <f t="shared" si="24"/>
        <v>5</v>
      </c>
      <c r="AU19" s="37">
        <v>38</v>
      </c>
      <c r="AV19" s="37">
        <v>10</v>
      </c>
      <c r="AW19" s="37">
        <v>22</v>
      </c>
      <c r="AX19" s="37">
        <f t="shared" si="12"/>
        <v>70</v>
      </c>
      <c r="AY19" s="41"/>
      <c r="AZ19" s="37">
        <f t="shared" si="13"/>
        <v>4</v>
      </c>
      <c r="BA19" s="37">
        <v>22</v>
      </c>
      <c r="BB19" s="37">
        <v>18</v>
      </c>
      <c r="BC19" s="37">
        <v>22</v>
      </c>
      <c r="BD19" s="37">
        <f t="shared" si="14"/>
        <v>62</v>
      </c>
      <c r="BE19" s="41"/>
      <c r="BF19" s="37">
        <f t="shared" si="15"/>
        <v>3.5</v>
      </c>
      <c r="BG19" s="37">
        <v>28</v>
      </c>
      <c r="BH19" s="37">
        <v>17</v>
      </c>
      <c r="BI19" s="37">
        <v>24</v>
      </c>
      <c r="BJ19" s="37">
        <f t="shared" si="16"/>
        <v>69</v>
      </c>
      <c r="BK19" s="41"/>
      <c r="BL19" s="37">
        <f t="shared" si="29"/>
        <v>3.5</v>
      </c>
      <c r="BM19" s="37">
        <f t="shared" si="30"/>
        <v>3.5</v>
      </c>
      <c r="BN19" s="37" t="str">
        <f t="shared" si="31"/>
        <v>F</v>
      </c>
      <c r="BO19" s="40" t="str">
        <f t="shared" si="32"/>
        <v>F</v>
      </c>
      <c r="BP19" s="37" t="str">
        <f t="shared" si="33"/>
        <v>NEED TO PROGRESS</v>
      </c>
      <c r="BQ19" s="37">
        <f t="shared" si="34"/>
        <v>649</v>
      </c>
      <c r="BR19" s="37"/>
    </row>
    <row r="20" spans="1:70" ht="20.100000000000001" customHeight="1" x14ac:dyDescent="0.25">
      <c r="A20" s="39">
        <v>14</v>
      </c>
      <c r="B20" s="12">
        <v>43</v>
      </c>
      <c r="C20" s="15" t="s">
        <v>82</v>
      </c>
      <c r="D20" s="15" t="s">
        <v>83</v>
      </c>
      <c r="E20" s="15" t="s">
        <v>84</v>
      </c>
      <c r="F20" s="13" t="s">
        <v>85</v>
      </c>
      <c r="G20" s="37">
        <v>42</v>
      </c>
      <c r="H20" s="37">
        <v>14</v>
      </c>
      <c r="I20" s="37">
        <f t="shared" si="21"/>
        <v>56</v>
      </c>
      <c r="J20" s="37">
        <v>40</v>
      </c>
      <c r="K20" s="37">
        <v>12</v>
      </c>
      <c r="L20" s="37">
        <f t="shared" si="22"/>
        <v>52</v>
      </c>
      <c r="M20" s="37">
        <f t="shared" si="0"/>
        <v>108</v>
      </c>
      <c r="N20" s="41"/>
      <c r="O20" s="37">
        <f t="shared" si="23"/>
        <v>3</v>
      </c>
      <c r="P20" s="37">
        <v>51</v>
      </c>
      <c r="Q20" s="37">
        <v>39</v>
      </c>
      <c r="R20" s="37">
        <f t="shared" si="1"/>
        <v>90</v>
      </c>
      <c r="S20" s="41"/>
      <c r="T20" s="37">
        <f t="shared" si="2"/>
        <v>2</v>
      </c>
      <c r="U20" s="37">
        <v>38</v>
      </c>
      <c r="V20" s="37">
        <v>15</v>
      </c>
      <c r="W20" s="37">
        <f t="shared" si="3"/>
        <v>53</v>
      </c>
      <c r="X20" s="41"/>
      <c r="Y20" s="37">
        <f t="shared" si="4"/>
        <v>3</v>
      </c>
      <c r="Z20" s="37">
        <v>43</v>
      </c>
      <c r="AA20" s="37">
        <v>19</v>
      </c>
      <c r="AB20" s="37">
        <f t="shared" si="5"/>
        <v>62</v>
      </c>
      <c r="AC20" s="41"/>
      <c r="AD20" s="37">
        <f t="shared" si="6"/>
        <v>3.5</v>
      </c>
      <c r="AE20" s="37">
        <v>16</v>
      </c>
      <c r="AF20" s="37">
        <v>22</v>
      </c>
      <c r="AG20" s="37">
        <f t="shared" si="7"/>
        <v>38</v>
      </c>
      <c r="AH20" s="41"/>
      <c r="AI20" s="37">
        <f t="shared" si="8"/>
        <v>4</v>
      </c>
      <c r="AJ20" s="37">
        <v>29</v>
      </c>
      <c r="AK20" s="37">
        <v>13</v>
      </c>
      <c r="AL20" s="37">
        <f t="shared" si="9"/>
        <v>42</v>
      </c>
      <c r="AM20" s="41"/>
      <c r="AN20" s="37">
        <f t="shared" si="10"/>
        <v>2</v>
      </c>
      <c r="AO20" s="37">
        <v>27</v>
      </c>
      <c r="AP20" s="37">
        <v>21</v>
      </c>
      <c r="AQ20" s="37">
        <v>25</v>
      </c>
      <c r="AR20" s="37">
        <f t="shared" si="11"/>
        <v>73</v>
      </c>
      <c r="AS20" s="41"/>
      <c r="AT20" s="37">
        <f t="shared" si="24"/>
        <v>4</v>
      </c>
      <c r="AU20" s="37">
        <v>33</v>
      </c>
      <c r="AV20" s="37">
        <v>14</v>
      </c>
      <c r="AW20" s="37">
        <v>22</v>
      </c>
      <c r="AX20" s="37">
        <f t="shared" si="12"/>
        <v>69</v>
      </c>
      <c r="AY20" s="41"/>
      <c r="AZ20" s="37">
        <f t="shared" si="13"/>
        <v>3.5</v>
      </c>
      <c r="BA20" s="37">
        <v>27</v>
      </c>
      <c r="BB20" s="37">
        <v>17</v>
      </c>
      <c r="BC20" s="37">
        <v>22</v>
      </c>
      <c r="BD20" s="37">
        <f t="shared" si="14"/>
        <v>66</v>
      </c>
      <c r="BE20" s="41"/>
      <c r="BF20" s="37">
        <f t="shared" si="15"/>
        <v>3.5</v>
      </c>
      <c r="BG20" s="37">
        <v>32</v>
      </c>
      <c r="BH20" s="37">
        <v>22</v>
      </c>
      <c r="BI20" s="37">
        <v>24</v>
      </c>
      <c r="BJ20" s="37">
        <f t="shared" si="16"/>
        <v>78</v>
      </c>
      <c r="BK20" s="41"/>
      <c r="BL20" s="37">
        <f t="shared" si="29"/>
        <v>4</v>
      </c>
      <c r="BM20" s="37">
        <f t="shared" si="30"/>
        <v>4</v>
      </c>
      <c r="BN20" s="37">
        <f t="shared" si="31"/>
        <v>30.5</v>
      </c>
      <c r="BO20" s="40">
        <f t="shared" si="32"/>
        <v>3.3888888888888888</v>
      </c>
      <c r="BP20" s="37" t="str">
        <f t="shared" si="33"/>
        <v>GOOD</v>
      </c>
      <c r="BQ20" s="37">
        <f t="shared" si="34"/>
        <v>679</v>
      </c>
      <c r="BR20" s="37"/>
    </row>
    <row r="21" spans="1:70" ht="20.100000000000001" customHeight="1" x14ac:dyDescent="0.25">
      <c r="A21" s="39">
        <v>17</v>
      </c>
      <c r="B21" s="12">
        <v>47</v>
      </c>
      <c r="C21" s="15" t="s">
        <v>86</v>
      </c>
      <c r="D21" s="15" t="s">
        <v>87</v>
      </c>
      <c r="E21" s="14" t="s">
        <v>88</v>
      </c>
      <c r="F21" s="13" t="s">
        <v>123</v>
      </c>
      <c r="G21" s="37">
        <v>24</v>
      </c>
      <c r="H21" s="37">
        <v>12</v>
      </c>
      <c r="I21" s="37">
        <f t="shared" si="21"/>
        <v>36</v>
      </c>
      <c r="J21" s="37">
        <v>36</v>
      </c>
      <c r="K21" s="37">
        <v>21</v>
      </c>
      <c r="L21" s="37">
        <f t="shared" si="22"/>
        <v>57</v>
      </c>
      <c r="M21" s="37">
        <f t="shared" si="0"/>
        <v>93</v>
      </c>
      <c r="N21" s="41"/>
      <c r="O21" s="37">
        <f t="shared" si="23"/>
        <v>2</v>
      </c>
      <c r="P21" s="37">
        <v>61</v>
      </c>
      <c r="Q21" s="37">
        <v>42</v>
      </c>
      <c r="R21" s="37">
        <f t="shared" si="1"/>
        <v>103</v>
      </c>
      <c r="S21" s="41"/>
      <c r="T21" s="37">
        <f t="shared" si="2"/>
        <v>3</v>
      </c>
      <c r="U21" s="37">
        <v>28</v>
      </c>
      <c r="V21" s="37">
        <v>23</v>
      </c>
      <c r="W21" s="37">
        <f t="shared" si="3"/>
        <v>51</v>
      </c>
      <c r="X21" s="41"/>
      <c r="Y21" s="37">
        <f t="shared" si="4"/>
        <v>3</v>
      </c>
      <c r="Z21" s="37">
        <v>26</v>
      </c>
      <c r="AA21" s="37">
        <v>25</v>
      </c>
      <c r="AB21" s="37">
        <f t="shared" si="5"/>
        <v>51</v>
      </c>
      <c r="AC21" s="41"/>
      <c r="AD21" s="37">
        <f t="shared" si="6"/>
        <v>3</v>
      </c>
      <c r="AE21" s="37">
        <v>10</v>
      </c>
      <c r="AF21" s="37">
        <v>22</v>
      </c>
      <c r="AG21" s="37">
        <f t="shared" si="7"/>
        <v>32</v>
      </c>
      <c r="AH21" s="41"/>
      <c r="AI21" s="37">
        <f t="shared" si="8"/>
        <v>3.5</v>
      </c>
      <c r="AJ21" s="37">
        <v>23</v>
      </c>
      <c r="AK21" s="37">
        <v>16</v>
      </c>
      <c r="AL21" s="37">
        <f t="shared" si="9"/>
        <v>39</v>
      </c>
      <c r="AM21" s="41"/>
      <c r="AN21" s="37">
        <f t="shared" si="10"/>
        <v>1</v>
      </c>
      <c r="AO21" s="37">
        <v>19</v>
      </c>
      <c r="AP21" s="37">
        <v>19</v>
      </c>
      <c r="AQ21" s="37">
        <v>25</v>
      </c>
      <c r="AR21" s="37">
        <f t="shared" si="11"/>
        <v>63</v>
      </c>
      <c r="AS21" s="41"/>
      <c r="AT21" s="37">
        <f t="shared" si="24"/>
        <v>3.5</v>
      </c>
      <c r="AU21" s="37">
        <v>27</v>
      </c>
      <c r="AV21" s="37">
        <v>8</v>
      </c>
      <c r="AW21" s="37">
        <v>22</v>
      </c>
      <c r="AX21" s="37">
        <f t="shared" si="12"/>
        <v>57</v>
      </c>
      <c r="AY21" s="41"/>
      <c r="AZ21" s="37">
        <f t="shared" si="13"/>
        <v>3</v>
      </c>
      <c r="BA21" s="37">
        <v>29</v>
      </c>
      <c r="BB21" s="37">
        <v>17</v>
      </c>
      <c r="BC21" s="37">
        <v>22</v>
      </c>
      <c r="BD21" s="37">
        <f t="shared" si="14"/>
        <v>68</v>
      </c>
      <c r="BE21" s="41"/>
      <c r="BF21" s="37">
        <f t="shared" si="15"/>
        <v>3.5</v>
      </c>
      <c r="BG21" s="37">
        <v>26</v>
      </c>
      <c r="BH21" s="37">
        <v>17</v>
      </c>
      <c r="BI21" s="37">
        <v>24</v>
      </c>
      <c r="BJ21" s="37">
        <f t="shared" si="16"/>
        <v>67</v>
      </c>
      <c r="BK21" s="41"/>
      <c r="BL21" s="37">
        <f t="shared" si="29"/>
        <v>3.5</v>
      </c>
      <c r="BM21" s="37">
        <f t="shared" si="30"/>
        <v>3.5</v>
      </c>
      <c r="BN21" s="37">
        <f t="shared" si="31"/>
        <v>27</v>
      </c>
      <c r="BO21" s="40">
        <f t="shared" si="32"/>
        <v>3</v>
      </c>
      <c r="BP21" s="37" t="str">
        <f t="shared" si="33"/>
        <v>GOOD</v>
      </c>
      <c r="BQ21" s="37">
        <f t="shared" si="34"/>
        <v>624</v>
      </c>
      <c r="BR21" s="37"/>
    </row>
    <row r="22" spans="1:70" ht="20.100000000000001" customHeight="1" x14ac:dyDescent="0.25">
      <c r="A22" s="39">
        <v>18</v>
      </c>
      <c r="B22" s="12">
        <v>48</v>
      </c>
      <c r="C22" s="15" t="s">
        <v>119</v>
      </c>
      <c r="D22" s="15" t="s">
        <v>89</v>
      </c>
      <c r="E22" s="14" t="s">
        <v>90</v>
      </c>
      <c r="F22" s="13" t="s">
        <v>91</v>
      </c>
      <c r="G22" s="37">
        <v>30</v>
      </c>
      <c r="H22" s="37">
        <v>12</v>
      </c>
      <c r="I22" s="37">
        <f t="shared" si="21"/>
        <v>42</v>
      </c>
      <c r="J22" s="37">
        <v>39</v>
      </c>
      <c r="K22" s="37">
        <v>16</v>
      </c>
      <c r="L22" s="37">
        <f t="shared" si="22"/>
        <v>55</v>
      </c>
      <c r="M22" s="37">
        <f t="shared" si="0"/>
        <v>97</v>
      </c>
      <c r="N22" s="41"/>
      <c r="O22" s="37">
        <f t="shared" si="23"/>
        <v>2</v>
      </c>
      <c r="P22" s="37">
        <v>73</v>
      </c>
      <c r="Q22" s="37">
        <v>30</v>
      </c>
      <c r="R22" s="37">
        <f t="shared" si="1"/>
        <v>103</v>
      </c>
      <c r="S22" s="41"/>
      <c r="T22" s="37">
        <f t="shared" si="2"/>
        <v>3</v>
      </c>
      <c r="U22" s="37">
        <v>38</v>
      </c>
      <c r="V22" s="37">
        <v>17</v>
      </c>
      <c r="W22" s="37">
        <f t="shared" si="3"/>
        <v>55</v>
      </c>
      <c r="X22" s="41"/>
      <c r="Y22" s="37">
        <f t="shared" si="4"/>
        <v>3</v>
      </c>
      <c r="Z22" s="37">
        <v>38</v>
      </c>
      <c r="AA22" s="37">
        <v>21</v>
      </c>
      <c r="AB22" s="37">
        <f t="shared" si="5"/>
        <v>59</v>
      </c>
      <c r="AC22" s="41"/>
      <c r="AD22" s="37">
        <f t="shared" si="6"/>
        <v>3</v>
      </c>
      <c r="AE22" s="37">
        <v>9</v>
      </c>
      <c r="AF22" s="37">
        <v>22</v>
      </c>
      <c r="AG22" s="37">
        <f t="shared" si="7"/>
        <v>31</v>
      </c>
      <c r="AH22" s="41"/>
      <c r="AI22" s="37">
        <f t="shared" si="8"/>
        <v>3.5</v>
      </c>
      <c r="AJ22" s="37">
        <v>28</v>
      </c>
      <c r="AK22" s="37">
        <v>13</v>
      </c>
      <c r="AL22" s="37">
        <f t="shared" si="9"/>
        <v>41</v>
      </c>
      <c r="AM22" s="41"/>
      <c r="AN22" s="37">
        <f t="shared" si="10"/>
        <v>2</v>
      </c>
      <c r="AO22" s="37">
        <v>35</v>
      </c>
      <c r="AP22" s="37">
        <v>23</v>
      </c>
      <c r="AQ22" s="37">
        <v>25</v>
      </c>
      <c r="AR22" s="37">
        <f t="shared" si="11"/>
        <v>83</v>
      </c>
      <c r="AS22" s="41"/>
      <c r="AT22" s="37">
        <f t="shared" si="24"/>
        <v>5</v>
      </c>
      <c r="AU22" s="37">
        <v>26</v>
      </c>
      <c r="AV22" s="37">
        <v>14</v>
      </c>
      <c r="AW22" s="37">
        <v>22</v>
      </c>
      <c r="AX22" s="37">
        <f t="shared" si="12"/>
        <v>62</v>
      </c>
      <c r="AY22" s="41"/>
      <c r="AZ22" s="37">
        <f t="shared" si="13"/>
        <v>3.5</v>
      </c>
      <c r="BA22" s="37">
        <v>30</v>
      </c>
      <c r="BB22" s="37">
        <v>16</v>
      </c>
      <c r="BC22" s="37">
        <v>22</v>
      </c>
      <c r="BD22" s="37">
        <f t="shared" si="14"/>
        <v>68</v>
      </c>
      <c r="BE22" s="41"/>
      <c r="BF22" s="37">
        <f t="shared" si="15"/>
        <v>3.5</v>
      </c>
      <c r="BG22" s="37">
        <v>23</v>
      </c>
      <c r="BH22" s="37">
        <v>19</v>
      </c>
      <c r="BI22" s="37">
        <v>24</v>
      </c>
      <c r="BJ22" s="37">
        <f t="shared" si="16"/>
        <v>66</v>
      </c>
      <c r="BK22" s="41"/>
      <c r="BL22" s="37">
        <f t="shared" si="29"/>
        <v>3.5</v>
      </c>
      <c r="BM22" s="37">
        <f t="shared" si="30"/>
        <v>3.5</v>
      </c>
      <c r="BN22" s="37">
        <f t="shared" si="31"/>
        <v>30</v>
      </c>
      <c r="BO22" s="40">
        <f t="shared" si="32"/>
        <v>3.3333333333333335</v>
      </c>
      <c r="BP22" s="37" t="str">
        <f t="shared" si="33"/>
        <v>GOOD</v>
      </c>
      <c r="BQ22" s="37">
        <f t="shared" si="34"/>
        <v>665</v>
      </c>
      <c r="BR22" s="37"/>
    </row>
    <row r="23" spans="1:70" s="18" customFormat="1" ht="20.100000000000001" customHeight="1" x14ac:dyDescent="0.25">
      <c r="A23" s="39">
        <v>19</v>
      </c>
      <c r="B23" s="12">
        <v>49</v>
      </c>
      <c r="C23" s="14" t="s">
        <v>144</v>
      </c>
      <c r="D23" s="14" t="s">
        <v>92</v>
      </c>
      <c r="E23" s="14" t="s">
        <v>93</v>
      </c>
      <c r="F23" s="13" t="s">
        <v>124</v>
      </c>
      <c r="G23" s="38">
        <v>24</v>
      </c>
      <c r="H23" s="38">
        <v>12</v>
      </c>
      <c r="I23" s="37">
        <f t="shared" si="21"/>
        <v>36</v>
      </c>
      <c r="J23" s="38">
        <v>24</v>
      </c>
      <c r="K23" s="38">
        <v>19</v>
      </c>
      <c r="L23" s="37">
        <f t="shared" si="22"/>
        <v>43</v>
      </c>
      <c r="M23" s="37">
        <f t="shared" si="0"/>
        <v>79</v>
      </c>
      <c r="N23" s="41"/>
      <c r="O23" s="37">
        <f t="shared" si="23"/>
        <v>1</v>
      </c>
      <c r="P23" s="38">
        <v>56</v>
      </c>
      <c r="Q23" s="37">
        <v>29</v>
      </c>
      <c r="R23" s="37">
        <f t="shared" si="1"/>
        <v>85</v>
      </c>
      <c r="S23" s="41"/>
      <c r="T23" s="37">
        <f t="shared" si="2"/>
        <v>2</v>
      </c>
      <c r="U23" s="38">
        <v>23</v>
      </c>
      <c r="V23" s="38">
        <v>22</v>
      </c>
      <c r="W23" s="37">
        <f t="shared" si="3"/>
        <v>45</v>
      </c>
      <c r="X23" s="41"/>
      <c r="Y23" s="37">
        <f t="shared" si="4"/>
        <v>2</v>
      </c>
      <c r="Z23" s="38">
        <v>28</v>
      </c>
      <c r="AA23" s="38">
        <v>22</v>
      </c>
      <c r="AB23" s="37">
        <f t="shared" si="5"/>
        <v>50</v>
      </c>
      <c r="AC23" s="41"/>
      <c r="AD23" s="37">
        <f t="shared" si="6"/>
        <v>3</v>
      </c>
      <c r="AE23" s="38">
        <v>9</v>
      </c>
      <c r="AF23" s="38">
        <v>22</v>
      </c>
      <c r="AG23" s="37">
        <f t="shared" si="7"/>
        <v>31</v>
      </c>
      <c r="AH23" s="41"/>
      <c r="AI23" s="37">
        <f t="shared" si="8"/>
        <v>3.5</v>
      </c>
      <c r="AJ23" s="38">
        <v>29</v>
      </c>
      <c r="AK23" s="38">
        <v>14</v>
      </c>
      <c r="AL23" s="37">
        <f t="shared" si="9"/>
        <v>43</v>
      </c>
      <c r="AM23" s="41"/>
      <c r="AN23" s="37">
        <f t="shared" si="10"/>
        <v>2</v>
      </c>
      <c r="AO23" s="38">
        <v>17</v>
      </c>
      <c r="AP23" s="38">
        <v>13</v>
      </c>
      <c r="AQ23" s="38">
        <v>25</v>
      </c>
      <c r="AR23" s="37">
        <f t="shared" si="11"/>
        <v>55</v>
      </c>
      <c r="AS23" s="41"/>
      <c r="AT23" s="37">
        <f t="shared" si="24"/>
        <v>3</v>
      </c>
      <c r="AU23" s="38">
        <v>17</v>
      </c>
      <c r="AV23" s="38">
        <v>9</v>
      </c>
      <c r="AW23" s="38">
        <v>22</v>
      </c>
      <c r="AX23" s="37">
        <f t="shared" si="12"/>
        <v>48</v>
      </c>
      <c r="AY23" s="41"/>
      <c r="AZ23" s="37">
        <f t="shared" si="13"/>
        <v>2</v>
      </c>
      <c r="BA23" s="38">
        <v>18</v>
      </c>
      <c r="BB23" s="38">
        <v>15</v>
      </c>
      <c r="BC23" s="38">
        <v>22</v>
      </c>
      <c r="BD23" s="37">
        <f t="shared" si="14"/>
        <v>55</v>
      </c>
      <c r="BE23" s="41"/>
      <c r="BF23" s="37">
        <f t="shared" si="15"/>
        <v>3</v>
      </c>
      <c r="BG23" s="38">
        <v>12</v>
      </c>
      <c r="BH23" s="38">
        <v>15</v>
      </c>
      <c r="BI23" s="38">
        <v>22</v>
      </c>
      <c r="BJ23" s="37">
        <f t="shared" si="16"/>
        <v>49</v>
      </c>
      <c r="BK23" s="41"/>
      <c r="BL23" s="37" t="str">
        <f t="shared" si="29"/>
        <v>0</v>
      </c>
      <c r="BM23" s="37" t="str">
        <f t="shared" si="30"/>
        <v>F</v>
      </c>
      <c r="BN23" s="37">
        <f t="shared" si="31"/>
        <v>19.5</v>
      </c>
      <c r="BO23" s="40">
        <f t="shared" si="32"/>
        <v>2.1666666666666665</v>
      </c>
      <c r="BP23" s="37" t="str">
        <f t="shared" si="33"/>
        <v>GOOD</v>
      </c>
      <c r="BQ23" s="37">
        <f t="shared" si="34"/>
        <v>540</v>
      </c>
      <c r="BR23" s="37"/>
    </row>
    <row r="24" spans="1:70" ht="20.100000000000001" customHeight="1" x14ac:dyDescent="0.25">
      <c r="A24" s="39">
        <v>21</v>
      </c>
      <c r="B24" s="13">
        <v>54</v>
      </c>
      <c r="C24" s="15" t="s">
        <v>94</v>
      </c>
      <c r="D24" s="15" t="s">
        <v>95</v>
      </c>
      <c r="E24" s="15" t="s">
        <v>96</v>
      </c>
      <c r="F24" s="13" t="s">
        <v>125</v>
      </c>
      <c r="G24" s="37">
        <v>24</v>
      </c>
      <c r="H24" s="37">
        <v>15</v>
      </c>
      <c r="I24" s="37">
        <f t="shared" si="21"/>
        <v>39</v>
      </c>
      <c r="J24" s="37">
        <v>32</v>
      </c>
      <c r="K24" s="37">
        <v>19</v>
      </c>
      <c r="L24" s="37">
        <f t="shared" si="22"/>
        <v>51</v>
      </c>
      <c r="M24" s="37">
        <f t="shared" si="0"/>
        <v>90</v>
      </c>
      <c r="N24" s="41"/>
      <c r="O24" s="37">
        <f t="shared" si="23"/>
        <v>2</v>
      </c>
      <c r="P24" s="37">
        <v>53</v>
      </c>
      <c r="Q24" s="38">
        <v>20</v>
      </c>
      <c r="R24" s="37">
        <f t="shared" si="1"/>
        <v>73</v>
      </c>
      <c r="S24" s="41"/>
      <c r="T24" s="37">
        <f t="shared" si="2"/>
        <v>1</v>
      </c>
      <c r="U24" s="37">
        <v>18</v>
      </c>
      <c r="V24" s="37">
        <v>18</v>
      </c>
      <c r="W24" s="37">
        <f t="shared" si="3"/>
        <v>36</v>
      </c>
      <c r="X24" s="41"/>
      <c r="Y24" s="37" t="str">
        <f t="shared" si="4"/>
        <v>F</v>
      </c>
      <c r="Z24" s="37">
        <v>27</v>
      </c>
      <c r="AA24" s="37">
        <v>20</v>
      </c>
      <c r="AB24" s="37">
        <f t="shared" si="5"/>
        <v>47</v>
      </c>
      <c r="AC24" s="41"/>
      <c r="AD24" s="37">
        <f t="shared" si="6"/>
        <v>2</v>
      </c>
      <c r="AE24" s="37">
        <v>11</v>
      </c>
      <c r="AF24" s="37">
        <v>22</v>
      </c>
      <c r="AG24" s="37">
        <f t="shared" si="7"/>
        <v>33</v>
      </c>
      <c r="AH24" s="41"/>
      <c r="AI24" s="37">
        <f t="shared" si="8"/>
        <v>3.5</v>
      </c>
      <c r="AJ24" s="37">
        <v>17</v>
      </c>
      <c r="AK24" s="37">
        <v>15</v>
      </c>
      <c r="AL24" s="37">
        <f t="shared" si="9"/>
        <v>32</v>
      </c>
      <c r="AM24" s="41"/>
      <c r="AN24" s="37" t="str">
        <f t="shared" si="10"/>
        <v>F</v>
      </c>
      <c r="AO24" s="37">
        <v>26</v>
      </c>
      <c r="AP24" s="37">
        <v>17</v>
      </c>
      <c r="AQ24" s="37">
        <v>25</v>
      </c>
      <c r="AR24" s="37">
        <f t="shared" si="11"/>
        <v>68</v>
      </c>
      <c r="AS24" s="41"/>
      <c r="AT24" s="37">
        <f t="shared" si="24"/>
        <v>3.5</v>
      </c>
      <c r="AU24" s="37">
        <v>23</v>
      </c>
      <c r="AV24" s="37">
        <v>10</v>
      </c>
      <c r="AW24" s="37">
        <v>22</v>
      </c>
      <c r="AX24" s="37">
        <f t="shared" si="12"/>
        <v>55</v>
      </c>
      <c r="AY24" s="41"/>
      <c r="AZ24" s="37">
        <f t="shared" si="13"/>
        <v>3</v>
      </c>
      <c r="BA24" s="37">
        <v>18</v>
      </c>
      <c r="BB24" s="37">
        <v>13</v>
      </c>
      <c r="BC24" s="37">
        <v>22</v>
      </c>
      <c r="BD24" s="37">
        <f t="shared" si="14"/>
        <v>53</v>
      </c>
      <c r="BE24" s="41"/>
      <c r="BF24" s="37">
        <f t="shared" si="15"/>
        <v>3</v>
      </c>
      <c r="BG24" s="37">
        <v>13</v>
      </c>
      <c r="BH24" s="37">
        <v>19</v>
      </c>
      <c r="BI24" s="37">
        <v>24</v>
      </c>
      <c r="BJ24" s="37">
        <f t="shared" si="16"/>
        <v>56</v>
      </c>
      <c r="BK24" s="41"/>
      <c r="BL24" s="37" t="str">
        <f t="shared" si="29"/>
        <v>0</v>
      </c>
      <c r="BM24" s="37" t="str">
        <f t="shared" si="30"/>
        <v>F</v>
      </c>
      <c r="BN24" s="37" t="str">
        <f t="shared" si="31"/>
        <v>F</v>
      </c>
      <c r="BO24" s="40" t="str">
        <f t="shared" si="32"/>
        <v>F</v>
      </c>
      <c r="BP24" s="37" t="str">
        <f t="shared" si="33"/>
        <v>NEED TO PROGRESS</v>
      </c>
      <c r="BQ24" s="37">
        <f t="shared" si="34"/>
        <v>543</v>
      </c>
      <c r="BR24" s="37"/>
    </row>
    <row r="25" spans="1:70" ht="20.100000000000001" customHeight="1" x14ac:dyDescent="0.25">
      <c r="A25" s="39">
        <v>22</v>
      </c>
      <c r="B25" s="13">
        <v>57</v>
      </c>
      <c r="C25" s="14" t="s">
        <v>97</v>
      </c>
      <c r="D25" s="14" t="s">
        <v>98</v>
      </c>
      <c r="E25" s="14" t="s">
        <v>99</v>
      </c>
      <c r="F25" s="13" t="s">
        <v>100</v>
      </c>
      <c r="G25" s="37">
        <v>29</v>
      </c>
      <c r="H25" s="37">
        <v>16</v>
      </c>
      <c r="I25" s="37">
        <f t="shared" si="21"/>
        <v>45</v>
      </c>
      <c r="J25" s="37">
        <v>37</v>
      </c>
      <c r="K25" s="37">
        <v>19</v>
      </c>
      <c r="L25" s="37">
        <f t="shared" si="22"/>
        <v>56</v>
      </c>
      <c r="M25" s="37">
        <f t="shared" si="0"/>
        <v>101</v>
      </c>
      <c r="N25" s="41"/>
      <c r="O25" s="37">
        <f t="shared" si="23"/>
        <v>3</v>
      </c>
      <c r="P25" s="37">
        <v>73</v>
      </c>
      <c r="Q25" s="37">
        <v>40</v>
      </c>
      <c r="R25" s="37">
        <f t="shared" si="1"/>
        <v>113</v>
      </c>
      <c r="S25" s="41"/>
      <c r="T25" s="37">
        <f t="shared" si="2"/>
        <v>3</v>
      </c>
      <c r="U25" s="37">
        <v>23</v>
      </c>
      <c r="V25" s="37">
        <v>21</v>
      </c>
      <c r="W25" s="37">
        <f t="shared" si="3"/>
        <v>44</v>
      </c>
      <c r="X25" s="41"/>
      <c r="Y25" s="37">
        <f t="shared" si="4"/>
        <v>2</v>
      </c>
      <c r="Z25" s="37">
        <v>33</v>
      </c>
      <c r="AA25" s="37">
        <v>21</v>
      </c>
      <c r="AB25" s="37">
        <f t="shared" si="5"/>
        <v>54</v>
      </c>
      <c r="AC25" s="41"/>
      <c r="AD25" s="37">
        <f t="shared" si="6"/>
        <v>3</v>
      </c>
      <c r="AE25" s="37">
        <v>11</v>
      </c>
      <c r="AF25" s="37">
        <v>22</v>
      </c>
      <c r="AG25" s="37">
        <f t="shared" si="7"/>
        <v>33</v>
      </c>
      <c r="AH25" s="41"/>
      <c r="AI25" s="37">
        <f t="shared" si="8"/>
        <v>3.5</v>
      </c>
      <c r="AJ25" s="37">
        <v>33</v>
      </c>
      <c r="AK25" s="37">
        <v>16</v>
      </c>
      <c r="AL25" s="37">
        <f t="shared" si="9"/>
        <v>49</v>
      </c>
      <c r="AM25" s="41"/>
      <c r="AN25" s="37">
        <f t="shared" si="10"/>
        <v>2</v>
      </c>
      <c r="AO25" s="37">
        <v>36</v>
      </c>
      <c r="AP25" s="37">
        <v>24</v>
      </c>
      <c r="AQ25" s="37">
        <v>25</v>
      </c>
      <c r="AR25" s="37">
        <f t="shared" si="11"/>
        <v>85</v>
      </c>
      <c r="AS25" s="41"/>
      <c r="AT25" s="37">
        <f t="shared" si="24"/>
        <v>5</v>
      </c>
      <c r="AU25" s="37">
        <v>25</v>
      </c>
      <c r="AV25" s="37">
        <v>10</v>
      </c>
      <c r="AW25" s="37">
        <v>22</v>
      </c>
      <c r="AX25" s="37">
        <f t="shared" si="12"/>
        <v>57</v>
      </c>
      <c r="AY25" s="41"/>
      <c r="AZ25" s="37">
        <f t="shared" si="13"/>
        <v>3</v>
      </c>
      <c r="BA25" s="37">
        <v>19</v>
      </c>
      <c r="BB25" s="37">
        <v>17</v>
      </c>
      <c r="BC25" s="37">
        <v>22</v>
      </c>
      <c r="BD25" s="37">
        <f t="shared" si="14"/>
        <v>58</v>
      </c>
      <c r="BE25" s="41"/>
      <c r="BF25" s="37">
        <f t="shared" si="15"/>
        <v>3</v>
      </c>
      <c r="BG25" s="37">
        <v>18</v>
      </c>
      <c r="BH25" s="37">
        <v>16</v>
      </c>
      <c r="BI25" s="37">
        <v>24</v>
      </c>
      <c r="BJ25" s="37">
        <f t="shared" si="16"/>
        <v>58</v>
      </c>
      <c r="BK25" s="41"/>
      <c r="BL25" s="37">
        <f t="shared" si="29"/>
        <v>3</v>
      </c>
      <c r="BM25" s="37">
        <f t="shared" si="30"/>
        <v>3</v>
      </c>
      <c r="BN25" s="37">
        <f t="shared" si="31"/>
        <v>28.5</v>
      </c>
      <c r="BO25" s="40">
        <f t="shared" si="32"/>
        <v>3.1666666666666665</v>
      </c>
      <c r="BP25" s="37" t="str">
        <f t="shared" si="33"/>
        <v>GOOD</v>
      </c>
      <c r="BQ25" s="37">
        <f t="shared" si="34"/>
        <v>652</v>
      </c>
      <c r="BR25" s="37"/>
    </row>
    <row r="26" spans="1:70" ht="20.100000000000001" customHeight="1" x14ac:dyDescent="0.25">
      <c r="A26" s="39">
        <v>23</v>
      </c>
      <c r="B26" s="13">
        <v>58</v>
      </c>
      <c r="C26" s="15" t="s">
        <v>101</v>
      </c>
      <c r="D26" s="15" t="s">
        <v>102</v>
      </c>
      <c r="E26" s="15" t="s">
        <v>103</v>
      </c>
      <c r="F26" s="13" t="s">
        <v>104</v>
      </c>
      <c r="G26" s="37">
        <v>28</v>
      </c>
      <c r="H26" s="37">
        <v>17</v>
      </c>
      <c r="I26" s="37">
        <f t="shared" si="21"/>
        <v>45</v>
      </c>
      <c r="J26" s="37">
        <v>36</v>
      </c>
      <c r="K26" s="37">
        <v>19</v>
      </c>
      <c r="L26" s="37">
        <f t="shared" si="22"/>
        <v>55</v>
      </c>
      <c r="M26" s="37">
        <f t="shared" si="0"/>
        <v>100</v>
      </c>
      <c r="N26" s="41"/>
      <c r="O26" s="37">
        <f t="shared" si="23"/>
        <v>3</v>
      </c>
      <c r="P26" s="37">
        <v>48</v>
      </c>
      <c r="Q26" s="37"/>
      <c r="R26" s="37">
        <f t="shared" si="1"/>
        <v>48</v>
      </c>
      <c r="S26" s="41"/>
      <c r="T26" s="37" t="str">
        <f t="shared" si="2"/>
        <v>F</v>
      </c>
      <c r="U26" s="37">
        <v>21</v>
      </c>
      <c r="V26" s="37">
        <v>17</v>
      </c>
      <c r="W26" s="37">
        <f t="shared" si="3"/>
        <v>38</v>
      </c>
      <c r="X26" s="41"/>
      <c r="Y26" s="37" t="str">
        <f t="shared" si="4"/>
        <v>F</v>
      </c>
      <c r="Z26" s="37"/>
      <c r="AA26" s="37"/>
      <c r="AB26" s="37">
        <f t="shared" si="5"/>
        <v>0</v>
      </c>
      <c r="AC26" s="41"/>
      <c r="AD26" s="37" t="str">
        <f t="shared" si="6"/>
        <v>F</v>
      </c>
      <c r="AE26" s="37"/>
      <c r="AF26" s="37"/>
      <c r="AG26" s="37">
        <f t="shared" si="7"/>
        <v>0</v>
      </c>
      <c r="AH26" s="41"/>
      <c r="AI26" s="37" t="str">
        <f t="shared" si="8"/>
        <v>F</v>
      </c>
      <c r="AJ26" s="37"/>
      <c r="AK26" s="37"/>
      <c r="AL26" s="37">
        <f t="shared" si="9"/>
        <v>0</v>
      </c>
      <c r="AM26" s="41"/>
      <c r="AN26" s="37" t="str">
        <f t="shared" si="10"/>
        <v>F</v>
      </c>
      <c r="AO26" s="37"/>
      <c r="AP26" s="37"/>
      <c r="AQ26" s="37"/>
      <c r="AR26" s="37">
        <f t="shared" si="11"/>
        <v>0</v>
      </c>
      <c r="AS26" s="41"/>
      <c r="AT26" s="37" t="str">
        <f t="shared" si="24"/>
        <v>F</v>
      </c>
      <c r="AU26" s="37"/>
      <c r="AV26" s="37"/>
      <c r="AW26" s="37"/>
      <c r="AX26" s="37">
        <f t="shared" si="12"/>
        <v>0</v>
      </c>
      <c r="AY26" s="41"/>
      <c r="AZ26" s="37" t="str">
        <f t="shared" si="13"/>
        <v>F</v>
      </c>
      <c r="BA26" s="37"/>
      <c r="BB26" s="37"/>
      <c r="BC26" s="37"/>
      <c r="BD26" s="37">
        <f t="shared" si="14"/>
        <v>0</v>
      </c>
      <c r="BE26" s="41"/>
      <c r="BF26" s="37" t="str">
        <f t="shared" si="15"/>
        <v>F</v>
      </c>
      <c r="BG26" s="37"/>
      <c r="BH26" s="37"/>
      <c r="BI26" s="37"/>
      <c r="BJ26" s="37">
        <f t="shared" si="16"/>
        <v>0</v>
      </c>
      <c r="BK26" s="41"/>
      <c r="BL26" s="37" t="str">
        <f t="shared" si="29"/>
        <v>0</v>
      </c>
      <c r="BM26" s="37" t="str">
        <f t="shared" si="30"/>
        <v>F</v>
      </c>
      <c r="BN26" s="37" t="str">
        <f t="shared" si="31"/>
        <v>F</v>
      </c>
      <c r="BO26" s="40" t="str">
        <f t="shared" si="32"/>
        <v>F</v>
      </c>
      <c r="BP26" s="37" t="str">
        <f t="shared" si="33"/>
        <v>NEED TO PROGRESS</v>
      </c>
      <c r="BQ26" s="37">
        <f t="shared" si="34"/>
        <v>186</v>
      </c>
      <c r="BR26" s="37"/>
    </row>
    <row r="27" spans="1:70" ht="20.100000000000001" customHeight="1" x14ac:dyDescent="0.25">
      <c r="A27" s="39">
        <v>25</v>
      </c>
      <c r="B27" s="12">
        <v>61</v>
      </c>
      <c r="C27" s="15" t="s">
        <v>105</v>
      </c>
      <c r="D27" s="15" t="s">
        <v>106</v>
      </c>
      <c r="E27" s="15" t="s">
        <v>107</v>
      </c>
      <c r="F27" s="13" t="s">
        <v>126</v>
      </c>
      <c r="G27" s="37">
        <v>24</v>
      </c>
      <c r="H27" s="37">
        <v>15</v>
      </c>
      <c r="I27" s="37">
        <f t="shared" si="21"/>
        <v>39</v>
      </c>
      <c r="J27" s="37"/>
      <c r="K27" s="37"/>
      <c r="L27" s="37">
        <f t="shared" si="22"/>
        <v>0</v>
      </c>
      <c r="M27" s="37">
        <f t="shared" si="0"/>
        <v>39</v>
      </c>
      <c r="N27" s="41"/>
      <c r="O27" s="37" t="str">
        <f t="shared" si="23"/>
        <v>F</v>
      </c>
      <c r="P27" s="37">
        <v>59</v>
      </c>
      <c r="Q27" s="37">
        <v>44</v>
      </c>
      <c r="R27" s="37">
        <f t="shared" si="1"/>
        <v>103</v>
      </c>
      <c r="S27" s="41"/>
      <c r="T27" s="37">
        <f t="shared" si="2"/>
        <v>3</v>
      </c>
      <c r="U27" s="37">
        <v>46</v>
      </c>
      <c r="V27" s="37">
        <v>23</v>
      </c>
      <c r="W27" s="37">
        <f t="shared" si="3"/>
        <v>69</v>
      </c>
      <c r="X27" s="41"/>
      <c r="Y27" s="37">
        <f t="shared" si="4"/>
        <v>3.5</v>
      </c>
      <c r="Z27" s="37"/>
      <c r="AA27" s="37"/>
      <c r="AB27" s="37">
        <f t="shared" si="5"/>
        <v>0</v>
      </c>
      <c r="AC27" s="41"/>
      <c r="AD27" s="37" t="str">
        <f t="shared" si="6"/>
        <v>F</v>
      </c>
      <c r="AE27" s="37"/>
      <c r="AF27" s="37"/>
      <c r="AG27" s="37">
        <f t="shared" si="7"/>
        <v>0</v>
      </c>
      <c r="AH27" s="41"/>
      <c r="AI27" s="37" t="str">
        <f t="shared" si="8"/>
        <v>F</v>
      </c>
      <c r="AJ27" s="37"/>
      <c r="AK27" s="37"/>
      <c r="AL27" s="37">
        <f t="shared" si="9"/>
        <v>0</v>
      </c>
      <c r="AM27" s="41"/>
      <c r="AN27" s="37" t="str">
        <f t="shared" si="10"/>
        <v>F</v>
      </c>
      <c r="AO27" s="37">
        <v>32</v>
      </c>
      <c r="AP27" s="37">
        <v>12</v>
      </c>
      <c r="AQ27" s="37">
        <v>25</v>
      </c>
      <c r="AR27" s="37">
        <f t="shared" si="11"/>
        <v>69</v>
      </c>
      <c r="AS27" s="41"/>
      <c r="AT27" s="37">
        <f t="shared" si="24"/>
        <v>3.5</v>
      </c>
      <c r="AU27" s="37"/>
      <c r="AV27" s="37"/>
      <c r="AW27" s="37"/>
      <c r="AX27" s="37">
        <f t="shared" si="12"/>
        <v>0</v>
      </c>
      <c r="AY27" s="41"/>
      <c r="AZ27" s="37" t="str">
        <f t="shared" si="13"/>
        <v>F</v>
      </c>
      <c r="BA27" s="37"/>
      <c r="BB27" s="37"/>
      <c r="BC27" s="37"/>
      <c r="BD27" s="37">
        <f t="shared" si="14"/>
        <v>0</v>
      </c>
      <c r="BE27" s="41"/>
      <c r="BF27" s="37" t="str">
        <f t="shared" si="15"/>
        <v>F</v>
      </c>
      <c r="BG27" s="37"/>
      <c r="BH27" s="37"/>
      <c r="BI27" s="37"/>
      <c r="BJ27" s="37">
        <f t="shared" si="16"/>
        <v>0</v>
      </c>
      <c r="BK27" s="41"/>
      <c r="BL27" s="37" t="str">
        <f t="shared" si="29"/>
        <v>0</v>
      </c>
      <c r="BM27" s="37" t="str">
        <f t="shared" si="30"/>
        <v>F</v>
      </c>
      <c r="BN27" s="37" t="str">
        <f t="shared" si="31"/>
        <v>F</v>
      </c>
      <c r="BO27" s="40" t="str">
        <f t="shared" si="32"/>
        <v>F</v>
      </c>
      <c r="BP27" s="37" t="str">
        <f t="shared" si="33"/>
        <v>NEED TO PROGRESS</v>
      </c>
      <c r="BQ27" s="37">
        <f t="shared" si="34"/>
        <v>280</v>
      </c>
      <c r="BR27" s="37"/>
    </row>
    <row r="28" spans="1:70" ht="20.100000000000001" customHeight="1" x14ac:dyDescent="0.25">
      <c r="A28" s="39">
        <v>26</v>
      </c>
      <c r="B28" s="12">
        <v>67</v>
      </c>
      <c r="C28" s="15" t="s">
        <v>108</v>
      </c>
      <c r="D28" s="15" t="s">
        <v>109</v>
      </c>
      <c r="E28" s="15" t="s">
        <v>110</v>
      </c>
      <c r="F28" s="13" t="s">
        <v>127</v>
      </c>
      <c r="G28" s="37">
        <v>24</v>
      </c>
      <c r="H28" s="37">
        <v>12</v>
      </c>
      <c r="I28" s="37">
        <f t="shared" si="21"/>
        <v>36</v>
      </c>
      <c r="J28" s="37">
        <v>32</v>
      </c>
      <c r="K28" s="37">
        <v>19</v>
      </c>
      <c r="L28" s="37">
        <f t="shared" si="22"/>
        <v>51</v>
      </c>
      <c r="M28" s="37">
        <f t="shared" si="0"/>
        <v>87</v>
      </c>
      <c r="N28" s="41"/>
      <c r="O28" s="37">
        <f t="shared" si="23"/>
        <v>2</v>
      </c>
      <c r="P28" s="37">
        <v>32</v>
      </c>
      <c r="Q28" s="37">
        <v>29</v>
      </c>
      <c r="R28" s="37">
        <f t="shared" si="1"/>
        <v>61</v>
      </c>
      <c r="S28" s="41"/>
      <c r="T28" s="37" t="str">
        <f t="shared" si="2"/>
        <v>F</v>
      </c>
      <c r="U28" s="37">
        <v>19</v>
      </c>
      <c r="V28" s="37">
        <v>16</v>
      </c>
      <c r="W28" s="37">
        <f t="shared" si="3"/>
        <v>35</v>
      </c>
      <c r="X28" s="41"/>
      <c r="Y28" s="37" t="str">
        <f t="shared" si="4"/>
        <v>F</v>
      </c>
      <c r="Z28" s="37">
        <v>29</v>
      </c>
      <c r="AA28" s="37">
        <v>16</v>
      </c>
      <c r="AB28" s="37">
        <f t="shared" si="5"/>
        <v>45</v>
      </c>
      <c r="AC28" s="41"/>
      <c r="AD28" s="37">
        <f t="shared" si="6"/>
        <v>2</v>
      </c>
      <c r="AE28" s="37">
        <v>11</v>
      </c>
      <c r="AF28" s="37">
        <v>22</v>
      </c>
      <c r="AG28" s="37">
        <f t="shared" si="7"/>
        <v>33</v>
      </c>
      <c r="AH28" s="41"/>
      <c r="AI28" s="37">
        <f t="shared" si="8"/>
        <v>3.5</v>
      </c>
      <c r="AJ28" s="37">
        <v>24</v>
      </c>
      <c r="AK28" s="37">
        <v>15</v>
      </c>
      <c r="AL28" s="37">
        <f t="shared" si="9"/>
        <v>39</v>
      </c>
      <c r="AM28" s="41"/>
      <c r="AN28" s="37">
        <f t="shared" si="10"/>
        <v>1</v>
      </c>
      <c r="AO28" s="37">
        <v>5</v>
      </c>
      <c r="AP28" s="37">
        <v>21</v>
      </c>
      <c r="AQ28" s="37">
        <v>25</v>
      </c>
      <c r="AR28" s="37">
        <f t="shared" si="11"/>
        <v>51</v>
      </c>
      <c r="AS28" s="41"/>
      <c r="AT28" s="37" t="str">
        <f t="shared" si="24"/>
        <v>F</v>
      </c>
      <c r="AU28" s="37">
        <v>17</v>
      </c>
      <c r="AV28" s="37">
        <v>3</v>
      </c>
      <c r="AW28" s="37">
        <v>22</v>
      </c>
      <c r="AX28" s="37">
        <f t="shared" si="12"/>
        <v>42</v>
      </c>
      <c r="AY28" s="41"/>
      <c r="AZ28" s="37" t="str">
        <f t="shared" si="13"/>
        <v>F</v>
      </c>
      <c r="BA28" s="37">
        <v>20</v>
      </c>
      <c r="BB28" s="37">
        <v>16</v>
      </c>
      <c r="BC28" s="37">
        <v>22</v>
      </c>
      <c r="BD28" s="37">
        <f t="shared" si="14"/>
        <v>58</v>
      </c>
      <c r="BE28" s="41"/>
      <c r="BF28" s="37">
        <f t="shared" si="15"/>
        <v>3</v>
      </c>
      <c r="BG28" s="37">
        <v>6</v>
      </c>
      <c r="BH28" s="37">
        <v>18</v>
      </c>
      <c r="BI28" s="37">
        <v>24</v>
      </c>
      <c r="BJ28" s="37">
        <f t="shared" si="16"/>
        <v>48</v>
      </c>
      <c r="BK28" s="41"/>
      <c r="BL28" s="37" t="str">
        <f t="shared" si="29"/>
        <v>0</v>
      </c>
      <c r="BM28" s="37" t="str">
        <f t="shared" si="30"/>
        <v>F</v>
      </c>
      <c r="BN28" s="37" t="str">
        <f t="shared" si="31"/>
        <v>F</v>
      </c>
      <c r="BO28" s="40" t="str">
        <f t="shared" si="32"/>
        <v>F</v>
      </c>
      <c r="BP28" s="37" t="str">
        <f t="shared" si="33"/>
        <v>NEED TO PROGRESS</v>
      </c>
      <c r="BQ28" s="37">
        <f t="shared" si="34"/>
        <v>499</v>
      </c>
      <c r="BR28" s="37"/>
    </row>
    <row r="29" spans="1:70" ht="20.100000000000001" customHeight="1" x14ac:dyDescent="0.25">
      <c r="A29" s="39">
        <v>27</v>
      </c>
      <c r="B29" s="12">
        <v>70</v>
      </c>
      <c r="C29" s="15" t="s">
        <v>112</v>
      </c>
      <c r="D29" s="15"/>
      <c r="E29" s="15"/>
      <c r="F29" s="13"/>
      <c r="G29" s="37">
        <v>37</v>
      </c>
      <c r="H29" s="37">
        <v>12</v>
      </c>
      <c r="I29" s="37">
        <f t="shared" si="21"/>
        <v>49</v>
      </c>
      <c r="J29" s="37">
        <v>41</v>
      </c>
      <c r="K29" s="37">
        <v>12</v>
      </c>
      <c r="L29" s="37">
        <f t="shared" si="22"/>
        <v>53</v>
      </c>
      <c r="M29" s="37">
        <f t="shared" si="0"/>
        <v>102</v>
      </c>
      <c r="N29" s="41"/>
      <c r="O29" s="37">
        <f t="shared" si="23"/>
        <v>3</v>
      </c>
      <c r="P29" s="37">
        <v>39</v>
      </c>
      <c r="Q29" s="37">
        <v>27</v>
      </c>
      <c r="R29" s="37">
        <f t="shared" si="1"/>
        <v>66</v>
      </c>
      <c r="S29" s="41"/>
      <c r="T29" s="37">
        <f t="shared" si="2"/>
        <v>1</v>
      </c>
      <c r="U29" s="37">
        <v>29</v>
      </c>
      <c r="V29" s="37">
        <v>13</v>
      </c>
      <c r="W29" s="37">
        <f t="shared" si="3"/>
        <v>42</v>
      </c>
      <c r="X29" s="41"/>
      <c r="Y29" s="37">
        <f t="shared" si="4"/>
        <v>2</v>
      </c>
      <c r="Z29" s="37">
        <v>53</v>
      </c>
      <c r="AA29" s="37">
        <v>18</v>
      </c>
      <c r="AB29" s="37">
        <f t="shared" si="5"/>
        <v>71</v>
      </c>
      <c r="AC29" s="41"/>
      <c r="AD29" s="37">
        <f t="shared" si="6"/>
        <v>4</v>
      </c>
      <c r="AE29" s="37">
        <v>17</v>
      </c>
      <c r="AF29" s="37">
        <v>22</v>
      </c>
      <c r="AG29" s="37">
        <f t="shared" si="7"/>
        <v>39</v>
      </c>
      <c r="AH29" s="41"/>
      <c r="AI29" s="37">
        <f t="shared" si="8"/>
        <v>4</v>
      </c>
      <c r="AJ29" s="37">
        <v>40</v>
      </c>
      <c r="AK29" s="37">
        <v>10</v>
      </c>
      <c r="AL29" s="37">
        <f t="shared" si="9"/>
        <v>50</v>
      </c>
      <c r="AM29" s="41"/>
      <c r="AN29" s="37">
        <f t="shared" si="10"/>
        <v>3</v>
      </c>
      <c r="AO29" s="37">
        <v>22</v>
      </c>
      <c r="AP29" s="37">
        <v>20</v>
      </c>
      <c r="AQ29" s="37">
        <v>25</v>
      </c>
      <c r="AR29" s="37">
        <f t="shared" si="11"/>
        <v>67</v>
      </c>
      <c r="AS29" s="41"/>
      <c r="AT29" s="37">
        <f t="shared" si="24"/>
        <v>3.5</v>
      </c>
      <c r="AU29" s="37">
        <v>23</v>
      </c>
      <c r="AV29" s="37">
        <v>12</v>
      </c>
      <c r="AW29" s="37">
        <v>22</v>
      </c>
      <c r="AX29" s="37">
        <f t="shared" si="12"/>
        <v>57</v>
      </c>
      <c r="AY29" s="41"/>
      <c r="AZ29" s="37">
        <f t="shared" si="13"/>
        <v>3</v>
      </c>
      <c r="BA29" s="37">
        <v>36</v>
      </c>
      <c r="BB29" s="37">
        <v>15</v>
      </c>
      <c r="BC29" s="37">
        <v>22</v>
      </c>
      <c r="BD29" s="37">
        <f t="shared" si="14"/>
        <v>73</v>
      </c>
      <c r="BE29" s="41"/>
      <c r="BF29" s="37">
        <f t="shared" si="15"/>
        <v>4</v>
      </c>
      <c r="BG29" s="37">
        <v>22</v>
      </c>
      <c r="BH29" s="37">
        <v>16</v>
      </c>
      <c r="BI29" s="37">
        <v>24</v>
      </c>
      <c r="BJ29" s="37">
        <f t="shared" si="16"/>
        <v>62</v>
      </c>
      <c r="BK29" s="41"/>
      <c r="BL29" s="37">
        <f t="shared" si="29"/>
        <v>3.5</v>
      </c>
      <c r="BM29" s="37">
        <f t="shared" si="30"/>
        <v>3.5</v>
      </c>
      <c r="BN29" s="37">
        <f t="shared" si="31"/>
        <v>29</v>
      </c>
      <c r="BO29" s="40">
        <f t="shared" si="32"/>
        <v>3.2222222222222223</v>
      </c>
      <c r="BP29" s="37" t="str">
        <f t="shared" si="33"/>
        <v>GOOD</v>
      </c>
      <c r="BQ29" s="37">
        <f t="shared" si="34"/>
        <v>629</v>
      </c>
      <c r="BR29" s="37"/>
    </row>
    <row r="30" spans="1:70" ht="20.100000000000001" customHeight="1" x14ac:dyDescent="0.25">
      <c r="A30" s="39">
        <v>28</v>
      </c>
      <c r="B30" s="13">
        <v>118</v>
      </c>
      <c r="C30" s="15" t="s">
        <v>145</v>
      </c>
      <c r="D30" s="15"/>
      <c r="E30" s="15"/>
      <c r="F30" s="35"/>
      <c r="G30" s="37">
        <v>27</v>
      </c>
      <c r="H30" s="37">
        <v>13</v>
      </c>
      <c r="I30" s="37">
        <f t="shared" si="21"/>
        <v>40</v>
      </c>
      <c r="J30" s="37">
        <v>34</v>
      </c>
      <c r="K30" s="37">
        <v>14</v>
      </c>
      <c r="L30" s="37">
        <f t="shared" si="22"/>
        <v>48</v>
      </c>
      <c r="M30" s="37">
        <f t="shared" si="0"/>
        <v>88</v>
      </c>
      <c r="N30" s="41"/>
      <c r="O30" s="37">
        <f t="shared" si="23"/>
        <v>2</v>
      </c>
      <c r="P30" s="37">
        <v>55</v>
      </c>
      <c r="Q30" s="37">
        <v>42</v>
      </c>
      <c r="R30" s="37">
        <f t="shared" si="1"/>
        <v>97</v>
      </c>
      <c r="S30" s="41"/>
      <c r="T30" s="37">
        <f t="shared" si="2"/>
        <v>2</v>
      </c>
      <c r="U30" s="37">
        <v>7</v>
      </c>
      <c r="V30" s="37">
        <v>12</v>
      </c>
      <c r="W30" s="37">
        <f t="shared" si="3"/>
        <v>19</v>
      </c>
      <c r="X30" s="41"/>
      <c r="Y30" s="37" t="str">
        <f t="shared" si="4"/>
        <v>F</v>
      </c>
      <c r="Z30" s="37">
        <v>46</v>
      </c>
      <c r="AA30" s="37">
        <v>22</v>
      </c>
      <c r="AB30" s="37">
        <f t="shared" si="5"/>
        <v>68</v>
      </c>
      <c r="AC30" s="41"/>
      <c r="AD30" s="37">
        <f t="shared" si="6"/>
        <v>3.5</v>
      </c>
      <c r="AE30" s="37">
        <v>12</v>
      </c>
      <c r="AF30" s="37">
        <v>22</v>
      </c>
      <c r="AG30" s="37">
        <f t="shared" si="7"/>
        <v>34</v>
      </c>
      <c r="AH30" s="41"/>
      <c r="AI30" s="37">
        <f t="shared" si="8"/>
        <v>3.5</v>
      </c>
      <c r="AJ30" s="37">
        <v>38</v>
      </c>
      <c r="AK30" s="37">
        <v>14</v>
      </c>
      <c r="AL30" s="37">
        <f t="shared" si="9"/>
        <v>52</v>
      </c>
      <c r="AM30" s="41"/>
      <c r="AN30" s="37">
        <f t="shared" si="10"/>
        <v>3</v>
      </c>
      <c r="AO30" s="37">
        <v>34</v>
      </c>
      <c r="AP30" s="37">
        <v>19</v>
      </c>
      <c r="AQ30" s="37">
        <v>25</v>
      </c>
      <c r="AR30" s="37">
        <f t="shared" si="11"/>
        <v>78</v>
      </c>
      <c r="AS30" s="41"/>
      <c r="AT30" s="37">
        <f t="shared" si="24"/>
        <v>4</v>
      </c>
      <c r="AU30" s="37">
        <v>39</v>
      </c>
      <c r="AV30" s="37">
        <v>12</v>
      </c>
      <c r="AW30" s="37">
        <v>22</v>
      </c>
      <c r="AX30" s="37">
        <f t="shared" si="12"/>
        <v>73</v>
      </c>
      <c r="AY30" s="41"/>
      <c r="AZ30" s="37">
        <f t="shared" si="13"/>
        <v>4</v>
      </c>
      <c r="BA30" s="37">
        <v>24</v>
      </c>
      <c r="BB30" s="37">
        <v>15</v>
      </c>
      <c r="BC30" s="37">
        <v>22</v>
      </c>
      <c r="BD30" s="37">
        <f t="shared" si="14"/>
        <v>61</v>
      </c>
      <c r="BE30" s="41"/>
      <c r="BF30" s="37">
        <f t="shared" si="15"/>
        <v>3.5</v>
      </c>
      <c r="BG30" s="37">
        <v>23</v>
      </c>
      <c r="BH30" s="37">
        <v>17</v>
      </c>
      <c r="BI30" s="37">
        <v>24</v>
      </c>
      <c r="BJ30" s="37">
        <f t="shared" si="16"/>
        <v>64</v>
      </c>
      <c r="BK30" s="41"/>
      <c r="BL30" s="37">
        <f t="shared" si="29"/>
        <v>3.5</v>
      </c>
      <c r="BM30" s="37">
        <f t="shared" si="30"/>
        <v>3.5</v>
      </c>
      <c r="BN30" s="37" t="str">
        <f t="shared" si="31"/>
        <v>F</v>
      </c>
      <c r="BO30" s="40" t="str">
        <f t="shared" si="32"/>
        <v>F</v>
      </c>
      <c r="BP30" s="37" t="str">
        <f t="shared" si="33"/>
        <v>NEED TO PROGRESS</v>
      </c>
      <c r="BQ30" s="37">
        <f t="shared" si="34"/>
        <v>634</v>
      </c>
      <c r="BR30" s="37"/>
    </row>
    <row r="31" spans="1:70" x14ac:dyDescent="0.25">
      <c r="B31" s="1"/>
      <c r="C31" s="9"/>
      <c r="D31" s="7"/>
      <c r="E31" s="7"/>
      <c r="F31" s="8"/>
      <c r="G31" s="1"/>
      <c r="H31" s="1"/>
      <c r="I31" s="1"/>
      <c r="J31" s="1"/>
      <c r="K31" s="1"/>
      <c r="L31" s="1"/>
      <c r="M31" s="1"/>
      <c r="O31" s="1"/>
      <c r="P31" s="1"/>
      <c r="Q31" s="1"/>
      <c r="R31" s="1"/>
      <c r="T31" s="1"/>
      <c r="U31" s="1"/>
      <c r="V31" s="1"/>
      <c r="W31" s="1"/>
      <c r="Y31" s="1"/>
      <c r="Z31" s="1"/>
      <c r="AA31" s="1"/>
      <c r="AB31" s="1"/>
      <c r="AD31" s="1"/>
      <c r="AE31" s="1"/>
      <c r="AF31" s="1"/>
      <c r="AG31" s="1"/>
      <c r="AI31" s="1"/>
      <c r="AJ31" s="1"/>
      <c r="AK31" s="1"/>
      <c r="AL31" s="1"/>
      <c r="AN31" s="1"/>
      <c r="AO31" s="1"/>
      <c r="AP31" s="1"/>
      <c r="AQ31" s="1"/>
      <c r="AR31" s="1"/>
      <c r="AT31" s="1"/>
      <c r="AU31" s="1"/>
      <c r="AV31" s="1"/>
      <c r="AW31" s="1"/>
      <c r="AX31" s="1"/>
      <c r="AZ31" s="1"/>
      <c r="BA31" s="1"/>
      <c r="BB31" s="1"/>
      <c r="BC31" s="1"/>
      <c r="BD31" s="1"/>
      <c r="BF31" s="1"/>
      <c r="BG31" s="1"/>
      <c r="BH31" s="1"/>
      <c r="BI31" s="1"/>
      <c r="BJ31" s="1"/>
      <c r="BL31" s="1"/>
      <c r="BM31" s="1"/>
      <c r="BN31" s="1"/>
      <c r="BO31" s="10"/>
      <c r="BP31" s="4"/>
      <c r="BQ31" s="4"/>
      <c r="BR31" s="5"/>
    </row>
    <row r="32" spans="1:70" ht="14.45" customHeight="1" x14ac:dyDescent="0.25">
      <c r="B32" s="1"/>
      <c r="C32" s="6"/>
      <c r="D32" s="7"/>
      <c r="E32" s="7"/>
      <c r="F32" s="8"/>
      <c r="G32" s="1"/>
      <c r="H32" s="1"/>
      <c r="I32" s="1"/>
      <c r="J32" s="1"/>
      <c r="K32" s="1"/>
      <c r="L32" s="1"/>
      <c r="M32" s="1"/>
      <c r="O32" s="1"/>
      <c r="P32" s="1"/>
      <c r="Q32" s="1"/>
      <c r="R32" s="1"/>
      <c r="T32" s="1"/>
      <c r="U32" s="1"/>
      <c r="V32" s="1"/>
      <c r="W32" s="1"/>
      <c r="Y32" s="1"/>
      <c r="Z32" s="1"/>
      <c r="AA32" s="1"/>
      <c r="AB32" s="1"/>
      <c r="AD32" s="1"/>
      <c r="AE32" s="1"/>
      <c r="AF32" s="1"/>
      <c r="AG32" s="1"/>
      <c r="AI32" s="1"/>
      <c r="AJ32" s="1"/>
      <c r="AK32" s="1"/>
      <c r="AL32" s="1"/>
      <c r="AN32" s="1"/>
      <c r="AO32" s="1"/>
      <c r="AP32" s="1"/>
      <c r="AQ32" s="1"/>
      <c r="AR32" s="1"/>
      <c r="AT32" s="1"/>
      <c r="AU32" s="1"/>
      <c r="AV32" s="1"/>
      <c r="AW32" s="1"/>
      <c r="AX32" s="1"/>
      <c r="AZ32" s="1"/>
      <c r="BA32" s="1"/>
      <c r="BB32" s="1"/>
      <c r="BC32" s="1"/>
      <c r="BD32" s="1"/>
      <c r="BF32" s="1"/>
      <c r="BG32" s="1"/>
      <c r="BH32" s="1"/>
      <c r="BI32" s="1"/>
      <c r="BJ32" s="1"/>
      <c r="BL32" s="1"/>
      <c r="BM32" s="1"/>
      <c r="BN32" s="1"/>
      <c r="BO32" s="10"/>
      <c r="BP32" s="4"/>
      <c r="BQ32" s="4"/>
      <c r="BR32" s="5"/>
    </row>
    <row r="33" spans="2:70" s="36" customFormat="1" ht="14.45" customHeight="1" x14ac:dyDescent="0.2">
      <c r="B33" s="1">
        <v>0</v>
      </c>
      <c r="C33" s="9">
        <v>1</v>
      </c>
      <c r="D33" s="9">
        <v>2</v>
      </c>
      <c r="E33" s="9">
        <v>3</v>
      </c>
      <c r="F33" s="9">
        <v>4</v>
      </c>
      <c r="G33" s="9">
        <v>5</v>
      </c>
      <c r="H33" s="9">
        <v>6</v>
      </c>
      <c r="I33" s="9">
        <v>7</v>
      </c>
      <c r="J33" s="9">
        <v>8</v>
      </c>
      <c r="K33" s="9">
        <v>9</v>
      </c>
      <c r="L33" s="9">
        <v>10</v>
      </c>
      <c r="M33" s="9">
        <v>11</v>
      </c>
      <c r="N33" s="9">
        <v>12</v>
      </c>
      <c r="O33" s="9">
        <v>13</v>
      </c>
      <c r="P33" s="9">
        <v>14</v>
      </c>
      <c r="Q33" s="9">
        <v>15</v>
      </c>
      <c r="R33" s="9">
        <v>16</v>
      </c>
      <c r="S33" s="9">
        <v>17</v>
      </c>
      <c r="T33" s="9">
        <v>18</v>
      </c>
      <c r="U33" s="9">
        <v>19</v>
      </c>
      <c r="V33" s="9">
        <v>20</v>
      </c>
      <c r="W33" s="9">
        <v>21</v>
      </c>
      <c r="X33" s="9">
        <v>22</v>
      </c>
      <c r="Y33" s="9">
        <v>23</v>
      </c>
      <c r="Z33" s="9">
        <v>24</v>
      </c>
      <c r="AA33" s="9">
        <v>25</v>
      </c>
      <c r="AB33" s="9">
        <v>26</v>
      </c>
      <c r="AC33" s="9">
        <v>27</v>
      </c>
      <c r="AD33" s="9">
        <v>28</v>
      </c>
      <c r="AE33" s="9">
        <v>29</v>
      </c>
      <c r="AF33" s="9">
        <v>30</v>
      </c>
      <c r="AG33" s="9">
        <v>31</v>
      </c>
      <c r="AH33" s="9">
        <v>32</v>
      </c>
      <c r="AI33" s="9">
        <v>33</v>
      </c>
      <c r="AJ33" s="9">
        <v>34</v>
      </c>
      <c r="AK33" s="9">
        <v>35</v>
      </c>
      <c r="AL33" s="9">
        <v>36</v>
      </c>
      <c r="AM33" s="9">
        <v>37</v>
      </c>
      <c r="AN33" s="9">
        <v>38</v>
      </c>
      <c r="AO33" s="9">
        <v>39</v>
      </c>
      <c r="AP33" s="9">
        <v>40</v>
      </c>
      <c r="AQ33" s="9">
        <v>41</v>
      </c>
      <c r="AR33" s="9">
        <v>42</v>
      </c>
      <c r="AS33" s="9">
        <v>43</v>
      </c>
      <c r="AT33" s="9">
        <v>44</v>
      </c>
      <c r="AU33" s="9">
        <v>45</v>
      </c>
      <c r="AV33" s="9">
        <v>46</v>
      </c>
      <c r="AW33" s="9">
        <v>47</v>
      </c>
      <c r="AX33" s="9">
        <v>48</v>
      </c>
      <c r="AY33" s="9">
        <v>49</v>
      </c>
      <c r="AZ33" s="9">
        <v>50</v>
      </c>
      <c r="BA33" s="9">
        <v>51</v>
      </c>
      <c r="BB33" s="9">
        <v>52</v>
      </c>
      <c r="BC33" s="9">
        <v>53</v>
      </c>
      <c r="BD33" s="9">
        <v>54</v>
      </c>
      <c r="BE33" s="9">
        <v>55</v>
      </c>
      <c r="BF33" s="9">
        <v>56</v>
      </c>
      <c r="BG33" s="9">
        <v>57</v>
      </c>
      <c r="BH33" s="9">
        <v>58</v>
      </c>
      <c r="BI33" s="9">
        <v>59</v>
      </c>
      <c r="BJ33" s="9">
        <v>60</v>
      </c>
      <c r="BK33" s="9">
        <v>61</v>
      </c>
      <c r="BL33" s="9">
        <v>62</v>
      </c>
      <c r="BM33" s="9">
        <v>63</v>
      </c>
      <c r="BN33" s="9">
        <v>64</v>
      </c>
      <c r="BO33" s="9">
        <v>65</v>
      </c>
      <c r="BP33" s="9">
        <v>66</v>
      </c>
      <c r="BQ33" s="9">
        <v>67</v>
      </c>
      <c r="BR33" s="9">
        <v>68</v>
      </c>
    </row>
    <row r="34" spans="2:70" x14ac:dyDescent="0.25">
      <c r="B34" s="1"/>
      <c r="C34" s="6"/>
      <c r="D34" s="7"/>
      <c r="E34" s="7"/>
      <c r="F34" s="8"/>
      <c r="G34" s="1"/>
      <c r="H34" s="1"/>
      <c r="I34" s="1"/>
      <c r="J34" s="1"/>
      <c r="K34" s="1"/>
      <c r="L34" s="1"/>
      <c r="M34" s="1"/>
      <c r="O34" s="1"/>
      <c r="P34" s="1"/>
      <c r="Q34" s="1"/>
      <c r="R34" s="1"/>
      <c r="T34" s="1"/>
      <c r="U34" s="1"/>
      <c r="V34" s="1"/>
      <c r="W34" s="1"/>
      <c r="Y34" s="1"/>
      <c r="Z34" s="1"/>
      <c r="AA34" s="1"/>
      <c r="AB34" s="1"/>
      <c r="AD34" s="1"/>
      <c r="AE34" s="1"/>
      <c r="AF34" s="1"/>
      <c r="AG34" s="1"/>
      <c r="AI34" s="1"/>
      <c r="AJ34" s="1"/>
      <c r="AK34" s="1"/>
      <c r="AL34" s="1"/>
      <c r="AN34" s="1"/>
      <c r="AO34" s="1"/>
      <c r="AP34" s="1"/>
      <c r="AQ34" s="1"/>
      <c r="AR34" s="1"/>
      <c r="AT34" s="1"/>
      <c r="AU34" s="1"/>
      <c r="AV34" s="1"/>
      <c r="AW34" s="1"/>
      <c r="AX34" s="1"/>
      <c r="AZ34" s="1"/>
      <c r="BA34" s="1"/>
      <c r="BB34" s="1"/>
      <c r="BC34" s="1"/>
      <c r="BD34" s="1"/>
      <c r="BF34" s="1"/>
      <c r="BG34" s="1"/>
      <c r="BH34" s="1"/>
      <c r="BI34" s="1"/>
      <c r="BJ34" s="1"/>
      <c r="BL34" s="1"/>
      <c r="BM34" s="1"/>
      <c r="BN34" s="1"/>
      <c r="BO34" s="10"/>
      <c r="BP34" s="4"/>
      <c r="BQ34" s="4"/>
      <c r="BR34" s="5"/>
    </row>
    <row r="35" spans="2:70" x14ac:dyDescent="0.25">
      <c r="B35" s="1"/>
      <c r="C35" s="6"/>
      <c r="D35" s="7"/>
      <c r="E35" s="7"/>
      <c r="F35" s="8"/>
      <c r="G35" s="1"/>
      <c r="H35" s="1"/>
      <c r="I35" s="1"/>
      <c r="J35" s="1"/>
      <c r="K35" s="1"/>
      <c r="L35" s="1"/>
      <c r="M35" s="1"/>
      <c r="O35" s="1"/>
      <c r="P35" s="1"/>
      <c r="Q35" s="1"/>
      <c r="R35" s="1"/>
      <c r="T35" s="1"/>
      <c r="U35" s="1"/>
      <c r="V35" s="1"/>
      <c r="W35" s="1"/>
      <c r="Y35" s="1"/>
      <c r="Z35" s="1"/>
      <c r="AA35" s="1"/>
      <c r="AB35" s="1"/>
      <c r="AD35" s="1"/>
      <c r="AE35" s="1"/>
      <c r="AF35" s="1"/>
      <c r="AG35" s="1"/>
      <c r="AI35" s="1"/>
      <c r="AJ35" s="1"/>
      <c r="AK35" s="1"/>
      <c r="AL35" s="1"/>
      <c r="AN35" s="1"/>
      <c r="AO35" s="1"/>
      <c r="AP35" s="1"/>
      <c r="AQ35" s="1"/>
      <c r="AR35" s="1"/>
      <c r="AT35" s="1"/>
      <c r="AU35" s="1"/>
      <c r="AV35" s="1"/>
      <c r="AW35" s="1"/>
      <c r="AX35" s="1"/>
      <c r="AZ35" s="1"/>
      <c r="BA35" s="1"/>
      <c r="BB35" s="1"/>
      <c r="BC35" s="1"/>
      <c r="BD35" s="1"/>
      <c r="BF35" s="1"/>
      <c r="BG35" s="1"/>
      <c r="BH35" s="1"/>
      <c r="BI35" s="1"/>
      <c r="BJ35" s="1"/>
      <c r="BL35" s="1"/>
      <c r="BM35" s="1"/>
      <c r="BN35" s="1"/>
      <c r="BO35" s="10"/>
      <c r="BP35" s="4"/>
      <c r="BQ35" s="4"/>
      <c r="BR35" s="5"/>
    </row>
    <row r="36" spans="2:70" x14ac:dyDescent="0.25">
      <c r="B36" s="1"/>
      <c r="C36" s="6"/>
      <c r="D36" s="7"/>
      <c r="E36" s="7"/>
      <c r="F36" s="8"/>
      <c r="G36" s="1"/>
      <c r="H36" s="1"/>
      <c r="I36" s="1"/>
      <c r="J36" s="1"/>
      <c r="K36" s="1"/>
      <c r="L36" s="1"/>
      <c r="M36" s="1"/>
      <c r="O36" s="1"/>
      <c r="P36" s="1"/>
      <c r="Q36" s="1"/>
      <c r="R36" s="1"/>
      <c r="T36" s="1"/>
      <c r="U36" s="1"/>
      <c r="V36" s="1"/>
      <c r="W36" s="1"/>
      <c r="Y36" s="1"/>
      <c r="Z36" s="1"/>
      <c r="AA36" s="1"/>
      <c r="AB36" s="1"/>
      <c r="AD36" s="1"/>
      <c r="AE36" s="1"/>
      <c r="AF36" s="1"/>
      <c r="AG36" s="1"/>
      <c r="AI36" s="1"/>
      <c r="AJ36" s="1"/>
      <c r="AK36" s="1"/>
      <c r="AL36" s="1"/>
      <c r="AN36" s="1"/>
      <c r="AO36" s="1"/>
      <c r="AP36" s="1"/>
      <c r="AQ36" s="1"/>
      <c r="AR36" s="1"/>
      <c r="AT36" s="1"/>
      <c r="AU36" s="1"/>
      <c r="AV36" s="1"/>
      <c r="AW36" s="1"/>
      <c r="AX36" s="1"/>
      <c r="AZ36" s="1"/>
      <c r="BA36" s="1"/>
      <c r="BB36" s="1"/>
      <c r="BC36" s="1"/>
      <c r="BD36" s="1"/>
      <c r="BF36" s="1"/>
      <c r="BG36" s="1"/>
      <c r="BH36" s="1"/>
      <c r="BI36" s="1"/>
      <c r="BJ36" s="1"/>
      <c r="BL36" s="1"/>
      <c r="BM36" s="1"/>
      <c r="BN36" s="1"/>
      <c r="BO36" s="10"/>
      <c r="BP36" s="4"/>
      <c r="BQ36" s="4"/>
      <c r="BR36" s="5"/>
    </row>
    <row r="37" spans="2:70" x14ac:dyDescent="0.25">
      <c r="B37" s="1"/>
      <c r="C37" s="6"/>
      <c r="D37" s="7"/>
      <c r="E37" s="7"/>
      <c r="F37" s="8"/>
      <c r="G37" s="1"/>
      <c r="H37" s="1"/>
      <c r="I37" s="1"/>
      <c r="J37" s="1"/>
      <c r="K37" s="1"/>
      <c r="L37" s="1"/>
      <c r="M37" s="1"/>
      <c r="O37" s="1"/>
      <c r="P37" s="1"/>
      <c r="Q37" s="1"/>
      <c r="R37" s="1"/>
      <c r="T37" s="1"/>
      <c r="U37" s="1"/>
      <c r="V37" s="1"/>
      <c r="W37" s="1"/>
      <c r="Y37" s="1"/>
      <c r="Z37" s="1"/>
      <c r="AA37" s="1"/>
      <c r="AB37" s="1"/>
      <c r="AD37" s="1"/>
      <c r="AE37" s="1"/>
      <c r="AF37" s="1"/>
      <c r="AG37" s="1"/>
      <c r="AI37" s="1"/>
      <c r="AJ37" s="1"/>
      <c r="AK37" s="1"/>
      <c r="AL37" s="1"/>
      <c r="AN37" s="1"/>
      <c r="AO37" s="1"/>
      <c r="AP37" s="1"/>
      <c r="AQ37" s="1"/>
      <c r="AR37" s="1"/>
      <c r="AT37" s="1"/>
      <c r="AU37" s="1"/>
      <c r="AV37" s="1"/>
      <c r="AW37" s="1"/>
      <c r="AX37" s="1"/>
      <c r="AZ37" s="1"/>
      <c r="BA37" s="1"/>
      <c r="BB37" s="1"/>
      <c r="BC37" s="1"/>
      <c r="BD37" s="1"/>
      <c r="BF37" s="1"/>
      <c r="BG37" s="1"/>
      <c r="BH37" s="1"/>
      <c r="BI37" s="1"/>
      <c r="BJ37" s="1"/>
      <c r="BL37" s="1"/>
      <c r="BM37" s="1"/>
      <c r="BN37" s="1"/>
      <c r="BO37" s="10"/>
      <c r="BP37" s="4"/>
      <c r="BQ37" s="4"/>
      <c r="BR37" s="5"/>
    </row>
    <row r="38" spans="2:70" x14ac:dyDescent="0.25">
      <c r="B38" s="1"/>
      <c r="C38" s="6"/>
      <c r="D38" s="7"/>
      <c r="E38" s="7"/>
      <c r="F38" s="8"/>
      <c r="G38" s="1"/>
      <c r="H38" s="1"/>
      <c r="I38" s="1"/>
      <c r="J38" s="1"/>
      <c r="K38" s="1"/>
      <c r="L38" s="1"/>
      <c r="M38" s="1"/>
      <c r="O38" s="1"/>
      <c r="P38" s="1"/>
      <c r="Q38" s="1"/>
      <c r="R38" s="1"/>
      <c r="T38" s="1"/>
      <c r="U38" s="1"/>
      <c r="V38" s="1"/>
      <c r="W38" s="1"/>
      <c r="Y38" s="1"/>
      <c r="Z38" s="1"/>
      <c r="AA38" s="1"/>
      <c r="AB38" s="1"/>
      <c r="AD38" s="1"/>
      <c r="AE38" s="1"/>
      <c r="AF38" s="1"/>
      <c r="AG38" s="1"/>
      <c r="AI38" s="1"/>
      <c r="AJ38" s="1"/>
      <c r="AK38" s="1"/>
      <c r="AL38" s="1"/>
      <c r="AN38" s="1"/>
      <c r="AO38" s="1"/>
      <c r="AP38" s="1"/>
      <c r="AQ38" s="1"/>
      <c r="AR38" s="1"/>
      <c r="AT38" s="1"/>
      <c r="AU38" s="1"/>
      <c r="AV38" s="1"/>
      <c r="AW38" s="1"/>
      <c r="AX38" s="1"/>
      <c r="AZ38" s="1"/>
      <c r="BA38" s="1"/>
      <c r="BB38" s="1"/>
      <c r="BC38" s="1"/>
      <c r="BD38" s="1"/>
      <c r="BF38" s="1"/>
      <c r="BG38" s="1"/>
      <c r="BH38" s="1"/>
      <c r="BI38" s="1"/>
      <c r="BJ38" s="1"/>
      <c r="BL38" s="1"/>
      <c r="BM38" s="1"/>
      <c r="BN38" s="1"/>
      <c r="BO38" s="10"/>
      <c r="BP38" s="4"/>
      <c r="BQ38" s="4"/>
      <c r="BR38" s="5"/>
    </row>
    <row r="39" spans="2:70" ht="17.25" customHeight="1" x14ac:dyDescent="0.25">
      <c r="B39" s="1"/>
      <c r="C39" s="9"/>
      <c r="D39" s="7"/>
      <c r="E39" s="7"/>
      <c r="F39" s="8"/>
      <c r="G39" s="1"/>
      <c r="H39" s="1"/>
      <c r="I39" s="1"/>
      <c r="J39" s="1"/>
      <c r="K39" s="1"/>
      <c r="L39" s="1"/>
      <c r="M39" s="1"/>
      <c r="O39" s="1"/>
      <c r="P39" s="1"/>
      <c r="Q39" s="1"/>
      <c r="R39" s="1"/>
      <c r="T39" s="1"/>
      <c r="U39" s="1"/>
      <c r="V39" s="1"/>
      <c r="W39" s="1"/>
      <c r="Y39" s="1"/>
      <c r="Z39" s="1"/>
      <c r="AA39" s="1"/>
      <c r="AB39" s="1"/>
      <c r="AD39" s="1"/>
      <c r="AE39" s="1"/>
      <c r="AF39" s="1"/>
      <c r="AG39" s="1"/>
      <c r="AI39" s="1"/>
      <c r="AJ39" s="1"/>
      <c r="AK39" s="1"/>
      <c r="AL39" s="1"/>
      <c r="AN39" s="1"/>
      <c r="AO39" s="1"/>
      <c r="AP39" s="1"/>
      <c r="AQ39" s="1"/>
      <c r="AR39" s="1"/>
      <c r="AT39" s="1"/>
      <c r="AU39" s="1"/>
      <c r="AV39" s="1"/>
      <c r="AW39" s="1"/>
      <c r="AX39" s="1"/>
      <c r="AZ39" s="1"/>
      <c r="BA39" s="1"/>
      <c r="BB39" s="1"/>
      <c r="BC39" s="1"/>
      <c r="BD39" s="1"/>
      <c r="BF39" s="1"/>
      <c r="BG39" s="1"/>
      <c r="BH39" s="1"/>
      <c r="BI39" s="1"/>
      <c r="BJ39" s="1"/>
      <c r="BL39" s="1"/>
      <c r="BM39" s="1"/>
      <c r="BN39" s="1"/>
      <c r="BO39" s="10"/>
      <c r="BP39" s="4"/>
      <c r="BQ39" s="4"/>
      <c r="BR39" s="5"/>
    </row>
    <row r="40" spans="2:70" x14ac:dyDescent="0.25">
      <c r="B40" s="1"/>
      <c r="C40" s="9"/>
      <c r="D40" s="7"/>
      <c r="E40" s="7"/>
      <c r="F40" s="8"/>
      <c r="G40" s="1"/>
      <c r="H40" s="1"/>
      <c r="I40" s="1"/>
      <c r="J40" s="1"/>
      <c r="K40" s="1"/>
      <c r="L40" s="1"/>
      <c r="M40" s="1"/>
      <c r="O40" s="1"/>
      <c r="P40" s="1"/>
      <c r="Q40" s="1"/>
      <c r="R40" s="1"/>
      <c r="T40" s="1"/>
      <c r="U40" s="1"/>
      <c r="V40" s="1"/>
      <c r="W40" s="1"/>
      <c r="Y40" s="1"/>
      <c r="Z40" s="1"/>
      <c r="AA40" s="1"/>
      <c r="AB40" s="1"/>
      <c r="AD40" s="1"/>
      <c r="AE40" s="1"/>
      <c r="AF40" s="1"/>
      <c r="AG40" s="1"/>
      <c r="AI40" s="1"/>
      <c r="AJ40" s="1"/>
      <c r="AK40" s="1"/>
      <c r="AL40" s="1"/>
      <c r="AN40" s="1"/>
      <c r="AO40" s="1"/>
      <c r="AP40" s="1"/>
      <c r="AQ40" s="1"/>
      <c r="AR40" s="1"/>
      <c r="AT40" s="1"/>
      <c r="AU40" s="1"/>
      <c r="AV40" s="1"/>
      <c r="AW40" s="1"/>
      <c r="AX40" s="1"/>
      <c r="AZ40" s="1"/>
      <c r="BA40" s="1"/>
      <c r="BB40" s="1"/>
      <c r="BC40" s="1"/>
      <c r="BD40" s="1"/>
      <c r="BF40" s="1"/>
      <c r="BG40" s="1"/>
      <c r="BH40" s="1"/>
      <c r="BI40" s="1"/>
      <c r="BJ40" s="1"/>
      <c r="BL40" s="1"/>
      <c r="BM40" s="1"/>
      <c r="BN40" s="1"/>
      <c r="BO40" s="10"/>
      <c r="BP40" s="4"/>
      <c r="BQ40" s="4"/>
      <c r="BR40" s="5"/>
    </row>
    <row r="41" spans="2:70" x14ac:dyDescent="0.25">
      <c r="B41" s="1"/>
      <c r="C41" s="9"/>
      <c r="D41" s="7"/>
      <c r="E41" s="7"/>
      <c r="F41" s="8"/>
      <c r="G41" s="1"/>
      <c r="H41" s="1"/>
      <c r="I41" s="1"/>
      <c r="J41" s="1"/>
      <c r="K41" s="1"/>
      <c r="L41" s="1"/>
      <c r="M41" s="1"/>
      <c r="O41" s="1"/>
      <c r="P41" s="1"/>
      <c r="Q41" s="1"/>
      <c r="R41" s="1"/>
      <c r="T41" s="1"/>
      <c r="U41" s="1"/>
      <c r="V41" s="1"/>
      <c r="W41" s="1"/>
      <c r="Y41" s="1"/>
      <c r="Z41" s="1"/>
      <c r="AA41" s="1"/>
      <c r="AB41" s="1"/>
      <c r="AD41" s="1"/>
      <c r="AE41" s="1"/>
      <c r="AF41" s="1"/>
      <c r="AG41" s="1"/>
      <c r="AI41" s="1"/>
      <c r="AJ41" s="1"/>
      <c r="AK41" s="1"/>
      <c r="AL41" s="1"/>
      <c r="AN41" s="1"/>
      <c r="AO41" s="1"/>
      <c r="AP41" s="1"/>
      <c r="AQ41" s="1"/>
      <c r="AR41" s="1"/>
      <c r="AT41" s="1"/>
      <c r="AU41" s="1"/>
      <c r="AV41" s="1"/>
      <c r="AW41" s="1"/>
      <c r="AX41" s="1"/>
      <c r="AZ41" s="1"/>
      <c r="BA41" s="1"/>
      <c r="BB41" s="1"/>
      <c r="BC41" s="1"/>
      <c r="BD41" s="1"/>
      <c r="BF41" s="1"/>
      <c r="BG41" s="1"/>
      <c r="BH41" s="1"/>
      <c r="BI41" s="1"/>
      <c r="BJ41" s="1"/>
      <c r="BL41" s="1"/>
      <c r="BM41" s="1"/>
      <c r="BN41" s="1"/>
      <c r="BO41" s="10"/>
      <c r="BP41" s="4"/>
      <c r="BQ41" s="4"/>
      <c r="BR41" s="5"/>
    </row>
    <row r="42" spans="2:70" x14ac:dyDescent="0.25">
      <c r="B42" s="1"/>
      <c r="C42" s="9"/>
      <c r="D42" s="7"/>
      <c r="E42" s="7"/>
      <c r="F42" s="8"/>
      <c r="G42" s="1"/>
      <c r="H42" s="1"/>
      <c r="I42" s="1"/>
      <c r="J42" s="1"/>
      <c r="K42" s="1"/>
      <c r="L42" s="1"/>
      <c r="M42" s="1"/>
      <c r="O42" s="1"/>
      <c r="P42" s="1"/>
      <c r="Q42" s="1"/>
      <c r="R42" s="1"/>
      <c r="T42" s="1"/>
      <c r="U42" s="1"/>
      <c r="V42" s="1"/>
      <c r="W42" s="1"/>
      <c r="Y42" s="1"/>
      <c r="Z42" s="1"/>
      <c r="AA42" s="1"/>
      <c r="AB42" s="1"/>
      <c r="AD42" s="1"/>
      <c r="AE42" s="1"/>
      <c r="AF42" s="1"/>
      <c r="AG42" s="1"/>
      <c r="AI42" s="1"/>
      <c r="AJ42" s="1"/>
      <c r="AK42" s="1"/>
      <c r="AL42" s="1"/>
      <c r="AN42" s="1"/>
      <c r="AO42" s="1"/>
      <c r="AP42" s="1"/>
      <c r="AQ42" s="1"/>
      <c r="AR42" s="1"/>
      <c r="AT42" s="1"/>
      <c r="AU42" s="1"/>
      <c r="AV42" s="1"/>
      <c r="AW42" s="1"/>
      <c r="AX42" s="1"/>
      <c r="AZ42" s="1"/>
      <c r="BA42" s="1"/>
      <c r="BB42" s="1"/>
      <c r="BC42" s="1"/>
      <c r="BD42" s="1"/>
      <c r="BF42" s="1"/>
      <c r="BG42" s="1"/>
      <c r="BH42" s="1"/>
      <c r="BI42" s="1"/>
      <c r="BJ42" s="1"/>
      <c r="BL42" s="1"/>
      <c r="BM42" s="1"/>
      <c r="BN42" s="1"/>
      <c r="BO42" s="10"/>
      <c r="BP42" s="4"/>
      <c r="BQ42" s="4"/>
      <c r="BR42" s="5"/>
    </row>
    <row r="43" spans="2:70" x14ac:dyDescent="0.25">
      <c r="B43" s="1"/>
      <c r="C43" s="9"/>
      <c r="D43" s="7"/>
      <c r="E43" s="7"/>
      <c r="F43" s="8"/>
      <c r="G43" s="1"/>
      <c r="H43" s="1"/>
      <c r="I43" s="1"/>
      <c r="J43" s="1"/>
      <c r="K43" s="1"/>
      <c r="L43" s="1"/>
      <c r="M43" s="1"/>
      <c r="O43" s="1"/>
      <c r="P43" s="1"/>
      <c r="Q43" s="1"/>
      <c r="R43" s="1"/>
      <c r="T43" s="1"/>
      <c r="U43" s="1"/>
      <c r="V43" s="1"/>
      <c r="W43" s="1"/>
      <c r="Y43" s="1"/>
      <c r="Z43" s="1"/>
      <c r="AA43" s="1"/>
      <c r="AB43" s="1"/>
      <c r="AD43" s="1"/>
      <c r="AE43" s="1"/>
      <c r="AF43" s="1"/>
      <c r="AG43" s="1"/>
      <c r="AI43" s="1"/>
      <c r="AJ43" s="1"/>
      <c r="AK43" s="1"/>
      <c r="AL43" s="1"/>
      <c r="AN43" s="1"/>
      <c r="AO43" s="1"/>
      <c r="AP43" s="1"/>
      <c r="AQ43" s="1"/>
      <c r="AR43" s="1"/>
      <c r="AT43" s="1"/>
      <c r="AU43" s="1"/>
      <c r="AV43" s="1"/>
      <c r="AW43" s="1"/>
      <c r="AX43" s="1"/>
      <c r="AZ43" s="1"/>
      <c r="BA43" s="1"/>
      <c r="BB43" s="1"/>
      <c r="BC43" s="1"/>
      <c r="BD43" s="1"/>
      <c r="BF43" s="1"/>
      <c r="BG43" s="1"/>
      <c r="BH43" s="1"/>
      <c r="BI43" s="1"/>
      <c r="BJ43" s="1"/>
      <c r="BL43" s="1"/>
      <c r="BM43" s="1"/>
      <c r="BN43" s="1"/>
      <c r="BO43" s="10"/>
      <c r="BP43" s="4"/>
      <c r="BQ43" s="4"/>
      <c r="BR43" s="5"/>
    </row>
    <row r="44" spans="2:70" x14ac:dyDescent="0.25">
      <c r="B44" s="1"/>
      <c r="C44" s="9"/>
      <c r="D44" s="7"/>
      <c r="E44" s="7"/>
      <c r="F44" s="8"/>
      <c r="G44" s="1"/>
      <c r="H44" s="1"/>
      <c r="I44" s="1"/>
      <c r="J44" s="1"/>
      <c r="K44" s="1"/>
      <c r="L44" s="1"/>
      <c r="M44" s="1"/>
      <c r="O44" s="1"/>
      <c r="P44" s="1"/>
      <c r="Q44" s="1"/>
      <c r="R44" s="1"/>
      <c r="T44" s="1"/>
      <c r="U44" s="1"/>
      <c r="V44" s="1"/>
      <c r="W44" s="1"/>
      <c r="Y44" s="1"/>
      <c r="Z44" s="1"/>
      <c r="AA44" s="1"/>
      <c r="AB44" s="1"/>
      <c r="AD44" s="1"/>
      <c r="AE44" s="1"/>
      <c r="AF44" s="1"/>
      <c r="AG44" s="1"/>
      <c r="AI44" s="1"/>
      <c r="AJ44" s="1"/>
      <c r="AK44" s="1"/>
      <c r="AL44" s="1"/>
      <c r="AN44" s="1"/>
      <c r="AO44" s="1"/>
      <c r="AP44" s="1"/>
      <c r="AQ44" s="1"/>
      <c r="AR44" s="1"/>
      <c r="AT44" s="1"/>
      <c r="AU44" s="1"/>
      <c r="AV44" s="1"/>
      <c r="AW44" s="1"/>
      <c r="AX44" s="1"/>
      <c r="AZ44" s="1"/>
      <c r="BA44" s="1"/>
      <c r="BB44" s="1"/>
      <c r="BC44" s="1"/>
      <c r="BD44" s="1"/>
      <c r="BF44" s="1"/>
      <c r="BG44" s="1"/>
      <c r="BH44" s="1"/>
      <c r="BI44" s="1"/>
      <c r="BJ44" s="1"/>
      <c r="BL44" s="1"/>
      <c r="BM44" s="1"/>
      <c r="BN44" s="1"/>
      <c r="BO44" s="10"/>
      <c r="BP44" s="4"/>
      <c r="BQ44" s="4"/>
      <c r="BR44" s="5"/>
    </row>
    <row r="45" spans="2:70" x14ac:dyDescent="0.25">
      <c r="B45" s="1"/>
      <c r="C45" s="9"/>
      <c r="D45" s="7"/>
      <c r="E45" s="7"/>
      <c r="F45" s="8"/>
      <c r="G45" s="1"/>
      <c r="H45" s="1"/>
      <c r="I45" s="1"/>
      <c r="J45" s="1"/>
      <c r="K45" s="1"/>
      <c r="L45" s="1"/>
      <c r="M45" s="1"/>
      <c r="O45" s="1"/>
      <c r="P45" s="1"/>
      <c r="Q45" s="1"/>
      <c r="R45" s="1"/>
      <c r="T45" s="1"/>
      <c r="U45" s="1"/>
      <c r="V45" s="1"/>
      <c r="W45" s="1"/>
      <c r="Y45" s="1"/>
      <c r="Z45" s="1"/>
      <c r="AA45" s="1"/>
      <c r="AB45" s="1"/>
      <c r="AD45" s="1"/>
      <c r="AE45" s="1"/>
      <c r="AF45" s="1"/>
      <c r="AG45" s="1"/>
      <c r="AI45" s="1"/>
      <c r="AJ45" s="1"/>
      <c r="AK45" s="1"/>
      <c r="AL45" s="1"/>
      <c r="AN45" s="1"/>
      <c r="AO45" s="1"/>
      <c r="AP45" s="1"/>
      <c r="AQ45" s="1"/>
      <c r="AR45" s="1"/>
      <c r="AT45" s="1"/>
      <c r="AU45" s="1"/>
      <c r="AV45" s="1"/>
      <c r="AW45" s="1"/>
      <c r="AX45" s="1"/>
      <c r="AZ45" s="1"/>
      <c r="BA45" s="1"/>
      <c r="BB45" s="1"/>
      <c r="BC45" s="1"/>
      <c r="BD45" s="1"/>
      <c r="BF45" s="1"/>
      <c r="BG45" s="1"/>
      <c r="BH45" s="1"/>
      <c r="BI45" s="1"/>
      <c r="BJ45" s="1"/>
      <c r="BL45" s="1"/>
      <c r="BM45" s="1"/>
      <c r="BN45" s="1"/>
      <c r="BO45" s="10"/>
      <c r="BP45" s="4"/>
      <c r="BQ45" s="4"/>
      <c r="BR45" s="5"/>
    </row>
    <row r="46" spans="2:70" x14ac:dyDescent="0.25">
      <c r="B46" s="1"/>
      <c r="C46" s="9"/>
      <c r="D46" s="7"/>
      <c r="E46" s="7"/>
      <c r="F46" s="8"/>
      <c r="G46" s="1"/>
      <c r="H46" s="1"/>
      <c r="I46" s="1"/>
      <c r="J46" s="1"/>
      <c r="K46" s="1"/>
      <c r="L46" s="1"/>
      <c r="M46" s="1"/>
      <c r="O46" s="1"/>
      <c r="P46" s="1"/>
      <c r="Q46" s="1"/>
      <c r="R46" s="1"/>
      <c r="T46" s="1"/>
      <c r="U46" s="1"/>
      <c r="V46" s="1"/>
      <c r="W46" s="1"/>
      <c r="Y46" s="1"/>
      <c r="Z46" s="1"/>
      <c r="AA46" s="1"/>
      <c r="AB46" s="1"/>
      <c r="AD46" s="1"/>
      <c r="AE46" s="1"/>
      <c r="AF46" s="1"/>
      <c r="AG46" s="1"/>
      <c r="AI46" s="1"/>
      <c r="AJ46" s="1"/>
      <c r="AK46" s="1"/>
      <c r="AL46" s="1"/>
      <c r="AN46" s="1"/>
      <c r="AO46" s="1"/>
      <c r="AP46" s="1"/>
      <c r="AQ46" s="1"/>
      <c r="AR46" s="1"/>
      <c r="AT46" s="1"/>
      <c r="AU46" s="1"/>
      <c r="AV46" s="1"/>
      <c r="AW46" s="1"/>
      <c r="AX46" s="1"/>
      <c r="AZ46" s="1"/>
      <c r="BA46" s="1"/>
      <c r="BB46" s="1"/>
      <c r="BC46" s="1"/>
      <c r="BD46" s="1"/>
      <c r="BF46" s="1"/>
      <c r="BG46" s="1"/>
      <c r="BH46" s="1"/>
      <c r="BI46" s="1"/>
      <c r="BJ46" s="1"/>
      <c r="BL46" s="1"/>
      <c r="BM46" s="1"/>
      <c r="BN46" s="1"/>
      <c r="BO46" s="10"/>
      <c r="BP46" s="4"/>
      <c r="BQ46" s="4"/>
      <c r="BR46" s="5"/>
    </row>
    <row r="47" spans="2:70" x14ac:dyDescent="0.25">
      <c r="B47" s="1"/>
      <c r="C47" s="9"/>
      <c r="D47" s="7"/>
      <c r="E47" s="7"/>
      <c r="F47" s="8"/>
      <c r="G47" s="1"/>
      <c r="H47" s="1"/>
      <c r="I47" s="1"/>
      <c r="J47" s="1"/>
      <c r="K47" s="1"/>
      <c r="L47" s="1"/>
      <c r="M47" s="1"/>
      <c r="O47" s="1"/>
      <c r="P47" s="1"/>
      <c r="Q47" s="1"/>
      <c r="R47" s="1"/>
      <c r="T47" s="1"/>
      <c r="U47" s="1"/>
      <c r="V47" s="1"/>
      <c r="W47" s="1"/>
      <c r="Y47" s="1"/>
      <c r="Z47" s="1"/>
      <c r="AA47" s="1"/>
      <c r="AB47" s="1"/>
      <c r="AD47" s="1"/>
      <c r="AE47" s="1"/>
      <c r="AF47" s="1"/>
      <c r="AG47" s="1"/>
      <c r="AI47" s="1"/>
      <c r="AJ47" s="1"/>
      <c r="AK47" s="1"/>
      <c r="AL47" s="1"/>
      <c r="AN47" s="1"/>
      <c r="AO47" s="1"/>
      <c r="AP47" s="1"/>
      <c r="AQ47" s="1"/>
      <c r="AR47" s="1"/>
      <c r="AT47" s="1"/>
      <c r="AU47" s="1"/>
      <c r="AV47" s="1"/>
      <c r="AW47" s="1"/>
      <c r="AX47" s="1"/>
      <c r="AZ47" s="1"/>
      <c r="BA47" s="1"/>
      <c r="BB47" s="1"/>
      <c r="BC47" s="1"/>
      <c r="BD47" s="1"/>
      <c r="BF47" s="1"/>
      <c r="BG47" s="1"/>
      <c r="BH47" s="1"/>
      <c r="BI47" s="1"/>
      <c r="BJ47" s="1"/>
      <c r="BL47" s="1"/>
      <c r="BM47" s="1"/>
      <c r="BN47" s="1"/>
      <c r="BO47" s="10"/>
      <c r="BP47" s="4"/>
      <c r="BQ47" s="4"/>
      <c r="BR47" s="5"/>
    </row>
    <row r="48" spans="2:70" x14ac:dyDescent="0.25">
      <c r="B48" s="1"/>
      <c r="C48" s="9"/>
      <c r="D48" s="7"/>
      <c r="E48" s="7"/>
      <c r="F48" s="8"/>
      <c r="G48" s="1"/>
      <c r="H48" s="1"/>
      <c r="I48" s="1"/>
      <c r="J48" s="1"/>
      <c r="K48" s="1"/>
      <c r="L48" s="1"/>
      <c r="M48" s="1"/>
      <c r="O48" s="1"/>
      <c r="P48" s="1"/>
      <c r="Q48" s="1"/>
      <c r="R48" s="1"/>
      <c r="T48" s="1"/>
      <c r="U48" s="1"/>
      <c r="V48" s="1"/>
      <c r="W48" s="1"/>
      <c r="Y48" s="1"/>
      <c r="Z48" s="1"/>
      <c r="AA48" s="1"/>
      <c r="AB48" s="1"/>
      <c r="AD48" s="1"/>
      <c r="AE48" s="1"/>
      <c r="AF48" s="1"/>
      <c r="AG48" s="1"/>
      <c r="AI48" s="1"/>
      <c r="AJ48" s="1"/>
      <c r="AK48" s="1"/>
      <c r="AL48" s="1"/>
      <c r="AN48" s="1"/>
      <c r="AO48" s="1"/>
      <c r="AP48" s="1"/>
      <c r="AQ48" s="1"/>
      <c r="AR48" s="1"/>
      <c r="AT48" s="1"/>
      <c r="AU48" s="1"/>
      <c r="AV48" s="1"/>
      <c r="AW48" s="1"/>
      <c r="AX48" s="1"/>
      <c r="AZ48" s="1"/>
      <c r="BA48" s="1"/>
      <c r="BB48" s="1"/>
      <c r="BC48" s="1"/>
      <c r="BD48" s="1"/>
      <c r="BF48" s="1"/>
      <c r="BG48" s="1"/>
      <c r="BH48" s="1"/>
      <c r="BI48" s="1"/>
      <c r="BJ48" s="1"/>
      <c r="BL48" s="1"/>
      <c r="BM48" s="1"/>
      <c r="BN48" s="1"/>
      <c r="BO48" s="10"/>
      <c r="BP48" s="4"/>
      <c r="BQ48" s="4"/>
      <c r="BR48" s="5"/>
    </row>
    <row r="49" spans="2:70" ht="14.45" customHeight="1" x14ac:dyDescent="0.25">
      <c r="B49" s="1"/>
      <c r="C49" s="9"/>
      <c r="D49" s="7"/>
      <c r="E49" s="7"/>
      <c r="F49" s="8"/>
      <c r="G49" s="1"/>
      <c r="H49" s="1"/>
      <c r="I49" s="1"/>
      <c r="J49" s="1"/>
      <c r="K49" s="1"/>
      <c r="L49" s="1"/>
      <c r="M49" s="1"/>
      <c r="O49" s="1"/>
      <c r="P49" s="1"/>
      <c r="Q49" s="1"/>
      <c r="R49" s="1"/>
      <c r="T49" s="1"/>
      <c r="U49" s="1"/>
      <c r="V49" s="1"/>
      <c r="W49" s="1"/>
      <c r="Y49" s="1"/>
      <c r="Z49" s="1"/>
      <c r="AA49" s="1"/>
      <c r="AB49" s="1"/>
      <c r="AD49" s="1"/>
      <c r="AE49" s="1"/>
      <c r="AF49" s="1"/>
      <c r="AG49" s="1"/>
      <c r="AI49" s="1"/>
      <c r="AJ49" s="1"/>
      <c r="AK49" s="1"/>
      <c r="AL49" s="1"/>
      <c r="AN49" s="1"/>
      <c r="AO49" s="1"/>
      <c r="AP49" s="1"/>
      <c r="AQ49" s="1"/>
      <c r="AR49" s="1"/>
      <c r="AT49" s="1"/>
      <c r="AU49" s="1"/>
      <c r="AV49" s="1"/>
      <c r="AW49" s="1"/>
      <c r="AX49" s="1"/>
      <c r="AZ49" s="1"/>
      <c r="BA49" s="1"/>
      <c r="BB49" s="1"/>
      <c r="BC49" s="1"/>
      <c r="BD49" s="1"/>
      <c r="BF49" s="1"/>
      <c r="BG49" s="1"/>
      <c r="BH49" s="1"/>
      <c r="BI49" s="1"/>
      <c r="BJ49" s="1"/>
      <c r="BL49" s="1"/>
      <c r="BM49" s="1"/>
      <c r="BN49" s="1"/>
      <c r="BO49" s="10"/>
      <c r="BP49" s="4"/>
      <c r="BQ49" s="4"/>
      <c r="BR49" s="5"/>
    </row>
    <row r="50" spans="2:70" x14ac:dyDescent="0.25">
      <c r="B50" s="1"/>
      <c r="C50" s="6"/>
      <c r="D50" s="7"/>
      <c r="E50" s="7"/>
      <c r="F50" s="8"/>
      <c r="G50" s="1"/>
      <c r="H50" s="1"/>
      <c r="I50" s="1"/>
      <c r="J50" s="1"/>
      <c r="K50" s="1"/>
      <c r="L50" s="1"/>
      <c r="M50" s="1"/>
      <c r="O50" s="1"/>
      <c r="P50" s="1"/>
      <c r="Q50" s="1"/>
      <c r="R50" s="1"/>
      <c r="T50" s="1"/>
      <c r="U50" s="1"/>
      <c r="V50" s="1"/>
      <c r="W50" s="1"/>
      <c r="Y50" s="1"/>
      <c r="Z50" s="1"/>
      <c r="AA50" s="1"/>
      <c r="AB50" s="1"/>
      <c r="AD50" s="1"/>
      <c r="AE50" s="1"/>
      <c r="AF50" s="1"/>
      <c r="AG50" s="1"/>
      <c r="AI50" s="1"/>
      <c r="AJ50" s="1"/>
      <c r="AK50" s="1"/>
      <c r="AL50" s="1"/>
      <c r="AN50" s="1"/>
      <c r="AO50" s="1"/>
      <c r="AP50" s="1"/>
      <c r="AQ50" s="1"/>
      <c r="AR50" s="1"/>
      <c r="AT50" s="1"/>
      <c r="AU50" s="1"/>
      <c r="AV50" s="1"/>
      <c r="AW50" s="1"/>
      <c r="AX50" s="1"/>
      <c r="AZ50" s="1"/>
      <c r="BA50" s="1"/>
      <c r="BB50" s="1"/>
      <c r="BC50" s="1"/>
      <c r="BD50" s="1"/>
      <c r="BF50" s="1"/>
      <c r="BG50" s="1"/>
      <c r="BH50" s="1"/>
      <c r="BI50" s="1"/>
      <c r="BJ50" s="1"/>
      <c r="BL50" s="1"/>
      <c r="BM50" s="1"/>
      <c r="BN50" s="1"/>
      <c r="BO50" s="10"/>
      <c r="BP50" s="4"/>
      <c r="BQ50" s="4"/>
      <c r="BR50" s="5"/>
    </row>
    <row r="51" spans="2:70" ht="14.45" customHeight="1" x14ac:dyDescent="0.25">
      <c r="B51" s="1"/>
      <c r="C51" s="6"/>
      <c r="D51" s="7"/>
      <c r="E51" s="7"/>
      <c r="F51" s="8"/>
      <c r="G51" s="1"/>
      <c r="H51" s="1"/>
      <c r="I51" s="1"/>
      <c r="J51" s="1"/>
      <c r="K51" s="1"/>
      <c r="L51" s="1"/>
      <c r="M51" s="1"/>
      <c r="O51" s="1"/>
      <c r="P51" s="1"/>
      <c r="Q51" s="1"/>
      <c r="R51" s="1"/>
      <c r="T51" s="1"/>
      <c r="U51" s="1"/>
      <c r="V51" s="1"/>
      <c r="W51" s="1"/>
      <c r="Y51" s="1"/>
      <c r="Z51" s="1"/>
      <c r="AA51" s="1"/>
      <c r="AB51" s="1"/>
      <c r="AD51" s="1"/>
      <c r="AE51" s="1"/>
      <c r="AF51" s="1"/>
      <c r="AG51" s="1"/>
      <c r="AI51" s="1"/>
      <c r="AJ51" s="1"/>
      <c r="AK51" s="1"/>
      <c r="AL51" s="1"/>
      <c r="AN51" s="1"/>
      <c r="AO51" s="1"/>
      <c r="AP51" s="1"/>
      <c r="AQ51" s="1"/>
      <c r="AR51" s="1"/>
      <c r="AT51" s="1"/>
      <c r="AU51" s="1"/>
      <c r="AV51" s="1"/>
      <c r="AW51" s="1"/>
      <c r="AX51" s="1"/>
      <c r="AZ51" s="1"/>
      <c r="BA51" s="1"/>
      <c r="BB51" s="1"/>
      <c r="BC51" s="1"/>
      <c r="BD51" s="1"/>
      <c r="BF51" s="1"/>
      <c r="BG51" s="1"/>
      <c r="BH51" s="1"/>
      <c r="BI51" s="1"/>
      <c r="BJ51" s="1"/>
      <c r="BL51" s="1"/>
      <c r="BM51" s="1"/>
      <c r="BN51" s="1"/>
      <c r="BO51" s="10"/>
      <c r="BP51" s="4"/>
      <c r="BQ51" s="4"/>
      <c r="BR51" s="5"/>
    </row>
    <row r="52" spans="2:70" x14ac:dyDescent="0.25">
      <c r="B52" s="1"/>
      <c r="C52" s="6"/>
      <c r="D52" s="7"/>
      <c r="E52" s="7"/>
      <c r="F52" s="8"/>
      <c r="G52" s="1"/>
      <c r="H52" s="1"/>
      <c r="I52" s="1"/>
      <c r="J52" s="1"/>
      <c r="K52" s="1"/>
      <c r="L52" s="1"/>
      <c r="M52" s="1"/>
      <c r="O52" s="1"/>
      <c r="P52" s="1"/>
      <c r="Q52" s="1"/>
      <c r="R52" s="1"/>
      <c r="T52" s="1"/>
      <c r="U52" s="1"/>
      <c r="V52" s="1"/>
      <c r="W52" s="1"/>
      <c r="Y52" s="1"/>
      <c r="Z52" s="1"/>
      <c r="AA52" s="1"/>
      <c r="AB52" s="1"/>
      <c r="AD52" s="1"/>
      <c r="AE52" s="1"/>
      <c r="AF52" s="1"/>
      <c r="AG52" s="1"/>
      <c r="AI52" s="1"/>
      <c r="AJ52" s="1"/>
      <c r="AK52" s="1"/>
      <c r="AL52" s="1"/>
      <c r="AN52" s="1"/>
      <c r="AO52" s="1"/>
      <c r="AP52" s="1"/>
      <c r="AQ52" s="1"/>
      <c r="AR52" s="1"/>
      <c r="AT52" s="1"/>
      <c r="AU52" s="1"/>
      <c r="AV52" s="1"/>
      <c r="AW52" s="1"/>
      <c r="AX52" s="1"/>
      <c r="AZ52" s="1"/>
      <c r="BA52" s="1"/>
      <c r="BB52" s="1"/>
      <c r="BC52" s="1"/>
      <c r="BD52" s="1"/>
      <c r="BF52" s="1"/>
      <c r="BG52" s="1"/>
      <c r="BH52" s="1"/>
      <c r="BI52" s="1"/>
      <c r="BJ52" s="1"/>
      <c r="BL52" s="1"/>
      <c r="BM52" s="1"/>
      <c r="BN52" s="1"/>
      <c r="BO52" s="10"/>
      <c r="BP52" s="4"/>
      <c r="BQ52" s="4"/>
      <c r="BR52" s="5"/>
    </row>
    <row r="53" spans="2:70" x14ac:dyDescent="0.25">
      <c r="B53" s="1"/>
      <c r="C53" s="6"/>
      <c r="D53" s="7"/>
      <c r="E53" s="7"/>
      <c r="F53" s="8"/>
      <c r="G53" s="1"/>
      <c r="H53" s="1"/>
      <c r="I53" s="1"/>
      <c r="J53" s="1"/>
      <c r="K53" s="1"/>
      <c r="L53" s="1"/>
      <c r="M53" s="1"/>
      <c r="O53" s="1"/>
      <c r="P53" s="1"/>
      <c r="Q53" s="1"/>
      <c r="R53" s="1"/>
      <c r="T53" s="1"/>
      <c r="U53" s="1"/>
      <c r="V53" s="1"/>
      <c r="W53" s="1"/>
      <c r="Y53" s="1"/>
      <c r="Z53" s="1"/>
      <c r="AA53" s="1"/>
      <c r="AB53" s="1"/>
      <c r="AD53" s="1"/>
      <c r="AE53" s="1"/>
      <c r="AF53" s="1"/>
      <c r="AG53" s="1"/>
      <c r="AI53" s="1"/>
      <c r="AJ53" s="1"/>
      <c r="AK53" s="1"/>
      <c r="AL53" s="1"/>
      <c r="AN53" s="1"/>
      <c r="AO53" s="1"/>
      <c r="AP53" s="1"/>
      <c r="AQ53" s="1"/>
      <c r="AR53" s="1"/>
      <c r="AT53" s="1"/>
      <c r="AU53" s="1"/>
      <c r="AV53" s="1"/>
      <c r="AW53" s="1"/>
      <c r="AX53" s="1"/>
      <c r="AZ53" s="1"/>
      <c r="BA53" s="1"/>
      <c r="BB53" s="1"/>
      <c r="BC53" s="1"/>
      <c r="BD53" s="1"/>
      <c r="BF53" s="1"/>
      <c r="BG53" s="1"/>
      <c r="BH53" s="1"/>
      <c r="BI53" s="1"/>
      <c r="BJ53" s="1"/>
      <c r="BL53" s="1"/>
      <c r="BM53" s="1"/>
      <c r="BN53" s="1"/>
      <c r="BO53" s="10"/>
      <c r="BP53" s="4"/>
      <c r="BQ53" s="4"/>
      <c r="BR53" s="5"/>
    </row>
    <row r="54" spans="2:70" x14ac:dyDescent="0.25">
      <c r="B54" s="1"/>
      <c r="C54" s="6"/>
      <c r="D54" s="7"/>
      <c r="E54" s="7"/>
      <c r="F54" s="8"/>
      <c r="G54" s="1"/>
      <c r="H54" s="1"/>
      <c r="I54" s="1"/>
      <c r="J54" s="1"/>
      <c r="K54" s="1"/>
      <c r="L54" s="1"/>
      <c r="M54" s="1"/>
      <c r="O54" s="1"/>
      <c r="P54" s="1"/>
      <c r="Q54" s="1"/>
      <c r="R54" s="1"/>
      <c r="T54" s="1"/>
      <c r="U54" s="1"/>
      <c r="V54" s="1"/>
      <c r="W54" s="1"/>
      <c r="Y54" s="1"/>
      <c r="Z54" s="1"/>
      <c r="AA54" s="1"/>
      <c r="AB54" s="1"/>
      <c r="AD54" s="1"/>
      <c r="AE54" s="1"/>
      <c r="AF54" s="1"/>
      <c r="AG54" s="1"/>
      <c r="AI54" s="1"/>
      <c r="AJ54" s="1"/>
      <c r="AK54" s="1"/>
      <c r="AL54" s="1"/>
      <c r="AN54" s="1"/>
      <c r="AO54" s="1"/>
      <c r="AP54" s="1"/>
      <c r="AQ54" s="1"/>
      <c r="AR54" s="1"/>
      <c r="AT54" s="1"/>
      <c r="AU54" s="1"/>
      <c r="AV54" s="1"/>
      <c r="AW54" s="1"/>
      <c r="AX54" s="1"/>
      <c r="AZ54" s="1"/>
      <c r="BA54" s="1"/>
      <c r="BB54" s="1"/>
      <c r="BC54" s="1"/>
      <c r="BD54" s="1"/>
      <c r="BF54" s="1"/>
      <c r="BG54" s="1"/>
      <c r="BH54" s="1"/>
      <c r="BI54" s="1"/>
      <c r="BJ54" s="1"/>
      <c r="BL54" s="1"/>
      <c r="BM54" s="1"/>
      <c r="BN54" s="1"/>
      <c r="BO54" s="10"/>
      <c r="BP54" s="4"/>
      <c r="BQ54" s="4"/>
      <c r="BR54" s="5"/>
    </row>
    <row r="55" spans="2:70" x14ac:dyDescent="0.25">
      <c r="B55" s="1"/>
      <c r="C55" s="6"/>
      <c r="D55" s="7"/>
      <c r="E55" s="7"/>
      <c r="F55" s="8"/>
      <c r="G55" s="1"/>
      <c r="H55" s="1"/>
      <c r="I55" s="1"/>
      <c r="J55" s="1"/>
      <c r="K55" s="1"/>
      <c r="L55" s="1"/>
      <c r="M55" s="1"/>
      <c r="O55" s="1"/>
      <c r="P55" s="1"/>
      <c r="Q55" s="1"/>
      <c r="R55" s="1"/>
      <c r="T55" s="1"/>
      <c r="U55" s="1"/>
      <c r="V55" s="1"/>
      <c r="W55" s="1"/>
      <c r="Y55" s="1"/>
      <c r="Z55" s="1"/>
      <c r="AA55" s="1"/>
      <c r="AB55" s="1"/>
      <c r="AD55" s="1"/>
      <c r="AE55" s="1"/>
      <c r="AF55" s="1"/>
      <c r="AG55" s="1"/>
      <c r="AI55" s="1"/>
      <c r="AJ55" s="1"/>
      <c r="AK55" s="1"/>
      <c r="AL55" s="1"/>
      <c r="AN55" s="1"/>
      <c r="AO55" s="1"/>
      <c r="AP55" s="1"/>
      <c r="AQ55" s="1"/>
      <c r="AR55" s="1"/>
      <c r="AT55" s="1"/>
      <c r="AU55" s="1"/>
      <c r="AV55" s="1"/>
      <c r="AW55" s="1"/>
      <c r="AX55" s="1"/>
      <c r="AZ55" s="1"/>
      <c r="BA55" s="1"/>
      <c r="BB55" s="1"/>
      <c r="BC55" s="1"/>
      <c r="BD55" s="1"/>
      <c r="BF55" s="1"/>
      <c r="BG55" s="1"/>
      <c r="BH55" s="1"/>
      <c r="BI55" s="1"/>
      <c r="BJ55" s="1"/>
      <c r="BL55" s="1"/>
      <c r="BM55" s="1"/>
      <c r="BN55" s="1"/>
      <c r="BO55" s="10"/>
      <c r="BP55" s="4"/>
      <c r="BQ55" s="4"/>
      <c r="BR55" s="5"/>
    </row>
    <row r="56" spans="2:70" x14ac:dyDescent="0.25">
      <c r="B56" s="1"/>
      <c r="C56" s="6"/>
      <c r="D56" s="7"/>
      <c r="E56" s="7"/>
      <c r="F56" s="8"/>
      <c r="G56" s="1"/>
      <c r="H56" s="1"/>
      <c r="I56" s="1"/>
      <c r="J56" s="1"/>
      <c r="K56" s="1"/>
      <c r="L56" s="1"/>
      <c r="M56" s="1"/>
      <c r="O56" s="1"/>
      <c r="P56" s="1"/>
      <c r="Q56" s="1"/>
      <c r="R56" s="1"/>
      <c r="T56" s="1"/>
      <c r="U56" s="1"/>
      <c r="V56" s="1"/>
      <c r="W56" s="1"/>
      <c r="Y56" s="1"/>
      <c r="Z56" s="1"/>
      <c r="AA56" s="1"/>
      <c r="AB56" s="1"/>
      <c r="AD56" s="1"/>
      <c r="AE56" s="1"/>
      <c r="AF56" s="1"/>
      <c r="AG56" s="1"/>
      <c r="AI56" s="1"/>
      <c r="AJ56" s="1"/>
      <c r="AK56" s="1"/>
      <c r="AL56" s="1"/>
      <c r="AN56" s="1"/>
      <c r="AO56" s="1"/>
      <c r="AP56" s="1"/>
      <c r="AQ56" s="1"/>
      <c r="AR56" s="1"/>
      <c r="AT56" s="1"/>
      <c r="AU56" s="1"/>
      <c r="AV56" s="1"/>
      <c r="AW56" s="1"/>
      <c r="AX56" s="1"/>
      <c r="AZ56" s="1"/>
      <c r="BA56" s="1"/>
      <c r="BB56" s="1"/>
      <c r="BC56" s="1"/>
      <c r="BD56" s="1"/>
      <c r="BF56" s="1"/>
      <c r="BG56" s="1"/>
      <c r="BH56" s="1"/>
      <c r="BI56" s="1"/>
      <c r="BJ56" s="1"/>
      <c r="BL56" s="1"/>
      <c r="BM56" s="1"/>
      <c r="BN56" s="1"/>
      <c r="BO56" s="10"/>
      <c r="BP56" s="4"/>
      <c r="BQ56" s="4"/>
      <c r="BR56" s="5"/>
    </row>
    <row r="57" spans="2:70" x14ac:dyDescent="0.25">
      <c r="B57" s="1"/>
      <c r="C57" s="6"/>
      <c r="D57" s="7"/>
      <c r="E57" s="7"/>
      <c r="F57" s="8"/>
      <c r="G57" s="1"/>
      <c r="H57" s="1"/>
      <c r="I57" s="1"/>
      <c r="J57" s="1"/>
      <c r="K57" s="1"/>
      <c r="L57" s="1"/>
      <c r="M57" s="1"/>
      <c r="O57" s="1"/>
      <c r="P57" s="1"/>
      <c r="Q57" s="1"/>
      <c r="R57" s="1"/>
      <c r="T57" s="1"/>
      <c r="U57" s="1"/>
      <c r="V57" s="1"/>
      <c r="W57" s="1"/>
      <c r="Y57" s="1"/>
      <c r="Z57" s="1"/>
      <c r="AA57" s="1"/>
      <c r="AB57" s="1"/>
      <c r="AD57" s="1"/>
      <c r="AE57" s="1"/>
      <c r="AF57" s="1"/>
      <c r="AG57" s="1"/>
      <c r="AI57" s="1"/>
      <c r="AJ57" s="1"/>
      <c r="AK57" s="1"/>
      <c r="AL57" s="1"/>
      <c r="AN57" s="1"/>
      <c r="AO57" s="1"/>
      <c r="AP57" s="1"/>
      <c r="AQ57" s="1"/>
      <c r="AR57" s="1"/>
      <c r="AT57" s="1"/>
      <c r="AU57" s="1"/>
      <c r="AV57" s="1"/>
      <c r="AW57" s="1"/>
      <c r="AX57" s="1"/>
      <c r="AZ57" s="1"/>
      <c r="BA57" s="1"/>
      <c r="BB57" s="1"/>
      <c r="BC57" s="1"/>
      <c r="BD57" s="1"/>
      <c r="BF57" s="1"/>
      <c r="BG57" s="1"/>
      <c r="BH57" s="1"/>
      <c r="BI57" s="1"/>
      <c r="BJ57" s="1"/>
      <c r="BL57" s="1"/>
      <c r="BM57" s="1"/>
      <c r="BN57" s="1"/>
      <c r="BO57" s="10"/>
      <c r="BP57" s="4"/>
      <c r="BQ57" s="4"/>
      <c r="BR57" s="5"/>
    </row>
    <row r="58" spans="2:70" x14ac:dyDescent="0.25">
      <c r="BR58"/>
    </row>
    <row r="59" spans="2:70" x14ac:dyDescent="0.25">
      <c r="BR59"/>
    </row>
    <row r="60" spans="2:70" x14ac:dyDescent="0.25">
      <c r="BR60"/>
    </row>
    <row r="61" spans="2:70" x14ac:dyDescent="0.25">
      <c r="BR61"/>
    </row>
    <row r="62" spans="2:70" x14ac:dyDescent="0.25">
      <c r="BR62"/>
    </row>
    <row r="63" spans="2:70" x14ac:dyDescent="0.25">
      <c r="BR63"/>
    </row>
    <row r="64" spans="2:70" x14ac:dyDescent="0.25">
      <c r="BR64"/>
    </row>
    <row r="65" spans="70:70" x14ac:dyDescent="0.25">
      <c r="BR65"/>
    </row>
    <row r="66" spans="70:70" x14ac:dyDescent="0.25">
      <c r="BR66"/>
    </row>
    <row r="67" spans="70:70" x14ac:dyDescent="0.25">
      <c r="BR67"/>
    </row>
    <row r="68" spans="70:70" x14ac:dyDescent="0.25">
      <c r="BR68"/>
    </row>
    <row r="69" spans="70:70" x14ac:dyDescent="0.25">
      <c r="BR69"/>
    </row>
    <row r="70" spans="70:70" x14ac:dyDescent="0.25">
      <c r="BR70"/>
    </row>
    <row r="71" spans="70:70" x14ac:dyDescent="0.25">
      <c r="BR71"/>
    </row>
    <row r="72" spans="70:70" x14ac:dyDescent="0.25">
      <c r="BR72"/>
    </row>
    <row r="73" spans="70:70" x14ac:dyDescent="0.25">
      <c r="BR73"/>
    </row>
    <row r="74" spans="70:70" x14ac:dyDescent="0.25">
      <c r="BR74"/>
    </row>
    <row r="75" spans="70:70" x14ac:dyDescent="0.25">
      <c r="BR75"/>
    </row>
    <row r="76" spans="70:70" x14ac:dyDescent="0.25">
      <c r="BR76"/>
    </row>
    <row r="77" spans="70:70" x14ac:dyDescent="0.25">
      <c r="BR77"/>
    </row>
    <row r="78" spans="70:70" x14ac:dyDescent="0.25">
      <c r="BR78"/>
    </row>
    <row r="79" spans="70:70" x14ac:dyDescent="0.25">
      <c r="BR79"/>
    </row>
    <row r="80" spans="70:70" x14ac:dyDescent="0.25">
      <c r="BR80"/>
    </row>
    <row r="81" spans="70:70" x14ac:dyDescent="0.25">
      <c r="BR81"/>
    </row>
    <row r="82" spans="70:70" x14ac:dyDescent="0.25">
      <c r="BR82"/>
    </row>
    <row r="83" spans="70:70" x14ac:dyDescent="0.25">
      <c r="BR83"/>
    </row>
    <row r="84" spans="70:70" x14ac:dyDescent="0.25">
      <c r="BR84"/>
    </row>
    <row r="85" spans="70:70" x14ac:dyDescent="0.25">
      <c r="BR85"/>
    </row>
    <row r="86" spans="70:70" x14ac:dyDescent="0.25">
      <c r="BR86"/>
    </row>
    <row r="87" spans="70:70" x14ac:dyDescent="0.25">
      <c r="BR87"/>
    </row>
    <row r="88" spans="70:70" x14ac:dyDescent="0.25">
      <c r="BR88"/>
    </row>
    <row r="89" spans="70:70" x14ac:dyDescent="0.25">
      <c r="BR89"/>
    </row>
    <row r="90" spans="70:70" x14ac:dyDescent="0.25">
      <c r="BR90"/>
    </row>
    <row r="91" spans="70:70" x14ac:dyDescent="0.25">
      <c r="BR91"/>
    </row>
    <row r="92" spans="70:70" x14ac:dyDescent="0.25">
      <c r="BR92"/>
    </row>
    <row r="93" spans="70:70" x14ac:dyDescent="0.25">
      <c r="BR93"/>
    </row>
    <row r="94" spans="70:70" x14ac:dyDescent="0.25">
      <c r="BR94"/>
    </row>
    <row r="95" spans="70:70" x14ac:dyDescent="0.25">
      <c r="BR95"/>
    </row>
    <row r="96" spans="70:70" x14ac:dyDescent="0.25">
      <c r="BR96"/>
    </row>
    <row r="97" spans="70:70" x14ac:dyDescent="0.25">
      <c r="BR97"/>
    </row>
    <row r="98" spans="70:70" x14ac:dyDescent="0.25">
      <c r="BR98"/>
    </row>
    <row r="99" spans="70:70" x14ac:dyDescent="0.25">
      <c r="BR99"/>
    </row>
    <row r="100" spans="70:70" x14ac:dyDescent="0.25">
      <c r="BR100"/>
    </row>
    <row r="101" spans="70:70" x14ac:dyDescent="0.25">
      <c r="BR101"/>
    </row>
    <row r="102" spans="70:70" x14ac:dyDescent="0.25">
      <c r="BR102"/>
    </row>
    <row r="103" spans="70:70" x14ac:dyDescent="0.25">
      <c r="BR103"/>
    </row>
    <row r="104" spans="70:70" x14ac:dyDescent="0.25">
      <c r="BR104"/>
    </row>
    <row r="105" spans="70:70" x14ac:dyDescent="0.25">
      <c r="BR105"/>
    </row>
    <row r="106" spans="70:70" x14ac:dyDescent="0.25">
      <c r="BR106"/>
    </row>
    <row r="107" spans="70:70" x14ac:dyDescent="0.25">
      <c r="BR107"/>
    </row>
    <row r="108" spans="70:70" x14ac:dyDescent="0.25">
      <c r="BR108"/>
    </row>
    <row r="109" spans="70:70" x14ac:dyDescent="0.25">
      <c r="BR109"/>
    </row>
    <row r="110" spans="70:70" x14ac:dyDescent="0.25">
      <c r="BR110"/>
    </row>
    <row r="111" spans="70:70" x14ac:dyDescent="0.25">
      <c r="BR111"/>
    </row>
    <row r="112" spans="70:70" x14ac:dyDescent="0.25">
      <c r="BR112"/>
    </row>
    <row r="113" spans="70:70" x14ac:dyDescent="0.25">
      <c r="BR113"/>
    </row>
    <row r="114" spans="70:70" x14ac:dyDescent="0.25">
      <c r="BR114"/>
    </row>
    <row r="115" spans="70:70" x14ac:dyDescent="0.25">
      <c r="BR115"/>
    </row>
    <row r="116" spans="70:70" x14ac:dyDescent="0.25">
      <c r="BR116"/>
    </row>
    <row r="117" spans="70:70" x14ac:dyDescent="0.25">
      <c r="BR117"/>
    </row>
    <row r="118" spans="70:70" x14ac:dyDescent="0.25">
      <c r="BR118"/>
    </row>
    <row r="119" spans="70:70" x14ac:dyDescent="0.25">
      <c r="BR119"/>
    </row>
    <row r="120" spans="70:70" x14ac:dyDescent="0.25">
      <c r="BR120"/>
    </row>
    <row r="121" spans="70:70" x14ac:dyDescent="0.25">
      <c r="BR121"/>
    </row>
    <row r="122" spans="70:70" x14ac:dyDescent="0.25">
      <c r="BR122"/>
    </row>
    <row r="123" spans="70:70" x14ac:dyDescent="0.25">
      <c r="BR123"/>
    </row>
    <row r="124" spans="70:70" x14ac:dyDescent="0.25">
      <c r="BR124"/>
    </row>
    <row r="125" spans="70:70" x14ac:dyDescent="0.25">
      <c r="BR125"/>
    </row>
    <row r="126" spans="70:70" x14ac:dyDescent="0.25">
      <c r="BR126"/>
    </row>
    <row r="127" spans="70:70" x14ac:dyDescent="0.25">
      <c r="BR127"/>
    </row>
    <row r="128" spans="70:70" x14ac:dyDescent="0.25">
      <c r="BR128"/>
    </row>
    <row r="129" spans="70:70" x14ac:dyDescent="0.25">
      <c r="BR129"/>
    </row>
    <row r="130" spans="70:70" x14ac:dyDescent="0.25">
      <c r="BR130"/>
    </row>
    <row r="131" spans="70:70" x14ac:dyDescent="0.25">
      <c r="BR131"/>
    </row>
    <row r="132" spans="70:70" x14ac:dyDescent="0.25">
      <c r="BR132"/>
    </row>
    <row r="133" spans="70:70" x14ac:dyDescent="0.25">
      <c r="BR133"/>
    </row>
    <row r="134" spans="70:70" x14ac:dyDescent="0.25">
      <c r="BR134"/>
    </row>
    <row r="135" spans="70:70" x14ac:dyDescent="0.25">
      <c r="BR135"/>
    </row>
    <row r="136" spans="70:70" x14ac:dyDescent="0.25">
      <c r="BR136"/>
    </row>
    <row r="137" spans="70:70" x14ac:dyDescent="0.25">
      <c r="BR137"/>
    </row>
    <row r="138" spans="70:70" x14ac:dyDescent="0.25">
      <c r="BR138"/>
    </row>
    <row r="139" spans="70:70" x14ac:dyDescent="0.25">
      <c r="BR139"/>
    </row>
    <row r="140" spans="70:70" x14ac:dyDescent="0.25">
      <c r="BR140"/>
    </row>
    <row r="141" spans="70:70" x14ac:dyDescent="0.25">
      <c r="BR141"/>
    </row>
    <row r="142" spans="70:70" x14ac:dyDescent="0.25">
      <c r="BR142"/>
    </row>
    <row r="143" spans="70:70" x14ac:dyDescent="0.25">
      <c r="BR143"/>
    </row>
    <row r="144" spans="70:70" x14ac:dyDescent="0.25">
      <c r="BR144"/>
    </row>
    <row r="145" spans="70:70" x14ac:dyDescent="0.25">
      <c r="BR145"/>
    </row>
    <row r="146" spans="70:70" x14ac:dyDescent="0.25">
      <c r="BR146"/>
    </row>
    <row r="147" spans="70:70" x14ac:dyDescent="0.25">
      <c r="BR147"/>
    </row>
    <row r="148" spans="70:70" x14ac:dyDescent="0.25">
      <c r="BR148"/>
    </row>
    <row r="149" spans="70:70" x14ac:dyDescent="0.25">
      <c r="BR149"/>
    </row>
    <row r="150" spans="70:70" x14ac:dyDescent="0.25">
      <c r="BR150"/>
    </row>
    <row r="151" spans="70:70" x14ac:dyDescent="0.25">
      <c r="BR151"/>
    </row>
    <row r="152" spans="70:70" x14ac:dyDescent="0.25">
      <c r="BR152"/>
    </row>
    <row r="153" spans="70:70" x14ac:dyDescent="0.25">
      <c r="BR153"/>
    </row>
    <row r="154" spans="70:70" x14ac:dyDescent="0.25">
      <c r="BR154"/>
    </row>
    <row r="155" spans="70:70" x14ac:dyDescent="0.25">
      <c r="BR155"/>
    </row>
    <row r="156" spans="70:70" x14ac:dyDescent="0.25">
      <c r="BR156"/>
    </row>
    <row r="157" spans="70:70" x14ac:dyDescent="0.25">
      <c r="BR157"/>
    </row>
    <row r="158" spans="70:70" x14ac:dyDescent="0.25">
      <c r="BR158"/>
    </row>
    <row r="159" spans="70:70" x14ac:dyDescent="0.25">
      <c r="BR159"/>
    </row>
    <row r="160" spans="70:70" x14ac:dyDescent="0.25">
      <c r="BR160"/>
    </row>
    <row r="161" spans="70:70" x14ac:dyDescent="0.25">
      <c r="BR161"/>
    </row>
    <row r="162" spans="70:70" x14ac:dyDescent="0.25">
      <c r="BR162"/>
    </row>
    <row r="163" spans="70:70" x14ac:dyDescent="0.25">
      <c r="BR163"/>
    </row>
    <row r="164" spans="70:70" x14ac:dyDescent="0.25">
      <c r="BR164"/>
    </row>
    <row r="165" spans="70:70" x14ac:dyDescent="0.25">
      <c r="BR165"/>
    </row>
    <row r="166" spans="70:70" x14ac:dyDescent="0.25">
      <c r="BR166"/>
    </row>
    <row r="167" spans="70:70" x14ac:dyDescent="0.25">
      <c r="BR167"/>
    </row>
    <row r="168" spans="70:70" x14ac:dyDescent="0.25">
      <c r="BR168"/>
    </row>
    <row r="169" spans="70:70" x14ac:dyDescent="0.25">
      <c r="BR169"/>
    </row>
    <row r="170" spans="70:70" x14ac:dyDescent="0.25">
      <c r="BR170"/>
    </row>
    <row r="171" spans="70:70" x14ac:dyDescent="0.25">
      <c r="BR171"/>
    </row>
    <row r="172" spans="70:70" x14ac:dyDescent="0.25">
      <c r="BR172"/>
    </row>
    <row r="173" spans="70:70" x14ac:dyDescent="0.25">
      <c r="BR173"/>
    </row>
    <row r="174" spans="70:70" x14ac:dyDescent="0.25">
      <c r="BR174"/>
    </row>
    <row r="175" spans="70:70" x14ac:dyDescent="0.25">
      <c r="BR175"/>
    </row>
    <row r="176" spans="70:70" x14ac:dyDescent="0.25">
      <c r="BR176"/>
    </row>
    <row r="177" spans="70:70" x14ac:dyDescent="0.25">
      <c r="BR177"/>
    </row>
    <row r="178" spans="70:70" x14ac:dyDescent="0.25">
      <c r="BR178"/>
    </row>
    <row r="179" spans="70:70" x14ac:dyDescent="0.25">
      <c r="BR179"/>
    </row>
    <row r="180" spans="70:70" x14ac:dyDescent="0.25">
      <c r="BR180"/>
    </row>
    <row r="181" spans="70:70" x14ac:dyDescent="0.25">
      <c r="BR181"/>
    </row>
    <row r="182" spans="70:70" x14ac:dyDescent="0.25">
      <c r="BR182"/>
    </row>
    <row r="183" spans="70:70" x14ac:dyDescent="0.25">
      <c r="BR183"/>
    </row>
    <row r="184" spans="70:70" x14ac:dyDescent="0.25">
      <c r="BR184"/>
    </row>
    <row r="185" spans="70:70" x14ac:dyDescent="0.25">
      <c r="BR185"/>
    </row>
    <row r="186" spans="70:70" x14ac:dyDescent="0.25">
      <c r="BR186"/>
    </row>
    <row r="187" spans="70:70" x14ac:dyDescent="0.25">
      <c r="BR187"/>
    </row>
    <row r="188" spans="70:70" x14ac:dyDescent="0.25">
      <c r="BR188"/>
    </row>
    <row r="189" spans="70:70" x14ac:dyDescent="0.25">
      <c r="BR189"/>
    </row>
    <row r="190" spans="70:70" x14ac:dyDescent="0.25">
      <c r="BR190"/>
    </row>
    <row r="191" spans="70:70" x14ac:dyDescent="0.25">
      <c r="BR191"/>
    </row>
    <row r="192" spans="70:70" x14ac:dyDescent="0.25">
      <c r="BR192"/>
    </row>
    <row r="193" spans="70:70" x14ac:dyDescent="0.25">
      <c r="BR193"/>
    </row>
    <row r="194" spans="70:70" x14ac:dyDescent="0.25">
      <c r="BR194"/>
    </row>
    <row r="195" spans="70:70" x14ac:dyDescent="0.25">
      <c r="BR195"/>
    </row>
    <row r="196" spans="70:70" x14ac:dyDescent="0.25">
      <c r="BR196"/>
    </row>
    <row r="197" spans="70:70" x14ac:dyDescent="0.25">
      <c r="BR197"/>
    </row>
    <row r="198" spans="70:70" x14ac:dyDescent="0.25">
      <c r="BR198"/>
    </row>
    <row r="199" spans="70:70" x14ac:dyDescent="0.25">
      <c r="BR199"/>
    </row>
    <row r="200" spans="70:70" x14ac:dyDescent="0.25">
      <c r="BR200"/>
    </row>
    <row r="201" spans="70:70" x14ac:dyDescent="0.25">
      <c r="BR201"/>
    </row>
    <row r="202" spans="70:70" x14ac:dyDescent="0.25">
      <c r="BR202"/>
    </row>
    <row r="203" spans="70:70" x14ac:dyDescent="0.25">
      <c r="BR203"/>
    </row>
    <row r="204" spans="70:70" x14ac:dyDescent="0.25">
      <c r="BR204"/>
    </row>
    <row r="205" spans="70:70" x14ac:dyDescent="0.25">
      <c r="BR205"/>
    </row>
    <row r="206" spans="70:70" x14ac:dyDescent="0.25">
      <c r="BR206"/>
    </row>
    <row r="207" spans="70:70" x14ac:dyDescent="0.25">
      <c r="BR207"/>
    </row>
    <row r="208" spans="70:70" x14ac:dyDescent="0.25">
      <c r="BR208"/>
    </row>
    <row r="209" spans="70:70" x14ac:dyDescent="0.25">
      <c r="BR209"/>
    </row>
    <row r="210" spans="70:70" x14ac:dyDescent="0.25">
      <c r="BR210"/>
    </row>
    <row r="211" spans="70:70" x14ac:dyDescent="0.25">
      <c r="BR211"/>
    </row>
    <row r="212" spans="70:70" x14ac:dyDescent="0.25">
      <c r="BR212"/>
    </row>
    <row r="213" spans="70:70" x14ac:dyDescent="0.25">
      <c r="BR213"/>
    </row>
    <row r="214" spans="70:70" x14ac:dyDescent="0.25">
      <c r="BR214"/>
    </row>
    <row r="215" spans="70:70" x14ac:dyDescent="0.25">
      <c r="BR215"/>
    </row>
    <row r="216" spans="70:70" x14ac:dyDescent="0.25">
      <c r="BR216"/>
    </row>
    <row r="217" spans="70:70" x14ac:dyDescent="0.25">
      <c r="BR217"/>
    </row>
    <row r="218" spans="70:70" x14ac:dyDescent="0.25">
      <c r="BR218"/>
    </row>
    <row r="219" spans="70:70" x14ac:dyDescent="0.25">
      <c r="BR219"/>
    </row>
    <row r="220" spans="70:70" x14ac:dyDescent="0.25">
      <c r="BR220"/>
    </row>
    <row r="221" spans="70:70" x14ac:dyDescent="0.25">
      <c r="BR221"/>
    </row>
    <row r="222" spans="70:70" x14ac:dyDescent="0.25">
      <c r="BR222"/>
    </row>
    <row r="223" spans="70:70" x14ac:dyDescent="0.25">
      <c r="BR223"/>
    </row>
    <row r="224" spans="70:70" x14ac:dyDescent="0.25">
      <c r="BR224"/>
    </row>
    <row r="225" spans="70:70" x14ac:dyDescent="0.25">
      <c r="BR225"/>
    </row>
    <row r="226" spans="70:70" x14ac:dyDescent="0.25">
      <c r="BR226"/>
    </row>
    <row r="227" spans="70:70" x14ac:dyDescent="0.25">
      <c r="BR227"/>
    </row>
    <row r="228" spans="70:70" x14ac:dyDescent="0.25">
      <c r="BR228"/>
    </row>
    <row r="229" spans="70:70" x14ac:dyDescent="0.25">
      <c r="BR229"/>
    </row>
    <row r="230" spans="70:70" x14ac:dyDescent="0.25">
      <c r="BR230"/>
    </row>
    <row r="231" spans="70:70" x14ac:dyDescent="0.25">
      <c r="BR231"/>
    </row>
    <row r="232" spans="70:70" x14ac:dyDescent="0.25">
      <c r="BR232"/>
    </row>
    <row r="233" spans="70:70" x14ac:dyDescent="0.25">
      <c r="BR233"/>
    </row>
    <row r="234" spans="70:70" x14ac:dyDescent="0.25">
      <c r="BR234"/>
    </row>
    <row r="235" spans="70:70" x14ac:dyDescent="0.25">
      <c r="BR235"/>
    </row>
    <row r="236" spans="70:70" x14ac:dyDescent="0.25">
      <c r="BR236"/>
    </row>
    <row r="237" spans="70:70" x14ac:dyDescent="0.25">
      <c r="BR237"/>
    </row>
    <row r="238" spans="70:70" x14ac:dyDescent="0.25">
      <c r="BR238"/>
    </row>
    <row r="239" spans="70:70" x14ac:dyDescent="0.25">
      <c r="BR239"/>
    </row>
    <row r="240" spans="70:70" x14ac:dyDescent="0.25">
      <c r="BR240"/>
    </row>
    <row r="241" spans="70:70" x14ac:dyDescent="0.25">
      <c r="BR241"/>
    </row>
    <row r="242" spans="70:70" x14ac:dyDescent="0.25">
      <c r="BR242"/>
    </row>
    <row r="243" spans="70:70" x14ac:dyDescent="0.25">
      <c r="BR243"/>
    </row>
    <row r="244" spans="70:70" x14ac:dyDescent="0.25">
      <c r="BR244"/>
    </row>
    <row r="245" spans="70:70" x14ac:dyDescent="0.25">
      <c r="BR245"/>
    </row>
    <row r="246" spans="70:70" x14ac:dyDescent="0.25">
      <c r="BR246"/>
    </row>
    <row r="247" spans="70:70" x14ac:dyDescent="0.25">
      <c r="BR247"/>
    </row>
    <row r="248" spans="70:70" x14ac:dyDescent="0.25">
      <c r="BR248"/>
    </row>
    <row r="249" spans="70:70" x14ac:dyDescent="0.25">
      <c r="BR249"/>
    </row>
    <row r="250" spans="70:70" x14ac:dyDescent="0.25">
      <c r="BR250"/>
    </row>
    <row r="251" spans="70:70" x14ac:dyDescent="0.25">
      <c r="BR251"/>
    </row>
    <row r="252" spans="70:70" x14ac:dyDescent="0.25">
      <c r="BR252"/>
    </row>
    <row r="253" spans="70:70" x14ac:dyDescent="0.25">
      <c r="BR253"/>
    </row>
    <row r="254" spans="70:70" x14ac:dyDescent="0.25">
      <c r="BR254"/>
    </row>
    <row r="255" spans="70:70" x14ac:dyDescent="0.25">
      <c r="BR255"/>
    </row>
    <row r="256" spans="70:70" x14ac:dyDescent="0.25">
      <c r="BR256"/>
    </row>
    <row r="257" spans="70:70" x14ac:dyDescent="0.25">
      <c r="BR257"/>
    </row>
    <row r="258" spans="70:70" x14ac:dyDescent="0.25">
      <c r="BR258"/>
    </row>
    <row r="259" spans="70:70" x14ac:dyDescent="0.25">
      <c r="BR259"/>
    </row>
    <row r="260" spans="70:70" x14ac:dyDescent="0.25">
      <c r="BR260"/>
    </row>
    <row r="261" spans="70:70" x14ac:dyDescent="0.25">
      <c r="BR261"/>
    </row>
    <row r="262" spans="70:70" x14ac:dyDescent="0.25">
      <c r="BR262"/>
    </row>
    <row r="263" spans="70:70" x14ac:dyDescent="0.25">
      <c r="BR263"/>
    </row>
    <row r="264" spans="70:70" x14ac:dyDescent="0.25">
      <c r="BR264"/>
    </row>
    <row r="265" spans="70:70" x14ac:dyDescent="0.25">
      <c r="BR265"/>
    </row>
    <row r="266" spans="70:70" x14ac:dyDescent="0.25">
      <c r="BR266"/>
    </row>
    <row r="267" spans="70:70" x14ac:dyDescent="0.25">
      <c r="BR267"/>
    </row>
    <row r="268" spans="70:70" x14ac:dyDescent="0.25">
      <c r="BR268"/>
    </row>
    <row r="269" spans="70:70" x14ac:dyDescent="0.25">
      <c r="BR269"/>
    </row>
    <row r="270" spans="70:70" x14ac:dyDescent="0.25">
      <c r="BR270"/>
    </row>
    <row r="271" spans="70:70" x14ac:dyDescent="0.25">
      <c r="BR271"/>
    </row>
    <row r="272" spans="70:70" x14ac:dyDescent="0.25">
      <c r="BR272"/>
    </row>
    <row r="273" spans="70:70" x14ac:dyDescent="0.25">
      <c r="BR273"/>
    </row>
    <row r="274" spans="70:70" x14ac:dyDescent="0.25">
      <c r="BR274"/>
    </row>
    <row r="275" spans="70:70" x14ac:dyDescent="0.25">
      <c r="BR275"/>
    </row>
    <row r="276" spans="70:70" x14ac:dyDescent="0.25">
      <c r="BR276"/>
    </row>
    <row r="277" spans="70:70" x14ac:dyDescent="0.25">
      <c r="BR277"/>
    </row>
    <row r="278" spans="70:70" x14ac:dyDescent="0.25">
      <c r="BR278"/>
    </row>
    <row r="279" spans="70:70" x14ac:dyDescent="0.25">
      <c r="BR279"/>
    </row>
    <row r="280" spans="70:70" x14ac:dyDescent="0.25">
      <c r="BR280"/>
    </row>
    <row r="281" spans="70:70" x14ac:dyDescent="0.25">
      <c r="BR281"/>
    </row>
    <row r="282" spans="70:70" x14ac:dyDescent="0.25">
      <c r="BR282"/>
    </row>
    <row r="283" spans="70:70" x14ac:dyDescent="0.25">
      <c r="BR283"/>
    </row>
    <row r="284" spans="70:70" x14ac:dyDescent="0.25">
      <c r="BR284"/>
    </row>
    <row r="285" spans="70:70" x14ac:dyDescent="0.25">
      <c r="BR285"/>
    </row>
    <row r="286" spans="70:70" x14ac:dyDescent="0.25">
      <c r="BR286"/>
    </row>
    <row r="287" spans="70:70" x14ac:dyDescent="0.25">
      <c r="BR287"/>
    </row>
    <row r="288" spans="70:70" x14ac:dyDescent="0.25">
      <c r="BR288"/>
    </row>
    <row r="289" spans="70:70" x14ac:dyDescent="0.25">
      <c r="BR289"/>
    </row>
    <row r="290" spans="70:70" x14ac:dyDescent="0.25">
      <c r="BR290"/>
    </row>
    <row r="291" spans="70:70" x14ac:dyDescent="0.25">
      <c r="BR291"/>
    </row>
    <row r="292" spans="70:70" x14ac:dyDescent="0.25">
      <c r="BR292"/>
    </row>
    <row r="293" spans="70:70" x14ac:dyDescent="0.25">
      <c r="BR293"/>
    </row>
    <row r="294" spans="70:70" x14ac:dyDescent="0.25">
      <c r="BR294"/>
    </row>
    <row r="295" spans="70:70" x14ac:dyDescent="0.25">
      <c r="BR295"/>
    </row>
    <row r="296" spans="70:70" x14ac:dyDescent="0.25">
      <c r="BR296"/>
    </row>
    <row r="297" spans="70:70" x14ac:dyDescent="0.25">
      <c r="BR297"/>
    </row>
    <row r="298" spans="70:70" x14ac:dyDescent="0.25">
      <c r="BR298"/>
    </row>
    <row r="299" spans="70:70" x14ac:dyDescent="0.25">
      <c r="BR299"/>
    </row>
    <row r="300" spans="70:70" x14ac:dyDescent="0.25">
      <c r="BR300"/>
    </row>
    <row r="301" spans="70:70" x14ac:dyDescent="0.25">
      <c r="BR301"/>
    </row>
    <row r="302" spans="70:70" x14ac:dyDescent="0.25">
      <c r="BR302"/>
    </row>
    <row r="303" spans="70:70" x14ac:dyDescent="0.25">
      <c r="BR303"/>
    </row>
    <row r="304" spans="70:70" x14ac:dyDescent="0.25">
      <c r="BR304"/>
    </row>
    <row r="305" spans="70:70" x14ac:dyDescent="0.25">
      <c r="BR305"/>
    </row>
    <row r="306" spans="70:70" x14ac:dyDescent="0.25">
      <c r="BR306"/>
    </row>
    <row r="307" spans="70:70" x14ac:dyDescent="0.25">
      <c r="BR307"/>
    </row>
    <row r="308" spans="70:70" x14ac:dyDescent="0.25">
      <c r="BR308"/>
    </row>
    <row r="309" spans="70:70" x14ac:dyDescent="0.25">
      <c r="BR309"/>
    </row>
    <row r="310" spans="70:70" x14ac:dyDescent="0.25">
      <c r="BR310"/>
    </row>
    <row r="311" spans="70:70" x14ac:dyDescent="0.25">
      <c r="BR311"/>
    </row>
    <row r="312" spans="70:70" x14ac:dyDescent="0.25">
      <c r="BR312"/>
    </row>
    <row r="313" spans="70:70" x14ac:dyDescent="0.25">
      <c r="BR313"/>
    </row>
    <row r="314" spans="70:70" x14ac:dyDescent="0.25">
      <c r="BR314"/>
    </row>
    <row r="315" spans="70:70" x14ac:dyDescent="0.25">
      <c r="BR315"/>
    </row>
    <row r="316" spans="70:70" x14ac:dyDescent="0.25">
      <c r="BR316"/>
    </row>
    <row r="317" spans="70:70" x14ac:dyDescent="0.25">
      <c r="BR317"/>
    </row>
    <row r="318" spans="70:70" x14ac:dyDescent="0.25">
      <c r="BR318"/>
    </row>
    <row r="319" spans="70:70" x14ac:dyDescent="0.25">
      <c r="BR319"/>
    </row>
    <row r="320" spans="70:70" x14ac:dyDescent="0.25">
      <c r="BR320"/>
    </row>
    <row r="321" spans="70:70" x14ac:dyDescent="0.25">
      <c r="BR321"/>
    </row>
    <row r="322" spans="70:70" x14ac:dyDescent="0.25">
      <c r="BR322"/>
    </row>
    <row r="323" spans="70:70" x14ac:dyDescent="0.25">
      <c r="BR323"/>
    </row>
    <row r="324" spans="70:70" x14ac:dyDescent="0.25">
      <c r="BR324"/>
    </row>
    <row r="325" spans="70:70" x14ac:dyDescent="0.25">
      <c r="BR325"/>
    </row>
    <row r="326" spans="70:70" x14ac:dyDescent="0.25">
      <c r="BR326"/>
    </row>
    <row r="327" spans="70:70" x14ac:dyDescent="0.25">
      <c r="BR327"/>
    </row>
    <row r="328" spans="70:70" x14ac:dyDescent="0.25">
      <c r="BR328"/>
    </row>
    <row r="329" spans="70:70" x14ac:dyDescent="0.25">
      <c r="BR329"/>
    </row>
    <row r="330" spans="70:70" x14ac:dyDescent="0.25">
      <c r="BR330"/>
    </row>
    <row r="331" spans="70:70" x14ac:dyDescent="0.25">
      <c r="BR331"/>
    </row>
    <row r="332" spans="70:70" x14ac:dyDescent="0.25">
      <c r="BR332"/>
    </row>
    <row r="333" spans="70:70" x14ac:dyDescent="0.25">
      <c r="BR333"/>
    </row>
    <row r="334" spans="70:70" x14ac:dyDescent="0.25">
      <c r="BR334"/>
    </row>
    <row r="335" spans="70:70" x14ac:dyDescent="0.25">
      <c r="BR335"/>
    </row>
    <row r="336" spans="70:70" x14ac:dyDescent="0.25">
      <c r="BR336"/>
    </row>
    <row r="337" spans="70:70" x14ac:dyDescent="0.25">
      <c r="BR337"/>
    </row>
    <row r="338" spans="70:70" x14ac:dyDescent="0.25">
      <c r="BR338"/>
    </row>
    <row r="339" spans="70:70" x14ac:dyDescent="0.25">
      <c r="BR339"/>
    </row>
    <row r="340" spans="70:70" x14ac:dyDescent="0.25">
      <c r="BR340"/>
    </row>
    <row r="341" spans="70:70" x14ac:dyDescent="0.25">
      <c r="BR341"/>
    </row>
    <row r="342" spans="70:70" x14ac:dyDescent="0.25">
      <c r="BR342"/>
    </row>
    <row r="343" spans="70:70" x14ac:dyDescent="0.25">
      <c r="BR343"/>
    </row>
    <row r="344" spans="70:70" x14ac:dyDescent="0.25">
      <c r="BR344"/>
    </row>
    <row r="345" spans="70:70" x14ac:dyDescent="0.25">
      <c r="BR345"/>
    </row>
    <row r="346" spans="70:70" x14ac:dyDescent="0.25">
      <c r="BR346"/>
    </row>
    <row r="347" spans="70:70" x14ac:dyDescent="0.25">
      <c r="BR347"/>
    </row>
    <row r="348" spans="70:70" x14ac:dyDescent="0.25">
      <c r="BR348"/>
    </row>
    <row r="349" spans="70:70" x14ac:dyDescent="0.25">
      <c r="BR349"/>
    </row>
    <row r="350" spans="70:70" x14ac:dyDescent="0.25">
      <c r="BR350"/>
    </row>
    <row r="351" spans="70:70" x14ac:dyDescent="0.25">
      <c r="BR351"/>
    </row>
    <row r="352" spans="70:70" x14ac:dyDescent="0.25">
      <c r="BR352"/>
    </row>
    <row r="353" spans="70:70" x14ac:dyDescent="0.25">
      <c r="BR353"/>
    </row>
    <row r="354" spans="70:70" x14ac:dyDescent="0.25">
      <c r="BR354"/>
    </row>
    <row r="355" spans="70:70" x14ac:dyDescent="0.25">
      <c r="BR355"/>
    </row>
    <row r="356" spans="70:70" x14ac:dyDescent="0.25">
      <c r="BR356"/>
    </row>
    <row r="357" spans="70:70" x14ac:dyDescent="0.25">
      <c r="BR357"/>
    </row>
    <row r="358" spans="70:70" x14ac:dyDescent="0.25">
      <c r="BR358"/>
    </row>
    <row r="359" spans="70:70" x14ac:dyDescent="0.25">
      <c r="BR359"/>
    </row>
    <row r="360" spans="70:70" x14ac:dyDescent="0.25">
      <c r="BR360"/>
    </row>
    <row r="361" spans="70:70" x14ac:dyDescent="0.25">
      <c r="BR361"/>
    </row>
    <row r="362" spans="70:70" x14ac:dyDescent="0.25">
      <c r="BR362"/>
    </row>
    <row r="363" spans="70:70" x14ac:dyDescent="0.25">
      <c r="BR363"/>
    </row>
    <row r="364" spans="70:70" x14ac:dyDescent="0.25">
      <c r="BR364"/>
    </row>
    <row r="365" spans="70:70" x14ac:dyDescent="0.25">
      <c r="BR365"/>
    </row>
    <row r="366" spans="70:70" x14ac:dyDescent="0.25">
      <c r="BR366"/>
    </row>
    <row r="367" spans="70:70" x14ac:dyDescent="0.25">
      <c r="BR367"/>
    </row>
    <row r="368" spans="70:70" x14ac:dyDescent="0.25">
      <c r="BR368"/>
    </row>
    <row r="369" spans="70:70" x14ac:dyDescent="0.25">
      <c r="BR369"/>
    </row>
    <row r="370" spans="70:70" x14ac:dyDescent="0.25">
      <c r="BR370"/>
    </row>
    <row r="371" spans="70:70" x14ac:dyDescent="0.25">
      <c r="BR371"/>
    </row>
    <row r="372" spans="70:70" x14ac:dyDescent="0.25">
      <c r="BR372"/>
    </row>
    <row r="373" spans="70:70" x14ac:dyDescent="0.25">
      <c r="BR373"/>
    </row>
    <row r="374" spans="70:70" x14ac:dyDescent="0.25">
      <c r="BR374"/>
    </row>
    <row r="375" spans="70:70" x14ac:dyDescent="0.25">
      <c r="BR375"/>
    </row>
    <row r="376" spans="70:70" x14ac:dyDescent="0.25">
      <c r="BR376"/>
    </row>
    <row r="377" spans="70:70" x14ac:dyDescent="0.25">
      <c r="BR377"/>
    </row>
    <row r="378" spans="70:70" x14ac:dyDescent="0.25">
      <c r="BR378"/>
    </row>
    <row r="379" spans="70:70" x14ac:dyDescent="0.25">
      <c r="BR379"/>
    </row>
    <row r="380" spans="70:70" x14ac:dyDescent="0.25">
      <c r="BR380"/>
    </row>
    <row r="381" spans="70:70" x14ac:dyDescent="0.25">
      <c r="BR381"/>
    </row>
    <row r="382" spans="70:70" x14ac:dyDescent="0.25">
      <c r="BR382"/>
    </row>
    <row r="383" spans="70:70" x14ac:dyDescent="0.25">
      <c r="BR383"/>
    </row>
    <row r="384" spans="70:70" x14ac:dyDescent="0.25">
      <c r="BR384"/>
    </row>
    <row r="385" spans="70:70" x14ac:dyDescent="0.25">
      <c r="BR385"/>
    </row>
    <row r="386" spans="70:70" x14ac:dyDescent="0.25">
      <c r="BR386"/>
    </row>
    <row r="387" spans="70:70" x14ac:dyDescent="0.25">
      <c r="BR387"/>
    </row>
    <row r="388" spans="70:70" x14ac:dyDescent="0.25">
      <c r="BR388"/>
    </row>
    <row r="389" spans="70:70" x14ac:dyDescent="0.25">
      <c r="BR389"/>
    </row>
    <row r="390" spans="70:70" x14ac:dyDescent="0.25">
      <c r="BR390"/>
    </row>
    <row r="391" spans="70:70" x14ac:dyDescent="0.25">
      <c r="BR391"/>
    </row>
    <row r="392" spans="70:70" x14ac:dyDescent="0.25">
      <c r="BR392"/>
    </row>
    <row r="393" spans="70:70" x14ac:dyDescent="0.25">
      <c r="BR393"/>
    </row>
    <row r="394" spans="70:70" x14ac:dyDescent="0.25">
      <c r="BR394"/>
    </row>
    <row r="395" spans="70:70" x14ac:dyDescent="0.25">
      <c r="BR395"/>
    </row>
    <row r="396" spans="70:70" x14ac:dyDescent="0.25">
      <c r="BR396"/>
    </row>
    <row r="397" spans="70:70" x14ac:dyDescent="0.25">
      <c r="BR397"/>
    </row>
    <row r="398" spans="70:70" x14ac:dyDescent="0.25">
      <c r="BR398"/>
    </row>
    <row r="399" spans="70:70" x14ac:dyDescent="0.25">
      <c r="BR399"/>
    </row>
    <row r="400" spans="70:70" x14ac:dyDescent="0.25">
      <c r="BR400"/>
    </row>
    <row r="401" spans="70:70" x14ac:dyDescent="0.25">
      <c r="BR401"/>
    </row>
    <row r="402" spans="70:70" x14ac:dyDescent="0.25">
      <c r="BR402"/>
    </row>
    <row r="403" spans="70:70" x14ac:dyDescent="0.25">
      <c r="BR403"/>
    </row>
    <row r="404" spans="70:70" x14ac:dyDescent="0.25">
      <c r="BR404"/>
    </row>
    <row r="405" spans="70:70" x14ac:dyDescent="0.25">
      <c r="BR405"/>
    </row>
    <row r="406" spans="70:70" x14ac:dyDescent="0.25">
      <c r="BR406"/>
    </row>
    <row r="407" spans="70:70" x14ac:dyDescent="0.25">
      <c r="BR407"/>
    </row>
    <row r="408" spans="70:70" x14ac:dyDescent="0.25">
      <c r="BR408"/>
    </row>
    <row r="409" spans="70:70" x14ac:dyDescent="0.25">
      <c r="BR409"/>
    </row>
    <row r="410" spans="70:70" x14ac:dyDescent="0.25">
      <c r="BR410"/>
    </row>
    <row r="411" spans="70:70" x14ac:dyDescent="0.25">
      <c r="BR411"/>
    </row>
    <row r="412" spans="70:70" x14ac:dyDescent="0.25">
      <c r="BR412"/>
    </row>
    <row r="413" spans="70:70" x14ac:dyDescent="0.25">
      <c r="BR413"/>
    </row>
    <row r="414" spans="70:70" x14ac:dyDescent="0.25">
      <c r="BR414"/>
    </row>
    <row r="415" spans="70:70" x14ac:dyDescent="0.25">
      <c r="BR415"/>
    </row>
    <row r="416" spans="70:70" x14ac:dyDescent="0.25">
      <c r="BR416"/>
    </row>
    <row r="417" spans="70:70" x14ac:dyDescent="0.25">
      <c r="BR417"/>
    </row>
    <row r="418" spans="70:70" x14ac:dyDescent="0.25">
      <c r="BR418"/>
    </row>
    <row r="419" spans="70:70" x14ac:dyDescent="0.25">
      <c r="BR419"/>
    </row>
    <row r="420" spans="70:70" x14ac:dyDescent="0.25">
      <c r="BR420"/>
    </row>
    <row r="421" spans="70:70" x14ac:dyDescent="0.25">
      <c r="BR421"/>
    </row>
    <row r="422" spans="70:70" x14ac:dyDescent="0.25">
      <c r="BR422"/>
    </row>
    <row r="423" spans="70:70" x14ac:dyDescent="0.25">
      <c r="BR423"/>
    </row>
    <row r="424" spans="70:70" x14ac:dyDescent="0.25">
      <c r="BR424"/>
    </row>
    <row r="425" spans="70:70" x14ac:dyDescent="0.25">
      <c r="BR425"/>
    </row>
    <row r="426" spans="70:70" x14ac:dyDescent="0.25">
      <c r="BR426"/>
    </row>
    <row r="427" spans="70:70" x14ac:dyDescent="0.25">
      <c r="BR427"/>
    </row>
    <row r="428" spans="70:70" x14ac:dyDescent="0.25">
      <c r="BR428"/>
    </row>
    <row r="429" spans="70:70" x14ac:dyDescent="0.25">
      <c r="BR429"/>
    </row>
    <row r="430" spans="70:70" x14ac:dyDescent="0.25">
      <c r="BR430"/>
    </row>
    <row r="431" spans="70:70" x14ac:dyDescent="0.25">
      <c r="BR431"/>
    </row>
    <row r="432" spans="70:70" x14ac:dyDescent="0.25">
      <c r="BR432"/>
    </row>
    <row r="433" spans="70:70" x14ac:dyDescent="0.25">
      <c r="BR433"/>
    </row>
    <row r="434" spans="70:70" x14ac:dyDescent="0.25">
      <c r="BR434"/>
    </row>
    <row r="435" spans="70:70" x14ac:dyDescent="0.25">
      <c r="BR435"/>
    </row>
    <row r="436" spans="70:70" x14ac:dyDescent="0.25">
      <c r="BR436"/>
    </row>
    <row r="437" spans="70:70" x14ac:dyDescent="0.25">
      <c r="BR437"/>
    </row>
    <row r="438" spans="70:70" x14ac:dyDescent="0.25">
      <c r="BR438"/>
    </row>
    <row r="439" spans="70:70" x14ac:dyDescent="0.25">
      <c r="BR439"/>
    </row>
    <row r="440" spans="70:70" x14ac:dyDescent="0.25">
      <c r="BR440"/>
    </row>
    <row r="441" spans="70:70" x14ac:dyDescent="0.25">
      <c r="BR441"/>
    </row>
    <row r="442" spans="70:70" x14ac:dyDescent="0.25">
      <c r="BR442"/>
    </row>
    <row r="443" spans="70:70" x14ac:dyDescent="0.25">
      <c r="BR443"/>
    </row>
    <row r="444" spans="70:70" x14ac:dyDescent="0.25">
      <c r="BR444"/>
    </row>
    <row r="445" spans="70:70" x14ac:dyDescent="0.25">
      <c r="BR445"/>
    </row>
    <row r="446" spans="70:70" x14ac:dyDescent="0.25">
      <c r="BR446"/>
    </row>
    <row r="447" spans="70:70" x14ac:dyDescent="0.25">
      <c r="BR447"/>
    </row>
    <row r="448" spans="70:70" x14ac:dyDescent="0.25">
      <c r="BR448"/>
    </row>
    <row r="449" spans="70:70" x14ac:dyDescent="0.25">
      <c r="BR449"/>
    </row>
    <row r="450" spans="70:70" x14ac:dyDescent="0.25">
      <c r="BR450"/>
    </row>
    <row r="451" spans="70:70" x14ac:dyDescent="0.25">
      <c r="BR451"/>
    </row>
    <row r="452" spans="70:70" x14ac:dyDescent="0.25">
      <c r="BR452"/>
    </row>
    <row r="453" spans="70:70" x14ac:dyDescent="0.25">
      <c r="BR453"/>
    </row>
    <row r="454" spans="70:70" x14ac:dyDescent="0.25">
      <c r="BR454"/>
    </row>
    <row r="455" spans="70:70" x14ac:dyDescent="0.25">
      <c r="BR455"/>
    </row>
    <row r="456" spans="70:70" x14ac:dyDescent="0.25">
      <c r="BR456"/>
    </row>
    <row r="457" spans="70:70" x14ac:dyDescent="0.25">
      <c r="BR457"/>
    </row>
    <row r="458" spans="70:70" x14ac:dyDescent="0.25">
      <c r="BR458"/>
    </row>
    <row r="459" spans="70:70" x14ac:dyDescent="0.25">
      <c r="BR459"/>
    </row>
    <row r="460" spans="70:70" x14ac:dyDescent="0.25">
      <c r="BR460"/>
    </row>
    <row r="461" spans="70:70" x14ac:dyDescent="0.25">
      <c r="BR461"/>
    </row>
    <row r="462" spans="70:70" x14ac:dyDescent="0.25">
      <c r="BR462"/>
    </row>
    <row r="463" spans="70:70" x14ac:dyDescent="0.25">
      <c r="BR463"/>
    </row>
    <row r="464" spans="70:70" x14ac:dyDescent="0.25">
      <c r="BR464"/>
    </row>
    <row r="465" spans="70:70" x14ac:dyDescent="0.25">
      <c r="BR465"/>
    </row>
    <row r="466" spans="70:70" x14ac:dyDescent="0.25">
      <c r="BR466"/>
    </row>
    <row r="467" spans="70:70" x14ac:dyDescent="0.25">
      <c r="BR467"/>
    </row>
    <row r="468" spans="70:70" x14ac:dyDescent="0.25">
      <c r="BR468"/>
    </row>
    <row r="469" spans="70:70" x14ac:dyDescent="0.25">
      <c r="BR469"/>
    </row>
    <row r="470" spans="70:70" x14ac:dyDescent="0.25">
      <c r="BR470"/>
    </row>
    <row r="471" spans="70:70" x14ac:dyDescent="0.25">
      <c r="BR471"/>
    </row>
    <row r="472" spans="70:70" x14ac:dyDescent="0.25">
      <c r="BR472"/>
    </row>
    <row r="473" spans="70:70" x14ac:dyDescent="0.25">
      <c r="BR473"/>
    </row>
    <row r="474" spans="70:70" x14ac:dyDescent="0.25">
      <c r="BR474"/>
    </row>
    <row r="475" spans="70:70" x14ac:dyDescent="0.25">
      <c r="BR475"/>
    </row>
    <row r="476" spans="70:70" x14ac:dyDescent="0.25">
      <c r="BR476"/>
    </row>
    <row r="477" spans="70:70" x14ac:dyDescent="0.25">
      <c r="BR477"/>
    </row>
    <row r="478" spans="70:70" x14ac:dyDescent="0.25">
      <c r="BR478"/>
    </row>
    <row r="479" spans="70:70" x14ac:dyDescent="0.25">
      <c r="BR479"/>
    </row>
    <row r="480" spans="70:70" x14ac:dyDescent="0.25">
      <c r="BR480"/>
    </row>
    <row r="481" spans="70:70" x14ac:dyDescent="0.25">
      <c r="BR481"/>
    </row>
    <row r="482" spans="70:70" x14ac:dyDescent="0.25">
      <c r="BR482"/>
    </row>
    <row r="483" spans="70:70" x14ac:dyDescent="0.25">
      <c r="BR483"/>
    </row>
    <row r="484" spans="70:70" x14ac:dyDescent="0.25">
      <c r="BR484"/>
    </row>
    <row r="485" spans="70:70" x14ac:dyDescent="0.25">
      <c r="BR485"/>
    </row>
    <row r="486" spans="70:70" x14ac:dyDescent="0.25">
      <c r="BR486"/>
    </row>
    <row r="487" spans="70:70" x14ac:dyDescent="0.25">
      <c r="BR487"/>
    </row>
    <row r="488" spans="70:70" x14ac:dyDescent="0.25">
      <c r="BR488"/>
    </row>
    <row r="489" spans="70:70" x14ac:dyDescent="0.25">
      <c r="BR489"/>
    </row>
    <row r="490" spans="70:70" x14ac:dyDescent="0.25">
      <c r="BR490"/>
    </row>
    <row r="491" spans="70:70" x14ac:dyDescent="0.25">
      <c r="BR491"/>
    </row>
    <row r="492" spans="70:70" x14ac:dyDescent="0.25">
      <c r="BR492"/>
    </row>
    <row r="493" spans="70:70" x14ac:dyDescent="0.25">
      <c r="BR493"/>
    </row>
    <row r="494" spans="70:70" x14ac:dyDescent="0.25">
      <c r="BR494"/>
    </row>
    <row r="495" spans="70:70" x14ac:dyDescent="0.25">
      <c r="BR495"/>
    </row>
    <row r="496" spans="70:70" x14ac:dyDescent="0.25">
      <c r="BR496"/>
    </row>
    <row r="497" spans="70:70" x14ac:dyDescent="0.25">
      <c r="BR497"/>
    </row>
    <row r="498" spans="70:70" x14ac:dyDescent="0.25">
      <c r="BR498"/>
    </row>
    <row r="499" spans="70:70" x14ac:dyDescent="0.25">
      <c r="BR499"/>
    </row>
    <row r="500" spans="70:70" x14ac:dyDescent="0.25">
      <c r="BR500"/>
    </row>
    <row r="501" spans="70:70" x14ac:dyDescent="0.25">
      <c r="BR501"/>
    </row>
    <row r="502" spans="70:70" x14ac:dyDescent="0.25">
      <c r="BR502"/>
    </row>
    <row r="503" spans="70:70" x14ac:dyDescent="0.25">
      <c r="BR503"/>
    </row>
    <row r="504" spans="70:70" x14ac:dyDescent="0.25">
      <c r="BR504"/>
    </row>
    <row r="505" spans="70:70" x14ac:dyDescent="0.25">
      <c r="BR505"/>
    </row>
    <row r="506" spans="70:70" x14ac:dyDescent="0.25">
      <c r="BR506"/>
    </row>
    <row r="507" spans="70:70" x14ac:dyDescent="0.25">
      <c r="BR507"/>
    </row>
    <row r="508" spans="70:70" x14ac:dyDescent="0.25">
      <c r="BR508"/>
    </row>
    <row r="509" spans="70:70" x14ac:dyDescent="0.25">
      <c r="BR509"/>
    </row>
    <row r="510" spans="70:70" x14ac:dyDescent="0.25">
      <c r="BR510"/>
    </row>
    <row r="511" spans="70:70" x14ac:dyDescent="0.25">
      <c r="BR511"/>
    </row>
    <row r="512" spans="70:70" x14ac:dyDescent="0.25">
      <c r="BR512"/>
    </row>
    <row r="513" spans="70:70" x14ac:dyDescent="0.25">
      <c r="BR513"/>
    </row>
    <row r="514" spans="70:70" x14ac:dyDescent="0.25">
      <c r="BR514"/>
    </row>
    <row r="515" spans="70:70" x14ac:dyDescent="0.25">
      <c r="BR515"/>
    </row>
    <row r="516" spans="70:70" x14ac:dyDescent="0.25">
      <c r="BR516"/>
    </row>
    <row r="517" spans="70:70" x14ac:dyDescent="0.25">
      <c r="BR517"/>
    </row>
    <row r="518" spans="70:70" x14ac:dyDescent="0.25">
      <c r="BR518"/>
    </row>
    <row r="519" spans="70:70" x14ac:dyDescent="0.25">
      <c r="BR519"/>
    </row>
    <row r="520" spans="70:70" x14ac:dyDescent="0.25">
      <c r="BR520"/>
    </row>
    <row r="521" spans="70:70" x14ac:dyDescent="0.25">
      <c r="BR521"/>
    </row>
    <row r="522" spans="70:70" x14ac:dyDescent="0.25">
      <c r="BR522"/>
    </row>
    <row r="523" spans="70:70" x14ac:dyDescent="0.25">
      <c r="BR523"/>
    </row>
    <row r="524" spans="70:70" x14ac:dyDescent="0.25">
      <c r="BR524"/>
    </row>
    <row r="525" spans="70:70" x14ac:dyDescent="0.25">
      <c r="BR525"/>
    </row>
    <row r="526" spans="70:70" x14ac:dyDescent="0.25">
      <c r="BR526"/>
    </row>
    <row r="527" spans="70:70" x14ac:dyDescent="0.25">
      <c r="BR527"/>
    </row>
    <row r="528" spans="70:70" x14ac:dyDescent="0.25">
      <c r="BR528"/>
    </row>
    <row r="529" spans="70:70" x14ac:dyDescent="0.25">
      <c r="BR529"/>
    </row>
    <row r="530" spans="70:70" x14ac:dyDescent="0.25">
      <c r="BR530"/>
    </row>
    <row r="531" spans="70:70" x14ac:dyDescent="0.25">
      <c r="BR531"/>
    </row>
    <row r="532" spans="70:70" x14ac:dyDescent="0.25">
      <c r="BR532"/>
    </row>
    <row r="533" spans="70:70" x14ac:dyDescent="0.25">
      <c r="BR533"/>
    </row>
    <row r="534" spans="70:70" x14ac:dyDescent="0.25">
      <c r="BR534"/>
    </row>
    <row r="535" spans="70:70" x14ac:dyDescent="0.25">
      <c r="BR535"/>
    </row>
    <row r="536" spans="70:70" x14ac:dyDescent="0.25">
      <c r="BR536"/>
    </row>
    <row r="537" spans="70:70" x14ac:dyDescent="0.25">
      <c r="BR537"/>
    </row>
    <row r="538" spans="70:70" x14ac:dyDescent="0.25">
      <c r="BR538"/>
    </row>
    <row r="539" spans="70:70" x14ac:dyDescent="0.25">
      <c r="BR539"/>
    </row>
    <row r="540" spans="70:70" x14ac:dyDescent="0.25">
      <c r="BR540"/>
    </row>
    <row r="541" spans="70:70" x14ac:dyDescent="0.25">
      <c r="BR541"/>
    </row>
    <row r="542" spans="70:70" x14ac:dyDescent="0.25">
      <c r="BR542"/>
    </row>
    <row r="543" spans="70:70" x14ac:dyDescent="0.25">
      <c r="BR543"/>
    </row>
    <row r="544" spans="70:70" x14ac:dyDescent="0.25">
      <c r="BR544"/>
    </row>
    <row r="545" spans="70:70" x14ac:dyDescent="0.25">
      <c r="BR545"/>
    </row>
    <row r="546" spans="70:70" x14ac:dyDescent="0.25">
      <c r="BR546"/>
    </row>
    <row r="547" spans="70:70" x14ac:dyDescent="0.25">
      <c r="BR547"/>
    </row>
    <row r="548" spans="70:70" x14ac:dyDescent="0.25">
      <c r="BR548"/>
    </row>
    <row r="549" spans="70:70" x14ac:dyDescent="0.25">
      <c r="BR549"/>
    </row>
    <row r="550" spans="70:70" x14ac:dyDescent="0.25">
      <c r="BR550"/>
    </row>
    <row r="551" spans="70:70" x14ac:dyDescent="0.25">
      <c r="BR551"/>
    </row>
    <row r="552" spans="70:70" x14ac:dyDescent="0.25">
      <c r="BR552"/>
    </row>
    <row r="553" spans="70:70" x14ac:dyDescent="0.25">
      <c r="BR553"/>
    </row>
    <row r="554" spans="70:70" x14ac:dyDescent="0.25">
      <c r="BR554"/>
    </row>
    <row r="555" spans="70:70" x14ac:dyDescent="0.25">
      <c r="BR555"/>
    </row>
    <row r="556" spans="70:70" x14ac:dyDescent="0.25">
      <c r="BR556"/>
    </row>
    <row r="557" spans="70:70" x14ac:dyDescent="0.25">
      <c r="BR557"/>
    </row>
    <row r="558" spans="70:70" x14ac:dyDescent="0.25">
      <c r="BR558"/>
    </row>
    <row r="559" spans="70:70" x14ac:dyDescent="0.25">
      <c r="BR559"/>
    </row>
    <row r="560" spans="70:70" x14ac:dyDescent="0.25">
      <c r="BR560"/>
    </row>
    <row r="561" spans="70:70" x14ac:dyDescent="0.25">
      <c r="BR561"/>
    </row>
    <row r="562" spans="70:70" x14ac:dyDescent="0.25">
      <c r="BR562"/>
    </row>
    <row r="563" spans="70:70" x14ac:dyDescent="0.25">
      <c r="BR563"/>
    </row>
    <row r="564" spans="70:70" x14ac:dyDescent="0.25">
      <c r="BR564"/>
    </row>
    <row r="565" spans="70:70" x14ac:dyDescent="0.25">
      <c r="BR565"/>
    </row>
    <row r="566" spans="70:70" x14ac:dyDescent="0.25">
      <c r="BR566"/>
    </row>
    <row r="567" spans="70:70" x14ac:dyDescent="0.25">
      <c r="BR567"/>
    </row>
    <row r="568" spans="70:70" x14ac:dyDescent="0.25">
      <c r="BR568"/>
    </row>
    <row r="569" spans="70:70" x14ac:dyDescent="0.25">
      <c r="BR569"/>
    </row>
    <row r="570" spans="70:70" x14ac:dyDescent="0.25">
      <c r="BR570"/>
    </row>
    <row r="571" spans="70:70" x14ac:dyDescent="0.25">
      <c r="BR571"/>
    </row>
    <row r="572" spans="70:70" x14ac:dyDescent="0.25">
      <c r="BR572"/>
    </row>
    <row r="573" spans="70:70" x14ac:dyDescent="0.25">
      <c r="BR573"/>
    </row>
    <row r="574" spans="70:70" x14ac:dyDescent="0.25">
      <c r="BR574"/>
    </row>
    <row r="575" spans="70:70" x14ac:dyDescent="0.25">
      <c r="BR575"/>
    </row>
    <row r="576" spans="70:70" x14ac:dyDescent="0.25">
      <c r="BR576"/>
    </row>
    <row r="577" spans="70:70" x14ac:dyDescent="0.25">
      <c r="BR577"/>
    </row>
    <row r="578" spans="70:70" x14ac:dyDescent="0.25">
      <c r="BR578"/>
    </row>
    <row r="579" spans="70:70" x14ac:dyDescent="0.25">
      <c r="BR579"/>
    </row>
    <row r="580" spans="70:70" x14ac:dyDescent="0.25">
      <c r="BR580"/>
    </row>
    <row r="581" spans="70:70" x14ac:dyDescent="0.25">
      <c r="BR581"/>
    </row>
    <row r="582" spans="70:70" x14ac:dyDescent="0.25">
      <c r="BR582"/>
    </row>
    <row r="583" spans="70:70" x14ac:dyDescent="0.25">
      <c r="BR583"/>
    </row>
    <row r="584" spans="70:70" x14ac:dyDescent="0.25">
      <c r="BR584"/>
    </row>
    <row r="585" spans="70:70" x14ac:dyDescent="0.25">
      <c r="BR585"/>
    </row>
    <row r="586" spans="70:70" x14ac:dyDescent="0.25">
      <c r="BR586"/>
    </row>
    <row r="587" spans="70:70" x14ac:dyDescent="0.25">
      <c r="BR587"/>
    </row>
    <row r="588" spans="70:70" x14ac:dyDescent="0.25">
      <c r="BR588"/>
    </row>
    <row r="589" spans="70:70" x14ac:dyDescent="0.25">
      <c r="BR589"/>
    </row>
    <row r="590" spans="70:70" x14ac:dyDescent="0.25">
      <c r="BR590"/>
    </row>
    <row r="591" spans="70:70" x14ac:dyDescent="0.25">
      <c r="BR591"/>
    </row>
    <row r="592" spans="70:70" x14ac:dyDescent="0.25">
      <c r="BR592"/>
    </row>
    <row r="593" spans="70:70" x14ac:dyDescent="0.25">
      <c r="BR593"/>
    </row>
    <row r="594" spans="70:70" x14ac:dyDescent="0.25">
      <c r="BR594"/>
    </row>
    <row r="595" spans="70:70" x14ac:dyDescent="0.25">
      <c r="BR595"/>
    </row>
    <row r="596" spans="70:70" x14ac:dyDescent="0.25">
      <c r="BR596"/>
    </row>
    <row r="597" spans="70:70" x14ac:dyDescent="0.25">
      <c r="BR597"/>
    </row>
    <row r="598" spans="70:70" x14ac:dyDescent="0.25">
      <c r="BR598"/>
    </row>
    <row r="599" spans="70:70" x14ac:dyDescent="0.25">
      <c r="BR599"/>
    </row>
    <row r="600" spans="70:70" x14ac:dyDescent="0.25">
      <c r="BR600"/>
    </row>
    <row r="601" spans="70:70" x14ac:dyDescent="0.25">
      <c r="BR601"/>
    </row>
    <row r="602" spans="70:70" x14ac:dyDescent="0.25">
      <c r="BR602"/>
    </row>
    <row r="603" spans="70:70" x14ac:dyDescent="0.25">
      <c r="BR603"/>
    </row>
    <row r="604" spans="70:70" x14ac:dyDescent="0.25">
      <c r="BR604"/>
    </row>
    <row r="605" spans="70:70" x14ac:dyDescent="0.25">
      <c r="BR605"/>
    </row>
    <row r="606" spans="70:70" x14ac:dyDescent="0.25">
      <c r="BR606"/>
    </row>
    <row r="607" spans="70:70" x14ac:dyDescent="0.25">
      <c r="BR607"/>
    </row>
    <row r="608" spans="70:70" x14ac:dyDescent="0.25">
      <c r="BR608"/>
    </row>
    <row r="609" spans="70:70" x14ac:dyDescent="0.25">
      <c r="BR609"/>
    </row>
    <row r="610" spans="70:70" x14ac:dyDescent="0.25">
      <c r="BR610"/>
    </row>
    <row r="611" spans="70:70" x14ac:dyDescent="0.25">
      <c r="BR611"/>
    </row>
    <row r="612" spans="70:70" x14ac:dyDescent="0.25">
      <c r="BR612"/>
    </row>
    <row r="613" spans="70:70" x14ac:dyDescent="0.25">
      <c r="BR613"/>
    </row>
    <row r="614" spans="70:70" x14ac:dyDescent="0.25">
      <c r="BR614"/>
    </row>
    <row r="615" spans="70:70" x14ac:dyDescent="0.25">
      <c r="BR615"/>
    </row>
    <row r="616" spans="70:70" x14ac:dyDescent="0.25">
      <c r="BR616"/>
    </row>
    <row r="617" spans="70:70" x14ac:dyDescent="0.25">
      <c r="BR617"/>
    </row>
    <row r="618" spans="70:70" x14ac:dyDescent="0.25">
      <c r="BR618"/>
    </row>
    <row r="619" spans="70:70" x14ac:dyDescent="0.25">
      <c r="BR619"/>
    </row>
    <row r="620" spans="70:70" x14ac:dyDescent="0.25">
      <c r="BR620"/>
    </row>
    <row r="621" spans="70:70" x14ac:dyDescent="0.25">
      <c r="BR621"/>
    </row>
    <row r="622" spans="70:70" x14ac:dyDescent="0.25">
      <c r="BR622"/>
    </row>
    <row r="623" spans="70:70" x14ac:dyDescent="0.25">
      <c r="BR623"/>
    </row>
    <row r="624" spans="70:70" x14ac:dyDescent="0.25">
      <c r="BR624"/>
    </row>
    <row r="625" spans="70:70" x14ac:dyDescent="0.25">
      <c r="BR625"/>
    </row>
    <row r="626" spans="70:70" x14ac:dyDescent="0.25">
      <c r="BR626"/>
    </row>
    <row r="627" spans="70:70" x14ac:dyDescent="0.25">
      <c r="BR627"/>
    </row>
    <row r="628" spans="70:70" x14ac:dyDescent="0.25">
      <c r="BR628"/>
    </row>
    <row r="629" spans="70:70" x14ac:dyDescent="0.25">
      <c r="BR629"/>
    </row>
    <row r="630" spans="70:70" x14ac:dyDescent="0.25">
      <c r="BR630"/>
    </row>
    <row r="631" spans="70:70" x14ac:dyDescent="0.25">
      <c r="BR631"/>
    </row>
    <row r="632" spans="70:70" x14ac:dyDescent="0.25">
      <c r="BR632"/>
    </row>
    <row r="633" spans="70:70" x14ac:dyDescent="0.25">
      <c r="BR633"/>
    </row>
    <row r="634" spans="70:70" x14ac:dyDescent="0.25">
      <c r="BR634"/>
    </row>
    <row r="635" spans="70:70" x14ac:dyDescent="0.25">
      <c r="BR635"/>
    </row>
    <row r="636" spans="70:70" x14ac:dyDescent="0.25">
      <c r="BR636"/>
    </row>
    <row r="637" spans="70:70" x14ac:dyDescent="0.25">
      <c r="BR637"/>
    </row>
    <row r="638" spans="70:70" x14ac:dyDescent="0.25">
      <c r="BR638"/>
    </row>
    <row r="639" spans="70:70" x14ac:dyDescent="0.25">
      <c r="BR639"/>
    </row>
    <row r="640" spans="70:70" x14ac:dyDescent="0.25">
      <c r="BR640"/>
    </row>
    <row r="641" spans="70:70" x14ac:dyDescent="0.25">
      <c r="BR641"/>
    </row>
    <row r="642" spans="70:70" x14ac:dyDescent="0.25">
      <c r="BR642"/>
    </row>
    <row r="643" spans="70:70" x14ac:dyDescent="0.25">
      <c r="BR643"/>
    </row>
    <row r="644" spans="70:70" x14ac:dyDescent="0.25">
      <c r="BR644"/>
    </row>
    <row r="645" spans="70:70" x14ac:dyDescent="0.25">
      <c r="BR645"/>
    </row>
    <row r="646" spans="70:70" x14ac:dyDescent="0.25">
      <c r="BR646"/>
    </row>
    <row r="647" spans="70:70" x14ac:dyDescent="0.25">
      <c r="BR647"/>
    </row>
    <row r="648" spans="70:70" x14ac:dyDescent="0.25">
      <c r="BR648"/>
    </row>
    <row r="649" spans="70:70" x14ac:dyDescent="0.25">
      <c r="BR649"/>
    </row>
    <row r="650" spans="70:70" x14ac:dyDescent="0.25">
      <c r="BR650"/>
    </row>
    <row r="651" spans="70:70" x14ac:dyDescent="0.25">
      <c r="BR651"/>
    </row>
    <row r="652" spans="70:70" x14ac:dyDescent="0.25">
      <c r="BR652"/>
    </row>
    <row r="653" spans="70:70" x14ac:dyDescent="0.25">
      <c r="BR653"/>
    </row>
    <row r="654" spans="70:70" x14ac:dyDescent="0.25">
      <c r="BR654"/>
    </row>
    <row r="655" spans="70:70" x14ac:dyDescent="0.25">
      <c r="BR655"/>
    </row>
    <row r="656" spans="70:70" x14ac:dyDescent="0.25">
      <c r="BR656"/>
    </row>
    <row r="657" spans="70:70" x14ac:dyDescent="0.25">
      <c r="BR657"/>
    </row>
    <row r="658" spans="70:70" x14ac:dyDescent="0.25">
      <c r="BR658"/>
    </row>
    <row r="659" spans="70:70" x14ac:dyDescent="0.25">
      <c r="BR659"/>
    </row>
    <row r="660" spans="70:70" x14ac:dyDescent="0.25">
      <c r="BR660"/>
    </row>
    <row r="661" spans="70:70" x14ac:dyDescent="0.25">
      <c r="BR661"/>
    </row>
    <row r="662" spans="70:70" x14ac:dyDescent="0.25">
      <c r="BR662"/>
    </row>
    <row r="663" spans="70:70" x14ac:dyDescent="0.25">
      <c r="BR663"/>
    </row>
    <row r="664" spans="70:70" x14ac:dyDescent="0.25">
      <c r="BR664"/>
    </row>
    <row r="665" spans="70:70" x14ac:dyDescent="0.25">
      <c r="BR665"/>
    </row>
    <row r="666" spans="70:70" x14ac:dyDescent="0.25">
      <c r="BR666"/>
    </row>
    <row r="667" spans="70:70" x14ac:dyDescent="0.25">
      <c r="BR667"/>
    </row>
    <row r="668" spans="70:70" x14ac:dyDescent="0.25">
      <c r="BR668"/>
    </row>
    <row r="669" spans="70:70" x14ac:dyDescent="0.25">
      <c r="BR669"/>
    </row>
    <row r="670" spans="70:70" x14ac:dyDescent="0.25">
      <c r="BR670"/>
    </row>
    <row r="671" spans="70:70" x14ac:dyDescent="0.25">
      <c r="BR671"/>
    </row>
    <row r="672" spans="70:70" x14ac:dyDescent="0.25">
      <c r="BR672"/>
    </row>
    <row r="673" spans="70:70" x14ac:dyDescent="0.25">
      <c r="BR673"/>
    </row>
    <row r="674" spans="70:70" x14ac:dyDescent="0.25">
      <c r="BR674"/>
    </row>
    <row r="675" spans="70:70" x14ac:dyDescent="0.25">
      <c r="BR675"/>
    </row>
    <row r="676" spans="70:70" x14ac:dyDescent="0.25">
      <c r="BR676"/>
    </row>
    <row r="677" spans="70:70" x14ac:dyDescent="0.25">
      <c r="BR677"/>
    </row>
    <row r="678" spans="70:70" x14ac:dyDescent="0.25">
      <c r="BR678"/>
    </row>
    <row r="679" spans="70:70" x14ac:dyDescent="0.25">
      <c r="BR679"/>
    </row>
    <row r="680" spans="70:70" x14ac:dyDescent="0.25">
      <c r="BR680"/>
    </row>
    <row r="681" spans="70:70" x14ac:dyDescent="0.25">
      <c r="BR681"/>
    </row>
    <row r="682" spans="70:70" x14ac:dyDescent="0.25">
      <c r="BR682"/>
    </row>
    <row r="683" spans="70:70" x14ac:dyDescent="0.25">
      <c r="BR683"/>
    </row>
    <row r="684" spans="70:70" x14ac:dyDescent="0.25">
      <c r="BR684"/>
    </row>
    <row r="685" spans="70:70" x14ac:dyDescent="0.25">
      <c r="BR685"/>
    </row>
    <row r="686" spans="70:70" x14ac:dyDescent="0.25">
      <c r="BR686"/>
    </row>
    <row r="687" spans="70:70" x14ac:dyDescent="0.25">
      <c r="BR687"/>
    </row>
    <row r="688" spans="70:70" x14ac:dyDescent="0.25">
      <c r="BR688"/>
    </row>
    <row r="689" spans="70:70" x14ac:dyDescent="0.25">
      <c r="BR689"/>
    </row>
    <row r="690" spans="70:70" x14ac:dyDescent="0.25">
      <c r="BR690"/>
    </row>
    <row r="691" spans="70:70" x14ac:dyDescent="0.25">
      <c r="BR691"/>
    </row>
    <row r="692" spans="70:70" x14ac:dyDescent="0.25">
      <c r="BR692"/>
    </row>
    <row r="693" spans="70:70" x14ac:dyDescent="0.25">
      <c r="BR693"/>
    </row>
    <row r="694" spans="70:70" x14ac:dyDescent="0.25">
      <c r="BR694"/>
    </row>
    <row r="695" spans="70:70" x14ac:dyDescent="0.25">
      <c r="BR695"/>
    </row>
    <row r="696" spans="70:70" x14ac:dyDescent="0.25">
      <c r="BR696"/>
    </row>
    <row r="697" spans="70:70" x14ac:dyDescent="0.25">
      <c r="BR697"/>
    </row>
    <row r="698" spans="70:70" x14ac:dyDescent="0.25">
      <c r="BR698"/>
    </row>
    <row r="699" spans="70:70" x14ac:dyDescent="0.25">
      <c r="BR699"/>
    </row>
    <row r="700" spans="70:70" x14ac:dyDescent="0.25">
      <c r="BR700"/>
    </row>
    <row r="701" spans="70:70" x14ac:dyDescent="0.25">
      <c r="BR701"/>
    </row>
    <row r="702" spans="70:70" x14ac:dyDescent="0.25">
      <c r="BR702"/>
    </row>
    <row r="703" spans="70:70" x14ac:dyDescent="0.25">
      <c r="BR703"/>
    </row>
    <row r="704" spans="70:70" x14ac:dyDescent="0.25">
      <c r="BR704"/>
    </row>
    <row r="705" spans="70:70" x14ac:dyDescent="0.25">
      <c r="BR705"/>
    </row>
    <row r="706" spans="70:70" x14ac:dyDescent="0.25">
      <c r="BR706"/>
    </row>
    <row r="707" spans="70:70" x14ac:dyDescent="0.25">
      <c r="BR707"/>
    </row>
    <row r="708" spans="70:70" x14ac:dyDescent="0.25">
      <c r="BR708"/>
    </row>
    <row r="709" spans="70:70" x14ac:dyDescent="0.25">
      <c r="BR709"/>
    </row>
    <row r="710" spans="70:70" x14ac:dyDescent="0.25">
      <c r="BR710"/>
    </row>
    <row r="711" spans="70:70" x14ac:dyDescent="0.25">
      <c r="BR711"/>
    </row>
    <row r="712" spans="70:70" x14ac:dyDescent="0.25">
      <c r="BR712"/>
    </row>
    <row r="713" spans="70:70" x14ac:dyDescent="0.25">
      <c r="BR713"/>
    </row>
    <row r="714" spans="70:70" x14ac:dyDescent="0.25">
      <c r="BR714"/>
    </row>
    <row r="715" spans="70:70" x14ac:dyDescent="0.25">
      <c r="BR715"/>
    </row>
    <row r="716" spans="70:70" x14ac:dyDescent="0.25">
      <c r="BR716"/>
    </row>
    <row r="717" spans="70:70" x14ac:dyDescent="0.25">
      <c r="BR717"/>
    </row>
    <row r="718" spans="70:70" x14ac:dyDescent="0.25">
      <c r="BR718"/>
    </row>
    <row r="719" spans="70:70" x14ac:dyDescent="0.25">
      <c r="BR719"/>
    </row>
    <row r="720" spans="70:70" x14ac:dyDescent="0.25">
      <c r="BR720"/>
    </row>
    <row r="721" spans="70:70" x14ac:dyDescent="0.25">
      <c r="BR721"/>
    </row>
    <row r="722" spans="70:70" x14ac:dyDescent="0.25">
      <c r="BR722"/>
    </row>
    <row r="723" spans="70:70" x14ac:dyDescent="0.25">
      <c r="BR723"/>
    </row>
    <row r="724" spans="70:70" x14ac:dyDescent="0.25">
      <c r="BR724"/>
    </row>
    <row r="725" spans="70:70" x14ac:dyDescent="0.25">
      <c r="BR725"/>
    </row>
    <row r="726" spans="70:70" x14ac:dyDescent="0.25">
      <c r="BR726"/>
    </row>
    <row r="727" spans="70:70" x14ac:dyDescent="0.25">
      <c r="BR727"/>
    </row>
    <row r="728" spans="70:70" x14ac:dyDescent="0.25">
      <c r="BR728"/>
    </row>
    <row r="729" spans="70:70" x14ac:dyDescent="0.25">
      <c r="BR729"/>
    </row>
    <row r="730" spans="70:70" x14ac:dyDescent="0.25">
      <c r="BR730"/>
    </row>
    <row r="731" spans="70:70" x14ac:dyDescent="0.25">
      <c r="BR731"/>
    </row>
    <row r="732" spans="70:70" x14ac:dyDescent="0.25">
      <c r="BR732"/>
    </row>
    <row r="733" spans="70:70" x14ac:dyDescent="0.25">
      <c r="BR733"/>
    </row>
    <row r="734" spans="70:70" x14ac:dyDescent="0.25">
      <c r="BR734"/>
    </row>
    <row r="735" spans="70:70" x14ac:dyDescent="0.25">
      <c r="BR735"/>
    </row>
    <row r="736" spans="70:70" x14ac:dyDescent="0.25">
      <c r="BR736"/>
    </row>
    <row r="737" spans="70:70" x14ac:dyDescent="0.25">
      <c r="BR737"/>
    </row>
    <row r="738" spans="70:70" x14ac:dyDescent="0.25">
      <c r="BR738"/>
    </row>
    <row r="739" spans="70:70" x14ac:dyDescent="0.25">
      <c r="BR739"/>
    </row>
    <row r="740" spans="70:70" x14ac:dyDescent="0.25">
      <c r="BR740"/>
    </row>
    <row r="741" spans="70:70" x14ac:dyDescent="0.25">
      <c r="BR741"/>
    </row>
    <row r="742" spans="70:70" x14ac:dyDescent="0.25">
      <c r="BR742"/>
    </row>
    <row r="743" spans="70:70" x14ac:dyDescent="0.25">
      <c r="BR743"/>
    </row>
    <row r="744" spans="70:70" x14ac:dyDescent="0.25">
      <c r="BR744"/>
    </row>
    <row r="745" spans="70:70" x14ac:dyDescent="0.25">
      <c r="BR745"/>
    </row>
    <row r="746" spans="70:70" x14ac:dyDescent="0.25">
      <c r="BR746"/>
    </row>
    <row r="747" spans="70:70" x14ac:dyDescent="0.25">
      <c r="BR747"/>
    </row>
    <row r="748" spans="70:70" x14ac:dyDescent="0.25">
      <c r="BR748"/>
    </row>
    <row r="749" spans="70:70" x14ac:dyDescent="0.25">
      <c r="BR749"/>
    </row>
    <row r="750" spans="70:70" x14ac:dyDescent="0.25">
      <c r="BR750"/>
    </row>
    <row r="751" spans="70:70" x14ac:dyDescent="0.25">
      <c r="BR751"/>
    </row>
    <row r="752" spans="70:70" x14ac:dyDescent="0.25">
      <c r="BR752"/>
    </row>
    <row r="753" spans="70:70" x14ac:dyDescent="0.25">
      <c r="BR753"/>
    </row>
    <row r="754" spans="70:70" x14ac:dyDescent="0.25">
      <c r="BR754"/>
    </row>
    <row r="755" spans="70:70" x14ac:dyDescent="0.25">
      <c r="BR755"/>
    </row>
    <row r="756" spans="70:70" x14ac:dyDescent="0.25">
      <c r="BR756"/>
    </row>
    <row r="757" spans="70:70" x14ac:dyDescent="0.25">
      <c r="BR757"/>
    </row>
    <row r="758" spans="70:70" x14ac:dyDescent="0.25">
      <c r="BR758"/>
    </row>
    <row r="759" spans="70:70" x14ac:dyDescent="0.25">
      <c r="BR759"/>
    </row>
    <row r="760" spans="70:70" x14ac:dyDescent="0.25">
      <c r="BR760"/>
    </row>
    <row r="761" spans="70:70" x14ac:dyDescent="0.25">
      <c r="BR761"/>
    </row>
    <row r="762" spans="70:70" x14ac:dyDescent="0.25">
      <c r="BR762"/>
    </row>
    <row r="763" spans="70:70" x14ac:dyDescent="0.25">
      <c r="BR763"/>
    </row>
    <row r="764" spans="70:70" x14ac:dyDescent="0.25">
      <c r="BR764"/>
    </row>
    <row r="765" spans="70:70" x14ac:dyDescent="0.25">
      <c r="BR765"/>
    </row>
    <row r="766" spans="70:70" x14ac:dyDescent="0.25">
      <c r="BR766"/>
    </row>
    <row r="767" spans="70:70" x14ac:dyDescent="0.25">
      <c r="BR767"/>
    </row>
    <row r="768" spans="70:70" x14ac:dyDescent="0.25">
      <c r="BR768"/>
    </row>
    <row r="769" spans="70:70" x14ac:dyDescent="0.25">
      <c r="BR769"/>
    </row>
    <row r="770" spans="70:70" x14ac:dyDescent="0.25">
      <c r="BR770"/>
    </row>
    <row r="771" spans="70:70" x14ac:dyDescent="0.25">
      <c r="BR771"/>
    </row>
    <row r="772" spans="70:70" x14ac:dyDescent="0.25">
      <c r="BR772"/>
    </row>
    <row r="773" spans="70:70" x14ac:dyDescent="0.25">
      <c r="BR773"/>
    </row>
    <row r="774" spans="70:70" x14ac:dyDescent="0.25">
      <c r="BR774"/>
    </row>
    <row r="775" spans="70:70" x14ac:dyDescent="0.25">
      <c r="BR775"/>
    </row>
    <row r="776" spans="70:70" x14ac:dyDescent="0.25">
      <c r="BR776"/>
    </row>
    <row r="777" spans="70:70" x14ac:dyDescent="0.25">
      <c r="BR777"/>
    </row>
    <row r="778" spans="70:70" x14ac:dyDescent="0.25">
      <c r="BR778"/>
    </row>
    <row r="779" spans="70:70" x14ac:dyDescent="0.25">
      <c r="BR779"/>
    </row>
    <row r="780" spans="70:70" x14ac:dyDescent="0.25">
      <c r="BR780"/>
    </row>
    <row r="781" spans="70:70" x14ac:dyDescent="0.25">
      <c r="BR781"/>
    </row>
    <row r="782" spans="70:70" x14ac:dyDescent="0.25">
      <c r="BR782"/>
    </row>
    <row r="783" spans="70:70" x14ac:dyDescent="0.25">
      <c r="BR783"/>
    </row>
    <row r="784" spans="70:70" x14ac:dyDescent="0.25">
      <c r="BR784"/>
    </row>
    <row r="785" spans="70:70" x14ac:dyDescent="0.25">
      <c r="BR785"/>
    </row>
    <row r="786" spans="70:70" x14ac:dyDescent="0.25">
      <c r="BR786"/>
    </row>
    <row r="787" spans="70:70" x14ac:dyDescent="0.25">
      <c r="BR787"/>
    </row>
    <row r="788" spans="70:70" x14ac:dyDescent="0.25">
      <c r="BR788"/>
    </row>
    <row r="789" spans="70:70" x14ac:dyDescent="0.25">
      <c r="BR789"/>
    </row>
    <row r="790" spans="70:70" x14ac:dyDescent="0.25">
      <c r="BR790"/>
    </row>
    <row r="791" spans="70:70" x14ac:dyDescent="0.25">
      <c r="BR791"/>
    </row>
    <row r="792" spans="70:70" x14ac:dyDescent="0.25">
      <c r="BR792"/>
    </row>
    <row r="793" spans="70:70" x14ac:dyDescent="0.25">
      <c r="BR793"/>
    </row>
    <row r="794" spans="70:70" x14ac:dyDescent="0.25">
      <c r="BR794"/>
    </row>
    <row r="795" spans="70:70" x14ac:dyDescent="0.25">
      <c r="BR795"/>
    </row>
    <row r="796" spans="70:70" x14ac:dyDescent="0.25">
      <c r="BR796"/>
    </row>
    <row r="797" spans="70:70" x14ac:dyDescent="0.25">
      <c r="BR797"/>
    </row>
    <row r="798" spans="70:70" x14ac:dyDescent="0.25">
      <c r="BR798"/>
    </row>
    <row r="799" spans="70:70" x14ac:dyDescent="0.25">
      <c r="BR799"/>
    </row>
    <row r="800" spans="70:70" x14ac:dyDescent="0.25">
      <c r="BR800"/>
    </row>
    <row r="801" spans="70:70" x14ac:dyDescent="0.25">
      <c r="BR801"/>
    </row>
    <row r="802" spans="70:70" x14ac:dyDescent="0.25">
      <c r="BR802"/>
    </row>
    <row r="803" spans="70:70" x14ac:dyDescent="0.25">
      <c r="BR803"/>
    </row>
    <row r="804" spans="70:70" x14ac:dyDescent="0.25">
      <c r="BR804"/>
    </row>
    <row r="805" spans="70:70" x14ac:dyDescent="0.25">
      <c r="BR805"/>
    </row>
    <row r="806" spans="70:70" x14ac:dyDescent="0.25">
      <c r="BR806"/>
    </row>
    <row r="807" spans="70:70" x14ac:dyDescent="0.25">
      <c r="BR807"/>
    </row>
    <row r="808" spans="70:70" x14ac:dyDescent="0.25">
      <c r="BR808"/>
    </row>
    <row r="809" spans="70:70" x14ac:dyDescent="0.25">
      <c r="BR809"/>
    </row>
    <row r="810" spans="70:70" x14ac:dyDescent="0.25">
      <c r="BR810"/>
    </row>
    <row r="811" spans="70:70" x14ac:dyDescent="0.25">
      <c r="BR811"/>
    </row>
    <row r="812" spans="70:70" x14ac:dyDescent="0.25">
      <c r="BR812"/>
    </row>
    <row r="813" spans="70:70" x14ac:dyDescent="0.25">
      <c r="BR813"/>
    </row>
    <row r="814" spans="70:70" x14ac:dyDescent="0.25">
      <c r="BR814"/>
    </row>
    <row r="815" spans="70:70" x14ac:dyDescent="0.25">
      <c r="BR815"/>
    </row>
    <row r="816" spans="70:70" x14ac:dyDescent="0.25">
      <c r="BR816"/>
    </row>
    <row r="817" spans="70:70" x14ac:dyDescent="0.25">
      <c r="BR817"/>
    </row>
    <row r="818" spans="70:70" x14ac:dyDescent="0.25">
      <c r="BR818"/>
    </row>
    <row r="819" spans="70:70" x14ac:dyDescent="0.25">
      <c r="BR819"/>
    </row>
    <row r="820" spans="70:70" x14ac:dyDescent="0.25">
      <c r="BR820"/>
    </row>
    <row r="821" spans="70:70" x14ac:dyDescent="0.25">
      <c r="BR821"/>
    </row>
    <row r="822" spans="70:70" x14ac:dyDescent="0.25">
      <c r="BR822"/>
    </row>
    <row r="823" spans="70:70" x14ac:dyDescent="0.25">
      <c r="BR823"/>
    </row>
    <row r="824" spans="70:70" x14ac:dyDescent="0.25">
      <c r="BR824"/>
    </row>
    <row r="825" spans="70:70" x14ac:dyDescent="0.25">
      <c r="BR825"/>
    </row>
    <row r="826" spans="70:70" x14ac:dyDescent="0.25">
      <c r="BR826"/>
    </row>
    <row r="827" spans="70:70" x14ac:dyDescent="0.25">
      <c r="BR827"/>
    </row>
    <row r="828" spans="70:70" x14ac:dyDescent="0.25">
      <c r="BR828"/>
    </row>
    <row r="829" spans="70:70" x14ac:dyDescent="0.25">
      <c r="BR829"/>
    </row>
    <row r="830" spans="70:70" x14ac:dyDescent="0.25">
      <c r="BR830"/>
    </row>
    <row r="831" spans="70:70" x14ac:dyDescent="0.25">
      <c r="BR831"/>
    </row>
    <row r="832" spans="70:70" x14ac:dyDescent="0.25">
      <c r="BR832"/>
    </row>
    <row r="833" spans="70:70" x14ac:dyDescent="0.25">
      <c r="BR833"/>
    </row>
    <row r="834" spans="70:70" x14ac:dyDescent="0.25">
      <c r="BR834"/>
    </row>
    <row r="835" spans="70:70" x14ac:dyDescent="0.25">
      <c r="BR835"/>
    </row>
    <row r="836" spans="70:70" x14ac:dyDescent="0.25">
      <c r="BR836"/>
    </row>
    <row r="837" spans="70:70" x14ac:dyDescent="0.25">
      <c r="BR837"/>
    </row>
    <row r="838" spans="70:70" x14ac:dyDescent="0.25">
      <c r="BR838"/>
    </row>
    <row r="839" spans="70:70" x14ac:dyDescent="0.25">
      <c r="BR839"/>
    </row>
    <row r="840" spans="70:70" x14ac:dyDescent="0.25">
      <c r="BR840"/>
    </row>
    <row r="841" spans="70:70" x14ac:dyDescent="0.25">
      <c r="BR841"/>
    </row>
    <row r="842" spans="70:70" x14ac:dyDescent="0.25">
      <c r="BR842"/>
    </row>
    <row r="843" spans="70:70" x14ac:dyDescent="0.25">
      <c r="BR843"/>
    </row>
    <row r="844" spans="70:70" x14ac:dyDescent="0.25">
      <c r="BR844"/>
    </row>
    <row r="845" spans="70:70" x14ac:dyDescent="0.25">
      <c r="BR845"/>
    </row>
    <row r="846" spans="70:70" x14ac:dyDescent="0.25">
      <c r="BR846"/>
    </row>
    <row r="847" spans="70:70" x14ac:dyDescent="0.25">
      <c r="BR847"/>
    </row>
    <row r="848" spans="70:70" x14ac:dyDescent="0.25">
      <c r="BR848"/>
    </row>
    <row r="849" spans="70:70" x14ac:dyDescent="0.25">
      <c r="BR849"/>
    </row>
    <row r="850" spans="70:70" x14ac:dyDescent="0.25">
      <c r="BR850"/>
    </row>
    <row r="851" spans="70:70" x14ac:dyDescent="0.25">
      <c r="BR851"/>
    </row>
    <row r="852" spans="70:70" x14ac:dyDescent="0.25">
      <c r="BR852"/>
    </row>
    <row r="853" spans="70:70" x14ac:dyDescent="0.25">
      <c r="BR853"/>
    </row>
    <row r="854" spans="70:70" x14ac:dyDescent="0.25">
      <c r="BR854"/>
    </row>
    <row r="855" spans="70:70" x14ac:dyDescent="0.25">
      <c r="BR855"/>
    </row>
    <row r="856" spans="70:70" x14ac:dyDescent="0.25">
      <c r="BR856"/>
    </row>
    <row r="857" spans="70:70" x14ac:dyDescent="0.25">
      <c r="BR857"/>
    </row>
    <row r="858" spans="70:70" x14ac:dyDescent="0.25">
      <c r="BR858"/>
    </row>
    <row r="859" spans="70:70" x14ac:dyDescent="0.25">
      <c r="BR859"/>
    </row>
    <row r="860" spans="70:70" x14ac:dyDescent="0.25">
      <c r="BR860"/>
    </row>
    <row r="861" spans="70:70" x14ac:dyDescent="0.25">
      <c r="BR861"/>
    </row>
    <row r="862" spans="70:70" x14ac:dyDescent="0.25">
      <c r="BR862"/>
    </row>
    <row r="863" spans="70:70" x14ac:dyDescent="0.25">
      <c r="BR863"/>
    </row>
    <row r="864" spans="70:70" x14ac:dyDescent="0.25">
      <c r="BR864"/>
    </row>
    <row r="865" spans="70:70" x14ac:dyDescent="0.25">
      <c r="BR865"/>
    </row>
    <row r="866" spans="70:70" x14ac:dyDescent="0.25">
      <c r="BR866"/>
    </row>
    <row r="867" spans="70:70" x14ac:dyDescent="0.25">
      <c r="BR867"/>
    </row>
    <row r="868" spans="70:70" x14ac:dyDescent="0.25">
      <c r="BR868"/>
    </row>
    <row r="869" spans="70:70" x14ac:dyDescent="0.25">
      <c r="BR869"/>
    </row>
    <row r="870" spans="70:70" x14ac:dyDescent="0.25">
      <c r="BR870"/>
    </row>
    <row r="871" spans="70:70" x14ac:dyDescent="0.25">
      <c r="BR871"/>
    </row>
    <row r="872" spans="70:70" x14ac:dyDescent="0.25">
      <c r="BR872"/>
    </row>
    <row r="873" spans="70:70" x14ac:dyDescent="0.25">
      <c r="BR873"/>
    </row>
    <row r="874" spans="70:70" x14ac:dyDescent="0.25">
      <c r="BR874"/>
    </row>
    <row r="875" spans="70:70" x14ac:dyDescent="0.25">
      <c r="BR875"/>
    </row>
    <row r="876" spans="70:70" x14ac:dyDescent="0.25">
      <c r="BR876"/>
    </row>
    <row r="877" spans="70:70" x14ac:dyDescent="0.25">
      <c r="BR877"/>
    </row>
    <row r="878" spans="70:70" x14ac:dyDescent="0.25">
      <c r="BR878"/>
    </row>
    <row r="879" spans="70:70" x14ac:dyDescent="0.25">
      <c r="BR879"/>
    </row>
    <row r="880" spans="70:70" x14ac:dyDescent="0.25">
      <c r="BR880"/>
    </row>
    <row r="881" spans="70:70" x14ac:dyDescent="0.25">
      <c r="BR881"/>
    </row>
    <row r="882" spans="70:70" x14ac:dyDescent="0.25">
      <c r="BR882"/>
    </row>
    <row r="883" spans="70:70" x14ac:dyDescent="0.25">
      <c r="BR883"/>
    </row>
    <row r="884" spans="70:70" x14ac:dyDescent="0.25">
      <c r="BR884"/>
    </row>
    <row r="885" spans="70:70" x14ac:dyDescent="0.25">
      <c r="BR885"/>
    </row>
    <row r="886" spans="70:70" x14ac:dyDescent="0.25">
      <c r="BR886"/>
    </row>
    <row r="887" spans="70:70" x14ac:dyDescent="0.25">
      <c r="BR887"/>
    </row>
    <row r="888" spans="70:70" x14ac:dyDescent="0.25">
      <c r="BR888"/>
    </row>
    <row r="889" spans="70:70" x14ac:dyDescent="0.25">
      <c r="BR889"/>
    </row>
    <row r="890" spans="70:70" x14ac:dyDescent="0.25">
      <c r="BR890"/>
    </row>
    <row r="891" spans="70:70" x14ac:dyDescent="0.25">
      <c r="BR891"/>
    </row>
    <row r="892" spans="70:70" x14ac:dyDescent="0.25">
      <c r="BR892"/>
    </row>
    <row r="893" spans="70:70" x14ac:dyDescent="0.25">
      <c r="BR893"/>
    </row>
    <row r="894" spans="70:70" x14ac:dyDescent="0.25">
      <c r="BR894"/>
    </row>
    <row r="895" spans="70:70" x14ac:dyDescent="0.25">
      <c r="BR895"/>
    </row>
    <row r="896" spans="70:70" x14ac:dyDescent="0.25">
      <c r="BR896"/>
    </row>
    <row r="897" spans="70:70" x14ac:dyDescent="0.25">
      <c r="BR897"/>
    </row>
    <row r="898" spans="70:70" x14ac:dyDescent="0.25">
      <c r="BR898"/>
    </row>
    <row r="899" spans="70:70" x14ac:dyDescent="0.25">
      <c r="BR899"/>
    </row>
    <row r="900" spans="70:70" x14ac:dyDescent="0.25">
      <c r="BR900"/>
    </row>
    <row r="901" spans="70:70" x14ac:dyDescent="0.25">
      <c r="BR901"/>
    </row>
    <row r="902" spans="70:70" x14ac:dyDescent="0.25">
      <c r="BR902"/>
    </row>
    <row r="903" spans="70:70" x14ac:dyDescent="0.25">
      <c r="BR903"/>
    </row>
    <row r="904" spans="70:70" x14ac:dyDescent="0.25">
      <c r="BR904"/>
    </row>
    <row r="905" spans="70:70" x14ac:dyDescent="0.25">
      <c r="BR905"/>
    </row>
    <row r="906" spans="70:70" x14ac:dyDescent="0.25">
      <c r="BR906"/>
    </row>
    <row r="907" spans="70:70" x14ac:dyDescent="0.25">
      <c r="BR907"/>
    </row>
    <row r="908" spans="70:70" x14ac:dyDescent="0.25">
      <c r="BR908"/>
    </row>
    <row r="909" spans="70:70" x14ac:dyDescent="0.25">
      <c r="BR909"/>
    </row>
    <row r="910" spans="70:70" x14ac:dyDescent="0.25">
      <c r="BR910"/>
    </row>
    <row r="911" spans="70:70" x14ac:dyDescent="0.25">
      <c r="BR911"/>
    </row>
    <row r="912" spans="70:70" x14ac:dyDescent="0.25">
      <c r="BR912"/>
    </row>
    <row r="913" spans="70:70" x14ac:dyDescent="0.25">
      <c r="BR913"/>
    </row>
    <row r="914" spans="70:70" x14ac:dyDescent="0.25">
      <c r="BR914"/>
    </row>
    <row r="915" spans="70:70" x14ac:dyDescent="0.25">
      <c r="BR915"/>
    </row>
    <row r="916" spans="70:70" x14ac:dyDescent="0.25">
      <c r="BR916"/>
    </row>
    <row r="917" spans="70:70" x14ac:dyDescent="0.25">
      <c r="BR917"/>
    </row>
    <row r="918" spans="70:70" x14ac:dyDescent="0.25">
      <c r="BR918"/>
    </row>
    <row r="919" spans="70:70" x14ac:dyDescent="0.25">
      <c r="BR919"/>
    </row>
    <row r="920" spans="70:70" x14ac:dyDescent="0.25">
      <c r="BR920"/>
    </row>
    <row r="921" spans="70:70" x14ac:dyDescent="0.25">
      <c r="BR921"/>
    </row>
    <row r="922" spans="70:70" x14ac:dyDescent="0.25">
      <c r="BR922"/>
    </row>
    <row r="923" spans="70:70" x14ac:dyDescent="0.25">
      <c r="BR923"/>
    </row>
    <row r="924" spans="70:70" x14ac:dyDescent="0.25">
      <c r="BR924"/>
    </row>
    <row r="925" spans="70:70" x14ac:dyDescent="0.25">
      <c r="BR925"/>
    </row>
    <row r="926" spans="70:70" x14ac:dyDescent="0.25">
      <c r="BR926"/>
    </row>
    <row r="927" spans="70:70" x14ac:dyDescent="0.25">
      <c r="BR927"/>
    </row>
    <row r="928" spans="70:70" x14ac:dyDescent="0.25">
      <c r="BR928"/>
    </row>
    <row r="929" spans="70:70" x14ac:dyDescent="0.25">
      <c r="BR929"/>
    </row>
    <row r="930" spans="70:70" x14ac:dyDescent="0.25">
      <c r="BR930"/>
    </row>
    <row r="931" spans="70:70" x14ac:dyDescent="0.25">
      <c r="BR931"/>
    </row>
    <row r="932" spans="70:70" x14ac:dyDescent="0.25">
      <c r="BR932"/>
    </row>
    <row r="933" spans="70:70" x14ac:dyDescent="0.25">
      <c r="BR933"/>
    </row>
    <row r="934" spans="70:70" x14ac:dyDescent="0.25">
      <c r="BR934"/>
    </row>
    <row r="935" spans="70:70" x14ac:dyDescent="0.25">
      <c r="BR935"/>
    </row>
    <row r="936" spans="70:70" x14ac:dyDescent="0.25">
      <c r="BR936"/>
    </row>
    <row r="937" spans="70:70" x14ac:dyDescent="0.25">
      <c r="BR937"/>
    </row>
    <row r="938" spans="70:70" x14ac:dyDescent="0.25">
      <c r="BR938"/>
    </row>
    <row r="939" spans="70:70" x14ac:dyDescent="0.25">
      <c r="BR939"/>
    </row>
    <row r="940" spans="70:70" x14ac:dyDescent="0.25">
      <c r="BR940"/>
    </row>
    <row r="941" spans="70:70" x14ac:dyDescent="0.25">
      <c r="BR941"/>
    </row>
    <row r="942" spans="70:70" x14ac:dyDescent="0.25">
      <c r="BR942"/>
    </row>
    <row r="943" spans="70:70" x14ac:dyDescent="0.25">
      <c r="BR943"/>
    </row>
    <row r="944" spans="70:70" x14ac:dyDescent="0.25">
      <c r="BR944"/>
    </row>
    <row r="945" spans="70:70" x14ac:dyDescent="0.25">
      <c r="BR945"/>
    </row>
    <row r="946" spans="70:70" x14ac:dyDescent="0.25">
      <c r="BR946"/>
    </row>
    <row r="947" spans="70:70" x14ac:dyDescent="0.25">
      <c r="BR947"/>
    </row>
    <row r="948" spans="70:70" x14ac:dyDescent="0.25">
      <c r="BR948"/>
    </row>
    <row r="949" spans="70:70" x14ac:dyDescent="0.25">
      <c r="BR949"/>
    </row>
    <row r="950" spans="70:70" x14ac:dyDescent="0.25">
      <c r="BR950"/>
    </row>
    <row r="951" spans="70:70" x14ac:dyDescent="0.25">
      <c r="BR951"/>
    </row>
    <row r="952" spans="70:70" x14ac:dyDescent="0.25">
      <c r="BR952"/>
    </row>
    <row r="953" spans="70:70" x14ac:dyDescent="0.25">
      <c r="BR953"/>
    </row>
    <row r="954" spans="70:70" x14ac:dyDescent="0.25">
      <c r="BR954"/>
    </row>
    <row r="955" spans="70:70" x14ac:dyDescent="0.25">
      <c r="BR955"/>
    </row>
    <row r="956" spans="70:70" x14ac:dyDescent="0.25">
      <c r="BR956"/>
    </row>
    <row r="957" spans="70:70" x14ac:dyDescent="0.25">
      <c r="BR957"/>
    </row>
    <row r="958" spans="70:70" x14ac:dyDescent="0.25">
      <c r="BR958"/>
    </row>
    <row r="959" spans="70:70" x14ac:dyDescent="0.25">
      <c r="BR959"/>
    </row>
    <row r="960" spans="70:70" x14ac:dyDescent="0.25">
      <c r="BR960"/>
    </row>
    <row r="961" spans="70:70" x14ac:dyDescent="0.25">
      <c r="BR961"/>
    </row>
    <row r="962" spans="70:70" x14ac:dyDescent="0.25">
      <c r="BR962"/>
    </row>
    <row r="963" spans="70:70" x14ac:dyDescent="0.25">
      <c r="BR963"/>
    </row>
    <row r="964" spans="70:70" x14ac:dyDescent="0.25">
      <c r="BR964"/>
    </row>
    <row r="965" spans="70:70" x14ac:dyDescent="0.25">
      <c r="BR965"/>
    </row>
    <row r="966" spans="70:70" x14ac:dyDescent="0.25">
      <c r="BR966"/>
    </row>
    <row r="967" spans="70:70" x14ac:dyDescent="0.25">
      <c r="BR967"/>
    </row>
    <row r="968" spans="70:70" x14ac:dyDescent="0.25">
      <c r="BR968"/>
    </row>
    <row r="969" spans="70:70" x14ac:dyDescent="0.25">
      <c r="BR969"/>
    </row>
    <row r="970" spans="70:70" x14ac:dyDescent="0.25">
      <c r="BR970"/>
    </row>
    <row r="971" spans="70:70" x14ac:dyDescent="0.25">
      <c r="BR971"/>
    </row>
    <row r="972" spans="70:70" x14ac:dyDescent="0.25">
      <c r="BR972"/>
    </row>
    <row r="973" spans="70:70" x14ac:dyDescent="0.25">
      <c r="BR973"/>
    </row>
    <row r="974" spans="70:70" x14ac:dyDescent="0.25">
      <c r="BR974"/>
    </row>
    <row r="975" spans="70:70" x14ac:dyDescent="0.25">
      <c r="BR975"/>
    </row>
    <row r="976" spans="70:70" x14ac:dyDescent="0.25">
      <c r="BR976"/>
    </row>
    <row r="977" spans="70:70" x14ac:dyDescent="0.25">
      <c r="BR977"/>
    </row>
    <row r="978" spans="70:70" x14ac:dyDescent="0.25">
      <c r="BR978"/>
    </row>
    <row r="979" spans="70:70" x14ac:dyDescent="0.25">
      <c r="BR979"/>
    </row>
    <row r="980" spans="70:70" x14ac:dyDescent="0.25">
      <c r="BR980"/>
    </row>
    <row r="981" spans="70:70" x14ac:dyDescent="0.25">
      <c r="BR981"/>
    </row>
    <row r="982" spans="70:70" x14ac:dyDescent="0.25">
      <c r="BR982"/>
    </row>
    <row r="983" spans="70:70" x14ac:dyDescent="0.25">
      <c r="BR983"/>
    </row>
    <row r="984" spans="70:70" x14ac:dyDescent="0.25">
      <c r="BR984"/>
    </row>
    <row r="985" spans="70:70" x14ac:dyDescent="0.25">
      <c r="BR985"/>
    </row>
    <row r="986" spans="70:70" x14ac:dyDescent="0.25">
      <c r="BR986"/>
    </row>
    <row r="987" spans="70:70" x14ac:dyDescent="0.25">
      <c r="BR987"/>
    </row>
    <row r="988" spans="70:70" x14ac:dyDescent="0.25">
      <c r="BR988"/>
    </row>
    <row r="989" spans="70:70" x14ac:dyDescent="0.25">
      <c r="BR989"/>
    </row>
    <row r="990" spans="70:70" x14ac:dyDescent="0.25">
      <c r="BR990"/>
    </row>
    <row r="991" spans="70:70" x14ac:dyDescent="0.25">
      <c r="BR991"/>
    </row>
    <row r="992" spans="70:70" x14ac:dyDescent="0.25">
      <c r="BR992"/>
    </row>
    <row r="993" spans="70:70" x14ac:dyDescent="0.25">
      <c r="BR993"/>
    </row>
    <row r="994" spans="70:70" x14ac:dyDescent="0.25">
      <c r="BR994"/>
    </row>
    <row r="995" spans="70:70" x14ac:dyDescent="0.25">
      <c r="BR995"/>
    </row>
    <row r="996" spans="70:70" x14ac:dyDescent="0.25">
      <c r="BR996"/>
    </row>
    <row r="997" spans="70:70" x14ac:dyDescent="0.25">
      <c r="BR997"/>
    </row>
    <row r="998" spans="70:70" x14ac:dyDescent="0.25">
      <c r="BR998"/>
    </row>
    <row r="999" spans="70:70" x14ac:dyDescent="0.25">
      <c r="BR999"/>
    </row>
    <row r="1000" spans="70:70" x14ac:dyDescent="0.25">
      <c r="BR1000"/>
    </row>
    <row r="1001" spans="70:70" x14ac:dyDescent="0.25">
      <c r="BR1001"/>
    </row>
    <row r="1002" spans="70:70" x14ac:dyDescent="0.25">
      <c r="BR1002"/>
    </row>
    <row r="1003" spans="70:70" x14ac:dyDescent="0.25">
      <c r="BR1003"/>
    </row>
    <row r="1004" spans="70:70" x14ac:dyDescent="0.25">
      <c r="BR1004"/>
    </row>
    <row r="1005" spans="70:70" x14ac:dyDescent="0.25">
      <c r="BR1005"/>
    </row>
    <row r="1006" spans="70:70" x14ac:dyDescent="0.25">
      <c r="BR1006"/>
    </row>
    <row r="1007" spans="70:70" x14ac:dyDescent="0.25">
      <c r="BR1007"/>
    </row>
    <row r="1008" spans="70:70" x14ac:dyDescent="0.25">
      <c r="BR1008"/>
    </row>
    <row r="1009" spans="70:70" x14ac:dyDescent="0.25">
      <c r="BR1009"/>
    </row>
    <row r="1010" spans="70:70" x14ac:dyDescent="0.25">
      <c r="BR1010"/>
    </row>
    <row r="1011" spans="70:70" x14ac:dyDescent="0.25">
      <c r="BR1011"/>
    </row>
    <row r="1012" spans="70:70" x14ac:dyDescent="0.25">
      <c r="BR1012"/>
    </row>
    <row r="1013" spans="70:70" x14ac:dyDescent="0.25">
      <c r="BR1013"/>
    </row>
    <row r="1014" spans="70:70" x14ac:dyDescent="0.25">
      <c r="BR1014"/>
    </row>
    <row r="1015" spans="70:70" x14ac:dyDescent="0.25">
      <c r="BR1015"/>
    </row>
    <row r="1016" spans="70:70" x14ac:dyDescent="0.25">
      <c r="BR1016"/>
    </row>
    <row r="1017" spans="70:70" x14ac:dyDescent="0.25">
      <c r="BR1017"/>
    </row>
    <row r="1018" spans="70:70" x14ac:dyDescent="0.25">
      <c r="BR1018"/>
    </row>
    <row r="1019" spans="70:70" x14ac:dyDescent="0.25">
      <c r="BR1019"/>
    </row>
    <row r="1020" spans="70:70" x14ac:dyDescent="0.25">
      <c r="BR1020"/>
    </row>
    <row r="1021" spans="70:70" x14ac:dyDescent="0.25">
      <c r="BR1021"/>
    </row>
    <row r="1022" spans="70:70" x14ac:dyDescent="0.25">
      <c r="BR1022"/>
    </row>
    <row r="1023" spans="70:70" x14ac:dyDescent="0.25">
      <c r="BR1023"/>
    </row>
    <row r="1024" spans="70:70" x14ac:dyDescent="0.25">
      <c r="BR1024"/>
    </row>
    <row r="1025" spans="70:70" x14ac:dyDescent="0.25">
      <c r="BR1025"/>
    </row>
    <row r="1026" spans="70:70" x14ac:dyDescent="0.25">
      <c r="BR1026"/>
    </row>
    <row r="1027" spans="70:70" x14ac:dyDescent="0.25">
      <c r="BR1027"/>
    </row>
    <row r="1028" spans="70:70" x14ac:dyDescent="0.25">
      <c r="BR1028"/>
    </row>
    <row r="1029" spans="70:70" x14ac:dyDescent="0.25">
      <c r="BR1029"/>
    </row>
    <row r="1030" spans="70:70" x14ac:dyDescent="0.25">
      <c r="BR1030"/>
    </row>
    <row r="1031" spans="70:70" x14ac:dyDescent="0.25">
      <c r="BR1031"/>
    </row>
    <row r="1032" spans="70:70" x14ac:dyDescent="0.25">
      <c r="BR1032"/>
    </row>
    <row r="1033" spans="70:70" x14ac:dyDescent="0.25">
      <c r="BR1033"/>
    </row>
    <row r="1034" spans="70:70" x14ac:dyDescent="0.25">
      <c r="BR1034"/>
    </row>
    <row r="1035" spans="70:70" x14ac:dyDescent="0.25">
      <c r="BR1035"/>
    </row>
    <row r="1036" spans="70:70" x14ac:dyDescent="0.25">
      <c r="BR1036"/>
    </row>
    <row r="1037" spans="70:70" x14ac:dyDescent="0.25">
      <c r="BR1037"/>
    </row>
    <row r="1038" spans="70:70" x14ac:dyDescent="0.25">
      <c r="BR1038"/>
    </row>
    <row r="1039" spans="70:70" x14ac:dyDescent="0.25">
      <c r="BR1039"/>
    </row>
    <row r="1040" spans="70:70" x14ac:dyDescent="0.25">
      <c r="BR1040"/>
    </row>
    <row r="1041" spans="70:70" x14ac:dyDescent="0.25">
      <c r="BR1041"/>
    </row>
    <row r="1042" spans="70:70" x14ac:dyDescent="0.25">
      <c r="BR1042"/>
    </row>
    <row r="1043" spans="70:70" x14ac:dyDescent="0.25">
      <c r="BR1043"/>
    </row>
    <row r="1044" spans="70:70" x14ac:dyDescent="0.25">
      <c r="BR1044"/>
    </row>
    <row r="1045" spans="70:70" x14ac:dyDescent="0.25">
      <c r="BR1045"/>
    </row>
    <row r="1046" spans="70:70" x14ac:dyDescent="0.25">
      <c r="BR1046"/>
    </row>
    <row r="1047" spans="70:70" x14ac:dyDescent="0.25">
      <c r="BR1047"/>
    </row>
    <row r="1048" spans="70:70" x14ac:dyDescent="0.25">
      <c r="BR1048"/>
    </row>
    <row r="1049" spans="70:70" x14ac:dyDescent="0.25">
      <c r="BR1049"/>
    </row>
    <row r="1050" spans="70:70" x14ac:dyDescent="0.25">
      <c r="BR1050"/>
    </row>
    <row r="1051" spans="70:70" x14ac:dyDescent="0.25">
      <c r="BR1051"/>
    </row>
    <row r="1052" spans="70:70" x14ac:dyDescent="0.25">
      <c r="BR1052"/>
    </row>
    <row r="1053" spans="70:70" x14ac:dyDescent="0.25">
      <c r="BR1053"/>
    </row>
    <row r="1054" spans="70:70" x14ac:dyDescent="0.25">
      <c r="BR1054"/>
    </row>
    <row r="1055" spans="70:70" x14ac:dyDescent="0.25">
      <c r="BR1055"/>
    </row>
    <row r="1056" spans="70:70" x14ac:dyDescent="0.25">
      <c r="BR1056"/>
    </row>
    <row r="1057" spans="70:70" x14ac:dyDescent="0.25">
      <c r="BR1057"/>
    </row>
    <row r="1058" spans="70:70" x14ac:dyDescent="0.25">
      <c r="BR1058"/>
    </row>
    <row r="1059" spans="70:70" x14ac:dyDescent="0.25">
      <c r="BR1059"/>
    </row>
    <row r="1060" spans="70:70" x14ac:dyDescent="0.25">
      <c r="BR1060"/>
    </row>
    <row r="1061" spans="70:70" x14ac:dyDescent="0.25">
      <c r="BR1061"/>
    </row>
    <row r="1062" spans="70:70" x14ac:dyDescent="0.25">
      <c r="BR1062"/>
    </row>
    <row r="1063" spans="70:70" x14ac:dyDescent="0.25">
      <c r="BR1063"/>
    </row>
    <row r="1064" spans="70:70" x14ac:dyDescent="0.25">
      <c r="BR1064"/>
    </row>
    <row r="1065" spans="70:70" x14ac:dyDescent="0.25">
      <c r="BR1065"/>
    </row>
    <row r="1066" spans="70:70" x14ac:dyDescent="0.25">
      <c r="BR1066"/>
    </row>
    <row r="1067" spans="70:70" x14ac:dyDescent="0.25">
      <c r="BR1067"/>
    </row>
    <row r="1068" spans="70:70" x14ac:dyDescent="0.25">
      <c r="BR1068"/>
    </row>
    <row r="1069" spans="70:70" x14ac:dyDescent="0.25">
      <c r="BR1069"/>
    </row>
    <row r="1070" spans="70:70" x14ac:dyDescent="0.25">
      <c r="BR1070"/>
    </row>
    <row r="1071" spans="70:70" x14ac:dyDescent="0.25">
      <c r="BR1071"/>
    </row>
    <row r="1072" spans="70:70" x14ac:dyDescent="0.25">
      <c r="BR1072"/>
    </row>
    <row r="1073" spans="70:70" x14ac:dyDescent="0.25">
      <c r="BR1073"/>
    </row>
    <row r="1074" spans="70:70" x14ac:dyDescent="0.25">
      <c r="BR1074"/>
    </row>
    <row r="1075" spans="70:70" x14ac:dyDescent="0.25">
      <c r="BR1075"/>
    </row>
    <row r="1076" spans="70:70" x14ac:dyDescent="0.25">
      <c r="BR1076"/>
    </row>
    <row r="1077" spans="70:70" x14ac:dyDescent="0.25">
      <c r="BR1077"/>
    </row>
    <row r="1078" spans="70:70" x14ac:dyDescent="0.25">
      <c r="BR1078"/>
    </row>
    <row r="1079" spans="70:70" x14ac:dyDescent="0.25">
      <c r="BR1079"/>
    </row>
    <row r="1080" spans="70:70" x14ac:dyDescent="0.25">
      <c r="BR1080"/>
    </row>
    <row r="1081" spans="70:70" x14ac:dyDescent="0.25">
      <c r="BR1081"/>
    </row>
    <row r="1082" spans="70:70" x14ac:dyDescent="0.25">
      <c r="BR1082"/>
    </row>
    <row r="1083" spans="70:70" x14ac:dyDescent="0.25">
      <c r="BR1083"/>
    </row>
    <row r="1084" spans="70:70" x14ac:dyDescent="0.25">
      <c r="BR1084"/>
    </row>
    <row r="1085" spans="70:70" x14ac:dyDescent="0.25">
      <c r="BR1085"/>
    </row>
    <row r="1086" spans="70:70" x14ac:dyDescent="0.25">
      <c r="BR1086"/>
    </row>
    <row r="1087" spans="70:70" x14ac:dyDescent="0.25">
      <c r="BR1087"/>
    </row>
    <row r="1088" spans="70:70" x14ac:dyDescent="0.25">
      <c r="BR1088"/>
    </row>
    <row r="1089" spans="70:70" x14ac:dyDescent="0.25">
      <c r="BR1089"/>
    </row>
    <row r="1090" spans="70:70" x14ac:dyDescent="0.25">
      <c r="BR1090"/>
    </row>
    <row r="1091" spans="70:70" x14ac:dyDescent="0.25">
      <c r="BR1091"/>
    </row>
    <row r="1092" spans="70:70" x14ac:dyDescent="0.25">
      <c r="BR1092"/>
    </row>
    <row r="1093" spans="70:70" x14ac:dyDescent="0.25">
      <c r="BR1093"/>
    </row>
    <row r="1094" spans="70:70" x14ac:dyDescent="0.25">
      <c r="BR1094"/>
    </row>
    <row r="1095" spans="70:70" x14ac:dyDescent="0.25">
      <c r="BR1095"/>
    </row>
    <row r="1096" spans="70:70" x14ac:dyDescent="0.25">
      <c r="BR1096"/>
    </row>
    <row r="1097" spans="70:70" x14ac:dyDescent="0.25">
      <c r="BR1097"/>
    </row>
    <row r="1098" spans="70:70" x14ac:dyDescent="0.25">
      <c r="BR1098"/>
    </row>
    <row r="1099" spans="70:70" x14ac:dyDescent="0.25">
      <c r="BR1099"/>
    </row>
    <row r="1100" spans="70:70" x14ac:dyDescent="0.25">
      <c r="BR1100"/>
    </row>
    <row r="1101" spans="70:70" x14ac:dyDescent="0.25">
      <c r="BR1101"/>
    </row>
    <row r="1102" spans="70:70" x14ac:dyDescent="0.25">
      <c r="BR1102"/>
    </row>
    <row r="1103" spans="70:70" x14ac:dyDescent="0.25">
      <c r="BR1103"/>
    </row>
    <row r="1104" spans="70:70" x14ac:dyDescent="0.25">
      <c r="BR1104"/>
    </row>
    <row r="1105" spans="70:70" x14ac:dyDescent="0.25">
      <c r="BR1105"/>
    </row>
    <row r="1106" spans="70:70" x14ac:dyDescent="0.25">
      <c r="BR1106"/>
    </row>
    <row r="1107" spans="70:70" x14ac:dyDescent="0.25">
      <c r="BR1107"/>
    </row>
    <row r="1108" spans="70:70" x14ac:dyDescent="0.25">
      <c r="BR1108"/>
    </row>
    <row r="1109" spans="70:70" x14ac:dyDescent="0.25">
      <c r="BR1109"/>
    </row>
    <row r="1110" spans="70:70" x14ac:dyDescent="0.25">
      <c r="BR1110"/>
    </row>
    <row r="1111" spans="70:70" x14ac:dyDescent="0.25">
      <c r="BR1111"/>
    </row>
    <row r="1112" spans="70:70" x14ac:dyDescent="0.25">
      <c r="BR1112"/>
    </row>
    <row r="1113" spans="70:70" x14ac:dyDescent="0.25">
      <c r="BR1113"/>
    </row>
    <row r="1114" spans="70:70" x14ac:dyDescent="0.25">
      <c r="BR1114"/>
    </row>
    <row r="1115" spans="70:70" x14ac:dyDescent="0.25">
      <c r="BR1115"/>
    </row>
    <row r="1116" spans="70:70" x14ac:dyDescent="0.25">
      <c r="BR1116"/>
    </row>
    <row r="1117" spans="70:70" x14ac:dyDescent="0.25">
      <c r="BR1117"/>
    </row>
    <row r="1118" spans="70:70" x14ac:dyDescent="0.25">
      <c r="BR1118"/>
    </row>
    <row r="1119" spans="70:70" x14ac:dyDescent="0.25">
      <c r="BR1119"/>
    </row>
    <row r="1120" spans="70:70" x14ac:dyDescent="0.25">
      <c r="BR1120"/>
    </row>
    <row r="1121" spans="70:70" x14ac:dyDescent="0.25">
      <c r="BR1121"/>
    </row>
    <row r="1122" spans="70:70" x14ac:dyDescent="0.25">
      <c r="BR1122"/>
    </row>
    <row r="1123" spans="70:70" x14ac:dyDescent="0.25">
      <c r="BR1123"/>
    </row>
    <row r="1124" spans="70:70" x14ac:dyDescent="0.25">
      <c r="BR1124"/>
    </row>
    <row r="1125" spans="70:70" x14ac:dyDescent="0.25">
      <c r="BR1125"/>
    </row>
    <row r="1126" spans="70:70" x14ac:dyDescent="0.25">
      <c r="BR1126"/>
    </row>
    <row r="1127" spans="70:70" x14ac:dyDescent="0.25">
      <c r="BR1127"/>
    </row>
    <row r="1128" spans="70:70" x14ac:dyDescent="0.25">
      <c r="BR1128"/>
    </row>
    <row r="1129" spans="70:70" x14ac:dyDescent="0.25">
      <c r="BR1129"/>
    </row>
    <row r="1130" spans="70:70" x14ac:dyDescent="0.25">
      <c r="BR1130"/>
    </row>
    <row r="1131" spans="70:70" x14ac:dyDescent="0.25">
      <c r="BR1131"/>
    </row>
    <row r="1132" spans="70:70" x14ac:dyDescent="0.25">
      <c r="BR1132"/>
    </row>
    <row r="1133" spans="70:70" x14ac:dyDescent="0.25">
      <c r="BR1133"/>
    </row>
    <row r="1134" spans="70:70" x14ac:dyDescent="0.25">
      <c r="BR1134"/>
    </row>
    <row r="1135" spans="70:70" x14ac:dyDescent="0.25">
      <c r="BR1135"/>
    </row>
    <row r="1136" spans="70:70" x14ac:dyDescent="0.25">
      <c r="BR1136"/>
    </row>
    <row r="1137" spans="70:70" x14ac:dyDescent="0.25">
      <c r="BR1137"/>
    </row>
    <row r="1138" spans="70:70" x14ac:dyDescent="0.25">
      <c r="BR1138"/>
    </row>
    <row r="1139" spans="70:70" x14ac:dyDescent="0.25">
      <c r="BR1139"/>
    </row>
    <row r="1140" spans="70:70" x14ac:dyDescent="0.25">
      <c r="BR1140"/>
    </row>
    <row r="1141" spans="70:70" x14ac:dyDescent="0.25">
      <c r="BR1141"/>
    </row>
    <row r="1142" spans="70:70" x14ac:dyDescent="0.25">
      <c r="BR1142"/>
    </row>
    <row r="1143" spans="70:70" x14ac:dyDescent="0.25">
      <c r="BR1143"/>
    </row>
    <row r="1144" spans="70:70" x14ac:dyDescent="0.25">
      <c r="BR1144"/>
    </row>
    <row r="1145" spans="70:70" x14ac:dyDescent="0.25">
      <c r="BR1145"/>
    </row>
    <row r="1146" spans="70:70" x14ac:dyDescent="0.25">
      <c r="BR1146"/>
    </row>
    <row r="1147" spans="70:70" x14ac:dyDescent="0.25">
      <c r="BR1147"/>
    </row>
    <row r="1148" spans="70:70" x14ac:dyDescent="0.25">
      <c r="BR1148"/>
    </row>
    <row r="1149" spans="70:70" x14ac:dyDescent="0.25">
      <c r="BR1149"/>
    </row>
    <row r="1150" spans="70:70" x14ac:dyDescent="0.25">
      <c r="BR1150"/>
    </row>
    <row r="1151" spans="70:70" x14ac:dyDescent="0.25">
      <c r="BR1151"/>
    </row>
    <row r="1152" spans="70:70" x14ac:dyDescent="0.25">
      <c r="BR1152"/>
    </row>
    <row r="1153" spans="70:70" x14ac:dyDescent="0.25">
      <c r="BR1153"/>
    </row>
    <row r="1154" spans="70:70" x14ac:dyDescent="0.25">
      <c r="BR1154"/>
    </row>
    <row r="1155" spans="70:70" x14ac:dyDescent="0.25">
      <c r="BR1155"/>
    </row>
    <row r="1156" spans="70:70" x14ac:dyDescent="0.25">
      <c r="BR1156"/>
    </row>
    <row r="1157" spans="70:70" x14ac:dyDescent="0.25">
      <c r="BR1157"/>
    </row>
    <row r="1158" spans="70:70" x14ac:dyDescent="0.25">
      <c r="BR1158"/>
    </row>
    <row r="1159" spans="70:70" x14ac:dyDescent="0.25">
      <c r="BR1159"/>
    </row>
    <row r="1160" spans="70:70" x14ac:dyDescent="0.25">
      <c r="BR1160"/>
    </row>
    <row r="1161" spans="70:70" x14ac:dyDescent="0.25">
      <c r="BR1161"/>
    </row>
    <row r="1162" spans="70:70" x14ac:dyDescent="0.25">
      <c r="BR1162"/>
    </row>
    <row r="1163" spans="70:70" x14ac:dyDescent="0.25">
      <c r="BR1163"/>
    </row>
    <row r="1164" spans="70:70" x14ac:dyDescent="0.25">
      <c r="BR1164"/>
    </row>
    <row r="1165" spans="70:70" x14ac:dyDescent="0.25">
      <c r="BR1165"/>
    </row>
    <row r="1166" spans="70:70" x14ac:dyDescent="0.25">
      <c r="BR1166"/>
    </row>
    <row r="1167" spans="70:70" x14ac:dyDescent="0.25">
      <c r="BR1167"/>
    </row>
    <row r="1168" spans="70:70" x14ac:dyDescent="0.25">
      <c r="BR1168"/>
    </row>
    <row r="1169" spans="70:70" x14ac:dyDescent="0.25">
      <c r="BR1169"/>
    </row>
    <row r="1170" spans="70:70" x14ac:dyDescent="0.25">
      <c r="BR1170"/>
    </row>
    <row r="1171" spans="70:70" x14ac:dyDescent="0.25">
      <c r="BR1171"/>
    </row>
    <row r="1172" spans="70:70" x14ac:dyDescent="0.25">
      <c r="BR1172"/>
    </row>
    <row r="1173" spans="70:70" x14ac:dyDescent="0.25">
      <c r="BR1173"/>
    </row>
    <row r="1174" spans="70:70" x14ac:dyDescent="0.25">
      <c r="BR1174"/>
    </row>
    <row r="1175" spans="70:70" x14ac:dyDescent="0.25">
      <c r="BR1175"/>
    </row>
    <row r="1176" spans="70:70" x14ac:dyDescent="0.25">
      <c r="BR1176"/>
    </row>
    <row r="1177" spans="70:70" x14ac:dyDescent="0.25">
      <c r="BR1177"/>
    </row>
    <row r="1178" spans="70:70" x14ac:dyDescent="0.25">
      <c r="BR1178"/>
    </row>
    <row r="1179" spans="70:70" x14ac:dyDescent="0.25">
      <c r="BR1179"/>
    </row>
    <row r="1180" spans="70:70" x14ac:dyDescent="0.25">
      <c r="BR1180"/>
    </row>
    <row r="1181" spans="70:70" x14ac:dyDescent="0.25">
      <c r="BR1181"/>
    </row>
    <row r="1182" spans="70:70" x14ac:dyDescent="0.25">
      <c r="BR1182"/>
    </row>
    <row r="1183" spans="70:70" x14ac:dyDescent="0.25">
      <c r="BR1183"/>
    </row>
    <row r="1184" spans="70:70" x14ac:dyDescent="0.25">
      <c r="BR1184"/>
    </row>
    <row r="1185" spans="70:70" x14ac:dyDescent="0.25">
      <c r="BR1185"/>
    </row>
    <row r="1186" spans="70:70" x14ac:dyDescent="0.25">
      <c r="BR1186"/>
    </row>
    <row r="1187" spans="70:70" x14ac:dyDescent="0.25">
      <c r="BR1187"/>
    </row>
    <row r="1188" spans="70:70" x14ac:dyDescent="0.25">
      <c r="BR1188"/>
    </row>
    <row r="1189" spans="70:70" x14ac:dyDescent="0.25">
      <c r="BR1189"/>
    </row>
    <row r="1190" spans="70:70" x14ac:dyDescent="0.25">
      <c r="BR1190"/>
    </row>
    <row r="1191" spans="70:70" x14ac:dyDescent="0.25">
      <c r="BR1191"/>
    </row>
    <row r="1192" spans="70:70" x14ac:dyDescent="0.25">
      <c r="BR1192"/>
    </row>
    <row r="1193" spans="70:70" x14ac:dyDescent="0.25">
      <c r="BR1193"/>
    </row>
    <row r="1194" spans="70:70" x14ac:dyDescent="0.25">
      <c r="BR1194"/>
    </row>
    <row r="1195" spans="70:70" x14ac:dyDescent="0.25">
      <c r="BR1195"/>
    </row>
    <row r="1196" spans="70:70" x14ac:dyDescent="0.25">
      <c r="BR1196"/>
    </row>
    <row r="1197" spans="70:70" x14ac:dyDescent="0.25">
      <c r="BR1197"/>
    </row>
    <row r="1198" spans="70:70" x14ac:dyDescent="0.25">
      <c r="BR1198"/>
    </row>
    <row r="1199" spans="70:70" x14ac:dyDescent="0.25">
      <c r="BR1199"/>
    </row>
    <row r="1200" spans="70:70" x14ac:dyDescent="0.25">
      <c r="BR1200"/>
    </row>
    <row r="1201" spans="70:70" x14ac:dyDescent="0.25">
      <c r="BR1201"/>
    </row>
    <row r="1202" spans="70:70" x14ac:dyDescent="0.25">
      <c r="BR1202"/>
    </row>
    <row r="1203" spans="70:70" x14ac:dyDescent="0.25">
      <c r="BR1203"/>
    </row>
    <row r="1204" spans="70:70" x14ac:dyDescent="0.25">
      <c r="BR1204"/>
    </row>
    <row r="1205" spans="70:70" x14ac:dyDescent="0.25">
      <c r="BR1205"/>
    </row>
    <row r="1206" spans="70:70" x14ac:dyDescent="0.25">
      <c r="BR1206"/>
    </row>
    <row r="1207" spans="70:70" x14ac:dyDescent="0.25">
      <c r="BR1207"/>
    </row>
    <row r="1208" spans="70:70" x14ac:dyDescent="0.25">
      <c r="BR1208"/>
    </row>
    <row r="1209" spans="70:70" x14ac:dyDescent="0.25">
      <c r="BR1209"/>
    </row>
    <row r="1210" spans="70:70" x14ac:dyDescent="0.25">
      <c r="BR1210"/>
    </row>
    <row r="1211" spans="70:70" x14ac:dyDescent="0.25">
      <c r="BR1211"/>
    </row>
    <row r="1212" spans="70:70" x14ac:dyDescent="0.25">
      <c r="BR1212"/>
    </row>
    <row r="1213" spans="70:70" x14ac:dyDescent="0.25">
      <c r="BR1213"/>
    </row>
    <row r="1214" spans="70:70" x14ac:dyDescent="0.25">
      <c r="BR1214"/>
    </row>
    <row r="1215" spans="70:70" x14ac:dyDescent="0.25">
      <c r="BR1215"/>
    </row>
    <row r="1216" spans="70:70" x14ac:dyDescent="0.25">
      <c r="BR1216"/>
    </row>
    <row r="1217" spans="70:70" x14ac:dyDescent="0.25">
      <c r="BR1217"/>
    </row>
    <row r="1218" spans="70:70" x14ac:dyDescent="0.25">
      <c r="BR1218"/>
    </row>
    <row r="1219" spans="70:70" x14ac:dyDescent="0.25">
      <c r="BR1219"/>
    </row>
    <row r="1220" spans="70:70" x14ac:dyDescent="0.25">
      <c r="BR1220"/>
    </row>
    <row r="1221" spans="70:70" x14ac:dyDescent="0.25">
      <c r="BR1221"/>
    </row>
    <row r="1222" spans="70:70" x14ac:dyDescent="0.25">
      <c r="BR1222"/>
    </row>
    <row r="1223" spans="70:70" x14ac:dyDescent="0.25">
      <c r="BR1223"/>
    </row>
    <row r="1224" spans="70:70" x14ac:dyDescent="0.25">
      <c r="BR1224"/>
    </row>
    <row r="1225" spans="70:70" x14ac:dyDescent="0.25">
      <c r="BR1225"/>
    </row>
    <row r="1226" spans="70:70" x14ac:dyDescent="0.25">
      <c r="BR1226"/>
    </row>
    <row r="1227" spans="70:70" x14ac:dyDescent="0.25">
      <c r="BR1227"/>
    </row>
    <row r="1228" spans="70:70" x14ac:dyDescent="0.25">
      <c r="BR1228"/>
    </row>
    <row r="1229" spans="70:70" x14ac:dyDescent="0.25">
      <c r="BR1229"/>
    </row>
    <row r="1230" spans="70:70" x14ac:dyDescent="0.25">
      <c r="BR1230"/>
    </row>
    <row r="1231" spans="70:70" x14ac:dyDescent="0.25">
      <c r="BR1231"/>
    </row>
    <row r="1232" spans="70:70" x14ac:dyDescent="0.25">
      <c r="BR1232"/>
    </row>
    <row r="1233" spans="70:70" x14ac:dyDescent="0.25">
      <c r="BR1233"/>
    </row>
    <row r="1234" spans="70:70" x14ac:dyDescent="0.25">
      <c r="BR1234"/>
    </row>
    <row r="1235" spans="70:70" x14ac:dyDescent="0.25">
      <c r="BR1235"/>
    </row>
    <row r="1236" spans="70:70" x14ac:dyDescent="0.25">
      <c r="BR1236"/>
    </row>
    <row r="1237" spans="70:70" x14ac:dyDescent="0.25">
      <c r="BR1237"/>
    </row>
    <row r="1238" spans="70:70" x14ac:dyDescent="0.25">
      <c r="BR1238"/>
    </row>
    <row r="1239" spans="70:70" x14ac:dyDescent="0.25">
      <c r="BR1239"/>
    </row>
    <row r="1240" spans="70:70" x14ac:dyDescent="0.25">
      <c r="BR1240"/>
    </row>
    <row r="1241" spans="70:70" x14ac:dyDescent="0.25">
      <c r="BR1241"/>
    </row>
    <row r="1242" spans="70:70" x14ac:dyDescent="0.25">
      <c r="BR1242"/>
    </row>
    <row r="1243" spans="70:70" x14ac:dyDescent="0.25">
      <c r="BR1243"/>
    </row>
    <row r="1244" spans="70:70" x14ac:dyDescent="0.25">
      <c r="BR1244"/>
    </row>
    <row r="1245" spans="70:70" x14ac:dyDescent="0.25">
      <c r="BR1245"/>
    </row>
    <row r="1246" spans="70:70" x14ac:dyDescent="0.25">
      <c r="BR1246"/>
    </row>
    <row r="1247" spans="70:70" x14ac:dyDescent="0.25">
      <c r="BR1247"/>
    </row>
    <row r="1248" spans="70:70" x14ac:dyDescent="0.25">
      <c r="BR1248"/>
    </row>
    <row r="1249" spans="70:70" x14ac:dyDescent="0.25">
      <c r="BR1249"/>
    </row>
    <row r="1250" spans="70:70" x14ac:dyDescent="0.25">
      <c r="BR1250"/>
    </row>
    <row r="1251" spans="70:70" x14ac:dyDescent="0.25">
      <c r="BR1251"/>
    </row>
    <row r="1252" spans="70:70" x14ac:dyDescent="0.25">
      <c r="BR1252"/>
    </row>
    <row r="1253" spans="70:70" x14ac:dyDescent="0.25">
      <c r="BR1253"/>
    </row>
    <row r="1254" spans="70:70" x14ac:dyDescent="0.25">
      <c r="BR1254"/>
    </row>
    <row r="1255" spans="70:70" x14ac:dyDescent="0.25">
      <c r="BR1255"/>
    </row>
    <row r="1256" spans="70:70" x14ac:dyDescent="0.25">
      <c r="BR1256"/>
    </row>
    <row r="1257" spans="70:70" x14ac:dyDescent="0.25">
      <c r="BR1257"/>
    </row>
    <row r="1258" spans="70:70" x14ac:dyDescent="0.25">
      <c r="BR1258"/>
    </row>
    <row r="1259" spans="70:70" x14ac:dyDescent="0.25">
      <c r="BR1259"/>
    </row>
    <row r="1260" spans="70:70" x14ac:dyDescent="0.25">
      <c r="BR1260"/>
    </row>
    <row r="1261" spans="70:70" x14ac:dyDescent="0.25">
      <c r="BR1261"/>
    </row>
    <row r="1262" spans="70:70" x14ac:dyDescent="0.25">
      <c r="BR1262"/>
    </row>
    <row r="1263" spans="70:70" x14ac:dyDescent="0.25">
      <c r="BR1263"/>
    </row>
    <row r="1264" spans="70:70" x14ac:dyDescent="0.25">
      <c r="BR1264"/>
    </row>
    <row r="1265" spans="70:70" x14ac:dyDescent="0.25">
      <c r="BR1265"/>
    </row>
    <row r="1266" spans="70:70" x14ac:dyDescent="0.25">
      <c r="BR1266"/>
    </row>
    <row r="1267" spans="70:70" x14ac:dyDescent="0.25">
      <c r="BR1267"/>
    </row>
    <row r="1268" spans="70:70" x14ac:dyDescent="0.25">
      <c r="BR1268"/>
    </row>
    <row r="1269" spans="70:70" x14ac:dyDescent="0.25">
      <c r="BR1269"/>
    </row>
    <row r="1270" spans="70:70" x14ac:dyDescent="0.25">
      <c r="BR1270"/>
    </row>
    <row r="1271" spans="70:70" x14ac:dyDescent="0.25">
      <c r="BR1271"/>
    </row>
    <row r="1272" spans="70:70" x14ac:dyDescent="0.25">
      <c r="BR1272"/>
    </row>
    <row r="1273" spans="70:70" x14ac:dyDescent="0.25">
      <c r="BR1273"/>
    </row>
    <row r="1274" spans="70:70" x14ac:dyDescent="0.25">
      <c r="BR1274"/>
    </row>
    <row r="1275" spans="70:70" x14ac:dyDescent="0.25">
      <c r="BR1275"/>
    </row>
    <row r="1276" spans="70:70" x14ac:dyDescent="0.25">
      <c r="BR1276"/>
    </row>
    <row r="1277" spans="70:70" x14ac:dyDescent="0.25">
      <c r="BR1277"/>
    </row>
    <row r="1278" spans="70:70" x14ac:dyDescent="0.25">
      <c r="BR1278"/>
    </row>
    <row r="1279" spans="70:70" x14ac:dyDescent="0.25">
      <c r="BR1279"/>
    </row>
    <row r="1280" spans="70:70" x14ac:dyDescent="0.25">
      <c r="BR1280"/>
    </row>
    <row r="1281" spans="70:70" x14ac:dyDescent="0.25">
      <c r="BR1281"/>
    </row>
    <row r="1282" spans="70:70" x14ac:dyDescent="0.25">
      <c r="BR1282"/>
    </row>
    <row r="1283" spans="70:70" x14ac:dyDescent="0.25">
      <c r="BR1283"/>
    </row>
    <row r="1284" spans="70:70" x14ac:dyDescent="0.25">
      <c r="BR1284"/>
    </row>
    <row r="1285" spans="70:70" x14ac:dyDescent="0.25">
      <c r="BR1285"/>
    </row>
    <row r="1286" spans="70:70" x14ac:dyDescent="0.25">
      <c r="BR1286"/>
    </row>
    <row r="1287" spans="70:70" x14ac:dyDescent="0.25">
      <c r="BR1287"/>
    </row>
    <row r="1288" spans="70:70" x14ac:dyDescent="0.25">
      <c r="BR1288"/>
    </row>
    <row r="1289" spans="70:70" x14ac:dyDescent="0.25">
      <c r="BR1289"/>
    </row>
    <row r="1290" spans="70:70" x14ac:dyDescent="0.25">
      <c r="BR1290"/>
    </row>
    <row r="1291" spans="70:70" x14ac:dyDescent="0.25">
      <c r="BR1291"/>
    </row>
    <row r="1292" spans="70:70" x14ac:dyDescent="0.25">
      <c r="BR1292"/>
    </row>
    <row r="1293" spans="70:70" x14ac:dyDescent="0.25">
      <c r="BR1293"/>
    </row>
    <row r="1294" spans="70:70" x14ac:dyDescent="0.25">
      <c r="BR1294"/>
    </row>
    <row r="1295" spans="70:70" x14ac:dyDescent="0.25">
      <c r="BR1295"/>
    </row>
    <row r="1296" spans="70:70" x14ac:dyDescent="0.25">
      <c r="BR1296"/>
    </row>
    <row r="1297" spans="70:70" x14ac:dyDescent="0.25">
      <c r="BR1297"/>
    </row>
    <row r="1298" spans="70:70" x14ac:dyDescent="0.25">
      <c r="BR1298"/>
    </row>
    <row r="1299" spans="70:70" x14ac:dyDescent="0.25">
      <c r="BR1299"/>
    </row>
    <row r="1300" spans="70:70" x14ac:dyDescent="0.25">
      <c r="BR1300"/>
    </row>
    <row r="1301" spans="70:70" x14ac:dyDescent="0.25">
      <c r="BR1301"/>
    </row>
    <row r="1302" spans="70:70" x14ac:dyDescent="0.25">
      <c r="BR1302"/>
    </row>
    <row r="1303" spans="70:70" x14ac:dyDescent="0.25">
      <c r="BR1303"/>
    </row>
    <row r="1304" spans="70:70" x14ac:dyDescent="0.25">
      <c r="BR1304"/>
    </row>
    <row r="1305" spans="70:70" x14ac:dyDescent="0.25">
      <c r="BR1305"/>
    </row>
    <row r="1306" spans="70:70" x14ac:dyDescent="0.25">
      <c r="BR1306"/>
    </row>
    <row r="1307" spans="70:70" x14ac:dyDescent="0.25">
      <c r="BR1307"/>
    </row>
    <row r="1308" spans="70:70" x14ac:dyDescent="0.25">
      <c r="BR1308"/>
    </row>
    <row r="1309" spans="70:70" x14ac:dyDescent="0.25">
      <c r="BR1309"/>
    </row>
    <row r="1310" spans="70:70" x14ac:dyDescent="0.25">
      <c r="BR1310"/>
    </row>
    <row r="1311" spans="70:70" x14ac:dyDescent="0.25">
      <c r="BR1311"/>
    </row>
    <row r="1312" spans="70:70" x14ac:dyDescent="0.25">
      <c r="BR1312"/>
    </row>
    <row r="1313" spans="70:70" x14ac:dyDescent="0.25">
      <c r="BR1313"/>
    </row>
    <row r="1314" spans="70:70" x14ac:dyDescent="0.25">
      <c r="BR1314"/>
    </row>
    <row r="1315" spans="70:70" x14ac:dyDescent="0.25">
      <c r="BR1315"/>
    </row>
    <row r="1316" spans="70:70" x14ac:dyDescent="0.25">
      <c r="BR1316"/>
    </row>
    <row r="1317" spans="70:70" x14ac:dyDescent="0.25">
      <c r="BR1317"/>
    </row>
    <row r="1318" spans="70:70" x14ac:dyDescent="0.25">
      <c r="BR1318"/>
    </row>
    <row r="1319" spans="70:70" x14ac:dyDescent="0.25">
      <c r="BR1319"/>
    </row>
    <row r="1320" spans="70:70" x14ac:dyDescent="0.25">
      <c r="BR1320"/>
    </row>
    <row r="1321" spans="70:70" x14ac:dyDescent="0.25">
      <c r="BR1321"/>
    </row>
    <row r="1322" spans="70:70" x14ac:dyDescent="0.25">
      <c r="BR1322"/>
    </row>
    <row r="1323" spans="70:70" x14ac:dyDescent="0.25">
      <c r="BR1323"/>
    </row>
    <row r="1324" spans="70:70" x14ac:dyDescent="0.25">
      <c r="BR1324"/>
    </row>
    <row r="1325" spans="70:70" x14ac:dyDescent="0.25">
      <c r="BR1325"/>
    </row>
    <row r="1326" spans="70:70" x14ac:dyDescent="0.25">
      <c r="BR1326"/>
    </row>
    <row r="1327" spans="70:70" x14ac:dyDescent="0.25">
      <c r="BR1327"/>
    </row>
    <row r="1328" spans="70:70" x14ac:dyDescent="0.25">
      <c r="BR1328"/>
    </row>
    <row r="1329" spans="70:70" x14ac:dyDescent="0.25">
      <c r="BR1329"/>
    </row>
    <row r="1330" spans="70:70" x14ac:dyDescent="0.25">
      <c r="BR1330"/>
    </row>
    <row r="1331" spans="70:70" x14ac:dyDescent="0.25">
      <c r="BR1331"/>
    </row>
    <row r="1332" spans="70:70" x14ac:dyDescent="0.25">
      <c r="BR1332"/>
    </row>
    <row r="1333" spans="70:70" x14ac:dyDescent="0.25">
      <c r="BR1333"/>
    </row>
    <row r="1334" spans="70:70" x14ac:dyDescent="0.25">
      <c r="BR1334"/>
    </row>
    <row r="1335" spans="70:70" x14ac:dyDescent="0.25">
      <c r="BR1335"/>
    </row>
    <row r="1336" spans="70:70" x14ac:dyDescent="0.25">
      <c r="BR1336"/>
    </row>
    <row r="1337" spans="70:70" x14ac:dyDescent="0.25">
      <c r="BR1337"/>
    </row>
    <row r="1338" spans="70:70" x14ac:dyDescent="0.25">
      <c r="BR1338"/>
    </row>
    <row r="1339" spans="70:70" x14ac:dyDescent="0.25">
      <c r="BR1339"/>
    </row>
    <row r="1340" spans="70:70" x14ac:dyDescent="0.25">
      <c r="BR1340"/>
    </row>
    <row r="1341" spans="70:70" x14ac:dyDescent="0.25">
      <c r="BR1341"/>
    </row>
    <row r="1342" spans="70:70" x14ac:dyDescent="0.25">
      <c r="BR1342"/>
    </row>
    <row r="1343" spans="70:70" x14ac:dyDescent="0.25">
      <c r="BR1343"/>
    </row>
    <row r="1344" spans="70:70" x14ac:dyDescent="0.25">
      <c r="BR1344"/>
    </row>
    <row r="1345" spans="70:70" x14ac:dyDescent="0.25">
      <c r="BR1345"/>
    </row>
    <row r="1346" spans="70:70" x14ac:dyDescent="0.25">
      <c r="BR1346"/>
    </row>
    <row r="1347" spans="70:70" x14ac:dyDescent="0.25">
      <c r="BR1347"/>
    </row>
    <row r="1348" spans="70:70" x14ac:dyDescent="0.25">
      <c r="BR1348"/>
    </row>
    <row r="1349" spans="70:70" x14ac:dyDescent="0.25">
      <c r="BR1349"/>
    </row>
    <row r="1350" spans="70:70" x14ac:dyDescent="0.25">
      <c r="BR1350"/>
    </row>
    <row r="1351" spans="70:70" x14ac:dyDescent="0.25">
      <c r="BR1351"/>
    </row>
    <row r="1352" spans="70:70" x14ac:dyDescent="0.25">
      <c r="BR1352"/>
    </row>
    <row r="1353" spans="70:70" x14ac:dyDescent="0.25">
      <c r="BR1353"/>
    </row>
    <row r="1354" spans="70:70" x14ac:dyDescent="0.25">
      <c r="BR1354"/>
    </row>
    <row r="1355" spans="70:70" x14ac:dyDescent="0.25">
      <c r="BR1355"/>
    </row>
    <row r="1356" spans="70:70" x14ac:dyDescent="0.25">
      <c r="BR1356"/>
    </row>
    <row r="1357" spans="70:70" x14ac:dyDescent="0.25">
      <c r="BR1357"/>
    </row>
    <row r="1358" spans="70:70" x14ac:dyDescent="0.25">
      <c r="BR1358"/>
    </row>
    <row r="1359" spans="70:70" x14ac:dyDescent="0.25">
      <c r="BR1359"/>
    </row>
    <row r="1360" spans="70:70" x14ac:dyDescent="0.25">
      <c r="BR1360"/>
    </row>
    <row r="1361" spans="70:70" x14ac:dyDescent="0.25">
      <c r="BR1361"/>
    </row>
    <row r="1362" spans="70:70" x14ac:dyDescent="0.25">
      <c r="BR1362"/>
    </row>
    <row r="1363" spans="70:70" x14ac:dyDescent="0.25">
      <c r="BR1363"/>
    </row>
    <row r="1364" spans="70:70" x14ac:dyDescent="0.25">
      <c r="BR1364"/>
    </row>
    <row r="1365" spans="70:70" x14ac:dyDescent="0.25">
      <c r="BR1365"/>
    </row>
    <row r="1366" spans="70:70" x14ac:dyDescent="0.25">
      <c r="BR1366"/>
    </row>
    <row r="1367" spans="70:70" x14ac:dyDescent="0.25">
      <c r="BR1367"/>
    </row>
    <row r="1368" spans="70:70" x14ac:dyDescent="0.25">
      <c r="BR1368"/>
    </row>
    <row r="1369" spans="70:70" x14ac:dyDescent="0.25">
      <c r="BR1369"/>
    </row>
    <row r="1370" spans="70:70" x14ac:dyDescent="0.25">
      <c r="BR1370"/>
    </row>
    <row r="1371" spans="70:70" x14ac:dyDescent="0.25">
      <c r="BR1371"/>
    </row>
    <row r="1372" spans="70:70" x14ac:dyDescent="0.25">
      <c r="BR1372"/>
    </row>
    <row r="1373" spans="70:70" x14ac:dyDescent="0.25">
      <c r="BR1373"/>
    </row>
    <row r="1374" spans="70:70" x14ac:dyDescent="0.25">
      <c r="BR1374"/>
    </row>
    <row r="1375" spans="70:70" x14ac:dyDescent="0.25">
      <c r="BR1375"/>
    </row>
    <row r="1376" spans="70:70" x14ac:dyDescent="0.25">
      <c r="BR1376"/>
    </row>
    <row r="1377" spans="70:70" x14ac:dyDescent="0.25">
      <c r="BR1377"/>
    </row>
    <row r="1378" spans="70:70" x14ac:dyDescent="0.25">
      <c r="BR1378"/>
    </row>
    <row r="1379" spans="70:70" x14ac:dyDescent="0.25">
      <c r="BR1379"/>
    </row>
    <row r="1380" spans="70:70" x14ac:dyDescent="0.25">
      <c r="BR1380"/>
    </row>
    <row r="1381" spans="70:70" x14ac:dyDescent="0.25">
      <c r="BR1381"/>
    </row>
    <row r="1382" spans="70:70" x14ac:dyDescent="0.25">
      <c r="BR1382"/>
    </row>
    <row r="1383" spans="70:70" x14ac:dyDescent="0.25">
      <c r="BR1383"/>
    </row>
    <row r="1384" spans="70:70" x14ac:dyDescent="0.25">
      <c r="BR1384"/>
    </row>
    <row r="1385" spans="70:70" x14ac:dyDescent="0.25">
      <c r="BR1385"/>
    </row>
    <row r="1386" spans="70:70" x14ac:dyDescent="0.25">
      <c r="BR1386"/>
    </row>
    <row r="1387" spans="70:70" x14ac:dyDescent="0.25">
      <c r="BR1387"/>
    </row>
    <row r="1388" spans="70:70" x14ac:dyDescent="0.25">
      <c r="BR1388"/>
    </row>
    <row r="1389" spans="70:70" x14ac:dyDescent="0.25">
      <c r="BR1389"/>
    </row>
    <row r="1390" spans="70:70" x14ac:dyDescent="0.25">
      <c r="BR1390"/>
    </row>
    <row r="1391" spans="70:70" x14ac:dyDescent="0.25">
      <c r="BR1391"/>
    </row>
    <row r="1392" spans="70:70" x14ac:dyDescent="0.25">
      <c r="BR1392"/>
    </row>
    <row r="1393" spans="70:70" x14ac:dyDescent="0.25">
      <c r="BR1393"/>
    </row>
    <row r="1394" spans="70:70" x14ac:dyDescent="0.25">
      <c r="BR1394"/>
    </row>
    <row r="1395" spans="70:70" x14ac:dyDescent="0.25">
      <c r="BR1395"/>
    </row>
    <row r="1396" spans="70:70" x14ac:dyDescent="0.25">
      <c r="BR1396"/>
    </row>
    <row r="1397" spans="70:70" x14ac:dyDescent="0.25">
      <c r="BR1397"/>
    </row>
    <row r="1398" spans="70:70" x14ac:dyDescent="0.25">
      <c r="BR1398"/>
    </row>
    <row r="1399" spans="70:70" x14ac:dyDescent="0.25">
      <c r="BR1399"/>
    </row>
    <row r="1400" spans="70:70" x14ac:dyDescent="0.25">
      <c r="BR1400"/>
    </row>
    <row r="1401" spans="70:70" x14ac:dyDescent="0.25">
      <c r="BR1401"/>
    </row>
    <row r="1402" spans="70:70" x14ac:dyDescent="0.25">
      <c r="BR1402"/>
    </row>
    <row r="1403" spans="70:70" x14ac:dyDescent="0.25">
      <c r="BR1403"/>
    </row>
    <row r="1404" spans="70:70" x14ac:dyDescent="0.25">
      <c r="BR1404"/>
    </row>
    <row r="1405" spans="70:70" x14ac:dyDescent="0.25">
      <c r="BR1405"/>
    </row>
    <row r="1406" spans="70:70" x14ac:dyDescent="0.25">
      <c r="BR1406"/>
    </row>
    <row r="1407" spans="70:70" x14ac:dyDescent="0.25">
      <c r="BR1407"/>
    </row>
    <row r="1408" spans="70:70" x14ac:dyDescent="0.25">
      <c r="BR1408"/>
    </row>
    <row r="1409" spans="70:70" x14ac:dyDescent="0.25">
      <c r="BR1409"/>
    </row>
    <row r="1410" spans="70:70" x14ac:dyDescent="0.25">
      <c r="BR1410"/>
    </row>
    <row r="1411" spans="70:70" x14ac:dyDescent="0.25">
      <c r="BR1411"/>
    </row>
    <row r="1412" spans="70:70" x14ac:dyDescent="0.25">
      <c r="BR1412"/>
    </row>
    <row r="1413" spans="70:70" x14ac:dyDescent="0.25">
      <c r="BR1413"/>
    </row>
    <row r="1414" spans="70:70" x14ac:dyDescent="0.25">
      <c r="BR1414"/>
    </row>
    <row r="1415" spans="70:70" x14ac:dyDescent="0.25">
      <c r="BR1415"/>
    </row>
    <row r="1416" spans="70:70" x14ac:dyDescent="0.25">
      <c r="BR1416"/>
    </row>
    <row r="1417" spans="70:70" x14ac:dyDescent="0.25">
      <c r="BR1417"/>
    </row>
    <row r="1418" spans="70:70" x14ac:dyDescent="0.25">
      <c r="BR1418"/>
    </row>
    <row r="1419" spans="70:70" x14ac:dyDescent="0.25">
      <c r="BR1419"/>
    </row>
    <row r="1420" spans="70:70" x14ac:dyDescent="0.25">
      <c r="BR1420"/>
    </row>
    <row r="1421" spans="70:70" x14ac:dyDescent="0.25">
      <c r="BR1421"/>
    </row>
    <row r="1422" spans="70:70" x14ac:dyDescent="0.25">
      <c r="BR1422"/>
    </row>
    <row r="1423" spans="70:70" x14ac:dyDescent="0.25">
      <c r="BR1423"/>
    </row>
    <row r="1424" spans="70:70" x14ac:dyDescent="0.25">
      <c r="BR1424"/>
    </row>
    <row r="1425" spans="70:70" x14ac:dyDescent="0.25">
      <c r="BR1425"/>
    </row>
    <row r="1426" spans="70:70" x14ac:dyDescent="0.25">
      <c r="BR1426"/>
    </row>
    <row r="1427" spans="70:70" x14ac:dyDescent="0.25">
      <c r="BR1427"/>
    </row>
    <row r="1428" spans="70:70" x14ac:dyDescent="0.25">
      <c r="BR1428"/>
    </row>
    <row r="1429" spans="70:70" x14ac:dyDescent="0.25">
      <c r="BR1429"/>
    </row>
    <row r="1430" spans="70:70" x14ac:dyDescent="0.25">
      <c r="BR1430"/>
    </row>
    <row r="1431" spans="70:70" x14ac:dyDescent="0.25">
      <c r="BR1431"/>
    </row>
    <row r="1432" spans="70:70" x14ac:dyDescent="0.25">
      <c r="BR1432"/>
    </row>
    <row r="1433" spans="70:70" x14ac:dyDescent="0.25">
      <c r="BR1433"/>
    </row>
    <row r="1434" spans="70:70" x14ac:dyDescent="0.25">
      <c r="BR1434"/>
    </row>
    <row r="1435" spans="70:70" x14ac:dyDescent="0.25">
      <c r="BR1435"/>
    </row>
    <row r="1436" spans="70:70" x14ac:dyDescent="0.25">
      <c r="BR1436"/>
    </row>
    <row r="1437" spans="70:70" x14ac:dyDescent="0.25">
      <c r="BR1437"/>
    </row>
    <row r="1438" spans="70:70" x14ac:dyDescent="0.25">
      <c r="BR1438"/>
    </row>
    <row r="1439" spans="70:70" x14ac:dyDescent="0.25">
      <c r="BR1439"/>
    </row>
    <row r="1440" spans="70:70" x14ac:dyDescent="0.25">
      <c r="BR1440"/>
    </row>
    <row r="1441" spans="70:70" x14ac:dyDescent="0.25">
      <c r="BR1441"/>
    </row>
    <row r="1442" spans="70:70" x14ac:dyDescent="0.25">
      <c r="BR1442"/>
    </row>
    <row r="1443" spans="70:70" x14ac:dyDescent="0.25">
      <c r="BR1443"/>
    </row>
    <row r="1444" spans="70:70" x14ac:dyDescent="0.25">
      <c r="BR1444"/>
    </row>
    <row r="1445" spans="70:70" x14ac:dyDescent="0.25">
      <c r="BR1445"/>
    </row>
    <row r="1446" spans="70:70" x14ac:dyDescent="0.25">
      <c r="BR1446"/>
    </row>
    <row r="1447" spans="70:70" x14ac:dyDescent="0.25">
      <c r="BR1447"/>
    </row>
    <row r="1448" spans="70:70" x14ac:dyDescent="0.25">
      <c r="BR1448"/>
    </row>
    <row r="1449" spans="70:70" x14ac:dyDescent="0.25">
      <c r="BR1449"/>
    </row>
    <row r="1450" spans="70:70" x14ac:dyDescent="0.25">
      <c r="BR1450"/>
    </row>
    <row r="1451" spans="70:70" x14ac:dyDescent="0.25">
      <c r="BR1451"/>
    </row>
    <row r="1452" spans="70:70" x14ac:dyDescent="0.25">
      <c r="BR1452"/>
    </row>
    <row r="1453" spans="70:70" x14ac:dyDescent="0.25">
      <c r="BR1453"/>
    </row>
    <row r="1454" spans="70:70" x14ac:dyDescent="0.25">
      <c r="BR1454"/>
    </row>
    <row r="1455" spans="70:70" x14ac:dyDescent="0.25">
      <c r="BR1455"/>
    </row>
    <row r="1456" spans="70:70" x14ac:dyDescent="0.25">
      <c r="BR1456"/>
    </row>
    <row r="1457" spans="70:70" x14ac:dyDescent="0.25">
      <c r="BR1457"/>
    </row>
    <row r="1458" spans="70:70" x14ac:dyDescent="0.25">
      <c r="BR1458"/>
    </row>
    <row r="1459" spans="70:70" x14ac:dyDescent="0.25">
      <c r="BR1459"/>
    </row>
    <row r="1460" spans="70:70" x14ac:dyDescent="0.25">
      <c r="BR1460"/>
    </row>
    <row r="1461" spans="70:70" x14ac:dyDescent="0.25">
      <c r="BR1461"/>
    </row>
    <row r="1462" spans="70:70" x14ac:dyDescent="0.25">
      <c r="BR1462"/>
    </row>
    <row r="1463" spans="70:70" x14ac:dyDescent="0.25">
      <c r="BR1463"/>
    </row>
    <row r="1464" spans="70:70" x14ac:dyDescent="0.25">
      <c r="BR1464"/>
    </row>
    <row r="1465" spans="70:70" x14ac:dyDescent="0.25">
      <c r="BR1465"/>
    </row>
    <row r="1466" spans="70:70" x14ac:dyDescent="0.25">
      <c r="BR1466"/>
    </row>
    <row r="1467" spans="70:70" x14ac:dyDescent="0.25">
      <c r="BR1467"/>
    </row>
    <row r="1468" spans="70:70" x14ac:dyDescent="0.25">
      <c r="BR1468"/>
    </row>
    <row r="1469" spans="70:70" x14ac:dyDescent="0.25">
      <c r="BR1469"/>
    </row>
    <row r="1470" spans="70:70" x14ac:dyDescent="0.25">
      <c r="BR1470"/>
    </row>
    <row r="1471" spans="70:70" x14ac:dyDescent="0.25">
      <c r="BR1471"/>
    </row>
    <row r="1472" spans="70:70" x14ac:dyDescent="0.25">
      <c r="BR1472"/>
    </row>
    <row r="1473" spans="70:70" x14ac:dyDescent="0.25">
      <c r="BR1473"/>
    </row>
    <row r="1474" spans="70:70" x14ac:dyDescent="0.25">
      <c r="BR1474"/>
    </row>
    <row r="1475" spans="70:70" x14ac:dyDescent="0.25">
      <c r="BR1475"/>
    </row>
    <row r="1476" spans="70:70" x14ac:dyDescent="0.25">
      <c r="BR1476"/>
    </row>
    <row r="1477" spans="70:70" x14ac:dyDescent="0.25">
      <c r="BR1477"/>
    </row>
    <row r="1478" spans="70:70" x14ac:dyDescent="0.25">
      <c r="BR1478"/>
    </row>
    <row r="1479" spans="70:70" x14ac:dyDescent="0.25">
      <c r="BR1479"/>
    </row>
    <row r="1480" spans="70:70" x14ac:dyDescent="0.25">
      <c r="BR1480"/>
    </row>
    <row r="1481" spans="70:70" x14ac:dyDescent="0.25">
      <c r="BR1481"/>
    </row>
    <row r="1482" spans="70:70" x14ac:dyDescent="0.25">
      <c r="BR1482"/>
    </row>
    <row r="1483" spans="70:70" x14ac:dyDescent="0.25">
      <c r="BR1483"/>
    </row>
    <row r="1484" spans="70:70" x14ac:dyDescent="0.25">
      <c r="BR1484"/>
    </row>
    <row r="1485" spans="70:70" x14ac:dyDescent="0.25">
      <c r="BR1485"/>
    </row>
    <row r="1486" spans="70:70" x14ac:dyDescent="0.25">
      <c r="BR1486"/>
    </row>
    <row r="1487" spans="70:70" x14ac:dyDescent="0.25">
      <c r="BR1487"/>
    </row>
    <row r="1488" spans="70:70" x14ac:dyDescent="0.25">
      <c r="BR1488"/>
    </row>
    <row r="1489" spans="70:70" x14ac:dyDescent="0.25">
      <c r="BR1489"/>
    </row>
    <row r="1490" spans="70:70" x14ac:dyDescent="0.25">
      <c r="BR1490"/>
    </row>
    <row r="1491" spans="70:70" x14ac:dyDescent="0.25">
      <c r="BR1491"/>
    </row>
    <row r="1492" spans="70:70" x14ac:dyDescent="0.25">
      <c r="BR1492"/>
    </row>
    <row r="1493" spans="70:70" x14ac:dyDescent="0.25">
      <c r="BR1493"/>
    </row>
    <row r="1494" spans="70:70" x14ac:dyDescent="0.25">
      <c r="BR1494"/>
    </row>
    <row r="1495" spans="70:70" x14ac:dyDescent="0.25">
      <c r="BR1495"/>
    </row>
    <row r="1496" spans="70:70" x14ac:dyDescent="0.25">
      <c r="BR1496"/>
    </row>
    <row r="1497" spans="70:70" x14ac:dyDescent="0.25">
      <c r="BR1497"/>
    </row>
    <row r="1498" spans="70:70" x14ac:dyDescent="0.25">
      <c r="BR1498"/>
    </row>
    <row r="1499" spans="70:70" x14ac:dyDescent="0.25">
      <c r="BR1499"/>
    </row>
    <row r="1500" spans="70:70" x14ac:dyDescent="0.25">
      <c r="BR1500"/>
    </row>
    <row r="1501" spans="70:70" x14ac:dyDescent="0.25">
      <c r="BR1501"/>
    </row>
    <row r="1502" spans="70:70" x14ac:dyDescent="0.25">
      <c r="BR1502"/>
    </row>
    <row r="1503" spans="70:70" x14ac:dyDescent="0.25">
      <c r="BR1503"/>
    </row>
    <row r="1504" spans="70:70" x14ac:dyDescent="0.25">
      <c r="BR1504"/>
    </row>
    <row r="1505" spans="70:70" x14ac:dyDescent="0.25">
      <c r="BR1505"/>
    </row>
    <row r="1506" spans="70:70" x14ac:dyDescent="0.25">
      <c r="BR1506"/>
    </row>
    <row r="1507" spans="70:70" x14ac:dyDescent="0.25">
      <c r="BR1507"/>
    </row>
    <row r="1508" spans="70:70" x14ac:dyDescent="0.25">
      <c r="BR1508"/>
    </row>
    <row r="1509" spans="70:70" x14ac:dyDescent="0.25">
      <c r="BR1509"/>
    </row>
    <row r="1510" spans="70:70" x14ac:dyDescent="0.25">
      <c r="BR1510"/>
    </row>
    <row r="1511" spans="70:70" x14ac:dyDescent="0.25">
      <c r="BR1511"/>
    </row>
    <row r="1512" spans="70:70" x14ac:dyDescent="0.25">
      <c r="BR1512"/>
    </row>
    <row r="1513" spans="70:70" x14ac:dyDescent="0.25">
      <c r="BR1513"/>
    </row>
    <row r="1514" spans="70:70" x14ac:dyDescent="0.25">
      <c r="BR1514"/>
    </row>
    <row r="1515" spans="70:70" x14ac:dyDescent="0.25">
      <c r="BR1515"/>
    </row>
    <row r="1516" spans="70:70" x14ac:dyDescent="0.25">
      <c r="BR1516"/>
    </row>
    <row r="1517" spans="70:70" x14ac:dyDescent="0.25">
      <c r="BR1517"/>
    </row>
    <row r="1518" spans="70:70" x14ac:dyDescent="0.25">
      <c r="BR1518"/>
    </row>
    <row r="1519" spans="70:70" x14ac:dyDescent="0.25">
      <c r="BR1519"/>
    </row>
    <row r="1520" spans="70:70" x14ac:dyDescent="0.25">
      <c r="BR1520"/>
    </row>
    <row r="1521" spans="70:70" x14ac:dyDescent="0.25">
      <c r="BR1521"/>
    </row>
    <row r="1522" spans="70:70" x14ac:dyDescent="0.25">
      <c r="BR1522"/>
    </row>
    <row r="1523" spans="70:70" x14ac:dyDescent="0.25">
      <c r="BR1523"/>
    </row>
    <row r="1524" spans="70:70" x14ac:dyDescent="0.25">
      <c r="BR1524"/>
    </row>
    <row r="1525" spans="70:70" x14ac:dyDescent="0.25">
      <c r="BR1525"/>
    </row>
    <row r="1526" spans="70:70" x14ac:dyDescent="0.25">
      <c r="BR1526"/>
    </row>
    <row r="1527" spans="70:70" x14ac:dyDescent="0.25">
      <c r="BR1527"/>
    </row>
    <row r="1528" spans="70:70" x14ac:dyDescent="0.25">
      <c r="BR1528"/>
    </row>
    <row r="1529" spans="70:70" x14ac:dyDescent="0.25">
      <c r="BR1529"/>
    </row>
    <row r="1530" spans="70:70" x14ac:dyDescent="0.25">
      <c r="BR1530"/>
    </row>
    <row r="1531" spans="70:70" x14ac:dyDescent="0.25">
      <c r="BR1531"/>
    </row>
    <row r="1532" spans="70:70" x14ac:dyDescent="0.25">
      <c r="BR1532"/>
    </row>
    <row r="1533" spans="70:70" x14ac:dyDescent="0.25">
      <c r="BR1533"/>
    </row>
    <row r="1534" spans="70:70" x14ac:dyDescent="0.25">
      <c r="BR1534"/>
    </row>
    <row r="1535" spans="70:70" x14ac:dyDescent="0.25">
      <c r="BR1535"/>
    </row>
    <row r="1536" spans="70:70" x14ac:dyDescent="0.25">
      <c r="BR1536"/>
    </row>
    <row r="1537" spans="70:70" x14ac:dyDescent="0.25">
      <c r="BR1537"/>
    </row>
    <row r="1538" spans="70:70" x14ac:dyDescent="0.25">
      <c r="BR1538"/>
    </row>
    <row r="1539" spans="70:70" x14ac:dyDescent="0.25">
      <c r="BR1539"/>
    </row>
    <row r="1540" spans="70:70" x14ac:dyDescent="0.25">
      <c r="BR1540"/>
    </row>
    <row r="1541" spans="70:70" x14ac:dyDescent="0.25">
      <c r="BR1541"/>
    </row>
    <row r="1542" spans="70:70" x14ac:dyDescent="0.25">
      <c r="BR1542"/>
    </row>
    <row r="1543" spans="70:70" x14ac:dyDescent="0.25">
      <c r="BR1543"/>
    </row>
    <row r="1544" spans="70:70" x14ac:dyDescent="0.25">
      <c r="BR1544"/>
    </row>
    <row r="1545" spans="70:70" x14ac:dyDescent="0.25">
      <c r="BR1545"/>
    </row>
    <row r="1546" spans="70:70" x14ac:dyDescent="0.25">
      <c r="BR1546"/>
    </row>
    <row r="1547" spans="70:70" x14ac:dyDescent="0.25">
      <c r="BR1547"/>
    </row>
    <row r="1548" spans="70:70" x14ac:dyDescent="0.25">
      <c r="BR1548"/>
    </row>
    <row r="1549" spans="70:70" x14ac:dyDescent="0.25">
      <c r="BR1549"/>
    </row>
    <row r="1550" spans="70:70" x14ac:dyDescent="0.25">
      <c r="BR1550"/>
    </row>
    <row r="1551" spans="70:70" x14ac:dyDescent="0.25">
      <c r="BR1551"/>
    </row>
    <row r="1552" spans="70:70" x14ac:dyDescent="0.25">
      <c r="BR1552"/>
    </row>
    <row r="1553" spans="70:70" x14ac:dyDescent="0.25">
      <c r="BR1553"/>
    </row>
    <row r="1554" spans="70:70" x14ac:dyDescent="0.25">
      <c r="BR1554"/>
    </row>
    <row r="1555" spans="70:70" x14ac:dyDescent="0.25">
      <c r="BR1555"/>
    </row>
    <row r="1556" spans="70:70" x14ac:dyDescent="0.25">
      <c r="BR1556"/>
    </row>
    <row r="1557" spans="70:70" x14ac:dyDescent="0.25">
      <c r="BR1557"/>
    </row>
    <row r="1558" spans="70:70" x14ac:dyDescent="0.25">
      <c r="BR1558"/>
    </row>
    <row r="1559" spans="70:70" x14ac:dyDescent="0.25">
      <c r="BR1559"/>
    </row>
    <row r="1560" spans="70:70" x14ac:dyDescent="0.25">
      <c r="BR1560"/>
    </row>
    <row r="1561" spans="70:70" x14ac:dyDescent="0.25">
      <c r="BR1561"/>
    </row>
    <row r="1562" spans="70:70" x14ac:dyDescent="0.25">
      <c r="BR1562"/>
    </row>
    <row r="1563" spans="70:70" x14ac:dyDescent="0.25">
      <c r="BR1563"/>
    </row>
    <row r="1564" spans="70:70" x14ac:dyDescent="0.25">
      <c r="BR1564"/>
    </row>
    <row r="1565" spans="70:70" x14ac:dyDescent="0.25">
      <c r="BR1565"/>
    </row>
    <row r="1566" spans="70:70" x14ac:dyDescent="0.25">
      <c r="BR1566"/>
    </row>
    <row r="1567" spans="70:70" x14ac:dyDescent="0.25">
      <c r="BR1567"/>
    </row>
    <row r="1568" spans="70:70" x14ac:dyDescent="0.25">
      <c r="BR1568"/>
    </row>
    <row r="1569" spans="70:70" x14ac:dyDescent="0.25">
      <c r="BR1569"/>
    </row>
    <row r="1570" spans="70:70" x14ac:dyDescent="0.25">
      <c r="BR1570"/>
    </row>
    <row r="1571" spans="70:70" x14ac:dyDescent="0.25">
      <c r="BR1571"/>
    </row>
    <row r="1572" spans="70:70" x14ac:dyDescent="0.25">
      <c r="BR1572"/>
    </row>
    <row r="1573" spans="70:70" x14ac:dyDescent="0.25">
      <c r="BR1573"/>
    </row>
    <row r="1574" spans="70:70" x14ac:dyDescent="0.25">
      <c r="BR1574"/>
    </row>
    <row r="1575" spans="70:70" x14ac:dyDescent="0.25">
      <c r="BR1575"/>
    </row>
    <row r="1576" spans="70:70" x14ac:dyDescent="0.25">
      <c r="BR1576"/>
    </row>
    <row r="1577" spans="70:70" x14ac:dyDescent="0.25">
      <c r="BR1577"/>
    </row>
    <row r="1578" spans="70:70" x14ac:dyDescent="0.25">
      <c r="BR1578"/>
    </row>
    <row r="1579" spans="70:70" x14ac:dyDescent="0.25">
      <c r="BR1579"/>
    </row>
    <row r="1580" spans="70:70" x14ac:dyDescent="0.25">
      <c r="BR1580"/>
    </row>
    <row r="1581" spans="70:70" x14ac:dyDescent="0.25">
      <c r="BR1581"/>
    </row>
    <row r="1582" spans="70:70" x14ac:dyDescent="0.25">
      <c r="BR1582"/>
    </row>
    <row r="1583" spans="70:70" x14ac:dyDescent="0.25">
      <c r="BR1583"/>
    </row>
    <row r="1584" spans="70:70" x14ac:dyDescent="0.25">
      <c r="BR1584"/>
    </row>
    <row r="1585" spans="70:70" x14ac:dyDescent="0.25">
      <c r="BR1585"/>
    </row>
    <row r="1586" spans="70:70" x14ac:dyDescent="0.25">
      <c r="BR1586"/>
    </row>
    <row r="1587" spans="70:70" x14ac:dyDescent="0.25">
      <c r="BR1587"/>
    </row>
    <row r="1588" spans="70:70" x14ac:dyDescent="0.25">
      <c r="BR1588"/>
    </row>
    <row r="1589" spans="70:70" x14ac:dyDescent="0.25">
      <c r="BR1589"/>
    </row>
    <row r="1590" spans="70:70" x14ac:dyDescent="0.25">
      <c r="BR1590"/>
    </row>
    <row r="1591" spans="70:70" x14ac:dyDescent="0.25">
      <c r="BR1591"/>
    </row>
    <row r="1592" spans="70:70" x14ac:dyDescent="0.25">
      <c r="BR1592"/>
    </row>
    <row r="1593" spans="70:70" x14ac:dyDescent="0.25">
      <c r="BR1593"/>
    </row>
    <row r="1594" spans="70:70" x14ac:dyDescent="0.25">
      <c r="BR1594"/>
    </row>
    <row r="1595" spans="70:70" x14ac:dyDescent="0.25">
      <c r="BR1595"/>
    </row>
    <row r="1596" spans="70:70" x14ac:dyDescent="0.25">
      <c r="BR1596"/>
    </row>
    <row r="1597" spans="70:70" x14ac:dyDescent="0.25">
      <c r="BR1597"/>
    </row>
    <row r="1598" spans="70:70" x14ac:dyDescent="0.25">
      <c r="BR1598"/>
    </row>
    <row r="1599" spans="70:70" x14ac:dyDescent="0.25">
      <c r="BR1599"/>
    </row>
    <row r="1600" spans="70:70" x14ac:dyDescent="0.25">
      <c r="BR1600"/>
    </row>
    <row r="1601" spans="70:70" x14ac:dyDescent="0.25">
      <c r="BR1601"/>
    </row>
    <row r="1602" spans="70:70" x14ac:dyDescent="0.25">
      <c r="BR1602"/>
    </row>
    <row r="1603" spans="70:70" x14ac:dyDescent="0.25">
      <c r="BR1603"/>
    </row>
    <row r="1604" spans="70:70" x14ac:dyDescent="0.25">
      <c r="BR1604"/>
    </row>
    <row r="1605" spans="70:70" x14ac:dyDescent="0.25">
      <c r="BR1605"/>
    </row>
    <row r="1606" spans="70:70" x14ac:dyDescent="0.25">
      <c r="BR1606"/>
    </row>
    <row r="1607" spans="70:70" x14ac:dyDescent="0.25">
      <c r="BR1607"/>
    </row>
    <row r="1608" spans="70:70" x14ac:dyDescent="0.25">
      <c r="BR1608"/>
    </row>
    <row r="1609" spans="70:70" x14ac:dyDescent="0.25">
      <c r="BR1609"/>
    </row>
    <row r="1610" spans="70:70" x14ac:dyDescent="0.25">
      <c r="BR1610"/>
    </row>
    <row r="1611" spans="70:70" x14ac:dyDescent="0.25">
      <c r="BR1611"/>
    </row>
    <row r="1612" spans="70:70" x14ac:dyDescent="0.25">
      <c r="BR1612"/>
    </row>
    <row r="1613" spans="70:70" x14ac:dyDescent="0.25">
      <c r="BR1613"/>
    </row>
    <row r="1614" spans="70:70" x14ac:dyDescent="0.25">
      <c r="BR1614"/>
    </row>
    <row r="1615" spans="70:70" x14ac:dyDescent="0.25">
      <c r="BR1615"/>
    </row>
    <row r="1616" spans="70:70" x14ac:dyDescent="0.25">
      <c r="BR1616"/>
    </row>
    <row r="1617" spans="70:70" x14ac:dyDescent="0.25">
      <c r="BR1617"/>
    </row>
    <row r="1618" spans="70:70" x14ac:dyDescent="0.25">
      <c r="BR1618"/>
    </row>
    <row r="1619" spans="70:70" x14ac:dyDescent="0.25">
      <c r="BR1619"/>
    </row>
    <row r="1620" spans="70:70" x14ac:dyDescent="0.25">
      <c r="BR1620"/>
    </row>
    <row r="1621" spans="70:70" x14ac:dyDescent="0.25">
      <c r="BR1621"/>
    </row>
    <row r="1622" spans="70:70" x14ac:dyDescent="0.25">
      <c r="BR1622"/>
    </row>
    <row r="1623" spans="70:70" x14ac:dyDescent="0.25">
      <c r="BR1623"/>
    </row>
    <row r="1624" spans="70:70" x14ac:dyDescent="0.25">
      <c r="BR1624"/>
    </row>
    <row r="1625" spans="70:70" x14ac:dyDescent="0.25">
      <c r="BR1625"/>
    </row>
    <row r="1626" spans="70:70" x14ac:dyDescent="0.25">
      <c r="BR1626"/>
    </row>
    <row r="1627" spans="70:70" x14ac:dyDescent="0.25">
      <c r="BR1627"/>
    </row>
    <row r="1628" spans="70:70" x14ac:dyDescent="0.25">
      <c r="BR1628"/>
    </row>
    <row r="1629" spans="70:70" x14ac:dyDescent="0.25">
      <c r="BR1629"/>
    </row>
    <row r="1630" spans="70:70" x14ac:dyDescent="0.25">
      <c r="BR1630"/>
    </row>
    <row r="1631" spans="70:70" x14ac:dyDescent="0.25">
      <c r="BR1631"/>
    </row>
    <row r="1632" spans="70:70" x14ac:dyDescent="0.25">
      <c r="BR1632"/>
    </row>
    <row r="1633" spans="70:70" x14ac:dyDescent="0.25">
      <c r="BR1633"/>
    </row>
    <row r="1634" spans="70:70" x14ac:dyDescent="0.25">
      <c r="BR1634"/>
    </row>
    <row r="1635" spans="70:70" x14ac:dyDescent="0.25">
      <c r="BR1635"/>
    </row>
    <row r="1636" spans="70:70" x14ac:dyDescent="0.25">
      <c r="BR1636"/>
    </row>
    <row r="1637" spans="70:70" x14ac:dyDescent="0.25">
      <c r="BR1637"/>
    </row>
    <row r="1638" spans="70:70" x14ac:dyDescent="0.25">
      <c r="BR1638"/>
    </row>
    <row r="1639" spans="70:70" x14ac:dyDescent="0.25">
      <c r="BR1639"/>
    </row>
    <row r="1640" spans="70:70" x14ac:dyDescent="0.25">
      <c r="BR1640"/>
    </row>
    <row r="1641" spans="70:70" x14ac:dyDescent="0.25">
      <c r="BR1641"/>
    </row>
    <row r="1642" spans="70:70" x14ac:dyDescent="0.25">
      <c r="BR1642"/>
    </row>
    <row r="1643" spans="70:70" x14ac:dyDescent="0.25">
      <c r="BR1643"/>
    </row>
    <row r="1644" spans="70:70" x14ac:dyDescent="0.25">
      <c r="BR1644"/>
    </row>
    <row r="1645" spans="70:70" x14ac:dyDescent="0.25">
      <c r="BR1645"/>
    </row>
    <row r="1646" spans="70:70" x14ac:dyDescent="0.25">
      <c r="BR1646"/>
    </row>
    <row r="1647" spans="70:70" x14ac:dyDescent="0.25">
      <c r="BR1647"/>
    </row>
    <row r="1648" spans="70:70" x14ac:dyDescent="0.25">
      <c r="BR1648"/>
    </row>
    <row r="1649" spans="70:70" x14ac:dyDescent="0.25">
      <c r="BR1649"/>
    </row>
    <row r="1650" spans="70:70" x14ac:dyDescent="0.25">
      <c r="BR1650"/>
    </row>
    <row r="1651" spans="70:70" x14ac:dyDescent="0.25">
      <c r="BR1651"/>
    </row>
    <row r="1652" spans="70:70" x14ac:dyDescent="0.25">
      <c r="BR1652"/>
    </row>
    <row r="1653" spans="70:70" x14ac:dyDescent="0.25">
      <c r="BR1653"/>
    </row>
    <row r="1654" spans="70:70" x14ac:dyDescent="0.25">
      <c r="BR1654"/>
    </row>
    <row r="1655" spans="70:70" x14ac:dyDescent="0.25">
      <c r="BR1655"/>
    </row>
    <row r="1656" spans="70:70" x14ac:dyDescent="0.25">
      <c r="BR1656"/>
    </row>
    <row r="1657" spans="70:70" x14ac:dyDescent="0.25">
      <c r="BR1657"/>
    </row>
    <row r="1658" spans="70:70" x14ac:dyDescent="0.25">
      <c r="BR1658"/>
    </row>
    <row r="1659" spans="70:70" x14ac:dyDescent="0.25">
      <c r="BR1659"/>
    </row>
    <row r="1660" spans="70:70" x14ac:dyDescent="0.25">
      <c r="BR1660"/>
    </row>
    <row r="1661" spans="70:70" x14ac:dyDescent="0.25">
      <c r="BR1661"/>
    </row>
    <row r="1662" spans="70:70" x14ac:dyDescent="0.25">
      <c r="BR1662"/>
    </row>
    <row r="1663" spans="70:70" x14ac:dyDescent="0.25">
      <c r="BR1663"/>
    </row>
    <row r="1664" spans="70:70" x14ac:dyDescent="0.25">
      <c r="BR1664"/>
    </row>
    <row r="1665" spans="70:70" x14ac:dyDescent="0.25">
      <c r="BR1665"/>
    </row>
    <row r="1666" spans="70:70" x14ac:dyDescent="0.25">
      <c r="BR1666"/>
    </row>
    <row r="1667" spans="70:70" x14ac:dyDescent="0.25">
      <c r="BR1667"/>
    </row>
    <row r="1668" spans="70:70" x14ac:dyDescent="0.25">
      <c r="BR1668"/>
    </row>
    <row r="1669" spans="70:70" x14ac:dyDescent="0.25">
      <c r="BR1669"/>
    </row>
    <row r="1670" spans="70:70" x14ac:dyDescent="0.25">
      <c r="BR1670"/>
    </row>
    <row r="1671" spans="70:70" x14ac:dyDescent="0.25">
      <c r="BR1671"/>
    </row>
    <row r="1672" spans="70:70" x14ac:dyDescent="0.25">
      <c r="BR1672"/>
    </row>
    <row r="1673" spans="70:70" x14ac:dyDescent="0.25">
      <c r="BR1673"/>
    </row>
    <row r="1674" spans="70:70" x14ac:dyDescent="0.25">
      <c r="BR1674"/>
    </row>
    <row r="1675" spans="70:70" x14ac:dyDescent="0.25">
      <c r="BR1675"/>
    </row>
    <row r="1676" spans="70:70" x14ac:dyDescent="0.25">
      <c r="BR1676"/>
    </row>
    <row r="1677" spans="70:70" x14ac:dyDescent="0.25">
      <c r="BR1677"/>
    </row>
    <row r="1678" spans="70:70" x14ac:dyDescent="0.25">
      <c r="BR1678"/>
    </row>
    <row r="1679" spans="70:70" x14ac:dyDescent="0.25">
      <c r="BR1679"/>
    </row>
    <row r="1680" spans="70:70" x14ac:dyDescent="0.25">
      <c r="BR1680"/>
    </row>
    <row r="1681" spans="70:70" x14ac:dyDescent="0.25">
      <c r="BR1681"/>
    </row>
    <row r="1682" spans="70:70" x14ac:dyDescent="0.25">
      <c r="BR1682"/>
    </row>
    <row r="1683" spans="70:70" x14ac:dyDescent="0.25">
      <c r="BR1683"/>
    </row>
    <row r="1684" spans="70:70" x14ac:dyDescent="0.25">
      <c r="BR1684"/>
    </row>
    <row r="1685" spans="70:70" x14ac:dyDescent="0.25">
      <c r="BR1685"/>
    </row>
    <row r="1686" spans="70:70" x14ac:dyDescent="0.25">
      <c r="BR1686"/>
    </row>
    <row r="1687" spans="70:70" x14ac:dyDescent="0.25">
      <c r="BR1687"/>
    </row>
    <row r="1688" spans="70:70" x14ac:dyDescent="0.25">
      <c r="BR1688"/>
    </row>
    <row r="1689" spans="70:70" x14ac:dyDescent="0.25">
      <c r="BR1689"/>
    </row>
    <row r="1690" spans="70:70" x14ac:dyDescent="0.25">
      <c r="BR1690"/>
    </row>
    <row r="1691" spans="70:70" x14ac:dyDescent="0.25">
      <c r="BR1691"/>
    </row>
    <row r="1692" spans="70:70" x14ac:dyDescent="0.25">
      <c r="BR1692"/>
    </row>
    <row r="1693" spans="70:70" x14ac:dyDescent="0.25">
      <c r="BR1693"/>
    </row>
    <row r="1694" spans="70:70" x14ac:dyDescent="0.25">
      <c r="BR1694"/>
    </row>
    <row r="1695" spans="70:70" x14ac:dyDescent="0.25">
      <c r="BR1695"/>
    </row>
    <row r="1696" spans="70:70" x14ac:dyDescent="0.25">
      <c r="BR1696"/>
    </row>
    <row r="1697" spans="70:70" x14ac:dyDescent="0.25">
      <c r="BR1697"/>
    </row>
    <row r="1698" spans="70:70" x14ac:dyDescent="0.25">
      <c r="BR1698"/>
    </row>
    <row r="1699" spans="70:70" x14ac:dyDescent="0.25">
      <c r="BR1699"/>
    </row>
    <row r="1700" spans="70:70" x14ac:dyDescent="0.25">
      <c r="BR1700"/>
    </row>
    <row r="1701" spans="70:70" x14ac:dyDescent="0.25">
      <c r="BR1701"/>
    </row>
    <row r="1702" spans="70:70" x14ac:dyDescent="0.25">
      <c r="BR1702"/>
    </row>
    <row r="1703" spans="70:70" x14ac:dyDescent="0.25">
      <c r="BR1703"/>
    </row>
    <row r="1704" spans="70:70" x14ac:dyDescent="0.25">
      <c r="BR1704"/>
    </row>
    <row r="1705" spans="70:70" x14ac:dyDescent="0.25">
      <c r="BR1705"/>
    </row>
    <row r="1706" spans="70:70" x14ac:dyDescent="0.25">
      <c r="BR1706"/>
    </row>
    <row r="1707" spans="70:70" x14ac:dyDescent="0.25">
      <c r="BR1707"/>
    </row>
    <row r="1708" spans="70:70" x14ac:dyDescent="0.25">
      <c r="BR1708"/>
    </row>
    <row r="1709" spans="70:70" x14ac:dyDescent="0.25">
      <c r="BR1709"/>
    </row>
    <row r="1710" spans="70:70" x14ac:dyDescent="0.25">
      <c r="BR1710"/>
    </row>
    <row r="1711" spans="70:70" x14ac:dyDescent="0.25">
      <c r="BR1711"/>
    </row>
    <row r="1712" spans="70:70" x14ac:dyDescent="0.25">
      <c r="BR1712"/>
    </row>
    <row r="1713" spans="70:70" x14ac:dyDescent="0.25">
      <c r="BR1713"/>
    </row>
    <row r="1714" spans="70:70" x14ac:dyDescent="0.25">
      <c r="BR1714"/>
    </row>
    <row r="1715" spans="70:70" x14ac:dyDescent="0.25">
      <c r="BR1715"/>
    </row>
    <row r="1716" spans="70:70" x14ac:dyDescent="0.25">
      <c r="BR1716"/>
    </row>
    <row r="1717" spans="70:70" x14ac:dyDescent="0.25">
      <c r="BR1717"/>
    </row>
    <row r="1718" spans="70:70" x14ac:dyDescent="0.25">
      <c r="BR1718"/>
    </row>
    <row r="1719" spans="70:70" x14ac:dyDescent="0.25">
      <c r="BR1719"/>
    </row>
    <row r="1720" spans="70:70" x14ac:dyDescent="0.25">
      <c r="BR1720"/>
    </row>
    <row r="1721" spans="70:70" x14ac:dyDescent="0.25">
      <c r="BR1721"/>
    </row>
    <row r="1722" spans="70:70" x14ac:dyDescent="0.25">
      <c r="BR1722"/>
    </row>
    <row r="1723" spans="70:70" x14ac:dyDescent="0.25">
      <c r="BR1723"/>
    </row>
    <row r="1724" spans="70:70" x14ac:dyDescent="0.25">
      <c r="BR1724"/>
    </row>
    <row r="1725" spans="70:70" x14ac:dyDescent="0.25">
      <c r="BR1725"/>
    </row>
    <row r="1726" spans="70:70" x14ac:dyDescent="0.25">
      <c r="BR1726"/>
    </row>
    <row r="1727" spans="70:70" x14ac:dyDescent="0.25">
      <c r="BR1727"/>
    </row>
    <row r="1728" spans="70:70" x14ac:dyDescent="0.25">
      <c r="BR1728"/>
    </row>
    <row r="1729" spans="70:70" x14ac:dyDescent="0.25">
      <c r="BR1729"/>
    </row>
    <row r="1730" spans="70:70" x14ac:dyDescent="0.25">
      <c r="BR1730"/>
    </row>
    <row r="1731" spans="70:70" x14ac:dyDescent="0.25">
      <c r="BR1731"/>
    </row>
    <row r="1732" spans="70:70" x14ac:dyDescent="0.25">
      <c r="BR1732"/>
    </row>
    <row r="1733" spans="70:70" x14ac:dyDescent="0.25">
      <c r="BR1733"/>
    </row>
    <row r="1734" spans="70:70" x14ac:dyDescent="0.25">
      <c r="BR1734"/>
    </row>
    <row r="1735" spans="70:70" x14ac:dyDescent="0.25">
      <c r="BR1735"/>
    </row>
    <row r="1736" spans="70:70" x14ac:dyDescent="0.25">
      <c r="BR1736"/>
    </row>
    <row r="1737" spans="70:70" x14ac:dyDescent="0.25">
      <c r="BR1737"/>
    </row>
    <row r="1738" spans="70:70" x14ac:dyDescent="0.25">
      <c r="BR1738"/>
    </row>
    <row r="1739" spans="70:70" x14ac:dyDescent="0.25">
      <c r="BR1739"/>
    </row>
    <row r="1740" spans="70:70" x14ac:dyDescent="0.25">
      <c r="BR1740"/>
    </row>
    <row r="1741" spans="70:70" x14ac:dyDescent="0.25">
      <c r="BR1741"/>
    </row>
    <row r="1742" spans="70:70" x14ac:dyDescent="0.25">
      <c r="BR1742"/>
    </row>
    <row r="1743" spans="70:70" x14ac:dyDescent="0.25">
      <c r="BR1743"/>
    </row>
    <row r="1744" spans="70:70" x14ac:dyDescent="0.25">
      <c r="BR1744"/>
    </row>
    <row r="1745" spans="70:70" x14ac:dyDescent="0.25">
      <c r="BR1745"/>
    </row>
    <row r="1746" spans="70:70" x14ac:dyDescent="0.25">
      <c r="BR1746"/>
    </row>
    <row r="1747" spans="70:70" x14ac:dyDescent="0.25">
      <c r="BR1747"/>
    </row>
    <row r="1748" spans="70:70" x14ac:dyDescent="0.25">
      <c r="BR1748"/>
    </row>
    <row r="1749" spans="70:70" x14ac:dyDescent="0.25">
      <c r="BR1749"/>
    </row>
    <row r="1750" spans="70:70" x14ac:dyDescent="0.25">
      <c r="BR1750"/>
    </row>
    <row r="1751" spans="70:70" x14ac:dyDescent="0.25">
      <c r="BR1751"/>
    </row>
    <row r="1752" spans="70:70" x14ac:dyDescent="0.25">
      <c r="BR1752"/>
    </row>
    <row r="1753" spans="70:70" x14ac:dyDescent="0.25">
      <c r="BR1753"/>
    </row>
    <row r="1754" spans="70:70" x14ac:dyDescent="0.25">
      <c r="BR1754"/>
    </row>
    <row r="1755" spans="70:70" x14ac:dyDescent="0.25">
      <c r="BR1755"/>
    </row>
    <row r="1756" spans="70:70" x14ac:dyDescent="0.25">
      <c r="BR1756"/>
    </row>
    <row r="1757" spans="70:70" x14ac:dyDescent="0.25">
      <c r="BR1757"/>
    </row>
    <row r="1758" spans="70:70" x14ac:dyDescent="0.25">
      <c r="BR1758"/>
    </row>
    <row r="1759" spans="70:70" x14ac:dyDescent="0.25">
      <c r="BR1759"/>
    </row>
    <row r="1760" spans="70:70" x14ac:dyDescent="0.25">
      <c r="BR1760"/>
    </row>
    <row r="1761" spans="70:70" x14ac:dyDescent="0.25">
      <c r="BR1761"/>
    </row>
    <row r="1762" spans="70:70" x14ac:dyDescent="0.25">
      <c r="BR1762"/>
    </row>
    <row r="1763" spans="70:70" x14ac:dyDescent="0.25">
      <c r="BR1763"/>
    </row>
    <row r="1764" spans="70:70" x14ac:dyDescent="0.25">
      <c r="BR1764"/>
    </row>
    <row r="1765" spans="70:70" x14ac:dyDescent="0.25">
      <c r="BR1765"/>
    </row>
    <row r="1766" spans="70:70" x14ac:dyDescent="0.25">
      <c r="BR1766"/>
    </row>
    <row r="1767" spans="70:70" x14ac:dyDescent="0.25">
      <c r="BR1767"/>
    </row>
    <row r="1768" spans="70:70" x14ac:dyDescent="0.25">
      <c r="BR1768"/>
    </row>
    <row r="1769" spans="70:70" x14ac:dyDescent="0.25">
      <c r="BR1769"/>
    </row>
    <row r="1770" spans="70:70" x14ac:dyDescent="0.25">
      <c r="BR1770"/>
    </row>
    <row r="1771" spans="70:70" x14ac:dyDescent="0.25">
      <c r="BR1771"/>
    </row>
    <row r="1772" spans="70:70" x14ac:dyDescent="0.25">
      <c r="BR1772"/>
    </row>
    <row r="1773" spans="70:70" x14ac:dyDescent="0.25">
      <c r="BR1773"/>
    </row>
    <row r="1774" spans="70:70" x14ac:dyDescent="0.25">
      <c r="BR1774"/>
    </row>
    <row r="1775" spans="70:70" x14ac:dyDescent="0.25">
      <c r="BR1775"/>
    </row>
    <row r="1776" spans="70:70" x14ac:dyDescent="0.25">
      <c r="BR1776"/>
    </row>
    <row r="1777" spans="70:70" x14ac:dyDescent="0.25">
      <c r="BR1777"/>
    </row>
    <row r="1778" spans="70:70" x14ac:dyDescent="0.25">
      <c r="BR1778"/>
    </row>
    <row r="1779" spans="70:70" x14ac:dyDescent="0.25">
      <c r="BR1779"/>
    </row>
    <row r="1780" spans="70:70" x14ac:dyDescent="0.25">
      <c r="BR1780"/>
    </row>
    <row r="1781" spans="70:70" x14ac:dyDescent="0.25">
      <c r="BR1781"/>
    </row>
    <row r="1782" spans="70:70" x14ac:dyDescent="0.25">
      <c r="BR1782"/>
    </row>
    <row r="1783" spans="70:70" x14ac:dyDescent="0.25">
      <c r="BR1783"/>
    </row>
    <row r="1784" spans="70:70" x14ac:dyDescent="0.25">
      <c r="BR1784"/>
    </row>
    <row r="1785" spans="70:70" x14ac:dyDescent="0.25">
      <c r="BR1785"/>
    </row>
    <row r="1786" spans="70:70" x14ac:dyDescent="0.25">
      <c r="BR1786"/>
    </row>
    <row r="1787" spans="70:70" x14ac:dyDescent="0.25">
      <c r="BR1787"/>
    </row>
    <row r="1788" spans="70:70" x14ac:dyDescent="0.25">
      <c r="BR1788"/>
    </row>
    <row r="1789" spans="70:70" x14ac:dyDescent="0.25">
      <c r="BR1789"/>
    </row>
    <row r="1790" spans="70:70" x14ac:dyDescent="0.25">
      <c r="BR1790"/>
    </row>
    <row r="1791" spans="70:70" x14ac:dyDescent="0.25">
      <c r="BR1791"/>
    </row>
    <row r="1792" spans="70:70" x14ac:dyDescent="0.25">
      <c r="BR1792"/>
    </row>
    <row r="1793" spans="70:70" x14ac:dyDescent="0.25">
      <c r="BR1793"/>
    </row>
    <row r="1794" spans="70:70" x14ac:dyDescent="0.25">
      <c r="BR1794"/>
    </row>
    <row r="1795" spans="70:70" x14ac:dyDescent="0.25">
      <c r="BR1795"/>
    </row>
    <row r="1796" spans="70:70" x14ac:dyDescent="0.25">
      <c r="BR1796"/>
    </row>
    <row r="1797" spans="70:70" x14ac:dyDescent="0.25">
      <c r="BR1797"/>
    </row>
    <row r="1798" spans="70:70" x14ac:dyDescent="0.25">
      <c r="BR1798"/>
    </row>
    <row r="1799" spans="70:70" x14ac:dyDescent="0.25">
      <c r="BR1799"/>
    </row>
    <row r="1800" spans="70:70" x14ac:dyDescent="0.25">
      <c r="BR1800"/>
    </row>
    <row r="1801" spans="70:70" x14ac:dyDescent="0.25">
      <c r="BR1801"/>
    </row>
    <row r="1802" spans="70:70" x14ac:dyDescent="0.25">
      <c r="BR1802"/>
    </row>
    <row r="1803" spans="70:70" x14ac:dyDescent="0.25">
      <c r="BR1803"/>
    </row>
    <row r="1804" spans="70:70" x14ac:dyDescent="0.25">
      <c r="BR1804"/>
    </row>
    <row r="1805" spans="70:70" x14ac:dyDescent="0.25">
      <c r="BR1805"/>
    </row>
    <row r="1806" spans="70:70" x14ac:dyDescent="0.25">
      <c r="BR1806"/>
    </row>
    <row r="1807" spans="70:70" x14ac:dyDescent="0.25">
      <c r="BR1807"/>
    </row>
    <row r="1808" spans="70:70" x14ac:dyDescent="0.25">
      <c r="BR1808"/>
    </row>
    <row r="1809" spans="70:70" x14ac:dyDescent="0.25">
      <c r="BR1809"/>
    </row>
    <row r="1810" spans="70:70" x14ac:dyDescent="0.25">
      <c r="BR1810"/>
    </row>
    <row r="1811" spans="70:70" x14ac:dyDescent="0.25">
      <c r="BR1811"/>
    </row>
    <row r="1812" spans="70:70" x14ac:dyDescent="0.25">
      <c r="BR1812"/>
    </row>
    <row r="1813" spans="70:70" x14ac:dyDescent="0.25">
      <c r="BR1813"/>
    </row>
    <row r="1814" spans="70:70" x14ac:dyDescent="0.25">
      <c r="BR1814"/>
    </row>
    <row r="1815" spans="70:70" x14ac:dyDescent="0.25">
      <c r="BR1815"/>
    </row>
    <row r="1816" spans="70:70" x14ac:dyDescent="0.25">
      <c r="BR1816"/>
    </row>
    <row r="1817" spans="70:70" x14ac:dyDescent="0.25">
      <c r="BR1817"/>
    </row>
    <row r="1818" spans="70:70" x14ac:dyDescent="0.25">
      <c r="BR1818"/>
    </row>
    <row r="1819" spans="70:70" x14ac:dyDescent="0.25">
      <c r="BR1819"/>
    </row>
    <row r="1820" spans="70:70" x14ac:dyDescent="0.25">
      <c r="BR1820"/>
    </row>
    <row r="1821" spans="70:70" x14ac:dyDescent="0.25">
      <c r="BR1821"/>
    </row>
    <row r="1822" spans="70:70" x14ac:dyDescent="0.25">
      <c r="BR1822"/>
    </row>
    <row r="1823" spans="70:70" x14ac:dyDescent="0.25">
      <c r="BR1823"/>
    </row>
    <row r="1824" spans="70:70" x14ac:dyDescent="0.25">
      <c r="BR1824"/>
    </row>
    <row r="1825" spans="70:70" x14ac:dyDescent="0.25">
      <c r="BR1825"/>
    </row>
    <row r="1826" spans="70:70" x14ac:dyDescent="0.25">
      <c r="BR1826"/>
    </row>
    <row r="1827" spans="70:70" x14ac:dyDescent="0.25">
      <c r="BR1827"/>
    </row>
    <row r="1828" spans="70:70" x14ac:dyDescent="0.25">
      <c r="BR1828"/>
    </row>
    <row r="1829" spans="70:70" x14ac:dyDescent="0.25">
      <c r="BR1829"/>
    </row>
    <row r="1830" spans="70:70" x14ac:dyDescent="0.25">
      <c r="BR1830"/>
    </row>
    <row r="1831" spans="70:70" x14ac:dyDescent="0.25">
      <c r="BR1831"/>
    </row>
    <row r="1832" spans="70:70" x14ac:dyDescent="0.25">
      <c r="BR1832"/>
    </row>
    <row r="1833" spans="70:70" x14ac:dyDescent="0.25">
      <c r="BR1833"/>
    </row>
    <row r="1834" spans="70:70" x14ac:dyDescent="0.25">
      <c r="BR1834"/>
    </row>
    <row r="1835" spans="70:70" x14ac:dyDescent="0.25">
      <c r="BR1835"/>
    </row>
    <row r="1836" spans="70:70" x14ac:dyDescent="0.25">
      <c r="BR1836"/>
    </row>
    <row r="1837" spans="70:70" x14ac:dyDescent="0.25">
      <c r="BR1837"/>
    </row>
    <row r="1838" spans="70:70" x14ac:dyDescent="0.25">
      <c r="BR1838"/>
    </row>
    <row r="1839" spans="70:70" x14ac:dyDescent="0.25">
      <c r="BR1839"/>
    </row>
    <row r="1840" spans="70:70" x14ac:dyDescent="0.25">
      <c r="BR1840"/>
    </row>
    <row r="1841" spans="70:70" x14ac:dyDescent="0.25">
      <c r="BR1841"/>
    </row>
    <row r="1842" spans="70:70" x14ac:dyDescent="0.25">
      <c r="BR1842"/>
    </row>
    <row r="1843" spans="70:70" x14ac:dyDescent="0.25">
      <c r="BR1843"/>
    </row>
    <row r="1844" spans="70:70" x14ac:dyDescent="0.25">
      <c r="BR1844"/>
    </row>
    <row r="1845" spans="70:70" x14ac:dyDescent="0.25">
      <c r="BR1845"/>
    </row>
    <row r="1846" spans="70:70" x14ac:dyDescent="0.25">
      <c r="BR1846"/>
    </row>
    <row r="1847" spans="70:70" x14ac:dyDescent="0.25">
      <c r="BR1847"/>
    </row>
    <row r="1848" spans="70:70" x14ac:dyDescent="0.25">
      <c r="BR1848"/>
    </row>
    <row r="1849" spans="70:70" x14ac:dyDescent="0.25">
      <c r="BR1849"/>
    </row>
    <row r="1850" spans="70:70" x14ac:dyDescent="0.25">
      <c r="BR1850"/>
    </row>
    <row r="1851" spans="70:70" x14ac:dyDescent="0.25">
      <c r="BR1851"/>
    </row>
    <row r="1852" spans="70:70" x14ac:dyDescent="0.25">
      <c r="BR1852"/>
    </row>
    <row r="1853" spans="70:70" x14ac:dyDescent="0.25">
      <c r="BR1853"/>
    </row>
    <row r="1854" spans="70:70" x14ac:dyDescent="0.25">
      <c r="BR1854"/>
    </row>
    <row r="1855" spans="70:70" x14ac:dyDescent="0.25">
      <c r="BR1855"/>
    </row>
    <row r="1856" spans="70:70" x14ac:dyDescent="0.25">
      <c r="BR1856"/>
    </row>
    <row r="1857" spans="70:70" x14ac:dyDescent="0.25">
      <c r="BR1857"/>
    </row>
    <row r="1858" spans="70:70" x14ac:dyDescent="0.25">
      <c r="BR1858"/>
    </row>
    <row r="1859" spans="70:70" x14ac:dyDescent="0.25">
      <c r="BR1859"/>
    </row>
    <row r="1860" spans="70:70" x14ac:dyDescent="0.25">
      <c r="BR1860"/>
    </row>
    <row r="1861" spans="70:70" x14ac:dyDescent="0.25">
      <c r="BR1861"/>
    </row>
    <row r="1862" spans="70:70" x14ac:dyDescent="0.25">
      <c r="BR1862"/>
    </row>
    <row r="1863" spans="70:70" x14ac:dyDescent="0.25">
      <c r="BR1863"/>
    </row>
    <row r="1864" spans="70:70" x14ac:dyDescent="0.25">
      <c r="BR1864"/>
    </row>
    <row r="1865" spans="70:70" x14ac:dyDescent="0.25">
      <c r="BR1865"/>
    </row>
    <row r="1866" spans="70:70" x14ac:dyDescent="0.25">
      <c r="BR1866"/>
    </row>
    <row r="1867" spans="70:70" x14ac:dyDescent="0.25">
      <c r="BR1867"/>
    </row>
    <row r="1868" spans="70:70" x14ac:dyDescent="0.25">
      <c r="BR1868"/>
    </row>
    <row r="1869" spans="70:70" x14ac:dyDescent="0.25">
      <c r="BR1869"/>
    </row>
    <row r="1870" spans="70:70" x14ac:dyDescent="0.25">
      <c r="BR1870"/>
    </row>
    <row r="1871" spans="70:70" x14ac:dyDescent="0.25">
      <c r="BR1871"/>
    </row>
    <row r="1872" spans="70:70" x14ac:dyDescent="0.25">
      <c r="BR1872"/>
    </row>
    <row r="1873" spans="70:70" x14ac:dyDescent="0.25">
      <c r="BR1873"/>
    </row>
    <row r="1874" spans="70:70" x14ac:dyDescent="0.25">
      <c r="BR1874"/>
    </row>
    <row r="1875" spans="70:70" x14ac:dyDescent="0.25">
      <c r="BR1875"/>
    </row>
    <row r="1876" spans="70:70" x14ac:dyDescent="0.25">
      <c r="BR1876"/>
    </row>
    <row r="1877" spans="70:70" x14ac:dyDescent="0.25">
      <c r="BR1877"/>
    </row>
    <row r="1878" spans="70:70" x14ac:dyDescent="0.25">
      <c r="BR1878"/>
    </row>
    <row r="1879" spans="70:70" x14ac:dyDescent="0.25">
      <c r="BR1879"/>
    </row>
    <row r="1880" spans="70:70" x14ac:dyDescent="0.25">
      <c r="BR1880"/>
    </row>
    <row r="1881" spans="70:70" x14ac:dyDescent="0.25">
      <c r="BR1881"/>
    </row>
    <row r="1882" spans="70:70" x14ac:dyDescent="0.25">
      <c r="BR1882"/>
    </row>
    <row r="1883" spans="70:70" x14ac:dyDescent="0.25">
      <c r="BR1883"/>
    </row>
    <row r="1884" spans="70:70" x14ac:dyDescent="0.25">
      <c r="BR1884"/>
    </row>
    <row r="1885" spans="70:70" x14ac:dyDescent="0.25">
      <c r="BR1885"/>
    </row>
    <row r="1886" spans="70:70" x14ac:dyDescent="0.25">
      <c r="BR1886"/>
    </row>
    <row r="1887" spans="70:70" x14ac:dyDescent="0.25">
      <c r="BR1887"/>
    </row>
    <row r="1888" spans="70:70" x14ac:dyDescent="0.25">
      <c r="BR1888"/>
    </row>
    <row r="1889" spans="70:70" x14ac:dyDescent="0.25">
      <c r="BR1889"/>
    </row>
    <row r="1890" spans="70:70" x14ac:dyDescent="0.25">
      <c r="BR1890"/>
    </row>
    <row r="1891" spans="70:70" x14ac:dyDescent="0.25">
      <c r="BR1891"/>
    </row>
    <row r="1892" spans="70:70" x14ac:dyDescent="0.25">
      <c r="BR1892"/>
    </row>
    <row r="1893" spans="70:70" x14ac:dyDescent="0.25">
      <c r="BR1893"/>
    </row>
    <row r="1894" spans="70:70" x14ac:dyDescent="0.25">
      <c r="BR1894"/>
    </row>
    <row r="1895" spans="70:70" x14ac:dyDescent="0.25">
      <c r="BR1895"/>
    </row>
    <row r="1896" spans="70:70" x14ac:dyDescent="0.25">
      <c r="BR1896"/>
    </row>
    <row r="1897" spans="70:70" x14ac:dyDescent="0.25">
      <c r="BR1897"/>
    </row>
    <row r="1898" spans="70:70" x14ac:dyDescent="0.25">
      <c r="BR1898"/>
    </row>
    <row r="1899" spans="70:70" x14ac:dyDescent="0.25">
      <c r="BR1899"/>
    </row>
    <row r="1900" spans="70:70" x14ac:dyDescent="0.25">
      <c r="BR1900"/>
    </row>
    <row r="1901" spans="70:70" x14ac:dyDescent="0.25">
      <c r="BR1901"/>
    </row>
    <row r="1902" spans="70:70" x14ac:dyDescent="0.25">
      <c r="BR1902"/>
    </row>
    <row r="1903" spans="70:70" x14ac:dyDescent="0.25">
      <c r="BR1903"/>
    </row>
    <row r="1904" spans="70:70" x14ac:dyDescent="0.25">
      <c r="BR1904"/>
    </row>
    <row r="1905" spans="70:70" x14ac:dyDescent="0.25">
      <c r="BR1905"/>
    </row>
    <row r="1906" spans="70:70" x14ac:dyDescent="0.25">
      <c r="BR1906"/>
    </row>
    <row r="1907" spans="70:70" x14ac:dyDescent="0.25">
      <c r="BR1907"/>
    </row>
    <row r="1908" spans="70:70" x14ac:dyDescent="0.25">
      <c r="BR1908"/>
    </row>
    <row r="1909" spans="70:70" x14ac:dyDescent="0.25">
      <c r="BR1909"/>
    </row>
    <row r="1910" spans="70:70" x14ac:dyDescent="0.25">
      <c r="BR1910"/>
    </row>
    <row r="1911" spans="70:70" x14ac:dyDescent="0.25">
      <c r="BR1911"/>
    </row>
    <row r="1912" spans="70:70" x14ac:dyDescent="0.25">
      <c r="BR1912"/>
    </row>
    <row r="1913" spans="70:70" x14ac:dyDescent="0.25">
      <c r="BR1913"/>
    </row>
    <row r="1914" spans="70:70" x14ac:dyDescent="0.25">
      <c r="BR1914"/>
    </row>
    <row r="1915" spans="70:70" x14ac:dyDescent="0.25">
      <c r="BR1915"/>
    </row>
    <row r="1916" spans="70:70" x14ac:dyDescent="0.25">
      <c r="BR1916"/>
    </row>
    <row r="1917" spans="70:70" x14ac:dyDescent="0.25">
      <c r="BR1917"/>
    </row>
    <row r="1918" spans="70:70" x14ac:dyDescent="0.25">
      <c r="BR1918"/>
    </row>
    <row r="1919" spans="70:70" x14ac:dyDescent="0.25">
      <c r="BR1919"/>
    </row>
    <row r="1920" spans="70:70" x14ac:dyDescent="0.25">
      <c r="BR1920"/>
    </row>
    <row r="1921" spans="70:70" x14ac:dyDescent="0.25">
      <c r="BR1921"/>
    </row>
    <row r="1922" spans="70:70" x14ac:dyDescent="0.25">
      <c r="BR1922"/>
    </row>
    <row r="1923" spans="70:70" x14ac:dyDescent="0.25">
      <c r="BR1923"/>
    </row>
    <row r="1924" spans="70:70" x14ac:dyDescent="0.25">
      <c r="BR1924"/>
    </row>
    <row r="1925" spans="70:70" x14ac:dyDescent="0.25">
      <c r="BR1925"/>
    </row>
    <row r="1926" spans="70:70" x14ac:dyDescent="0.25">
      <c r="BR1926"/>
    </row>
    <row r="1927" spans="70:70" x14ac:dyDescent="0.25">
      <c r="BR1927"/>
    </row>
    <row r="1928" spans="70:70" x14ac:dyDescent="0.25">
      <c r="BR1928"/>
    </row>
    <row r="1929" spans="70:70" x14ac:dyDescent="0.25">
      <c r="BR1929"/>
    </row>
    <row r="1930" spans="70:70" x14ac:dyDescent="0.25">
      <c r="BR1930"/>
    </row>
    <row r="1931" spans="70:70" x14ac:dyDescent="0.25">
      <c r="BR1931"/>
    </row>
    <row r="1932" spans="70:70" x14ac:dyDescent="0.25">
      <c r="BR1932"/>
    </row>
    <row r="1933" spans="70:70" x14ac:dyDescent="0.25">
      <c r="BR1933"/>
    </row>
    <row r="1934" spans="70:70" x14ac:dyDescent="0.25">
      <c r="BR1934"/>
    </row>
    <row r="1935" spans="70:70" x14ac:dyDescent="0.25">
      <c r="BR1935"/>
    </row>
    <row r="1936" spans="70:70" x14ac:dyDescent="0.25">
      <c r="BR1936"/>
    </row>
    <row r="1937" spans="70:70" x14ac:dyDescent="0.25">
      <c r="BR1937"/>
    </row>
    <row r="1938" spans="70:70" x14ac:dyDescent="0.25">
      <c r="BR1938"/>
    </row>
    <row r="1939" spans="70:70" x14ac:dyDescent="0.25">
      <c r="BR1939"/>
    </row>
    <row r="1940" spans="70:70" x14ac:dyDescent="0.25">
      <c r="BR1940"/>
    </row>
    <row r="1941" spans="70:70" x14ac:dyDescent="0.25">
      <c r="BR1941"/>
    </row>
    <row r="1942" spans="70:70" x14ac:dyDescent="0.25">
      <c r="BR1942"/>
    </row>
    <row r="1943" spans="70:70" x14ac:dyDescent="0.25">
      <c r="BR1943"/>
    </row>
    <row r="1944" spans="70:70" x14ac:dyDescent="0.25">
      <c r="BR1944"/>
    </row>
    <row r="1945" spans="70:70" x14ac:dyDescent="0.25">
      <c r="BR1945"/>
    </row>
    <row r="1946" spans="70:70" x14ac:dyDescent="0.25">
      <c r="BR1946"/>
    </row>
    <row r="1947" spans="70:70" x14ac:dyDescent="0.25">
      <c r="BR1947"/>
    </row>
    <row r="1948" spans="70:70" x14ac:dyDescent="0.25">
      <c r="BR1948"/>
    </row>
    <row r="1949" spans="70:70" x14ac:dyDescent="0.25">
      <c r="BR1949"/>
    </row>
    <row r="1950" spans="70:70" x14ac:dyDescent="0.25">
      <c r="BR1950"/>
    </row>
    <row r="1951" spans="70:70" x14ac:dyDescent="0.25">
      <c r="BR1951"/>
    </row>
    <row r="1952" spans="70:70" x14ac:dyDescent="0.25">
      <c r="BR1952"/>
    </row>
    <row r="1953" spans="70:70" x14ac:dyDescent="0.25">
      <c r="BR1953"/>
    </row>
    <row r="1954" spans="70:70" x14ac:dyDescent="0.25">
      <c r="BR1954"/>
    </row>
    <row r="1955" spans="70:70" x14ac:dyDescent="0.25">
      <c r="BR1955"/>
    </row>
    <row r="1956" spans="70:70" x14ac:dyDescent="0.25">
      <c r="BR1956"/>
    </row>
    <row r="1957" spans="70:70" x14ac:dyDescent="0.25">
      <c r="BR1957"/>
    </row>
    <row r="1958" spans="70:70" x14ac:dyDescent="0.25">
      <c r="BR1958"/>
    </row>
    <row r="1959" spans="70:70" x14ac:dyDescent="0.25">
      <c r="BR1959"/>
    </row>
    <row r="1960" spans="70:70" x14ac:dyDescent="0.25">
      <c r="BR1960"/>
    </row>
    <row r="1961" spans="70:70" x14ac:dyDescent="0.25">
      <c r="BR1961"/>
    </row>
    <row r="1962" spans="70:70" x14ac:dyDescent="0.25">
      <c r="BR1962"/>
    </row>
    <row r="1963" spans="70:70" x14ac:dyDescent="0.25">
      <c r="BR1963"/>
    </row>
    <row r="1964" spans="70:70" x14ac:dyDescent="0.25">
      <c r="BR1964"/>
    </row>
    <row r="1965" spans="70:70" x14ac:dyDescent="0.25">
      <c r="BR1965"/>
    </row>
    <row r="1966" spans="70:70" x14ac:dyDescent="0.25">
      <c r="BR1966"/>
    </row>
    <row r="1967" spans="70:70" x14ac:dyDescent="0.25">
      <c r="BR1967"/>
    </row>
    <row r="1968" spans="70:70" x14ac:dyDescent="0.25">
      <c r="BR1968"/>
    </row>
    <row r="1969" spans="70:70" x14ac:dyDescent="0.25">
      <c r="BR1969"/>
    </row>
    <row r="1970" spans="70:70" x14ac:dyDescent="0.25">
      <c r="BR1970"/>
    </row>
    <row r="1971" spans="70:70" x14ac:dyDescent="0.25">
      <c r="BR1971"/>
    </row>
    <row r="1972" spans="70:70" x14ac:dyDescent="0.25">
      <c r="BR1972"/>
    </row>
    <row r="1973" spans="70:70" x14ac:dyDescent="0.25">
      <c r="BR1973"/>
    </row>
    <row r="1974" spans="70:70" x14ac:dyDescent="0.25">
      <c r="BR1974"/>
    </row>
    <row r="1975" spans="70:70" x14ac:dyDescent="0.25">
      <c r="BR1975"/>
    </row>
    <row r="1976" spans="70:70" x14ac:dyDescent="0.25">
      <c r="BR1976"/>
    </row>
    <row r="1977" spans="70:70" x14ac:dyDescent="0.25">
      <c r="BR1977"/>
    </row>
    <row r="1978" spans="70:70" x14ac:dyDescent="0.25">
      <c r="BR1978"/>
    </row>
    <row r="1979" spans="70:70" x14ac:dyDescent="0.25">
      <c r="BR1979"/>
    </row>
    <row r="1980" spans="70:70" x14ac:dyDescent="0.25">
      <c r="BR1980"/>
    </row>
    <row r="1981" spans="70:70" x14ac:dyDescent="0.25">
      <c r="BR1981"/>
    </row>
    <row r="1982" spans="70:70" x14ac:dyDescent="0.25">
      <c r="BR1982"/>
    </row>
    <row r="1983" spans="70:70" x14ac:dyDescent="0.25">
      <c r="BR1983"/>
    </row>
    <row r="1984" spans="70:70" x14ac:dyDescent="0.25">
      <c r="BR1984"/>
    </row>
    <row r="1985" spans="70:70" x14ac:dyDescent="0.25">
      <c r="BR1985"/>
    </row>
    <row r="1986" spans="70:70" x14ac:dyDescent="0.25">
      <c r="BR1986"/>
    </row>
    <row r="1987" spans="70:70" x14ac:dyDescent="0.25">
      <c r="BR1987"/>
    </row>
    <row r="1988" spans="70:70" x14ac:dyDescent="0.25">
      <c r="BR1988"/>
    </row>
    <row r="1989" spans="70:70" x14ac:dyDescent="0.25">
      <c r="BR1989"/>
    </row>
    <row r="1990" spans="70:70" x14ac:dyDescent="0.25">
      <c r="BR1990"/>
    </row>
    <row r="1991" spans="70:70" x14ac:dyDescent="0.25">
      <c r="BR1991"/>
    </row>
    <row r="1992" spans="70:70" x14ac:dyDescent="0.25">
      <c r="BR1992"/>
    </row>
    <row r="1993" spans="70:70" x14ac:dyDescent="0.25">
      <c r="BR1993"/>
    </row>
    <row r="1994" spans="70:70" x14ac:dyDescent="0.25">
      <c r="BR1994"/>
    </row>
    <row r="1995" spans="70:70" x14ac:dyDescent="0.25">
      <c r="BR1995"/>
    </row>
    <row r="1996" spans="70:70" x14ac:dyDescent="0.25">
      <c r="BR1996"/>
    </row>
    <row r="1997" spans="70:70" x14ac:dyDescent="0.25">
      <c r="BR1997"/>
    </row>
    <row r="1998" spans="70:70" x14ac:dyDescent="0.25">
      <c r="BR1998"/>
    </row>
    <row r="1999" spans="70:70" x14ac:dyDescent="0.25">
      <c r="BR1999"/>
    </row>
    <row r="2000" spans="70:70" x14ac:dyDescent="0.25">
      <c r="BR2000"/>
    </row>
    <row r="2001" spans="70:70" x14ac:dyDescent="0.25">
      <c r="BR2001"/>
    </row>
    <row r="2002" spans="70:70" x14ac:dyDescent="0.25">
      <c r="BR2002"/>
    </row>
    <row r="2003" spans="70:70" x14ac:dyDescent="0.25">
      <c r="BR2003"/>
    </row>
    <row r="2004" spans="70:70" x14ac:dyDescent="0.25">
      <c r="BR2004"/>
    </row>
    <row r="2005" spans="70:70" x14ac:dyDescent="0.25">
      <c r="BR2005"/>
    </row>
    <row r="2006" spans="70:70" x14ac:dyDescent="0.25">
      <c r="BR2006"/>
    </row>
    <row r="2007" spans="70:70" x14ac:dyDescent="0.25">
      <c r="BR2007"/>
    </row>
    <row r="2008" spans="70:70" x14ac:dyDescent="0.25">
      <c r="BR2008"/>
    </row>
    <row r="2009" spans="70:70" x14ac:dyDescent="0.25">
      <c r="BR2009"/>
    </row>
    <row r="2010" spans="70:70" x14ac:dyDescent="0.25">
      <c r="BR2010"/>
    </row>
    <row r="2011" spans="70:70" x14ac:dyDescent="0.25">
      <c r="BR2011"/>
    </row>
    <row r="2012" spans="70:70" x14ac:dyDescent="0.25">
      <c r="BR2012"/>
    </row>
    <row r="2013" spans="70:70" x14ac:dyDescent="0.25">
      <c r="BR2013"/>
    </row>
    <row r="2014" spans="70:70" x14ac:dyDescent="0.25">
      <c r="BR2014"/>
    </row>
    <row r="2015" spans="70:70" x14ac:dyDescent="0.25">
      <c r="BR2015"/>
    </row>
    <row r="2016" spans="70:70" x14ac:dyDescent="0.25">
      <c r="BR2016"/>
    </row>
    <row r="2017" spans="70:70" x14ac:dyDescent="0.25">
      <c r="BR2017"/>
    </row>
    <row r="2018" spans="70:70" x14ac:dyDescent="0.25">
      <c r="BR2018"/>
    </row>
    <row r="2019" spans="70:70" x14ac:dyDescent="0.25">
      <c r="BR2019"/>
    </row>
    <row r="2020" spans="70:70" x14ac:dyDescent="0.25">
      <c r="BR2020"/>
    </row>
    <row r="2021" spans="70:70" x14ac:dyDescent="0.25">
      <c r="BR2021"/>
    </row>
    <row r="2022" spans="70:70" x14ac:dyDescent="0.25">
      <c r="BR2022"/>
    </row>
    <row r="2023" spans="70:70" x14ac:dyDescent="0.25">
      <c r="BR2023"/>
    </row>
    <row r="2024" spans="70:70" x14ac:dyDescent="0.25">
      <c r="BR2024"/>
    </row>
    <row r="2025" spans="70:70" x14ac:dyDescent="0.25">
      <c r="BR2025"/>
    </row>
    <row r="2026" spans="70:70" x14ac:dyDescent="0.25">
      <c r="BR2026"/>
    </row>
    <row r="2027" spans="70:70" x14ac:dyDescent="0.25">
      <c r="BR2027"/>
    </row>
    <row r="2028" spans="70:70" x14ac:dyDescent="0.25">
      <c r="BR2028"/>
    </row>
    <row r="2029" spans="70:70" x14ac:dyDescent="0.25">
      <c r="BR2029"/>
    </row>
    <row r="2030" spans="70:70" x14ac:dyDescent="0.25">
      <c r="BR2030"/>
    </row>
    <row r="2031" spans="70:70" x14ac:dyDescent="0.25">
      <c r="BR2031"/>
    </row>
    <row r="2032" spans="70:70" x14ac:dyDescent="0.25">
      <c r="BR2032"/>
    </row>
    <row r="2033" spans="70:70" x14ac:dyDescent="0.25">
      <c r="BR2033"/>
    </row>
    <row r="2034" spans="70:70" x14ac:dyDescent="0.25">
      <c r="BR2034"/>
    </row>
    <row r="2035" spans="70:70" x14ac:dyDescent="0.25">
      <c r="BR2035"/>
    </row>
    <row r="2036" spans="70:70" x14ac:dyDescent="0.25">
      <c r="BR2036"/>
    </row>
    <row r="2037" spans="70:70" x14ac:dyDescent="0.25">
      <c r="BR2037"/>
    </row>
    <row r="2038" spans="70:70" x14ac:dyDescent="0.25">
      <c r="BR2038"/>
    </row>
    <row r="2039" spans="70:70" x14ac:dyDescent="0.25">
      <c r="BR2039"/>
    </row>
    <row r="2040" spans="70:70" x14ac:dyDescent="0.25">
      <c r="BR2040"/>
    </row>
    <row r="2041" spans="70:70" x14ac:dyDescent="0.25">
      <c r="BR2041"/>
    </row>
    <row r="2042" spans="70:70" x14ac:dyDescent="0.25">
      <c r="BR2042"/>
    </row>
    <row r="2043" spans="70:70" x14ac:dyDescent="0.25">
      <c r="BR2043"/>
    </row>
    <row r="2044" spans="70:70" x14ac:dyDescent="0.25">
      <c r="BR2044"/>
    </row>
    <row r="2045" spans="70:70" x14ac:dyDescent="0.25">
      <c r="BR2045"/>
    </row>
    <row r="2046" spans="70:70" x14ac:dyDescent="0.25">
      <c r="BR2046"/>
    </row>
    <row r="2047" spans="70:70" x14ac:dyDescent="0.25">
      <c r="BR2047"/>
    </row>
    <row r="2048" spans="70:70" x14ac:dyDescent="0.25">
      <c r="BR2048"/>
    </row>
    <row r="2049" spans="70:70" x14ac:dyDescent="0.25">
      <c r="BR2049"/>
    </row>
    <row r="2050" spans="70:70" x14ac:dyDescent="0.25">
      <c r="BR2050"/>
    </row>
    <row r="2051" spans="70:70" x14ac:dyDescent="0.25">
      <c r="BR2051"/>
    </row>
    <row r="2052" spans="70:70" x14ac:dyDescent="0.25">
      <c r="BR2052"/>
    </row>
    <row r="2053" spans="70:70" x14ac:dyDescent="0.25">
      <c r="BR2053"/>
    </row>
    <row r="2054" spans="70:70" x14ac:dyDescent="0.25">
      <c r="BR2054"/>
    </row>
    <row r="2055" spans="70:70" x14ac:dyDescent="0.25">
      <c r="BR2055"/>
    </row>
    <row r="2056" spans="70:70" x14ac:dyDescent="0.25">
      <c r="BR2056"/>
    </row>
    <row r="2057" spans="70:70" x14ac:dyDescent="0.25">
      <c r="BR2057"/>
    </row>
    <row r="2058" spans="70:70" x14ac:dyDescent="0.25">
      <c r="BR2058"/>
    </row>
    <row r="2059" spans="70:70" x14ac:dyDescent="0.25">
      <c r="BR2059"/>
    </row>
    <row r="2060" spans="70:70" x14ac:dyDescent="0.25">
      <c r="BR2060"/>
    </row>
    <row r="2061" spans="70:70" x14ac:dyDescent="0.25">
      <c r="BR2061"/>
    </row>
    <row r="2062" spans="70:70" x14ac:dyDescent="0.25">
      <c r="BR2062"/>
    </row>
    <row r="2063" spans="70:70" x14ac:dyDescent="0.25">
      <c r="BR2063"/>
    </row>
    <row r="2064" spans="70:70" x14ac:dyDescent="0.25">
      <c r="BR2064"/>
    </row>
    <row r="2065" spans="70:70" x14ac:dyDescent="0.25">
      <c r="BR2065"/>
    </row>
    <row r="2066" spans="70:70" x14ac:dyDescent="0.25">
      <c r="BR2066"/>
    </row>
    <row r="2067" spans="70:70" x14ac:dyDescent="0.25">
      <c r="BR2067"/>
    </row>
    <row r="2068" spans="70:70" x14ac:dyDescent="0.25">
      <c r="BR2068"/>
    </row>
    <row r="2069" spans="70:70" x14ac:dyDescent="0.25">
      <c r="BR2069"/>
    </row>
    <row r="2070" spans="70:70" x14ac:dyDescent="0.25">
      <c r="BR2070"/>
    </row>
    <row r="2071" spans="70:70" x14ac:dyDescent="0.25">
      <c r="BR2071"/>
    </row>
    <row r="2072" spans="70:70" x14ac:dyDescent="0.25">
      <c r="BR2072"/>
    </row>
    <row r="2073" spans="70:70" x14ac:dyDescent="0.25">
      <c r="BR2073"/>
    </row>
    <row r="2074" spans="70:70" x14ac:dyDescent="0.25">
      <c r="BR2074"/>
    </row>
    <row r="2075" spans="70:70" x14ac:dyDescent="0.25">
      <c r="BR2075"/>
    </row>
    <row r="2076" spans="70:70" x14ac:dyDescent="0.25">
      <c r="BR2076"/>
    </row>
    <row r="2077" spans="70:70" x14ac:dyDescent="0.25">
      <c r="BR2077"/>
    </row>
    <row r="2078" spans="70:70" x14ac:dyDescent="0.25">
      <c r="BR2078"/>
    </row>
    <row r="2079" spans="70:70" x14ac:dyDescent="0.25">
      <c r="BR2079"/>
    </row>
    <row r="2080" spans="70:70" x14ac:dyDescent="0.25">
      <c r="BR2080"/>
    </row>
    <row r="2081" spans="70:70" x14ac:dyDescent="0.25">
      <c r="BR2081"/>
    </row>
    <row r="2082" spans="70:70" x14ac:dyDescent="0.25">
      <c r="BR2082"/>
    </row>
    <row r="2083" spans="70:70" x14ac:dyDescent="0.25">
      <c r="BR2083"/>
    </row>
    <row r="2084" spans="70:70" x14ac:dyDescent="0.25">
      <c r="BR2084"/>
    </row>
    <row r="2085" spans="70:70" x14ac:dyDescent="0.25">
      <c r="BR2085"/>
    </row>
    <row r="2086" spans="70:70" x14ac:dyDescent="0.25">
      <c r="BR2086"/>
    </row>
    <row r="2087" spans="70:70" x14ac:dyDescent="0.25">
      <c r="BR2087"/>
    </row>
    <row r="2088" spans="70:70" x14ac:dyDescent="0.25">
      <c r="BR2088"/>
    </row>
    <row r="2089" spans="70:70" x14ac:dyDescent="0.25">
      <c r="BR2089"/>
    </row>
    <row r="2090" spans="70:70" x14ac:dyDescent="0.25">
      <c r="BR2090"/>
    </row>
    <row r="2091" spans="70:70" x14ac:dyDescent="0.25">
      <c r="BR2091"/>
    </row>
    <row r="2092" spans="70:70" x14ac:dyDescent="0.25">
      <c r="BR2092"/>
    </row>
    <row r="2093" spans="70:70" x14ac:dyDescent="0.25">
      <c r="BR2093"/>
    </row>
    <row r="2094" spans="70:70" x14ac:dyDescent="0.25">
      <c r="BR2094"/>
    </row>
    <row r="2095" spans="70:70" x14ac:dyDescent="0.25">
      <c r="BR2095"/>
    </row>
    <row r="2096" spans="70:70" x14ac:dyDescent="0.25">
      <c r="BR2096"/>
    </row>
    <row r="2097" spans="70:70" x14ac:dyDescent="0.25">
      <c r="BR2097"/>
    </row>
    <row r="2098" spans="70:70" x14ac:dyDescent="0.25">
      <c r="BR2098"/>
    </row>
    <row r="2099" spans="70:70" x14ac:dyDescent="0.25">
      <c r="BR2099"/>
    </row>
    <row r="2100" spans="70:70" x14ac:dyDescent="0.25">
      <c r="BR2100"/>
    </row>
    <row r="2101" spans="70:70" x14ac:dyDescent="0.25">
      <c r="BR2101"/>
    </row>
    <row r="2102" spans="70:70" x14ac:dyDescent="0.25">
      <c r="BR2102"/>
    </row>
    <row r="2103" spans="70:70" x14ac:dyDescent="0.25">
      <c r="BR2103"/>
    </row>
    <row r="2104" spans="70:70" x14ac:dyDescent="0.25">
      <c r="BR2104"/>
    </row>
    <row r="2105" spans="70:70" x14ac:dyDescent="0.25">
      <c r="BR2105"/>
    </row>
    <row r="2106" spans="70:70" x14ac:dyDescent="0.25">
      <c r="BR2106"/>
    </row>
    <row r="2107" spans="70:70" x14ac:dyDescent="0.25">
      <c r="BR2107"/>
    </row>
    <row r="2108" spans="70:70" x14ac:dyDescent="0.25">
      <c r="BR2108"/>
    </row>
    <row r="2109" spans="70:70" x14ac:dyDescent="0.25">
      <c r="BR2109"/>
    </row>
    <row r="2110" spans="70:70" x14ac:dyDescent="0.25">
      <c r="BR2110"/>
    </row>
    <row r="2111" spans="70:70" x14ac:dyDescent="0.25">
      <c r="BR2111"/>
    </row>
    <row r="2112" spans="70:70" x14ac:dyDescent="0.25">
      <c r="BR2112"/>
    </row>
    <row r="2113" spans="70:70" x14ac:dyDescent="0.25">
      <c r="BR2113"/>
    </row>
    <row r="2114" spans="70:70" x14ac:dyDescent="0.25">
      <c r="BR2114"/>
    </row>
    <row r="2115" spans="70:70" x14ac:dyDescent="0.25">
      <c r="BR2115"/>
    </row>
    <row r="2116" spans="70:70" x14ac:dyDescent="0.25">
      <c r="BR2116"/>
    </row>
    <row r="2117" spans="70:70" x14ac:dyDescent="0.25">
      <c r="BR2117"/>
    </row>
    <row r="2118" spans="70:70" x14ac:dyDescent="0.25">
      <c r="BR2118"/>
    </row>
    <row r="2119" spans="70:70" x14ac:dyDescent="0.25">
      <c r="BR2119"/>
    </row>
    <row r="2120" spans="70:70" x14ac:dyDescent="0.25">
      <c r="BR2120"/>
    </row>
    <row r="2121" spans="70:70" x14ac:dyDescent="0.25">
      <c r="BR2121"/>
    </row>
    <row r="2122" spans="70:70" x14ac:dyDescent="0.25">
      <c r="BR2122"/>
    </row>
    <row r="2123" spans="70:70" x14ac:dyDescent="0.25">
      <c r="BR2123"/>
    </row>
    <row r="2124" spans="70:70" x14ac:dyDescent="0.25">
      <c r="BR2124"/>
    </row>
    <row r="2125" spans="70:70" x14ac:dyDescent="0.25">
      <c r="BR2125"/>
    </row>
    <row r="2126" spans="70:70" x14ac:dyDescent="0.25">
      <c r="BR2126"/>
    </row>
    <row r="2127" spans="70:70" x14ac:dyDescent="0.25">
      <c r="BR2127"/>
    </row>
    <row r="2128" spans="70:70" x14ac:dyDescent="0.25">
      <c r="BR2128"/>
    </row>
    <row r="2129" spans="70:70" x14ac:dyDescent="0.25">
      <c r="BR2129"/>
    </row>
    <row r="2130" spans="70:70" x14ac:dyDescent="0.25">
      <c r="BR2130"/>
    </row>
    <row r="2131" spans="70:70" x14ac:dyDescent="0.25">
      <c r="BR2131"/>
    </row>
    <row r="2132" spans="70:70" x14ac:dyDescent="0.25">
      <c r="BR2132"/>
    </row>
    <row r="2133" spans="70:70" x14ac:dyDescent="0.25">
      <c r="BR2133"/>
    </row>
    <row r="2134" spans="70:70" x14ac:dyDescent="0.25">
      <c r="BR2134"/>
    </row>
    <row r="2135" spans="70:70" x14ac:dyDescent="0.25">
      <c r="BR2135"/>
    </row>
    <row r="2136" spans="70:70" x14ac:dyDescent="0.25">
      <c r="BR2136"/>
    </row>
    <row r="2137" spans="70:70" x14ac:dyDescent="0.25">
      <c r="BR2137"/>
    </row>
    <row r="2138" spans="70:70" x14ac:dyDescent="0.25">
      <c r="BR2138"/>
    </row>
    <row r="2139" spans="70:70" x14ac:dyDescent="0.25">
      <c r="BR2139"/>
    </row>
    <row r="2140" spans="70:70" x14ac:dyDescent="0.25">
      <c r="BR2140"/>
    </row>
    <row r="2141" spans="70:70" x14ac:dyDescent="0.25">
      <c r="BR2141"/>
    </row>
    <row r="2142" spans="70:70" x14ac:dyDescent="0.25">
      <c r="BR2142"/>
    </row>
    <row r="2143" spans="70:70" x14ac:dyDescent="0.25">
      <c r="BR2143"/>
    </row>
    <row r="2144" spans="70:70" x14ac:dyDescent="0.25">
      <c r="BR2144"/>
    </row>
    <row r="2145" spans="70:70" x14ac:dyDescent="0.25">
      <c r="BR2145"/>
    </row>
    <row r="2146" spans="70:70" x14ac:dyDescent="0.25">
      <c r="BR2146"/>
    </row>
    <row r="2147" spans="70:70" x14ac:dyDescent="0.25">
      <c r="BR2147"/>
    </row>
    <row r="2148" spans="70:70" x14ac:dyDescent="0.25">
      <c r="BR2148"/>
    </row>
    <row r="2149" spans="70:70" x14ac:dyDescent="0.25">
      <c r="BR2149"/>
    </row>
    <row r="2150" spans="70:70" x14ac:dyDescent="0.25">
      <c r="BR2150"/>
    </row>
    <row r="2151" spans="70:70" x14ac:dyDescent="0.25">
      <c r="BR2151"/>
    </row>
    <row r="2152" spans="70:70" x14ac:dyDescent="0.25">
      <c r="BR2152"/>
    </row>
    <row r="2153" spans="70:70" x14ac:dyDescent="0.25">
      <c r="BR2153"/>
    </row>
    <row r="2154" spans="70:70" x14ac:dyDescent="0.25">
      <c r="BR2154"/>
    </row>
    <row r="2155" spans="70:70" x14ac:dyDescent="0.25">
      <c r="BR2155"/>
    </row>
    <row r="2156" spans="70:70" x14ac:dyDescent="0.25">
      <c r="BR2156"/>
    </row>
    <row r="2157" spans="70:70" x14ac:dyDescent="0.25">
      <c r="BR2157"/>
    </row>
    <row r="2158" spans="70:70" x14ac:dyDescent="0.25">
      <c r="BR2158"/>
    </row>
    <row r="2159" spans="70:70" x14ac:dyDescent="0.25">
      <c r="BR2159"/>
    </row>
    <row r="2160" spans="70:70" x14ac:dyDescent="0.25">
      <c r="BR2160"/>
    </row>
    <row r="2161" spans="70:70" x14ac:dyDescent="0.25">
      <c r="BR2161"/>
    </row>
    <row r="2162" spans="70:70" x14ac:dyDescent="0.25">
      <c r="BR2162"/>
    </row>
    <row r="2163" spans="70:70" x14ac:dyDescent="0.25">
      <c r="BR2163"/>
    </row>
    <row r="2164" spans="70:70" x14ac:dyDescent="0.25">
      <c r="BR2164"/>
    </row>
    <row r="2165" spans="70:70" x14ac:dyDescent="0.25">
      <c r="BR2165"/>
    </row>
    <row r="2166" spans="70:70" x14ac:dyDescent="0.25">
      <c r="BR2166"/>
    </row>
    <row r="2167" spans="70:70" x14ac:dyDescent="0.25">
      <c r="BR2167"/>
    </row>
    <row r="2168" spans="70:70" x14ac:dyDescent="0.25">
      <c r="BR2168"/>
    </row>
    <row r="2169" spans="70:70" x14ac:dyDescent="0.25">
      <c r="BR2169"/>
    </row>
    <row r="2170" spans="70:70" x14ac:dyDescent="0.25">
      <c r="BR2170"/>
    </row>
    <row r="2171" spans="70:70" x14ac:dyDescent="0.25">
      <c r="BR2171"/>
    </row>
    <row r="2172" spans="70:70" x14ac:dyDescent="0.25">
      <c r="BR2172"/>
    </row>
    <row r="2173" spans="70:70" x14ac:dyDescent="0.25">
      <c r="BR2173"/>
    </row>
    <row r="2174" spans="70:70" x14ac:dyDescent="0.25">
      <c r="BR2174"/>
    </row>
    <row r="2175" spans="70:70" x14ac:dyDescent="0.25">
      <c r="BR2175"/>
    </row>
    <row r="2176" spans="70:70" x14ac:dyDescent="0.25">
      <c r="BR2176"/>
    </row>
    <row r="2177" spans="70:70" x14ac:dyDescent="0.25">
      <c r="BR2177"/>
    </row>
    <row r="2178" spans="70:70" x14ac:dyDescent="0.25">
      <c r="BR2178"/>
    </row>
    <row r="2179" spans="70:70" x14ac:dyDescent="0.25">
      <c r="BR2179"/>
    </row>
    <row r="2180" spans="70:70" x14ac:dyDescent="0.25">
      <c r="BR2180"/>
    </row>
    <row r="2181" spans="70:70" x14ac:dyDescent="0.25">
      <c r="BR2181"/>
    </row>
    <row r="2182" spans="70:70" x14ac:dyDescent="0.25">
      <c r="BR2182"/>
    </row>
    <row r="2183" spans="70:70" x14ac:dyDescent="0.25">
      <c r="BR2183"/>
    </row>
    <row r="2184" spans="70:70" x14ac:dyDescent="0.25">
      <c r="BR2184"/>
    </row>
    <row r="2185" spans="70:70" x14ac:dyDescent="0.25">
      <c r="BR2185"/>
    </row>
    <row r="2186" spans="70:70" x14ac:dyDescent="0.25">
      <c r="BR2186"/>
    </row>
    <row r="2187" spans="70:70" x14ac:dyDescent="0.25">
      <c r="BR2187"/>
    </row>
    <row r="2188" spans="70:70" x14ac:dyDescent="0.25">
      <c r="BR2188"/>
    </row>
    <row r="2189" spans="70:70" x14ac:dyDescent="0.25">
      <c r="BR2189"/>
    </row>
    <row r="2190" spans="70:70" x14ac:dyDescent="0.25">
      <c r="BR2190"/>
    </row>
    <row r="2191" spans="70:70" x14ac:dyDescent="0.25">
      <c r="BR2191"/>
    </row>
    <row r="2192" spans="70:70" x14ac:dyDescent="0.25">
      <c r="BR2192"/>
    </row>
    <row r="2193" spans="70:70" x14ac:dyDescent="0.25">
      <c r="BR2193"/>
    </row>
    <row r="2194" spans="70:70" x14ac:dyDescent="0.25">
      <c r="BR2194"/>
    </row>
    <row r="2195" spans="70:70" x14ac:dyDescent="0.25">
      <c r="BR2195"/>
    </row>
    <row r="2196" spans="70:70" x14ac:dyDescent="0.25">
      <c r="BR2196"/>
    </row>
    <row r="2197" spans="70:70" x14ac:dyDescent="0.25">
      <c r="BR2197"/>
    </row>
    <row r="2198" spans="70:70" x14ac:dyDescent="0.25">
      <c r="BR2198"/>
    </row>
    <row r="2199" spans="70:70" x14ac:dyDescent="0.25">
      <c r="BR2199"/>
    </row>
    <row r="2200" spans="70:70" x14ac:dyDescent="0.25">
      <c r="BR2200"/>
    </row>
    <row r="2201" spans="70:70" x14ac:dyDescent="0.25">
      <c r="BR2201"/>
    </row>
    <row r="2202" spans="70:70" x14ac:dyDescent="0.25">
      <c r="BR2202"/>
    </row>
    <row r="2203" spans="70:70" x14ac:dyDescent="0.25">
      <c r="BR2203"/>
    </row>
    <row r="2204" spans="70:70" x14ac:dyDescent="0.25">
      <c r="BR2204"/>
    </row>
    <row r="2205" spans="70:70" x14ac:dyDescent="0.25">
      <c r="BR2205"/>
    </row>
    <row r="2206" spans="70:70" x14ac:dyDescent="0.25">
      <c r="BR2206"/>
    </row>
    <row r="2207" spans="70:70" x14ac:dyDescent="0.25">
      <c r="BR2207"/>
    </row>
    <row r="2208" spans="70:70" x14ac:dyDescent="0.25">
      <c r="BR2208"/>
    </row>
    <row r="2209" spans="70:70" x14ac:dyDescent="0.25">
      <c r="BR2209"/>
    </row>
    <row r="2210" spans="70:70" x14ac:dyDescent="0.25">
      <c r="BR2210"/>
    </row>
    <row r="2211" spans="70:70" x14ac:dyDescent="0.25">
      <c r="BR2211"/>
    </row>
    <row r="2212" spans="70:70" x14ac:dyDescent="0.25">
      <c r="BR2212"/>
    </row>
    <row r="2213" spans="70:70" x14ac:dyDescent="0.25">
      <c r="BR2213"/>
    </row>
    <row r="2214" spans="70:70" x14ac:dyDescent="0.25">
      <c r="BR2214"/>
    </row>
    <row r="2215" spans="70:70" x14ac:dyDescent="0.25">
      <c r="BR2215"/>
    </row>
    <row r="2216" spans="70:70" x14ac:dyDescent="0.25">
      <c r="BR2216"/>
    </row>
    <row r="2217" spans="70:70" x14ac:dyDescent="0.25">
      <c r="BR2217"/>
    </row>
    <row r="2218" spans="70:70" x14ac:dyDescent="0.25">
      <c r="BR2218"/>
    </row>
    <row r="2219" spans="70:70" x14ac:dyDescent="0.25">
      <c r="BR2219"/>
    </row>
    <row r="2220" spans="70:70" x14ac:dyDescent="0.25">
      <c r="BR2220"/>
    </row>
    <row r="2221" spans="70:70" x14ac:dyDescent="0.25">
      <c r="BR2221"/>
    </row>
    <row r="2222" spans="70:70" x14ac:dyDescent="0.25">
      <c r="BR2222"/>
    </row>
    <row r="2223" spans="70:70" x14ac:dyDescent="0.25">
      <c r="BR2223"/>
    </row>
    <row r="2224" spans="70:70" x14ac:dyDescent="0.25">
      <c r="BR2224"/>
    </row>
    <row r="2225" spans="70:70" x14ac:dyDescent="0.25">
      <c r="BR2225"/>
    </row>
    <row r="2226" spans="70:70" x14ac:dyDescent="0.25">
      <c r="BR2226"/>
    </row>
    <row r="2227" spans="70:70" x14ac:dyDescent="0.25">
      <c r="BR2227"/>
    </row>
    <row r="2228" spans="70:70" x14ac:dyDescent="0.25">
      <c r="BR2228"/>
    </row>
    <row r="2229" spans="70:70" x14ac:dyDescent="0.25">
      <c r="BR2229"/>
    </row>
    <row r="2230" spans="70:70" x14ac:dyDescent="0.25">
      <c r="BR2230"/>
    </row>
    <row r="2231" spans="70:70" x14ac:dyDescent="0.25">
      <c r="BR2231"/>
    </row>
    <row r="2232" spans="70:70" x14ac:dyDescent="0.25">
      <c r="BR2232"/>
    </row>
    <row r="2233" spans="70:70" x14ac:dyDescent="0.25">
      <c r="BR2233"/>
    </row>
    <row r="2234" spans="70:70" x14ac:dyDescent="0.25">
      <c r="BR2234"/>
    </row>
    <row r="2235" spans="70:70" x14ac:dyDescent="0.25">
      <c r="BR2235"/>
    </row>
    <row r="2236" spans="70:70" x14ac:dyDescent="0.25">
      <c r="BR2236"/>
    </row>
    <row r="2237" spans="70:70" x14ac:dyDescent="0.25">
      <c r="BR2237"/>
    </row>
    <row r="2238" spans="70:70" x14ac:dyDescent="0.25">
      <c r="BR2238"/>
    </row>
    <row r="2239" spans="70:70" x14ac:dyDescent="0.25">
      <c r="BR2239"/>
    </row>
    <row r="2240" spans="70:70" x14ac:dyDescent="0.25">
      <c r="BR2240"/>
    </row>
    <row r="2241" spans="70:70" x14ac:dyDescent="0.25">
      <c r="BR2241"/>
    </row>
    <row r="2242" spans="70:70" x14ac:dyDescent="0.25">
      <c r="BR2242"/>
    </row>
    <row r="2243" spans="70:70" x14ac:dyDescent="0.25">
      <c r="BR2243"/>
    </row>
    <row r="2244" spans="70:70" x14ac:dyDescent="0.25">
      <c r="BR2244"/>
    </row>
    <row r="2245" spans="70:70" x14ac:dyDescent="0.25">
      <c r="BR2245"/>
    </row>
    <row r="2246" spans="70:70" x14ac:dyDescent="0.25">
      <c r="BR2246"/>
    </row>
    <row r="2247" spans="70:70" x14ac:dyDescent="0.25">
      <c r="BR2247"/>
    </row>
    <row r="2248" spans="70:70" x14ac:dyDescent="0.25">
      <c r="BR2248"/>
    </row>
    <row r="2249" spans="70:70" x14ac:dyDescent="0.25">
      <c r="BR2249"/>
    </row>
    <row r="2250" spans="70:70" x14ac:dyDescent="0.25">
      <c r="BR2250"/>
    </row>
    <row r="2251" spans="70:70" x14ac:dyDescent="0.25">
      <c r="BR2251"/>
    </row>
    <row r="2252" spans="70:70" x14ac:dyDescent="0.25">
      <c r="BR2252"/>
    </row>
    <row r="2253" spans="70:70" x14ac:dyDescent="0.25">
      <c r="BR2253"/>
    </row>
    <row r="2254" spans="70:70" x14ac:dyDescent="0.25">
      <c r="BR2254"/>
    </row>
    <row r="2255" spans="70:70" x14ac:dyDescent="0.25">
      <c r="BR2255"/>
    </row>
    <row r="2256" spans="70:70" x14ac:dyDescent="0.25">
      <c r="BR2256"/>
    </row>
    <row r="2257" spans="70:70" x14ac:dyDescent="0.25">
      <c r="BR2257"/>
    </row>
    <row r="2258" spans="70:70" x14ac:dyDescent="0.25">
      <c r="BR2258"/>
    </row>
    <row r="2259" spans="70:70" x14ac:dyDescent="0.25">
      <c r="BR2259"/>
    </row>
    <row r="2260" spans="70:70" x14ac:dyDescent="0.25">
      <c r="BR2260"/>
    </row>
    <row r="2261" spans="70:70" x14ac:dyDescent="0.25">
      <c r="BR2261"/>
    </row>
    <row r="2262" spans="70:70" x14ac:dyDescent="0.25">
      <c r="BR2262"/>
    </row>
    <row r="2263" spans="70:70" x14ac:dyDescent="0.25">
      <c r="BR2263"/>
    </row>
    <row r="2264" spans="70:70" x14ac:dyDescent="0.25">
      <c r="BR2264"/>
    </row>
    <row r="2265" spans="70:70" x14ac:dyDescent="0.25">
      <c r="BR2265"/>
    </row>
    <row r="2266" spans="70:70" x14ac:dyDescent="0.25">
      <c r="BR2266"/>
    </row>
    <row r="2267" spans="70:70" x14ac:dyDescent="0.25">
      <c r="BR2267"/>
    </row>
    <row r="2268" spans="70:70" x14ac:dyDescent="0.25">
      <c r="BR2268"/>
    </row>
    <row r="2269" spans="70:70" x14ac:dyDescent="0.25">
      <c r="BR2269"/>
    </row>
    <row r="2270" spans="70:70" x14ac:dyDescent="0.25">
      <c r="BR2270"/>
    </row>
    <row r="2271" spans="70:70" x14ac:dyDescent="0.25">
      <c r="BR2271"/>
    </row>
    <row r="2272" spans="70:70" x14ac:dyDescent="0.25">
      <c r="BR2272"/>
    </row>
    <row r="2273" spans="70:70" x14ac:dyDescent="0.25">
      <c r="BR2273"/>
    </row>
    <row r="2274" spans="70:70" x14ac:dyDescent="0.25">
      <c r="BR2274"/>
    </row>
    <row r="2275" spans="70:70" x14ac:dyDescent="0.25">
      <c r="BR2275"/>
    </row>
    <row r="2276" spans="70:70" x14ac:dyDescent="0.25">
      <c r="BR2276"/>
    </row>
    <row r="2277" spans="70:70" x14ac:dyDescent="0.25">
      <c r="BR2277"/>
    </row>
    <row r="2278" spans="70:70" x14ac:dyDescent="0.25">
      <c r="BR2278"/>
    </row>
    <row r="2279" spans="70:70" x14ac:dyDescent="0.25">
      <c r="BR2279"/>
    </row>
    <row r="2280" spans="70:70" x14ac:dyDescent="0.25">
      <c r="BR2280"/>
    </row>
    <row r="2281" spans="70:70" x14ac:dyDescent="0.25">
      <c r="BR2281"/>
    </row>
    <row r="2282" spans="70:70" x14ac:dyDescent="0.25">
      <c r="BR2282"/>
    </row>
    <row r="2283" spans="70:70" x14ac:dyDescent="0.25">
      <c r="BR2283"/>
    </row>
    <row r="2284" spans="70:70" x14ac:dyDescent="0.25">
      <c r="BR2284"/>
    </row>
    <row r="2285" spans="70:70" x14ac:dyDescent="0.25">
      <c r="BR2285"/>
    </row>
    <row r="2286" spans="70:70" x14ac:dyDescent="0.25">
      <c r="BR2286"/>
    </row>
    <row r="2287" spans="70:70" x14ac:dyDescent="0.25">
      <c r="BR2287"/>
    </row>
    <row r="2288" spans="70:70" x14ac:dyDescent="0.25">
      <c r="BR2288"/>
    </row>
    <row r="2289" spans="70:70" x14ac:dyDescent="0.25">
      <c r="BR2289"/>
    </row>
    <row r="2290" spans="70:70" x14ac:dyDescent="0.25">
      <c r="BR2290"/>
    </row>
    <row r="2291" spans="70:70" x14ac:dyDescent="0.25">
      <c r="BR2291"/>
    </row>
    <row r="2292" spans="70:70" x14ac:dyDescent="0.25">
      <c r="BR2292"/>
    </row>
    <row r="2293" spans="70:70" x14ac:dyDescent="0.25">
      <c r="BR2293"/>
    </row>
    <row r="2294" spans="70:70" x14ac:dyDescent="0.25">
      <c r="BR2294"/>
    </row>
    <row r="2295" spans="70:70" x14ac:dyDescent="0.25">
      <c r="BR2295"/>
    </row>
    <row r="2296" spans="70:70" x14ac:dyDescent="0.25">
      <c r="BR2296"/>
    </row>
    <row r="2297" spans="70:70" x14ac:dyDescent="0.25">
      <c r="BR2297"/>
    </row>
    <row r="2298" spans="70:70" x14ac:dyDescent="0.25">
      <c r="BR2298"/>
    </row>
    <row r="2299" spans="70:70" x14ac:dyDescent="0.25">
      <c r="BR2299"/>
    </row>
    <row r="2300" spans="70:70" x14ac:dyDescent="0.25">
      <c r="BR2300"/>
    </row>
    <row r="2301" spans="70:70" x14ac:dyDescent="0.25">
      <c r="BR2301"/>
    </row>
    <row r="2302" spans="70:70" x14ac:dyDescent="0.25">
      <c r="BR2302"/>
    </row>
    <row r="2303" spans="70:70" x14ac:dyDescent="0.25">
      <c r="BR2303"/>
    </row>
    <row r="2304" spans="70:70" x14ac:dyDescent="0.25">
      <c r="BR2304"/>
    </row>
    <row r="2305" spans="70:70" x14ac:dyDescent="0.25">
      <c r="BR2305"/>
    </row>
    <row r="2306" spans="70:70" x14ac:dyDescent="0.25">
      <c r="BR2306"/>
    </row>
    <row r="2307" spans="70:70" x14ac:dyDescent="0.25">
      <c r="BR2307"/>
    </row>
    <row r="2308" spans="70:70" x14ac:dyDescent="0.25">
      <c r="BR2308"/>
    </row>
    <row r="2309" spans="70:70" x14ac:dyDescent="0.25">
      <c r="BR2309"/>
    </row>
    <row r="2310" spans="70:70" x14ac:dyDescent="0.25">
      <c r="BR2310"/>
    </row>
    <row r="2311" spans="70:70" x14ac:dyDescent="0.25">
      <c r="BR2311"/>
    </row>
    <row r="2312" spans="70:70" x14ac:dyDescent="0.25">
      <c r="BR2312"/>
    </row>
    <row r="2313" spans="70:70" x14ac:dyDescent="0.25">
      <c r="BR2313"/>
    </row>
    <row r="2314" spans="70:70" x14ac:dyDescent="0.25">
      <c r="BR2314"/>
    </row>
    <row r="2315" spans="70:70" x14ac:dyDescent="0.25">
      <c r="BR2315"/>
    </row>
    <row r="2316" spans="70:70" x14ac:dyDescent="0.25">
      <c r="BR2316"/>
    </row>
    <row r="2317" spans="70:70" x14ac:dyDescent="0.25">
      <c r="BR2317"/>
    </row>
    <row r="2318" spans="70:70" x14ac:dyDescent="0.25">
      <c r="BR2318"/>
    </row>
    <row r="2319" spans="70:70" x14ac:dyDescent="0.25">
      <c r="BR2319"/>
    </row>
    <row r="2320" spans="70:70" x14ac:dyDescent="0.25">
      <c r="BR2320"/>
    </row>
    <row r="2321" spans="70:70" x14ac:dyDescent="0.25">
      <c r="BR2321"/>
    </row>
    <row r="2322" spans="70:70" x14ac:dyDescent="0.25">
      <c r="BR2322"/>
    </row>
    <row r="2323" spans="70:70" x14ac:dyDescent="0.25">
      <c r="BR2323"/>
    </row>
    <row r="2324" spans="70:70" x14ac:dyDescent="0.25">
      <c r="BR2324"/>
    </row>
    <row r="2325" spans="70:70" x14ac:dyDescent="0.25">
      <c r="BR2325"/>
    </row>
    <row r="2326" spans="70:70" x14ac:dyDescent="0.25">
      <c r="BR2326"/>
    </row>
    <row r="2327" spans="70:70" x14ac:dyDescent="0.25">
      <c r="BR2327"/>
    </row>
    <row r="2328" spans="70:70" x14ac:dyDescent="0.25">
      <c r="BR2328"/>
    </row>
    <row r="2329" spans="70:70" x14ac:dyDescent="0.25">
      <c r="BR2329"/>
    </row>
    <row r="2330" spans="70:70" x14ac:dyDescent="0.25">
      <c r="BR2330"/>
    </row>
    <row r="2331" spans="70:70" x14ac:dyDescent="0.25">
      <c r="BR2331"/>
    </row>
    <row r="2332" spans="70:70" x14ac:dyDescent="0.25">
      <c r="BR2332"/>
    </row>
    <row r="2333" spans="70:70" x14ac:dyDescent="0.25">
      <c r="BR2333"/>
    </row>
    <row r="2334" spans="70:70" x14ac:dyDescent="0.25">
      <c r="BR2334"/>
    </row>
    <row r="2335" spans="70:70" x14ac:dyDescent="0.25">
      <c r="BR2335"/>
    </row>
    <row r="2336" spans="70:70" x14ac:dyDescent="0.25">
      <c r="BR2336"/>
    </row>
    <row r="2337" spans="70:70" x14ac:dyDescent="0.25">
      <c r="BR2337"/>
    </row>
    <row r="2338" spans="70:70" x14ac:dyDescent="0.25">
      <c r="BR2338"/>
    </row>
    <row r="2339" spans="70:70" x14ac:dyDescent="0.25">
      <c r="BR2339"/>
    </row>
    <row r="2340" spans="70:70" x14ac:dyDescent="0.25">
      <c r="BR2340"/>
    </row>
    <row r="2341" spans="70:70" x14ac:dyDescent="0.25">
      <c r="BR2341"/>
    </row>
    <row r="2342" spans="70:70" x14ac:dyDescent="0.25">
      <c r="BR2342"/>
    </row>
    <row r="2343" spans="70:70" x14ac:dyDescent="0.25">
      <c r="BR2343"/>
    </row>
    <row r="2344" spans="70:70" x14ac:dyDescent="0.25">
      <c r="BR2344"/>
    </row>
    <row r="2345" spans="70:70" x14ac:dyDescent="0.25">
      <c r="BR2345"/>
    </row>
    <row r="2346" spans="70:70" x14ac:dyDescent="0.25">
      <c r="BR2346"/>
    </row>
    <row r="2347" spans="70:70" x14ac:dyDescent="0.25">
      <c r="BR2347"/>
    </row>
    <row r="2348" spans="70:70" x14ac:dyDescent="0.25">
      <c r="BR2348"/>
    </row>
    <row r="2349" spans="70:70" x14ac:dyDescent="0.25">
      <c r="BR2349"/>
    </row>
    <row r="2350" spans="70:70" x14ac:dyDescent="0.25">
      <c r="BR2350"/>
    </row>
    <row r="2351" spans="70:70" x14ac:dyDescent="0.25">
      <c r="BR2351"/>
    </row>
    <row r="2352" spans="70:70" x14ac:dyDescent="0.25">
      <c r="BR2352"/>
    </row>
    <row r="2353" spans="70:70" x14ac:dyDescent="0.25">
      <c r="BR2353"/>
    </row>
    <row r="2354" spans="70:70" x14ac:dyDescent="0.25">
      <c r="BR2354"/>
    </row>
    <row r="2355" spans="70:70" x14ac:dyDescent="0.25">
      <c r="BR2355"/>
    </row>
    <row r="2356" spans="70:70" x14ac:dyDescent="0.25">
      <c r="BR2356"/>
    </row>
    <row r="2357" spans="70:70" x14ac:dyDescent="0.25">
      <c r="BR2357"/>
    </row>
    <row r="2358" spans="70:70" x14ac:dyDescent="0.25">
      <c r="BR2358"/>
    </row>
    <row r="2359" spans="70:70" x14ac:dyDescent="0.25">
      <c r="BR2359"/>
    </row>
    <row r="2360" spans="70:70" x14ac:dyDescent="0.25">
      <c r="BR2360"/>
    </row>
    <row r="2361" spans="70:70" x14ac:dyDescent="0.25">
      <c r="BR2361"/>
    </row>
    <row r="2362" spans="70:70" x14ac:dyDescent="0.25">
      <c r="BR2362"/>
    </row>
    <row r="2363" spans="70:70" x14ac:dyDescent="0.25">
      <c r="BR2363"/>
    </row>
    <row r="2364" spans="70:70" x14ac:dyDescent="0.25">
      <c r="BR2364"/>
    </row>
    <row r="2365" spans="70:70" x14ac:dyDescent="0.25">
      <c r="BR2365"/>
    </row>
    <row r="2366" spans="70:70" x14ac:dyDescent="0.25">
      <c r="BR2366"/>
    </row>
    <row r="2367" spans="70:70" x14ac:dyDescent="0.25">
      <c r="BR2367"/>
    </row>
    <row r="2368" spans="70:70" x14ac:dyDescent="0.25">
      <c r="BR2368"/>
    </row>
    <row r="2369" spans="70:70" x14ac:dyDescent="0.25">
      <c r="BR2369"/>
    </row>
    <row r="2370" spans="70:70" x14ac:dyDescent="0.25">
      <c r="BR2370"/>
    </row>
    <row r="2371" spans="70:70" x14ac:dyDescent="0.25">
      <c r="BR2371"/>
    </row>
    <row r="2372" spans="70:70" x14ac:dyDescent="0.25">
      <c r="BR2372"/>
    </row>
    <row r="2373" spans="70:70" x14ac:dyDescent="0.25">
      <c r="BR2373"/>
    </row>
    <row r="2374" spans="70:70" x14ac:dyDescent="0.25">
      <c r="BR2374"/>
    </row>
    <row r="2375" spans="70:70" x14ac:dyDescent="0.25">
      <c r="BR2375"/>
    </row>
    <row r="2376" spans="70:70" x14ac:dyDescent="0.25">
      <c r="BR2376"/>
    </row>
    <row r="2377" spans="70:70" x14ac:dyDescent="0.25">
      <c r="BR2377"/>
    </row>
    <row r="2378" spans="70:70" x14ac:dyDescent="0.25">
      <c r="BR2378"/>
    </row>
    <row r="2379" spans="70:70" x14ac:dyDescent="0.25">
      <c r="BR2379"/>
    </row>
    <row r="2380" spans="70:70" x14ac:dyDescent="0.25">
      <c r="BR2380"/>
    </row>
    <row r="2381" spans="70:70" x14ac:dyDescent="0.25">
      <c r="BR2381"/>
    </row>
    <row r="2382" spans="70:70" x14ac:dyDescent="0.25">
      <c r="BR2382"/>
    </row>
    <row r="2383" spans="70:70" x14ac:dyDescent="0.25">
      <c r="BR2383"/>
    </row>
    <row r="2384" spans="70:70" x14ac:dyDescent="0.25">
      <c r="BR2384"/>
    </row>
    <row r="2385" spans="70:70" x14ac:dyDescent="0.25">
      <c r="BR2385"/>
    </row>
    <row r="2386" spans="70:70" x14ac:dyDescent="0.25">
      <c r="BR2386"/>
    </row>
    <row r="2387" spans="70:70" x14ac:dyDescent="0.25">
      <c r="BR2387"/>
    </row>
    <row r="2388" spans="70:70" x14ac:dyDescent="0.25">
      <c r="BR2388"/>
    </row>
    <row r="2389" spans="70:70" x14ac:dyDescent="0.25">
      <c r="BR2389"/>
    </row>
    <row r="2390" spans="70:70" x14ac:dyDescent="0.25">
      <c r="BR2390"/>
    </row>
    <row r="2391" spans="70:70" x14ac:dyDescent="0.25">
      <c r="BR2391"/>
    </row>
    <row r="2392" spans="70:70" x14ac:dyDescent="0.25">
      <c r="BR2392"/>
    </row>
    <row r="2393" spans="70:70" x14ac:dyDescent="0.25">
      <c r="BR2393"/>
    </row>
    <row r="2394" spans="70:70" x14ac:dyDescent="0.25">
      <c r="BR2394"/>
    </row>
    <row r="2395" spans="70:70" x14ac:dyDescent="0.25">
      <c r="BR2395"/>
    </row>
    <row r="2396" spans="70:70" x14ac:dyDescent="0.25">
      <c r="BR2396"/>
    </row>
    <row r="2397" spans="70:70" x14ac:dyDescent="0.25">
      <c r="BR2397"/>
    </row>
    <row r="2398" spans="70:70" x14ac:dyDescent="0.25">
      <c r="BR2398"/>
    </row>
    <row r="2399" spans="70:70" x14ac:dyDescent="0.25">
      <c r="BR2399"/>
    </row>
    <row r="2400" spans="70:70" x14ac:dyDescent="0.25">
      <c r="BR2400"/>
    </row>
    <row r="2401" spans="70:70" x14ac:dyDescent="0.25">
      <c r="BR2401"/>
    </row>
    <row r="2402" spans="70:70" x14ac:dyDescent="0.25">
      <c r="BR2402"/>
    </row>
    <row r="2403" spans="70:70" x14ac:dyDescent="0.25">
      <c r="BR2403"/>
    </row>
    <row r="2404" spans="70:70" x14ac:dyDescent="0.25">
      <c r="BR2404"/>
    </row>
    <row r="2405" spans="70:70" x14ac:dyDescent="0.25">
      <c r="BR2405"/>
    </row>
    <row r="2406" spans="70:70" x14ac:dyDescent="0.25">
      <c r="BR2406"/>
    </row>
    <row r="2407" spans="70:70" x14ac:dyDescent="0.25">
      <c r="BR2407"/>
    </row>
    <row r="2408" spans="70:70" x14ac:dyDescent="0.25">
      <c r="BR2408"/>
    </row>
    <row r="2409" spans="70:70" x14ac:dyDescent="0.25">
      <c r="BR2409"/>
    </row>
    <row r="2410" spans="70:70" x14ac:dyDescent="0.25">
      <c r="BR2410"/>
    </row>
    <row r="2411" spans="70:70" x14ac:dyDescent="0.25">
      <c r="BR2411"/>
    </row>
    <row r="2412" spans="70:70" x14ac:dyDescent="0.25">
      <c r="BR2412"/>
    </row>
    <row r="2413" spans="70:70" x14ac:dyDescent="0.25">
      <c r="BR2413"/>
    </row>
    <row r="2414" spans="70:70" x14ac:dyDescent="0.25">
      <c r="BR2414"/>
    </row>
    <row r="2415" spans="70:70" x14ac:dyDescent="0.25">
      <c r="BR2415"/>
    </row>
    <row r="2416" spans="70:70" x14ac:dyDescent="0.25">
      <c r="BR2416"/>
    </row>
    <row r="2417" spans="70:70" x14ac:dyDescent="0.25">
      <c r="BR2417"/>
    </row>
    <row r="2418" spans="70:70" x14ac:dyDescent="0.25">
      <c r="BR2418"/>
    </row>
    <row r="2419" spans="70:70" x14ac:dyDescent="0.25">
      <c r="BR2419"/>
    </row>
    <row r="2420" spans="70:70" x14ac:dyDescent="0.25">
      <c r="BR2420"/>
    </row>
    <row r="2421" spans="70:70" x14ac:dyDescent="0.25">
      <c r="BR2421"/>
    </row>
    <row r="2422" spans="70:70" x14ac:dyDescent="0.25">
      <c r="BR2422"/>
    </row>
    <row r="2423" spans="70:70" x14ac:dyDescent="0.25">
      <c r="BR2423"/>
    </row>
    <row r="2424" spans="70:70" x14ac:dyDescent="0.25">
      <c r="BR2424"/>
    </row>
    <row r="2425" spans="70:70" x14ac:dyDescent="0.25">
      <c r="BR2425"/>
    </row>
    <row r="2426" spans="70:70" x14ac:dyDescent="0.25">
      <c r="BR2426"/>
    </row>
    <row r="2427" spans="70:70" x14ac:dyDescent="0.25">
      <c r="BR2427"/>
    </row>
    <row r="2428" spans="70:70" x14ac:dyDescent="0.25">
      <c r="BR2428"/>
    </row>
    <row r="2429" spans="70:70" x14ac:dyDescent="0.25">
      <c r="BR2429"/>
    </row>
    <row r="2430" spans="70:70" x14ac:dyDescent="0.25">
      <c r="BR2430"/>
    </row>
    <row r="2431" spans="70:70" x14ac:dyDescent="0.25">
      <c r="BR2431"/>
    </row>
    <row r="2432" spans="70:70" x14ac:dyDescent="0.25">
      <c r="BR2432"/>
    </row>
    <row r="2433" spans="70:70" x14ac:dyDescent="0.25">
      <c r="BR2433"/>
    </row>
    <row r="2434" spans="70:70" x14ac:dyDescent="0.25">
      <c r="BR2434"/>
    </row>
    <row r="2435" spans="70:70" x14ac:dyDescent="0.25">
      <c r="BR2435"/>
    </row>
    <row r="2436" spans="70:70" x14ac:dyDescent="0.25">
      <c r="BR2436"/>
    </row>
    <row r="2437" spans="70:70" x14ac:dyDescent="0.25">
      <c r="BR2437"/>
    </row>
    <row r="2438" spans="70:70" x14ac:dyDescent="0.25">
      <c r="BR2438"/>
    </row>
    <row r="2439" spans="70:70" x14ac:dyDescent="0.25">
      <c r="BR2439"/>
    </row>
    <row r="2440" spans="70:70" x14ac:dyDescent="0.25">
      <c r="BR2440"/>
    </row>
    <row r="2441" spans="70:70" x14ac:dyDescent="0.25">
      <c r="BR2441"/>
    </row>
    <row r="2442" spans="70:70" x14ac:dyDescent="0.25">
      <c r="BR2442"/>
    </row>
    <row r="2443" spans="70:70" x14ac:dyDescent="0.25">
      <c r="BR2443"/>
    </row>
    <row r="2444" spans="70:70" x14ac:dyDescent="0.25">
      <c r="BR2444"/>
    </row>
    <row r="2445" spans="70:70" x14ac:dyDescent="0.25">
      <c r="BR2445"/>
    </row>
    <row r="2446" spans="70:70" x14ac:dyDescent="0.25">
      <c r="BR2446"/>
    </row>
    <row r="2447" spans="70:70" x14ac:dyDescent="0.25">
      <c r="BR2447"/>
    </row>
    <row r="2448" spans="70:70" x14ac:dyDescent="0.25">
      <c r="BR2448"/>
    </row>
    <row r="2449" spans="70:70" x14ac:dyDescent="0.25">
      <c r="BR2449"/>
    </row>
    <row r="2450" spans="70:70" x14ac:dyDescent="0.25">
      <c r="BR2450"/>
    </row>
    <row r="2451" spans="70:70" x14ac:dyDescent="0.25">
      <c r="BR2451"/>
    </row>
    <row r="2452" spans="70:70" x14ac:dyDescent="0.25">
      <c r="BR2452"/>
    </row>
    <row r="2453" spans="70:70" x14ac:dyDescent="0.25">
      <c r="BR2453"/>
    </row>
    <row r="2454" spans="70:70" x14ac:dyDescent="0.25">
      <c r="BR2454"/>
    </row>
    <row r="2455" spans="70:70" x14ac:dyDescent="0.25">
      <c r="BR2455"/>
    </row>
    <row r="2456" spans="70:70" x14ac:dyDescent="0.25">
      <c r="BR2456"/>
    </row>
    <row r="2457" spans="70:70" x14ac:dyDescent="0.25">
      <c r="BR2457"/>
    </row>
    <row r="2458" spans="70:70" x14ac:dyDescent="0.25">
      <c r="BR2458"/>
    </row>
    <row r="2459" spans="70:70" x14ac:dyDescent="0.25">
      <c r="BR2459"/>
    </row>
    <row r="2460" spans="70:70" x14ac:dyDescent="0.25">
      <c r="BR2460"/>
    </row>
    <row r="2461" spans="70:70" x14ac:dyDescent="0.25">
      <c r="BR2461"/>
    </row>
    <row r="2462" spans="70:70" x14ac:dyDescent="0.25">
      <c r="BR2462"/>
    </row>
    <row r="2463" spans="70:70" x14ac:dyDescent="0.25">
      <c r="BR2463"/>
    </row>
    <row r="2464" spans="70:70" x14ac:dyDescent="0.25">
      <c r="BR2464"/>
    </row>
    <row r="2465" spans="70:70" x14ac:dyDescent="0.25">
      <c r="BR2465"/>
    </row>
    <row r="2466" spans="70:70" x14ac:dyDescent="0.25">
      <c r="BR2466"/>
    </row>
    <row r="2467" spans="70:70" x14ac:dyDescent="0.25">
      <c r="BR2467"/>
    </row>
    <row r="2468" spans="70:70" x14ac:dyDescent="0.25">
      <c r="BR2468"/>
    </row>
    <row r="2469" spans="70:70" x14ac:dyDescent="0.25">
      <c r="BR2469"/>
    </row>
    <row r="2470" spans="70:70" x14ac:dyDescent="0.25">
      <c r="BR2470"/>
    </row>
    <row r="2471" spans="70:70" x14ac:dyDescent="0.25">
      <c r="BR2471"/>
    </row>
    <row r="2472" spans="70:70" x14ac:dyDescent="0.25">
      <c r="BR2472"/>
    </row>
    <row r="2473" spans="70:70" x14ac:dyDescent="0.25">
      <c r="BR2473"/>
    </row>
    <row r="2474" spans="70:70" x14ac:dyDescent="0.25">
      <c r="BR2474"/>
    </row>
    <row r="2475" spans="70:70" x14ac:dyDescent="0.25">
      <c r="BR2475"/>
    </row>
    <row r="2476" spans="70:70" x14ac:dyDescent="0.25">
      <c r="BR2476"/>
    </row>
    <row r="2477" spans="70:70" x14ac:dyDescent="0.25">
      <c r="BR2477"/>
    </row>
    <row r="2478" spans="70:70" x14ac:dyDescent="0.25">
      <c r="BR2478"/>
    </row>
    <row r="2479" spans="70:70" x14ac:dyDescent="0.25">
      <c r="BR2479"/>
    </row>
    <row r="2480" spans="70:70" x14ac:dyDescent="0.25">
      <c r="BR2480"/>
    </row>
    <row r="2481" spans="70:70" x14ac:dyDescent="0.25">
      <c r="BR2481"/>
    </row>
    <row r="2482" spans="70:70" x14ac:dyDescent="0.25">
      <c r="BR2482"/>
    </row>
    <row r="2483" spans="70:70" x14ac:dyDescent="0.25">
      <c r="BR2483"/>
    </row>
    <row r="2484" spans="70:70" x14ac:dyDescent="0.25">
      <c r="BR2484"/>
    </row>
    <row r="2485" spans="70:70" x14ac:dyDescent="0.25">
      <c r="BR2485"/>
    </row>
    <row r="2486" spans="70:70" x14ac:dyDescent="0.25">
      <c r="BR2486"/>
    </row>
    <row r="2487" spans="70:70" x14ac:dyDescent="0.25">
      <c r="BR2487"/>
    </row>
    <row r="2488" spans="70:70" x14ac:dyDescent="0.25">
      <c r="BR2488"/>
    </row>
    <row r="2489" spans="70:70" x14ac:dyDescent="0.25">
      <c r="BR2489"/>
    </row>
    <row r="2490" spans="70:70" x14ac:dyDescent="0.25">
      <c r="BR2490"/>
    </row>
    <row r="2491" spans="70:70" x14ac:dyDescent="0.25">
      <c r="BR2491"/>
    </row>
    <row r="2492" spans="70:70" x14ac:dyDescent="0.25">
      <c r="BR2492"/>
    </row>
    <row r="2493" spans="70:70" x14ac:dyDescent="0.25">
      <c r="BR2493"/>
    </row>
    <row r="2494" spans="70:70" x14ac:dyDescent="0.25">
      <c r="BR2494"/>
    </row>
    <row r="2495" spans="70:70" x14ac:dyDescent="0.25">
      <c r="BR2495"/>
    </row>
    <row r="2496" spans="70:70" x14ac:dyDescent="0.25">
      <c r="BR2496"/>
    </row>
    <row r="2497" spans="70:70" x14ac:dyDescent="0.25">
      <c r="BR2497"/>
    </row>
    <row r="2498" spans="70:70" x14ac:dyDescent="0.25">
      <c r="BR2498"/>
    </row>
    <row r="2499" spans="70:70" x14ac:dyDescent="0.25">
      <c r="BR2499"/>
    </row>
    <row r="2500" spans="70:70" x14ac:dyDescent="0.25">
      <c r="BR2500"/>
    </row>
    <row r="2501" spans="70:70" x14ac:dyDescent="0.25">
      <c r="BR2501"/>
    </row>
    <row r="2502" spans="70:70" x14ac:dyDescent="0.25">
      <c r="BR2502"/>
    </row>
    <row r="2503" spans="70:70" x14ac:dyDescent="0.25">
      <c r="BR2503"/>
    </row>
    <row r="2504" spans="70:70" x14ac:dyDescent="0.25">
      <c r="BR2504"/>
    </row>
    <row r="2505" spans="70:70" x14ac:dyDescent="0.25">
      <c r="BR2505"/>
    </row>
    <row r="2506" spans="70:70" x14ac:dyDescent="0.25">
      <c r="BR2506"/>
    </row>
    <row r="2507" spans="70:70" x14ac:dyDescent="0.25">
      <c r="BR2507"/>
    </row>
    <row r="2508" spans="70:70" x14ac:dyDescent="0.25">
      <c r="BR2508"/>
    </row>
    <row r="2509" spans="70:70" x14ac:dyDescent="0.25">
      <c r="BR2509"/>
    </row>
    <row r="2510" spans="70:70" x14ac:dyDescent="0.25">
      <c r="BR2510"/>
    </row>
    <row r="2511" spans="70:70" x14ac:dyDescent="0.25">
      <c r="BR2511"/>
    </row>
    <row r="2512" spans="70:70" x14ac:dyDescent="0.25">
      <c r="BR2512"/>
    </row>
    <row r="2513" spans="70:70" x14ac:dyDescent="0.25">
      <c r="BR2513"/>
    </row>
    <row r="2514" spans="70:70" x14ac:dyDescent="0.25">
      <c r="BR2514"/>
    </row>
    <row r="2515" spans="70:70" x14ac:dyDescent="0.25">
      <c r="BR2515"/>
    </row>
    <row r="2516" spans="70:70" x14ac:dyDescent="0.25">
      <c r="BR2516"/>
    </row>
    <row r="2517" spans="70:70" x14ac:dyDescent="0.25">
      <c r="BR2517"/>
    </row>
    <row r="2518" spans="70:70" x14ac:dyDescent="0.25">
      <c r="BR2518"/>
    </row>
    <row r="2519" spans="70:70" x14ac:dyDescent="0.25">
      <c r="BR2519"/>
    </row>
    <row r="2520" spans="70:70" x14ac:dyDescent="0.25">
      <c r="BR2520"/>
    </row>
    <row r="2521" spans="70:70" x14ac:dyDescent="0.25">
      <c r="BR2521"/>
    </row>
    <row r="2522" spans="70:70" x14ac:dyDescent="0.25">
      <c r="BR2522"/>
    </row>
    <row r="2523" spans="70:70" x14ac:dyDescent="0.25">
      <c r="BR2523"/>
    </row>
    <row r="2524" spans="70:70" x14ac:dyDescent="0.25">
      <c r="BR2524"/>
    </row>
    <row r="2525" spans="70:70" x14ac:dyDescent="0.25">
      <c r="BR2525"/>
    </row>
    <row r="2526" spans="70:70" x14ac:dyDescent="0.25">
      <c r="BR2526"/>
    </row>
    <row r="2527" spans="70:70" x14ac:dyDescent="0.25">
      <c r="BR2527"/>
    </row>
    <row r="2528" spans="70:70" x14ac:dyDescent="0.25">
      <c r="BR2528"/>
    </row>
    <row r="2529" spans="70:70" x14ac:dyDescent="0.25">
      <c r="BR2529"/>
    </row>
    <row r="2530" spans="70:70" x14ac:dyDescent="0.25">
      <c r="BR2530"/>
    </row>
    <row r="2531" spans="70:70" x14ac:dyDescent="0.25">
      <c r="BR2531"/>
    </row>
    <row r="2532" spans="70:70" x14ac:dyDescent="0.25">
      <c r="BR2532"/>
    </row>
    <row r="2533" spans="70:70" x14ac:dyDescent="0.25">
      <c r="BR2533"/>
    </row>
    <row r="2534" spans="70:70" x14ac:dyDescent="0.25">
      <c r="BR2534"/>
    </row>
    <row r="2535" spans="70:70" x14ac:dyDescent="0.25">
      <c r="BR2535"/>
    </row>
    <row r="2536" spans="70:70" x14ac:dyDescent="0.25">
      <c r="BR2536"/>
    </row>
    <row r="2537" spans="70:70" x14ac:dyDescent="0.25">
      <c r="BR2537"/>
    </row>
    <row r="2538" spans="70:70" x14ac:dyDescent="0.25">
      <c r="BR2538"/>
    </row>
    <row r="2539" spans="70:70" x14ac:dyDescent="0.25">
      <c r="BR2539"/>
    </row>
    <row r="2540" spans="70:70" x14ac:dyDescent="0.25">
      <c r="BR2540"/>
    </row>
    <row r="2541" spans="70:70" x14ac:dyDescent="0.25">
      <c r="BR2541"/>
    </row>
    <row r="2542" spans="70:70" x14ac:dyDescent="0.25">
      <c r="BR2542"/>
    </row>
    <row r="2543" spans="70:70" x14ac:dyDescent="0.25">
      <c r="BR2543"/>
    </row>
    <row r="2544" spans="70:70" x14ac:dyDescent="0.25">
      <c r="BR2544"/>
    </row>
    <row r="2545" spans="70:70" x14ac:dyDescent="0.25">
      <c r="BR2545"/>
    </row>
    <row r="2546" spans="70:70" x14ac:dyDescent="0.25">
      <c r="BR2546"/>
    </row>
    <row r="2547" spans="70:70" x14ac:dyDescent="0.25">
      <c r="BR2547"/>
    </row>
    <row r="2548" spans="70:70" x14ac:dyDescent="0.25">
      <c r="BR2548"/>
    </row>
    <row r="2549" spans="70:70" x14ac:dyDescent="0.25">
      <c r="BR2549"/>
    </row>
    <row r="2550" spans="70:70" x14ac:dyDescent="0.25">
      <c r="BR2550"/>
    </row>
    <row r="2551" spans="70:70" x14ac:dyDescent="0.25">
      <c r="BR2551"/>
    </row>
    <row r="2552" spans="70:70" x14ac:dyDescent="0.25">
      <c r="BR2552"/>
    </row>
    <row r="2553" spans="70:70" x14ac:dyDescent="0.25">
      <c r="BR2553"/>
    </row>
    <row r="2554" spans="70:70" x14ac:dyDescent="0.25">
      <c r="BR2554"/>
    </row>
    <row r="2555" spans="70:70" x14ac:dyDescent="0.25">
      <c r="BR2555"/>
    </row>
    <row r="2556" spans="70:70" x14ac:dyDescent="0.25">
      <c r="BR2556"/>
    </row>
    <row r="2557" spans="70:70" x14ac:dyDescent="0.25">
      <c r="BR2557"/>
    </row>
    <row r="2558" spans="70:70" x14ac:dyDescent="0.25">
      <c r="BR2558"/>
    </row>
    <row r="2559" spans="70:70" x14ac:dyDescent="0.25">
      <c r="BR2559"/>
    </row>
    <row r="2560" spans="70:70" x14ac:dyDescent="0.25">
      <c r="BR2560"/>
    </row>
    <row r="2561" spans="70:70" x14ac:dyDescent="0.25">
      <c r="BR2561"/>
    </row>
    <row r="2562" spans="70:70" x14ac:dyDescent="0.25">
      <c r="BR2562"/>
    </row>
    <row r="2563" spans="70:70" x14ac:dyDescent="0.25">
      <c r="BR2563"/>
    </row>
    <row r="2564" spans="70:70" x14ac:dyDescent="0.25">
      <c r="BR2564"/>
    </row>
    <row r="2565" spans="70:70" x14ac:dyDescent="0.25">
      <c r="BR2565"/>
    </row>
    <row r="2566" spans="70:70" x14ac:dyDescent="0.25">
      <c r="BR2566"/>
    </row>
    <row r="2567" spans="70:70" x14ac:dyDescent="0.25">
      <c r="BR2567"/>
    </row>
    <row r="2568" spans="70:70" x14ac:dyDescent="0.25">
      <c r="BR2568"/>
    </row>
    <row r="2569" spans="70:70" x14ac:dyDescent="0.25">
      <c r="BR2569"/>
    </row>
    <row r="2570" spans="70:70" x14ac:dyDescent="0.25">
      <c r="BR2570"/>
    </row>
    <row r="2571" spans="70:70" x14ac:dyDescent="0.25">
      <c r="BR2571"/>
    </row>
    <row r="2572" spans="70:70" x14ac:dyDescent="0.25">
      <c r="BR2572"/>
    </row>
    <row r="2573" spans="70:70" x14ac:dyDescent="0.25">
      <c r="BR2573"/>
    </row>
    <row r="2574" spans="70:70" x14ac:dyDescent="0.25">
      <c r="BR2574"/>
    </row>
    <row r="2575" spans="70:70" x14ac:dyDescent="0.25">
      <c r="BR2575"/>
    </row>
    <row r="2576" spans="70:70" x14ac:dyDescent="0.25">
      <c r="BR2576"/>
    </row>
    <row r="2577" spans="70:70" x14ac:dyDescent="0.25">
      <c r="BR2577"/>
    </row>
    <row r="2578" spans="70:70" x14ac:dyDescent="0.25">
      <c r="BR2578"/>
    </row>
    <row r="2579" spans="70:70" x14ac:dyDescent="0.25">
      <c r="BR2579"/>
    </row>
    <row r="2580" spans="70:70" x14ac:dyDescent="0.25">
      <c r="BR2580"/>
    </row>
    <row r="2581" spans="70:70" x14ac:dyDescent="0.25">
      <c r="BR2581"/>
    </row>
    <row r="2582" spans="70:70" x14ac:dyDescent="0.25">
      <c r="BR2582"/>
    </row>
    <row r="2583" spans="70:70" x14ac:dyDescent="0.25">
      <c r="BR2583"/>
    </row>
    <row r="2584" spans="70:70" x14ac:dyDescent="0.25">
      <c r="BR2584"/>
    </row>
    <row r="2585" spans="70:70" x14ac:dyDescent="0.25">
      <c r="BR2585"/>
    </row>
    <row r="2586" spans="70:70" x14ac:dyDescent="0.25">
      <c r="BR2586"/>
    </row>
    <row r="2587" spans="70:70" x14ac:dyDescent="0.25">
      <c r="BR2587"/>
    </row>
    <row r="2588" spans="70:70" x14ac:dyDescent="0.25">
      <c r="BR2588"/>
    </row>
    <row r="2589" spans="70:70" x14ac:dyDescent="0.25">
      <c r="BR2589"/>
    </row>
    <row r="2590" spans="70:70" x14ac:dyDescent="0.25">
      <c r="BR2590"/>
    </row>
    <row r="2591" spans="70:70" x14ac:dyDescent="0.25">
      <c r="BR2591"/>
    </row>
    <row r="2592" spans="70:70" x14ac:dyDescent="0.25">
      <c r="BR2592"/>
    </row>
    <row r="2593" spans="70:70" x14ac:dyDescent="0.25">
      <c r="BR2593"/>
    </row>
    <row r="2594" spans="70:70" x14ac:dyDescent="0.25">
      <c r="BR2594"/>
    </row>
    <row r="2595" spans="70:70" x14ac:dyDescent="0.25">
      <c r="BR2595"/>
    </row>
    <row r="2596" spans="70:70" x14ac:dyDescent="0.25">
      <c r="BR2596"/>
    </row>
    <row r="2597" spans="70:70" x14ac:dyDescent="0.25">
      <c r="BR2597"/>
    </row>
    <row r="2598" spans="70:70" x14ac:dyDescent="0.25">
      <c r="BR2598"/>
    </row>
    <row r="2599" spans="70:70" x14ac:dyDescent="0.25">
      <c r="BR2599"/>
    </row>
    <row r="2600" spans="70:70" x14ac:dyDescent="0.25">
      <c r="BR2600"/>
    </row>
    <row r="2601" spans="70:70" x14ac:dyDescent="0.25">
      <c r="BR2601"/>
    </row>
    <row r="2602" spans="70:70" x14ac:dyDescent="0.25">
      <c r="BR2602"/>
    </row>
    <row r="2603" spans="70:70" x14ac:dyDescent="0.25">
      <c r="BR2603"/>
    </row>
    <row r="2604" spans="70:70" x14ac:dyDescent="0.25">
      <c r="BR2604"/>
    </row>
    <row r="2605" spans="70:70" x14ac:dyDescent="0.25">
      <c r="BR2605"/>
    </row>
    <row r="2606" spans="70:70" x14ac:dyDescent="0.25">
      <c r="BR2606"/>
    </row>
    <row r="2607" spans="70:70" x14ac:dyDescent="0.25">
      <c r="BR2607"/>
    </row>
    <row r="2608" spans="70:70" x14ac:dyDescent="0.25">
      <c r="BR2608"/>
    </row>
    <row r="2609" spans="70:70" x14ac:dyDescent="0.25">
      <c r="BR2609"/>
    </row>
    <row r="2610" spans="70:70" x14ac:dyDescent="0.25">
      <c r="BR2610"/>
    </row>
    <row r="2611" spans="70:70" x14ac:dyDescent="0.25">
      <c r="BR2611"/>
    </row>
    <row r="2612" spans="70:70" x14ac:dyDescent="0.25">
      <c r="BR2612"/>
    </row>
    <row r="2613" spans="70:70" x14ac:dyDescent="0.25">
      <c r="BR2613"/>
    </row>
    <row r="2614" spans="70:70" x14ac:dyDescent="0.25">
      <c r="BR2614"/>
    </row>
    <row r="2615" spans="70:70" x14ac:dyDescent="0.25">
      <c r="BR2615"/>
    </row>
    <row r="2616" spans="70:70" x14ac:dyDescent="0.25">
      <c r="BR2616"/>
    </row>
    <row r="2617" spans="70:70" x14ac:dyDescent="0.25">
      <c r="BR2617"/>
    </row>
    <row r="2618" spans="70:70" x14ac:dyDescent="0.25">
      <c r="BR2618"/>
    </row>
    <row r="2619" spans="70:70" x14ac:dyDescent="0.25">
      <c r="BR2619"/>
    </row>
    <row r="2620" spans="70:70" x14ac:dyDescent="0.25">
      <c r="BR2620"/>
    </row>
    <row r="2621" spans="70:70" x14ac:dyDescent="0.25">
      <c r="BR2621"/>
    </row>
    <row r="2622" spans="70:70" x14ac:dyDescent="0.25">
      <c r="BR2622"/>
    </row>
    <row r="2623" spans="70:70" x14ac:dyDescent="0.25">
      <c r="BR2623"/>
    </row>
    <row r="2624" spans="70:70" x14ac:dyDescent="0.25">
      <c r="BR2624"/>
    </row>
    <row r="2625" spans="70:70" x14ac:dyDescent="0.25">
      <c r="BR2625"/>
    </row>
    <row r="2626" spans="70:70" x14ac:dyDescent="0.25">
      <c r="BR2626"/>
    </row>
    <row r="2627" spans="70:70" x14ac:dyDescent="0.25">
      <c r="BR2627"/>
    </row>
    <row r="2628" spans="70:70" x14ac:dyDescent="0.25">
      <c r="BR2628"/>
    </row>
    <row r="2629" spans="70:70" x14ac:dyDescent="0.25">
      <c r="BR2629"/>
    </row>
    <row r="2630" spans="70:70" x14ac:dyDescent="0.25">
      <c r="BR2630"/>
    </row>
    <row r="2631" spans="70:70" x14ac:dyDescent="0.25">
      <c r="BR2631"/>
    </row>
    <row r="2632" spans="70:70" x14ac:dyDescent="0.25">
      <c r="BR2632"/>
    </row>
    <row r="2633" spans="70:70" x14ac:dyDescent="0.25">
      <c r="BR2633"/>
    </row>
    <row r="2634" spans="70:70" x14ac:dyDescent="0.25">
      <c r="BR2634"/>
    </row>
    <row r="2635" spans="70:70" x14ac:dyDescent="0.25">
      <c r="BR2635"/>
    </row>
    <row r="2636" spans="70:70" x14ac:dyDescent="0.25">
      <c r="BR2636"/>
    </row>
    <row r="2637" spans="70:70" x14ac:dyDescent="0.25">
      <c r="BR2637"/>
    </row>
    <row r="2638" spans="70:70" x14ac:dyDescent="0.25">
      <c r="BR2638"/>
    </row>
    <row r="2639" spans="70:70" x14ac:dyDescent="0.25">
      <c r="BR2639"/>
    </row>
    <row r="2640" spans="70:70" x14ac:dyDescent="0.25">
      <c r="BR2640"/>
    </row>
    <row r="2641" spans="70:70" x14ac:dyDescent="0.25">
      <c r="BR2641"/>
    </row>
    <row r="2642" spans="70:70" x14ac:dyDescent="0.25">
      <c r="BR2642"/>
    </row>
    <row r="2643" spans="70:70" x14ac:dyDescent="0.25">
      <c r="BR2643"/>
    </row>
    <row r="2644" spans="70:70" x14ac:dyDescent="0.25">
      <c r="BR2644"/>
    </row>
    <row r="2645" spans="70:70" x14ac:dyDescent="0.25">
      <c r="BR2645"/>
    </row>
    <row r="2646" spans="70:70" x14ac:dyDescent="0.25">
      <c r="BR2646"/>
    </row>
    <row r="2647" spans="70:70" x14ac:dyDescent="0.25">
      <c r="BR2647"/>
    </row>
    <row r="2648" spans="70:70" x14ac:dyDescent="0.25">
      <c r="BR2648"/>
    </row>
    <row r="2649" spans="70:70" x14ac:dyDescent="0.25">
      <c r="BR2649"/>
    </row>
    <row r="2650" spans="70:70" x14ac:dyDescent="0.25">
      <c r="BR2650"/>
    </row>
    <row r="2651" spans="70:70" x14ac:dyDescent="0.25">
      <c r="BR2651"/>
    </row>
    <row r="2652" spans="70:70" x14ac:dyDescent="0.25">
      <c r="BR2652"/>
    </row>
    <row r="2653" spans="70:70" x14ac:dyDescent="0.25">
      <c r="BR2653"/>
    </row>
    <row r="2654" spans="70:70" x14ac:dyDescent="0.25">
      <c r="BR2654"/>
    </row>
    <row r="2655" spans="70:70" x14ac:dyDescent="0.25">
      <c r="BR2655"/>
    </row>
    <row r="2656" spans="70:70" x14ac:dyDescent="0.25">
      <c r="BR2656"/>
    </row>
    <row r="2657" spans="70:70" x14ac:dyDescent="0.25">
      <c r="BR2657"/>
    </row>
    <row r="2658" spans="70:70" x14ac:dyDescent="0.25">
      <c r="BR2658"/>
    </row>
    <row r="2659" spans="70:70" x14ac:dyDescent="0.25">
      <c r="BR2659"/>
    </row>
    <row r="2660" spans="70:70" x14ac:dyDescent="0.25">
      <c r="BR2660"/>
    </row>
    <row r="2661" spans="70:70" x14ac:dyDescent="0.25">
      <c r="BR2661"/>
    </row>
    <row r="2662" spans="70:70" x14ac:dyDescent="0.25">
      <c r="BR2662"/>
    </row>
    <row r="2663" spans="70:70" x14ac:dyDescent="0.25">
      <c r="BR2663"/>
    </row>
    <row r="2664" spans="70:70" x14ac:dyDescent="0.25">
      <c r="BR2664"/>
    </row>
    <row r="2665" spans="70:70" x14ac:dyDescent="0.25">
      <c r="BR2665"/>
    </row>
    <row r="2666" spans="70:70" x14ac:dyDescent="0.25">
      <c r="BR2666"/>
    </row>
    <row r="2667" spans="70:70" x14ac:dyDescent="0.25">
      <c r="BR2667"/>
    </row>
    <row r="2668" spans="70:70" x14ac:dyDescent="0.25">
      <c r="BR2668"/>
    </row>
    <row r="2669" spans="70:70" x14ac:dyDescent="0.25">
      <c r="BR2669"/>
    </row>
    <row r="2670" spans="70:70" x14ac:dyDescent="0.25">
      <c r="BR2670"/>
    </row>
    <row r="2671" spans="70:70" x14ac:dyDescent="0.25">
      <c r="BR2671"/>
    </row>
    <row r="2672" spans="70:70" x14ac:dyDescent="0.25">
      <c r="BR2672"/>
    </row>
    <row r="2673" spans="70:70" x14ac:dyDescent="0.25">
      <c r="BR2673"/>
    </row>
    <row r="2674" spans="70:70" x14ac:dyDescent="0.25">
      <c r="BR2674"/>
    </row>
    <row r="2675" spans="70:70" x14ac:dyDescent="0.25">
      <c r="BR2675"/>
    </row>
    <row r="2676" spans="70:70" x14ac:dyDescent="0.25">
      <c r="BR2676"/>
    </row>
    <row r="2677" spans="70:70" x14ac:dyDescent="0.25">
      <c r="BR2677"/>
    </row>
    <row r="2678" spans="70:70" x14ac:dyDescent="0.25">
      <c r="BR2678"/>
    </row>
    <row r="2679" spans="70:70" x14ac:dyDescent="0.25">
      <c r="BR2679"/>
    </row>
    <row r="2680" spans="70:70" x14ac:dyDescent="0.25">
      <c r="BR2680"/>
    </row>
    <row r="2681" spans="70:70" x14ac:dyDescent="0.25">
      <c r="BR2681"/>
    </row>
    <row r="2682" spans="70:70" x14ac:dyDescent="0.25">
      <c r="BR2682"/>
    </row>
    <row r="2683" spans="70:70" x14ac:dyDescent="0.25">
      <c r="BR2683"/>
    </row>
    <row r="2684" spans="70:70" x14ac:dyDescent="0.25">
      <c r="BR2684"/>
    </row>
    <row r="2685" spans="70:70" x14ac:dyDescent="0.25">
      <c r="BR2685"/>
    </row>
    <row r="2686" spans="70:70" x14ac:dyDescent="0.25">
      <c r="BR2686"/>
    </row>
    <row r="2687" spans="70:70" x14ac:dyDescent="0.25">
      <c r="BR2687"/>
    </row>
    <row r="2688" spans="70:70" x14ac:dyDescent="0.25">
      <c r="BR2688"/>
    </row>
    <row r="2689" spans="70:70" x14ac:dyDescent="0.25">
      <c r="BR2689"/>
    </row>
    <row r="2690" spans="70:70" x14ac:dyDescent="0.25">
      <c r="BR2690"/>
    </row>
    <row r="2691" spans="70:70" x14ac:dyDescent="0.25">
      <c r="BR2691"/>
    </row>
    <row r="2692" spans="70:70" x14ac:dyDescent="0.25">
      <c r="BR2692"/>
    </row>
    <row r="2693" spans="70:70" x14ac:dyDescent="0.25">
      <c r="BR2693"/>
    </row>
    <row r="2694" spans="70:70" x14ac:dyDescent="0.25">
      <c r="BR2694"/>
    </row>
    <row r="2695" spans="70:70" x14ac:dyDescent="0.25">
      <c r="BR2695"/>
    </row>
    <row r="2696" spans="70:70" x14ac:dyDescent="0.25">
      <c r="BR2696"/>
    </row>
    <row r="2697" spans="70:70" x14ac:dyDescent="0.25">
      <c r="BR2697"/>
    </row>
    <row r="2698" spans="70:70" x14ac:dyDescent="0.25">
      <c r="BR2698"/>
    </row>
    <row r="2699" spans="70:70" x14ac:dyDescent="0.25">
      <c r="BR2699"/>
    </row>
    <row r="2700" spans="70:70" x14ac:dyDescent="0.25">
      <c r="BR2700"/>
    </row>
    <row r="2701" spans="70:70" x14ac:dyDescent="0.25">
      <c r="BR2701"/>
    </row>
    <row r="2702" spans="70:70" x14ac:dyDescent="0.25">
      <c r="BR2702"/>
    </row>
    <row r="2703" spans="70:70" x14ac:dyDescent="0.25">
      <c r="BR2703"/>
    </row>
    <row r="2704" spans="70:70" x14ac:dyDescent="0.25">
      <c r="BR2704"/>
    </row>
    <row r="2705" spans="70:70" x14ac:dyDescent="0.25">
      <c r="BR2705"/>
    </row>
    <row r="2706" spans="70:70" x14ac:dyDescent="0.25">
      <c r="BR2706"/>
    </row>
    <row r="2707" spans="70:70" x14ac:dyDescent="0.25">
      <c r="BR2707"/>
    </row>
    <row r="2708" spans="70:70" x14ac:dyDescent="0.25">
      <c r="BR2708"/>
    </row>
    <row r="2709" spans="70:70" x14ac:dyDescent="0.25">
      <c r="BR2709"/>
    </row>
    <row r="2710" spans="70:70" x14ac:dyDescent="0.25">
      <c r="BR2710"/>
    </row>
    <row r="2711" spans="70:70" x14ac:dyDescent="0.25">
      <c r="BR2711"/>
    </row>
    <row r="2712" spans="70:70" x14ac:dyDescent="0.25">
      <c r="BR2712"/>
    </row>
    <row r="2713" spans="70:70" x14ac:dyDescent="0.25">
      <c r="BR2713"/>
    </row>
    <row r="2714" spans="70:70" x14ac:dyDescent="0.25">
      <c r="BR2714"/>
    </row>
    <row r="2715" spans="70:70" x14ac:dyDescent="0.25">
      <c r="BR2715"/>
    </row>
    <row r="2716" spans="70:70" x14ac:dyDescent="0.25">
      <c r="BR2716"/>
    </row>
    <row r="2717" spans="70:70" x14ac:dyDescent="0.25">
      <c r="BR2717"/>
    </row>
    <row r="2718" spans="70:70" x14ac:dyDescent="0.25">
      <c r="BR2718"/>
    </row>
    <row r="2719" spans="70:70" x14ac:dyDescent="0.25">
      <c r="BR2719"/>
    </row>
    <row r="2720" spans="70:70" x14ac:dyDescent="0.25">
      <c r="BR2720"/>
    </row>
    <row r="2721" spans="70:70" x14ac:dyDescent="0.25">
      <c r="BR2721"/>
    </row>
    <row r="2722" spans="70:70" x14ac:dyDescent="0.25">
      <c r="BR2722"/>
    </row>
    <row r="2723" spans="70:70" x14ac:dyDescent="0.25">
      <c r="BR2723"/>
    </row>
    <row r="2724" spans="70:70" x14ac:dyDescent="0.25">
      <c r="BR2724"/>
    </row>
    <row r="2725" spans="70:70" x14ac:dyDescent="0.25">
      <c r="BR2725"/>
    </row>
    <row r="2726" spans="70:70" x14ac:dyDescent="0.25">
      <c r="BR2726"/>
    </row>
    <row r="2727" spans="70:70" x14ac:dyDescent="0.25">
      <c r="BR2727"/>
    </row>
    <row r="2728" spans="70:70" x14ac:dyDescent="0.25">
      <c r="BR2728"/>
    </row>
    <row r="2729" spans="70:70" x14ac:dyDescent="0.25">
      <c r="BR2729"/>
    </row>
    <row r="2730" spans="70:70" x14ac:dyDescent="0.25">
      <c r="BR2730"/>
    </row>
    <row r="2731" spans="70:70" x14ac:dyDescent="0.25">
      <c r="BR2731"/>
    </row>
    <row r="2732" spans="70:70" x14ac:dyDescent="0.25">
      <c r="BR2732"/>
    </row>
    <row r="2733" spans="70:70" x14ac:dyDescent="0.25">
      <c r="BR2733"/>
    </row>
    <row r="2734" spans="70:70" x14ac:dyDescent="0.25">
      <c r="BR2734"/>
    </row>
    <row r="2735" spans="70:70" x14ac:dyDescent="0.25">
      <c r="BR2735"/>
    </row>
    <row r="2736" spans="70:70" x14ac:dyDescent="0.25">
      <c r="BR2736"/>
    </row>
    <row r="2737" spans="70:70" x14ac:dyDescent="0.25">
      <c r="BR2737"/>
    </row>
    <row r="2738" spans="70:70" x14ac:dyDescent="0.25">
      <c r="BR2738"/>
    </row>
    <row r="2739" spans="70:70" x14ac:dyDescent="0.25">
      <c r="BR2739"/>
    </row>
    <row r="2740" spans="70:70" x14ac:dyDescent="0.25">
      <c r="BR2740"/>
    </row>
    <row r="2741" spans="70:70" x14ac:dyDescent="0.25">
      <c r="BR2741"/>
    </row>
    <row r="2742" spans="70:70" x14ac:dyDescent="0.25">
      <c r="BR2742"/>
    </row>
    <row r="2743" spans="70:70" x14ac:dyDescent="0.25">
      <c r="BR2743"/>
    </row>
    <row r="2744" spans="70:70" x14ac:dyDescent="0.25">
      <c r="BR2744"/>
    </row>
    <row r="2745" spans="70:70" x14ac:dyDescent="0.25">
      <c r="BR2745"/>
    </row>
    <row r="2746" spans="70:70" x14ac:dyDescent="0.25">
      <c r="BR2746"/>
    </row>
    <row r="2747" spans="70:70" x14ac:dyDescent="0.25">
      <c r="BR2747"/>
    </row>
    <row r="2748" spans="70:70" x14ac:dyDescent="0.25">
      <c r="BR2748"/>
    </row>
    <row r="2749" spans="70:70" x14ac:dyDescent="0.25">
      <c r="BR2749"/>
    </row>
    <row r="2750" spans="70:70" x14ac:dyDescent="0.25">
      <c r="BR2750"/>
    </row>
    <row r="2751" spans="70:70" x14ac:dyDescent="0.25">
      <c r="BR2751"/>
    </row>
    <row r="2752" spans="70:70" x14ac:dyDescent="0.25">
      <c r="BR2752"/>
    </row>
    <row r="2753" spans="70:70" x14ac:dyDescent="0.25">
      <c r="BR2753"/>
    </row>
    <row r="2754" spans="70:70" x14ac:dyDescent="0.25">
      <c r="BR2754"/>
    </row>
    <row r="2755" spans="70:70" x14ac:dyDescent="0.25">
      <c r="BR2755"/>
    </row>
    <row r="2756" spans="70:70" x14ac:dyDescent="0.25">
      <c r="BR2756"/>
    </row>
    <row r="2757" spans="70:70" x14ac:dyDescent="0.25">
      <c r="BR2757"/>
    </row>
    <row r="2758" spans="70:70" x14ac:dyDescent="0.25">
      <c r="BR2758"/>
    </row>
    <row r="2759" spans="70:70" x14ac:dyDescent="0.25">
      <c r="BR2759"/>
    </row>
    <row r="2760" spans="70:70" x14ac:dyDescent="0.25">
      <c r="BR2760"/>
    </row>
    <row r="2761" spans="70:70" x14ac:dyDescent="0.25">
      <c r="BR2761"/>
    </row>
    <row r="2762" spans="70:70" x14ac:dyDescent="0.25">
      <c r="BR2762"/>
    </row>
    <row r="2763" spans="70:70" x14ac:dyDescent="0.25">
      <c r="BR2763"/>
    </row>
    <row r="2764" spans="70:70" x14ac:dyDescent="0.25">
      <c r="BR2764"/>
    </row>
    <row r="2765" spans="70:70" x14ac:dyDescent="0.25">
      <c r="BR2765"/>
    </row>
    <row r="2766" spans="70:70" x14ac:dyDescent="0.25">
      <c r="BR2766"/>
    </row>
    <row r="2767" spans="70:70" x14ac:dyDescent="0.25">
      <c r="BR2767"/>
    </row>
    <row r="2768" spans="70:70" x14ac:dyDescent="0.25">
      <c r="BR2768"/>
    </row>
    <row r="2769" spans="70:70" x14ac:dyDescent="0.25">
      <c r="BR2769"/>
    </row>
    <row r="2770" spans="70:70" x14ac:dyDescent="0.25">
      <c r="BR2770"/>
    </row>
    <row r="2771" spans="70:70" x14ac:dyDescent="0.25">
      <c r="BR2771"/>
    </row>
    <row r="2772" spans="70:70" x14ac:dyDescent="0.25">
      <c r="BR2772"/>
    </row>
    <row r="2773" spans="70:70" x14ac:dyDescent="0.25">
      <c r="BR2773"/>
    </row>
    <row r="2774" spans="70:70" x14ac:dyDescent="0.25">
      <c r="BR2774"/>
    </row>
    <row r="2775" spans="70:70" x14ac:dyDescent="0.25">
      <c r="BR2775"/>
    </row>
    <row r="2776" spans="70:70" x14ac:dyDescent="0.25">
      <c r="BR2776"/>
    </row>
    <row r="2777" spans="70:70" x14ac:dyDescent="0.25">
      <c r="BR2777"/>
    </row>
    <row r="2778" spans="70:70" x14ac:dyDescent="0.25">
      <c r="BR2778"/>
    </row>
    <row r="2779" spans="70:70" x14ac:dyDescent="0.25">
      <c r="BR2779"/>
    </row>
    <row r="2780" spans="70:70" x14ac:dyDescent="0.25">
      <c r="BR2780"/>
    </row>
    <row r="2781" spans="70:70" x14ac:dyDescent="0.25">
      <c r="BR2781"/>
    </row>
    <row r="2782" spans="70:70" x14ac:dyDescent="0.25">
      <c r="BR2782"/>
    </row>
    <row r="2783" spans="70:70" x14ac:dyDescent="0.25">
      <c r="BR2783"/>
    </row>
    <row r="2784" spans="70:70" x14ac:dyDescent="0.25">
      <c r="BR2784"/>
    </row>
    <row r="2785" spans="70:70" x14ac:dyDescent="0.25">
      <c r="BR2785"/>
    </row>
    <row r="2786" spans="70:70" x14ac:dyDescent="0.25">
      <c r="BR2786"/>
    </row>
    <row r="2787" spans="70:70" x14ac:dyDescent="0.25">
      <c r="BR2787"/>
    </row>
    <row r="2788" spans="70:70" x14ac:dyDescent="0.25">
      <c r="BR2788"/>
    </row>
    <row r="2789" spans="70:70" x14ac:dyDescent="0.25">
      <c r="BR2789"/>
    </row>
    <row r="2790" spans="70:70" x14ac:dyDescent="0.25">
      <c r="BR2790"/>
    </row>
    <row r="2791" spans="70:70" x14ac:dyDescent="0.25">
      <c r="BR2791"/>
    </row>
    <row r="2792" spans="70:70" x14ac:dyDescent="0.25">
      <c r="BR2792"/>
    </row>
    <row r="2793" spans="70:70" x14ac:dyDescent="0.25">
      <c r="BR2793"/>
    </row>
    <row r="2794" spans="70:70" x14ac:dyDescent="0.25">
      <c r="BR2794"/>
    </row>
    <row r="2795" spans="70:70" x14ac:dyDescent="0.25">
      <c r="BR2795"/>
    </row>
    <row r="2796" spans="70:70" x14ac:dyDescent="0.25">
      <c r="BR2796"/>
    </row>
    <row r="2797" spans="70:70" x14ac:dyDescent="0.25">
      <c r="BR2797"/>
    </row>
    <row r="2798" spans="70:70" x14ac:dyDescent="0.25">
      <c r="BR2798"/>
    </row>
    <row r="2799" spans="70:70" x14ac:dyDescent="0.25">
      <c r="BR2799"/>
    </row>
    <row r="2800" spans="70:70" x14ac:dyDescent="0.25">
      <c r="BR2800"/>
    </row>
    <row r="2801" spans="70:70" x14ac:dyDescent="0.25">
      <c r="BR2801"/>
    </row>
    <row r="2802" spans="70:70" x14ac:dyDescent="0.25">
      <c r="BR2802"/>
    </row>
    <row r="2803" spans="70:70" x14ac:dyDescent="0.25">
      <c r="BR2803"/>
    </row>
    <row r="2804" spans="70:70" x14ac:dyDescent="0.25">
      <c r="BR2804"/>
    </row>
    <row r="2805" spans="70:70" x14ac:dyDescent="0.25">
      <c r="BR2805"/>
    </row>
    <row r="2806" spans="70:70" x14ac:dyDescent="0.25">
      <c r="BR2806"/>
    </row>
    <row r="2807" spans="70:70" x14ac:dyDescent="0.25">
      <c r="BR2807"/>
    </row>
    <row r="2808" spans="70:70" x14ac:dyDescent="0.25">
      <c r="BR2808"/>
    </row>
    <row r="2809" spans="70:70" x14ac:dyDescent="0.25">
      <c r="BR2809"/>
    </row>
    <row r="2810" spans="70:70" x14ac:dyDescent="0.25">
      <c r="BR2810"/>
    </row>
    <row r="2811" spans="70:70" x14ac:dyDescent="0.25">
      <c r="BR2811"/>
    </row>
    <row r="2812" spans="70:70" x14ac:dyDescent="0.25">
      <c r="BR2812"/>
    </row>
    <row r="2813" spans="70:70" x14ac:dyDescent="0.25">
      <c r="BR2813"/>
    </row>
    <row r="2814" spans="70:70" x14ac:dyDescent="0.25">
      <c r="BR2814"/>
    </row>
    <row r="2815" spans="70:70" x14ac:dyDescent="0.25">
      <c r="BR2815"/>
    </row>
    <row r="2816" spans="70:70" x14ac:dyDescent="0.25">
      <c r="BR2816"/>
    </row>
    <row r="2817" spans="70:70" x14ac:dyDescent="0.25">
      <c r="BR2817"/>
    </row>
    <row r="2818" spans="70:70" x14ac:dyDescent="0.25">
      <c r="BR2818"/>
    </row>
    <row r="2819" spans="70:70" x14ac:dyDescent="0.25">
      <c r="BR2819"/>
    </row>
    <row r="2820" spans="70:70" x14ac:dyDescent="0.25">
      <c r="BR2820"/>
    </row>
    <row r="2821" spans="70:70" x14ac:dyDescent="0.25">
      <c r="BR2821"/>
    </row>
    <row r="2822" spans="70:70" x14ac:dyDescent="0.25">
      <c r="BR2822"/>
    </row>
    <row r="2823" spans="70:70" x14ac:dyDescent="0.25">
      <c r="BR2823"/>
    </row>
    <row r="2824" spans="70:70" x14ac:dyDescent="0.25">
      <c r="BR2824"/>
    </row>
    <row r="2825" spans="70:70" x14ac:dyDescent="0.25">
      <c r="BR2825"/>
    </row>
    <row r="2826" spans="70:70" x14ac:dyDescent="0.25">
      <c r="BR2826"/>
    </row>
    <row r="2827" spans="70:70" x14ac:dyDescent="0.25">
      <c r="BR2827"/>
    </row>
    <row r="2828" spans="70:70" x14ac:dyDescent="0.25">
      <c r="BR2828"/>
    </row>
    <row r="2829" spans="70:70" x14ac:dyDescent="0.25">
      <c r="BR2829"/>
    </row>
    <row r="2830" spans="70:70" x14ac:dyDescent="0.25">
      <c r="BR2830"/>
    </row>
    <row r="2831" spans="70:70" x14ac:dyDescent="0.25">
      <c r="BR2831"/>
    </row>
    <row r="2832" spans="70:70" x14ac:dyDescent="0.25">
      <c r="BR2832"/>
    </row>
    <row r="2833" spans="70:70" x14ac:dyDescent="0.25">
      <c r="BR2833"/>
    </row>
    <row r="2834" spans="70:70" x14ac:dyDescent="0.25">
      <c r="BR2834"/>
    </row>
    <row r="2835" spans="70:70" x14ac:dyDescent="0.25">
      <c r="BR2835"/>
    </row>
    <row r="2836" spans="70:70" x14ac:dyDescent="0.25">
      <c r="BR2836"/>
    </row>
    <row r="2837" spans="70:70" x14ac:dyDescent="0.25">
      <c r="BR2837"/>
    </row>
    <row r="2838" spans="70:70" x14ac:dyDescent="0.25">
      <c r="BR2838"/>
    </row>
    <row r="2839" spans="70:70" x14ac:dyDescent="0.25">
      <c r="BR2839"/>
    </row>
    <row r="2840" spans="70:70" x14ac:dyDescent="0.25">
      <c r="BR2840"/>
    </row>
    <row r="2841" spans="70:70" x14ac:dyDescent="0.25">
      <c r="BR2841"/>
    </row>
    <row r="2842" spans="70:70" x14ac:dyDescent="0.25">
      <c r="BR2842"/>
    </row>
    <row r="2843" spans="70:70" x14ac:dyDescent="0.25">
      <c r="BR2843"/>
    </row>
    <row r="2844" spans="70:70" x14ac:dyDescent="0.25">
      <c r="BR2844"/>
    </row>
    <row r="2845" spans="70:70" x14ac:dyDescent="0.25">
      <c r="BR2845"/>
    </row>
    <row r="2846" spans="70:70" x14ac:dyDescent="0.25">
      <c r="BR2846"/>
    </row>
    <row r="2847" spans="70:70" x14ac:dyDescent="0.25">
      <c r="BR2847"/>
    </row>
    <row r="2848" spans="70:70" x14ac:dyDescent="0.25">
      <c r="BR2848"/>
    </row>
    <row r="2849" spans="70:70" x14ac:dyDescent="0.25">
      <c r="BR2849"/>
    </row>
    <row r="2850" spans="70:70" x14ac:dyDescent="0.25">
      <c r="BR2850"/>
    </row>
    <row r="2851" spans="70:70" x14ac:dyDescent="0.25">
      <c r="BR2851"/>
    </row>
    <row r="2852" spans="70:70" x14ac:dyDescent="0.25">
      <c r="BR2852"/>
    </row>
    <row r="2853" spans="70:70" x14ac:dyDescent="0.25">
      <c r="BR2853"/>
    </row>
    <row r="2854" spans="70:70" x14ac:dyDescent="0.25">
      <c r="BR2854"/>
    </row>
    <row r="2855" spans="70:70" x14ac:dyDescent="0.25">
      <c r="BR2855"/>
    </row>
    <row r="2856" spans="70:70" x14ac:dyDescent="0.25">
      <c r="BR2856"/>
    </row>
    <row r="2857" spans="70:70" x14ac:dyDescent="0.25">
      <c r="BR2857"/>
    </row>
    <row r="2858" spans="70:70" x14ac:dyDescent="0.25">
      <c r="BR2858"/>
    </row>
    <row r="2859" spans="70:70" x14ac:dyDescent="0.25">
      <c r="BR2859"/>
    </row>
    <row r="2860" spans="70:70" x14ac:dyDescent="0.25">
      <c r="BR2860"/>
    </row>
    <row r="2861" spans="70:70" x14ac:dyDescent="0.25">
      <c r="BR2861"/>
    </row>
    <row r="2862" spans="70:70" x14ac:dyDescent="0.25">
      <c r="BR2862"/>
    </row>
    <row r="2863" spans="70:70" x14ac:dyDescent="0.25">
      <c r="BR2863"/>
    </row>
    <row r="2864" spans="70:70" x14ac:dyDescent="0.25">
      <c r="BR2864"/>
    </row>
    <row r="2865" spans="70:70" x14ac:dyDescent="0.25">
      <c r="BR2865"/>
    </row>
    <row r="2866" spans="70:70" x14ac:dyDescent="0.25">
      <c r="BR2866"/>
    </row>
    <row r="2867" spans="70:70" x14ac:dyDescent="0.25">
      <c r="BR2867"/>
    </row>
    <row r="2868" spans="70:70" x14ac:dyDescent="0.25">
      <c r="BR2868"/>
    </row>
    <row r="2869" spans="70:70" x14ac:dyDescent="0.25">
      <c r="BR2869"/>
    </row>
    <row r="2870" spans="70:70" x14ac:dyDescent="0.25">
      <c r="BR2870"/>
    </row>
    <row r="2871" spans="70:70" x14ac:dyDescent="0.25">
      <c r="BR2871"/>
    </row>
    <row r="2872" spans="70:70" x14ac:dyDescent="0.25">
      <c r="BR2872"/>
    </row>
    <row r="2873" spans="70:70" x14ac:dyDescent="0.25">
      <c r="BR2873"/>
    </row>
    <row r="2874" spans="70:70" x14ac:dyDescent="0.25">
      <c r="BR2874"/>
    </row>
    <row r="2875" spans="70:70" x14ac:dyDescent="0.25">
      <c r="BR2875"/>
    </row>
    <row r="2876" spans="70:70" x14ac:dyDescent="0.25">
      <c r="BR2876"/>
    </row>
    <row r="2877" spans="70:70" x14ac:dyDescent="0.25">
      <c r="BR2877"/>
    </row>
    <row r="2878" spans="70:70" x14ac:dyDescent="0.25">
      <c r="BR2878"/>
    </row>
    <row r="2879" spans="70:70" x14ac:dyDescent="0.25">
      <c r="BR2879"/>
    </row>
    <row r="2880" spans="70:70" x14ac:dyDescent="0.25">
      <c r="BR2880"/>
    </row>
    <row r="2881" spans="70:70" x14ac:dyDescent="0.25">
      <c r="BR2881"/>
    </row>
    <row r="2882" spans="70:70" x14ac:dyDescent="0.25">
      <c r="BR2882"/>
    </row>
    <row r="2883" spans="70:70" x14ac:dyDescent="0.25">
      <c r="BR2883"/>
    </row>
    <row r="2884" spans="70:70" x14ac:dyDescent="0.25">
      <c r="BR2884"/>
    </row>
    <row r="2885" spans="70:70" x14ac:dyDescent="0.25">
      <c r="BR2885"/>
    </row>
    <row r="2886" spans="70:70" x14ac:dyDescent="0.25">
      <c r="BR2886"/>
    </row>
    <row r="2887" spans="70:70" x14ac:dyDescent="0.25">
      <c r="BR2887"/>
    </row>
    <row r="2888" spans="70:70" x14ac:dyDescent="0.25">
      <c r="BR2888"/>
    </row>
    <row r="2889" spans="70:70" x14ac:dyDescent="0.25">
      <c r="BR2889"/>
    </row>
    <row r="2890" spans="70:70" x14ac:dyDescent="0.25">
      <c r="BR2890"/>
    </row>
    <row r="2891" spans="70:70" x14ac:dyDescent="0.25">
      <c r="BR2891"/>
    </row>
    <row r="2892" spans="70:70" x14ac:dyDescent="0.25">
      <c r="BR2892"/>
    </row>
    <row r="2893" spans="70:70" x14ac:dyDescent="0.25">
      <c r="BR2893"/>
    </row>
    <row r="2894" spans="70:70" x14ac:dyDescent="0.25">
      <c r="BR2894"/>
    </row>
    <row r="2895" spans="70:70" x14ac:dyDescent="0.25">
      <c r="BR2895"/>
    </row>
    <row r="2896" spans="70:70" x14ac:dyDescent="0.25">
      <c r="BR2896"/>
    </row>
    <row r="2897" spans="70:70" x14ac:dyDescent="0.25">
      <c r="BR2897"/>
    </row>
    <row r="2898" spans="70:70" x14ac:dyDescent="0.25">
      <c r="BR2898"/>
    </row>
    <row r="2899" spans="70:70" x14ac:dyDescent="0.25">
      <c r="BR2899"/>
    </row>
    <row r="2900" spans="70:70" x14ac:dyDescent="0.25">
      <c r="BR2900"/>
    </row>
    <row r="2901" spans="70:70" x14ac:dyDescent="0.25">
      <c r="BR2901"/>
    </row>
    <row r="2902" spans="70:70" x14ac:dyDescent="0.25">
      <c r="BR2902"/>
    </row>
    <row r="2903" spans="70:70" x14ac:dyDescent="0.25">
      <c r="BR2903"/>
    </row>
    <row r="2904" spans="70:70" x14ac:dyDescent="0.25">
      <c r="BR2904"/>
    </row>
    <row r="2905" spans="70:70" x14ac:dyDescent="0.25">
      <c r="BR2905"/>
    </row>
    <row r="2906" spans="70:70" x14ac:dyDescent="0.25">
      <c r="BR2906"/>
    </row>
    <row r="2907" spans="70:70" x14ac:dyDescent="0.25">
      <c r="BR2907"/>
    </row>
    <row r="2908" spans="70:70" x14ac:dyDescent="0.25">
      <c r="BR2908"/>
    </row>
    <row r="2909" spans="70:70" x14ac:dyDescent="0.25">
      <c r="BR2909"/>
    </row>
    <row r="2910" spans="70:70" x14ac:dyDescent="0.25">
      <c r="BR2910"/>
    </row>
    <row r="2911" spans="70:70" x14ac:dyDescent="0.25">
      <c r="BR2911"/>
    </row>
    <row r="2912" spans="70:70" x14ac:dyDescent="0.25">
      <c r="BR2912"/>
    </row>
    <row r="2913" spans="70:70" x14ac:dyDescent="0.25">
      <c r="BR2913"/>
    </row>
    <row r="2914" spans="70:70" x14ac:dyDescent="0.25">
      <c r="BR2914"/>
    </row>
    <row r="2915" spans="70:70" x14ac:dyDescent="0.25">
      <c r="BR2915"/>
    </row>
    <row r="2916" spans="70:70" x14ac:dyDescent="0.25">
      <c r="BR2916"/>
    </row>
    <row r="2917" spans="70:70" x14ac:dyDescent="0.25">
      <c r="BR2917"/>
    </row>
    <row r="2918" spans="70:70" x14ac:dyDescent="0.25">
      <c r="BR2918"/>
    </row>
    <row r="2919" spans="70:70" x14ac:dyDescent="0.25">
      <c r="BR2919"/>
    </row>
    <row r="2920" spans="70:70" x14ac:dyDescent="0.25">
      <c r="BR2920"/>
    </row>
    <row r="2921" spans="70:70" x14ac:dyDescent="0.25">
      <c r="BR2921"/>
    </row>
    <row r="2922" spans="70:70" x14ac:dyDescent="0.25">
      <c r="BR2922"/>
    </row>
    <row r="2923" spans="70:70" x14ac:dyDescent="0.25">
      <c r="BR2923"/>
    </row>
    <row r="2924" spans="70:70" x14ac:dyDescent="0.25">
      <c r="BR2924"/>
    </row>
    <row r="2925" spans="70:70" x14ac:dyDescent="0.25">
      <c r="BR2925"/>
    </row>
    <row r="2926" spans="70:70" x14ac:dyDescent="0.25">
      <c r="BR2926"/>
    </row>
    <row r="2927" spans="70:70" x14ac:dyDescent="0.25">
      <c r="BR2927"/>
    </row>
    <row r="2928" spans="70:70" x14ac:dyDescent="0.25">
      <c r="BR2928"/>
    </row>
    <row r="2929" spans="70:70" x14ac:dyDescent="0.25">
      <c r="BR2929"/>
    </row>
    <row r="2930" spans="70:70" x14ac:dyDescent="0.25">
      <c r="BR2930"/>
    </row>
    <row r="2931" spans="70:70" x14ac:dyDescent="0.25">
      <c r="BR2931"/>
    </row>
    <row r="2932" spans="70:70" x14ac:dyDescent="0.25">
      <c r="BR2932"/>
    </row>
    <row r="2933" spans="70:70" x14ac:dyDescent="0.25">
      <c r="BR2933"/>
    </row>
    <row r="2934" spans="70:70" x14ac:dyDescent="0.25">
      <c r="BR2934"/>
    </row>
    <row r="2935" spans="70:70" x14ac:dyDescent="0.25">
      <c r="BR2935"/>
    </row>
    <row r="2936" spans="70:70" x14ac:dyDescent="0.25">
      <c r="BR2936"/>
    </row>
    <row r="2937" spans="70:70" x14ac:dyDescent="0.25">
      <c r="BR2937"/>
    </row>
    <row r="2938" spans="70:70" x14ac:dyDescent="0.25">
      <c r="BR2938"/>
    </row>
    <row r="2939" spans="70:70" x14ac:dyDescent="0.25">
      <c r="BR2939"/>
    </row>
    <row r="2940" spans="70:70" x14ac:dyDescent="0.25">
      <c r="BR2940"/>
    </row>
    <row r="2941" spans="70:70" x14ac:dyDescent="0.25">
      <c r="BR2941"/>
    </row>
    <row r="2942" spans="70:70" x14ac:dyDescent="0.25">
      <c r="BR2942"/>
    </row>
    <row r="2943" spans="70:70" x14ac:dyDescent="0.25">
      <c r="BR2943"/>
    </row>
    <row r="2944" spans="70:70" x14ac:dyDescent="0.25">
      <c r="BR2944"/>
    </row>
    <row r="2945" spans="70:70" x14ac:dyDescent="0.25">
      <c r="BR2945"/>
    </row>
    <row r="2946" spans="70:70" x14ac:dyDescent="0.25">
      <c r="BR2946"/>
    </row>
    <row r="2947" spans="70:70" x14ac:dyDescent="0.25">
      <c r="BR2947"/>
    </row>
    <row r="2948" spans="70:70" x14ac:dyDescent="0.25">
      <c r="BR2948"/>
    </row>
    <row r="2949" spans="70:70" x14ac:dyDescent="0.25">
      <c r="BR2949"/>
    </row>
    <row r="2950" spans="70:70" x14ac:dyDescent="0.25">
      <c r="BR2950"/>
    </row>
    <row r="2951" spans="70:70" x14ac:dyDescent="0.25">
      <c r="BR2951"/>
    </row>
    <row r="2952" spans="70:70" x14ac:dyDescent="0.25">
      <c r="BR2952"/>
    </row>
    <row r="2953" spans="70:70" x14ac:dyDescent="0.25">
      <c r="BR2953"/>
    </row>
    <row r="2954" spans="70:70" x14ac:dyDescent="0.25">
      <c r="BR2954"/>
    </row>
    <row r="2955" spans="70:70" x14ac:dyDescent="0.25">
      <c r="BR2955"/>
    </row>
    <row r="2956" spans="70:70" x14ac:dyDescent="0.25">
      <c r="BR2956"/>
    </row>
    <row r="2957" spans="70:70" x14ac:dyDescent="0.25">
      <c r="BR2957"/>
    </row>
    <row r="2958" spans="70:70" x14ac:dyDescent="0.25">
      <c r="BR2958"/>
    </row>
    <row r="2959" spans="70:70" x14ac:dyDescent="0.25">
      <c r="BR2959"/>
    </row>
    <row r="2960" spans="70:70" x14ac:dyDescent="0.25">
      <c r="BR2960"/>
    </row>
    <row r="2961" spans="70:70" x14ac:dyDescent="0.25">
      <c r="BR2961"/>
    </row>
    <row r="2962" spans="70:70" x14ac:dyDescent="0.25">
      <c r="BR2962"/>
    </row>
    <row r="2963" spans="70:70" x14ac:dyDescent="0.25">
      <c r="BR2963"/>
    </row>
    <row r="2964" spans="70:70" x14ac:dyDescent="0.25">
      <c r="BR2964"/>
    </row>
    <row r="2965" spans="70:70" x14ac:dyDescent="0.25">
      <c r="BR2965"/>
    </row>
    <row r="2966" spans="70:70" x14ac:dyDescent="0.25">
      <c r="BR2966"/>
    </row>
    <row r="2967" spans="70:70" x14ac:dyDescent="0.25">
      <c r="BR2967"/>
    </row>
    <row r="2968" spans="70:70" x14ac:dyDescent="0.25">
      <c r="BR2968"/>
    </row>
    <row r="2969" spans="70:70" x14ac:dyDescent="0.25">
      <c r="BR2969"/>
    </row>
    <row r="2970" spans="70:70" x14ac:dyDescent="0.25">
      <c r="BR2970"/>
    </row>
    <row r="2971" spans="70:70" x14ac:dyDescent="0.25">
      <c r="BR2971"/>
    </row>
    <row r="2972" spans="70:70" x14ac:dyDescent="0.25">
      <c r="BR2972"/>
    </row>
    <row r="2973" spans="70:70" x14ac:dyDescent="0.25">
      <c r="BR2973"/>
    </row>
    <row r="2974" spans="70:70" x14ac:dyDescent="0.25">
      <c r="BR2974"/>
    </row>
    <row r="2975" spans="70:70" x14ac:dyDescent="0.25">
      <c r="BR2975"/>
    </row>
    <row r="2976" spans="70:70" x14ac:dyDescent="0.25">
      <c r="BR2976"/>
    </row>
    <row r="2977" spans="70:70" x14ac:dyDescent="0.25">
      <c r="BR2977"/>
    </row>
    <row r="2978" spans="70:70" x14ac:dyDescent="0.25">
      <c r="BR2978"/>
    </row>
    <row r="2979" spans="70:70" x14ac:dyDescent="0.25">
      <c r="BR2979"/>
    </row>
    <row r="2980" spans="70:70" x14ac:dyDescent="0.25">
      <c r="BR2980"/>
    </row>
    <row r="2981" spans="70:70" x14ac:dyDescent="0.25">
      <c r="BR2981"/>
    </row>
    <row r="2982" spans="70:70" x14ac:dyDescent="0.25">
      <c r="BR2982"/>
    </row>
    <row r="2983" spans="70:70" x14ac:dyDescent="0.25">
      <c r="BR2983"/>
    </row>
    <row r="2984" spans="70:70" x14ac:dyDescent="0.25">
      <c r="BR2984"/>
    </row>
    <row r="2985" spans="70:70" x14ac:dyDescent="0.25">
      <c r="BR2985"/>
    </row>
    <row r="2986" spans="70:70" x14ac:dyDescent="0.25">
      <c r="BR2986"/>
    </row>
    <row r="2987" spans="70:70" x14ac:dyDescent="0.25">
      <c r="BR2987"/>
    </row>
    <row r="2988" spans="70:70" x14ac:dyDescent="0.25">
      <c r="BR2988"/>
    </row>
    <row r="2989" spans="70:70" x14ac:dyDescent="0.25">
      <c r="BR2989"/>
    </row>
    <row r="2990" spans="70:70" x14ac:dyDescent="0.25">
      <c r="BR2990"/>
    </row>
    <row r="2991" spans="70:70" x14ac:dyDescent="0.25">
      <c r="BR2991"/>
    </row>
    <row r="2992" spans="70:70" x14ac:dyDescent="0.25">
      <c r="BR2992"/>
    </row>
    <row r="2993" spans="70:70" x14ac:dyDescent="0.25">
      <c r="BR2993"/>
    </row>
    <row r="2994" spans="70:70" x14ac:dyDescent="0.25">
      <c r="BR2994"/>
    </row>
    <row r="2995" spans="70:70" x14ac:dyDescent="0.25">
      <c r="BR2995"/>
    </row>
    <row r="2996" spans="70:70" x14ac:dyDescent="0.25">
      <c r="BR2996"/>
    </row>
    <row r="2997" spans="70:70" x14ac:dyDescent="0.25">
      <c r="BR2997"/>
    </row>
    <row r="2998" spans="70:70" x14ac:dyDescent="0.25">
      <c r="BR2998"/>
    </row>
    <row r="2999" spans="70:70" x14ac:dyDescent="0.25">
      <c r="BR2999"/>
    </row>
    <row r="3000" spans="70:70" x14ac:dyDescent="0.25">
      <c r="BR3000"/>
    </row>
    <row r="3001" spans="70:70" x14ac:dyDescent="0.25">
      <c r="BR3001"/>
    </row>
    <row r="3002" spans="70:70" x14ac:dyDescent="0.25">
      <c r="BR3002"/>
    </row>
    <row r="3003" spans="70:70" x14ac:dyDescent="0.25">
      <c r="BR3003"/>
    </row>
    <row r="3004" spans="70:70" x14ac:dyDescent="0.25">
      <c r="BR3004"/>
    </row>
    <row r="3005" spans="70:70" x14ac:dyDescent="0.25">
      <c r="BR3005"/>
    </row>
    <row r="3006" spans="70:70" x14ac:dyDescent="0.25">
      <c r="BR3006"/>
    </row>
    <row r="3007" spans="70:70" x14ac:dyDescent="0.25">
      <c r="BR3007"/>
    </row>
    <row r="3008" spans="70:70" x14ac:dyDescent="0.25">
      <c r="BR3008"/>
    </row>
    <row r="3009" spans="70:70" x14ac:dyDescent="0.25">
      <c r="BR3009"/>
    </row>
    <row r="3010" spans="70:70" x14ac:dyDescent="0.25">
      <c r="BR3010"/>
    </row>
    <row r="3011" spans="70:70" x14ac:dyDescent="0.25">
      <c r="BR3011"/>
    </row>
    <row r="3012" spans="70:70" x14ac:dyDescent="0.25">
      <c r="BR3012"/>
    </row>
    <row r="3013" spans="70:70" x14ac:dyDescent="0.25">
      <c r="BR3013"/>
    </row>
    <row r="3014" spans="70:70" x14ac:dyDescent="0.25">
      <c r="BR3014"/>
    </row>
    <row r="3015" spans="70:70" x14ac:dyDescent="0.25">
      <c r="BR3015"/>
    </row>
    <row r="3016" spans="70:70" x14ac:dyDescent="0.25">
      <c r="BR3016"/>
    </row>
    <row r="3017" spans="70:70" x14ac:dyDescent="0.25">
      <c r="BR3017"/>
    </row>
    <row r="3018" spans="70:70" x14ac:dyDescent="0.25">
      <c r="BR3018"/>
    </row>
    <row r="3019" spans="70:70" x14ac:dyDescent="0.25">
      <c r="BR3019"/>
    </row>
    <row r="3020" spans="70:70" x14ac:dyDescent="0.25">
      <c r="BR3020"/>
    </row>
    <row r="3021" spans="70:70" x14ac:dyDescent="0.25">
      <c r="BR3021"/>
    </row>
    <row r="3022" spans="70:70" x14ac:dyDescent="0.25">
      <c r="BR3022"/>
    </row>
    <row r="3023" spans="70:70" x14ac:dyDescent="0.25">
      <c r="BR3023"/>
    </row>
    <row r="3024" spans="70:70" x14ac:dyDescent="0.25">
      <c r="BR3024"/>
    </row>
    <row r="3025" spans="70:70" x14ac:dyDescent="0.25">
      <c r="BR3025"/>
    </row>
    <row r="3026" spans="70:70" x14ac:dyDescent="0.25">
      <c r="BR3026"/>
    </row>
    <row r="3027" spans="70:70" x14ac:dyDescent="0.25">
      <c r="BR3027"/>
    </row>
    <row r="3028" spans="70:70" x14ac:dyDescent="0.25">
      <c r="BR3028"/>
    </row>
    <row r="3029" spans="70:70" x14ac:dyDescent="0.25">
      <c r="BR3029"/>
    </row>
    <row r="3030" spans="70:70" x14ac:dyDescent="0.25">
      <c r="BR3030"/>
    </row>
    <row r="3031" spans="70:70" x14ac:dyDescent="0.25">
      <c r="BR3031"/>
    </row>
    <row r="3032" spans="70:70" x14ac:dyDescent="0.25">
      <c r="BR3032"/>
    </row>
    <row r="3033" spans="70:70" x14ac:dyDescent="0.25">
      <c r="BR3033"/>
    </row>
    <row r="3034" spans="70:70" x14ac:dyDescent="0.25">
      <c r="BR3034"/>
    </row>
    <row r="3035" spans="70:70" x14ac:dyDescent="0.25">
      <c r="BR3035"/>
    </row>
    <row r="3036" spans="70:70" x14ac:dyDescent="0.25">
      <c r="BR3036"/>
    </row>
    <row r="3037" spans="70:70" x14ac:dyDescent="0.25">
      <c r="BR3037"/>
    </row>
    <row r="3038" spans="70:70" x14ac:dyDescent="0.25">
      <c r="BR3038"/>
    </row>
    <row r="3039" spans="70:70" x14ac:dyDescent="0.25">
      <c r="BR3039"/>
    </row>
    <row r="3040" spans="70:70" x14ac:dyDescent="0.25">
      <c r="BR3040"/>
    </row>
    <row r="3041" spans="70:70" x14ac:dyDescent="0.25">
      <c r="BR3041"/>
    </row>
    <row r="3042" spans="70:70" x14ac:dyDescent="0.25">
      <c r="BR3042"/>
    </row>
    <row r="3043" spans="70:70" x14ac:dyDescent="0.25">
      <c r="BR3043"/>
    </row>
    <row r="3044" spans="70:70" x14ac:dyDescent="0.25">
      <c r="BR3044"/>
    </row>
    <row r="3045" spans="70:70" x14ac:dyDescent="0.25">
      <c r="BR3045"/>
    </row>
    <row r="3046" spans="70:70" x14ac:dyDescent="0.25">
      <c r="BR3046"/>
    </row>
    <row r="3047" spans="70:70" x14ac:dyDescent="0.25">
      <c r="BR3047"/>
    </row>
    <row r="3048" spans="70:70" x14ac:dyDescent="0.25">
      <c r="BR3048"/>
    </row>
    <row r="3049" spans="70:70" x14ac:dyDescent="0.25">
      <c r="BR3049"/>
    </row>
    <row r="3050" spans="70:70" x14ac:dyDescent="0.25">
      <c r="BR3050"/>
    </row>
    <row r="3051" spans="70:70" x14ac:dyDescent="0.25">
      <c r="BR3051"/>
    </row>
    <row r="3052" spans="70:70" x14ac:dyDescent="0.25">
      <c r="BR3052"/>
    </row>
    <row r="3053" spans="70:70" x14ac:dyDescent="0.25">
      <c r="BR3053"/>
    </row>
    <row r="3054" spans="70:70" x14ac:dyDescent="0.25">
      <c r="BR3054"/>
    </row>
    <row r="3055" spans="70:70" x14ac:dyDescent="0.25">
      <c r="BR3055"/>
    </row>
    <row r="3056" spans="70:70" x14ac:dyDescent="0.25">
      <c r="BR3056"/>
    </row>
    <row r="3057" spans="70:70" x14ac:dyDescent="0.25">
      <c r="BR3057"/>
    </row>
    <row r="3058" spans="70:70" x14ac:dyDescent="0.25">
      <c r="BR3058"/>
    </row>
    <row r="3059" spans="70:70" x14ac:dyDescent="0.25">
      <c r="BR3059"/>
    </row>
    <row r="3060" spans="70:70" x14ac:dyDescent="0.25">
      <c r="BR3060"/>
    </row>
    <row r="3061" spans="70:70" x14ac:dyDescent="0.25">
      <c r="BR3061"/>
    </row>
    <row r="3062" spans="70:70" x14ac:dyDescent="0.25">
      <c r="BR3062"/>
    </row>
    <row r="3063" spans="70:70" x14ac:dyDescent="0.25">
      <c r="BR3063"/>
    </row>
    <row r="3064" spans="70:70" x14ac:dyDescent="0.25">
      <c r="BR3064"/>
    </row>
    <row r="3065" spans="70:70" x14ac:dyDescent="0.25">
      <c r="BR3065"/>
    </row>
    <row r="3066" spans="70:70" x14ac:dyDescent="0.25">
      <c r="BR3066"/>
    </row>
    <row r="3067" spans="70:70" x14ac:dyDescent="0.25">
      <c r="BR3067"/>
    </row>
    <row r="3068" spans="70:70" x14ac:dyDescent="0.25">
      <c r="BR3068"/>
    </row>
    <row r="3069" spans="70:70" x14ac:dyDescent="0.25">
      <c r="BR3069"/>
    </row>
    <row r="3070" spans="70:70" x14ac:dyDescent="0.25">
      <c r="BR3070"/>
    </row>
    <row r="3071" spans="70:70" x14ac:dyDescent="0.25">
      <c r="BR3071"/>
    </row>
    <row r="3072" spans="70:70" x14ac:dyDescent="0.25">
      <c r="BR3072"/>
    </row>
    <row r="3073" spans="70:70" x14ac:dyDescent="0.25">
      <c r="BR3073"/>
    </row>
    <row r="3074" spans="70:70" x14ac:dyDescent="0.25">
      <c r="BR3074"/>
    </row>
    <row r="3075" spans="70:70" x14ac:dyDescent="0.25">
      <c r="BR3075"/>
    </row>
    <row r="3076" spans="70:70" x14ac:dyDescent="0.25">
      <c r="BR3076"/>
    </row>
    <row r="3077" spans="70:70" x14ac:dyDescent="0.25">
      <c r="BR3077"/>
    </row>
    <row r="3078" spans="70:70" x14ac:dyDescent="0.25">
      <c r="BR3078"/>
    </row>
    <row r="3079" spans="70:70" x14ac:dyDescent="0.25">
      <c r="BR3079"/>
    </row>
    <row r="3080" spans="70:70" x14ac:dyDescent="0.25">
      <c r="BR3080"/>
    </row>
    <row r="3081" spans="70:70" x14ac:dyDescent="0.25">
      <c r="BR3081"/>
    </row>
    <row r="3082" spans="70:70" x14ac:dyDescent="0.25">
      <c r="BR3082"/>
    </row>
    <row r="3083" spans="70:70" x14ac:dyDescent="0.25">
      <c r="BR3083"/>
    </row>
    <row r="3084" spans="70:70" x14ac:dyDescent="0.25">
      <c r="BR3084"/>
    </row>
    <row r="3085" spans="70:70" x14ac:dyDescent="0.25">
      <c r="BR3085"/>
    </row>
    <row r="3086" spans="70:70" x14ac:dyDescent="0.25">
      <c r="BR3086"/>
    </row>
    <row r="3087" spans="70:70" x14ac:dyDescent="0.25">
      <c r="BR3087"/>
    </row>
    <row r="3088" spans="70:70" x14ac:dyDescent="0.25">
      <c r="BR3088"/>
    </row>
    <row r="3089" spans="70:70" x14ac:dyDescent="0.25">
      <c r="BR3089"/>
    </row>
    <row r="3090" spans="70:70" x14ac:dyDescent="0.25">
      <c r="BR3090"/>
    </row>
    <row r="3091" spans="70:70" x14ac:dyDescent="0.25">
      <c r="BR3091"/>
    </row>
    <row r="3092" spans="70:70" x14ac:dyDescent="0.25">
      <c r="BR3092"/>
    </row>
    <row r="3093" spans="70:70" x14ac:dyDescent="0.25">
      <c r="BR3093"/>
    </row>
    <row r="3094" spans="70:70" x14ac:dyDescent="0.25">
      <c r="BR3094"/>
    </row>
    <row r="3095" spans="70:70" x14ac:dyDescent="0.25">
      <c r="BR3095"/>
    </row>
    <row r="3096" spans="70:70" x14ac:dyDescent="0.25">
      <c r="BR3096"/>
    </row>
    <row r="3097" spans="70:70" x14ac:dyDescent="0.25">
      <c r="BR3097"/>
    </row>
    <row r="3098" spans="70:70" x14ac:dyDescent="0.25">
      <c r="BR3098"/>
    </row>
    <row r="3099" spans="70:70" x14ac:dyDescent="0.25">
      <c r="BR3099"/>
    </row>
    <row r="3100" spans="70:70" x14ac:dyDescent="0.25">
      <c r="BR3100"/>
    </row>
    <row r="3101" spans="70:70" x14ac:dyDescent="0.25">
      <c r="BR3101"/>
    </row>
    <row r="3102" spans="70:70" x14ac:dyDescent="0.25">
      <c r="BR3102"/>
    </row>
    <row r="3103" spans="70:70" x14ac:dyDescent="0.25">
      <c r="BR3103"/>
    </row>
    <row r="3104" spans="70:70" x14ac:dyDescent="0.25">
      <c r="BR3104"/>
    </row>
    <row r="3105" spans="70:70" x14ac:dyDescent="0.25">
      <c r="BR3105"/>
    </row>
    <row r="3106" spans="70:70" x14ac:dyDescent="0.25">
      <c r="BR3106"/>
    </row>
    <row r="3107" spans="70:70" x14ac:dyDescent="0.25">
      <c r="BR3107"/>
    </row>
    <row r="3108" spans="70:70" x14ac:dyDescent="0.25">
      <c r="BR3108"/>
    </row>
    <row r="3109" spans="70:70" x14ac:dyDescent="0.25">
      <c r="BR3109"/>
    </row>
    <row r="3110" spans="70:70" x14ac:dyDescent="0.25">
      <c r="BR3110"/>
    </row>
    <row r="3111" spans="70:70" x14ac:dyDescent="0.25">
      <c r="BR3111"/>
    </row>
    <row r="3112" spans="70:70" x14ac:dyDescent="0.25">
      <c r="BR3112"/>
    </row>
    <row r="3113" spans="70:70" x14ac:dyDescent="0.25">
      <c r="BR3113"/>
    </row>
    <row r="3114" spans="70:70" x14ac:dyDescent="0.25">
      <c r="BR3114"/>
    </row>
    <row r="3115" spans="70:70" x14ac:dyDescent="0.25">
      <c r="BR3115"/>
    </row>
    <row r="3116" spans="70:70" x14ac:dyDescent="0.25">
      <c r="BR3116"/>
    </row>
    <row r="3117" spans="70:70" x14ac:dyDescent="0.25">
      <c r="BR3117"/>
    </row>
    <row r="3118" spans="70:70" x14ac:dyDescent="0.25">
      <c r="BR3118"/>
    </row>
    <row r="3119" spans="70:70" x14ac:dyDescent="0.25">
      <c r="BR3119"/>
    </row>
    <row r="3120" spans="70:70" x14ac:dyDescent="0.25">
      <c r="BR3120"/>
    </row>
    <row r="3121" spans="70:70" x14ac:dyDescent="0.25">
      <c r="BR3121"/>
    </row>
    <row r="3122" spans="70:70" x14ac:dyDescent="0.25">
      <c r="BR3122"/>
    </row>
    <row r="3123" spans="70:70" x14ac:dyDescent="0.25">
      <c r="BR3123"/>
    </row>
    <row r="3124" spans="70:70" x14ac:dyDescent="0.25">
      <c r="BR3124"/>
    </row>
    <row r="3125" spans="70:70" x14ac:dyDescent="0.25">
      <c r="BR3125"/>
    </row>
    <row r="3126" spans="70:70" x14ac:dyDescent="0.25">
      <c r="BR3126"/>
    </row>
    <row r="3127" spans="70:70" x14ac:dyDescent="0.25">
      <c r="BR3127"/>
    </row>
    <row r="3128" spans="70:70" x14ac:dyDescent="0.25">
      <c r="BR3128"/>
    </row>
    <row r="3129" spans="70:70" x14ac:dyDescent="0.25">
      <c r="BR3129"/>
    </row>
    <row r="3130" spans="70:70" x14ac:dyDescent="0.25">
      <c r="BR3130"/>
    </row>
    <row r="3131" spans="70:70" x14ac:dyDescent="0.25">
      <c r="BR3131"/>
    </row>
    <row r="3132" spans="70:70" x14ac:dyDescent="0.25">
      <c r="BR3132"/>
    </row>
    <row r="3133" spans="70:70" x14ac:dyDescent="0.25">
      <c r="BR3133"/>
    </row>
    <row r="3134" spans="70:70" x14ac:dyDescent="0.25">
      <c r="BR3134"/>
    </row>
    <row r="3135" spans="70:70" x14ac:dyDescent="0.25">
      <c r="BR3135"/>
    </row>
    <row r="3136" spans="70:70" x14ac:dyDescent="0.25">
      <c r="BR3136"/>
    </row>
    <row r="3137" spans="70:70" x14ac:dyDescent="0.25">
      <c r="BR3137"/>
    </row>
    <row r="3138" spans="70:70" x14ac:dyDescent="0.25">
      <c r="BR3138"/>
    </row>
    <row r="3139" spans="70:70" x14ac:dyDescent="0.25">
      <c r="BR3139"/>
    </row>
    <row r="3140" spans="70:70" x14ac:dyDescent="0.25">
      <c r="BR3140"/>
    </row>
    <row r="3141" spans="70:70" x14ac:dyDescent="0.25">
      <c r="BR3141"/>
    </row>
    <row r="3142" spans="70:70" x14ac:dyDescent="0.25">
      <c r="BR3142"/>
    </row>
    <row r="3143" spans="70:70" x14ac:dyDescent="0.25">
      <c r="BR3143"/>
    </row>
    <row r="3144" spans="70:70" x14ac:dyDescent="0.25">
      <c r="BR3144"/>
    </row>
    <row r="3145" spans="70:70" x14ac:dyDescent="0.25">
      <c r="BR3145"/>
    </row>
    <row r="3146" spans="70:70" x14ac:dyDescent="0.25">
      <c r="BR3146"/>
    </row>
    <row r="3147" spans="70:70" x14ac:dyDescent="0.25">
      <c r="BR3147"/>
    </row>
    <row r="3148" spans="70:70" x14ac:dyDescent="0.25">
      <c r="BR3148"/>
    </row>
    <row r="3149" spans="70:70" x14ac:dyDescent="0.25">
      <c r="BR3149"/>
    </row>
    <row r="3150" spans="70:70" x14ac:dyDescent="0.25">
      <c r="BR3150"/>
    </row>
    <row r="3151" spans="70:70" x14ac:dyDescent="0.25">
      <c r="BR3151"/>
    </row>
    <row r="3152" spans="70:70" x14ac:dyDescent="0.25">
      <c r="BR3152"/>
    </row>
    <row r="3153" spans="70:70" x14ac:dyDescent="0.25">
      <c r="BR3153"/>
    </row>
    <row r="3154" spans="70:70" x14ac:dyDescent="0.25">
      <c r="BR3154"/>
    </row>
    <row r="3155" spans="70:70" x14ac:dyDescent="0.25">
      <c r="BR3155"/>
    </row>
    <row r="3156" spans="70:70" x14ac:dyDescent="0.25">
      <c r="BR3156"/>
    </row>
    <row r="3157" spans="70:70" x14ac:dyDescent="0.25">
      <c r="BR3157"/>
    </row>
    <row r="3158" spans="70:70" x14ac:dyDescent="0.25">
      <c r="BR3158"/>
    </row>
    <row r="3159" spans="70:70" x14ac:dyDescent="0.25">
      <c r="BR3159"/>
    </row>
    <row r="3160" spans="70:70" x14ac:dyDescent="0.25">
      <c r="BR3160"/>
    </row>
    <row r="3161" spans="70:70" x14ac:dyDescent="0.25">
      <c r="BR3161"/>
    </row>
    <row r="3162" spans="70:70" x14ac:dyDescent="0.25">
      <c r="BR3162"/>
    </row>
    <row r="3163" spans="70:70" x14ac:dyDescent="0.25">
      <c r="BR3163"/>
    </row>
    <row r="3164" spans="70:70" x14ac:dyDescent="0.25">
      <c r="BR3164"/>
    </row>
    <row r="3165" spans="70:70" x14ac:dyDescent="0.25">
      <c r="BR3165"/>
    </row>
    <row r="3166" spans="70:70" x14ac:dyDescent="0.25">
      <c r="BR3166"/>
    </row>
    <row r="3167" spans="70:70" x14ac:dyDescent="0.25">
      <c r="BR3167"/>
    </row>
    <row r="3168" spans="70:70" x14ac:dyDescent="0.25">
      <c r="BR3168"/>
    </row>
    <row r="3169" spans="70:70" x14ac:dyDescent="0.25">
      <c r="BR3169"/>
    </row>
    <row r="3170" spans="70:70" x14ac:dyDescent="0.25">
      <c r="BR3170"/>
    </row>
    <row r="3171" spans="70:70" x14ac:dyDescent="0.25">
      <c r="BR3171"/>
    </row>
    <row r="3172" spans="70:70" x14ac:dyDescent="0.25">
      <c r="BR3172"/>
    </row>
    <row r="3173" spans="70:70" x14ac:dyDescent="0.25">
      <c r="BR3173"/>
    </row>
    <row r="3174" spans="70:70" x14ac:dyDescent="0.25">
      <c r="BR3174"/>
    </row>
    <row r="3175" spans="70:70" x14ac:dyDescent="0.25">
      <c r="BR3175"/>
    </row>
    <row r="3176" spans="70:70" x14ac:dyDescent="0.25">
      <c r="BR3176"/>
    </row>
    <row r="3177" spans="70:70" x14ac:dyDescent="0.25">
      <c r="BR3177"/>
    </row>
    <row r="3178" spans="70:70" x14ac:dyDescent="0.25">
      <c r="BR3178"/>
    </row>
    <row r="3179" spans="70:70" x14ac:dyDescent="0.25">
      <c r="BR3179"/>
    </row>
    <row r="3180" spans="70:70" x14ac:dyDescent="0.25">
      <c r="BR3180"/>
    </row>
    <row r="3181" spans="70:70" x14ac:dyDescent="0.25">
      <c r="BR3181"/>
    </row>
    <row r="3182" spans="70:70" x14ac:dyDescent="0.25">
      <c r="BR3182"/>
    </row>
    <row r="3183" spans="70:70" x14ac:dyDescent="0.25">
      <c r="BR3183"/>
    </row>
    <row r="3184" spans="70:70" x14ac:dyDescent="0.25">
      <c r="BR3184"/>
    </row>
    <row r="3185" spans="70:70" x14ac:dyDescent="0.25">
      <c r="BR3185"/>
    </row>
    <row r="3186" spans="70:70" x14ac:dyDescent="0.25">
      <c r="BR3186"/>
    </row>
    <row r="3187" spans="70:70" x14ac:dyDescent="0.25">
      <c r="BR3187"/>
    </row>
    <row r="3188" spans="70:70" x14ac:dyDescent="0.25">
      <c r="BR3188"/>
    </row>
    <row r="3189" spans="70:70" x14ac:dyDescent="0.25">
      <c r="BR3189"/>
    </row>
    <row r="3190" spans="70:70" x14ac:dyDescent="0.25">
      <c r="BR3190"/>
    </row>
    <row r="3191" spans="70:70" x14ac:dyDescent="0.25">
      <c r="BR3191"/>
    </row>
    <row r="3192" spans="70:70" x14ac:dyDescent="0.25">
      <c r="BR3192"/>
    </row>
    <row r="3193" spans="70:70" x14ac:dyDescent="0.25">
      <c r="BR3193"/>
    </row>
    <row r="3194" spans="70:70" x14ac:dyDescent="0.25">
      <c r="BR3194"/>
    </row>
    <row r="3195" spans="70:70" x14ac:dyDescent="0.25">
      <c r="BR3195"/>
    </row>
    <row r="3196" spans="70:70" x14ac:dyDescent="0.25">
      <c r="BR3196"/>
    </row>
    <row r="3197" spans="70:70" x14ac:dyDescent="0.25">
      <c r="BR3197"/>
    </row>
    <row r="3198" spans="70:70" x14ac:dyDescent="0.25">
      <c r="BR3198"/>
    </row>
    <row r="3199" spans="70:70" x14ac:dyDescent="0.25">
      <c r="BR3199"/>
    </row>
    <row r="3200" spans="70:70" x14ac:dyDescent="0.25">
      <c r="BR3200"/>
    </row>
    <row r="3201" spans="70:70" x14ac:dyDescent="0.25">
      <c r="BR3201"/>
    </row>
    <row r="3202" spans="70:70" x14ac:dyDescent="0.25">
      <c r="BR3202"/>
    </row>
    <row r="3203" spans="70:70" x14ac:dyDescent="0.25">
      <c r="BR3203"/>
    </row>
    <row r="3204" spans="70:70" x14ac:dyDescent="0.25">
      <c r="BR3204"/>
    </row>
    <row r="3205" spans="70:70" x14ac:dyDescent="0.25">
      <c r="BR3205"/>
    </row>
    <row r="3206" spans="70:70" x14ac:dyDescent="0.25">
      <c r="BR3206"/>
    </row>
    <row r="3207" spans="70:70" x14ac:dyDescent="0.25">
      <c r="BR3207"/>
    </row>
    <row r="3208" spans="70:70" x14ac:dyDescent="0.25">
      <c r="BR3208"/>
    </row>
    <row r="3209" spans="70:70" x14ac:dyDescent="0.25">
      <c r="BR3209"/>
    </row>
    <row r="3210" spans="70:70" x14ac:dyDescent="0.25">
      <c r="BR3210"/>
    </row>
    <row r="3211" spans="70:70" x14ac:dyDescent="0.25">
      <c r="BR3211"/>
    </row>
    <row r="3212" spans="70:70" x14ac:dyDescent="0.25">
      <c r="BR3212"/>
    </row>
    <row r="3213" spans="70:70" x14ac:dyDescent="0.25">
      <c r="BR3213"/>
    </row>
    <row r="3214" spans="70:70" x14ac:dyDescent="0.25">
      <c r="BR3214"/>
    </row>
    <row r="3215" spans="70:70" x14ac:dyDescent="0.25">
      <c r="BR3215"/>
    </row>
    <row r="3216" spans="70:70" x14ac:dyDescent="0.25">
      <c r="BR3216"/>
    </row>
    <row r="3217" spans="70:70" x14ac:dyDescent="0.25">
      <c r="BR3217"/>
    </row>
    <row r="3218" spans="70:70" x14ac:dyDescent="0.25">
      <c r="BR3218"/>
    </row>
    <row r="3219" spans="70:70" x14ac:dyDescent="0.25">
      <c r="BR3219"/>
    </row>
    <row r="3220" spans="70:70" x14ac:dyDescent="0.25">
      <c r="BR3220"/>
    </row>
    <row r="3221" spans="70:70" x14ac:dyDescent="0.25">
      <c r="BR3221"/>
    </row>
    <row r="3222" spans="70:70" x14ac:dyDescent="0.25">
      <c r="BR3222"/>
    </row>
    <row r="3223" spans="70:70" x14ac:dyDescent="0.25">
      <c r="BR3223"/>
    </row>
    <row r="3224" spans="70:70" x14ac:dyDescent="0.25">
      <c r="BR3224"/>
    </row>
    <row r="3225" spans="70:70" x14ac:dyDescent="0.25">
      <c r="BR3225"/>
    </row>
    <row r="3226" spans="70:70" x14ac:dyDescent="0.25">
      <c r="BR3226"/>
    </row>
    <row r="3227" spans="70:70" x14ac:dyDescent="0.25">
      <c r="BR3227"/>
    </row>
    <row r="3228" spans="70:70" x14ac:dyDescent="0.25">
      <c r="BR3228"/>
    </row>
    <row r="3229" spans="70:70" x14ac:dyDescent="0.25">
      <c r="BR3229"/>
    </row>
    <row r="3230" spans="70:70" x14ac:dyDescent="0.25">
      <c r="BR3230"/>
    </row>
    <row r="3231" spans="70:70" x14ac:dyDescent="0.25">
      <c r="BR3231"/>
    </row>
    <row r="3232" spans="70:70" x14ac:dyDescent="0.25">
      <c r="BR3232"/>
    </row>
    <row r="3233" spans="70:70" x14ac:dyDescent="0.25">
      <c r="BR3233"/>
    </row>
    <row r="3234" spans="70:70" x14ac:dyDescent="0.25">
      <c r="BR3234"/>
    </row>
    <row r="3235" spans="70:70" x14ac:dyDescent="0.25">
      <c r="BR3235"/>
    </row>
    <row r="3236" spans="70:70" x14ac:dyDescent="0.25">
      <c r="BR3236"/>
    </row>
    <row r="3237" spans="70:70" x14ac:dyDescent="0.25">
      <c r="BR3237"/>
    </row>
    <row r="3238" spans="70:70" x14ac:dyDescent="0.25">
      <c r="BR3238"/>
    </row>
    <row r="3239" spans="70:70" x14ac:dyDescent="0.25">
      <c r="BR3239"/>
    </row>
    <row r="3240" spans="70:70" x14ac:dyDescent="0.25">
      <c r="BR3240"/>
    </row>
    <row r="3241" spans="70:70" x14ac:dyDescent="0.25">
      <c r="BR3241"/>
    </row>
    <row r="3242" spans="70:70" x14ac:dyDescent="0.25">
      <c r="BR3242"/>
    </row>
    <row r="3243" spans="70:70" x14ac:dyDescent="0.25">
      <c r="BR3243"/>
    </row>
    <row r="3244" spans="70:70" x14ac:dyDescent="0.25">
      <c r="BR3244"/>
    </row>
    <row r="3245" spans="70:70" x14ac:dyDescent="0.25">
      <c r="BR3245"/>
    </row>
    <row r="3246" spans="70:70" x14ac:dyDescent="0.25">
      <c r="BR3246"/>
    </row>
    <row r="3247" spans="70:70" x14ac:dyDescent="0.25">
      <c r="BR3247"/>
    </row>
    <row r="3248" spans="70:70" x14ac:dyDescent="0.25">
      <c r="BR3248"/>
    </row>
    <row r="3249" spans="70:70" x14ac:dyDescent="0.25">
      <c r="BR3249"/>
    </row>
    <row r="3250" spans="70:70" x14ac:dyDescent="0.25">
      <c r="BR3250"/>
    </row>
    <row r="3251" spans="70:70" x14ac:dyDescent="0.25">
      <c r="BR3251"/>
    </row>
    <row r="3252" spans="70:70" x14ac:dyDescent="0.25">
      <c r="BR3252"/>
    </row>
    <row r="3253" spans="70:70" x14ac:dyDescent="0.25">
      <c r="BR3253"/>
    </row>
    <row r="3254" spans="70:70" x14ac:dyDescent="0.25">
      <c r="BR3254"/>
    </row>
    <row r="3255" spans="70:70" x14ac:dyDescent="0.25">
      <c r="BR3255"/>
    </row>
    <row r="3256" spans="70:70" x14ac:dyDescent="0.25">
      <c r="BR3256"/>
    </row>
    <row r="3257" spans="70:70" x14ac:dyDescent="0.25">
      <c r="BR3257"/>
    </row>
    <row r="3258" spans="70:70" x14ac:dyDescent="0.25">
      <c r="BR3258"/>
    </row>
    <row r="3259" spans="70:70" x14ac:dyDescent="0.25">
      <c r="BR3259"/>
    </row>
    <row r="3260" spans="70:70" x14ac:dyDescent="0.25">
      <c r="BR3260"/>
    </row>
    <row r="3261" spans="70:70" x14ac:dyDescent="0.25">
      <c r="BR3261"/>
    </row>
    <row r="3262" spans="70:70" x14ac:dyDescent="0.25">
      <c r="BR3262"/>
    </row>
    <row r="3263" spans="70:70" x14ac:dyDescent="0.25">
      <c r="BR3263"/>
    </row>
    <row r="3264" spans="70:70" x14ac:dyDescent="0.25">
      <c r="BR3264"/>
    </row>
    <row r="3265" spans="70:70" x14ac:dyDescent="0.25">
      <c r="BR3265"/>
    </row>
    <row r="3266" spans="70:70" x14ac:dyDescent="0.25">
      <c r="BR3266"/>
    </row>
    <row r="3267" spans="70:70" x14ac:dyDescent="0.25">
      <c r="BR3267"/>
    </row>
    <row r="3268" spans="70:70" x14ac:dyDescent="0.25">
      <c r="BR3268"/>
    </row>
    <row r="3269" spans="70:70" x14ac:dyDescent="0.25">
      <c r="BR3269"/>
    </row>
    <row r="3270" spans="70:70" x14ac:dyDescent="0.25">
      <c r="BR3270"/>
    </row>
    <row r="3271" spans="70:70" x14ac:dyDescent="0.25">
      <c r="BR3271"/>
    </row>
    <row r="3272" spans="70:70" x14ac:dyDescent="0.25">
      <c r="BR3272"/>
    </row>
    <row r="3273" spans="70:70" x14ac:dyDescent="0.25">
      <c r="BR3273"/>
    </row>
    <row r="3274" spans="70:70" x14ac:dyDescent="0.25">
      <c r="BR3274"/>
    </row>
    <row r="3275" spans="70:70" x14ac:dyDescent="0.25">
      <c r="BR3275"/>
    </row>
    <row r="3276" spans="70:70" x14ac:dyDescent="0.25">
      <c r="BR3276"/>
    </row>
    <row r="3277" spans="70:70" x14ac:dyDescent="0.25">
      <c r="BR3277"/>
    </row>
    <row r="3278" spans="70:70" x14ac:dyDescent="0.25">
      <c r="BR3278"/>
    </row>
    <row r="3279" spans="70:70" x14ac:dyDescent="0.25">
      <c r="BR3279"/>
    </row>
    <row r="3280" spans="70:70" x14ac:dyDescent="0.25">
      <c r="BR3280"/>
    </row>
    <row r="3281" spans="70:70" x14ac:dyDescent="0.25">
      <c r="BR3281"/>
    </row>
    <row r="3282" spans="70:70" x14ac:dyDescent="0.25">
      <c r="BR3282"/>
    </row>
    <row r="3283" spans="70:70" x14ac:dyDescent="0.25">
      <c r="BR3283"/>
    </row>
    <row r="3284" spans="70:70" x14ac:dyDescent="0.25">
      <c r="BR3284"/>
    </row>
    <row r="3285" spans="70:70" x14ac:dyDescent="0.25">
      <c r="BR3285"/>
    </row>
    <row r="3286" spans="70:70" x14ac:dyDescent="0.25">
      <c r="BR3286"/>
    </row>
    <row r="3287" spans="70:70" x14ac:dyDescent="0.25">
      <c r="BR3287"/>
    </row>
    <row r="3288" spans="70:70" x14ac:dyDescent="0.25">
      <c r="BR3288"/>
    </row>
    <row r="3289" spans="70:70" x14ac:dyDescent="0.25">
      <c r="BR3289"/>
    </row>
    <row r="3290" spans="70:70" x14ac:dyDescent="0.25">
      <c r="BR3290"/>
    </row>
    <row r="3291" spans="70:70" x14ac:dyDescent="0.25">
      <c r="BR3291"/>
    </row>
    <row r="3292" spans="70:70" x14ac:dyDescent="0.25">
      <c r="BR3292"/>
    </row>
    <row r="3293" spans="70:70" x14ac:dyDescent="0.25">
      <c r="BR3293"/>
    </row>
    <row r="3294" spans="70:70" x14ac:dyDescent="0.25">
      <c r="BR3294"/>
    </row>
    <row r="3295" spans="70:70" x14ac:dyDescent="0.25">
      <c r="BR3295"/>
    </row>
    <row r="3296" spans="70:70" x14ac:dyDescent="0.25">
      <c r="BR3296"/>
    </row>
    <row r="3297" spans="70:70" x14ac:dyDescent="0.25">
      <c r="BR3297"/>
    </row>
    <row r="3298" spans="70:70" x14ac:dyDescent="0.25">
      <c r="BR3298"/>
    </row>
    <row r="3299" spans="70:70" x14ac:dyDescent="0.25">
      <c r="BR3299"/>
    </row>
    <row r="3300" spans="70:70" x14ac:dyDescent="0.25">
      <c r="BR3300"/>
    </row>
    <row r="3301" spans="70:70" x14ac:dyDescent="0.25">
      <c r="BR3301"/>
    </row>
    <row r="3302" spans="70:70" x14ac:dyDescent="0.25">
      <c r="BR3302"/>
    </row>
    <row r="3303" spans="70:70" x14ac:dyDescent="0.25">
      <c r="BR3303"/>
    </row>
    <row r="3304" spans="70:70" x14ac:dyDescent="0.25">
      <c r="BR3304"/>
    </row>
    <row r="3305" spans="70:70" x14ac:dyDescent="0.25">
      <c r="BR3305"/>
    </row>
    <row r="3306" spans="70:70" x14ac:dyDescent="0.25">
      <c r="BR3306"/>
    </row>
    <row r="3307" spans="70:70" x14ac:dyDescent="0.25">
      <c r="BR3307"/>
    </row>
    <row r="3308" spans="70:70" x14ac:dyDescent="0.25">
      <c r="BR3308"/>
    </row>
    <row r="3309" spans="70:70" x14ac:dyDescent="0.25">
      <c r="BR3309"/>
    </row>
    <row r="3310" spans="70:70" x14ac:dyDescent="0.25">
      <c r="BR3310"/>
    </row>
    <row r="3311" spans="70:70" x14ac:dyDescent="0.25">
      <c r="BR3311"/>
    </row>
    <row r="3312" spans="70:70" x14ac:dyDescent="0.25">
      <c r="BR3312"/>
    </row>
    <row r="3313" spans="70:70" x14ac:dyDescent="0.25">
      <c r="BR3313"/>
    </row>
    <row r="3314" spans="70:70" x14ac:dyDescent="0.25">
      <c r="BR3314"/>
    </row>
    <row r="3315" spans="70:70" x14ac:dyDescent="0.25">
      <c r="BR3315"/>
    </row>
    <row r="3316" spans="70:70" x14ac:dyDescent="0.25">
      <c r="BR3316"/>
    </row>
    <row r="3317" spans="70:70" x14ac:dyDescent="0.25">
      <c r="BR3317"/>
    </row>
    <row r="3318" spans="70:70" x14ac:dyDescent="0.25">
      <c r="BR3318"/>
    </row>
    <row r="3319" spans="70:70" x14ac:dyDescent="0.25">
      <c r="BR3319"/>
    </row>
    <row r="3320" spans="70:70" x14ac:dyDescent="0.25">
      <c r="BR3320"/>
    </row>
    <row r="3321" spans="70:70" x14ac:dyDescent="0.25">
      <c r="BR3321"/>
    </row>
    <row r="3322" spans="70:70" x14ac:dyDescent="0.25">
      <c r="BR3322"/>
    </row>
    <row r="3323" spans="70:70" x14ac:dyDescent="0.25">
      <c r="BR3323"/>
    </row>
    <row r="3324" spans="70:70" x14ac:dyDescent="0.25">
      <c r="BR3324"/>
    </row>
    <row r="3325" spans="70:70" x14ac:dyDescent="0.25">
      <c r="BR3325"/>
    </row>
    <row r="3326" spans="70:70" x14ac:dyDescent="0.25">
      <c r="BR3326"/>
    </row>
    <row r="3327" spans="70:70" x14ac:dyDescent="0.25">
      <c r="BR3327"/>
    </row>
    <row r="3328" spans="70:70" x14ac:dyDescent="0.25">
      <c r="BR3328"/>
    </row>
    <row r="3329" spans="70:70" x14ac:dyDescent="0.25">
      <c r="BR3329"/>
    </row>
    <row r="3330" spans="70:70" x14ac:dyDescent="0.25">
      <c r="BR3330"/>
    </row>
    <row r="3331" spans="70:70" x14ac:dyDescent="0.25">
      <c r="BR3331"/>
    </row>
    <row r="3332" spans="70:70" x14ac:dyDescent="0.25">
      <c r="BR3332"/>
    </row>
    <row r="3333" spans="70:70" x14ac:dyDescent="0.25">
      <c r="BR3333"/>
    </row>
    <row r="3334" spans="70:70" x14ac:dyDescent="0.25">
      <c r="BR3334"/>
    </row>
    <row r="3335" spans="70:70" x14ac:dyDescent="0.25">
      <c r="BR3335"/>
    </row>
    <row r="3336" spans="70:70" x14ac:dyDescent="0.25">
      <c r="BR3336"/>
    </row>
    <row r="3337" spans="70:70" x14ac:dyDescent="0.25">
      <c r="BR3337"/>
    </row>
    <row r="3338" spans="70:70" x14ac:dyDescent="0.25">
      <c r="BR3338"/>
    </row>
    <row r="3339" spans="70:70" x14ac:dyDescent="0.25">
      <c r="BR3339"/>
    </row>
    <row r="3340" spans="70:70" x14ac:dyDescent="0.25">
      <c r="BR3340"/>
    </row>
    <row r="3341" spans="70:70" x14ac:dyDescent="0.25">
      <c r="BR3341"/>
    </row>
    <row r="3342" spans="70:70" x14ac:dyDescent="0.25">
      <c r="BR3342"/>
    </row>
    <row r="3343" spans="70:70" x14ac:dyDescent="0.25">
      <c r="BR3343"/>
    </row>
    <row r="3344" spans="70:70" x14ac:dyDescent="0.25">
      <c r="BR3344"/>
    </row>
    <row r="3345" spans="70:70" x14ac:dyDescent="0.25">
      <c r="BR3345"/>
    </row>
    <row r="3346" spans="70:70" x14ac:dyDescent="0.25">
      <c r="BR3346"/>
    </row>
    <row r="3347" spans="70:70" x14ac:dyDescent="0.25">
      <c r="BR3347"/>
    </row>
    <row r="3348" spans="70:70" x14ac:dyDescent="0.25">
      <c r="BR3348"/>
    </row>
    <row r="3349" spans="70:70" x14ac:dyDescent="0.25">
      <c r="BR3349"/>
    </row>
    <row r="3350" spans="70:70" x14ac:dyDescent="0.25">
      <c r="BR3350"/>
    </row>
    <row r="3351" spans="70:70" x14ac:dyDescent="0.25">
      <c r="BR3351"/>
    </row>
    <row r="3352" spans="70:70" x14ac:dyDescent="0.25">
      <c r="BR3352"/>
    </row>
    <row r="3353" spans="70:70" x14ac:dyDescent="0.25">
      <c r="BR3353"/>
    </row>
    <row r="3354" spans="70:70" x14ac:dyDescent="0.25">
      <c r="BR3354"/>
    </row>
    <row r="3355" spans="70:70" x14ac:dyDescent="0.25">
      <c r="BR3355"/>
    </row>
    <row r="3356" spans="70:70" x14ac:dyDescent="0.25">
      <c r="BR3356"/>
    </row>
    <row r="3357" spans="70:70" x14ac:dyDescent="0.25">
      <c r="BR3357"/>
    </row>
    <row r="3358" spans="70:70" x14ac:dyDescent="0.25">
      <c r="BR3358"/>
    </row>
    <row r="3359" spans="70:70" x14ac:dyDescent="0.25">
      <c r="BR3359"/>
    </row>
    <row r="3360" spans="70:70" x14ac:dyDescent="0.25">
      <c r="BR3360"/>
    </row>
    <row r="3361" spans="70:70" x14ac:dyDescent="0.25">
      <c r="BR3361"/>
    </row>
    <row r="3362" spans="70:70" x14ac:dyDescent="0.25">
      <c r="BR3362"/>
    </row>
    <row r="3363" spans="70:70" x14ac:dyDescent="0.25">
      <c r="BR3363"/>
    </row>
    <row r="3364" spans="70:70" x14ac:dyDescent="0.25">
      <c r="BR3364"/>
    </row>
    <row r="3365" spans="70:70" x14ac:dyDescent="0.25">
      <c r="BR3365"/>
    </row>
    <row r="3366" spans="70:70" x14ac:dyDescent="0.25">
      <c r="BR3366"/>
    </row>
    <row r="3367" spans="70:70" x14ac:dyDescent="0.25">
      <c r="BR3367"/>
    </row>
    <row r="3368" spans="70:70" x14ac:dyDescent="0.25">
      <c r="BR3368"/>
    </row>
    <row r="3369" spans="70:70" x14ac:dyDescent="0.25">
      <c r="BR3369"/>
    </row>
    <row r="3370" spans="70:70" x14ac:dyDescent="0.25">
      <c r="BR3370"/>
    </row>
    <row r="3371" spans="70:70" x14ac:dyDescent="0.25">
      <c r="BR3371"/>
    </row>
    <row r="3372" spans="70:70" x14ac:dyDescent="0.25">
      <c r="BR3372"/>
    </row>
    <row r="3373" spans="70:70" x14ac:dyDescent="0.25">
      <c r="BR3373"/>
    </row>
    <row r="3374" spans="70:70" x14ac:dyDescent="0.25">
      <c r="BR3374"/>
    </row>
    <row r="3375" spans="70:70" x14ac:dyDescent="0.25">
      <c r="BR3375"/>
    </row>
    <row r="3376" spans="70:70" x14ac:dyDescent="0.25">
      <c r="BR3376"/>
    </row>
    <row r="3377" spans="70:70" x14ac:dyDescent="0.25">
      <c r="BR3377"/>
    </row>
    <row r="3378" spans="70:70" x14ac:dyDescent="0.25">
      <c r="BR3378"/>
    </row>
    <row r="3379" spans="70:70" x14ac:dyDescent="0.25">
      <c r="BR3379"/>
    </row>
    <row r="3380" spans="70:70" x14ac:dyDescent="0.25">
      <c r="BR3380"/>
    </row>
    <row r="3381" spans="70:70" x14ac:dyDescent="0.25">
      <c r="BR3381"/>
    </row>
    <row r="3382" spans="70:70" x14ac:dyDescent="0.25">
      <c r="BR3382"/>
    </row>
    <row r="3383" spans="70:70" x14ac:dyDescent="0.25">
      <c r="BR3383"/>
    </row>
    <row r="3384" spans="70:70" x14ac:dyDescent="0.25">
      <c r="BR3384"/>
    </row>
    <row r="3385" spans="70:70" x14ac:dyDescent="0.25">
      <c r="BR3385"/>
    </row>
    <row r="3386" spans="70:70" x14ac:dyDescent="0.25">
      <c r="BR3386"/>
    </row>
    <row r="3387" spans="70:70" x14ac:dyDescent="0.25">
      <c r="BR3387"/>
    </row>
    <row r="3388" spans="70:70" x14ac:dyDescent="0.25">
      <c r="BR3388"/>
    </row>
    <row r="3389" spans="70:70" x14ac:dyDescent="0.25">
      <c r="BR3389"/>
    </row>
    <row r="3390" spans="70:70" x14ac:dyDescent="0.25">
      <c r="BR3390"/>
    </row>
    <row r="3391" spans="70:70" x14ac:dyDescent="0.25">
      <c r="BR3391"/>
    </row>
    <row r="3392" spans="70:70" x14ac:dyDescent="0.25">
      <c r="BR3392"/>
    </row>
    <row r="3393" spans="70:70" x14ac:dyDescent="0.25">
      <c r="BR3393"/>
    </row>
    <row r="3394" spans="70:70" x14ac:dyDescent="0.25">
      <c r="BR3394"/>
    </row>
    <row r="3395" spans="70:70" x14ac:dyDescent="0.25">
      <c r="BR3395"/>
    </row>
    <row r="3396" spans="70:70" x14ac:dyDescent="0.25">
      <c r="BR3396"/>
    </row>
    <row r="3397" spans="70:70" x14ac:dyDescent="0.25">
      <c r="BR3397"/>
    </row>
    <row r="3398" spans="70:70" x14ac:dyDescent="0.25">
      <c r="BR3398"/>
    </row>
    <row r="3399" spans="70:70" x14ac:dyDescent="0.25">
      <c r="BR3399"/>
    </row>
    <row r="3400" spans="70:70" x14ac:dyDescent="0.25">
      <c r="BR3400"/>
    </row>
    <row r="3401" spans="70:70" x14ac:dyDescent="0.25">
      <c r="BR3401"/>
    </row>
    <row r="3402" spans="70:70" x14ac:dyDescent="0.25">
      <c r="BR3402"/>
    </row>
    <row r="3403" spans="70:70" x14ac:dyDescent="0.25">
      <c r="BR3403"/>
    </row>
    <row r="3404" spans="70:70" x14ac:dyDescent="0.25">
      <c r="BR3404"/>
    </row>
    <row r="3405" spans="70:70" x14ac:dyDescent="0.25">
      <c r="BR3405"/>
    </row>
    <row r="3406" spans="70:70" x14ac:dyDescent="0.25">
      <c r="BR3406"/>
    </row>
    <row r="3407" spans="70:70" x14ac:dyDescent="0.25">
      <c r="BR3407"/>
    </row>
    <row r="3408" spans="70:70" x14ac:dyDescent="0.25">
      <c r="BR3408"/>
    </row>
    <row r="3409" spans="70:70" x14ac:dyDescent="0.25">
      <c r="BR3409"/>
    </row>
    <row r="3410" spans="70:70" x14ac:dyDescent="0.25">
      <c r="BR3410"/>
    </row>
    <row r="3411" spans="70:70" x14ac:dyDescent="0.25">
      <c r="BR3411"/>
    </row>
    <row r="3412" spans="70:70" x14ac:dyDescent="0.25">
      <c r="BR3412"/>
    </row>
    <row r="3413" spans="70:70" x14ac:dyDescent="0.25">
      <c r="BR3413"/>
    </row>
    <row r="3414" spans="70:70" x14ac:dyDescent="0.25">
      <c r="BR3414"/>
    </row>
    <row r="3415" spans="70:70" x14ac:dyDescent="0.25">
      <c r="BR3415"/>
    </row>
    <row r="3416" spans="70:70" x14ac:dyDescent="0.25">
      <c r="BR3416"/>
    </row>
    <row r="3417" spans="70:70" x14ac:dyDescent="0.25">
      <c r="BR3417"/>
    </row>
    <row r="3418" spans="70:70" x14ac:dyDescent="0.25">
      <c r="BR3418"/>
    </row>
    <row r="3419" spans="70:70" x14ac:dyDescent="0.25">
      <c r="BR3419"/>
    </row>
    <row r="3420" spans="70:70" x14ac:dyDescent="0.25">
      <c r="BR3420"/>
    </row>
    <row r="3421" spans="70:70" x14ac:dyDescent="0.25">
      <c r="BR3421"/>
    </row>
    <row r="3422" spans="70:70" x14ac:dyDescent="0.25">
      <c r="BR3422"/>
    </row>
    <row r="3423" spans="70:70" x14ac:dyDescent="0.25">
      <c r="BR3423"/>
    </row>
    <row r="3424" spans="70:70" x14ac:dyDescent="0.25">
      <c r="BR3424"/>
    </row>
    <row r="3425" spans="70:70" x14ac:dyDescent="0.25">
      <c r="BR3425"/>
    </row>
    <row r="3426" spans="70:70" x14ac:dyDescent="0.25">
      <c r="BR3426"/>
    </row>
    <row r="3427" spans="70:70" x14ac:dyDescent="0.25">
      <c r="BR3427"/>
    </row>
    <row r="3428" spans="70:70" x14ac:dyDescent="0.25">
      <c r="BR3428"/>
    </row>
    <row r="3429" spans="70:70" x14ac:dyDescent="0.25">
      <c r="BR3429"/>
    </row>
    <row r="3430" spans="70:70" x14ac:dyDescent="0.25">
      <c r="BR3430"/>
    </row>
    <row r="3431" spans="70:70" x14ac:dyDescent="0.25">
      <c r="BR3431"/>
    </row>
    <row r="3432" spans="70:70" x14ac:dyDescent="0.25">
      <c r="BR3432"/>
    </row>
    <row r="3433" spans="70:70" x14ac:dyDescent="0.25">
      <c r="BR3433"/>
    </row>
    <row r="3434" spans="70:70" x14ac:dyDescent="0.25">
      <c r="BR3434"/>
    </row>
    <row r="3435" spans="70:70" x14ac:dyDescent="0.25">
      <c r="BR3435"/>
    </row>
    <row r="3436" spans="70:70" x14ac:dyDescent="0.25">
      <c r="BR3436"/>
    </row>
    <row r="3437" spans="70:70" x14ac:dyDescent="0.25">
      <c r="BR3437"/>
    </row>
    <row r="3438" spans="70:70" x14ac:dyDescent="0.25">
      <c r="BR3438"/>
    </row>
    <row r="3439" spans="70:70" x14ac:dyDescent="0.25">
      <c r="BR3439"/>
    </row>
    <row r="3440" spans="70:70" x14ac:dyDescent="0.25">
      <c r="BR3440"/>
    </row>
    <row r="3441" spans="70:70" x14ac:dyDescent="0.25">
      <c r="BR3441"/>
    </row>
    <row r="3442" spans="70:70" x14ac:dyDescent="0.25">
      <c r="BR3442"/>
    </row>
    <row r="3443" spans="70:70" x14ac:dyDescent="0.25">
      <c r="BR3443"/>
    </row>
    <row r="3444" spans="70:70" x14ac:dyDescent="0.25">
      <c r="BR3444"/>
    </row>
    <row r="3445" spans="70:70" x14ac:dyDescent="0.25">
      <c r="BR3445"/>
    </row>
    <row r="3446" spans="70:70" x14ac:dyDescent="0.25">
      <c r="BR3446"/>
    </row>
    <row r="3447" spans="70:70" x14ac:dyDescent="0.25">
      <c r="BR3447"/>
    </row>
    <row r="3448" spans="70:70" x14ac:dyDescent="0.25">
      <c r="BR3448"/>
    </row>
    <row r="3449" spans="70:70" x14ac:dyDescent="0.25">
      <c r="BR3449"/>
    </row>
    <row r="3450" spans="70:70" x14ac:dyDescent="0.25">
      <c r="BR3450"/>
    </row>
    <row r="3451" spans="70:70" x14ac:dyDescent="0.25">
      <c r="BR3451"/>
    </row>
    <row r="3452" spans="70:70" x14ac:dyDescent="0.25">
      <c r="BR3452"/>
    </row>
    <row r="3453" spans="70:70" x14ac:dyDescent="0.25">
      <c r="BR3453"/>
    </row>
    <row r="3454" spans="70:70" x14ac:dyDescent="0.25">
      <c r="BR3454"/>
    </row>
    <row r="3455" spans="70:70" x14ac:dyDescent="0.25">
      <c r="BR3455"/>
    </row>
    <row r="3456" spans="70:70" x14ac:dyDescent="0.25">
      <c r="BR3456"/>
    </row>
    <row r="3457" spans="70:70" x14ac:dyDescent="0.25">
      <c r="BR3457"/>
    </row>
    <row r="3458" spans="70:70" x14ac:dyDescent="0.25">
      <c r="BR3458"/>
    </row>
    <row r="3459" spans="70:70" x14ac:dyDescent="0.25">
      <c r="BR3459"/>
    </row>
    <row r="3460" spans="70:70" x14ac:dyDescent="0.25">
      <c r="BR3460"/>
    </row>
    <row r="3461" spans="70:70" x14ac:dyDescent="0.25">
      <c r="BR3461"/>
    </row>
    <row r="3462" spans="70:70" x14ac:dyDescent="0.25">
      <c r="BR3462"/>
    </row>
    <row r="3463" spans="70:70" x14ac:dyDescent="0.25">
      <c r="BR3463"/>
    </row>
    <row r="3464" spans="70:70" x14ac:dyDescent="0.25">
      <c r="BR3464"/>
    </row>
    <row r="3465" spans="70:70" x14ac:dyDescent="0.25">
      <c r="BR3465"/>
    </row>
    <row r="3466" spans="70:70" x14ac:dyDescent="0.25">
      <c r="BR3466"/>
    </row>
    <row r="3467" spans="70:70" x14ac:dyDescent="0.25">
      <c r="BR3467"/>
    </row>
    <row r="3468" spans="70:70" x14ac:dyDescent="0.25">
      <c r="BR3468"/>
    </row>
    <row r="3469" spans="70:70" x14ac:dyDescent="0.25">
      <c r="BR3469"/>
    </row>
    <row r="3470" spans="70:70" x14ac:dyDescent="0.25">
      <c r="BR3470"/>
    </row>
    <row r="3471" spans="70:70" x14ac:dyDescent="0.25">
      <c r="BR3471"/>
    </row>
    <row r="3472" spans="70:70" x14ac:dyDescent="0.25">
      <c r="BR3472"/>
    </row>
    <row r="3473" spans="70:70" x14ac:dyDescent="0.25">
      <c r="BR3473"/>
    </row>
    <row r="3474" spans="70:70" x14ac:dyDescent="0.25">
      <c r="BR3474"/>
    </row>
    <row r="3475" spans="70:70" x14ac:dyDescent="0.25">
      <c r="BR3475"/>
    </row>
    <row r="3476" spans="70:70" x14ac:dyDescent="0.25">
      <c r="BR3476"/>
    </row>
    <row r="3477" spans="70:70" x14ac:dyDescent="0.25">
      <c r="BR3477"/>
    </row>
    <row r="3478" spans="70:70" x14ac:dyDescent="0.25">
      <c r="BR3478"/>
    </row>
    <row r="3479" spans="70:70" x14ac:dyDescent="0.25">
      <c r="BR3479"/>
    </row>
    <row r="3480" spans="70:70" x14ac:dyDescent="0.25">
      <c r="BR3480"/>
    </row>
    <row r="3481" spans="70:70" x14ac:dyDescent="0.25">
      <c r="BR3481"/>
    </row>
    <row r="3482" spans="70:70" x14ac:dyDescent="0.25">
      <c r="BR3482"/>
    </row>
    <row r="3483" spans="70:70" x14ac:dyDescent="0.25">
      <c r="BR3483"/>
    </row>
    <row r="3484" spans="70:70" x14ac:dyDescent="0.25">
      <c r="BR3484"/>
    </row>
    <row r="3485" spans="70:70" x14ac:dyDescent="0.25">
      <c r="BR3485"/>
    </row>
    <row r="3486" spans="70:70" x14ac:dyDescent="0.25">
      <c r="BR3486"/>
    </row>
    <row r="3487" spans="70:70" x14ac:dyDescent="0.25">
      <c r="BR3487"/>
    </row>
    <row r="3488" spans="70:70" x14ac:dyDescent="0.25">
      <c r="BR3488"/>
    </row>
    <row r="3489" spans="70:70" x14ac:dyDescent="0.25">
      <c r="BR3489"/>
    </row>
    <row r="3490" spans="70:70" x14ac:dyDescent="0.25">
      <c r="BR3490"/>
    </row>
    <row r="3491" spans="70:70" x14ac:dyDescent="0.25">
      <c r="BR3491"/>
    </row>
    <row r="3492" spans="70:70" x14ac:dyDescent="0.25">
      <c r="BR3492"/>
    </row>
    <row r="3493" spans="70:70" x14ac:dyDescent="0.25">
      <c r="BR3493"/>
    </row>
    <row r="3494" spans="70:70" x14ac:dyDescent="0.25">
      <c r="BR3494"/>
    </row>
    <row r="3495" spans="70:70" x14ac:dyDescent="0.25">
      <c r="BR3495"/>
    </row>
    <row r="3496" spans="70:70" x14ac:dyDescent="0.25">
      <c r="BR3496"/>
    </row>
    <row r="3497" spans="70:70" x14ac:dyDescent="0.25">
      <c r="BR3497"/>
    </row>
    <row r="3498" spans="70:70" x14ac:dyDescent="0.25">
      <c r="BR3498"/>
    </row>
    <row r="3499" spans="70:70" x14ac:dyDescent="0.25">
      <c r="BR3499"/>
    </row>
    <row r="3500" spans="70:70" x14ac:dyDescent="0.25">
      <c r="BR3500"/>
    </row>
    <row r="3501" spans="70:70" x14ac:dyDescent="0.25">
      <c r="BR3501"/>
    </row>
    <row r="3502" spans="70:70" x14ac:dyDescent="0.25">
      <c r="BR3502"/>
    </row>
    <row r="3503" spans="70:70" x14ac:dyDescent="0.25">
      <c r="BR3503"/>
    </row>
    <row r="3504" spans="70:70" x14ac:dyDescent="0.25">
      <c r="BR3504"/>
    </row>
    <row r="3505" spans="70:70" x14ac:dyDescent="0.25">
      <c r="BR3505"/>
    </row>
    <row r="3506" spans="70:70" x14ac:dyDescent="0.25">
      <c r="BR3506"/>
    </row>
    <row r="3507" spans="70:70" x14ac:dyDescent="0.25">
      <c r="BR3507"/>
    </row>
    <row r="3508" spans="70:70" x14ac:dyDescent="0.25">
      <c r="BR3508"/>
    </row>
    <row r="3509" spans="70:70" x14ac:dyDescent="0.25">
      <c r="BR3509"/>
    </row>
    <row r="3510" spans="70:70" x14ac:dyDescent="0.25">
      <c r="BR3510"/>
    </row>
    <row r="3511" spans="70:70" x14ac:dyDescent="0.25">
      <c r="BR3511"/>
    </row>
    <row r="3512" spans="70:70" x14ac:dyDescent="0.25">
      <c r="BR3512"/>
    </row>
    <row r="3513" spans="70:70" x14ac:dyDescent="0.25">
      <c r="BR3513"/>
    </row>
    <row r="3514" spans="70:70" x14ac:dyDescent="0.25">
      <c r="BR3514"/>
    </row>
    <row r="3515" spans="70:70" x14ac:dyDescent="0.25">
      <c r="BR3515"/>
    </row>
    <row r="3516" spans="70:70" x14ac:dyDescent="0.25">
      <c r="BR3516"/>
    </row>
    <row r="3517" spans="70:70" x14ac:dyDescent="0.25">
      <c r="BR3517"/>
    </row>
    <row r="3518" spans="70:70" x14ac:dyDescent="0.25">
      <c r="BR3518"/>
    </row>
    <row r="3519" spans="70:70" x14ac:dyDescent="0.25">
      <c r="BR3519"/>
    </row>
    <row r="3520" spans="70:70" x14ac:dyDescent="0.25">
      <c r="BR3520"/>
    </row>
    <row r="3521" spans="70:70" x14ac:dyDescent="0.25">
      <c r="BR3521"/>
    </row>
    <row r="3522" spans="70:70" x14ac:dyDescent="0.25">
      <c r="BR3522"/>
    </row>
    <row r="3523" spans="70:70" x14ac:dyDescent="0.25">
      <c r="BR3523"/>
    </row>
    <row r="3524" spans="70:70" x14ac:dyDescent="0.25">
      <c r="BR3524"/>
    </row>
    <row r="3525" spans="70:70" x14ac:dyDescent="0.25">
      <c r="BR3525"/>
    </row>
    <row r="3526" spans="70:70" x14ac:dyDescent="0.25">
      <c r="BR3526"/>
    </row>
    <row r="3527" spans="70:70" x14ac:dyDescent="0.25">
      <c r="BR3527"/>
    </row>
    <row r="3528" spans="70:70" x14ac:dyDescent="0.25">
      <c r="BR3528"/>
    </row>
    <row r="3529" spans="70:70" x14ac:dyDescent="0.25">
      <c r="BR3529"/>
    </row>
    <row r="3530" spans="70:70" x14ac:dyDescent="0.25">
      <c r="BR3530"/>
    </row>
    <row r="3531" spans="70:70" x14ac:dyDescent="0.25">
      <c r="BR3531"/>
    </row>
    <row r="3532" spans="70:70" x14ac:dyDescent="0.25">
      <c r="BR3532"/>
    </row>
    <row r="3533" spans="70:70" x14ac:dyDescent="0.25">
      <c r="BR3533"/>
    </row>
    <row r="3534" spans="70:70" x14ac:dyDescent="0.25">
      <c r="BR3534"/>
    </row>
    <row r="3535" spans="70:70" x14ac:dyDescent="0.25">
      <c r="BR3535"/>
    </row>
    <row r="3536" spans="70:70" x14ac:dyDescent="0.25">
      <c r="BR3536"/>
    </row>
    <row r="3537" spans="70:70" x14ac:dyDescent="0.25">
      <c r="BR3537"/>
    </row>
    <row r="3538" spans="70:70" x14ac:dyDescent="0.25">
      <c r="BR3538"/>
    </row>
    <row r="3539" spans="70:70" x14ac:dyDescent="0.25">
      <c r="BR3539"/>
    </row>
    <row r="3540" spans="70:70" x14ac:dyDescent="0.25">
      <c r="BR3540"/>
    </row>
    <row r="3541" spans="70:70" x14ac:dyDescent="0.25">
      <c r="BR3541"/>
    </row>
    <row r="3542" spans="70:70" x14ac:dyDescent="0.25">
      <c r="BR3542"/>
    </row>
    <row r="3543" spans="70:70" x14ac:dyDescent="0.25">
      <c r="BR3543"/>
    </row>
    <row r="3544" spans="70:70" x14ac:dyDescent="0.25">
      <c r="BR3544"/>
    </row>
    <row r="3545" spans="70:70" x14ac:dyDescent="0.25">
      <c r="BR3545"/>
    </row>
    <row r="3546" spans="70:70" x14ac:dyDescent="0.25">
      <c r="BR3546"/>
    </row>
    <row r="3547" spans="70:70" x14ac:dyDescent="0.25">
      <c r="BR3547"/>
    </row>
    <row r="3548" spans="70:70" x14ac:dyDescent="0.25">
      <c r="BR3548"/>
    </row>
    <row r="3549" spans="70:70" x14ac:dyDescent="0.25">
      <c r="BR3549"/>
    </row>
    <row r="3550" spans="70:70" x14ac:dyDescent="0.25">
      <c r="BR3550"/>
    </row>
    <row r="3551" spans="70:70" x14ac:dyDescent="0.25">
      <c r="BR3551"/>
    </row>
    <row r="3552" spans="70:70" x14ac:dyDescent="0.25">
      <c r="BR3552"/>
    </row>
    <row r="3553" spans="70:70" x14ac:dyDescent="0.25">
      <c r="BR3553"/>
    </row>
    <row r="3554" spans="70:70" x14ac:dyDescent="0.25">
      <c r="BR3554"/>
    </row>
    <row r="3555" spans="70:70" x14ac:dyDescent="0.25">
      <c r="BR3555"/>
    </row>
    <row r="3556" spans="70:70" x14ac:dyDescent="0.25">
      <c r="BR3556"/>
    </row>
    <row r="3557" spans="70:70" x14ac:dyDescent="0.25">
      <c r="BR3557"/>
    </row>
    <row r="3558" spans="70:70" x14ac:dyDescent="0.25">
      <c r="BR3558"/>
    </row>
    <row r="3559" spans="70:70" x14ac:dyDescent="0.25">
      <c r="BR3559"/>
    </row>
    <row r="3560" spans="70:70" x14ac:dyDescent="0.25">
      <c r="BR3560"/>
    </row>
    <row r="3561" spans="70:70" x14ac:dyDescent="0.25">
      <c r="BR3561"/>
    </row>
    <row r="3562" spans="70:70" x14ac:dyDescent="0.25">
      <c r="BR3562"/>
    </row>
    <row r="3563" spans="70:70" x14ac:dyDescent="0.25">
      <c r="BR3563"/>
    </row>
    <row r="3564" spans="70:70" x14ac:dyDescent="0.25">
      <c r="BR3564"/>
    </row>
    <row r="3565" spans="70:70" x14ac:dyDescent="0.25">
      <c r="BR3565"/>
    </row>
    <row r="3566" spans="70:70" x14ac:dyDescent="0.25">
      <c r="BR3566"/>
    </row>
    <row r="3567" spans="70:70" x14ac:dyDescent="0.25">
      <c r="BR3567"/>
    </row>
    <row r="3568" spans="70:70" x14ac:dyDescent="0.25">
      <c r="BR3568"/>
    </row>
    <row r="3569" spans="70:70" x14ac:dyDescent="0.25">
      <c r="BR3569"/>
    </row>
    <row r="3570" spans="70:70" x14ac:dyDescent="0.25">
      <c r="BR3570"/>
    </row>
    <row r="3571" spans="70:70" x14ac:dyDescent="0.25">
      <c r="BR3571"/>
    </row>
    <row r="3572" spans="70:70" x14ac:dyDescent="0.25">
      <c r="BR3572"/>
    </row>
    <row r="3573" spans="70:70" x14ac:dyDescent="0.25">
      <c r="BR3573"/>
    </row>
    <row r="3574" spans="70:70" x14ac:dyDescent="0.25">
      <c r="BR3574"/>
    </row>
    <row r="3575" spans="70:70" x14ac:dyDescent="0.25">
      <c r="BR3575"/>
    </row>
    <row r="3576" spans="70:70" x14ac:dyDescent="0.25">
      <c r="BR3576"/>
    </row>
    <row r="3577" spans="70:70" x14ac:dyDescent="0.25">
      <c r="BR3577"/>
    </row>
    <row r="3578" spans="70:70" x14ac:dyDescent="0.25">
      <c r="BR3578"/>
    </row>
    <row r="3579" spans="70:70" x14ac:dyDescent="0.25">
      <c r="BR3579"/>
    </row>
    <row r="3580" spans="70:70" x14ac:dyDescent="0.25">
      <c r="BR3580"/>
    </row>
    <row r="3581" spans="70:70" x14ac:dyDescent="0.25">
      <c r="BR3581"/>
    </row>
    <row r="3582" spans="70:70" x14ac:dyDescent="0.25">
      <c r="BR3582"/>
    </row>
    <row r="3583" spans="70:70" x14ac:dyDescent="0.25">
      <c r="BR3583"/>
    </row>
    <row r="3584" spans="70:70" x14ac:dyDescent="0.25">
      <c r="BR3584"/>
    </row>
    <row r="3585" spans="70:70" x14ac:dyDescent="0.25">
      <c r="BR3585"/>
    </row>
    <row r="3586" spans="70:70" x14ac:dyDescent="0.25">
      <c r="BR3586"/>
    </row>
    <row r="3587" spans="70:70" x14ac:dyDescent="0.25">
      <c r="BR3587"/>
    </row>
    <row r="3588" spans="70:70" x14ac:dyDescent="0.25">
      <c r="BR3588"/>
    </row>
    <row r="3589" spans="70:70" x14ac:dyDescent="0.25">
      <c r="BR3589"/>
    </row>
    <row r="3590" spans="70:70" x14ac:dyDescent="0.25">
      <c r="BR3590"/>
    </row>
    <row r="3591" spans="70:70" x14ac:dyDescent="0.25">
      <c r="BR3591"/>
    </row>
    <row r="3592" spans="70:70" x14ac:dyDescent="0.25">
      <c r="BR3592"/>
    </row>
    <row r="3593" spans="70:70" x14ac:dyDescent="0.25">
      <c r="BR3593"/>
    </row>
    <row r="3594" spans="70:70" x14ac:dyDescent="0.25">
      <c r="BR3594"/>
    </row>
    <row r="3595" spans="70:70" x14ac:dyDescent="0.25">
      <c r="BR3595"/>
    </row>
    <row r="3596" spans="70:70" x14ac:dyDescent="0.25">
      <c r="BR3596"/>
    </row>
    <row r="3597" spans="70:70" x14ac:dyDescent="0.25">
      <c r="BR3597"/>
    </row>
    <row r="3598" spans="70:70" x14ac:dyDescent="0.25">
      <c r="BR3598"/>
    </row>
    <row r="3599" spans="70:70" x14ac:dyDescent="0.25">
      <c r="BR3599"/>
    </row>
    <row r="3600" spans="70:70" x14ac:dyDescent="0.25">
      <c r="BR3600"/>
    </row>
    <row r="3601" spans="70:70" x14ac:dyDescent="0.25">
      <c r="BR3601"/>
    </row>
    <row r="3602" spans="70:70" x14ac:dyDescent="0.25">
      <c r="BR3602"/>
    </row>
    <row r="3603" spans="70:70" x14ac:dyDescent="0.25">
      <c r="BR3603"/>
    </row>
    <row r="3604" spans="70:70" x14ac:dyDescent="0.25">
      <c r="BR3604"/>
    </row>
    <row r="3605" spans="70:70" x14ac:dyDescent="0.25">
      <c r="BR3605"/>
    </row>
    <row r="3606" spans="70:70" x14ac:dyDescent="0.25">
      <c r="BR3606"/>
    </row>
    <row r="3607" spans="70:70" x14ac:dyDescent="0.25">
      <c r="BR3607"/>
    </row>
    <row r="3608" spans="70:70" x14ac:dyDescent="0.25">
      <c r="BR3608"/>
    </row>
    <row r="3609" spans="70:70" x14ac:dyDescent="0.25">
      <c r="BR3609"/>
    </row>
    <row r="3610" spans="70:70" x14ac:dyDescent="0.25">
      <c r="BR3610"/>
    </row>
    <row r="3611" spans="70:70" x14ac:dyDescent="0.25">
      <c r="BR3611"/>
    </row>
    <row r="3612" spans="70:70" x14ac:dyDescent="0.25">
      <c r="BR3612"/>
    </row>
    <row r="3613" spans="70:70" x14ac:dyDescent="0.25">
      <c r="BR3613"/>
    </row>
    <row r="3614" spans="70:70" x14ac:dyDescent="0.25">
      <c r="BR3614"/>
    </row>
    <row r="3615" spans="70:70" x14ac:dyDescent="0.25">
      <c r="BR3615"/>
    </row>
    <row r="3616" spans="70:70" x14ac:dyDescent="0.25">
      <c r="BR3616"/>
    </row>
    <row r="3617" spans="70:70" x14ac:dyDescent="0.25">
      <c r="BR3617"/>
    </row>
    <row r="3618" spans="70:70" x14ac:dyDescent="0.25">
      <c r="BR3618"/>
    </row>
    <row r="3619" spans="70:70" x14ac:dyDescent="0.25">
      <c r="BR3619"/>
    </row>
    <row r="3620" spans="70:70" x14ac:dyDescent="0.25">
      <c r="BR3620"/>
    </row>
    <row r="3621" spans="70:70" x14ac:dyDescent="0.25">
      <c r="BR3621"/>
    </row>
    <row r="3622" spans="70:70" x14ac:dyDescent="0.25">
      <c r="BR3622"/>
    </row>
    <row r="3623" spans="70:70" x14ac:dyDescent="0.25">
      <c r="BR3623"/>
    </row>
    <row r="3624" spans="70:70" x14ac:dyDescent="0.25">
      <c r="BR3624"/>
    </row>
    <row r="3625" spans="70:70" x14ac:dyDescent="0.25">
      <c r="BR3625"/>
    </row>
    <row r="3626" spans="70:70" x14ac:dyDescent="0.25">
      <c r="BR3626"/>
    </row>
    <row r="3627" spans="70:70" x14ac:dyDescent="0.25">
      <c r="BR3627"/>
    </row>
    <row r="3628" spans="70:70" x14ac:dyDescent="0.25">
      <c r="BR3628"/>
    </row>
    <row r="3629" spans="70:70" x14ac:dyDescent="0.25">
      <c r="BR3629"/>
    </row>
    <row r="3630" spans="70:70" x14ac:dyDescent="0.25">
      <c r="BR3630"/>
    </row>
    <row r="3631" spans="70:70" x14ac:dyDescent="0.25">
      <c r="BR3631"/>
    </row>
    <row r="3632" spans="70:70" x14ac:dyDescent="0.25">
      <c r="BR3632"/>
    </row>
    <row r="3633" spans="70:70" x14ac:dyDescent="0.25">
      <c r="BR3633"/>
    </row>
    <row r="3634" spans="70:70" x14ac:dyDescent="0.25">
      <c r="BR3634"/>
    </row>
    <row r="3635" spans="70:70" x14ac:dyDescent="0.25">
      <c r="BR3635"/>
    </row>
    <row r="3636" spans="70:70" x14ac:dyDescent="0.25">
      <c r="BR3636"/>
    </row>
    <row r="3637" spans="70:70" x14ac:dyDescent="0.25">
      <c r="BR3637"/>
    </row>
    <row r="3638" spans="70:70" x14ac:dyDescent="0.25">
      <c r="BR3638"/>
    </row>
    <row r="3639" spans="70:70" x14ac:dyDescent="0.25">
      <c r="BR3639"/>
    </row>
    <row r="3640" spans="70:70" x14ac:dyDescent="0.25">
      <c r="BR3640"/>
    </row>
    <row r="3641" spans="70:70" x14ac:dyDescent="0.25">
      <c r="BR3641"/>
    </row>
    <row r="3642" spans="70:70" x14ac:dyDescent="0.25">
      <c r="BR3642"/>
    </row>
    <row r="3643" spans="70:70" x14ac:dyDescent="0.25">
      <c r="BR3643"/>
    </row>
    <row r="3644" spans="70:70" x14ac:dyDescent="0.25">
      <c r="BR3644"/>
    </row>
    <row r="3645" spans="70:70" x14ac:dyDescent="0.25">
      <c r="BR3645"/>
    </row>
    <row r="3646" spans="70:70" x14ac:dyDescent="0.25">
      <c r="BR3646"/>
    </row>
    <row r="3647" spans="70:70" x14ac:dyDescent="0.25">
      <c r="BR3647"/>
    </row>
    <row r="3648" spans="70:70" x14ac:dyDescent="0.25">
      <c r="BR3648"/>
    </row>
    <row r="3649" spans="70:70" x14ac:dyDescent="0.25">
      <c r="BR3649"/>
    </row>
    <row r="3650" spans="70:70" x14ac:dyDescent="0.25">
      <c r="BR3650"/>
    </row>
    <row r="3651" spans="70:70" x14ac:dyDescent="0.25">
      <c r="BR3651"/>
    </row>
    <row r="3652" spans="70:70" x14ac:dyDescent="0.25">
      <c r="BR3652"/>
    </row>
    <row r="3653" spans="70:70" x14ac:dyDescent="0.25">
      <c r="BR3653"/>
    </row>
    <row r="3654" spans="70:70" x14ac:dyDescent="0.25">
      <c r="BR3654"/>
    </row>
    <row r="3655" spans="70:70" x14ac:dyDescent="0.25">
      <c r="BR3655"/>
    </row>
    <row r="3656" spans="70:70" x14ac:dyDescent="0.25">
      <c r="BR3656"/>
    </row>
    <row r="3657" spans="70:70" x14ac:dyDescent="0.25">
      <c r="BR3657"/>
    </row>
    <row r="3658" spans="70:70" x14ac:dyDescent="0.25">
      <c r="BR3658"/>
    </row>
    <row r="3659" spans="70:70" x14ac:dyDescent="0.25">
      <c r="BR3659"/>
    </row>
    <row r="3660" spans="70:70" x14ac:dyDescent="0.25">
      <c r="BR3660"/>
    </row>
    <row r="3661" spans="70:70" x14ac:dyDescent="0.25">
      <c r="BR3661"/>
    </row>
    <row r="3662" spans="70:70" x14ac:dyDescent="0.25">
      <c r="BR3662"/>
    </row>
    <row r="3663" spans="70:70" x14ac:dyDescent="0.25">
      <c r="BR3663"/>
    </row>
    <row r="3664" spans="70:70" x14ac:dyDescent="0.25">
      <c r="BR3664"/>
    </row>
    <row r="3665" spans="70:70" x14ac:dyDescent="0.25">
      <c r="BR3665"/>
    </row>
    <row r="3666" spans="70:70" x14ac:dyDescent="0.25">
      <c r="BR3666"/>
    </row>
    <row r="3667" spans="70:70" x14ac:dyDescent="0.25">
      <c r="BR3667"/>
    </row>
    <row r="3668" spans="70:70" x14ac:dyDescent="0.25">
      <c r="BR3668"/>
    </row>
    <row r="3669" spans="70:70" x14ac:dyDescent="0.25">
      <c r="BR3669"/>
    </row>
    <row r="3670" spans="70:70" x14ac:dyDescent="0.25">
      <c r="BR3670"/>
    </row>
    <row r="3671" spans="70:70" x14ac:dyDescent="0.25">
      <c r="BR3671"/>
    </row>
    <row r="3672" spans="70:70" x14ac:dyDescent="0.25">
      <c r="BR3672"/>
    </row>
    <row r="3673" spans="70:70" x14ac:dyDescent="0.25">
      <c r="BR3673"/>
    </row>
    <row r="3674" spans="70:70" x14ac:dyDescent="0.25">
      <c r="BR3674"/>
    </row>
    <row r="3675" spans="70:70" x14ac:dyDescent="0.25">
      <c r="BR3675"/>
    </row>
    <row r="3676" spans="70:70" x14ac:dyDescent="0.25">
      <c r="BR3676"/>
    </row>
    <row r="3677" spans="70:70" x14ac:dyDescent="0.25">
      <c r="BR3677"/>
    </row>
    <row r="3678" spans="70:70" x14ac:dyDescent="0.25">
      <c r="BR3678"/>
    </row>
    <row r="3679" spans="70:70" x14ac:dyDescent="0.25">
      <c r="BR3679"/>
    </row>
    <row r="3680" spans="70:70" x14ac:dyDescent="0.25">
      <c r="BR3680"/>
    </row>
    <row r="3681" spans="70:70" x14ac:dyDescent="0.25">
      <c r="BR3681"/>
    </row>
    <row r="3682" spans="70:70" x14ac:dyDescent="0.25">
      <c r="BR3682"/>
    </row>
    <row r="3683" spans="70:70" x14ac:dyDescent="0.25">
      <c r="BR3683"/>
    </row>
    <row r="3684" spans="70:70" x14ac:dyDescent="0.25">
      <c r="BR3684"/>
    </row>
    <row r="3685" spans="70:70" x14ac:dyDescent="0.25">
      <c r="BR3685"/>
    </row>
    <row r="3686" spans="70:70" x14ac:dyDescent="0.25">
      <c r="BR3686"/>
    </row>
    <row r="3687" spans="70:70" x14ac:dyDescent="0.25">
      <c r="BR3687"/>
    </row>
    <row r="3688" spans="70:70" x14ac:dyDescent="0.25">
      <c r="BR3688"/>
    </row>
    <row r="3689" spans="70:70" x14ac:dyDescent="0.25">
      <c r="BR3689"/>
    </row>
    <row r="3690" spans="70:70" x14ac:dyDescent="0.25">
      <c r="BR3690"/>
    </row>
    <row r="3691" spans="70:70" x14ac:dyDescent="0.25">
      <c r="BR3691"/>
    </row>
    <row r="3692" spans="70:70" x14ac:dyDescent="0.25">
      <c r="BR3692"/>
    </row>
    <row r="3693" spans="70:70" x14ac:dyDescent="0.25">
      <c r="BR3693"/>
    </row>
    <row r="3694" spans="70:70" x14ac:dyDescent="0.25">
      <c r="BR3694"/>
    </row>
    <row r="3695" spans="70:70" x14ac:dyDescent="0.25">
      <c r="BR3695"/>
    </row>
    <row r="3696" spans="70:70" x14ac:dyDescent="0.25">
      <c r="BR3696"/>
    </row>
    <row r="3697" spans="70:70" x14ac:dyDescent="0.25">
      <c r="BR3697"/>
    </row>
    <row r="3698" spans="70:70" x14ac:dyDescent="0.25">
      <c r="BR3698"/>
    </row>
    <row r="3699" spans="70:70" x14ac:dyDescent="0.25">
      <c r="BR3699"/>
    </row>
    <row r="3700" spans="70:70" x14ac:dyDescent="0.25">
      <c r="BR3700"/>
    </row>
    <row r="3701" spans="70:70" x14ac:dyDescent="0.25">
      <c r="BR3701"/>
    </row>
    <row r="3702" spans="70:70" x14ac:dyDescent="0.25">
      <c r="BR3702"/>
    </row>
    <row r="3703" spans="70:70" x14ac:dyDescent="0.25">
      <c r="BR3703"/>
    </row>
    <row r="3704" spans="70:70" x14ac:dyDescent="0.25">
      <c r="BR3704"/>
    </row>
    <row r="3705" spans="70:70" x14ac:dyDescent="0.25">
      <c r="BR3705"/>
    </row>
    <row r="3706" spans="70:70" x14ac:dyDescent="0.25">
      <c r="BR3706"/>
    </row>
    <row r="3707" spans="70:70" x14ac:dyDescent="0.25">
      <c r="BR3707"/>
    </row>
    <row r="3708" spans="70:70" x14ac:dyDescent="0.25">
      <c r="BR3708"/>
    </row>
    <row r="3709" spans="70:70" x14ac:dyDescent="0.25">
      <c r="BR3709"/>
    </row>
    <row r="3710" spans="70:70" x14ac:dyDescent="0.25">
      <c r="BR3710"/>
    </row>
    <row r="3711" spans="70:70" x14ac:dyDescent="0.25">
      <c r="BR3711"/>
    </row>
    <row r="3712" spans="70:70" x14ac:dyDescent="0.25">
      <c r="BR3712"/>
    </row>
    <row r="3713" spans="70:70" x14ac:dyDescent="0.25">
      <c r="BR3713"/>
    </row>
    <row r="3714" spans="70:70" x14ac:dyDescent="0.25">
      <c r="BR3714"/>
    </row>
    <row r="3715" spans="70:70" x14ac:dyDescent="0.25">
      <c r="BR3715"/>
    </row>
    <row r="3716" spans="70:70" x14ac:dyDescent="0.25">
      <c r="BR3716"/>
    </row>
    <row r="3717" spans="70:70" x14ac:dyDescent="0.25">
      <c r="BR3717"/>
    </row>
    <row r="3718" spans="70:70" x14ac:dyDescent="0.25">
      <c r="BR3718"/>
    </row>
    <row r="3719" spans="70:70" x14ac:dyDescent="0.25">
      <c r="BR3719"/>
    </row>
    <row r="3720" spans="70:70" x14ac:dyDescent="0.25">
      <c r="BR3720"/>
    </row>
    <row r="3721" spans="70:70" x14ac:dyDescent="0.25">
      <c r="BR3721"/>
    </row>
    <row r="3722" spans="70:70" x14ac:dyDescent="0.25">
      <c r="BR3722"/>
    </row>
    <row r="3723" spans="70:70" x14ac:dyDescent="0.25">
      <c r="BR3723"/>
    </row>
    <row r="3724" spans="70:70" x14ac:dyDescent="0.25">
      <c r="BR3724"/>
    </row>
    <row r="3725" spans="70:70" x14ac:dyDescent="0.25">
      <c r="BR3725"/>
    </row>
    <row r="3726" spans="70:70" x14ac:dyDescent="0.25">
      <c r="BR3726"/>
    </row>
    <row r="3727" spans="70:70" x14ac:dyDescent="0.25">
      <c r="BR3727"/>
    </row>
    <row r="3728" spans="70:70" x14ac:dyDescent="0.25">
      <c r="BR3728"/>
    </row>
    <row r="3729" spans="70:70" x14ac:dyDescent="0.25">
      <c r="BR3729"/>
    </row>
    <row r="3730" spans="70:70" x14ac:dyDescent="0.25">
      <c r="BR3730"/>
    </row>
    <row r="3731" spans="70:70" x14ac:dyDescent="0.25">
      <c r="BR3731"/>
    </row>
    <row r="3732" spans="70:70" x14ac:dyDescent="0.25">
      <c r="BR3732"/>
    </row>
    <row r="3733" spans="70:70" x14ac:dyDescent="0.25">
      <c r="BR3733"/>
    </row>
    <row r="3734" spans="70:70" x14ac:dyDescent="0.25">
      <c r="BR3734"/>
    </row>
    <row r="3735" spans="70:70" x14ac:dyDescent="0.25">
      <c r="BR3735"/>
    </row>
    <row r="3736" spans="70:70" x14ac:dyDescent="0.25">
      <c r="BR3736"/>
    </row>
    <row r="3737" spans="70:70" x14ac:dyDescent="0.25">
      <c r="BR3737"/>
    </row>
    <row r="3738" spans="70:70" x14ac:dyDescent="0.25">
      <c r="BR3738"/>
    </row>
    <row r="3739" spans="70:70" x14ac:dyDescent="0.25">
      <c r="BR3739"/>
    </row>
    <row r="3740" spans="70:70" x14ac:dyDescent="0.25">
      <c r="BR3740"/>
    </row>
    <row r="3741" spans="70:70" x14ac:dyDescent="0.25">
      <c r="BR3741"/>
    </row>
    <row r="3742" spans="70:70" x14ac:dyDescent="0.25">
      <c r="BR3742"/>
    </row>
    <row r="3743" spans="70:70" x14ac:dyDescent="0.25">
      <c r="BR3743"/>
    </row>
    <row r="3744" spans="70:70" x14ac:dyDescent="0.25">
      <c r="BR3744"/>
    </row>
    <row r="3745" spans="70:70" x14ac:dyDescent="0.25">
      <c r="BR3745"/>
    </row>
    <row r="3746" spans="70:70" x14ac:dyDescent="0.25">
      <c r="BR3746"/>
    </row>
    <row r="3747" spans="70:70" x14ac:dyDescent="0.25">
      <c r="BR3747"/>
    </row>
    <row r="3748" spans="70:70" x14ac:dyDescent="0.25">
      <c r="BR3748"/>
    </row>
    <row r="3749" spans="70:70" x14ac:dyDescent="0.25">
      <c r="BR3749"/>
    </row>
    <row r="3750" spans="70:70" x14ac:dyDescent="0.25">
      <c r="BR3750"/>
    </row>
    <row r="3751" spans="70:70" x14ac:dyDescent="0.25">
      <c r="BR3751"/>
    </row>
    <row r="3752" spans="70:70" x14ac:dyDescent="0.25">
      <c r="BR3752"/>
    </row>
    <row r="3753" spans="70:70" x14ac:dyDescent="0.25">
      <c r="BR3753"/>
    </row>
    <row r="3754" spans="70:70" x14ac:dyDescent="0.25">
      <c r="BR3754"/>
    </row>
    <row r="3755" spans="70:70" x14ac:dyDescent="0.25">
      <c r="BR3755"/>
    </row>
    <row r="3756" spans="70:70" x14ac:dyDescent="0.25">
      <c r="BR3756"/>
    </row>
    <row r="3757" spans="70:70" x14ac:dyDescent="0.25">
      <c r="BR3757"/>
    </row>
    <row r="3758" spans="70:70" x14ac:dyDescent="0.25">
      <c r="BR3758"/>
    </row>
    <row r="3759" spans="70:70" x14ac:dyDescent="0.25">
      <c r="BR3759"/>
    </row>
    <row r="3760" spans="70:70" x14ac:dyDescent="0.25">
      <c r="BR3760"/>
    </row>
    <row r="3761" spans="70:70" x14ac:dyDescent="0.25">
      <c r="BR3761"/>
    </row>
    <row r="3762" spans="70:70" x14ac:dyDescent="0.25">
      <c r="BR3762"/>
    </row>
    <row r="3763" spans="70:70" x14ac:dyDescent="0.25">
      <c r="BR3763"/>
    </row>
    <row r="3764" spans="70:70" x14ac:dyDescent="0.25">
      <c r="BR3764"/>
    </row>
    <row r="3765" spans="70:70" x14ac:dyDescent="0.25">
      <c r="BR3765"/>
    </row>
    <row r="3766" spans="70:70" x14ac:dyDescent="0.25">
      <c r="BR3766"/>
    </row>
    <row r="3767" spans="70:70" x14ac:dyDescent="0.25">
      <c r="BR3767"/>
    </row>
    <row r="3768" spans="70:70" x14ac:dyDescent="0.25">
      <c r="BR3768"/>
    </row>
    <row r="3769" spans="70:70" x14ac:dyDescent="0.25">
      <c r="BR3769"/>
    </row>
    <row r="3770" spans="70:70" x14ac:dyDescent="0.25">
      <c r="BR3770"/>
    </row>
    <row r="3771" spans="70:70" x14ac:dyDescent="0.25">
      <c r="BR3771"/>
    </row>
    <row r="3772" spans="70:70" x14ac:dyDescent="0.25">
      <c r="BR3772"/>
    </row>
    <row r="3773" spans="70:70" x14ac:dyDescent="0.25">
      <c r="BR3773"/>
    </row>
    <row r="3774" spans="70:70" x14ac:dyDescent="0.25">
      <c r="BR3774"/>
    </row>
    <row r="3775" spans="70:70" x14ac:dyDescent="0.25">
      <c r="BR3775"/>
    </row>
    <row r="3776" spans="70:70" x14ac:dyDescent="0.25">
      <c r="BR3776"/>
    </row>
    <row r="3777" spans="70:70" x14ac:dyDescent="0.25">
      <c r="BR3777"/>
    </row>
    <row r="3778" spans="70:70" x14ac:dyDescent="0.25">
      <c r="BR3778"/>
    </row>
    <row r="3779" spans="70:70" x14ac:dyDescent="0.25">
      <c r="BR3779"/>
    </row>
    <row r="3780" spans="70:70" x14ac:dyDescent="0.25">
      <c r="BR3780"/>
    </row>
    <row r="3781" spans="70:70" x14ac:dyDescent="0.25">
      <c r="BR3781"/>
    </row>
    <row r="3782" spans="70:70" x14ac:dyDescent="0.25">
      <c r="BR3782"/>
    </row>
    <row r="3783" spans="70:70" x14ac:dyDescent="0.25">
      <c r="BR3783"/>
    </row>
    <row r="3784" spans="70:70" x14ac:dyDescent="0.25">
      <c r="BR3784"/>
    </row>
    <row r="3785" spans="70:70" x14ac:dyDescent="0.25">
      <c r="BR3785"/>
    </row>
    <row r="3786" spans="70:70" x14ac:dyDescent="0.25">
      <c r="BR3786"/>
    </row>
    <row r="3787" spans="70:70" x14ac:dyDescent="0.25">
      <c r="BR3787"/>
    </row>
    <row r="3788" spans="70:70" x14ac:dyDescent="0.25">
      <c r="BR3788"/>
    </row>
    <row r="3789" spans="70:70" x14ac:dyDescent="0.25">
      <c r="BR3789"/>
    </row>
    <row r="3790" spans="70:70" x14ac:dyDescent="0.25">
      <c r="BR3790"/>
    </row>
    <row r="3791" spans="70:70" x14ac:dyDescent="0.25">
      <c r="BR3791"/>
    </row>
    <row r="3792" spans="70:70" x14ac:dyDescent="0.25">
      <c r="BR3792"/>
    </row>
    <row r="3793" spans="70:70" x14ac:dyDescent="0.25">
      <c r="BR3793"/>
    </row>
    <row r="3794" spans="70:70" x14ac:dyDescent="0.25">
      <c r="BR3794"/>
    </row>
    <row r="3795" spans="70:70" x14ac:dyDescent="0.25">
      <c r="BR3795"/>
    </row>
    <row r="3796" spans="70:70" x14ac:dyDescent="0.25">
      <c r="BR3796"/>
    </row>
    <row r="3797" spans="70:70" x14ac:dyDescent="0.25">
      <c r="BR3797"/>
    </row>
    <row r="3798" spans="70:70" x14ac:dyDescent="0.25">
      <c r="BR3798"/>
    </row>
    <row r="3799" spans="70:70" x14ac:dyDescent="0.25">
      <c r="BR3799"/>
    </row>
    <row r="3800" spans="70:70" x14ac:dyDescent="0.25">
      <c r="BR3800"/>
    </row>
    <row r="3801" spans="70:70" x14ac:dyDescent="0.25">
      <c r="BR3801"/>
    </row>
    <row r="3802" spans="70:70" x14ac:dyDescent="0.25">
      <c r="BR3802"/>
    </row>
    <row r="3803" spans="70:70" x14ac:dyDescent="0.25">
      <c r="BR3803"/>
    </row>
    <row r="3804" spans="70:70" x14ac:dyDescent="0.25">
      <c r="BR3804"/>
    </row>
    <row r="3805" spans="70:70" x14ac:dyDescent="0.25">
      <c r="BR3805"/>
    </row>
    <row r="3806" spans="70:70" x14ac:dyDescent="0.25">
      <c r="BR3806"/>
    </row>
    <row r="3807" spans="70:70" x14ac:dyDescent="0.25">
      <c r="BR3807"/>
    </row>
    <row r="3808" spans="70:70" x14ac:dyDescent="0.25">
      <c r="BR3808"/>
    </row>
    <row r="3809" spans="70:70" x14ac:dyDescent="0.25">
      <c r="BR3809"/>
    </row>
    <row r="3810" spans="70:70" x14ac:dyDescent="0.25">
      <c r="BR3810"/>
    </row>
    <row r="3811" spans="70:70" x14ac:dyDescent="0.25">
      <c r="BR3811"/>
    </row>
    <row r="3812" spans="70:70" x14ac:dyDescent="0.25">
      <c r="BR3812"/>
    </row>
    <row r="3813" spans="70:70" x14ac:dyDescent="0.25">
      <c r="BR3813"/>
    </row>
    <row r="3814" spans="70:70" x14ac:dyDescent="0.25">
      <c r="BR3814"/>
    </row>
    <row r="3815" spans="70:70" x14ac:dyDescent="0.25">
      <c r="BR3815"/>
    </row>
    <row r="3816" spans="70:70" x14ac:dyDescent="0.25">
      <c r="BR3816"/>
    </row>
    <row r="3817" spans="70:70" x14ac:dyDescent="0.25">
      <c r="BR3817"/>
    </row>
    <row r="3818" spans="70:70" x14ac:dyDescent="0.25">
      <c r="BR3818"/>
    </row>
    <row r="3819" spans="70:70" x14ac:dyDescent="0.25">
      <c r="BR3819"/>
    </row>
    <row r="3820" spans="70:70" x14ac:dyDescent="0.25">
      <c r="BR3820"/>
    </row>
    <row r="3821" spans="70:70" x14ac:dyDescent="0.25">
      <c r="BR3821"/>
    </row>
    <row r="3822" spans="70:70" x14ac:dyDescent="0.25">
      <c r="BR3822"/>
    </row>
    <row r="3823" spans="70:70" x14ac:dyDescent="0.25">
      <c r="BR3823"/>
    </row>
    <row r="3824" spans="70:70" x14ac:dyDescent="0.25">
      <c r="BR3824"/>
    </row>
    <row r="3825" spans="70:70" x14ac:dyDescent="0.25">
      <c r="BR3825"/>
    </row>
    <row r="3826" spans="70:70" x14ac:dyDescent="0.25">
      <c r="BR3826"/>
    </row>
    <row r="3827" spans="70:70" x14ac:dyDescent="0.25">
      <c r="BR3827"/>
    </row>
    <row r="3828" spans="70:70" x14ac:dyDescent="0.25">
      <c r="BR3828"/>
    </row>
    <row r="3829" spans="70:70" x14ac:dyDescent="0.25">
      <c r="BR3829"/>
    </row>
    <row r="3830" spans="70:70" x14ac:dyDescent="0.25">
      <c r="BR3830"/>
    </row>
    <row r="3831" spans="70:70" x14ac:dyDescent="0.25">
      <c r="BR3831"/>
    </row>
    <row r="3832" spans="70:70" x14ac:dyDescent="0.25">
      <c r="BR3832"/>
    </row>
    <row r="3833" spans="70:70" x14ac:dyDescent="0.25">
      <c r="BR3833"/>
    </row>
    <row r="3834" spans="70:70" x14ac:dyDescent="0.25">
      <c r="BR3834"/>
    </row>
    <row r="3835" spans="70:70" x14ac:dyDescent="0.25">
      <c r="BR3835"/>
    </row>
    <row r="3836" spans="70:70" x14ac:dyDescent="0.25">
      <c r="BR3836"/>
    </row>
    <row r="3837" spans="70:70" x14ac:dyDescent="0.25">
      <c r="BR3837"/>
    </row>
    <row r="3838" spans="70:70" x14ac:dyDescent="0.25">
      <c r="BR3838"/>
    </row>
    <row r="3839" spans="70:70" x14ac:dyDescent="0.25">
      <c r="BR3839"/>
    </row>
    <row r="3840" spans="70:70" x14ac:dyDescent="0.25">
      <c r="BR3840"/>
    </row>
    <row r="3841" spans="70:70" x14ac:dyDescent="0.25">
      <c r="BR3841"/>
    </row>
    <row r="3842" spans="70:70" x14ac:dyDescent="0.25">
      <c r="BR3842"/>
    </row>
    <row r="3843" spans="70:70" x14ac:dyDescent="0.25">
      <c r="BR3843"/>
    </row>
    <row r="3844" spans="70:70" x14ac:dyDescent="0.25">
      <c r="BR3844"/>
    </row>
    <row r="3845" spans="70:70" x14ac:dyDescent="0.25">
      <c r="BR3845"/>
    </row>
    <row r="3846" spans="70:70" x14ac:dyDescent="0.25">
      <c r="BR3846"/>
    </row>
    <row r="3847" spans="70:70" x14ac:dyDescent="0.25">
      <c r="BR3847"/>
    </row>
    <row r="3848" spans="70:70" x14ac:dyDescent="0.25">
      <c r="BR3848"/>
    </row>
    <row r="3849" spans="70:70" x14ac:dyDescent="0.25">
      <c r="BR3849"/>
    </row>
    <row r="3850" spans="70:70" x14ac:dyDescent="0.25">
      <c r="BR3850"/>
    </row>
    <row r="3851" spans="70:70" x14ac:dyDescent="0.25">
      <c r="BR3851"/>
    </row>
    <row r="3852" spans="70:70" x14ac:dyDescent="0.25">
      <c r="BR3852"/>
    </row>
    <row r="3853" spans="70:70" x14ac:dyDescent="0.25">
      <c r="BR3853"/>
    </row>
    <row r="3854" spans="70:70" x14ac:dyDescent="0.25">
      <c r="BR3854"/>
    </row>
    <row r="3855" spans="70:70" x14ac:dyDescent="0.25">
      <c r="BR3855"/>
    </row>
    <row r="3856" spans="70:70" x14ac:dyDescent="0.25">
      <c r="BR3856"/>
    </row>
    <row r="3857" spans="70:70" x14ac:dyDescent="0.25">
      <c r="BR3857"/>
    </row>
    <row r="3858" spans="70:70" x14ac:dyDescent="0.25">
      <c r="BR3858"/>
    </row>
    <row r="3859" spans="70:70" x14ac:dyDescent="0.25">
      <c r="BR3859"/>
    </row>
    <row r="3860" spans="70:70" x14ac:dyDescent="0.25">
      <c r="BR3860"/>
    </row>
    <row r="3861" spans="70:70" x14ac:dyDescent="0.25">
      <c r="BR3861"/>
    </row>
    <row r="3862" spans="70:70" x14ac:dyDescent="0.25">
      <c r="BR3862"/>
    </row>
    <row r="3863" spans="70:70" x14ac:dyDescent="0.25">
      <c r="BR3863"/>
    </row>
    <row r="3864" spans="70:70" x14ac:dyDescent="0.25">
      <c r="BR3864"/>
    </row>
    <row r="3865" spans="70:70" x14ac:dyDescent="0.25">
      <c r="BR3865"/>
    </row>
    <row r="3866" spans="70:70" x14ac:dyDescent="0.25">
      <c r="BR3866"/>
    </row>
    <row r="3867" spans="70:70" x14ac:dyDescent="0.25">
      <c r="BR3867"/>
    </row>
    <row r="3868" spans="70:70" x14ac:dyDescent="0.25">
      <c r="BR3868"/>
    </row>
    <row r="3869" spans="70:70" x14ac:dyDescent="0.25">
      <c r="BR3869"/>
    </row>
    <row r="3870" spans="70:70" x14ac:dyDescent="0.25">
      <c r="BR3870"/>
    </row>
    <row r="3871" spans="70:70" x14ac:dyDescent="0.25">
      <c r="BR3871"/>
    </row>
    <row r="3872" spans="70:70" x14ac:dyDescent="0.25">
      <c r="BR3872"/>
    </row>
    <row r="3873" spans="70:70" x14ac:dyDescent="0.25">
      <c r="BR3873"/>
    </row>
    <row r="3874" spans="70:70" x14ac:dyDescent="0.25">
      <c r="BR3874"/>
    </row>
    <row r="3875" spans="70:70" x14ac:dyDescent="0.25">
      <c r="BR3875"/>
    </row>
    <row r="3876" spans="70:70" x14ac:dyDescent="0.25">
      <c r="BR3876"/>
    </row>
    <row r="3877" spans="70:70" x14ac:dyDescent="0.25">
      <c r="BR3877"/>
    </row>
    <row r="3878" spans="70:70" x14ac:dyDescent="0.25">
      <c r="BR3878"/>
    </row>
    <row r="3879" spans="70:70" x14ac:dyDescent="0.25">
      <c r="BR3879"/>
    </row>
    <row r="3880" spans="70:70" x14ac:dyDescent="0.25">
      <c r="BR3880"/>
    </row>
    <row r="3881" spans="70:70" x14ac:dyDescent="0.25">
      <c r="BR3881"/>
    </row>
    <row r="3882" spans="70:70" x14ac:dyDescent="0.25">
      <c r="BR3882"/>
    </row>
    <row r="3883" spans="70:70" x14ac:dyDescent="0.25">
      <c r="BR3883"/>
    </row>
    <row r="3884" spans="70:70" x14ac:dyDescent="0.25">
      <c r="BR3884"/>
    </row>
    <row r="3885" spans="70:70" x14ac:dyDescent="0.25">
      <c r="BR3885"/>
    </row>
    <row r="3886" spans="70:70" x14ac:dyDescent="0.25">
      <c r="BR3886"/>
    </row>
    <row r="3887" spans="70:70" x14ac:dyDescent="0.25">
      <c r="BR3887"/>
    </row>
    <row r="3888" spans="70:70" x14ac:dyDescent="0.25">
      <c r="BR3888"/>
    </row>
    <row r="3889" spans="70:70" x14ac:dyDescent="0.25">
      <c r="BR3889"/>
    </row>
    <row r="3890" spans="70:70" x14ac:dyDescent="0.25">
      <c r="BR3890"/>
    </row>
    <row r="3891" spans="70:70" x14ac:dyDescent="0.25">
      <c r="BR3891"/>
    </row>
    <row r="3892" spans="70:70" x14ac:dyDescent="0.25">
      <c r="BR3892"/>
    </row>
    <row r="3893" spans="70:70" x14ac:dyDescent="0.25">
      <c r="BR3893"/>
    </row>
    <row r="3894" spans="70:70" x14ac:dyDescent="0.25">
      <c r="BR3894"/>
    </row>
    <row r="3895" spans="70:70" x14ac:dyDescent="0.25">
      <c r="BR3895"/>
    </row>
    <row r="3896" spans="70:70" x14ac:dyDescent="0.25">
      <c r="BR3896"/>
    </row>
    <row r="3897" spans="70:70" x14ac:dyDescent="0.25">
      <c r="BR3897"/>
    </row>
    <row r="3898" spans="70:70" x14ac:dyDescent="0.25">
      <c r="BR3898"/>
    </row>
    <row r="3899" spans="70:70" x14ac:dyDescent="0.25">
      <c r="BR3899"/>
    </row>
    <row r="3900" spans="70:70" x14ac:dyDescent="0.25">
      <c r="BR3900"/>
    </row>
    <row r="3901" spans="70:70" x14ac:dyDescent="0.25">
      <c r="BR3901"/>
    </row>
    <row r="3902" spans="70:70" x14ac:dyDescent="0.25">
      <c r="BR3902"/>
    </row>
    <row r="3903" spans="70:70" x14ac:dyDescent="0.25">
      <c r="BR3903"/>
    </row>
    <row r="3904" spans="70:70" x14ac:dyDescent="0.25">
      <c r="BR3904"/>
    </row>
    <row r="3905" spans="70:70" x14ac:dyDescent="0.25">
      <c r="BR3905"/>
    </row>
    <row r="3906" spans="70:70" x14ac:dyDescent="0.25">
      <c r="BR3906"/>
    </row>
    <row r="3907" spans="70:70" x14ac:dyDescent="0.25">
      <c r="BR3907"/>
    </row>
    <row r="3908" spans="70:70" x14ac:dyDescent="0.25">
      <c r="BR3908"/>
    </row>
    <row r="3909" spans="70:70" x14ac:dyDescent="0.25">
      <c r="BR3909"/>
    </row>
    <row r="3910" spans="70:70" x14ac:dyDescent="0.25">
      <c r="BR3910"/>
    </row>
    <row r="3911" spans="70:70" x14ac:dyDescent="0.25">
      <c r="BR3911"/>
    </row>
    <row r="3912" spans="70:70" x14ac:dyDescent="0.25">
      <c r="BR3912"/>
    </row>
    <row r="3913" spans="70:70" x14ac:dyDescent="0.25">
      <c r="BR3913"/>
    </row>
    <row r="3914" spans="70:70" x14ac:dyDescent="0.25">
      <c r="BR3914"/>
    </row>
    <row r="3915" spans="70:70" x14ac:dyDescent="0.25">
      <c r="BR3915"/>
    </row>
    <row r="3916" spans="70:70" x14ac:dyDescent="0.25">
      <c r="BR3916"/>
    </row>
    <row r="3917" spans="70:70" x14ac:dyDescent="0.25">
      <c r="BR3917"/>
    </row>
    <row r="3918" spans="70:70" x14ac:dyDescent="0.25">
      <c r="BR3918"/>
    </row>
    <row r="3919" spans="70:70" x14ac:dyDescent="0.25">
      <c r="BR3919"/>
    </row>
    <row r="3920" spans="70:70" x14ac:dyDescent="0.25">
      <c r="BR3920"/>
    </row>
    <row r="3921" spans="70:70" x14ac:dyDescent="0.25">
      <c r="BR3921"/>
    </row>
    <row r="3922" spans="70:70" x14ac:dyDescent="0.25">
      <c r="BR3922"/>
    </row>
    <row r="3923" spans="70:70" x14ac:dyDescent="0.25">
      <c r="BR3923"/>
    </row>
    <row r="3924" spans="70:70" x14ac:dyDescent="0.25">
      <c r="BR3924"/>
    </row>
    <row r="3925" spans="70:70" x14ac:dyDescent="0.25">
      <c r="BR3925"/>
    </row>
    <row r="3926" spans="70:70" x14ac:dyDescent="0.25">
      <c r="BR3926"/>
    </row>
    <row r="3927" spans="70:70" x14ac:dyDescent="0.25">
      <c r="BR3927"/>
    </row>
    <row r="3928" spans="70:70" x14ac:dyDescent="0.25">
      <c r="BR3928"/>
    </row>
    <row r="3929" spans="70:70" x14ac:dyDescent="0.25">
      <c r="BR3929"/>
    </row>
    <row r="3930" spans="70:70" x14ac:dyDescent="0.25">
      <c r="BR3930"/>
    </row>
    <row r="3931" spans="70:70" x14ac:dyDescent="0.25">
      <c r="BR3931"/>
    </row>
    <row r="3932" spans="70:70" x14ac:dyDescent="0.25">
      <c r="BR3932"/>
    </row>
    <row r="3933" spans="70:70" x14ac:dyDescent="0.25">
      <c r="BR3933"/>
    </row>
    <row r="3934" spans="70:70" x14ac:dyDescent="0.25">
      <c r="BR3934"/>
    </row>
    <row r="3935" spans="70:70" x14ac:dyDescent="0.25">
      <c r="BR3935"/>
    </row>
    <row r="3936" spans="70:70" x14ac:dyDescent="0.25">
      <c r="BR3936"/>
    </row>
    <row r="3937" spans="70:70" x14ac:dyDescent="0.25">
      <c r="BR3937"/>
    </row>
    <row r="3938" spans="70:70" x14ac:dyDescent="0.25">
      <c r="BR3938"/>
    </row>
    <row r="3939" spans="70:70" x14ac:dyDescent="0.25">
      <c r="BR3939"/>
    </row>
    <row r="3940" spans="70:70" x14ac:dyDescent="0.25">
      <c r="BR3940"/>
    </row>
    <row r="3941" spans="70:70" x14ac:dyDescent="0.25">
      <c r="BR3941"/>
    </row>
    <row r="3942" spans="70:70" x14ac:dyDescent="0.25">
      <c r="BR3942"/>
    </row>
    <row r="3943" spans="70:70" x14ac:dyDescent="0.25">
      <c r="BR3943"/>
    </row>
    <row r="3944" spans="70:70" x14ac:dyDescent="0.25">
      <c r="BR3944"/>
    </row>
    <row r="3945" spans="70:70" x14ac:dyDescent="0.25">
      <c r="BR3945"/>
    </row>
    <row r="3946" spans="70:70" x14ac:dyDescent="0.25">
      <c r="BR3946"/>
    </row>
    <row r="3947" spans="70:70" x14ac:dyDescent="0.25">
      <c r="BR3947"/>
    </row>
    <row r="3948" spans="70:70" x14ac:dyDescent="0.25">
      <c r="BR3948"/>
    </row>
    <row r="3949" spans="70:70" x14ac:dyDescent="0.25">
      <c r="BR3949"/>
    </row>
    <row r="3950" spans="70:70" x14ac:dyDescent="0.25">
      <c r="BR3950"/>
    </row>
    <row r="3951" spans="70:70" x14ac:dyDescent="0.25">
      <c r="BR3951"/>
    </row>
    <row r="3952" spans="70:70" x14ac:dyDescent="0.25">
      <c r="BR3952"/>
    </row>
    <row r="3953" spans="70:70" x14ac:dyDescent="0.25">
      <c r="BR3953"/>
    </row>
    <row r="3954" spans="70:70" x14ac:dyDescent="0.25">
      <c r="BR3954"/>
    </row>
    <row r="3955" spans="70:70" x14ac:dyDescent="0.25">
      <c r="BR3955"/>
    </row>
    <row r="3956" spans="70:70" x14ac:dyDescent="0.25">
      <c r="BR3956"/>
    </row>
    <row r="3957" spans="70:70" x14ac:dyDescent="0.25">
      <c r="BR3957"/>
    </row>
    <row r="3958" spans="70:70" x14ac:dyDescent="0.25">
      <c r="BR3958"/>
    </row>
    <row r="3959" spans="70:70" x14ac:dyDescent="0.25">
      <c r="BR3959"/>
    </row>
    <row r="3960" spans="70:70" x14ac:dyDescent="0.25">
      <c r="BR3960"/>
    </row>
    <row r="3961" spans="70:70" x14ac:dyDescent="0.25">
      <c r="BR3961"/>
    </row>
    <row r="3962" spans="70:70" x14ac:dyDescent="0.25">
      <c r="BR3962"/>
    </row>
    <row r="3963" spans="70:70" x14ac:dyDescent="0.25">
      <c r="BR3963"/>
    </row>
    <row r="3964" spans="70:70" x14ac:dyDescent="0.25">
      <c r="BR3964"/>
    </row>
    <row r="3965" spans="70:70" x14ac:dyDescent="0.25">
      <c r="BR3965"/>
    </row>
    <row r="3966" spans="70:70" x14ac:dyDescent="0.25">
      <c r="BR3966"/>
    </row>
    <row r="3967" spans="70:70" x14ac:dyDescent="0.25">
      <c r="BR3967"/>
    </row>
    <row r="3968" spans="70:70" x14ac:dyDescent="0.25">
      <c r="BR3968"/>
    </row>
    <row r="3969" spans="70:70" x14ac:dyDescent="0.25">
      <c r="BR3969"/>
    </row>
    <row r="3970" spans="70:70" x14ac:dyDescent="0.25">
      <c r="BR3970"/>
    </row>
    <row r="3971" spans="70:70" x14ac:dyDescent="0.25">
      <c r="BR3971"/>
    </row>
    <row r="3972" spans="70:70" x14ac:dyDescent="0.25">
      <c r="BR3972"/>
    </row>
    <row r="3973" spans="70:70" x14ac:dyDescent="0.25">
      <c r="BR3973"/>
    </row>
    <row r="3974" spans="70:70" x14ac:dyDescent="0.25">
      <c r="BR3974"/>
    </row>
    <row r="3975" spans="70:70" x14ac:dyDescent="0.25">
      <c r="BR3975"/>
    </row>
    <row r="3976" spans="70:70" x14ac:dyDescent="0.25">
      <c r="BR3976"/>
    </row>
    <row r="3977" spans="70:70" x14ac:dyDescent="0.25">
      <c r="BR3977"/>
    </row>
    <row r="3978" spans="70:70" x14ac:dyDescent="0.25">
      <c r="BR3978"/>
    </row>
    <row r="3979" spans="70:70" x14ac:dyDescent="0.25">
      <c r="BR3979"/>
    </row>
    <row r="3980" spans="70:70" x14ac:dyDescent="0.25">
      <c r="BR3980"/>
    </row>
    <row r="3981" spans="70:70" x14ac:dyDescent="0.25">
      <c r="BR3981"/>
    </row>
    <row r="3982" spans="70:70" x14ac:dyDescent="0.25">
      <c r="BR3982"/>
    </row>
    <row r="3983" spans="70:70" x14ac:dyDescent="0.25">
      <c r="BR3983"/>
    </row>
    <row r="3984" spans="70:70" x14ac:dyDescent="0.25">
      <c r="BR3984"/>
    </row>
    <row r="3985" spans="70:70" x14ac:dyDescent="0.25">
      <c r="BR3985"/>
    </row>
    <row r="3986" spans="70:70" x14ac:dyDescent="0.25">
      <c r="BR3986"/>
    </row>
    <row r="3987" spans="70:70" x14ac:dyDescent="0.25">
      <c r="BR3987"/>
    </row>
    <row r="3988" spans="70:70" x14ac:dyDescent="0.25">
      <c r="BR3988"/>
    </row>
    <row r="3989" spans="70:70" x14ac:dyDescent="0.25">
      <c r="BR3989"/>
    </row>
    <row r="3990" spans="70:70" x14ac:dyDescent="0.25">
      <c r="BR3990"/>
    </row>
    <row r="3991" spans="70:70" x14ac:dyDescent="0.25">
      <c r="BR3991"/>
    </row>
    <row r="3992" spans="70:70" x14ac:dyDescent="0.25">
      <c r="BR3992"/>
    </row>
    <row r="3993" spans="70:70" x14ac:dyDescent="0.25">
      <c r="BR3993"/>
    </row>
    <row r="3994" spans="70:70" x14ac:dyDescent="0.25">
      <c r="BR3994"/>
    </row>
    <row r="3995" spans="70:70" x14ac:dyDescent="0.25">
      <c r="BR3995"/>
    </row>
    <row r="3996" spans="70:70" x14ac:dyDescent="0.25">
      <c r="BR3996"/>
    </row>
    <row r="3997" spans="70:70" x14ac:dyDescent="0.25">
      <c r="BR3997"/>
    </row>
    <row r="3998" spans="70:70" x14ac:dyDescent="0.25">
      <c r="BR3998"/>
    </row>
    <row r="3999" spans="70:70" x14ac:dyDescent="0.25">
      <c r="BR3999"/>
    </row>
    <row r="4000" spans="70:70" x14ac:dyDescent="0.25">
      <c r="BR4000"/>
    </row>
    <row r="4001" spans="70:70" x14ac:dyDescent="0.25">
      <c r="BR4001"/>
    </row>
    <row r="4002" spans="70:70" x14ac:dyDescent="0.25">
      <c r="BR4002"/>
    </row>
    <row r="4003" spans="70:70" x14ac:dyDescent="0.25">
      <c r="BR4003"/>
    </row>
    <row r="4004" spans="70:70" x14ac:dyDescent="0.25">
      <c r="BR4004"/>
    </row>
    <row r="4005" spans="70:70" x14ac:dyDescent="0.25">
      <c r="BR4005"/>
    </row>
    <row r="4006" spans="70:70" x14ac:dyDescent="0.25">
      <c r="BR4006"/>
    </row>
    <row r="4007" spans="70:70" x14ac:dyDescent="0.25">
      <c r="BR4007"/>
    </row>
    <row r="4008" spans="70:70" x14ac:dyDescent="0.25">
      <c r="BR4008"/>
    </row>
    <row r="4009" spans="70:70" x14ac:dyDescent="0.25">
      <c r="BR4009"/>
    </row>
    <row r="4010" spans="70:70" x14ac:dyDescent="0.25">
      <c r="BR4010"/>
    </row>
    <row r="4011" spans="70:70" x14ac:dyDescent="0.25">
      <c r="BR4011"/>
    </row>
    <row r="4012" spans="70:70" x14ac:dyDescent="0.25">
      <c r="BR4012"/>
    </row>
    <row r="4013" spans="70:70" x14ac:dyDescent="0.25">
      <c r="BR4013"/>
    </row>
    <row r="4014" spans="70:70" x14ac:dyDescent="0.25">
      <c r="BR4014"/>
    </row>
    <row r="4015" spans="70:70" x14ac:dyDescent="0.25">
      <c r="BR4015"/>
    </row>
    <row r="4016" spans="70:70" x14ac:dyDescent="0.25">
      <c r="BR4016"/>
    </row>
    <row r="4017" spans="70:70" x14ac:dyDescent="0.25">
      <c r="BR4017"/>
    </row>
    <row r="4018" spans="70:70" x14ac:dyDescent="0.25">
      <c r="BR4018"/>
    </row>
    <row r="4019" spans="70:70" x14ac:dyDescent="0.25">
      <c r="BR4019"/>
    </row>
    <row r="4020" spans="70:70" x14ac:dyDescent="0.25">
      <c r="BR4020"/>
    </row>
    <row r="4021" spans="70:70" x14ac:dyDescent="0.25">
      <c r="BR4021"/>
    </row>
    <row r="4022" spans="70:70" x14ac:dyDescent="0.25">
      <c r="BR4022"/>
    </row>
    <row r="4023" spans="70:70" x14ac:dyDescent="0.25">
      <c r="BR4023"/>
    </row>
    <row r="4024" spans="70:70" x14ac:dyDescent="0.25">
      <c r="BR4024"/>
    </row>
    <row r="4025" spans="70:70" x14ac:dyDescent="0.25">
      <c r="BR4025"/>
    </row>
    <row r="4026" spans="70:70" x14ac:dyDescent="0.25">
      <c r="BR4026"/>
    </row>
    <row r="4027" spans="70:70" x14ac:dyDescent="0.25">
      <c r="BR4027"/>
    </row>
    <row r="4028" spans="70:70" x14ac:dyDescent="0.25">
      <c r="BR4028"/>
    </row>
    <row r="4029" spans="70:70" x14ac:dyDescent="0.25">
      <c r="BR4029"/>
    </row>
    <row r="4030" spans="70:70" x14ac:dyDescent="0.25">
      <c r="BR4030"/>
    </row>
    <row r="4031" spans="70:70" x14ac:dyDescent="0.25">
      <c r="BR4031"/>
    </row>
    <row r="4032" spans="70:70" x14ac:dyDescent="0.25">
      <c r="BR4032"/>
    </row>
    <row r="4033" spans="70:70" x14ac:dyDescent="0.25">
      <c r="BR4033"/>
    </row>
    <row r="4034" spans="70:70" x14ac:dyDescent="0.25">
      <c r="BR4034"/>
    </row>
    <row r="4035" spans="70:70" x14ac:dyDescent="0.25">
      <c r="BR4035"/>
    </row>
    <row r="4036" spans="70:70" x14ac:dyDescent="0.25">
      <c r="BR4036"/>
    </row>
    <row r="4037" spans="70:70" x14ac:dyDescent="0.25">
      <c r="BR4037"/>
    </row>
    <row r="4038" spans="70:70" x14ac:dyDescent="0.25">
      <c r="BR4038"/>
    </row>
    <row r="4039" spans="70:70" x14ac:dyDescent="0.25">
      <c r="BR4039"/>
    </row>
    <row r="4040" spans="70:70" x14ac:dyDescent="0.25">
      <c r="BR4040"/>
    </row>
    <row r="4041" spans="70:70" x14ac:dyDescent="0.25">
      <c r="BR4041"/>
    </row>
    <row r="4042" spans="70:70" x14ac:dyDescent="0.25">
      <c r="BR4042"/>
    </row>
    <row r="4043" spans="70:70" x14ac:dyDescent="0.25">
      <c r="BR4043"/>
    </row>
    <row r="4044" spans="70:70" x14ac:dyDescent="0.25">
      <c r="BR4044"/>
    </row>
    <row r="4045" spans="70:70" x14ac:dyDescent="0.25">
      <c r="BR4045"/>
    </row>
    <row r="4046" spans="70:70" x14ac:dyDescent="0.25">
      <c r="BR4046"/>
    </row>
    <row r="4047" spans="70:70" x14ac:dyDescent="0.25">
      <c r="BR4047"/>
    </row>
    <row r="4048" spans="70:70" x14ac:dyDescent="0.25">
      <c r="BR4048"/>
    </row>
    <row r="4049" spans="70:70" x14ac:dyDescent="0.25">
      <c r="BR4049"/>
    </row>
    <row r="4050" spans="70:70" x14ac:dyDescent="0.25">
      <c r="BR4050"/>
    </row>
    <row r="4051" spans="70:70" x14ac:dyDescent="0.25">
      <c r="BR4051"/>
    </row>
    <row r="4052" spans="70:70" x14ac:dyDescent="0.25">
      <c r="BR4052"/>
    </row>
    <row r="4053" spans="70:70" x14ac:dyDescent="0.25">
      <c r="BR4053"/>
    </row>
    <row r="4054" spans="70:70" x14ac:dyDescent="0.25">
      <c r="BR4054"/>
    </row>
    <row r="4055" spans="70:70" x14ac:dyDescent="0.25">
      <c r="BR4055"/>
    </row>
    <row r="4056" spans="70:70" x14ac:dyDescent="0.25">
      <c r="BR4056"/>
    </row>
    <row r="4057" spans="70:70" x14ac:dyDescent="0.25">
      <c r="BR4057"/>
    </row>
    <row r="4058" spans="70:70" x14ac:dyDescent="0.25">
      <c r="BR4058"/>
    </row>
    <row r="4059" spans="70:70" x14ac:dyDescent="0.25">
      <c r="BR4059"/>
    </row>
    <row r="4060" spans="70:70" x14ac:dyDescent="0.25">
      <c r="BR4060"/>
    </row>
    <row r="4061" spans="70:70" x14ac:dyDescent="0.25">
      <c r="BR4061"/>
    </row>
    <row r="4062" spans="70:70" x14ac:dyDescent="0.25">
      <c r="BR4062"/>
    </row>
    <row r="4063" spans="70:70" x14ac:dyDescent="0.25">
      <c r="BR4063"/>
    </row>
    <row r="4064" spans="70:70" x14ac:dyDescent="0.25">
      <c r="BR4064"/>
    </row>
    <row r="4065" spans="70:70" x14ac:dyDescent="0.25">
      <c r="BR4065"/>
    </row>
    <row r="4066" spans="70:70" x14ac:dyDescent="0.25">
      <c r="BR4066"/>
    </row>
    <row r="4067" spans="70:70" x14ac:dyDescent="0.25">
      <c r="BR4067"/>
    </row>
    <row r="4068" spans="70:70" x14ac:dyDescent="0.25">
      <c r="BR4068"/>
    </row>
    <row r="4069" spans="70:70" x14ac:dyDescent="0.25">
      <c r="BR4069"/>
    </row>
    <row r="4070" spans="70:70" x14ac:dyDescent="0.25">
      <c r="BR4070"/>
    </row>
    <row r="4071" spans="70:70" x14ac:dyDescent="0.25">
      <c r="BR4071"/>
    </row>
    <row r="4072" spans="70:70" x14ac:dyDescent="0.25">
      <c r="BR4072"/>
    </row>
    <row r="4073" spans="70:70" x14ac:dyDescent="0.25">
      <c r="BR4073"/>
    </row>
    <row r="4074" spans="70:70" x14ac:dyDescent="0.25">
      <c r="BR4074"/>
    </row>
    <row r="4075" spans="70:70" x14ac:dyDescent="0.25">
      <c r="BR4075"/>
    </row>
    <row r="4076" spans="70:70" x14ac:dyDescent="0.25">
      <c r="BR4076"/>
    </row>
    <row r="4077" spans="70:70" x14ac:dyDescent="0.25">
      <c r="BR4077"/>
    </row>
    <row r="4078" spans="70:70" x14ac:dyDescent="0.25">
      <c r="BR4078"/>
    </row>
    <row r="4079" spans="70:70" x14ac:dyDescent="0.25">
      <c r="BR4079"/>
    </row>
    <row r="4080" spans="70:70" x14ac:dyDescent="0.25">
      <c r="BR4080"/>
    </row>
    <row r="4081" spans="70:70" x14ac:dyDescent="0.25">
      <c r="BR4081"/>
    </row>
    <row r="4082" spans="70:70" x14ac:dyDescent="0.25">
      <c r="BR4082"/>
    </row>
    <row r="4083" spans="70:70" x14ac:dyDescent="0.25">
      <c r="BR4083"/>
    </row>
    <row r="4084" spans="70:70" x14ac:dyDescent="0.25">
      <c r="BR4084"/>
    </row>
    <row r="4085" spans="70:70" x14ac:dyDescent="0.25">
      <c r="BR4085"/>
    </row>
    <row r="4086" spans="70:70" x14ac:dyDescent="0.25">
      <c r="BR4086"/>
    </row>
    <row r="4087" spans="70:70" x14ac:dyDescent="0.25">
      <c r="BR4087"/>
    </row>
    <row r="4088" spans="70:70" x14ac:dyDescent="0.25">
      <c r="BR4088"/>
    </row>
    <row r="4089" spans="70:70" x14ac:dyDescent="0.25">
      <c r="BR4089"/>
    </row>
    <row r="4090" spans="70:70" x14ac:dyDescent="0.25">
      <c r="BR4090"/>
    </row>
    <row r="4091" spans="70:70" x14ac:dyDescent="0.25">
      <c r="BR4091"/>
    </row>
    <row r="4092" spans="70:70" x14ac:dyDescent="0.25">
      <c r="BR4092"/>
    </row>
    <row r="4093" spans="70:70" x14ac:dyDescent="0.25">
      <c r="BR4093"/>
    </row>
    <row r="4094" spans="70:70" x14ac:dyDescent="0.25">
      <c r="BR4094"/>
    </row>
    <row r="4095" spans="70:70" x14ac:dyDescent="0.25">
      <c r="BR4095"/>
    </row>
    <row r="4096" spans="70:70" x14ac:dyDescent="0.25">
      <c r="BR4096"/>
    </row>
    <row r="4097" spans="70:70" x14ac:dyDescent="0.25">
      <c r="BR4097"/>
    </row>
    <row r="4098" spans="70:70" x14ac:dyDescent="0.25">
      <c r="BR4098"/>
    </row>
    <row r="4099" spans="70:70" x14ac:dyDescent="0.25">
      <c r="BR4099"/>
    </row>
    <row r="4100" spans="70:70" x14ac:dyDescent="0.25">
      <c r="BR4100"/>
    </row>
    <row r="4101" spans="70:70" x14ac:dyDescent="0.25">
      <c r="BR4101"/>
    </row>
    <row r="4102" spans="70:70" x14ac:dyDescent="0.25">
      <c r="BR4102"/>
    </row>
    <row r="4103" spans="70:70" x14ac:dyDescent="0.25">
      <c r="BR4103"/>
    </row>
    <row r="4104" spans="70:70" x14ac:dyDescent="0.25">
      <c r="BR4104"/>
    </row>
    <row r="4105" spans="70:70" x14ac:dyDescent="0.25">
      <c r="BR4105"/>
    </row>
    <row r="4106" spans="70:70" x14ac:dyDescent="0.25">
      <c r="BR4106"/>
    </row>
    <row r="4107" spans="70:70" x14ac:dyDescent="0.25">
      <c r="BR4107"/>
    </row>
    <row r="4108" spans="70:70" x14ac:dyDescent="0.25">
      <c r="BR4108"/>
    </row>
    <row r="4109" spans="70:70" x14ac:dyDescent="0.25">
      <c r="BR4109"/>
    </row>
    <row r="4110" spans="70:70" x14ac:dyDescent="0.25">
      <c r="BR4110"/>
    </row>
    <row r="4111" spans="70:70" x14ac:dyDescent="0.25">
      <c r="BR4111"/>
    </row>
    <row r="4112" spans="70:70" x14ac:dyDescent="0.25">
      <c r="BR4112"/>
    </row>
    <row r="4113" spans="70:70" x14ac:dyDescent="0.25">
      <c r="BR4113"/>
    </row>
    <row r="4114" spans="70:70" x14ac:dyDescent="0.25">
      <c r="BR4114"/>
    </row>
    <row r="4115" spans="70:70" x14ac:dyDescent="0.25">
      <c r="BR4115"/>
    </row>
    <row r="4116" spans="70:70" x14ac:dyDescent="0.25">
      <c r="BR4116"/>
    </row>
    <row r="4117" spans="70:70" x14ac:dyDescent="0.25">
      <c r="BR4117"/>
    </row>
    <row r="4118" spans="70:70" x14ac:dyDescent="0.25">
      <c r="BR4118"/>
    </row>
    <row r="4119" spans="70:70" x14ac:dyDescent="0.25">
      <c r="BR4119"/>
    </row>
    <row r="4120" spans="70:70" x14ac:dyDescent="0.25">
      <c r="BR4120"/>
    </row>
    <row r="4121" spans="70:70" x14ac:dyDescent="0.25">
      <c r="BR4121"/>
    </row>
    <row r="4122" spans="70:70" x14ac:dyDescent="0.25">
      <c r="BR4122"/>
    </row>
    <row r="4123" spans="70:70" x14ac:dyDescent="0.25">
      <c r="BR4123"/>
    </row>
    <row r="4124" spans="70:70" x14ac:dyDescent="0.25">
      <c r="BR4124"/>
    </row>
    <row r="4125" spans="70:70" x14ac:dyDescent="0.25">
      <c r="BR4125"/>
    </row>
    <row r="4126" spans="70:70" x14ac:dyDescent="0.25">
      <c r="BR4126"/>
    </row>
    <row r="4127" spans="70:70" x14ac:dyDescent="0.25">
      <c r="BR4127"/>
    </row>
    <row r="4128" spans="70:70" x14ac:dyDescent="0.25">
      <c r="BR4128"/>
    </row>
    <row r="4129" spans="70:70" x14ac:dyDescent="0.25">
      <c r="BR4129"/>
    </row>
    <row r="4130" spans="70:70" x14ac:dyDescent="0.25">
      <c r="BR4130"/>
    </row>
    <row r="4131" spans="70:70" x14ac:dyDescent="0.25">
      <c r="BR4131"/>
    </row>
    <row r="4132" spans="70:70" x14ac:dyDescent="0.25">
      <c r="BR4132"/>
    </row>
    <row r="4133" spans="70:70" x14ac:dyDescent="0.25">
      <c r="BR4133"/>
    </row>
    <row r="4134" spans="70:70" x14ac:dyDescent="0.25">
      <c r="BR4134"/>
    </row>
    <row r="4135" spans="70:70" x14ac:dyDescent="0.25">
      <c r="BR4135"/>
    </row>
    <row r="4136" spans="70:70" x14ac:dyDescent="0.25">
      <c r="BR4136"/>
    </row>
    <row r="4137" spans="70:70" x14ac:dyDescent="0.25">
      <c r="BR4137"/>
    </row>
    <row r="4138" spans="70:70" x14ac:dyDescent="0.25">
      <c r="BR4138"/>
    </row>
    <row r="4139" spans="70:70" x14ac:dyDescent="0.25">
      <c r="BR4139"/>
    </row>
    <row r="4140" spans="70:70" x14ac:dyDescent="0.25">
      <c r="BR4140"/>
    </row>
    <row r="4141" spans="70:70" x14ac:dyDescent="0.25">
      <c r="BR4141"/>
    </row>
    <row r="4142" spans="70:70" x14ac:dyDescent="0.25">
      <c r="BR4142"/>
    </row>
    <row r="4143" spans="70:70" x14ac:dyDescent="0.25">
      <c r="BR4143"/>
    </row>
    <row r="4144" spans="70:70" x14ac:dyDescent="0.25">
      <c r="BR4144"/>
    </row>
    <row r="4145" spans="70:70" x14ac:dyDescent="0.25">
      <c r="BR4145"/>
    </row>
    <row r="4146" spans="70:70" x14ac:dyDescent="0.25">
      <c r="BR4146"/>
    </row>
    <row r="4147" spans="70:70" x14ac:dyDescent="0.25">
      <c r="BR4147"/>
    </row>
    <row r="4148" spans="70:70" x14ac:dyDescent="0.25">
      <c r="BR4148"/>
    </row>
    <row r="4149" spans="70:70" x14ac:dyDescent="0.25">
      <c r="BR4149"/>
    </row>
    <row r="4150" spans="70:70" x14ac:dyDescent="0.25">
      <c r="BR4150"/>
    </row>
    <row r="4151" spans="70:70" x14ac:dyDescent="0.25">
      <c r="BR4151"/>
    </row>
    <row r="4152" spans="70:70" x14ac:dyDescent="0.25">
      <c r="BR4152"/>
    </row>
    <row r="4153" spans="70:70" x14ac:dyDescent="0.25">
      <c r="BR4153"/>
    </row>
    <row r="4154" spans="70:70" x14ac:dyDescent="0.25">
      <c r="BR4154"/>
    </row>
    <row r="4155" spans="70:70" x14ac:dyDescent="0.25">
      <c r="BR4155"/>
    </row>
    <row r="4156" spans="70:70" x14ac:dyDescent="0.25">
      <c r="BR4156"/>
    </row>
    <row r="4157" spans="70:70" x14ac:dyDescent="0.25">
      <c r="BR4157"/>
    </row>
    <row r="4158" spans="70:70" x14ac:dyDescent="0.25">
      <c r="BR4158"/>
    </row>
    <row r="4159" spans="70:70" x14ac:dyDescent="0.25">
      <c r="BR4159"/>
    </row>
    <row r="4160" spans="70:70" x14ac:dyDescent="0.25">
      <c r="BR4160"/>
    </row>
    <row r="4161" spans="70:70" x14ac:dyDescent="0.25">
      <c r="BR4161"/>
    </row>
    <row r="4162" spans="70:70" x14ac:dyDescent="0.25">
      <c r="BR4162"/>
    </row>
    <row r="4163" spans="70:70" x14ac:dyDescent="0.25">
      <c r="BR4163"/>
    </row>
    <row r="4164" spans="70:70" x14ac:dyDescent="0.25">
      <c r="BR4164"/>
    </row>
    <row r="4165" spans="70:70" x14ac:dyDescent="0.25">
      <c r="BR4165"/>
    </row>
    <row r="4166" spans="70:70" x14ac:dyDescent="0.25">
      <c r="BR4166"/>
    </row>
    <row r="4167" spans="70:70" x14ac:dyDescent="0.25">
      <c r="BR4167"/>
    </row>
    <row r="4168" spans="70:70" x14ac:dyDescent="0.25">
      <c r="BR4168"/>
    </row>
    <row r="4169" spans="70:70" x14ac:dyDescent="0.25">
      <c r="BR4169"/>
    </row>
    <row r="4170" spans="70:70" x14ac:dyDescent="0.25">
      <c r="BR4170"/>
    </row>
    <row r="4171" spans="70:70" x14ac:dyDescent="0.25">
      <c r="BR4171"/>
    </row>
    <row r="4172" spans="70:70" x14ac:dyDescent="0.25">
      <c r="BR4172"/>
    </row>
    <row r="4173" spans="70:70" x14ac:dyDescent="0.25">
      <c r="BR4173"/>
    </row>
    <row r="4174" spans="70:70" x14ac:dyDescent="0.25">
      <c r="BR4174"/>
    </row>
    <row r="4175" spans="70:70" x14ac:dyDescent="0.25">
      <c r="BR4175"/>
    </row>
    <row r="4176" spans="70:70" x14ac:dyDescent="0.25">
      <c r="BR4176"/>
    </row>
    <row r="4177" spans="70:70" x14ac:dyDescent="0.25">
      <c r="BR4177"/>
    </row>
    <row r="4178" spans="70:70" x14ac:dyDescent="0.25">
      <c r="BR4178"/>
    </row>
    <row r="4179" spans="70:70" x14ac:dyDescent="0.25">
      <c r="BR4179"/>
    </row>
    <row r="4180" spans="70:70" x14ac:dyDescent="0.25">
      <c r="BR4180"/>
    </row>
    <row r="4181" spans="70:70" x14ac:dyDescent="0.25">
      <c r="BR4181"/>
    </row>
    <row r="4182" spans="70:70" x14ac:dyDescent="0.25">
      <c r="BR4182"/>
    </row>
    <row r="4183" spans="70:70" x14ac:dyDescent="0.25">
      <c r="BR4183"/>
    </row>
    <row r="4184" spans="70:70" x14ac:dyDescent="0.25">
      <c r="BR4184"/>
    </row>
    <row r="4185" spans="70:70" x14ac:dyDescent="0.25">
      <c r="BR4185"/>
    </row>
    <row r="4186" spans="70:70" x14ac:dyDescent="0.25">
      <c r="BR4186"/>
    </row>
    <row r="4187" spans="70:70" x14ac:dyDescent="0.25">
      <c r="BR4187"/>
    </row>
    <row r="4188" spans="70:70" x14ac:dyDescent="0.25">
      <c r="BR4188"/>
    </row>
    <row r="4189" spans="70:70" x14ac:dyDescent="0.25">
      <c r="BR4189"/>
    </row>
    <row r="4190" spans="70:70" x14ac:dyDescent="0.25">
      <c r="BR4190"/>
    </row>
    <row r="4191" spans="70:70" x14ac:dyDescent="0.25">
      <c r="BR4191"/>
    </row>
    <row r="4192" spans="70:70" x14ac:dyDescent="0.25">
      <c r="BR4192"/>
    </row>
    <row r="4193" spans="70:70" x14ac:dyDescent="0.25">
      <c r="BR4193"/>
    </row>
    <row r="4194" spans="70:70" x14ac:dyDescent="0.25">
      <c r="BR4194"/>
    </row>
    <row r="4195" spans="70:70" x14ac:dyDescent="0.25">
      <c r="BR4195"/>
    </row>
    <row r="4196" spans="70:70" x14ac:dyDescent="0.25">
      <c r="BR4196"/>
    </row>
    <row r="4197" spans="70:70" x14ac:dyDescent="0.25">
      <c r="BR4197"/>
    </row>
    <row r="4198" spans="70:70" x14ac:dyDescent="0.25">
      <c r="BR4198"/>
    </row>
    <row r="4199" spans="70:70" x14ac:dyDescent="0.25">
      <c r="BR4199"/>
    </row>
    <row r="4200" spans="70:70" x14ac:dyDescent="0.25">
      <c r="BR4200"/>
    </row>
    <row r="4201" spans="70:70" x14ac:dyDescent="0.25">
      <c r="BR4201"/>
    </row>
    <row r="4202" spans="70:70" x14ac:dyDescent="0.25">
      <c r="BR4202"/>
    </row>
    <row r="4203" spans="70:70" x14ac:dyDescent="0.25">
      <c r="BR4203"/>
    </row>
    <row r="4204" spans="70:70" x14ac:dyDescent="0.25">
      <c r="BR4204"/>
    </row>
    <row r="4205" spans="70:70" x14ac:dyDescent="0.25">
      <c r="BR4205"/>
    </row>
    <row r="4206" spans="70:70" x14ac:dyDescent="0.25">
      <c r="BR4206"/>
    </row>
    <row r="4207" spans="70:70" x14ac:dyDescent="0.25">
      <c r="BR4207"/>
    </row>
    <row r="4208" spans="70:70" x14ac:dyDescent="0.25">
      <c r="BR4208"/>
    </row>
    <row r="4209" spans="70:70" x14ac:dyDescent="0.25">
      <c r="BR4209"/>
    </row>
    <row r="4210" spans="70:70" x14ac:dyDescent="0.25">
      <c r="BR4210"/>
    </row>
    <row r="4211" spans="70:70" x14ac:dyDescent="0.25">
      <c r="BR4211"/>
    </row>
    <row r="4212" spans="70:70" x14ac:dyDescent="0.25">
      <c r="BR4212"/>
    </row>
    <row r="4213" spans="70:70" x14ac:dyDescent="0.25">
      <c r="BR4213"/>
    </row>
    <row r="4214" spans="70:70" x14ac:dyDescent="0.25">
      <c r="BR4214"/>
    </row>
    <row r="4215" spans="70:70" x14ac:dyDescent="0.25">
      <c r="BR4215"/>
    </row>
    <row r="4216" spans="70:70" x14ac:dyDescent="0.25">
      <c r="BR4216"/>
    </row>
    <row r="4217" spans="70:70" x14ac:dyDescent="0.25">
      <c r="BR4217"/>
    </row>
    <row r="4218" spans="70:70" x14ac:dyDescent="0.25">
      <c r="BR4218"/>
    </row>
    <row r="4219" spans="70:70" x14ac:dyDescent="0.25">
      <c r="BR4219"/>
    </row>
    <row r="4220" spans="70:70" x14ac:dyDescent="0.25">
      <c r="BR4220"/>
    </row>
    <row r="4221" spans="70:70" x14ac:dyDescent="0.25">
      <c r="BR4221"/>
    </row>
    <row r="4222" spans="70:70" x14ac:dyDescent="0.25">
      <c r="BR4222"/>
    </row>
    <row r="4223" spans="70:70" x14ac:dyDescent="0.25">
      <c r="BR4223"/>
    </row>
    <row r="4224" spans="70:70" x14ac:dyDescent="0.25">
      <c r="BR4224"/>
    </row>
    <row r="4225" spans="70:70" x14ac:dyDescent="0.25">
      <c r="BR4225"/>
    </row>
    <row r="4226" spans="70:70" x14ac:dyDescent="0.25">
      <c r="BR4226"/>
    </row>
    <row r="4227" spans="70:70" x14ac:dyDescent="0.25">
      <c r="BR4227"/>
    </row>
    <row r="4228" spans="70:70" x14ac:dyDescent="0.25">
      <c r="BR4228"/>
    </row>
    <row r="4229" spans="70:70" x14ac:dyDescent="0.25">
      <c r="BR4229"/>
    </row>
    <row r="4230" spans="70:70" x14ac:dyDescent="0.25">
      <c r="BR4230"/>
    </row>
    <row r="4231" spans="70:70" x14ac:dyDescent="0.25">
      <c r="BR4231"/>
    </row>
    <row r="4232" spans="70:70" x14ac:dyDescent="0.25">
      <c r="BR4232"/>
    </row>
    <row r="4233" spans="70:70" x14ac:dyDescent="0.25">
      <c r="BR4233"/>
    </row>
    <row r="4234" spans="70:70" x14ac:dyDescent="0.25">
      <c r="BR4234"/>
    </row>
    <row r="4235" spans="70:70" x14ac:dyDescent="0.25">
      <c r="BR4235"/>
    </row>
    <row r="4236" spans="70:70" x14ac:dyDescent="0.25">
      <c r="BR4236"/>
    </row>
    <row r="4237" spans="70:70" x14ac:dyDescent="0.25">
      <c r="BR4237"/>
    </row>
    <row r="4238" spans="70:70" x14ac:dyDescent="0.25">
      <c r="BR4238"/>
    </row>
    <row r="4239" spans="70:70" x14ac:dyDescent="0.25">
      <c r="BR4239"/>
    </row>
    <row r="4240" spans="70:70" x14ac:dyDescent="0.25">
      <c r="BR4240"/>
    </row>
    <row r="4241" spans="70:70" x14ac:dyDescent="0.25">
      <c r="BR4241"/>
    </row>
    <row r="4242" spans="70:70" x14ac:dyDescent="0.25">
      <c r="BR4242"/>
    </row>
    <row r="4243" spans="70:70" x14ac:dyDescent="0.25">
      <c r="BR4243"/>
    </row>
    <row r="4244" spans="70:70" x14ac:dyDescent="0.25">
      <c r="BR4244"/>
    </row>
    <row r="4245" spans="70:70" x14ac:dyDescent="0.25">
      <c r="BR4245"/>
    </row>
    <row r="4246" spans="70:70" x14ac:dyDescent="0.25">
      <c r="BR4246"/>
    </row>
    <row r="4247" spans="70:70" x14ac:dyDescent="0.25">
      <c r="BR4247"/>
    </row>
    <row r="4248" spans="70:70" x14ac:dyDescent="0.25">
      <c r="BR4248"/>
    </row>
    <row r="4249" spans="70:70" x14ac:dyDescent="0.25">
      <c r="BR4249"/>
    </row>
    <row r="4250" spans="70:70" x14ac:dyDescent="0.25">
      <c r="BR4250"/>
    </row>
    <row r="4251" spans="70:70" x14ac:dyDescent="0.25">
      <c r="BR4251"/>
    </row>
    <row r="4252" spans="70:70" x14ac:dyDescent="0.25">
      <c r="BR4252"/>
    </row>
    <row r="4253" spans="70:70" x14ac:dyDescent="0.25">
      <c r="BR4253"/>
    </row>
    <row r="4254" spans="70:70" x14ac:dyDescent="0.25">
      <c r="BR4254"/>
    </row>
    <row r="4255" spans="70:70" x14ac:dyDescent="0.25">
      <c r="BR4255"/>
    </row>
    <row r="4256" spans="70:70" x14ac:dyDescent="0.25">
      <c r="BR4256"/>
    </row>
    <row r="4257" spans="70:70" x14ac:dyDescent="0.25">
      <c r="BR4257"/>
    </row>
    <row r="4258" spans="70:70" x14ac:dyDescent="0.25">
      <c r="BR4258"/>
    </row>
    <row r="4259" spans="70:70" x14ac:dyDescent="0.25">
      <c r="BR4259"/>
    </row>
    <row r="4260" spans="70:70" x14ac:dyDescent="0.25">
      <c r="BR4260"/>
    </row>
    <row r="4261" spans="70:70" x14ac:dyDescent="0.25">
      <c r="BR4261"/>
    </row>
    <row r="4262" spans="70:70" x14ac:dyDescent="0.25">
      <c r="BR4262"/>
    </row>
    <row r="4263" spans="70:70" x14ac:dyDescent="0.25">
      <c r="BR4263"/>
    </row>
    <row r="4264" spans="70:70" x14ac:dyDescent="0.25">
      <c r="BR4264"/>
    </row>
    <row r="4265" spans="70:70" x14ac:dyDescent="0.25">
      <c r="BR4265"/>
    </row>
    <row r="4266" spans="70:70" x14ac:dyDescent="0.25">
      <c r="BR4266"/>
    </row>
    <row r="4267" spans="70:70" x14ac:dyDescent="0.25">
      <c r="BR4267"/>
    </row>
    <row r="4268" spans="70:70" x14ac:dyDescent="0.25">
      <c r="BR4268"/>
    </row>
    <row r="4269" spans="70:70" x14ac:dyDescent="0.25">
      <c r="BR4269"/>
    </row>
    <row r="4270" spans="70:70" x14ac:dyDescent="0.25">
      <c r="BR4270"/>
    </row>
    <row r="4271" spans="70:70" x14ac:dyDescent="0.25">
      <c r="BR4271"/>
    </row>
    <row r="4272" spans="70:70" x14ac:dyDescent="0.25">
      <c r="BR4272"/>
    </row>
    <row r="4273" spans="70:70" x14ac:dyDescent="0.25">
      <c r="BR4273"/>
    </row>
    <row r="4274" spans="70:70" x14ac:dyDescent="0.25">
      <c r="BR4274"/>
    </row>
    <row r="4275" spans="70:70" x14ac:dyDescent="0.25">
      <c r="BR4275"/>
    </row>
    <row r="4276" spans="70:70" x14ac:dyDescent="0.25">
      <c r="BR4276"/>
    </row>
    <row r="4277" spans="70:70" x14ac:dyDescent="0.25">
      <c r="BR4277"/>
    </row>
    <row r="4278" spans="70:70" x14ac:dyDescent="0.25">
      <c r="BR4278"/>
    </row>
    <row r="4279" spans="70:70" x14ac:dyDescent="0.25">
      <c r="BR4279"/>
    </row>
  </sheetData>
  <mergeCells count="66">
    <mergeCell ref="A7:A8"/>
    <mergeCell ref="B1:BR6"/>
    <mergeCell ref="B7:B8"/>
    <mergeCell ref="AL7:AL8"/>
    <mergeCell ref="AR7:AR8"/>
    <mergeCell ref="AS7:AS8"/>
    <mergeCell ref="AT7:AT8"/>
    <mergeCell ref="AU7:AW7"/>
    <mergeCell ref="C7:C8"/>
    <mergeCell ref="D7:D8"/>
    <mergeCell ref="E7:E8"/>
    <mergeCell ref="F7:F8"/>
    <mergeCell ref="G7:H7"/>
    <mergeCell ref="I7:I8"/>
    <mergeCell ref="J7:K7"/>
    <mergeCell ref="AY7:AY8"/>
    <mergeCell ref="L7:L8"/>
    <mergeCell ref="AD7:AD8"/>
    <mergeCell ref="AO7:AQ7"/>
    <mergeCell ref="AJ7:AK7"/>
    <mergeCell ref="M7:M8"/>
    <mergeCell ref="N7:N8"/>
    <mergeCell ref="O7:O8"/>
    <mergeCell ref="P7:Q7"/>
    <mergeCell ref="S7:S8"/>
    <mergeCell ref="T7:T8"/>
    <mergeCell ref="R7:R8"/>
    <mergeCell ref="U7:V7"/>
    <mergeCell ref="Y7:Y8"/>
    <mergeCell ref="AI7:AI8"/>
    <mergeCell ref="Z7:AA7"/>
    <mergeCell ref="BR7:BR8"/>
    <mergeCell ref="BD7:BD8"/>
    <mergeCell ref="BE7:BE8"/>
    <mergeCell ref="BM7:BM8"/>
    <mergeCell ref="BK7:BK8"/>
    <mergeCell ref="BG7:BI7"/>
    <mergeCell ref="BF7:BF8"/>
    <mergeCell ref="BP7:BP8"/>
    <mergeCell ref="BO7:BO8"/>
    <mergeCell ref="BN7:BN8"/>
    <mergeCell ref="BL7:BL8"/>
    <mergeCell ref="BJ7:BJ8"/>
    <mergeCell ref="AH9:AH30"/>
    <mergeCell ref="AB7:AB8"/>
    <mergeCell ref="X7:X8"/>
    <mergeCell ref="BK9:BK30"/>
    <mergeCell ref="BQ7:BQ8"/>
    <mergeCell ref="AM9:AM30"/>
    <mergeCell ref="AS9:AS30"/>
    <mergeCell ref="AY9:AY30"/>
    <mergeCell ref="BE9:BE30"/>
    <mergeCell ref="AG7:AG8"/>
    <mergeCell ref="AH7:AH8"/>
    <mergeCell ref="AZ7:AZ8"/>
    <mergeCell ref="BA7:BC7"/>
    <mergeCell ref="AX7:AX8"/>
    <mergeCell ref="AM7:AM8"/>
    <mergeCell ref="AN7:AN8"/>
    <mergeCell ref="N9:N30"/>
    <mergeCell ref="S9:S30"/>
    <mergeCell ref="X9:X30"/>
    <mergeCell ref="AC7:AC8"/>
    <mergeCell ref="AE7:AF7"/>
    <mergeCell ref="AC9:AC30"/>
    <mergeCell ref="W7:W8"/>
  </mergeCells>
  <phoneticPr fontId="8" type="noConversion"/>
  <conditionalFormatting sqref="G8:G32 J8:J32 U8:U32 Z8:Z32 AJ8:AJ32 P9:P30 AE9:AE30 AU9:AW30 BA9:BC30 BG9:BI30 AO9:AQ32 G34:G57 J34:J57 U34:U57 Z34:Z57 AJ34:AJ57 AO34:AQ57">
    <cfRule type="cellIs" dxfId="0" priority="40" operator="lessThan">
      <formula>28</formula>
    </cfRule>
  </conditionalFormatting>
  <pageMargins left="0.19685039370078741" right="0.19685039370078741" top="0.19685039370078741" bottom="0.19685039370078741" header="0.19685039370078741" footer="0.19685039370078741"/>
  <pageSetup paperSize="5" scale="96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O41"/>
  <sheetViews>
    <sheetView zoomScale="115" zoomScaleNormal="115" workbookViewId="0">
      <selection activeCell="J7" sqref="J7:L7"/>
    </sheetView>
  </sheetViews>
  <sheetFormatPr defaultRowHeight="15" x14ac:dyDescent="0.25"/>
  <cols>
    <col min="1" max="1" width="1.5703125" customWidth="1"/>
    <col min="4" max="4" width="10.7109375" customWidth="1"/>
    <col min="5" max="5" width="8.140625" customWidth="1"/>
    <col min="6" max="6" width="8.7109375" customWidth="1"/>
    <col min="7" max="7" width="8.5703125" customWidth="1"/>
    <col min="8" max="8" width="8.42578125" customWidth="1"/>
    <col min="9" max="9" width="8.140625" customWidth="1"/>
    <col min="10" max="10" width="7.85546875" customWidth="1"/>
    <col min="11" max="11" width="8.140625" customWidth="1"/>
    <col min="12" max="12" width="10.28515625" customWidth="1"/>
  </cols>
  <sheetData>
    <row r="2" spans="2:15" ht="18.95" customHeight="1" x14ac:dyDescent="0.25">
      <c r="B2" s="53" t="s">
        <v>148</v>
      </c>
      <c r="C2" s="54"/>
      <c r="D2" s="54"/>
      <c r="E2" s="54"/>
      <c r="F2" s="54"/>
      <c r="G2" s="54"/>
      <c r="H2" s="54"/>
      <c r="I2" s="54"/>
      <c r="J2" s="54"/>
      <c r="K2" s="54"/>
      <c r="L2" s="54"/>
    </row>
    <row r="3" spans="2:15" ht="21.75" customHeight="1" x14ac:dyDescent="0.25"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</row>
    <row r="4" spans="2:15" ht="24.95" customHeight="1" x14ac:dyDescent="0.25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O4" s="2"/>
    </row>
    <row r="5" spans="2:15" ht="21" customHeight="1" x14ac:dyDescent="0.25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</row>
    <row r="6" spans="2:15" ht="20.100000000000001" customHeight="1" x14ac:dyDescent="0.25">
      <c r="B6" s="56" t="s">
        <v>33</v>
      </c>
      <c r="C6" s="57"/>
      <c r="D6" s="58" t="str">
        <f>VLOOKUP($J$6,'TABULATION SCI'!$B$7:$BR$50,2,0)</f>
        <v>Abdullah</v>
      </c>
      <c r="E6" s="58"/>
      <c r="F6" s="58"/>
      <c r="G6" s="60" t="s">
        <v>64</v>
      </c>
      <c r="H6" s="60"/>
      <c r="I6" s="60"/>
      <c r="J6" s="58">
        <v>118</v>
      </c>
      <c r="K6" s="58"/>
      <c r="L6" s="59"/>
    </row>
    <row r="7" spans="2:15" ht="20.100000000000001" customHeight="1" x14ac:dyDescent="0.25">
      <c r="B7" s="49" t="s">
        <v>34</v>
      </c>
      <c r="C7" s="50"/>
      <c r="D7" s="51">
        <f>VLOOKUP($J$6,'TABULATION SCI'!$B$7:$BR$50,3,0)</f>
        <v>0</v>
      </c>
      <c r="E7" s="51"/>
      <c r="F7" s="51"/>
      <c r="G7" s="61" t="s">
        <v>63</v>
      </c>
      <c r="H7" s="61"/>
      <c r="I7" s="61"/>
      <c r="J7" s="51" t="s">
        <v>54</v>
      </c>
      <c r="K7" s="51"/>
      <c r="L7" s="52"/>
    </row>
    <row r="8" spans="2:15" ht="20.100000000000001" customHeight="1" x14ac:dyDescent="0.25">
      <c r="B8" s="49" t="s">
        <v>35</v>
      </c>
      <c r="C8" s="50"/>
      <c r="D8" s="51">
        <f>VLOOKUP($J$6,'TABULATION SCI'!$B$7:$BR$50,4,0)</f>
        <v>0</v>
      </c>
      <c r="E8" s="51"/>
      <c r="F8" s="51"/>
      <c r="G8" s="61" t="s">
        <v>62</v>
      </c>
      <c r="H8" s="61"/>
      <c r="I8" s="61"/>
      <c r="J8" s="51" t="s">
        <v>55</v>
      </c>
      <c r="K8" s="51"/>
      <c r="L8" s="52"/>
    </row>
    <row r="9" spans="2:15" ht="20.100000000000001" customHeight="1" x14ac:dyDescent="0.25">
      <c r="B9" s="49" t="s">
        <v>36</v>
      </c>
      <c r="C9" s="50"/>
      <c r="D9" s="51" t="s">
        <v>61</v>
      </c>
      <c r="E9" s="51"/>
      <c r="F9" s="51"/>
      <c r="G9" s="62" t="s">
        <v>56</v>
      </c>
      <c r="H9" s="62"/>
      <c r="I9" s="62"/>
      <c r="J9" s="51">
        <v>57</v>
      </c>
      <c r="K9" s="51"/>
      <c r="L9" s="52"/>
    </row>
    <row r="10" spans="2:15" ht="20.100000000000001" customHeight="1" x14ac:dyDescent="0.25">
      <c r="B10" s="63" t="s">
        <v>37</v>
      </c>
      <c r="C10" s="64"/>
      <c r="D10" s="65" t="s">
        <v>111</v>
      </c>
      <c r="E10" s="65"/>
      <c r="F10" s="65"/>
      <c r="G10" s="76" t="s">
        <v>57</v>
      </c>
      <c r="H10" s="76"/>
      <c r="I10" s="76"/>
      <c r="J10" s="66"/>
      <c r="K10" s="66"/>
      <c r="L10" s="67"/>
    </row>
    <row r="11" spans="2:15" x14ac:dyDescent="0.25">
      <c r="B11" s="68" t="s">
        <v>18</v>
      </c>
      <c r="C11" s="69"/>
      <c r="D11" s="70"/>
      <c r="E11" s="74" t="s">
        <v>22</v>
      </c>
      <c r="F11" s="74" t="s">
        <v>21</v>
      </c>
      <c r="G11" s="74" t="s">
        <v>23</v>
      </c>
      <c r="H11" s="74" t="s">
        <v>19</v>
      </c>
      <c r="I11" s="74" t="s">
        <v>20</v>
      </c>
      <c r="J11" s="74" t="s">
        <v>2</v>
      </c>
      <c r="K11" s="74" t="s">
        <v>53</v>
      </c>
      <c r="L11" s="74" t="s">
        <v>7</v>
      </c>
    </row>
    <row r="12" spans="2:15" ht="15" customHeight="1" x14ac:dyDescent="0.25">
      <c r="B12" s="68"/>
      <c r="C12" s="69"/>
      <c r="D12" s="70"/>
      <c r="E12" s="74"/>
      <c r="F12" s="74"/>
      <c r="G12" s="74"/>
      <c r="H12" s="74"/>
      <c r="I12" s="74"/>
      <c r="J12" s="74"/>
      <c r="K12" s="74"/>
      <c r="L12" s="74"/>
    </row>
    <row r="13" spans="2:15" x14ac:dyDescent="0.25">
      <c r="B13" s="68"/>
      <c r="C13" s="69"/>
      <c r="D13" s="70"/>
      <c r="E13" s="74"/>
      <c r="F13" s="74"/>
      <c r="G13" s="74"/>
      <c r="H13" s="74"/>
      <c r="I13" s="74"/>
      <c r="J13" s="74"/>
      <c r="K13" s="74"/>
      <c r="L13" s="74"/>
    </row>
    <row r="14" spans="2:15" x14ac:dyDescent="0.25">
      <c r="B14" s="68"/>
      <c r="C14" s="69"/>
      <c r="D14" s="70"/>
      <c r="E14" s="74"/>
      <c r="F14" s="74"/>
      <c r="G14" s="74"/>
      <c r="H14" s="74"/>
      <c r="I14" s="74"/>
      <c r="J14" s="74"/>
      <c r="K14" s="74"/>
      <c r="L14" s="74"/>
    </row>
    <row r="15" spans="2:15" x14ac:dyDescent="0.25">
      <c r="B15" s="68"/>
      <c r="C15" s="69"/>
      <c r="D15" s="70"/>
      <c r="E15" s="74"/>
      <c r="F15" s="74"/>
      <c r="G15" s="74"/>
      <c r="H15" s="74"/>
      <c r="I15" s="74"/>
      <c r="J15" s="74"/>
      <c r="K15" s="74"/>
      <c r="L15" s="74"/>
    </row>
    <row r="16" spans="2:15" x14ac:dyDescent="0.25">
      <c r="B16" s="68"/>
      <c r="C16" s="69"/>
      <c r="D16" s="70"/>
      <c r="E16" s="74"/>
      <c r="F16" s="74"/>
      <c r="G16" s="74"/>
      <c r="H16" s="74"/>
      <c r="I16" s="74"/>
      <c r="J16" s="74"/>
      <c r="K16" s="74"/>
      <c r="L16" s="74"/>
    </row>
    <row r="17" spans="2:15" x14ac:dyDescent="0.25">
      <c r="B17" s="68"/>
      <c r="C17" s="69"/>
      <c r="D17" s="70"/>
      <c r="E17" s="74"/>
      <c r="F17" s="74"/>
      <c r="G17" s="74"/>
      <c r="H17" s="74"/>
      <c r="I17" s="74"/>
      <c r="J17" s="74"/>
      <c r="K17" s="74"/>
      <c r="L17" s="74"/>
    </row>
    <row r="18" spans="2:15" x14ac:dyDescent="0.25">
      <c r="B18" s="71"/>
      <c r="C18" s="72"/>
      <c r="D18" s="73"/>
      <c r="E18" s="75"/>
      <c r="F18" s="75"/>
      <c r="G18" s="75"/>
      <c r="H18" s="75"/>
      <c r="I18" s="75"/>
      <c r="J18" s="75"/>
      <c r="K18" s="75"/>
      <c r="L18" s="75"/>
    </row>
    <row r="19" spans="2:15" ht="24.95" customHeight="1" x14ac:dyDescent="0.25">
      <c r="B19" s="77" t="s">
        <v>24</v>
      </c>
      <c r="C19" s="77"/>
      <c r="D19" s="77"/>
      <c r="E19" s="30">
        <f>IFERROR(VLOOKUP($J$6,'TABULATION SCI'!$B$7:$BR$50,7,0),"")</f>
        <v>13</v>
      </c>
      <c r="F19" s="30">
        <f>IFERROR(VLOOKUP($J$6,'TABULATION SCI'!$B$7:$BR$50,6,0),"")</f>
        <v>27</v>
      </c>
      <c r="G19" s="97"/>
      <c r="H19" s="78">
        <f>IFERROR(VLOOKUP($J$6,'TABULATION SCI'!$B$7:$BR$50,12,0),"")</f>
        <v>88</v>
      </c>
      <c r="I19" s="78">
        <f>'TABULATION SCI'!N9</f>
        <v>125</v>
      </c>
      <c r="J19" s="78">
        <f>IFERROR(VLOOKUP($J$6,'TABULATION SCI'!$B$7:$BR$50,14,0),"")</f>
        <v>2</v>
      </c>
      <c r="K19" s="78" t="str">
        <f>IF(J19="F","F",IF(J19&lt;1,"F",IF(J19&lt;2,"D",IF(J19&lt;3,"C",IF(J19&lt;3.5,"B",IF(J19&lt;4,"A-",IF(J19&lt;5,"A","A+")))))))</f>
        <v>C</v>
      </c>
      <c r="L19" s="80" t="str">
        <f>IFERROR(VLOOKUP($J$6,'TABULATION SCI'!$B$7:$BR$50,66,0),"")</f>
        <v>F</v>
      </c>
    </row>
    <row r="20" spans="2:15" ht="24.95" customHeight="1" x14ac:dyDescent="0.25">
      <c r="B20" s="77" t="s">
        <v>25</v>
      </c>
      <c r="C20" s="77"/>
      <c r="D20" s="77"/>
      <c r="E20" s="30">
        <f>IFERROR(VLOOKUP($J$6,'TABULATION SCI'!$B$7:$BR$50,10,0),"")</f>
        <v>14</v>
      </c>
      <c r="F20" s="30">
        <f>IFERROR(VLOOKUP($J$6,'TABULATION SCI'!$B$7:$BR$50,9,0),"")</f>
        <v>34</v>
      </c>
      <c r="G20" s="98"/>
      <c r="H20" s="79">
        <f>IFERROR(VLOOKUP($J$6,'TABULATION SCI'!$B$7:$BR$30,7,0),"")</f>
        <v>13</v>
      </c>
      <c r="I20" s="79"/>
      <c r="J20" s="79">
        <f>IFERROR(VLOOKUP($J$6,'TABULATION SCI'!$B$7:$BR$30,7,0),"")</f>
        <v>13</v>
      </c>
      <c r="K20" s="79"/>
      <c r="L20" s="80">
        <f>IFERROR(VLOOKUP($J$6,'TABULATION SCI'!$B$7:$BR$30,7,0),"")</f>
        <v>13</v>
      </c>
    </row>
    <row r="21" spans="2:15" ht="24.95" customHeight="1" x14ac:dyDescent="0.25">
      <c r="B21" s="77" t="s">
        <v>26</v>
      </c>
      <c r="C21" s="77"/>
      <c r="D21" s="77"/>
      <c r="E21" s="81"/>
      <c r="F21" s="30">
        <f>IFERROR(VLOOKUP($J$6,'TABULATION SCI'!$B$7:$BR$50,15,0),"")</f>
        <v>55</v>
      </c>
      <c r="G21" s="98"/>
      <c r="H21" s="78">
        <f>IFERROR(VLOOKUP($J$6,'TABULATION SCI'!$B$7:$BR$50,17,0),"")</f>
        <v>97</v>
      </c>
      <c r="I21" s="78">
        <f>'TABULATION SCI'!S9</f>
        <v>118</v>
      </c>
      <c r="J21" s="78">
        <f>IFERROR(VLOOKUP($J$6,'TABULATION SCI'!$B$7:$BR$50,19,0),"")</f>
        <v>2</v>
      </c>
      <c r="K21" s="78" t="str">
        <f>IF(J21="F","F",IF(J21&lt;1,"F",IF(J21&lt;2,"D",IF(J21&lt;3,"C",IF(J21&lt;3.5,"B",IF(J21&lt;4,"A-",IF(J21&lt;5,"A","A+")))))))</f>
        <v>C</v>
      </c>
      <c r="L21" s="80">
        <f>IFERROR(VLOOKUP($J$6,'TABULATION SCI'!$B$7:$BR$30,7,0),"")</f>
        <v>13</v>
      </c>
      <c r="O21" s="2"/>
    </row>
    <row r="22" spans="2:15" ht="24.95" customHeight="1" x14ac:dyDescent="0.25">
      <c r="B22" s="77" t="s">
        <v>27</v>
      </c>
      <c r="C22" s="77"/>
      <c r="D22" s="77"/>
      <c r="E22" s="79"/>
      <c r="F22" s="32">
        <f>IFERROR(VLOOKUP($J$6,'TABULATION SCI'!$B$7:$BR$50,16,0),"")</f>
        <v>42</v>
      </c>
      <c r="G22" s="98"/>
      <c r="H22" s="79">
        <f>IFERROR(VLOOKUP($J$6,'TABULATION SCI'!$B$7:$BR$30,7,0),"")</f>
        <v>13</v>
      </c>
      <c r="I22" s="79"/>
      <c r="J22" s="79">
        <f>IFERROR(VLOOKUP($J$6,'TABULATION SCI'!$B$7:$BR$30,7,0),"")</f>
        <v>13</v>
      </c>
      <c r="K22" s="79"/>
      <c r="L22" s="80">
        <f>IFERROR(VLOOKUP($J$6,'TABULATION SCI'!$B$7:$BR$30,7,0),"")</f>
        <v>13</v>
      </c>
    </row>
    <row r="23" spans="2:15" ht="24.95" customHeight="1" x14ac:dyDescent="0.25">
      <c r="B23" s="77" t="s">
        <v>28</v>
      </c>
      <c r="C23" s="77"/>
      <c r="D23" s="77"/>
      <c r="E23" s="30">
        <f>IFERROR(VLOOKUP($J$6,'TABULATION SCI'!$B$7:$BR$50,21,0),"")</f>
        <v>12</v>
      </c>
      <c r="F23" s="30">
        <f>IFERROR(VLOOKUP($J$6,'TABULATION SCI'!$B$7:$BR$50,20,0),"")</f>
        <v>7</v>
      </c>
      <c r="G23" s="98"/>
      <c r="H23" s="30">
        <f>IFERROR(VLOOKUP($J$6,'TABULATION SCI'!$B$7:$BR$50,22,0),"")</f>
        <v>19</v>
      </c>
      <c r="I23" s="30">
        <f>'TABULATION SCI'!X9</f>
        <v>69</v>
      </c>
      <c r="J23" s="30" t="str">
        <f>IFERROR(VLOOKUP($J$6,'TABULATION SCI'!$B$7:$BR$50,24,0),"")</f>
        <v>F</v>
      </c>
      <c r="K23" s="30" t="str">
        <f t="shared" ref="K23:K29" si="0">IF(J23="F","F",IF(J23&lt;1,"F",IF(J23&lt;2,"D",IF(J23&lt;3,"C",IF(J23&lt;3.5,"B",IF(J23&lt;4,"A-",IF(J23&lt;5,"A","A+")))))))</f>
        <v>F</v>
      </c>
      <c r="L23" s="80">
        <f>IFERROR(VLOOKUP($J$6,'TABULATION SCI'!$B$7:$BR$30,7,0),"")</f>
        <v>13</v>
      </c>
    </row>
    <row r="24" spans="2:15" ht="24.95" customHeight="1" x14ac:dyDescent="0.25">
      <c r="B24" s="77" t="s">
        <v>29</v>
      </c>
      <c r="C24" s="77"/>
      <c r="D24" s="77"/>
      <c r="E24" s="30">
        <f>IFERROR(VLOOKUP($J$6,'TABULATION SCI'!$B$7:$BR$50,26,0),"")</f>
        <v>22</v>
      </c>
      <c r="F24" s="30">
        <f>IFERROR(VLOOKUP($J$6,'TABULATION SCI'!$B$7:$BR$50,25,0),"")</f>
        <v>46</v>
      </c>
      <c r="G24" s="99"/>
      <c r="H24" s="30">
        <f>IFERROR(VLOOKUP($J$6,'TABULATION SCI'!$B$7:$BR$50,27,0),"")</f>
        <v>68</v>
      </c>
      <c r="I24" s="30">
        <f>'TABULATION SCI'!AC9</f>
        <v>80</v>
      </c>
      <c r="J24" s="30">
        <f>IFERROR(VLOOKUP($J$6,'TABULATION SCI'!$B$7:$BR$50,29,0),"")</f>
        <v>3.5</v>
      </c>
      <c r="K24" s="30" t="str">
        <f t="shared" si="0"/>
        <v>A-</v>
      </c>
      <c r="L24" s="80">
        <f>IFERROR(VLOOKUP($J$6,'TABULATION SCI'!$B$7:$BR$30,7,0),"")</f>
        <v>13</v>
      </c>
    </row>
    <row r="25" spans="2:15" ht="24.95" customHeight="1" x14ac:dyDescent="0.25">
      <c r="B25" s="77" t="s">
        <v>5</v>
      </c>
      <c r="C25" s="77"/>
      <c r="D25" s="77"/>
      <c r="E25" s="30">
        <f>IFERROR(VLOOKUP($J$6,'TABULATION SCI'!$B$7:$BR$50,30,0),"")</f>
        <v>12</v>
      </c>
      <c r="F25" s="30"/>
      <c r="G25" s="30">
        <f>IFERROR(VLOOKUP($J$6,'TABULATION SCI'!$B$7:$BR$30,31,0),"")</f>
        <v>22</v>
      </c>
      <c r="H25" s="30">
        <f>IFERROR(VLOOKUP($J$6,'TABULATION SCI'!$B$7:$BR$50,32,0),"")</f>
        <v>34</v>
      </c>
      <c r="I25" s="30">
        <f>'TABULATION SCI'!AH9</f>
        <v>39</v>
      </c>
      <c r="J25" s="30">
        <f>IFERROR(VLOOKUP($J$6,'TABULATION SCI'!$B$7:$BR$50,34,0),"")</f>
        <v>3.5</v>
      </c>
      <c r="K25" s="30" t="str">
        <f t="shared" si="0"/>
        <v>A-</v>
      </c>
      <c r="L25" s="80">
        <f>IFERROR(VLOOKUP($J$6,'TABULATION SCI'!$B$7:$BR$30,7,0),"")</f>
        <v>13</v>
      </c>
    </row>
    <row r="26" spans="2:15" ht="24.95" customHeight="1" x14ac:dyDescent="0.25">
      <c r="B26" s="77" t="s">
        <v>43</v>
      </c>
      <c r="C26" s="77"/>
      <c r="D26" s="77"/>
      <c r="E26" s="30">
        <f>IFERROR(VLOOKUP($J$6,'TABULATION SCI'!$B$7:$BR$50,36,0),"")</f>
        <v>14</v>
      </c>
      <c r="F26" s="30">
        <f>IFERROR(VLOOKUP($J$6,'TABULATION SCI'!$B$7:$BR$50,35,0),"")</f>
        <v>38</v>
      </c>
      <c r="G26" s="33"/>
      <c r="H26" s="30">
        <f>IFERROR(VLOOKUP($J$6,'TABULATION SCI'!$B$7:$BR$50,37,0),"")</f>
        <v>52</v>
      </c>
      <c r="I26" s="30">
        <f>'TABULATION SCI'!AM9</f>
        <v>65</v>
      </c>
      <c r="J26" s="30">
        <f>IFERROR(VLOOKUP($J$6,'TABULATION SCI'!$B$7:$BR$50,39,0),"")</f>
        <v>3</v>
      </c>
      <c r="K26" s="30" t="str">
        <f t="shared" si="0"/>
        <v>B</v>
      </c>
      <c r="L26" s="80">
        <f>IFERROR(VLOOKUP($J$6,'TABULATION SCI'!$B$7:$BR$30,7,0),"")</f>
        <v>13</v>
      </c>
    </row>
    <row r="27" spans="2:15" ht="24.95" customHeight="1" x14ac:dyDescent="0.25">
      <c r="B27" s="77" t="s">
        <v>38</v>
      </c>
      <c r="C27" s="77"/>
      <c r="D27" s="77"/>
      <c r="E27" s="30">
        <f>IFERROR(VLOOKUP($J$6,'TABULATION SCI'!$B$7:$BR$50,41,0),"")</f>
        <v>19</v>
      </c>
      <c r="F27" s="30">
        <f>IFERROR(VLOOKUP($J$6,'TABULATION SCI'!$B$7:$BR$50,40,0),"")</f>
        <v>34</v>
      </c>
      <c r="G27" s="30">
        <f>IFERROR(VLOOKUP($J$6,'TABULATION SCI'!$B$7:$BR$30,42,0),"")</f>
        <v>25</v>
      </c>
      <c r="H27" s="30">
        <f>IFERROR(VLOOKUP($J$6,'TABULATION SCI'!$B$7:$BR$50,43,0),"")</f>
        <v>78</v>
      </c>
      <c r="I27" s="30">
        <f>'TABULATION SCI'!AS9</f>
        <v>88</v>
      </c>
      <c r="J27" s="30">
        <f>IFERROR(VLOOKUP($J$6,'TABULATION SCI'!$B$7:$BR$50,45,0),"")</f>
        <v>4</v>
      </c>
      <c r="K27" s="30" t="str">
        <f t="shared" si="0"/>
        <v>A</v>
      </c>
      <c r="L27" s="80">
        <f>IFERROR(VLOOKUP($J$6,'TABULATION SCI'!$B$7:$BR$30,7,0),"")</f>
        <v>13</v>
      </c>
    </row>
    <row r="28" spans="2:15" ht="24.95" customHeight="1" x14ac:dyDescent="0.25">
      <c r="B28" s="77" t="s">
        <v>39</v>
      </c>
      <c r="C28" s="77"/>
      <c r="D28" s="77"/>
      <c r="E28" s="30">
        <f>IFERROR(VLOOKUP($J$6,'TABULATION SCI'!$B$7:$BR$50,47,0),"")</f>
        <v>12</v>
      </c>
      <c r="F28" s="30">
        <f>IFERROR(VLOOKUP($J$6,'TABULATION SCI'!$B$7:$BR$50,46,0),"")</f>
        <v>39</v>
      </c>
      <c r="G28" s="30">
        <f>IFERROR(VLOOKUP($J$6,'TABULATION SCI'!$B$7:$BR$30,48,0),"")</f>
        <v>22</v>
      </c>
      <c r="H28" s="30">
        <f>IFERROR(VLOOKUP($J$6,'TABULATION SCI'!$B$7:$BR$50,49,0),"")</f>
        <v>73</v>
      </c>
      <c r="I28" s="30">
        <f>'TABULATION SCI'!AY9</f>
        <v>75</v>
      </c>
      <c r="J28" s="30">
        <f>IFERROR(VLOOKUP($J$6,'TABULATION SCI'!$B$7:$BR$50,51,0),"")</f>
        <v>4</v>
      </c>
      <c r="K28" s="30" t="str">
        <f t="shared" si="0"/>
        <v>A</v>
      </c>
      <c r="L28" s="80">
        <f>IFERROR(VLOOKUP($J$6,'TABULATION SCI'!$B$7:$BR$30,7,0),"")</f>
        <v>13</v>
      </c>
    </row>
    <row r="29" spans="2:15" ht="24.95" customHeight="1" x14ac:dyDescent="0.25">
      <c r="B29" s="77" t="s">
        <v>44</v>
      </c>
      <c r="C29" s="77"/>
      <c r="D29" s="77"/>
      <c r="E29" s="30">
        <f>IFERROR(VLOOKUP($J$6,'TABULATION SCI'!$B$7:$BR$50,53,0),"")</f>
        <v>15</v>
      </c>
      <c r="F29" s="30">
        <f>IFERROR(VLOOKUP($J$6,'TABULATION SCI'!$B$7:$BR$50,52,0),"")</f>
        <v>24</v>
      </c>
      <c r="G29" s="30">
        <f>IFERROR(VLOOKUP($J$6,'TABULATION SCI'!$B$7:$BR$30,54,0),"")</f>
        <v>22</v>
      </c>
      <c r="H29" s="30">
        <f>IFERROR(VLOOKUP($J$6,'TABULATION SCI'!$B$7:$BR$50,55,0),"")</f>
        <v>61</v>
      </c>
      <c r="I29" s="30">
        <f>'TABULATION SCI'!BE9</f>
        <v>73</v>
      </c>
      <c r="J29" s="30">
        <f>IFERROR(VLOOKUP($J$6,'TABULATION SCI'!$B$7:$BR$50,57,0),"")</f>
        <v>3.5</v>
      </c>
      <c r="K29" s="30" t="str">
        <f t="shared" si="0"/>
        <v>A-</v>
      </c>
      <c r="L29" s="80">
        <f>IFERROR(VLOOKUP($J$6,'TABULATION SCI'!$B$7:$BR$30,7,0),"")</f>
        <v>13</v>
      </c>
    </row>
    <row r="30" spans="2:15" ht="21" customHeight="1" x14ac:dyDescent="0.25">
      <c r="B30" s="90" t="s">
        <v>30</v>
      </c>
      <c r="C30" s="91"/>
      <c r="D30" s="91"/>
      <c r="E30" s="91"/>
      <c r="F30" s="91"/>
      <c r="G30" s="91"/>
      <c r="H30" s="91"/>
      <c r="I30" s="92"/>
      <c r="J30" s="101" t="s">
        <v>32</v>
      </c>
      <c r="K30" s="102"/>
      <c r="L30" s="80">
        <f>IFERROR(VLOOKUP($J$6,'TABULATION SCI'!$B$7:$BR$30,7,0),"")</f>
        <v>13</v>
      </c>
    </row>
    <row r="31" spans="2:15" ht="24.95" customHeight="1" x14ac:dyDescent="0.25">
      <c r="B31" s="77" t="s">
        <v>45</v>
      </c>
      <c r="C31" s="77"/>
      <c r="D31" s="77"/>
      <c r="E31" s="30">
        <f>IFERROR(VLOOKUP($J$6,'TABULATION SCI'!$B$7:$BR$50,59,0),"")</f>
        <v>17</v>
      </c>
      <c r="F31" s="30">
        <f>IFERROR(VLOOKUP($J$6,'TABULATION SCI'!$B$7:$BR$50,58,0),"")</f>
        <v>23</v>
      </c>
      <c r="G31" s="30">
        <f>IFERROR(VLOOKUP($J$6,'TABULATION SCI'!$B$7:$BR$30,60,0),"")</f>
        <v>24</v>
      </c>
      <c r="H31" s="30">
        <f>IFERROR(VLOOKUP($J$6,'TABULATION SCI'!$B$7:$BR$50,61,0),"")</f>
        <v>64</v>
      </c>
      <c r="I31" s="31">
        <f>'TABULATION SCI'!BK9</f>
        <v>91</v>
      </c>
      <c r="J31" s="31">
        <f>IFERROR(VLOOKUP($J$6,'TABULATION SCI'!$B$7:$BR$50,64,0),"")</f>
        <v>3.5</v>
      </c>
      <c r="K31" s="31" t="str">
        <f>IF(J31="F","F",IF(J31&lt;1,"F",IF(J31&lt;2,"D",IF(J31&lt;3,"C",IF(J31&lt;3.5,"B",IF(J31&lt;4,"A-",IF(J31&lt;5,"A","A+")))))))</f>
        <v>A-</v>
      </c>
      <c r="L31" s="80">
        <f>IFERROR(VLOOKUP($J$6,'TABULATION SCI'!$B$7:$BR$30,7,0),"")</f>
        <v>13</v>
      </c>
    </row>
    <row r="32" spans="2:15" ht="24" customHeight="1" x14ac:dyDescent="0.25">
      <c r="B32" s="82" t="s">
        <v>31</v>
      </c>
      <c r="C32" s="83"/>
      <c r="D32" s="84"/>
      <c r="E32" s="34"/>
      <c r="F32" s="34"/>
      <c r="G32" s="34"/>
      <c r="H32" s="30">
        <f>H19+H21+H23+H24+H25+H26+H27+H28+H29+H31</f>
        <v>634</v>
      </c>
      <c r="I32" s="94"/>
      <c r="J32" s="95"/>
      <c r="K32" s="96"/>
      <c r="L32" s="80">
        <f>IFERROR(VLOOKUP($J$6,'TABULATION SCI'!$B$7:$BR$30,7,0),"")</f>
        <v>13</v>
      </c>
    </row>
    <row r="33" spans="2:12" ht="25.5" customHeight="1" x14ac:dyDescent="0.25">
      <c r="B33" s="19"/>
      <c r="C33" s="20"/>
      <c r="D33" s="20"/>
      <c r="E33" s="20"/>
      <c r="F33" s="20"/>
      <c r="G33" s="20"/>
      <c r="H33" s="20"/>
      <c r="I33" s="20"/>
      <c r="J33" s="21"/>
      <c r="K33" s="21"/>
      <c r="L33" s="22"/>
    </row>
    <row r="34" spans="2:12" ht="19.5" customHeight="1" x14ac:dyDescent="0.25">
      <c r="B34" s="85" t="s">
        <v>59</v>
      </c>
      <c r="C34" s="86"/>
      <c r="D34" s="86"/>
      <c r="E34" s="93" t="str">
        <f>IFERROR(VLOOKUP($J$6,'TABULATION SCI'!$B$7:$BR$50,67,0),"")</f>
        <v>NEED TO PROGRESS</v>
      </c>
      <c r="F34" s="93"/>
      <c r="G34" s="93"/>
      <c r="H34" s="93"/>
      <c r="I34" s="18"/>
      <c r="J34" s="18"/>
      <c r="K34" s="18"/>
      <c r="L34" s="23"/>
    </row>
    <row r="35" spans="2:12" ht="25.5" customHeight="1" x14ac:dyDescent="0.25">
      <c r="B35" s="87" t="s">
        <v>60</v>
      </c>
      <c r="C35" s="88"/>
      <c r="D35" s="88"/>
      <c r="E35" s="89">
        <f>IFERROR(VLOOKUP($J$6,'TABULATION SCI'!$B$7:$BR$50,69,0),"")</f>
        <v>0</v>
      </c>
      <c r="F35" s="89">
        <f>IFERROR(VLOOKUP($J$6,'TABULATION SCI'!$B$7:$BR$30,7,0),"")</f>
        <v>13</v>
      </c>
      <c r="G35" s="18"/>
      <c r="H35" s="18"/>
      <c r="I35" s="18"/>
      <c r="J35" s="18"/>
      <c r="K35" s="18"/>
      <c r="L35" s="23"/>
    </row>
    <row r="36" spans="2:12" x14ac:dyDescent="0.25">
      <c r="B36" s="24"/>
      <c r="C36" s="18"/>
      <c r="D36" s="18"/>
      <c r="E36" s="18"/>
      <c r="F36" s="18"/>
      <c r="G36" s="18"/>
      <c r="H36" s="18"/>
      <c r="I36" s="18"/>
      <c r="J36" s="18"/>
      <c r="K36" s="18"/>
      <c r="L36" s="23"/>
    </row>
    <row r="37" spans="2:12" x14ac:dyDescent="0.25">
      <c r="B37" s="24"/>
      <c r="C37" s="18"/>
      <c r="D37" s="18"/>
      <c r="E37" s="18"/>
      <c r="F37" s="18"/>
      <c r="G37" s="18"/>
      <c r="H37" s="18"/>
      <c r="I37" s="18"/>
      <c r="J37" s="18"/>
      <c r="K37" s="18"/>
      <c r="L37" s="23"/>
    </row>
    <row r="38" spans="2:12" x14ac:dyDescent="0.25">
      <c r="B38" s="24"/>
      <c r="C38" s="18"/>
      <c r="D38" s="25"/>
      <c r="E38" s="25"/>
      <c r="F38" s="25"/>
      <c r="G38" s="25"/>
      <c r="H38" s="25"/>
      <c r="I38" s="25"/>
      <c r="J38" s="25"/>
      <c r="K38" s="25"/>
      <c r="L38" s="23"/>
    </row>
    <row r="39" spans="2:12" x14ac:dyDescent="0.25">
      <c r="B39" s="24"/>
      <c r="C39" s="18"/>
      <c r="D39" s="18"/>
      <c r="E39" s="18"/>
      <c r="F39" s="18"/>
      <c r="G39" s="18"/>
      <c r="H39" s="18"/>
      <c r="I39" s="18"/>
      <c r="J39" s="18"/>
      <c r="K39" s="18"/>
      <c r="L39" s="23"/>
    </row>
    <row r="40" spans="2:12" x14ac:dyDescent="0.25">
      <c r="B40" s="24"/>
      <c r="C40" s="25" t="s">
        <v>58</v>
      </c>
      <c r="D40" s="18"/>
      <c r="E40" s="18"/>
      <c r="F40" s="25"/>
      <c r="G40" s="25" t="s">
        <v>128</v>
      </c>
      <c r="H40" s="18"/>
      <c r="I40" s="18"/>
      <c r="J40" s="25"/>
      <c r="K40" s="25" t="s">
        <v>65</v>
      </c>
      <c r="L40" s="23"/>
    </row>
    <row r="41" spans="2:12" ht="15.75" customHeight="1" x14ac:dyDescent="0.25">
      <c r="B41" s="26"/>
      <c r="C41" s="27"/>
      <c r="D41" s="27"/>
      <c r="E41" s="27"/>
      <c r="F41" s="27"/>
      <c r="G41" s="27"/>
      <c r="H41" s="27"/>
      <c r="I41" s="100"/>
      <c r="J41" s="100"/>
      <c r="K41" s="28"/>
      <c r="L41" s="29"/>
    </row>
  </sheetData>
  <mergeCells count="62">
    <mergeCell ref="K21:K22"/>
    <mergeCell ref="H19:H20"/>
    <mergeCell ref="H21:H22"/>
    <mergeCell ref="G19:G24"/>
    <mergeCell ref="I41:J41"/>
    <mergeCell ref="J30:K30"/>
    <mergeCell ref="B26:D26"/>
    <mergeCell ref="B32:D32"/>
    <mergeCell ref="B34:D34"/>
    <mergeCell ref="B35:D35"/>
    <mergeCell ref="E35:F35"/>
    <mergeCell ref="B27:D27"/>
    <mergeCell ref="B28:D28"/>
    <mergeCell ref="B29:D29"/>
    <mergeCell ref="B30:I30"/>
    <mergeCell ref="B31:D31"/>
    <mergeCell ref="E34:H34"/>
    <mergeCell ref="I32:K32"/>
    <mergeCell ref="B25:D25"/>
    <mergeCell ref="L11:L18"/>
    <mergeCell ref="B19:D19"/>
    <mergeCell ref="I19:I20"/>
    <mergeCell ref="J19:J20"/>
    <mergeCell ref="L19:L32"/>
    <mergeCell ref="B20:D20"/>
    <mergeCell ref="B21:D21"/>
    <mergeCell ref="I21:I22"/>
    <mergeCell ref="J21:J22"/>
    <mergeCell ref="B22:D22"/>
    <mergeCell ref="B23:D23"/>
    <mergeCell ref="B24:D24"/>
    <mergeCell ref="E21:E22"/>
    <mergeCell ref="K11:K18"/>
    <mergeCell ref="K19:K20"/>
    <mergeCell ref="B10:C10"/>
    <mergeCell ref="D10:F10"/>
    <mergeCell ref="J10:L10"/>
    <mergeCell ref="B11:D18"/>
    <mergeCell ref="E11:E18"/>
    <mergeCell ref="H11:H18"/>
    <mergeCell ref="I11:I18"/>
    <mergeCell ref="J11:J18"/>
    <mergeCell ref="F11:F18"/>
    <mergeCell ref="G11:G18"/>
    <mergeCell ref="G10:I10"/>
    <mergeCell ref="B8:C8"/>
    <mergeCell ref="D8:F8"/>
    <mergeCell ref="J8:L8"/>
    <mergeCell ref="B9:C9"/>
    <mergeCell ref="D9:F9"/>
    <mergeCell ref="G9:I9"/>
    <mergeCell ref="J9:L9"/>
    <mergeCell ref="G8:I8"/>
    <mergeCell ref="B7:C7"/>
    <mergeCell ref="D7:F7"/>
    <mergeCell ref="J7:L7"/>
    <mergeCell ref="B2:L5"/>
    <mergeCell ref="B6:C6"/>
    <mergeCell ref="D6:F6"/>
    <mergeCell ref="J6:L6"/>
    <mergeCell ref="G6:I6"/>
    <mergeCell ref="G7:I7"/>
  </mergeCells>
  <phoneticPr fontId="8" type="noConversion"/>
  <pageMargins left="0.19685039370078741" right="0.19685039370078741" top="0.19685039370078741" bottom="0.19685039370078741" header="0.19685039370078741" footer="0.19685039370078741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2025-03-18T04:59:48Z</cp:lastPrinted>
  <dcterms:created xsi:type="dcterms:W3CDTF">2020-11-16T04:30:11Z</dcterms:created>
  <dcterms:modified xsi:type="dcterms:W3CDTF">2025-04-24T05:02:25Z</dcterms:modified>
</cp:coreProperties>
</file>