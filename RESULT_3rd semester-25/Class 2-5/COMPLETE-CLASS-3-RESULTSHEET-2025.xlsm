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-120" yWindow="-120" windowWidth="24240" windowHeight="13740" tabRatio="611" activeTab="4"/>
  </bookViews>
  <sheets>
    <sheet name="1st_Semester" sheetId="4" r:id="rId1"/>
    <sheet name="2nd_Semeter" sheetId="1" r:id="rId2"/>
    <sheet name="3rd_Semester" sheetId="5" r:id="rId3"/>
    <sheet name="PROGRESS-REPORT" sheetId="3" state="hidden" r:id="rId4"/>
    <sheet name="ANNUAL-CARD" sheetId="6" r:id="rId5"/>
  </sheets>
  <externalReferences>
    <externalReference r:id="rId6"/>
  </externalReferenc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35" i="5"/>
  <c r="BE36"/>
  <c r="BE34"/>
  <c r="J18" i="6"/>
  <c r="AV37" i="1"/>
  <c r="AW37" s="1"/>
  <c r="BA37" s="1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P31"/>
  <c r="AQ31" s="1"/>
  <c r="AP32"/>
  <c r="AQ32" s="1"/>
  <c r="AP33"/>
  <c r="AQ33" s="1"/>
  <c r="AP34"/>
  <c r="AQ34" s="1"/>
  <c r="AP35"/>
  <c r="AQ35" s="1"/>
  <c r="AP36"/>
  <c r="AQ36" s="1"/>
  <c r="AP37"/>
  <c r="AQ37" s="1"/>
  <c r="AK31"/>
  <c r="AL31" s="1"/>
  <c r="AK32"/>
  <c r="AL32" s="1"/>
  <c r="AK33"/>
  <c r="AL33" s="1"/>
  <c r="AK34"/>
  <c r="AL34" s="1"/>
  <c r="AK35"/>
  <c r="AL35" s="1"/>
  <c r="AK36"/>
  <c r="AL36" s="1"/>
  <c r="AK37"/>
  <c r="AL37" s="1"/>
  <c r="AF31"/>
  <c r="AG31" s="1"/>
  <c r="AF32"/>
  <c r="AG32" s="1"/>
  <c r="AF33"/>
  <c r="AG33" s="1"/>
  <c r="AF34"/>
  <c r="AG34" s="1"/>
  <c r="AF35"/>
  <c r="AG35" s="1"/>
  <c r="AF36"/>
  <c r="AG36" s="1"/>
  <c r="AF37"/>
  <c r="AG37" s="1"/>
  <c r="AA31"/>
  <c r="AB31" s="1"/>
  <c r="AA32"/>
  <c r="AB32" s="1"/>
  <c r="AA33"/>
  <c r="AB33" s="1"/>
  <c r="AA34"/>
  <c r="AB34" s="1"/>
  <c r="AA35"/>
  <c r="AB35" s="1"/>
  <c r="AA36"/>
  <c r="AB36" s="1"/>
  <c r="AA37"/>
  <c r="AB37" s="1"/>
  <c r="V31"/>
  <c r="W31" s="1"/>
  <c r="V32"/>
  <c r="W32" s="1"/>
  <c r="V33"/>
  <c r="W33" s="1"/>
  <c r="V34"/>
  <c r="W34" s="1"/>
  <c r="V35"/>
  <c r="W35" s="1"/>
  <c r="V36"/>
  <c r="W36" s="1"/>
  <c r="V37"/>
  <c r="W37" s="1"/>
  <c r="Q31"/>
  <c r="R31" s="1"/>
  <c r="Q32"/>
  <c r="R32" s="1"/>
  <c r="Q33"/>
  <c r="R33" s="1"/>
  <c r="Q34"/>
  <c r="R34" s="1"/>
  <c r="Q35"/>
  <c r="R35" s="1"/>
  <c r="Q36"/>
  <c r="R36" s="1"/>
  <c r="Q37"/>
  <c r="R37" s="1"/>
  <c r="J31"/>
  <c r="K31" s="1"/>
  <c r="J32"/>
  <c r="K32" s="1"/>
  <c r="J33"/>
  <c r="K33" s="1"/>
  <c r="AV33" s="1"/>
  <c r="AW33" s="1"/>
  <c r="BA33" s="1"/>
  <c r="J34"/>
  <c r="K34" s="1"/>
  <c r="J35"/>
  <c r="K35" s="1"/>
  <c r="J36"/>
  <c r="K36" s="1"/>
  <c r="J37"/>
  <c r="K37" s="1"/>
  <c r="AV33" i="4"/>
  <c r="AW33" s="1"/>
  <c r="BA33" s="1"/>
  <c r="AV34"/>
  <c r="AW34" s="1"/>
  <c r="BA34" s="1"/>
  <c r="AT36"/>
  <c r="AT37"/>
  <c r="AT33"/>
  <c r="AT34"/>
  <c r="AT29"/>
  <c r="AT30"/>
  <c r="AT31"/>
  <c r="AT32"/>
  <c r="AP36"/>
  <c r="AQ36" s="1"/>
  <c r="AP37"/>
  <c r="AQ37" s="1"/>
  <c r="AP33"/>
  <c r="AQ33" s="1"/>
  <c r="AP34"/>
  <c r="AQ34" s="1"/>
  <c r="AP29"/>
  <c r="AQ29" s="1"/>
  <c r="AP30"/>
  <c r="AQ30" s="1"/>
  <c r="AP31"/>
  <c r="AQ31" s="1"/>
  <c r="AP32"/>
  <c r="AQ32" s="1"/>
  <c r="AK36"/>
  <c r="AL36" s="1"/>
  <c r="AK37"/>
  <c r="AL37" s="1"/>
  <c r="AK33"/>
  <c r="AL33" s="1"/>
  <c r="AK34"/>
  <c r="AL34" s="1"/>
  <c r="AK29"/>
  <c r="AL29" s="1"/>
  <c r="AK30"/>
  <c r="AL30" s="1"/>
  <c r="AK31"/>
  <c r="AL31" s="1"/>
  <c r="AK32"/>
  <c r="AL32" s="1"/>
  <c r="AF36"/>
  <c r="AG36" s="1"/>
  <c r="AF37"/>
  <c r="AG37" s="1"/>
  <c r="AF33"/>
  <c r="AG33" s="1"/>
  <c r="AF34"/>
  <c r="AG34" s="1"/>
  <c r="AF29"/>
  <c r="AG29" s="1"/>
  <c r="AF30"/>
  <c r="AG30" s="1"/>
  <c r="AF31"/>
  <c r="AG31" s="1"/>
  <c r="AF32"/>
  <c r="AG32" s="1"/>
  <c r="AA36"/>
  <c r="AB36" s="1"/>
  <c r="AA37"/>
  <c r="AB37" s="1"/>
  <c r="AA33"/>
  <c r="AB33" s="1"/>
  <c r="AA34"/>
  <c r="AB34" s="1"/>
  <c r="AA29"/>
  <c r="AB29" s="1"/>
  <c r="AA30"/>
  <c r="AB30" s="1"/>
  <c r="AA31"/>
  <c r="AB31" s="1"/>
  <c r="AA32"/>
  <c r="AB32" s="1"/>
  <c r="V36"/>
  <c r="W36" s="1"/>
  <c r="V37"/>
  <c r="W37" s="1"/>
  <c r="V33"/>
  <c r="W33" s="1"/>
  <c r="V34"/>
  <c r="W34" s="1"/>
  <c r="V29"/>
  <c r="W29" s="1"/>
  <c r="V30"/>
  <c r="W30" s="1"/>
  <c r="V31"/>
  <c r="W31" s="1"/>
  <c r="V32"/>
  <c r="W32" s="1"/>
  <c r="Q36"/>
  <c r="R36" s="1"/>
  <c r="Q37"/>
  <c r="R37" s="1"/>
  <c r="Q33"/>
  <c r="R33" s="1"/>
  <c r="Q34"/>
  <c r="R34" s="1"/>
  <c r="Q29"/>
  <c r="R29" s="1"/>
  <c r="Q30"/>
  <c r="R30" s="1"/>
  <c r="Q31"/>
  <c r="R31" s="1"/>
  <c r="Q32"/>
  <c r="R32" s="1"/>
  <c r="J29"/>
  <c r="K29" s="1"/>
  <c r="J30"/>
  <c r="K30" s="1"/>
  <c r="J31"/>
  <c r="K31" s="1"/>
  <c r="AV31" s="1"/>
  <c r="AW31" s="1"/>
  <c r="BA31" s="1"/>
  <c r="J32"/>
  <c r="K32" s="1"/>
  <c r="J33"/>
  <c r="K33" s="1"/>
  <c r="J34"/>
  <c r="K34" s="1"/>
  <c r="J35"/>
  <c r="K35" s="1"/>
  <c r="AV35" s="1"/>
  <c r="AW35" s="1"/>
  <c r="BA35" s="1"/>
  <c r="J36"/>
  <c r="K36" s="1"/>
  <c r="AV36" s="1"/>
  <c r="AW36" s="1"/>
  <c r="BA36" s="1"/>
  <c r="J37"/>
  <c r="AX37" s="1"/>
  <c r="K37"/>
  <c r="AV37" s="1"/>
  <c r="AW37" s="1"/>
  <c r="BA37" s="1"/>
  <c r="J22" i="1"/>
  <c r="Q22"/>
  <c r="R22" s="1"/>
  <c r="V22"/>
  <c r="W22" s="1"/>
  <c r="AA22"/>
  <c r="AB22" s="1"/>
  <c r="AF22"/>
  <c r="AG22" s="1"/>
  <c r="AK22"/>
  <c r="AL22" s="1"/>
  <c r="AP22"/>
  <c r="AQ22" s="1"/>
  <c r="BE33" i="5"/>
  <c r="AT33"/>
  <c r="AT34"/>
  <c r="AT35"/>
  <c r="AT36"/>
  <c r="AT37"/>
  <c r="AP33"/>
  <c r="AQ33" s="1"/>
  <c r="AP34"/>
  <c r="AQ34"/>
  <c r="AP35"/>
  <c r="AQ35" s="1"/>
  <c r="AP36"/>
  <c r="AQ36" s="1"/>
  <c r="AP37"/>
  <c r="AQ37" s="1"/>
  <c r="AK33"/>
  <c r="AL33" s="1"/>
  <c r="AK34"/>
  <c r="AL34" s="1"/>
  <c r="AK35"/>
  <c r="AL35" s="1"/>
  <c r="AK36"/>
  <c r="AL36" s="1"/>
  <c r="AK37"/>
  <c r="AL37" s="1"/>
  <c r="AF33"/>
  <c r="AG33" s="1"/>
  <c r="AF34"/>
  <c r="AG34" s="1"/>
  <c r="AF35"/>
  <c r="AG35" s="1"/>
  <c r="AF36"/>
  <c r="AG36" s="1"/>
  <c r="AF37"/>
  <c r="AG37" s="1"/>
  <c r="AA33"/>
  <c r="AB33" s="1"/>
  <c r="AA34"/>
  <c r="AB34" s="1"/>
  <c r="AA35"/>
  <c r="AB35" s="1"/>
  <c r="AA36"/>
  <c r="AB36" s="1"/>
  <c r="AA37"/>
  <c r="AB37" s="1"/>
  <c r="V33"/>
  <c r="W33" s="1"/>
  <c r="V34"/>
  <c r="W34" s="1"/>
  <c r="V35"/>
  <c r="W35" s="1"/>
  <c r="V36"/>
  <c r="W36" s="1"/>
  <c r="V37"/>
  <c r="W37" s="1"/>
  <c r="Q33"/>
  <c r="R33" s="1"/>
  <c r="Q34"/>
  <c r="R34" s="1"/>
  <c r="Q35"/>
  <c r="R35" s="1"/>
  <c r="Q36"/>
  <c r="R36" s="1"/>
  <c r="Q37"/>
  <c r="R37" s="1"/>
  <c r="J35"/>
  <c r="K35" s="1"/>
  <c r="J36"/>
  <c r="J37"/>
  <c r="J34"/>
  <c r="K34" s="1"/>
  <c r="J33"/>
  <c r="K33" s="1"/>
  <c r="AV33" s="1"/>
  <c r="AW33" s="1"/>
  <c r="BA33" s="1"/>
  <c r="AV35" l="1"/>
  <c r="AW35" s="1"/>
  <c r="BA35" s="1"/>
  <c r="AV34"/>
  <c r="AW34" s="1"/>
  <c r="BA34" s="1"/>
  <c r="AV35" i="1"/>
  <c r="AW35" s="1"/>
  <c r="BA35" s="1"/>
  <c r="AV32"/>
  <c r="AW32" s="1"/>
  <c r="BA32" s="1"/>
  <c r="AX37"/>
  <c r="AV36"/>
  <c r="AW36" s="1"/>
  <c r="BA36" s="1"/>
  <c r="AV31"/>
  <c r="AW31" s="1"/>
  <c r="BA31" s="1"/>
  <c r="AV34"/>
  <c r="AW34" s="1"/>
  <c r="BA34" s="1"/>
  <c r="AX34"/>
  <c r="AX36"/>
  <c r="AX35"/>
  <c r="AX33"/>
  <c r="AX32"/>
  <c r="AX31"/>
  <c r="AX22"/>
  <c r="AV32" i="4"/>
  <c r="AW32" s="1"/>
  <c r="BA32" s="1"/>
  <c r="AV30"/>
  <c r="AW30" s="1"/>
  <c r="BA30" s="1"/>
  <c r="AX34"/>
  <c r="AV29"/>
  <c r="AW29" s="1"/>
  <c r="BA29" s="1"/>
  <c r="AX36"/>
  <c r="AX33"/>
  <c r="AX32"/>
  <c r="AX31"/>
  <c r="AX30"/>
  <c r="AX29"/>
  <c r="K22" i="1"/>
  <c r="AV22" s="1"/>
  <c r="AW22" s="1"/>
  <c r="BA22" s="1"/>
  <c r="AX36" i="5"/>
  <c r="AX35"/>
  <c r="AX37"/>
  <c r="K37"/>
  <c r="AV37" s="1"/>
  <c r="AW37" s="1"/>
  <c r="BA37" s="1"/>
  <c r="K36"/>
  <c r="AV36" s="1"/>
  <c r="AW36" s="1"/>
  <c r="BA36" s="1"/>
  <c r="AX34"/>
  <c r="AX33"/>
  <c r="D9" i="6"/>
  <c r="W5"/>
  <c r="AU8" i="1" l="1"/>
  <c r="L27" i="6" s="1"/>
  <c r="BE9" i="5"/>
  <c r="BE10"/>
  <c r="BE11"/>
  <c r="BE12"/>
  <c r="BE13"/>
  <c r="BE14"/>
  <c r="BE15"/>
  <c r="BE16"/>
  <c r="BE17"/>
  <c r="BE18"/>
  <c r="BE19"/>
  <c r="BE20"/>
  <c r="BE21"/>
  <c r="BE22"/>
  <c r="BE23"/>
  <c r="BE24"/>
  <c r="BE25"/>
  <c r="BE26"/>
  <c r="BE27"/>
  <c r="BE28"/>
  <c r="BE29"/>
  <c r="BE30"/>
  <c r="BE31"/>
  <c r="BE32"/>
  <c r="J21" i="6"/>
  <c r="J20"/>
  <c r="J19"/>
  <c r="AU8" i="5"/>
  <c r="Q27" i="6" s="1"/>
  <c r="BE8" i="5" l="1"/>
  <c r="P27" i="6" l="1"/>
  <c r="O26"/>
  <c r="O25"/>
  <c r="O24"/>
  <c r="O23"/>
  <c r="O22"/>
  <c r="O21"/>
  <c r="O20"/>
  <c r="O19"/>
  <c r="O18"/>
  <c r="N26"/>
  <c r="N25"/>
  <c r="N24"/>
  <c r="N23"/>
  <c r="N22"/>
  <c r="N21"/>
  <c r="N20"/>
  <c r="N19"/>
  <c r="N18"/>
  <c r="M21"/>
  <c r="H21"/>
  <c r="K27"/>
  <c r="J26"/>
  <c r="J25"/>
  <c r="J24"/>
  <c r="J23"/>
  <c r="J22"/>
  <c r="I26"/>
  <c r="I25"/>
  <c r="I24"/>
  <c r="I23"/>
  <c r="I22"/>
  <c r="I21"/>
  <c r="I20"/>
  <c r="I19"/>
  <c r="AT32" i="5"/>
  <c r="AP32"/>
  <c r="AQ32" s="1"/>
  <c r="AK32"/>
  <c r="AL32" s="1"/>
  <c r="AF32"/>
  <c r="AG32" s="1"/>
  <c r="AA32"/>
  <c r="AB32" s="1"/>
  <c r="V32"/>
  <c r="W32" s="1"/>
  <c r="Q32"/>
  <c r="R32" s="1"/>
  <c r="J32"/>
  <c r="K32" s="1"/>
  <c r="AT31"/>
  <c r="AP31"/>
  <c r="AQ31" s="1"/>
  <c r="AK31"/>
  <c r="AL31" s="1"/>
  <c r="AF31"/>
  <c r="AG31" s="1"/>
  <c r="AA31"/>
  <c r="AB31" s="1"/>
  <c r="V31"/>
  <c r="W31" s="1"/>
  <c r="Q31"/>
  <c r="R31" s="1"/>
  <c r="J31"/>
  <c r="K31" s="1"/>
  <c r="AT30"/>
  <c r="AP30"/>
  <c r="AQ30" s="1"/>
  <c r="AK30"/>
  <c r="AF30"/>
  <c r="AG30" s="1"/>
  <c r="AA30"/>
  <c r="AB30" s="1"/>
  <c r="V30"/>
  <c r="W30" s="1"/>
  <c r="Q30"/>
  <c r="R30" s="1"/>
  <c r="J30"/>
  <c r="K30" s="1"/>
  <c r="AT29"/>
  <c r="AP29"/>
  <c r="AQ29" s="1"/>
  <c r="AK29"/>
  <c r="AL29" s="1"/>
  <c r="AF29"/>
  <c r="AG29" s="1"/>
  <c r="AA29"/>
  <c r="V29"/>
  <c r="W29" s="1"/>
  <c r="Q29"/>
  <c r="R29" s="1"/>
  <c r="J29"/>
  <c r="K29" s="1"/>
  <c r="AT28"/>
  <c r="AP28"/>
  <c r="AQ28" s="1"/>
  <c r="AK28"/>
  <c r="AL28" s="1"/>
  <c r="AF28"/>
  <c r="AG28" s="1"/>
  <c r="AA28"/>
  <c r="AB28" s="1"/>
  <c r="V28"/>
  <c r="Q28"/>
  <c r="R28" s="1"/>
  <c r="J28"/>
  <c r="AT27"/>
  <c r="AP27"/>
  <c r="AQ27" s="1"/>
  <c r="AK27"/>
  <c r="AL27" s="1"/>
  <c r="AF27"/>
  <c r="AG27" s="1"/>
  <c r="AA27"/>
  <c r="AB27" s="1"/>
  <c r="V27"/>
  <c r="W27" s="1"/>
  <c r="Q27"/>
  <c r="R27" s="1"/>
  <c r="J27"/>
  <c r="AT26"/>
  <c r="AP26"/>
  <c r="AQ26" s="1"/>
  <c r="AK26"/>
  <c r="AL26" s="1"/>
  <c r="AF26"/>
  <c r="AG26" s="1"/>
  <c r="AA26"/>
  <c r="AB26" s="1"/>
  <c r="V26"/>
  <c r="W26" s="1"/>
  <c r="Q26"/>
  <c r="J26"/>
  <c r="K26" s="1"/>
  <c r="AT25"/>
  <c r="AP25"/>
  <c r="AQ25" s="1"/>
  <c r="AK25"/>
  <c r="AL25" s="1"/>
  <c r="AF25"/>
  <c r="AG25" s="1"/>
  <c r="AA25"/>
  <c r="AB25" s="1"/>
  <c r="V25"/>
  <c r="W25" s="1"/>
  <c r="Q25"/>
  <c r="R25" s="1"/>
  <c r="J25"/>
  <c r="AT24"/>
  <c r="AP24"/>
  <c r="AQ24" s="1"/>
  <c r="AK24"/>
  <c r="AF24"/>
  <c r="AG24" s="1"/>
  <c r="AA24"/>
  <c r="AB24" s="1"/>
  <c r="V24"/>
  <c r="Q24"/>
  <c r="J24"/>
  <c r="K24" s="1"/>
  <c r="AT23"/>
  <c r="AP23"/>
  <c r="AQ23" s="1"/>
  <c r="AK23"/>
  <c r="AL23" s="1"/>
  <c r="AF23"/>
  <c r="AG23" s="1"/>
  <c r="AA23"/>
  <c r="AB23" s="1"/>
  <c r="V23"/>
  <c r="W23" s="1"/>
  <c r="Q23"/>
  <c r="R23" s="1"/>
  <c r="J23"/>
  <c r="AT22"/>
  <c r="AP22"/>
  <c r="AQ22" s="1"/>
  <c r="AK22"/>
  <c r="AL22" s="1"/>
  <c r="AF22"/>
  <c r="AG22" s="1"/>
  <c r="AA22"/>
  <c r="AB22" s="1"/>
  <c r="V22"/>
  <c r="Q22"/>
  <c r="R22" s="1"/>
  <c r="J22"/>
  <c r="K22" s="1"/>
  <c r="AT21"/>
  <c r="AP21"/>
  <c r="AQ21" s="1"/>
  <c r="AK21"/>
  <c r="AL21" s="1"/>
  <c r="AF21"/>
  <c r="AG21" s="1"/>
  <c r="AA21"/>
  <c r="AB21" s="1"/>
  <c r="V21"/>
  <c r="W21" s="1"/>
  <c r="Q21"/>
  <c r="R21" s="1"/>
  <c r="J21"/>
  <c r="AT20"/>
  <c r="AP20"/>
  <c r="AQ20" s="1"/>
  <c r="AK20"/>
  <c r="AL20" s="1"/>
  <c r="AF20"/>
  <c r="AG20" s="1"/>
  <c r="AA20"/>
  <c r="AB20" s="1"/>
  <c r="V20"/>
  <c r="W20" s="1"/>
  <c r="Q20"/>
  <c r="R20" s="1"/>
  <c r="J20"/>
  <c r="K20" s="1"/>
  <c r="AT19"/>
  <c r="AP19"/>
  <c r="AQ19" s="1"/>
  <c r="AK19"/>
  <c r="AL19" s="1"/>
  <c r="AF19"/>
  <c r="AG19" s="1"/>
  <c r="AA19"/>
  <c r="AB19" s="1"/>
  <c r="V19"/>
  <c r="W19" s="1"/>
  <c r="Q19"/>
  <c r="R19" s="1"/>
  <c r="J19"/>
  <c r="K19" s="1"/>
  <c r="AT18"/>
  <c r="AP18"/>
  <c r="AQ18" s="1"/>
  <c r="AK18"/>
  <c r="AL18" s="1"/>
  <c r="AF18"/>
  <c r="AG18" s="1"/>
  <c r="AA18"/>
  <c r="AB18" s="1"/>
  <c r="V18"/>
  <c r="W18" s="1"/>
  <c r="Q18"/>
  <c r="R18" s="1"/>
  <c r="J18"/>
  <c r="K18" s="1"/>
  <c r="AT17"/>
  <c r="AP17"/>
  <c r="AQ17" s="1"/>
  <c r="AK17"/>
  <c r="AL17" s="1"/>
  <c r="AF17"/>
  <c r="AA17"/>
  <c r="AB17" s="1"/>
  <c r="V17"/>
  <c r="W17" s="1"/>
  <c r="Q17"/>
  <c r="R17" s="1"/>
  <c r="J17"/>
  <c r="AT16"/>
  <c r="AP16"/>
  <c r="AQ16" s="1"/>
  <c r="AK16"/>
  <c r="AL16" s="1"/>
  <c r="AF16"/>
  <c r="AG16" s="1"/>
  <c r="AA16"/>
  <c r="AB16" s="1"/>
  <c r="V16"/>
  <c r="W16" s="1"/>
  <c r="Q16"/>
  <c r="R16" s="1"/>
  <c r="J16"/>
  <c r="K16" s="1"/>
  <c r="AT15"/>
  <c r="AP15"/>
  <c r="AQ15" s="1"/>
  <c r="AK15"/>
  <c r="AL15" s="1"/>
  <c r="AF15"/>
  <c r="AG15" s="1"/>
  <c r="AA15"/>
  <c r="AB15" s="1"/>
  <c r="V15"/>
  <c r="W15" s="1"/>
  <c r="Q15"/>
  <c r="R15" s="1"/>
  <c r="J15"/>
  <c r="AT14"/>
  <c r="AP14"/>
  <c r="AQ14" s="1"/>
  <c r="AK14"/>
  <c r="AL14" s="1"/>
  <c r="AF14"/>
  <c r="AG14" s="1"/>
  <c r="AA14"/>
  <c r="AB14" s="1"/>
  <c r="V14"/>
  <c r="W14" s="1"/>
  <c r="Q14"/>
  <c r="R14" s="1"/>
  <c r="J14"/>
  <c r="K14" s="1"/>
  <c r="AT13"/>
  <c r="AP13"/>
  <c r="AK13"/>
  <c r="AL13" s="1"/>
  <c r="AF13"/>
  <c r="AG13" s="1"/>
  <c r="AA13"/>
  <c r="AB13" s="1"/>
  <c r="V13"/>
  <c r="W13" s="1"/>
  <c r="Q13"/>
  <c r="R13" s="1"/>
  <c r="J13"/>
  <c r="AT12"/>
  <c r="AP12"/>
  <c r="AQ12" s="1"/>
  <c r="AK12"/>
  <c r="AL12" s="1"/>
  <c r="AF12"/>
  <c r="AG12" s="1"/>
  <c r="AA12"/>
  <c r="AB12" s="1"/>
  <c r="V12"/>
  <c r="Q12"/>
  <c r="R12" s="1"/>
  <c r="J12"/>
  <c r="K12" s="1"/>
  <c r="AT11"/>
  <c r="AP11"/>
  <c r="AQ11" s="1"/>
  <c r="AK11"/>
  <c r="AL11" s="1"/>
  <c r="AF11"/>
  <c r="AG11" s="1"/>
  <c r="AA11"/>
  <c r="AB11" s="1"/>
  <c r="V11"/>
  <c r="W11" s="1"/>
  <c r="Q11"/>
  <c r="R11" s="1"/>
  <c r="J11"/>
  <c r="AT10"/>
  <c r="AP10"/>
  <c r="AQ10" s="1"/>
  <c r="AK10"/>
  <c r="AL10" s="1"/>
  <c r="AF10"/>
  <c r="AA10"/>
  <c r="AB10" s="1"/>
  <c r="V10"/>
  <c r="W10" s="1"/>
  <c r="Q10"/>
  <c r="R10" s="1"/>
  <c r="J10"/>
  <c r="K10" s="1"/>
  <c r="AT9"/>
  <c r="AP9"/>
  <c r="AQ9" s="1"/>
  <c r="AK9"/>
  <c r="AL9" s="1"/>
  <c r="AF9"/>
  <c r="AG9" s="1"/>
  <c r="AA9"/>
  <c r="V9"/>
  <c r="Q9"/>
  <c r="R9" s="1"/>
  <c r="J9"/>
  <c r="K9" s="1"/>
  <c r="AT8"/>
  <c r="AP8"/>
  <c r="AK8"/>
  <c r="AF8"/>
  <c r="AG8" s="1"/>
  <c r="AA8"/>
  <c r="AB8" s="1"/>
  <c r="V8"/>
  <c r="W8" s="1"/>
  <c r="Q8"/>
  <c r="R8" s="1"/>
  <c r="J8"/>
  <c r="AP30" i="1"/>
  <c r="AQ30" s="1"/>
  <c r="AK30"/>
  <c r="AL30" s="1"/>
  <c r="AF30"/>
  <c r="AG30" s="1"/>
  <c r="AA30"/>
  <c r="AB30" s="1"/>
  <c r="V30"/>
  <c r="W30" s="1"/>
  <c r="Q30"/>
  <c r="R30" s="1"/>
  <c r="J30"/>
  <c r="AP29"/>
  <c r="AQ29" s="1"/>
  <c r="AK29"/>
  <c r="AL29" s="1"/>
  <c r="AF29"/>
  <c r="AG29" s="1"/>
  <c r="AA29"/>
  <c r="AB29" s="1"/>
  <c r="V29"/>
  <c r="W29" s="1"/>
  <c r="Q29"/>
  <c r="R29" s="1"/>
  <c r="J29"/>
  <c r="K29" s="1"/>
  <c r="AP28"/>
  <c r="AQ28" s="1"/>
  <c r="AK28"/>
  <c r="AL28" s="1"/>
  <c r="AF28"/>
  <c r="AG28" s="1"/>
  <c r="AA28"/>
  <c r="AB28" s="1"/>
  <c r="V28"/>
  <c r="W28" s="1"/>
  <c r="Q28"/>
  <c r="R28" s="1"/>
  <c r="J28"/>
  <c r="AP27"/>
  <c r="AQ27" s="1"/>
  <c r="AK27"/>
  <c r="AL27" s="1"/>
  <c r="AF27"/>
  <c r="AG27" s="1"/>
  <c r="AA27"/>
  <c r="AB27" s="1"/>
  <c r="V27"/>
  <c r="W27" s="1"/>
  <c r="Q27"/>
  <c r="R27" s="1"/>
  <c r="J27"/>
  <c r="AP26"/>
  <c r="AQ26" s="1"/>
  <c r="AK26"/>
  <c r="AL26" s="1"/>
  <c r="AF26"/>
  <c r="AG26" s="1"/>
  <c r="AA26"/>
  <c r="AB26" s="1"/>
  <c r="V26"/>
  <c r="W26" s="1"/>
  <c r="Q26"/>
  <c r="R26" s="1"/>
  <c r="J26"/>
  <c r="AP25"/>
  <c r="AQ25" s="1"/>
  <c r="AK25"/>
  <c r="AL25" s="1"/>
  <c r="AF25"/>
  <c r="AG25" s="1"/>
  <c r="AA25"/>
  <c r="AB25" s="1"/>
  <c r="V25"/>
  <c r="W25" s="1"/>
  <c r="Q25"/>
  <c r="R25" s="1"/>
  <c r="J25"/>
  <c r="K25" s="1"/>
  <c r="AP24"/>
  <c r="AQ24" s="1"/>
  <c r="AK24"/>
  <c r="AL24" s="1"/>
  <c r="AF24"/>
  <c r="AG24" s="1"/>
  <c r="AA24"/>
  <c r="AB24" s="1"/>
  <c r="V24"/>
  <c r="W24" s="1"/>
  <c r="Q24"/>
  <c r="R24" s="1"/>
  <c r="J24"/>
  <c r="AP23"/>
  <c r="AQ23" s="1"/>
  <c r="AK23"/>
  <c r="AL23" s="1"/>
  <c r="AF23"/>
  <c r="AG23" s="1"/>
  <c r="AA23"/>
  <c r="AB23" s="1"/>
  <c r="V23"/>
  <c r="W23" s="1"/>
  <c r="Q23"/>
  <c r="R23" s="1"/>
  <c r="J23"/>
  <c r="AP21"/>
  <c r="AQ21" s="1"/>
  <c r="AK21"/>
  <c r="AL21" s="1"/>
  <c r="AF21"/>
  <c r="AG21" s="1"/>
  <c r="AA21"/>
  <c r="AB21" s="1"/>
  <c r="V21"/>
  <c r="W21" s="1"/>
  <c r="Q21"/>
  <c r="R21" s="1"/>
  <c r="J21"/>
  <c r="K21" s="1"/>
  <c r="AP20"/>
  <c r="AQ20" s="1"/>
  <c r="AK20"/>
  <c r="AL20" s="1"/>
  <c r="AF20"/>
  <c r="AG20" s="1"/>
  <c r="AA20"/>
  <c r="AB20" s="1"/>
  <c r="V20"/>
  <c r="W20" s="1"/>
  <c r="Q20"/>
  <c r="R20" s="1"/>
  <c r="J20"/>
  <c r="AP19"/>
  <c r="AQ19" s="1"/>
  <c r="AK19"/>
  <c r="AL19" s="1"/>
  <c r="AF19"/>
  <c r="AG19" s="1"/>
  <c r="AA19"/>
  <c r="AB19" s="1"/>
  <c r="V19"/>
  <c r="W19" s="1"/>
  <c r="Q19"/>
  <c r="R19" s="1"/>
  <c r="J19"/>
  <c r="AP18"/>
  <c r="AQ18" s="1"/>
  <c r="AK18"/>
  <c r="AL18" s="1"/>
  <c r="AF18"/>
  <c r="AG18" s="1"/>
  <c r="AA18"/>
  <c r="AB18" s="1"/>
  <c r="V18"/>
  <c r="W18" s="1"/>
  <c r="Q18"/>
  <c r="R18" s="1"/>
  <c r="J18"/>
  <c r="K18" s="1"/>
  <c r="AP17"/>
  <c r="AQ17" s="1"/>
  <c r="AK17"/>
  <c r="AL17" s="1"/>
  <c r="AF17"/>
  <c r="AG17" s="1"/>
  <c r="AA17"/>
  <c r="AB17" s="1"/>
  <c r="V17"/>
  <c r="W17" s="1"/>
  <c r="Q17"/>
  <c r="R17" s="1"/>
  <c r="J17"/>
  <c r="AP16"/>
  <c r="AQ16" s="1"/>
  <c r="AK16"/>
  <c r="AL16" s="1"/>
  <c r="AF16"/>
  <c r="AG16" s="1"/>
  <c r="AA16"/>
  <c r="AB16" s="1"/>
  <c r="V16"/>
  <c r="W16" s="1"/>
  <c r="Q16"/>
  <c r="R16" s="1"/>
  <c r="J16"/>
  <c r="AP15"/>
  <c r="AQ15" s="1"/>
  <c r="AK15"/>
  <c r="AL15" s="1"/>
  <c r="AF15"/>
  <c r="AG15" s="1"/>
  <c r="AA15"/>
  <c r="AB15" s="1"/>
  <c r="V15"/>
  <c r="W15" s="1"/>
  <c r="Q15"/>
  <c r="R15" s="1"/>
  <c r="J15"/>
  <c r="AP14"/>
  <c r="AQ14" s="1"/>
  <c r="AK14"/>
  <c r="AL14" s="1"/>
  <c r="AF14"/>
  <c r="AG14" s="1"/>
  <c r="AA14"/>
  <c r="AB14" s="1"/>
  <c r="V14"/>
  <c r="W14" s="1"/>
  <c r="Q14"/>
  <c r="R14" s="1"/>
  <c r="J14"/>
  <c r="AP13"/>
  <c r="AQ13" s="1"/>
  <c r="AK13"/>
  <c r="AL13" s="1"/>
  <c r="AF13"/>
  <c r="AG13" s="1"/>
  <c r="AA13"/>
  <c r="AB13" s="1"/>
  <c r="V13"/>
  <c r="W13" s="1"/>
  <c r="Q13"/>
  <c r="R13" s="1"/>
  <c r="J13"/>
  <c r="K13" s="1"/>
  <c r="AP12"/>
  <c r="AQ12" s="1"/>
  <c r="AK12"/>
  <c r="AL12" s="1"/>
  <c r="AF12"/>
  <c r="AG12" s="1"/>
  <c r="AA12"/>
  <c r="AB12" s="1"/>
  <c r="V12"/>
  <c r="W12" s="1"/>
  <c r="Q12"/>
  <c r="R12" s="1"/>
  <c r="J12"/>
  <c r="AP11"/>
  <c r="AQ11" s="1"/>
  <c r="AK11"/>
  <c r="AL11" s="1"/>
  <c r="AF11"/>
  <c r="AA11"/>
  <c r="AB11" s="1"/>
  <c r="V11"/>
  <c r="W11" s="1"/>
  <c r="Q11"/>
  <c r="R11" s="1"/>
  <c r="J11"/>
  <c r="AP10"/>
  <c r="AQ10" s="1"/>
  <c r="AK10"/>
  <c r="AL10" s="1"/>
  <c r="AF10"/>
  <c r="AG10" s="1"/>
  <c r="AA10"/>
  <c r="AB10" s="1"/>
  <c r="V10"/>
  <c r="W10" s="1"/>
  <c r="Q10"/>
  <c r="R10" s="1"/>
  <c r="J10"/>
  <c r="AP9"/>
  <c r="AQ9" s="1"/>
  <c r="AK9"/>
  <c r="AL9" s="1"/>
  <c r="AF9"/>
  <c r="AG9" s="1"/>
  <c r="AA9"/>
  <c r="AB9" s="1"/>
  <c r="M23" i="6" s="1"/>
  <c r="V9" i="1"/>
  <c r="W9" s="1"/>
  <c r="M22" i="6" s="1"/>
  <c r="Q9" i="1"/>
  <c r="R9" s="1"/>
  <c r="M18" i="6" s="1"/>
  <c r="J9" i="1"/>
  <c r="AT8"/>
  <c r="AP8"/>
  <c r="AK8"/>
  <c r="AF8"/>
  <c r="AA8"/>
  <c r="V8"/>
  <c r="Q8"/>
  <c r="J8"/>
  <c r="R8" l="1"/>
  <c r="S8"/>
  <c r="L20" i="6" s="1"/>
  <c r="AQ8" i="1"/>
  <c r="AR8"/>
  <c r="L26" i="6" s="1"/>
  <c r="M27"/>
  <c r="AG8" i="1"/>
  <c r="AH8"/>
  <c r="L24" i="6" s="1"/>
  <c r="M25"/>
  <c r="AL8" i="1"/>
  <c r="AM8"/>
  <c r="L25" i="6" s="1"/>
  <c r="AB8" i="1"/>
  <c r="AC8"/>
  <c r="L23" i="6" s="1"/>
  <c r="M26"/>
  <c r="M24"/>
  <c r="W8" i="1"/>
  <c r="X8"/>
  <c r="L22" i="6" s="1"/>
  <c r="L8" i="1"/>
  <c r="L18" i="6" s="1"/>
  <c r="K18"/>
  <c r="AQ8" i="5"/>
  <c r="AR8"/>
  <c r="Q26" i="6" s="1"/>
  <c r="K8" i="5"/>
  <c r="L8"/>
  <c r="Q18" i="6" s="1"/>
  <c r="AL24" i="5"/>
  <c r="R25" i="6" s="1"/>
  <c r="AM8" i="5"/>
  <c r="Q25" i="6" s="1"/>
  <c r="R24" i="5"/>
  <c r="R20" i="6" s="1"/>
  <c r="S8" i="5"/>
  <c r="Q20" i="6" s="1"/>
  <c r="AB29" i="5"/>
  <c r="AC8"/>
  <c r="Q23" i="6" s="1"/>
  <c r="W28" i="5"/>
  <c r="X8"/>
  <c r="Q22" i="6" s="1"/>
  <c r="AG17" i="5"/>
  <c r="AH8"/>
  <c r="Q24" i="6" s="1"/>
  <c r="R24"/>
  <c r="P24"/>
  <c r="K20"/>
  <c r="K22"/>
  <c r="K23"/>
  <c r="K24"/>
  <c r="K25"/>
  <c r="K26"/>
  <c r="R27"/>
  <c r="AV30" i="5"/>
  <c r="AW30" s="1"/>
  <c r="BA30" s="1"/>
  <c r="R26" i="6"/>
  <c r="R18"/>
  <c r="P18"/>
  <c r="P26"/>
  <c r="P25"/>
  <c r="P23"/>
  <c r="P22"/>
  <c r="P20"/>
  <c r="AX26" i="5"/>
  <c r="AX15"/>
  <c r="AX25"/>
  <c r="AX8"/>
  <c r="AX30"/>
  <c r="AX13"/>
  <c r="AX23"/>
  <c r="AX24"/>
  <c r="AX18"/>
  <c r="AX21"/>
  <c r="AX29"/>
  <c r="AX11"/>
  <c r="K11"/>
  <c r="AV11" s="1"/>
  <c r="AW11" s="1"/>
  <c r="BA11" s="1"/>
  <c r="K21"/>
  <c r="AV21" s="1"/>
  <c r="AW21" s="1"/>
  <c r="BA21" s="1"/>
  <c r="AX22"/>
  <c r="AV32"/>
  <c r="AW32" s="1"/>
  <c r="BA32" s="1"/>
  <c r="AV20"/>
  <c r="AW20" s="1"/>
  <c r="BA20" s="1"/>
  <c r="AX28"/>
  <c r="AX12"/>
  <c r="AX10"/>
  <c r="AX27"/>
  <c r="AV14"/>
  <c r="AW14" s="1"/>
  <c r="BA14" s="1"/>
  <c r="AV18"/>
  <c r="AW18" s="1"/>
  <c r="BA18" s="1"/>
  <c r="AV19"/>
  <c r="AW19" s="1"/>
  <c r="BA19" s="1"/>
  <c r="AV31"/>
  <c r="AW31" s="1"/>
  <c r="BA31" s="1"/>
  <c r="AV16"/>
  <c r="AW16" s="1"/>
  <c r="BA16" s="1"/>
  <c r="AL8"/>
  <c r="K17"/>
  <c r="W24"/>
  <c r="R26"/>
  <c r="AV26" s="1"/>
  <c r="AW26" s="1"/>
  <c r="BA26" s="1"/>
  <c r="K28"/>
  <c r="AL30"/>
  <c r="W9"/>
  <c r="AX9"/>
  <c r="K13"/>
  <c r="AQ13"/>
  <c r="AX19"/>
  <c r="K23"/>
  <c r="AV23" s="1"/>
  <c r="AW23" s="1"/>
  <c r="BA23" s="1"/>
  <c r="AX31"/>
  <c r="AX16"/>
  <c r="AB9"/>
  <c r="K15"/>
  <c r="AV15" s="1"/>
  <c r="AW15" s="1"/>
  <c r="BA15" s="1"/>
  <c r="K25"/>
  <c r="AV25" s="1"/>
  <c r="AW25" s="1"/>
  <c r="BA25" s="1"/>
  <c r="AG10"/>
  <c r="AX17"/>
  <c r="K27"/>
  <c r="AV27" s="1"/>
  <c r="AW27" s="1"/>
  <c r="BA27" s="1"/>
  <c r="AX14"/>
  <c r="AX20"/>
  <c r="AX32"/>
  <c r="W12"/>
  <c r="AV12" s="1"/>
  <c r="AW12" s="1"/>
  <c r="BA12" s="1"/>
  <c r="W22"/>
  <c r="AV22" s="1"/>
  <c r="AW22" s="1"/>
  <c r="BA22" s="1"/>
  <c r="AX8" i="1"/>
  <c r="AG11"/>
  <c r="AX14"/>
  <c r="AX20"/>
  <c r="AV29"/>
  <c r="AW29" s="1"/>
  <c r="BA29" s="1"/>
  <c r="AV13"/>
  <c r="AW13" s="1"/>
  <c r="BA13" s="1"/>
  <c r="AX19"/>
  <c r="AX28"/>
  <c r="AX12"/>
  <c r="AX26"/>
  <c r="AX27"/>
  <c r="AV25"/>
  <c r="AW25" s="1"/>
  <c r="BA25" s="1"/>
  <c r="K26"/>
  <c r="AV26" s="1"/>
  <c r="AW26" s="1"/>
  <c r="BA26" s="1"/>
  <c r="AX11"/>
  <c r="AX17"/>
  <c r="AX24"/>
  <c r="AX10"/>
  <c r="AX16"/>
  <c r="AX23"/>
  <c r="AV21"/>
  <c r="AW21" s="1"/>
  <c r="BA21" s="1"/>
  <c r="AX15"/>
  <c r="AX30"/>
  <c r="AV18"/>
  <c r="AW18" s="1"/>
  <c r="BA18" s="1"/>
  <c r="K11"/>
  <c r="K19"/>
  <c r="AV19" s="1"/>
  <c r="AW19" s="1"/>
  <c r="BA19" s="1"/>
  <c r="K15"/>
  <c r="AV15" s="1"/>
  <c r="AW15" s="1"/>
  <c r="BA15" s="1"/>
  <c r="K17"/>
  <c r="AV17" s="1"/>
  <c r="AW17" s="1"/>
  <c r="BA17" s="1"/>
  <c r="K23"/>
  <c r="AV23" s="1"/>
  <c r="AW23" s="1"/>
  <c r="BA23" s="1"/>
  <c r="K27"/>
  <c r="AV27" s="1"/>
  <c r="AW27" s="1"/>
  <c r="BA27" s="1"/>
  <c r="AX9"/>
  <c r="AX13"/>
  <c r="AX18"/>
  <c r="AX21"/>
  <c r="AX25"/>
  <c r="AX29"/>
  <c r="K9"/>
  <c r="AV9" s="1"/>
  <c r="AW9" s="1"/>
  <c r="BA9" s="1"/>
  <c r="K8"/>
  <c r="K10"/>
  <c r="AV10" s="1"/>
  <c r="AW10" s="1"/>
  <c r="BA10" s="1"/>
  <c r="K12"/>
  <c r="AV12" s="1"/>
  <c r="AW12" s="1"/>
  <c r="BA12" s="1"/>
  <c r="K14"/>
  <c r="AV14" s="1"/>
  <c r="AW14" s="1"/>
  <c r="BA14" s="1"/>
  <c r="K16"/>
  <c r="AV16" s="1"/>
  <c r="AW16" s="1"/>
  <c r="BA16" s="1"/>
  <c r="K20"/>
  <c r="AV20" s="1"/>
  <c r="AW20" s="1"/>
  <c r="BA20" s="1"/>
  <c r="K24"/>
  <c r="AV24" s="1"/>
  <c r="AW24" s="1"/>
  <c r="BA24" s="1"/>
  <c r="K28"/>
  <c r="AV28" s="1"/>
  <c r="AW28" s="1"/>
  <c r="BA28" s="1"/>
  <c r="K30"/>
  <c r="AV30" s="1"/>
  <c r="AW30" s="1"/>
  <c r="BA30" s="1"/>
  <c r="AV8" l="1"/>
  <c r="AW8" s="1"/>
  <c r="BA8" s="1"/>
  <c r="R23" i="6"/>
  <c r="AV8" i="5"/>
  <c r="AW8" s="1"/>
  <c r="BA8" s="1"/>
  <c r="AV24"/>
  <c r="AW24" s="1"/>
  <c r="BA24" s="1"/>
  <c r="AV29"/>
  <c r="AW29" s="1"/>
  <c r="BA29" s="1"/>
  <c r="AV28"/>
  <c r="AW28" s="1"/>
  <c r="BA28" s="1"/>
  <c r="AV17"/>
  <c r="AW17" s="1"/>
  <c r="BA17" s="1"/>
  <c r="R22" i="6"/>
  <c r="M20"/>
  <c r="AV11" i="1"/>
  <c r="AW11" s="1"/>
  <c r="BA11" s="1"/>
  <c r="AV13" i="5"/>
  <c r="AW13" s="1"/>
  <c r="BA13" s="1"/>
  <c r="AV9"/>
  <c r="AW9" s="1"/>
  <c r="BA9" s="1"/>
  <c r="AV10"/>
  <c r="AW10" s="1"/>
  <c r="BA10" s="1"/>
  <c r="AT35" i="4" l="1"/>
  <c r="AP35"/>
  <c r="AQ35" s="1"/>
  <c r="AK35"/>
  <c r="AL35" s="1"/>
  <c r="AF35"/>
  <c r="AG35" s="1"/>
  <c r="AA35"/>
  <c r="AB35" s="1"/>
  <c r="V35"/>
  <c r="W35" s="1"/>
  <c r="Q35"/>
  <c r="AT28"/>
  <c r="AP28"/>
  <c r="AQ28" s="1"/>
  <c r="AK28"/>
  <c r="AL28" s="1"/>
  <c r="AF28"/>
  <c r="AG28" s="1"/>
  <c r="AA28"/>
  <c r="AB28" s="1"/>
  <c r="V28"/>
  <c r="Q28"/>
  <c r="R28" s="1"/>
  <c r="J28"/>
  <c r="K28" s="1"/>
  <c r="AT27"/>
  <c r="AP27"/>
  <c r="AQ27" s="1"/>
  <c r="AK27"/>
  <c r="AL27" s="1"/>
  <c r="AF27"/>
  <c r="AG27" s="1"/>
  <c r="AA27"/>
  <c r="AB27" s="1"/>
  <c r="V27"/>
  <c r="W27" s="1"/>
  <c r="Q27"/>
  <c r="R27" s="1"/>
  <c r="J27"/>
  <c r="K27" s="1"/>
  <c r="AT26"/>
  <c r="AP26"/>
  <c r="AQ26" s="1"/>
  <c r="AK26"/>
  <c r="AL26" s="1"/>
  <c r="AF26"/>
  <c r="AG26" s="1"/>
  <c r="AA26"/>
  <c r="AB26" s="1"/>
  <c r="V26"/>
  <c r="W26" s="1"/>
  <c r="Q26"/>
  <c r="J26"/>
  <c r="K26" s="1"/>
  <c r="AT25"/>
  <c r="AP25"/>
  <c r="AQ25" s="1"/>
  <c r="AK25"/>
  <c r="AL25" s="1"/>
  <c r="AF25"/>
  <c r="AG25" s="1"/>
  <c r="AA25"/>
  <c r="AB25" s="1"/>
  <c r="V25"/>
  <c r="W25" s="1"/>
  <c r="Q25"/>
  <c r="R25" s="1"/>
  <c r="J25"/>
  <c r="AT24"/>
  <c r="AP24"/>
  <c r="AQ24" s="1"/>
  <c r="AK24"/>
  <c r="AL24" s="1"/>
  <c r="AF24"/>
  <c r="AG24" s="1"/>
  <c r="AA24"/>
  <c r="AB24" s="1"/>
  <c r="V24"/>
  <c r="W24" s="1"/>
  <c r="Q24"/>
  <c r="R24" s="1"/>
  <c r="J24"/>
  <c r="K24" s="1"/>
  <c r="AT23"/>
  <c r="AP23"/>
  <c r="AQ23" s="1"/>
  <c r="AK23"/>
  <c r="AL23" s="1"/>
  <c r="AF23"/>
  <c r="AG23" s="1"/>
  <c r="AA23"/>
  <c r="AB23" s="1"/>
  <c r="V23"/>
  <c r="W23" s="1"/>
  <c r="Q23"/>
  <c r="R23" s="1"/>
  <c r="J23"/>
  <c r="AT22"/>
  <c r="AP22"/>
  <c r="AQ22" s="1"/>
  <c r="AK22"/>
  <c r="AL22" s="1"/>
  <c r="AF22"/>
  <c r="AG22" s="1"/>
  <c r="AA22"/>
  <c r="AB22" s="1"/>
  <c r="V22"/>
  <c r="W22" s="1"/>
  <c r="Q22"/>
  <c r="R22" s="1"/>
  <c r="J22"/>
  <c r="K22" s="1"/>
  <c r="AT21"/>
  <c r="AP21"/>
  <c r="AQ21" s="1"/>
  <c r="AK21"/>
  <c r="AL21" s="1"/>
  <c r="AF21"/>
  <c r="AG21" s="1"/>
  <c r="AA21"/>
  <c r="AB21" s="1"/>
  <c r="V21"/>
  <c r="W21" s="1"/>
  <c r="Q21"/>
  <c r="R21" s="1"/>
  <c r="J21"/>
  <c r="K21" s="1"/>
  <c r="AT20"/>
  <c r="AP20"/>
  <c r="AQ20" s="1"/>
  <c r="AK20"/>
  <c r="AL20" s="1"/>
  <c r="AF20"/>
  <c r="AG20" s="1"/>
  <c r="AA20"/>
  <c r="AB20" s="1"/>
  <c r="V20"/>
  <c r="W20" s="1"/>
  <c r="Q20"/>
  <c r="J20"/>
  <c r="K20" s="1"/>
  <c r="AT19"/>
  <c r="AP19"/>
  <c r="AQ19" s="1"/>
  <c r="AK19"/>
  <c r="AL19" s="1"/>
  <c r="AF19"/>
  <c r="AG19" s="1"/>
  <c r="AA19"/>
  <c r="AB19" s="1"/>
  <c r="V19"/>
  <c r="W19" s="1"/>
  <c r="Q19"/>
  <c r="R19" s="1"/>
  <c r="J19"/>
  <c r="K19" s="1"/>
  <c r="AT18"/>
  <c r="AP18"/>
  <c r="AQ18" s="1"/>
  <c r="AK18"/>
  <c r="AL18" s="1"/>
  <c r="AF18"/>
  <c r="AG18" s="1"/>
  <c r="AA18"/>
  <c r="AB18" s="1"/>
  <c r="V18"/>
  <c r="W18" s="1"/>
  <c r="Q18"/>
  <c r="R18" s="1"/>
  <c r="J18"/>
  <c r="K18" s="1"/>
  <c r="AT17"/>
  <c r="AP17"/>
  <c r="AQ17" s="1"/>
  <c r="AK17"/>
  <c r="AL17" s="1"/>
  <c r="AF17"/>
  <c r="AG17" s="1"/>
  <c r="AA17"/>
  <c r="AB17" s="1"/>
  <c r="V17"/>
  <c r="W17" s="1"/>
  <c r="Q17"/>
  <c r="R17" s="1"/>
  <c r="J17"/>
  <c r="AT16"/>
  <c r="AP16"/>
  <c r="AQ16" s="1"/>
  <c r="AK16"/>
  <c r="AL16" s="1"/>
  <c r="AF16"/>
  <c r="AG16" s="1"/>
  <c r="AA16"/>
  <c r="AB16" s="1"/>
  <c r="V16"/>
  <c r="W16" s="1"/>
  <c r="Q16"/>
  <c r="R16" s="1"/>
  <c r="J16"/>
  <c r="AT15"/>
  <c r="AP15"/>
  <c r="AQ15" s="1"/>
  <c r="AK15"/>
  <c r="AL15" s="1"/>
  <c r="AF15"/>
  <c r="AG15" s="1"/>
  <c r="AA15"/>
  <c r="AB15" s="1"/>
  <c r="V15"/>
  <c r="W15" s="1"/>
  <c r="Q15"/>
  <c r="R15" s="1"/>
  <c r="J15"/>
  <c r="AT14"/>
  <c r="AP14"/>
  <c r="AQ14" s="1"/>
  <c r="AK14"/>
  <c r="AL14" s="1"/>
  <c r="AF14"/>
  <c r="AG14" s="1"/>
  <c r="AA14"/>
  <c r="AB14" s="1"/>
  <c r="V14"/>
  <c r="W14" s="1"/>
  <c r="Q14"/>
  <c r="R14" s="1"/>
  <c r="J14"/>
  <c r="K14" s="1"/>
  <c r="AT13"/>
  <c r="AP13"/>
  <c r="AQ13" s="1"/>
  <c r="AK13"/>
  <c r="AL13" s="1"/>
  <c r="AF13"/>
  <c r="AG13" s="1"/>
  <c r="AA13"/>
  <c r="AB13" s="1"/>
  <c r="V13"/>
  <c r="W13" s="1"/>
  <c r="Q13"/>
  <c r="R13" s="1"/>
  <c r="J13"/>
  <c r="AT12"/>
  <c r="AP12"/>
  <c r="AQ12" s="1"/>
  <c r="AK12"/>
  <c r="AL12" s="1"/>
  <c r="AF12"/>
  <c r="AG12" s="1"/>
  <c r="AA12"/>
  <c r="AB12" s="1"/>
  <c r="V12"/>
  <c r="W12" s="1"/>
  <c r="Q12"/>
  <c r="R12" s="1"/>
  <c r="J12"/>
  <c r="K12" s="1"/>
  <c r="AT11"/>
  <c r="AP11"/>
  <c r="AQ11" s="1"/>
  <c r="AK11"/>
  <c r="AL11" s="1"/>
  <c r="AF11"/>
  <c r="AA11"/>
  <c r="AB11" s="1"/>
  <c r="V11"/>
  <c r="W11" s="1"/>
  <c r="Q11"/>
  <c r="J11"/>
  <c r="K11" s="1"/>
  <c r="AT10"/>
  <c r="AP10"/>
  <c r="AQ10" s="1"/>
  <c r="AK10"/>
  <c r="AL10" s="1"/>
  <c r="AF10"/>
  <c r="AG10" s="1"/>
  <c r="AA10"/>
  <c r="AB10" s="1"/>
  <c r="V10"/>
  <c r="W10" s="1"/>
  <c r="Q10"/>
  <c r="J10"/>
  <c r="K10" s="1"/>
  <c r="AT9"/>
  <c r="AP9"/>
  <c r="AQ9" s="1"/>
  <c r="AK9"/>
  <c r="AF9"/>
  <c r="AG9" s="1"/>
  <c r="AA9"/>
  <c r="AB9" s="1"/>
  <c r="V9"/>
  <c r="W9" s="1"/>
  <c r="Q9"/>
  <c r="R9" s="1"/>
  <c r="J9"/>
  <c r="AT8"/>
  <c r="AP8"/>
  <c r="AK8"/>
  <c r="AF8"/>
  <c r="AA8"/>
  <c r="V8"/>
  <c r="Q8"/>
  <c r="J8"/>
  <c r="R35" l="1"/>
  <c r="AX35"/>
  <c r="K8"/>
  <c r="AU8"/>
  <c r="G27" i="6" s="1"/>
  <c r="R8" i="4"/>
  <c r="H20" i="6" s="1"/>
  <c r="AL8" i="4"/>
  <c r="AQ8"/>
  <c r="AR8" s="1"/>
  <c r="G26" i="6" s="1"/>
  <c r="AG8" i="4"/>
  <c r="AB8"/>
  <c r="AC8" s="1"/>
  <c r="G23" i="6" s="1"/>
  <c r="H27"/>
  <c r="AX15" i="4"/>
  <c r="K15"/>
  <c r="AV15" s="1"/>
  <c r="AW15" s="1"/>
  <c r="BA15" s="1"/>
  <c r="AX17"/>
  <c r="AX16"/>
  <c r="AV14"/>
  <c r="AW14" s="1"/>
  <c r="BA14" s="1"/>
  <c r="AX25"/>
  <c r="AX26"/>
  <c r="AX9"/>
  <c r="AV24"/>
  <c r="AW24" s="1"/>
  <c r="BA24" s="1"/>
  <c r="K16"/>
  <c r="AV16" s="1"/>
  <c r="AW16" s="1"/>
  <c r="BA16" s="1"/>
  <c r="AX22"/>
  <c r="AX23"/>
  <c r="K25"/>
  <c r="AV25" s="1"/>
  <c r="AW25" s="1"/>
  <c r="BA25" s="1"/>
  <c r="AX13"/>
  <c r="AX8"/>
  <c r="AX20"/>
  <c r="AV18"/>
  <c r="AW18" s="1"/>
  <c r="BA18" s="1"/>
  <c r="AX28"/>
  <c r="AX11"/>
  <c r="AV21"/>
  <c r="AW21" s="1"/>
  <c r="BA21" s="1"/>
  <c r="AV22"/>
  <c r="AW22" s="1"/>
  <c r="BA22" s="1"/>
  <c r="AV12"/>
  <c r="AW12" s="1"/>
  <c r="BA12" s="1"/>
  <c r="AV19"/>
  <c r="AW19" s="1"/>
  <c r="BA19" s="1"/>
  <c r="AV27"/>
  <c r="AW27" s="1"/>
  <c r="BA27" s="1"/>
  <c r="R10"/>
  <c r="AV10" s="1"/>
  <c r="AW10" s="1"/>
  <c r="BA10" s="1"/>
  <c r="AX10"/>
  <c r="K13"/>
  <c r="AV13" s="1"/>
  <c r="AW13" s="1"/>
  <c r="BA13" s="1"/>
  <c r="AX19"/>
  <c r="K23"/>
  <c r="AV23" s="1"/>
  <c r="AW23" s="1"/>
  <c r="BA23" s="1"/>
  <c r="K9"/>
  <c r="AX14"/>
  <c r="AX24"/>
  <c r="AX12"/>
  <c r="AX21"/>
  <c r="AG11"/>
  <c r="K17"/>
  <c r="AV17" s="1"/>
  <c r="AW17" s="1"/>
  <c r="BA17" s="1"/>
  <c r="AX27"/>
  <c r="W8"/>
  <c r="AX18"/>
  <c r="AL9"/>
  <c r="R11"/>
  <c r="R20"/>
  <c r="AV20" s="1"/>
  <c r="AW20" s="1"/>
  <c r="BA20" s="1"/>
  <c r="W28"/>
  <c r="AV28" s="1"/>
  <c r="AW28" s="1"/>
  <c r="BA28" s="1"/>
  <c r="R26"/>
  <c r="AV26" s="1"/>
  <c r="AW26" s="1"/>
  <c r="BA26" s="1"/>
  <c r="M19" i="6"/>
  <c r="K21"/>
  <c r="K19"/>
  <c r="I18"/>
  <c r="F27"/>
  <c r="U27" s="1"/>
  <c r="F26"/>
  <c r="U26" s="1"/>
  <c r="F25"/>
  <c r="U25" s="1"/>
  <c r="F24"/>
  <c r="U24" s="1"/>
  <c r="F23"/>
  <c r="U23" s="1"/>
  <c r="F22"/>
  <c r="F20"/>
  <c r="F18"/>
  <c r="U18" s="1"/>
  <c r="E26"/>
  <c r="T26" s="1"/>
  <c r="E25"/>
  <c r="T25" s="1"/>
  <c r="E24"/>
  <c r="T24" s="1"/>
  <c r="E23"/>
  <c r="T23" s="1"/>
  <c r="E22"/>
  <c r="T22" s="1"/>
  <c r="E21"/>
  <c r="T21" s="1"/>
  <c r="E20"/>
  <c r="T20" s="1"/>
  <c r="E19"/>
  <c r="T19" s="1"/>
  <c r="E18"/>
  <c r="T18" s="1"/>
  <c r="D26"/>
  <c r="S26" s="1"/>
  <c r="D25"/>
  <c r="S25" s="1"/>
  <c r="D24"/>
  <c r="S24" s="1"/>
  <c r="D23"/>
  <c r="S23" s="1"/>
  <c r="D22"/>
  <c r="S22" s="1"/>
  <c r="D21"/>
  <c r="S21" s="1"/>
  <c r="D20"/>
  <c r="S20" s="1"/>
  <c r="D19"/>
  <c r="S19" s="1"/>
  <c r="D18"/>
  <c r="D10"/>
  <c r="D5"/>
  <c r="R21"/>
  <c r="R19"/>
  <c r="H19"/>
  <c r="AM8" i="4" l="1"/>
  <c r="G25" i="6" s="1"/>
  <c r="H18"/>
  <c r="V18" s="1"/>
  <c r="H25"/>
  <c r="AH8" i="4"/>
  <c r="G24" i="6" s="1"/>
  <c r="H24"/>
  <c r="H26"/>
  <c r="H23"/>
  <c r="H22"/>
  <c r="L8" i="4"/>
  <c r="G18" i="6" s="1"/>
  <c r="AV8" i="4"/>
  <c r="AW8" s="1"/>
  <c r="BA8" s="1"/>
  <c r="X8"/>
  <c r="G22" i="6" s="1"/>
  <c r="S8" i="4"/>
  <c r="G20" i="6" s="1"/>
  <c r="AV11" i="4"/>
  <c r="AW11" s="1"/>
  <c r="BA11" s="1"/>
  <c r="K28" i="6"/>
  <c r="S18"/>
  <c r="AV9" i="4"/>
  <c r="AW9" s="1"/>
  <c r="BA9" s="1"/>
  <c r="F28" i="6"/>
  <c r="V27" l="1"/>
  <c r="V26" l="1"/>
  <c r="V24"/>
  <c r="V25"/>
  <c r="V22"/>
  <c r="U22"/>
  <c r="I9" i="3"/>
  <c r="G29"/>
  <c r="V23" i="6" l="1"/>
  <c r="V20"/>
  <c r="U20"/>
  <c r="P28" l="1"/>
  <c r="U28"/>
  <c r="W18"/>
  <c r="I7" i="3"/>
  <c r="E32" l="1"/>
  <c r="H29"/>
  <c r="F28"/>
  <c r="F27"/>
  <c r="F26"/>
  <c r="F25"/>
  <c r="F24"/>
  <c r="F23"/>
  <c r="F22"/>
  <c r="F21"/>
  <c r="J23"/>
  <c r="J21"/>
  <c r="H23"/>
  <c r="H21"/>
  <c r="F20"/>
  <c r="E30"/>
  <c r="C8"/>
  <c r="C7"/>
  <c r="C6"/>
  <c r="I29" l="1"/>
  <c r="J29"/>
  <c r="K29" s="1"/>
  <c r="G28"/>
  <c r="G21"/>
  <c r="H28" l="1"/>
  <c r="G22"/>
  <c r="C10"/>
  <c r="C9"/>
  <c r="G27"/>
  <c r="G26"/>
  <c r="G24"/>
  <c r="G23"/>
  <c r="H25" l="1"/>
  <c r="G25"/>
  <c r="I28"/>
  <c r="J28"/>
  <c r="K28" s="1"/>
  <c r="H27"/>
  <c r="H26"/>
  <c r="H24"/>
  <c r="G20"/>
  <c r="I25"/>
  <c r="I26" l="1"/>
  <c r="H20"/>
  <c r="I27"/>
  <c r="J22"/>
  <c r="K22" s="1"/>
  <c r="H22"/>
  <c r="J20"/>
  <c r="K20" s="1"/>
  <c r="I20"/>
  <c r="I24"/>
  <c r="I22"/>
  <c r="H30" l="1"/>
  <c r="J27"/>
  <c r="K27" s="1"/>
  <c r="J26"/>
  <c r="K26" s="1"/>
  <c r="J25"/>
  <c r="K25" s="1"/>
  <c r="J24"/>
  <c r="K24" s="1"/>
  <c r="L20" l="1"/>
  <c r="J32"/>
  <c r="E33"/>
</calcChain>
</file>

<file path=xl/sharedStrings.xml><?xml version="1.0" encoding="utf-8"?>
<sst xmlns="http://schemas.openxmlformats.org/spreadsheetml/2006/main" count="588" uniqueCount="186">
  <si>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</si>
  <si>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</si>
  <si>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</si>
  <si>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</si>
  <si>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</si>
  <si>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</si>
  <si>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</si>
  <si>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</si>
  <si>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</si>
  <si>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</si>
  <si>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</si>
  <si>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</si>
  <si>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</si>
  <si>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</si>
  <si>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</si>
  <si>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</si>
  <si>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</si>
  <si>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 xml:space="preserve"> STUDENT NAME</t>
  </si>
  <si>
    <t xml:space="preserve"> FATHER'S NAME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</si>
  <si>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</si>
  <si>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</si>
  <si>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</si>
  <si>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</si>
  <si>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</si>
  <si>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</si>
  <si>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</si>
  <si>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</si>
  <si>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</si>
  <si>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</si>
  <si>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</si>
  <si>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</si>
  <si>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</si>
  <si>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 xml:space="preserve"> SECTION</t>
  </si>
  <si>
    <t>FATHER NAME</t>
  </si>
  <si>
    <t>MOTHER NAME</t>
  </si>
  <si>
    <t>THREE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</si>
  <si>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</si>
  <si>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</si>
  <si>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</si>
  <si>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</si>
  <si>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</si>
  <si>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</si>
  <si>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</si>
  <si>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</si>
  <si>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>KOROTOYA</t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</si>
  <si>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Examination-2023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</si>
  <si>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t xml:space="preserve"> CLASS</t>
  </si>
  <si>
    <t xml:space="preserve"> MOTHER'S NAME</t>
  </si>
  <si>
    <t xml:space="preserve"> CLASS TEACHER</t>
  </si>
  <si>
    <t xml:space="preserve"> MOBILE NO.</t>
  </si>
  <si>
    <t xml:space="preserve">           Class Teacher                                       Co-Ordinator                                     Vice Principal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</si>
  <si>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</si>
  <si>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</si>
  <si>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</si>
  <si>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</si>
  <si>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 xml:space="preserve">Name Of The Student </t>
  </si>
  <si>
    <t>: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</si>
  <si>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</si>
  <si>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</si>
  <si>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</si>
  <si>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</si>
  <si>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</si>
  <si>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</si>
  <si>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</si>
  <si>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CONTINUOUS
ASSESSMENT-20</t>
  </si>
  <si>
    <r>
      <t>1</t>
    </r>
    <r>
      <rPr>
        <b/>
        <vertAlign val="superscript"/>
        <sz val="12"/>
        <color theme="1"/>
        <rFont val="Cambria"/>
        <family val="1"/>
        <scheme val="major"/>
      </rPr>
      <t>st</t>
    </r>
    <r>
      <rPr>
        <b/>
        <sz val="12"/>
        <color theme="1"/>
        <rFont val="Cambria"/>
        <family val="1"/>
        <scheme val="major"/>
      </rPr>
      <t xml:space="preserve"> Term Exam</t>
    </r>
  </si>
  <si>
    <r>
      <t>2</t>
    </r>
    <r>
      <rPr>
        <b/>
        <vertAlign val="superscript"/>
        <sz val="12"/>
        <color theme="1"/>
        <rFont val="Cambria"/>
        <family val="1"/>
        <scheme val="major"/>
      </rPr>
      <t xml:space="preserve">nd </t>
    </r>
    <r>
      <rPr>
        <b/>
        <sz val="12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</si>
  <si>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2"/>
        <color theme="1"/>
        <rFont val="Cambria"/>
        <family val="1"/>
        <scheme val="major"/>
      </rPr>
      <t xml:space="preserve">rd </t>
    </r>
    <r>
      <rPr>
        <b/>
        <sz val="12"/>
        <color theme="1"/>
        <rFont val="Cambria"/>
        <family val="1"/>
        <scheme val="major"/>
      </rPr>
      <t>Term Exam</t>
    </r>
  </si>
  <si>
    <t>Final Result</t>
  </si>
  <si>
    <t>CREATIVE</t>
  </si>
  <si>
    <t>HIGHEST MARKS</t>
  </si>
  <si>
    <t>Average Marks of Continuous Assesment</t>
  </si>
  <si>
    <t>Average Marks of  Creative</t>
  </si>
  <si>
    <t>C.GPA</t>
  </si>
  <si>
    <t>BANGLA 1ST PAPER</t>
  </si>
  <si>
    <t>BANGLA 2ND PAPER</t>
  </si>
  <si>
    <t>ENGLISH 1ST PAPER</t>
  </si>
  <si>
    <t>ENGLISH 2ND PAPER</t>
  </si>
  <si>
    <t>G. MATHEMATICS</t>
  </si>
  <si>
    <t>G. TOTAL / TOTAL MARKS</t>
  </si>
  <si>
    <t>All Semester Total Marks</t>
  </si>
  <si>
    <t>Rank</t>
  </si>
  <si>
    <t xml:space="preserve">1st </t>
  </si>
  <si>
    <t>2nd</t>
  </si>
  <si>
    <t>3rd</t>
  </si>
  <si>
    <t>Avg</t>
  </si>
  <si>
    <t>DRAWING(Not Include)</t>
  </si>
  <si>
    <t>Final Position Of The Examination :</t>
  </si>
  <si>
    <t>SUMA PARVIN</t>
  </si>
  <si>
    <t>01862-264411</t>
  </si>
  <si>
    <t>GRAND-TOTAL</t>
  </si>
  <si>
    <t>Co-Ordinator</t>
  </si>
  <si>
    <t>Principal</t>
  </si>
  <si>
    <t>01881-244051</t>
  </si>
  <si>
    <r>
      <rPr>
        <b/>
        <sz val="18"/>
        <color theme="1"/>
        <rFont val="Cambria"/>
        <family val="1"/>
        <scheme val="major"/>
      </rPr>
      <t xml:space="preserve">AMIN CADET RESIDENTIAL ACADEMY </t>
    </r>
    <r>
      <rPr>
        <b/>
        <sz val="11"/>
        <color theme="1"/>
        <rFont val="Cambria"/>
        <family val="1"/>
        <scheme val="major"/>
      </rPr>
      <t xml:space="preserve">
Amin Model Town, Savar Cantonment, Ashulia, Savar, Dhaka-1344.
Annual Examination Result -2025
</t>
    </r>
  </si>
  <si>
    <r>
      <rPr>
        <sz val="13"/>
        <rFont val="Times New Roman"/>
        <family val="1"/>
      </rPr>
      <t xml:space="preserve">AMIN CADET RESIDENTIAL ACADEMY </t>
    </r>
    <r>
      <rPr>
        <sz val="13"/>
        <rFont val="Algerian"/>
        <family val="5"/>
      </rPr>
      <t xml:space="preserve"> 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3RD SEMESTER EXAMINATION TABULATION SHEET- 2025
 CLASS - THREE</t>
    </r>
  </si>
  <si>
    <t>Md. Sabid</t>
  </si>
  <si>
    <t xml:space="preserve">Md. Tipu Howladar </t>
  </si>
  <si>
    <t xml:space="preserve">Maksooda Begum </t>
  </si>
  <si>
    <t xml:space="preserve">Md. Rubayer Nur Rafi </t>
  </si>
  <si>
    <t xml:space="preserve">Md. Rajib Hossain Rana </t>
  </si>
  <si>
    <t xml:space="preserve">Nasrin Akter </t>
  </si>
  <si>
    <t>Symon Hossen Rahat</t>
  </si>
  <si>
    <t>Md. Saifullah Hossain</t>
  </si>
  <si>
    <t>Mst. Rekta</t>
  </si>
  <si>
    <t xml:space="preserve">Kamrun Nahar Tanha </t>
  </si>
  <si>
    <t xml:space="preserve">Md. Bablu </t>
  </si>
  <si>
    <t xml:space="preserve">Taslima Begum </t>
  </si>
  <si>
    <t xml:space="preserve">Md Nihal Sarkar Nirnoy </t>
  </si>
  <si>
    <t xml:space="preserve">Md Sohel Rana </t>
  </si>
  <si>
    <t xml:space="preserve">Nazmin Khatun </t>
  </si>
  <si>
    <t xml:space="preserve">Anisha Akter </t>
  </si>
  <si>
    <t xml:space="preserve">Md Rakibuzzaman Roni </t>
  </si>
  <si>
    <t xml:space="preserve">Roxana Akter </t>
  </si>
  <si>
    <t xml:space="preserve">Md Nehan Sarkar Nirjhor </t>
  </si>
  <si>
    <t>Md. Faizan Mashroor</t>
  </si>
  <si>
    <t>Md. Amran Hossain</t>
  </si>
  <si>
    <t>Fatema Tuj Johura</t>
  </si>
  <si>
    <t xml:space="preserve">Md. Rafaqat Sadek Rafan </t>
  </si>
  <si>
    <t xml:space="preserve">Sibly Shadack </t>
  </si>
  <si>
    <t xml:space="preserve">Mst. Bristy Akter </t>
  </si>
  <si>
    <t xml:space="preserve">Lafi Islam Abir </t>
  </si>
  <si>
    <t xml:space="preserve">Sha Alam </t>
  </si>
  <si>
    <t xml:space="preserve">Lipi Akter </t>
  </si>
  <si>
    <t xml:space="preserve">Ishrat Jahan Nuran </t>
  </si>
  <si>
    <t xml:space="preserve">Mohammed Ilias </t>
  </si>
  <si>
    <t xml:space="preserve">Mst. Nithe Moni </t>
  </si>
  <si>
    <t xml:space="preserve">Ashraful Haque Jayas </t>
  </si>
  <si>
    <t>Md. Mamun Islam</t>
  </si>
  <si>
    <t xml:space="preserve">Rifat Sultana Ruma </t>
  </si>
  <si>
    <t xml:space="preserve">Jannatul Mawya Sizdah </t>
  </si>
  <si>
    <t xml:space="preserve">Md. Masud Rana Sarkar </t>
  </si>
  <si>
    <t xml:space="preserve">Mst. Shamshad Jahan </t>
  </si>
  <si>
    <t xml:space="preserve">Sabbir Islam Sazid </t>
  </si>
  <si>
    <t xml:space="preserve">Sabuj Howlader </t>
  </si>
  <si>
    <t xml:space="preserve">Sarmin Akter </t>
  </si>
  <si>
    <t xml:space="preserve">Mohtasim Fuad </t>
  </si>
  <si>
    <t>Md. Dulal Miah</t>
  </si>
  <si>
    <t>Shehena</t>
  </si>
  <si>
    <t xml:space="preserve">Anisa Binte Roza </t>
  </si>
  <si>
    <t>Md. Abdur Razzak</t>
  </si>
  <si>
    <t>Mst. Asma Akter</t>
  </si>
  <si>
    <t xml:space="preserve">Sree Dibashis Chandro Barmon </t>
  </si>
  <si>
    <t xml:space="preserve">Sree Bidhan Kumar Barmon </t>
  </si>
  <si>
    <t xml:space="preserve">Shilpi </t>
  </si>
  <si>
    <t xml:space="preserve">Maidul Hasan </t>
  </si>
  <si>
    <t>Md. Humaion Kobir</t>
  </si>
  <si>
    <t>Shiuli Akter</t>
  </si>
  <si>
    <t xml:space="preserve">Amir Hamza </t>
  </si>
  <si>
    <t>Muhammad Aminur Rahman</t>
  </si>
  <si>
    <t xml:space="preserve">Mst. Shirin Akter </t>
  </si>
  <si>
    <t xml:space="preserve">Mst. Tanisha Islam Tamanna </t>
  </si>
  <si>
    <t xml:space="preserve">Md. Touhiedul Islam </t>
  </si>
  <si>
    <t xml:space="preserve">Mst. Salma Sultana </t>
  </si>
  <si>
    <t>K M Omar Faruk</t>
  </si>
  <si>
    <t xml:space="preserve">Md. Mizanur Rahman Khan </t>
  </si>
  <si>
    <t xml:space="preserve">Farzana </t>
  </si>
  <si>
    <t xml:space="preserve">Md. Hashebur Rahman </t>
  </si>
  <si>
    <t>Md. Jaherul Islam Akash</t>
  </si>
  <si>
    <t xml:space="preserve">Sabina Yeasmin </t>
  </si>
  <si>
    <t>Abdullah Al Farabi</t>
  </si>
  <si>
    <t>Md. Masum Parvez</t>
  </si>
  <si>
    <t>Rashida Akter</t>
  </si>
  <si>
    <t>Abu Obaida Adib</t>
  </si>
  <si>
    <t>Md. Absar Ali</t>
  </si>
  <si>
    <t>Sampa</t>
  </si>
  <si>
    <t>Md. Tawsif Imam</t>
  </si>
  <si>
    <t>Tawsid Iman Suman</t>
  </si>
  <si>
    <t>Tarana Akter</t>
  </si>
  <si>
    <t>Md. Alif Islam</t>
  </si>
  <si>
    <t>Abdur Rahim</t>
  </si>
  <si>
    <t>Sheuly Akter</t>
  </si>
  <si>
    <t>Abrar Shahriar Raiyan</t>
  </si>
  <si>
    <t>Md. Nure Alam Siddiquey</t>
  </si>
  <si>
    <t>Mst Rubina Yeasmin</t>
  </si>
  <si>
    <r>
      <rPr>
        <sz val="13"/>
        <rFont val="Times New Roman"/>
        <family val="1"/>
      </rPr>
      <t xml:space="preserve">AMIN CADET RESIDENTIAL ACADEMY 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EXAMINATION TABULATION SHEET- 2025
 CLASS - THREE</t>
    </r>
  </si>
  <si>
    <r>
      <rPr>
        <sz val="13"/>
        <rFont val="Times New Roman"/>
        <family val="1"/>
      </rPr>
      <t xml:space="preserve">AMIN CADET RESIDENTIAL ACADEMY 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EXAMINATION TABULATION SHEET- 2025
 CLASS - THREE</t>
    </r>
  </si>
  <si>
    <t>Masrul Islam</t>
  </si>
  <si>
    <t>Md. Ashraful Islam</t>
  </si>
  <si>
    <t>Rubel Farazi</t>
  </si>
  <si>
    <t>Mst China Akter</t>
  </si>
  <si>
    <t>Md Abdur Rahman Rayan</t>
  </si>
  <si>
    <t>Md. Aminur</t>
  </si>
  <si>
    <t>Taniya Sultana</t>
  </si>
  <si>
    <t>Md. Asadur Rahman</t>
  </si>
  <si>
    <t>Shahanaj Akter</t>
  </si>
</sst>
</file>

<file path=xl/styles.xml><?xml version="1.0" encoding="utf-8"?>
<styleSheet xmlns="http://schemas.openxmlformats.org/spreadsheetml/2006/main">
  <numFmts count="4">
    <numFmt numFmtId="164" formatCode="00000\-0000"/>
    <numFmt numFmtId="165" formatCode="0.0"/>
    <numFmt numFmtId="166" formatCode="0.00;[Red]0.00"/>
    <numFmt numFmtId="167" formatCode="00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12"/>
      <color theme="3" tint="0.39997558519241921"/>
      <name val="Tempus Sans ITC"/>
      <family val="5"/>
    </font>
    <font>
      <b/>
      <sz val="11"/>
      <color rgb="FFFF0000"/>
      <name val="Tempus Sans ITC"/>
      <family val="5"/>
    </font>
    <font>
      <b/>
      <sz val="11"/>
      <color theme="1"/>
      <name val="Calibri"/>
      <family val="2"/>
      <scheme val="minor"/>
    </font>
    <font>
      <b/>
      <sz val="11"/>
      <color theme="2" tint="-0.499984740745262"/>
      <name val="Times New Roman"/>
      <family val="1"/>
    </font>
    <font>
      <sz val="12"/>
      <color theme="2" tint="-0.499984740745262"/>
      <name val="Times New Roman"/>
      <family val="1"/>
    </font>
    <font>
      <b/>
      <sz val="16"/>
      <color theme="2" tint="-0.499984740745262"/>
      <name val="Times New Roman"/>
      <family val="1"/>
    </font>
    <font>
      <b/>
      <sz val="12"/>
      <color rgb="FF00B0F0"/>
      <name val="Tempus Sans ITC"/>
      <family val="5"/>
    </font>
    <font>
      <sz val="12"/>
      <color theme="1" tint="0.499984740745262"/>
      <name val="Times New Roman"/>
      <family val="1"/>
    </font>
    <font>
      <b/>
      <sz val="14"/>
      <color theme="1" tint="0.499984740745262"/>
      <name val="Times New Roman"/>
      <family val="1"/>
    </font>
    <font>
      <b/>
      <sz val="11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1"/>
      <color theme="2" tint="-0.499984740745262"/>
      <name val="Times New Roman"/>
      <family val="1"/>
    </font>
    <font>
      <sz val="15"/>
      <name val="Times New Roman"/>
      <family val="1"/>
    </font>
    <font>
      <sz val="12"/>
      <name val="Times New Roman"/>
      <family val="1"/>
    </font>
    <font>
      <b/>
      <sz val="10"/>
      <color theme="2" tint="-0.49998474074526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color theme="2" tint="-0.499984740745262"/>
      <name val="Tempus Sans ITC"/>
      <family val="5"/>
    </font>
    <font>
      <b/>
      <sz val="10"/>
      <color theme="1"/>
      <name val="Arial"/>
      <family val="2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b/>
      <sz val="10"/>
      <color theme="3" tint="-0.249977111117893"/>
      <name val="Arial"/>
      <family val="2"/>
    </font>
    <font>
      <b/>
      <sz val="9"/>
      <color theme="3" tint="-0.249977111117893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Times New Roman"/>
      <family val="1"/>
    </font>
    <font>
      <sz val="13"/>
      <name val="Algerian"/>
      <family val="5"/>
    </font>
    <font>
      <sz val="6"/>
      <color theme="1"/>
      <name val="Times New Roman"/>
      <family val="1"/>
    </font>
    <font>
      <sz val="6"/>
      <color theme="1"/>
      <name val="Calibri"/>
      <family val="2"/>
      <scheme val="minor"/>
    </font>
    <font>
      <b/>
      <sz val="6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mbria"/>
      <family val="1"/>
      <scheme val="major"/>
    </font>
    <font>
      <b/>
      <sz val="18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color theme="1"/>
      <name val="Cambria"/>
      <family val="1"/>
      <scheme val="major"/>
    </font>
    <font>
      <b/>
      <vertAlign val="superscript"/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7"/>
      <color theme="1"/>
      <name val="Calibri"/>
      <family val="2"/>
      <scheme val="minor"/>
    </font>
    <font>
      <sz val="10"/>
      <color theme="5" tint="-0.249977111117893"/>
      <name val="Cambria"/>
      <family val="1"/>
      <scheme val="major"/>
    </font>
    <font>
      <b/>
      <sz val="7"/>
      <color theme="1"/>
      <name val="Times New Roman"/>
      <family val="1"/>
    </font>
    <font>
      <sz val="7"/>
      <color theme="1"/>
      <name val="Cambria"/>
      <family val="1"/>
      <scheme val="major"/>
    </font>
    <font>
      <sz val="6"/>
      <color theme="1"/>
      <name val="Cambria"/>
      <family val="1"/>
      <scheme val="major"/>
    </font>
    <font>
      <sz val="12"/>
      <name val="Cambria"/>
      <family val="1"/>
      <scheme val="major"/>
    </font>
    <font>
      <sz val="7"/>
      <name val="Times New Roman"/>
      <family val="1"/>
    </font>
    <font>
      <b/>
      <sz val="8"/>
      <color theme="1"/>
      <name val="Times New Roman"/>
      <family val="1"/>
    </font>
    <font>
      <sz val="10"/>
      <color theme="1"/>
      <name val="Cambria"/>
      <family val="1"/>
      <scheme val="major"/>
    </font>
    <font>
      <sz val="10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Cambria"/>
      <family val="1"/>
      <scheme val="major"/>
    </font>
    <font>
      <b/>
      <sz val="10"/>
      <name val="Cambria"/>
      <family val="1"/>
      <scheme val="major"/>
    </font>
    <font>
      <sz val="10"/>
      <name val="Calibri"/>
      <family val="2"/>
      <scheme val="minor"/>
    </font>
    <font>
      <sz val="8"/>
      <name val="Cambria"/>
      <family val="1"/>
      <scheme val="major"/>
    </font>
    <font>
      <sz val="11"/>
      <name val="Calibri"/>
      <family val="2"/>
      <scheme val="minor"/>
    </font>
    <font>
      <b/>
      <sz val="7"/>
      <color theme="1"/>
      <name val="Cambria"/>
      <family val="1"/>
      <scheme val="maj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mbria"/>
      <family val="1"/>
      <scheme val="major"/>
    </font>
    <font>
      <b/>
      <sz val="14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B050"/>
      </right>
      <top style="thin">
        <color indexed="64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indexed="64"/>
      </top>
      <bottom style="thin">
        <color rgb="FF00B050"/>
      </bottom>
      <diagonal/>
    </border>
    <border>
      <left style="thin">
        <color rgb="FF00B050"/>
      </left>
      <right/>
      <top style="thin">
        <color indexed="64"/>
      </top>
      <bottom style="thin">
        <color rgb="FF00B050"/>
      </bottom>
      <diagonal/>
    </border>
    <border>
      <left style="thin">
        <color rgb="FF00B050"/>
      </left>
      <right style="thin">
        <color indexed="64"/>
      </right>
      <top style="thin">
        <color indexed="64"/>
      </top>
      <bottom style="thin">
        <color rgb="FF00B050"/>
      </bottom>
      <diagonal/>
    </border>
    <border>
      <left style="thin">
        <color indexed="64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indexed="64"/>
      </right>
      <top style="thin">
        <color rgb="FF00B05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7">
    <xf numFmtId="0" fontId="0" fillId="0" borderId="0" xfId="0"/>
    <xf numFmtId="0" fontId="4" fillId="0" borderId="0" xfId="0" applyFont="1"/>
    <xf numFmtId="0" fontId="5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16" fillId="0" borderId="0" xfId="0" applyFont="1"/>
    <xf numFmtId="0" fontId="18" fillId="0" borderId="0" xfId="0" applyFont="1"/>
    <xf numFmtId="0" fontId="7" fillId="3" borderId="15" xfId="0" applyFont="1" applyFill="1" applyBorder="1"/>
    <xf numFmtId="0" fontId="6" fillId="3" borderId="0" xfId="0" applyFont="1" applyFill="1" applyAlignment="1">
      <alignment horizontal="center"/>
    </xf>
    <xf numFmtId="0" fontId="6" fillId="3" borderId="0" xfId="0" applyFont="1" applyFill="1" applyAlignment="1">
      <alignment vertical="center"/>
    </xf>
    <xf numFmtId="0" fontId="6" fillId="3" borderId="0" xfId="0" applyFont="1" applyFill="1"/>
    <xf numFmtId="0" fontId="6" fillId="3" borderId="17" xfId="0" applyFont="1" applyFill="1" applyBorder="1"/>
    <xf numFmtId="0" fontId="0" fillId="3" borderId="13" xfId="0" applyFill="1" applyBorder="1"/>
    <xf numFmtId="0" fontId="0" fillId="3" borderId="0" xfId="0" applyFill="1"/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17" xfId="0" applyFill="1" applyBorder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5" fillId="3" borderId="13" xfId="0" applyFont="1" applyFill="1" applyBorder="1" applyAlignment="1">
      <alignment horizontal="center"/>
    </xf>
    <xf numFmtId="0" fontId="15" fillId="3" borderId="0" xfId="0" applyFont="1" applyFill="1"/>
    <xf numFmtId="0" fontId="0" fillId="3" borderId="13" xfId="0" applyFill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" fontId="10" fillId="3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32" fillId="3" borderId="14" xfId="0" applyFont="1" applyFill="1" applyBorder="1" applyAlignment="1">
      <alignment horizontal="left"/>
    </xf>
    <xf numFmtId="0" fontId="32" fillId="3" borderId="13" xfId="0" applyFont="1" applyFill="1" applyBorder="1" applyAlignment="1">
      <alignment horizontal="left"/>
    </xf>
    <xf numFmtId="0" fontId="32" fillId="3" borderId="13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43" fillId="0" borderId="0" xfId="0" applyFont="1"/>
    <xf numFmtId="0" fontId="5" fillId="2" borderId="1" xfId="0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/>
    </xf>
    <xf numFmtId="1" fontId="5" fillId="2" borderId="1" xfId="0" applyNumberFormat="1" applyFont="1" applyFill="1" applyBorder="1" applyAlignment="1">
      <alignment horizontal="center" vertical="center"/>
    </xf>
    <xf numFmtId="2" fontId="5" fillId="2" borderId="1" xfId="1" applyNumberFormat="1" applyFont="1" applyFill="1" applyBorder="1" applyAlignment="1">
      <alignment horizontal="center"/>
    </xf>
    <xf numFmtId="1" fontId="13" fillId="3" borderId="1" xfId="0" applyNumberFormat="1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top"/>
    </xf>
    <xf numFmtId="0" fontId="50" fillId="2" borderId="0" xfId="0" applyFont="1" applyFill="1" applyAlignment="1">
      <alignment vertical="center"/>
    </xf>
    <xf numFmtId="0" fontId="0" fillId="2" borderId="0" xfId="0" applyFill="1"/>
    <xf numFmtId="0" fontId="48" fillId="2" borderId="29" xfId="0" applyFont="1" applyFill="1" applyBorder="1" applyAlignment="1">
      <alignment horizontal="left" vertical="top"/>
    </xf>
    <xf numFmtId="0" fontId="0" fillId="2" borderId="30" xfId="0" applyFill="1" applyBorder="1"/>
    <xf numFmtId="0" fontId="48" fillId="2" borderId="29" xfId="0" applyFont="1" applyFill="1" applyBorder="1" applyAlignment="1">
      <alignment vertical="top"/>
    </xf>
    <xf numFmtId="0" fontId="42" fillId="2" borderId="1" xfId="0" applyFont="1" applyFill="1" applyBorder="1" applyAlignment="1">
      <alignment horizontal="center" vertical="center" wrapText="1"/>
    </xf>
    <xf numFmtId="0" fontId="57" fillId="2" borderId="1" xfId="0" applyFont="1" applyFill="1" applyBorder="1" applyAlignment="1">
      <alignment horizontal="center" vertical="top" wrapText="1"/>
    </xf>
    <xf numFmtId="0" fontId="57" fillId="2" borderId="1" xfId="0" applyFont="1" applyFill="1" applyBorder="1" applyAlignment="1">
      <alignment horizontal="center" vertical="center" wrapText="1"/>
    </xf>
    <xf numFmtId="0" fontId="57" fillId="2" borderId="1" xfId="0" applyFont="1" applyFill="1" applyBorder="1" applyAlignment="1">
      <alignment vertical="top" wrapText="1"/>
    </xf>
    <xf numFmtId="49" fontId="57" fillId="2" borderId="1" xfId="0" applyNumberFormat="1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center" vertical="center"/>
    </xf>
    <xf numFmtId="0" fontId="17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17" fillId="2" borderId="4" xfId="0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horizontal="center" vertical="center" wrapText="1"/>
    </xf>
    <xf numFmtId="0" fontId="42" fillId="2" borderId="2" xfId="0" applyFont="1" applyFill="1" applyBorder="1" applyAlignment="1">
      <alignment horizontal="center" vertical="center"/>
    </xf>
    <xf numFmtId="0" fontId="62" fillId="2" borderId="1" xfId="0" applyFont="1" applyFill="1" applyBorder="1" applyAlignment="1">
      <alignment horizontal="center" vertical="center"/>
    </xf>
    <xf numFmtId="0" fontId="66" fillId="2" borderId="1" xfId="0" applyFont="1" applyFill="1" applyBorder="1" applyAlignment="1">
      <alignment horizontal="center" vertical="center"/>
    </xf>
    <xf numFmtId="1" fontId="66" fillId="2" borderId="1" xfId="0" applyNumberFormat="1" applyFont="1" applyFill="1" applyBorder="1" applyAlignment="1">
      <alignment horizontal="center" vertical="center"/>
    </xf>
    <xf numFmtId="2" fontId="66" fillId="2" borderId="1" xfId="1" applyNumberFormat="1" applyFont="1" applyFill="1" applyBorder="1" applyAlignment="1">
      <alignment horizontal="center" vertical="center"/>
    </xf>
    <xf numFmtId="0" fontId="67" fillId="2" borderId="1" xfId="0" applyFont="1" applyFill="1" applyBorder="1" applyAlignment="1">
      <alignment horizontal="center" vertical="center"/>
    </xf>
    <xf numFmtId="0" fontId="67" fillId="2" borderId="4" xfId="0" applyFont="1" applyFill="1" applyBorder="1" applyAlignment="1">
      <alignment horizontal="center" vertical="center"/>
    </xf>
    <xf numFmtId="0" fontId="68" fillId="2" borderId="1" xfId="0" applyFont="1" applyFill="1" applyBorder="1" applyAlignment="1">
      <alignment horizontal="center" vertical="center"/>
    </xf>
    <xf numFmtId="0" fontId="44" fillId="0" borderId="0" xfId="0" applyFont="1"/>
    <xf numFmtId="0" fontId="38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48" fillId="2" borderId="2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7" fillId="0" borderId="0" xfId="0" applyFont="1" applyAlignment="1">
      <alignment wrapText="1"/>
    </xf>
    <xf numFmtId="0" fontId="50" fillId="2" borderId="0" xfId="0" applyFont="1" applyFill="1" applyAlignment="1">
      <alignment horizontal="left" vertical="top"/>
    </xf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2" fillId="0" borderId="0" xfId="0" applyFont="1" applyBorder="1" applyAlignment="1">
      <alignment horizontal="left" vertical="center"/>
    </xf>
    <xf numFmtId="0" fontId="66" fillId="2" borderId="0" xfId="0" applyFont="1" applyFill="1" applyBorder="1" applyAlignment="1">
      <alignment horizontal="center" vertical="center"/>
    </xf>
    <xf numFmtId="1" fontId="66" fillId="2" borderId="0" xfId="0" applyNumberFormat="1" applyFont="1" applyFill="1" applyBorder="1" applyAlignment="1">
      <alignment horizontal="center" vertical="center"/>
    </xf>
    <xf numFmtId="2" fontId="66" fillId="2" borderId="0" xfId="1" applyNumberFormat="1" applyFont="1" applyFill="1" applyBorder="1" applyAlignment="1">
      <alignment horizontal="center" vertical="center"/>
    </xf>
    <xf numFmtId="0" fontId="67" fillId="2" borderId="0" xfId="0" applyFont="1" applyFill="1" applyBorder="1" applyAlignment="1">
      <alignment horizontal="center" vertical="center"/>
    </xf>
    <xf numFmtId="0" fontId="68" fillId="2" borderId="0" xfId="0" applyFont="1" applyFill="1" applyBorder="1" applyAlignment="1">
      <alignment horizontal="center" vertical="center"/>
    </xf>
    <xf numFmtId="0" fontId="64" fillId="2" borderId="0" xfId="0" applyFont="1" applyFill="1" applyBorder="1" applyAlignment="1">
      <alignment horizontal="center" vertical="center"/>
    </xf>
    <xf numFmtId="1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1" fontId="38" fillId="2" borderId="1" xfId="0" applyNumberFormat="1" applyFont="1" applyFill="1" applyBorder="1" applyAlignment="1">
      <alignment horizontal="center" vertical="center"/>
    </xf>
    <xf numFmtId="2" fontId="38" fillId="2" borderId="1" xfId="1" applyNumberFormat="1" applyFont="1" applyFill="1" applyBorder="1" applyAlignment="1">
      <alignment horizontal="center" vertical="center"/>
    </xf>
    <xf numFmtId="0" fontId="70" fillId="2" borderId="1" xfId="0" applyFont="1" applyFill="1" applyBorder="1" applyAlignment="1">
      <alignment horizontal="center" vertical="center"/>
    </xf>
    <xf numFmtId="0" fontId="71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left" vertical="center"/>
    </xf>
    <xf numFmtId="0" fontId="72" fillId="2" borderId="0" xfId="0" applyFont="1" applyFill="1"/>
    <xf numFmtId="0" fontId="5" fillId="2" borderId="0" xfId="0" applyFont="1" applyFill="1" applyBorder="1" applyAlignment="1">
      <alignment horizontal="center"/>
    </xf>
    <xf numFmtId="0" fontId="56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/>
    </xf>
    <xf numFmtId="0" fontId="3" fillId="0" borderId="0" xfId="0" applyFont="1" applyBorder="1"/>
    <xf numFmtId="0" fontId="56" fillId="0" borderId="0" xfId="0" applyFont="1" applyBorder="1" applyAlignment="1">
      <alignment horizontal="center" vertical="center"/>
    </xf>
    <xf numFmtId="1" fontId="5" fillId="2" borderId="0" xfId="0" applyNumberFormat="1" applyFont="1" applyFill="1" applyBorder="1" applyAlignment="1">
      <alignment horizontal="center" vertical="center"/>
    </xf>
    <xf numFmtId="2" fontId="5" fillId="2" borderId="0" xfId="1" applyNumberFormat="1" applyFont="1" applyFill="1" applyBorder="1" applyAlignment="1">
      <alignment horizontal="center"/>
    </xf>
    <xf numFmtId="1" fontId="3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60" fillId="2" borderId="0" xfId="0" applyFont="1" applyFill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38" fillId="2" borderId="1" xfId="0" applyFont="1" applyFill="1" applyBorder="1" applyAlignment="1">
      <alignment horizontal="left" vertical="center"/>
    </xf>
    <xf numFmtId="0" fontId="52" fillId="0" borderId="1" xfId="0" applyFont="1" applyFill="1" applyBorder="1" applyAlignment="1">
      <alignment horizontal="left" vertical="center"/>
    </xf>
    <xf numFmtId="0" fontId="52" fillId="0" borderId="1" xfId="0" applyFont="1" applyBorder="1" applyAlignment="1">
      <alignment horizontal="left" vertical="center" shrinkToFit="1"/>
    </xf>
    <xf numFmtId="0" fontId="21" fillId="2" borderId="1" xfId="0" applyFont="1" applyFill="1" applyBorder="1" applyAlignment="1">
      <alignment horizontal="left" vertical="center" shrinkToFit="1"/>
    </xf>
    <xf numFmtId="167" fontId="66" fillId="2" borderId="1" xfId="0" applyNumberFormat="1" applyFont="1" applyFill="1" applyBorder="1" applyAlignment="1">
      <alignment horizontal="center" vertical="center"/>
    </xf>
    <xf numFmtId="167" fontId="38" fillId="2" borderId="1" xfId="0" applyNumberFormat="1" applyFont="1" applyFill="1" applyBorder="1" applyAlignment="1">
      <alignment horizontal="center" vertical="center"/>
    </xf>
    <xf numFmtId="0" fontId="52" fillId="0" borderId="18" xfId="0" applyFont="1" applyBorder="1" applyAlignment="1">
      <alignment horizontal="center" vertical="center"/>
    </xf>
    <xf numFmtId="0" fontId="52" fillId="0" borderId="12" xfId="0" applyFont="1" applyBorder="1" applyAlignment="1">
      <alignment horizontal="left" vertical="center"/>
    </xf>
    <xf numFmtId="0" fontId="52" fillId="0" borderId="3" xfId="0" applyFont="1" applyFill="1" applyBorder="1" applyAlignment="1">
      <alignment horizontal="left" vertical="center"/>
    </xf>
    <xf numFmtId="0" fontId="52" fillId="0" borderId="1" xfId="0" applyFont="1" applyBorder="1" applyAlignment="1">
      <alignment wrapText="1"/>
    </xf>
    <xf numFmtId="0" fontId="52" fillId="0" borderId="2" xfId="0" applyFont="1" applyBorder="1" applyAlignment="1">
      <alignment horizontal="left" vertical="center" shrinkToFit="1"/>
    </xf>
    <xf numFmtId="0" fontId="66" fillId="0" borderId="18" xfId="0" applyFont="1" applyBorder="1" applyAlignment="1">
      <alignment horizontal="center" vertical="center"/>
    </xf>
    <xf numFmtId="0" fontId="66" fillId="0" borderId="1" xfId="0" applyFont="1" applyBorder="1" applyAlignment="1">
      <alignment wrapText="1"/>
    </xf>
    <xf numFmtId="0" fontId="66" fillId="0" borderId="12" xfId="0" applyFont="1" applyBorder="1" applyAlignment="1">
      <alignment horizontal="left" vertical="center"/>
    </xf>
    <xf numFmtId="0" fontId="66" fillId="0" borderId="3" xfId="0" applyFont="1" applyFill="1" applyBorder="1" applyAlignment="1">
      <alignment horizontal="left" vertical="center"/>
    </xf>
    <xf numFmtId="0" fontId="66" fillId="0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/>
    </xf>
    <xf numFmtId="0" fontId="66" fillId="6" borderId="1" xfId="0" applyFont="1" applyFill="1" applyBorder="1" applyAlignment="1">
      <alignment horizontal="center" vertical="center"/>
    </xf>
    <xf numFmtId="0" fontId="66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0" fillId="6" borderId="0" xfId="0" applyFill="1"/>
    <xf numFmtId="0" fontId="66" fillId="6" borderId="18" xfId="0" applyFont="1" applyFill="1" applyBorder="1" applyAlignment="1">
      <alignment horizontal="center" vertical="center"/>
    </xf>
    <xf numFmtId="0" fontId="66" fillId="6" borderId="1" xfId="0" applyFont="1" applyFill="1" applyBorder="1" applyAlignment="1">
      <alignment wrapText="1"/>
    </xf>
    <xf numFmtId="0" fontId="66" fillId="6" borderId="12" xfId="0" applyFont="1" applyFill="1" applyBorder="1" applyAlignment="1">
      <alignment horizontal="left" vertical="center"/>
    </xf>
    <xf numFmtId="0" fontId="56" fillId="6" borderId="1" xfId="0" applyFont="1" applyFill="1" applyBorder="1" applyAlignment="1">
      <alignment horizontal="center" vertical="center"/>
    </xf>
    <xf numFmtId="0" fontId="66" fillId="6" borderId="3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/>
    </xf>
    <xf numFmtId="0" fontId="38" fillId="2" borderId="2" xfId="0" applyFont="1" applyFill="1" applyBorder="1" applyAlignment="1">
      <alignment horizontal="center" vertical="center"/>
    </xf>
    <xf numFmtId="0" fontId="38" fillId="2" borderId="2" xfId="0" applyFont="1" applyFill="1" applyBorder="1" applyAlignment="1">
      <alignment horizontal="left" vertical="center"/>
    </xf>
    <xf numFmtId="1" fontId="5" fillId="2" borderId="2" xfId="0" applyNumberFormat="1" applyFont="1" applyFill="1" applyBorder="1" applyAlignment="1">
      <alignment horizontal="center"/>
    </xf>
    <xf numFmtId="1" fontId="5" fillId="2" borderId="2" xfId="0" applyNumberFormat="1" applyFont="1" applyFill="1" applyBorder="1" applyAlignment="1">
      <alignment horizontal="center" vertical="center"/>
    </xf>
    <xf numFmtId="2" fontId="5" fillId="2" borderId="2" xfId="1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60" fillId="2" borderId="2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/>
    </xf>
    <xf numFmtId="0" fontId="38" fillId="2" borderId="31" xfId="0" applyFont="1" applyFill="1" applyBorder="1" applyAlignment="1">
      <alignment horizontal="center" vertical="center"/>
    </xf>
    <xf numFmtId="0" fontId="38" fillId="2" borderId="31" xfId="0" applyFont="1" applyFill="1" applyBorder="1" applyAlignment="1">
      <alignment horizontal="left" vertical="center"/>
    </xf>
    <xf numFmtId="0" fontId="5" fillId="2" borderId="31" xfId="0" applyFont="1" applyFill="1" applyBorder="1" applyAlignment="1">
      <alignment horizontal="center" vertical="center"/>
    </xf>
    <xf numFmtId="1" fontId="5" fillId="2" borderId="31" xfId="0" applyNumberFormat="1" applyFont="1" applyFill="1" applyBorder="1" applyAlignment="1">
      <alignment horizontal="center"/>
    </xf>
    <xf numFmtId="1" fontId="5" fillId="2" borderId="31" xfId="0" applyNumberFormat="1" applyFont="1" applyFill="1" applyBorder="1" applyAlignment="1">
      <alignment horizontal="center" vertical="center"/>
    </xf>
    <xf numFmtId="2" fontId="5" fillId="2" borderId="31" xfId="1" applyNumberFormat="1" applyFont="1" applyFill="1" applyBorder="1" applyAlignment="1">
      <alignment horizontal="center"/>
    </xf>
    <xf numFmtId="1" fontId="3" fillId="2" borderId="31" xfId="0" applyNumberFormat="1" applyFont="1" applyFill="1" applyBorder="1" applyAlignment="1">
      <alignment horizontal="center" vertical="center"/>
    </xf>
    <xf numFmtId="0" fontId="17" fillId="2" borderId="31" xfId="0" applyFont="1" applyFill="1" applyBorder="1" applyAlignment="1">
      <alignment horizontal="center" vertical="center"/>
    </xf>
    <xf numFmtId="0" fontId="60" fillId="2" borderId="31" xfId="0" applyFont="1" applyFill="1" applyBorder="1" applyAlignment="1">
      <alignment horizontal="center" vertical="center"/>
    </xf>
    <xf numFmtId="0" fontId="0" fillId="0" borderId="32" xfId="0" applyBorder="1"/>
    <xf numFmtId="0" fontId="0" fillId="0" borderId="0" xfId="0" applyFill="1" applyBorder="1"/>
    <xf numFmtId="0" fontId="51" fillId="2" borderId="1" xfId="0" applyFont="1" applyFill="1" applyBorder="1"/>
    <xf numFmtId="1" fontId="52" fillId="2" borderId="1" xfId="0" applyNumberFormat="1" applyFont="1" applyFill="1" applyBorder="1" applyAlignment="1">
      <alignment horizontal="center" vertical="center"/>
    </xf>
    <xf numFmtId="1" fontId="61" fillId="0" borderId="1" xfId="0" applyNumberFormat="1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52" fillId="2" borderId="1" xfId="0" applyFont="1" applyFill="1" applyBorder="1"/>
    <xf numFmtId="1" fontId="61" fillId="2" borderId="1" xfId="0" applyNumberFormat="1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48" fillId="2" borderId="30" xfId="0" applyFont="1" applyFill="1" applyBorder="1" applyAlignment="1">
      <alignment horizontal="left" vertical="center"/>
    </xf>
    <xf numFmtId="0" fontId="48" fillId="2" borderId="0" xfId="0" applyFont="1" applyFill="1" applyAlignment="1">
      <alignment horizontal="left" vertical="center"/>
    </xf>
    <xf numFmtId="0" fontId="53" fillId="2" borderId="0" xfId="0" applyFont="1" applyFill="1" applyAlignment="1">
      <alignment vertical="center"/>
    </xf>
    <xf numFmtId="0" fontId="75" fillId="2" borderId="0" xfId="0" applyFont="1" applyFill="1"/>
    <xf numFmtId="0" fontId="53" fillId="2" borderId="0" xfId="0" applyFont="1" applyFill="1"/>
    <xf numFmtId="1" fontId="77" fillId="2" borderId="0" xfId="0" applyNumberFormat="1" applyFont="1" applyFill="1" applyAlignment="1">
      <alignment horizontal="left"/>
    </xf>
    <xf numFmtId="0" fontId="53" fillId="2" borderId="0" xfId="0" applyFont="1" applyFill="1" applyAlignment="1">
      <alignment horizontal="left"/>
    </xf>
    <xf numFmtId="0" fontId="50" fillId="2" borderId="1" xfId="0" applyFont="1" applyFill="1" applyBorder="1" applyAlignment="1">
      <alignment horizontal="center" vertical="center"/>
    </xf>
    <xf numFmtId="1" fontId="50" fillId="2" borderId="1" xfId="0" applyNumberFormat="1" applyFont="1" applyFill="1" applyBorder="1" applyAlignment="1">
      <alignment horizontal="center" vertical="center"/>
    </xf>
    <xf numFmtId="165" fontId="50" fillId="2" borderId="1" xfId="0" applyNumberFormat="1" applyFont="1" applyFill="1" applyBorder="1" applyAlignment="1">
      <alignment horizontal="center" vertical="center"/>
    </xf>
    <xf numFmtId="1" fontId="50" fillId="2" borderId="1" xfId="0" applyNumberFormat="1" applyFont="1" applyFill="1" applyBorder="1" applyAlignment="1">
      <alignment vertical="center"/>
    </xf>
    <xf numFmtId="165" fontId="50" fillId="2" borderId="1" xfId="0" applyNumberFormat="1" applyFont="1" applyFill="1" applyBorder="1" applyAlignment="1">
      <alignment vertical="center"/>
    </xf>
    <xf numFmtId="0" fontId="50" fillId="5" borderId="1" xfId="0" applyFont="1" applyFill="1" applyBorder="1" applyAlignment="1">
      <alignment vertical="center"/>
    </xf>
    <xf numFmtId="1" fontId="55" fillId="5" borderId="1" xfId="0" applyNumberFormat="1" applyFont="1" applyFill="1" applyBorder="1" applyAlignment="1">
      <alignment horizontal="center" vertical="center"/>
    </xf>
    <xf numFmtId="1" fontId="50" fillId="5" borderId="1" xfId="0" applyNumberFormat="1" applyFont="1" applyFill="1" applyBorder="1"/>
    <xf numFmtId="1" fontId="50" fillId="5" borderId="1" xfId="0" applyNumberFormat="1" applyFont="1" applyFill="1" applyBorder="1" applyAlignment="1">
      <alignment horizontal="center" vertical="center"/>
    </xf>
    <xf numFmtId="0" fontId="74" fillId="0" borderId="0" xfId="0" applyFont="1"/>
    <xf numFmtId="0" fontId="49" fillId="0" borderId="0" xfId="0" applyFont="1" applyAlignment="1">
      <alignment horizontal="left"/>
    </xf>
    <xf numFmtId="0" fontId="49" fillId="0" borderId="0" xfId="0" applyFont="1"/>
    <xf numFmtId="0" fontId="58" fillId="2" borderId="1" xfId="0" applyFont="1" applyFill="1" applyBorder="1" applyAlignment="1">
      <alignment horizontal="center" vertical="center" wrapText="1"/>
    </xf>
    <xf numFmtId="1" fontId="5" fillId="2" borderId="4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0" fontId="58" fillId="2" borderId="18" xfId="0" applyFont="1" applyFill="1" applyBorder="1" applyAlignment="1">
      <alignment horizontal="center" vertical="center" wrapText="1"/>
    </xf>
    <xf numFmtId="0" fontId="58" fillId="2" borderId="19" xfId="0" applyFont="1" applyFill="1" applyBorder="1" applyAlignment="1">
      <alignment horizontal="center" vertical="center" wrapText="1"/>
    </xf>
    <xf numFmtId="0" fontId="58" fillId="2" borderId="12" xfId="0" applyFont="1" applyFill="1" applyBorder="1" applyAlignment="1">
      <alignment horizontal="center" vertical="center" wrapText="1"/>
    </xf>
    <xf numFmtId="0" fontId="58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8" fillId="2" borderId="18" xfId="0" applyFont="1" applyFill="1" applyBorder="1" applyAlignment="1">
      <alignment horizontal="center" vertical="center"/>
    </xf>
    <xf numFmtId="0" fontId="58" fillId="2" borderId="19" xfId="0" applyFont="1" applyFill="1" applyBorder="1" applyAlignment="1">
      <alignment horizontal="center" vertical="center"/>
    </xf>
    <xf numFmtId="0" fontId="58" fillId="2" borderId="12" xfId="0" applyFont="1" applyFill="1" applyBorder="1" applyAlignment="1">
      <alignment horizontal="center" vertical="center"/>
    </xf>
    <xf numFmtId="0" fontId="37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57" fillId="2" borderId="1" xfId="0" applyFont="1" applyFill="1" applyBorder="1" applyAlignment="1">
      <alignment horizontal="center" vertical="top" wrapText="1"/>
    </xf>
    <xf numFmtId="49" fontId="57" fillId="2" borderId="1" xfId="0" applyNumberFormat="1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6" fillId="0" borderId="3" xfId="0" applyFont="1" applyBorder="1"/>
    <xf numFmtId="0" fontId="59" fillId="2" borderId="2" xfId="0" applyFont="1" applyFill="1" applyBorder="1" applyAlignment="1">
      <alignment horizontal="center" vertical="center"/>
    </xf>
    <xf numFmtId="0" fontId="59" fillId="2" borderId="3" xfId="0" applyFont="1" applyFill="1" applyBorder="1" applyAlignment="1">
      <alignment horizontal="center" vertical="center"/>
    </xf>
    <xf numFmtId="0" fontId="59" fillId="2" borderId="2" xfId="0" applyFont="1" applyFill="1" applyBorder="1" applyAlignment="1">
      <alignment horizontal="center" vertical="center" wrapText="1"/>
    </xf>
    <xf numFmtId="1" fontId="5" fillId="2" borderId="2" xfId="0" applyNumberFormat="1" applyFont="1" applyFill="1" applyBorder="1" applyAlignment="1">
      <alignment horizontal="center" vertical="center"/>
    </xf>
    <xf numFmtId="0" fontId="73" fillId="2" borderId="2" xfId="0" applyFont="1" applyFill="1" applyBorder="1" applyAlignment="1">
      <alignment horizontal="center" vertical="center"/>
    </xf>
    <xf numFmtId="0" fontId="7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63" fillId="2" borderId="1" xfId="0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68" fillId="2" borderId="2" xfId="0" applyFont="1" applyFill="1" applyBorder="1" applyAlignment="1">
      <alignment horizontal="center" vertical="center"/>
    </xf>
    <xf numFmtId="0" fontId="68" fillId="2" borderId="3" xfId="0" applyFont="1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44" fillId="2" borderId="18" xfId="0" applyFont="1" applyFill="1" applyBorder="1" applyAlignment="1">
      <alignment horizontal="center" vertical="center" wrapText="1"/>
    </xf>
    <xf numFmtId="0" fontId="44" fillId="2" borderId="19" xfId="0" applyFont="1" applyFill="1" applyBorder="1" applyAlignment="1">
      <alignment horizontal="center" vertical="center" wrapText="1"/>
    </xf>
    <xf numFmtId="0" fontId="44" fillId="2" borderId="12" xfId="0" applyFont="1" applyFill="1" applyBorder="1" applyAlignment="1">
      <alignment horizontal="center" vertical="center" wrapText="1"/>
    </xf>
    <xf numFmtId="0" fontId="44" fillId="2" borderId="18" xfId="0" applyFont="1" applyFill="1" applyBorder="1" applyAlignment="1">
      <alignment horizontal="center" vertical="center"/>
    </xf>
    <xf numFmtId="0" fontId="44" fillId="2" borderId="19" xfId="0" applyFont="1" applyFill="1" applyBorder="1" applyAlignment="1">
      <alignment horizontal="center" vertical="center"/>
    </xf>
    <xf numFmtId="0" fontId="44" fillId="2" borderId="12" xfId="0" applyFont="1" applyFill="1" applyBorder="1" applyAlignment="1">
      <alignment horizontal="center" vertical="center"/>
    </xf>
    <xf numFmtId="49" fontId="57" fillId="2" borderId="18" xfId="0" applyNumberFormat="1" applyFont="1" applyFill="1" applyBorder="1" applyAlignment="1">
      <alignment horizontal="center" vertical="top" wrapText="1"/>
    </xf>
    <xf numFmtId="49" fontId="57" fillId="2" borderId="19" xfId="0" applyNumberFormat="1" applyFont="1" applyFill="1" applyBorder="1" applyAlignment="1">
      <alignment horizontal="center" vertical="top" wrapText="1"/>
    </xf>
    <xf numFmtId="49" fontId="57" fillId="2" borderId="12" xfId="0" applyNumberFormat="1" applyFont="1" applyFill="1" applyBorder="1" applyAlignment="1">
      <alignment horizontal="center" vertical="top" wrapText="1"/>
    </xf>
    <xf numFmtId="0" fontId="63" fillId="2" borderId="2" xfId="0" applyFont="1" applyFill="1" applyBorder="1" applyAlignment="1">
      <alignment horizontal="center" vertical="center" wrapText="1"/>
    </xf>
    <xf numFmtId="0" fontId="63" fillId="2" borderId="3" xfId="0" applyFont="1" applyFill="1" applyBorder="1" applyAlignment="1">
      <alignment horizontal="center" vertical="center" wrapText="1"/>
    </xf>
    <xf numFmtId="0" fontId="68" fillId="2" borderId="2" xfId="0" applyFont="1" applyFill="1" applyBorder="1" applyAlignment="1">
      <alignment horizontal="center" vertical="center" wrapText="1"/>
    </xf>
    <xf numFmtId="0" fontId="56" fillId="0" borderId="3" xfId="0" applyFont="1" applyBorder="1" applyAlignment="1">
      <alignment vertical="center"/>
    </xf>
    <xf numFmtId="1" fontId="66" fillId="2" borderId="2" xfId="0" applyNumberFormat="1" applyFont="1" applyFill="1" applyBorder="1" applyAlignment="1">
      <alignment horizontal="center" vertical="center"/>
    </xf>
    <xf numFmtId="1" fontId="66" fillId="2" borderId="4" xfId="0" applyNumberFormat="1" applyFont="1" applyFill="1" applyBorder="1" applyAlignment="1">
      <alignment horizontal="center" vertical="center"/>
    </xf>
    <xf numFmtId="1" fontId="66" fillId="2" borderId="3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" fontId="10" fillId="3" borderId="1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4" fillId="3" borderId="17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9" fillId="3" borderId="13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36" fillId="3" borderId="13" xfId="0" applyFont="1" applyFill="1" applyBorder="1" applyAlignment="1">
      <alignment horizontal="center"/>
    </xf>
    <xf numFmtId="0" fontId="36" fillId="3" borderId="0" xfId="0" applyFont="1" applyFill="1" applyAlignment="1">
      <alignment horizontal="center"/>
    </xf>
    <xf numFmtId="0" fontId="26" fillId="3" borderId="0" xfId="0" applyFont="1" applyFill="1" applyAlignment="1">
      <alignment horizontal="left"/>
    </xf>
    <xf numFmtId="2" fontId="11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28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21" fillId="4" borderId="20" xfId="0" applyFont="1" applyFill="1" applyBorder="1" applyAlignment="1">
      <alignment horizontal="center" vertical="center" wrapText="1"/>
    </xf>
    <xf numFmtId="0" fontId="21" fillId="4" borderId="21" xfId="0" applyFont="1" applyFill="1" applyBorder="1" applyAlignment="1">
      <alignment horizontal="center" vertical="center" wrapText="1"/>
    </xf>
    <xf numFmtId="0" fontId="21" fillId="4" borderId="22" xfId="0" applyFont="1" applyFill="1" applyBorder="1" applyAlignment="1">
      <alignment horizontal="center" vertical="center" wrapText="1"/>
    </xf>
    <xf numFmtId="0" fontId="21" fillId="4" borderId="23" xfId="0" applyFont="1" applyFill="1" applyBorder="1" applyAlignment="1">
      <alignment horizontal="center" vertical="center" wrapText="1"/>
    </xf>
    <xf numFmtId="0" fontId="21" fillId="4" borderId="24" xfId="0" applyFont="1" applyFill="1" applyBorder="1" applyAlignment="1">
      <alignment horizontal="center" vertical="center" wrapText="1"/>
    </xf>
    <xf numFmtId="0" fontId="21" fillId="4" borderId="10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0" fontId="21" fillId="4" borderId="25" xfId="0" applyFont="1" applyFill="1" applyBorder="1" applyAlignment="1">
      <alignment horizontal="center" vertical="center" wrapText="1"/>
    </xf>
    <xf numFmtId="0" fontId="21" fillId="4" borderId="26" xfId="0" applyFont="1" applyFill="1" applyBorder="1" applyAlignment="1">
      <alignment horizontal="center" vertical="center" wrapText="1"/>
    </xf>
    <xf numFmtId="0" fontId="21" fillId="4" borderId="8" xfId="0" applyFont="1" applyFill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center" vertical="center" wrapText="1"/>
    </xf>
    <xf numFmtId="0" fontId="21" fillId="4" borderId="27" xfId="0" applyFont="1" applyFill="1" applyBorder="1" applyAlignment="1">
      <alignment horizontal="center" vertical="center" wrapText="1"/>
    </xf>
    <xf numFmtId="0" fontId="34" fillId="3" borderId="15" xfId="0" applyFont="1" applyFill="1" applyBorder="1" applyAlignment="1">
      <alignment horizontal="left" vertical="center"/>
    </xf>
    <xf numFmtId="0" fontId="33" fillId="3" borderId="15" xfId="0" applyFont="1" applyFill="1" applyBorder="1" applyAlignment="1">
      <alignment horizontal="center"/>
    </xf>
    <xf numFmtId="49" fontId="35" fillId="3" borderId="15" xfId="0" applyNumberFormat="1" applyFont="1" applyFill="1" applyBorder="1" applyAlignment="1">
      <alignment horizontal="left"/>
    </xf>
    <xf numFmtId="0" fontId="35" fillId="3" borderId="15" xfId="0" applyFont="1" applyFill="1" applyBorder="1" applyAlignment="1">
      <alignment horizontal="left"/>
    </xf>
    <xf numFmtId="0" fontId="35" fillId="3" borderId="16" xfId="0" applyFont="1" applyFill="1" applyBorder="1" applyAlignment="1">
      <alignment horizontal="left"/>
    </xf>
    <xf numFmtId="0" fontId="34" fillId="3" borderId="0" xfId="0" applyFont="1" applyFill="1" applyAlignment="1">
      <alignment horizontal="left" vertical="center"/>
    </xf>
    <xf numFmtId="0" fontId="32" fillId="3" borderId="0" xfId="0" applyFont="1" applyFill="1" applyAlignment="1">
      <alignment horizontal="center"/>
    </xf>
    <xf numFmtId="0" fontId="35" fillId="3" borderId="0" xfId="0" applyFont="1" applyFill="1" applyAlignment="1">
      <alignment horizontal="left"/>
    </xf>
    <xf numFmtId="0" fontId="35" fillId="3" borderId="17" xfId="0" applyFont="1" applyFill="1" applyBorder="1" applyAlignment="1">
      <alignment horizontal="left"/>
    </xf>
    <xf numFmtId="0" fontId="32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left" vertical="center"/>
    </xf>
    <xf numFmtId="0" fontId="27" fillId="3" borderId="17" xfId="0" applyFont="1" applyFill="1" applyBorder="1" applyAlignment="1">
      <alignment horizontal="left" vertical="center"/>
    </xf>
    <xf numFmtId="0" fontId="32" fillId="3" borderId="0" xfId="0" applyFont="1" applyFill="1" applyAlignment="1">
      <alignment horizontal="left" vertical="center"/>
    </xf>
    <xf numFmtId="0" fontId="9" fillId="3" borderId="3" xfId="0" applyFont="1" applyFill="1" applyBorder="1" applyAlignment="1">
      <alignment horizontal="center" vertical="center" textRotation="90" wrapText="1"/>
    </xf>
    <xf numFmtId="0" fontId="9" fillId="3" borderId="1" xfId="0" applyFont="1" applyFill="1" applyBorder="1" applyAlignment="1">
      <alignment horizontal="center" vertical="center" textRotation="90" wrapText="1"/>
    </xf>
    <xf numFmtId="0" fontId="22" fillId="3" borderId="3" xfId="0" applyFont="1" applyFill="1" applyBorder="1" applyAlignment="1">
      <alignment horizontal="center" vertical="center" textRotation="90" wrapText="1"/>
    </xf>
    <xf numFmtId="0" fontId="22" fillId="3" borderId="1" xfId="0" applyFont="1" applyFill="1" applyBorder="1" applyAlignment="1">
      <alignment horizontal="center" vertical="center" textRotation="90" wrapText="1"/>
    </xf>
    <xf numFmtId="164" fontId="34" fillId="3" borderId="0" xfId="0" applyNumberFormat="1" applyFont="1" applyFill="1" applyAlignment="1">
      <alignment horizontal="left" vertical="center"/>
    </xf>
    <xf numFmtId="0" fontId="9" fillId="3" borderId="3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textRotation="90"/>
    </xf>
    <xf numFmtId="0" fontId="9" fillId="3" borderId="1" xfId="0" applyFont="1" applyFill="1" applyBorder="1" applyAlignment="1">
      <alignment horizontal="center" vertical="center" textRotation="90"/>
    </xf>
    <xf numFmtId="0" fontId="76" fillId="2" borderId="0" xfId="0" applyFont="1" applyFill="1" applyAlignment="1">
      <alignment horizontal="left" vertical="center" wrapText="1"/>
    </xf>
    <xf numFmtId="0" fontId="46" fillId="2" borderId="28" xfId="0" applyFont="1" applyFill="1" applyBorder="1" applyAlignment="1">
      <alignment horizontal="center" vertical="center" wrapText="1"/>
    </xf>
    <xf numFmtId="0" fontId="53" fillId="2" borderId="0" xfId="0" applyFont="1" applyFill="1" applyAlignment="1">
      <alignment horizontal="left"/>
    </xf>
    <xf numFmtId="0" fontId="53" fillId="2" borderId="1" xfId="0" applyFont="1" applyFill="1" applyBorder="1" applyAlignment="1">
      <alignment horizontal="center" vertical="center" wrapText="1"/>
    </xf>
    <xf numFmtId="1" fontId="46" fillId="2" borderId="1" xfId="0" applyNumberFormat="1" applyFont="1" applyFill="1" applyBorder="1" applyAlignment="1">
      <alignment horizontal="center" vertical="center" textRotation="90" wrapText="1"/>
    </xf>
    <xf numFmtId="0" fontId="48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 textRotation="90"/>
    </xf>
    <xf numFmtId="0" fontId="48" fillId="2" borderId="1" xfId="0" applyFont="1" applyFill="1" applyBorder="1" applyAlignment="1">
      <alignment horizontal="center" vertical="center" textRotation="90"/>
    </xf>
    <xf numFmtId="0" fontId="46" fillId="2" borderId="1" xfId="0" applyFont="1" applyFill="1" applyBorder="1" applyAlignment="1">
      <alignment horizontal="center" vertical="center"/>
    </xf>
    <xf numFmtId="1" fontId="50" fillId="2" borderId="1" xfId="0" applyNumberFormat="1" applyFont="1" applyFill="1" applyBorder="1" applyAlignment="1">
      <alignment horizontal="center" vertical="center"/>
    </xf>
    <xf numFmtId="165" fontId="50" fillId="2" borderId="1" xfId="0" applyNumberFormat="1" applyFont="1" applyFill="1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 textRotation="90" wrapText="1"/>
    </xf>
    <xf numFmtId="166" fontId="50" fillId="2" borderId="1" xfId="0" applyNumberFormat="1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/>
    </xf>
    <xf numFmtId="0" fontId="46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173935</xdr:colOff>
      <xdr:row>0</xdr:row>
      <xdr:rowOff>0</xdr:rowOff>
    </xdr:from>
    <xdr:to>
      <xdr:col>14</xdr:col>
      <xdr:colOff>179294</xdr:colOff>
      <xdr:row>3</xdr:row>
      <xdr:rowOff>54650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72924E5F-EEFF-4AEB-8402-F7F9D9771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6675783" y="0"/>
          <a:ext cx="750794" cy="8414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173934</xdr:colOff>
      <xdr:row>0</xdr:row>
      <xdr:rowOff>0</xdr:rowOff>
    </xdr:from>
    <xdr:to>
      <xdr:col>10</xdr:col>
      <xdr:colOff>129598</xdr:colOff>
      <xdr:row>3</xdr:row>
      <xdr:rowOff>54650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72924E5F-EEFF-4AEB-8402-F7F9D9771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5093804" y="0"/>
          <a:ext cx="750794" cy="8414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293344</xdr:colOff>
      <xdr:row>0</xdr:row>
      <xdr:rowOff>14654</xdr:rowOff>
    </xdr:from>
    <xdr:to>
      <xdr:col>16</xdr:col>
      <xdr:colOff>281792</xdr:colOff>
      <xdr:row>3</xdr:row>
      <xdr:rowOff>135994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5E5E27C2-6F66-42B2-80DC-D35DA8CF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8609402" y="14654"/>
          <a:ext cx="677178" cy="77343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454990</xdr:colOff>
      <xdr:row>0</xdr:row>
      <xdr:rowOff>99680</xdr:rowOff>
    </xdr:from>
    <xdr:to>
      <xdr:col>1</xdr:col>
      <xdr:colOff>1311275</xdr:colOff>
      <xdr:row>4</xdr:row>
      <xdr:rowOff>139905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50265" y="99680"/>
          <a:ext cx="856285" cy="897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268942</xdr:colOff>
      <xdr:row>1</xdr:row>
      <xdr:rowOff>56030</xdr:rowOff>
    </xdr:from>
    <xdr:to>
      <xdr:col>6</xdr:col>
      <xdr:colOff>56030</xdr:colOff>
      <xdr:row>3</xdr:row>
      <xdr:rowOff>135528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72924E5F-EEFF-4AEB-8402-F7F9D9771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3025589" y="246530"/>
          <a:ext cx="750794" cy="8414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18</xdr:col>
      <xdr:colOff>448239</xdr:colOff>
      <xdr:row>29</xdr:row>
      <xdr:rowOff>190499</xdr:rowOff>
    </xdr:from>
    <xdr:to>
      <xdr:col>20</xdr:col>
      <xdr:colOff>414621</xdr:colOff>
      <xdr:row>32</xdr:row>
      <xdr:rowOff>5153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D2135E0-A191-496B-8DB7-62957EF72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10278824" y="8334149"/>
          <a:ext cx="386154" cy="1042147"/>
        </a:xfrm>
        <a:prstGeom prst="rect">
          <a:avLst/>
        </a:prstGeom>
      </xdr:spPr>
    </xdr:pic>
    <xdr:clientData/>
  </xdr:twoCellAnchor>
  <xdr:twoCellAnchor editAs="oneCell">
    <xdr:from>
      <xdr:col>10</xdr:col>
      <xdr:colOff>78440</xdr:colOff>
      <xdr:row>30</xdr:row>
      <xdr:rowOff>44824</xdr:rowOff>
    </xdr:from>
    <xdr:to>
      <xdr:col>12</xdr:col>
      <xdr:colOff>136534</xdr:colOff>
      <xdr:row>31</xdr:row>
      <xdr:rowOff>187762</xdr:rowOff>
    </xdr:to>
    <xdr:pic>
      <xdr:nvPicPr>
        <xdr:cNvPr id="4" name="Picture 3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726205" y="8706971"/>
          <a:ext cx="1021800" cy="3334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l_Semester_Result-2023/Full%20Complete/CLASS_7/COMPLETE%20CLASS-7_DOYEL-RESULTSHEET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st_Semester"/>
      <sheetName val="2nd_Semester"/>
      <sheetName val="3rd_Semester"/>
      <sheetName val="Result card "/>
      <sheetName val="ANNUAL_CARD"/>
    </sheetNames>
    <sheetDataSet>
      <sheetData sheetId="0" refreshError="1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</row>
        <row r="6"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 t="str">
            <v>TOTAL</v>
          </cell>
          <cell r="Y6" t="str">
            <v>E1+E2</v>
          </cell>
          <cell r="Z6" t="str">
            <v>HIGHESTMARK</v>
          </cell>
          <cell r="AA6" t="str">
            <v>GP</v>
          </cell>
          <cell r="AB6" t="str">
            <v>MT</v>
          </cell>
          <cell r="AC6" t="str">
            <v>MATH</v>
          </cell>
          <cell r="AD6">
            <v>0</v>
          </cell>
          <cell r="AE6" t="str">
            <v>TOTAL</v>
          </cell>
          <cell r="AF6" t="str">
            <v>HIGHESTMARK</v>
          </cell>
          <cell r="AG6" t="str">
            <v>GP</v>
          </cell>
          <cell r="AH6" t="str">
            <v>MT</v>
          </cell>
          <cell r="AI6" t="str">
            <v>SCIENCE</v>
          </cell>
          <cell r="AJ6">
            <v>0</v>
          </cell>
          <cell r="AK6" t="str">
            <v>TOTAL</v>
          </cell>
          <cell r="AL6" t="str">
            <v>HIGHESTMARK</v>
          </cell>
          <cell r="AM6" t="str">
            <v>GP</v>
          </cell>
          <cell r="AN6" t="str">
            <v>MT</v>
          </cell>
          <cell r="AO6" t="str">
            <v>BGS</v>
          </cell>
          <cell r="AP6">
            <v>0</v>
          </cell>
          <cell r="AQ6" t="str">
            <v>TOTAL</v>
          </cell>
          <cell r="AR6" t="str">
            <v>HIGHESTMARK</v>
          </cell>
          <cell r="AS6" t="str">
            <v>GP</v>
          </cell>
          <cell r="AT6" t="str">
            <v>MT</v>
          </cell>
          <cell r="AU6" t="str">
            <v>RELIGION</v>
          </cell>
          <cell r="AV6">
            <v>0</v>
          </cell>
          <cell r="AW6" t="str">
            <v>TOTAL</v>
          </cell>
          <cell r="AX6" t="str">
            <v>HIGHESTMARK</v>
          </cell>
          <cell r="AY6" t="str">
            <v>GP</v>
          </cell>
          <cell r="AZ6" t="str">
            <v>MT</v>
          </cell>
          <cell r="BA6" t="str">
            <v>ASS</v>
          </cell>
          <cell r="BB6" t="str">
            <v>ICT</v>
          </cell>
          <cell r="BC6" t="str">
            <v>TOTAL</v>
          </cell>
          <cell r="BD6" t="str">
            <v>HIGHESTMARK</v>
          </cell>
          <cell r="BE6" t="str">
            <v>GP</v>
          </cell>
          <cell r="BF6" t="str">
            <v>T-GP</v>
          </cell>
          <cell r="BG6" t="str">
            <v>GPA</v>
          </cell>
          <cell r="BH6" t="str">
            <v>BHVR</v>
          </cell>
          <cell r="BI6" t="str">
            <v>TOTAL MARK</v>
          </cell>
          <cell r="BJ6" t="str">
            <v>Position</v>
          </cell>
          <cell r="BK6" t="str">
            <v>WORKINGDAYS</v>
          </cell>
        </row>
        <row r="7"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 t="str">
            <v>ASS</v>
          </cell>
          <cell r="AD7" t="str">
            <v>CR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 t="str">
            <v>ASS</v>
          </cell>
          <cell r="AJ7" t="str">
            <v>CR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 t="str">
            <v>ASS</v>
          </cell>
          <cell r="AP7" t="str">
            <v>CR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 t="str">
            <v>ASS</v>
          </cell>
          <cell r="AV7" t="str">
            <v>CR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 t="str">
            <v>CR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E8" t="str">
            <v>KRISHNA SHAHA</v>
          </cell>
          <cell r="F8">
            <v>14</v>
          </cell>
          <cell r="G8">
            <v>18</v>
          </cell>
          <cell r="H8">
            <v>51</v>
          </cell>
          <cell r="I8">
            <v>83</v>
          </cell>
          <cell r="J8">
            <v>8</v>
          </cell>
          <cell r="K8">
            <v>10</v>
          </cell>
          <cell r="L8">
            <v>25</v>
          </cell>
          <cell r="M8">
            <v>43</v>
          </cell>
          <cell r="N8">
            <v>126</v>
          </cell>
          <cell r="O8">
            <v>144</v>
          </cell>
          <cell r="P8">
            <v>5</v>
          </cell>
          <cell r="Q8">
            <v>18</v>
          </cell>
          <cell r="R8">
            <v>20</v>
          </cell>
          <cell r="S8">
            <v>49</v>
          </cell>
          <cell r="T8">
            <v>87</v>
          </cell>
          <cell r="U8">
            <v>7</v>
          </cell>
          <cell r="V8">
            <v>10</v>
          </cell>
          <cell r="W8">
            <v>24</v>
          </cell>
          <cell r="X8">
            <v>41</v>
          </cell>
          <cell r="Y8">
            <v>128</v>
          </cell>
          <cell r="Z8">
            <v>133</v>
          </cell>
          <cell r="AA8">
            <v>5</v>
          </cell>
          <cell r="AB8">
            <v>13</v>
          </cell>
          <cell r="AC8">
            <v>20</v>
          </cell>
          <cell r="AD8">
            <v>52</v>
          </cell>
          <cell r="AE8">
            <v>85</v>
          </cell>
          <cell r="AF8">
            <v>100</v>
          </cell>
          <cell r="AG8">
            <v>5</v>
          </cell>
          <cell r="AH8">
            <v>16</v>
          </cell>
          <cell r="AI8">
            <v>20</v>
          </cell>
          <cell r="AJ8">
            <v>44</v>
          </cell>
          <cell r="AK8">
            <v>80</v>
          </cell>
          <cell r="AL8">
            <v>100</v>
          </cell>
          <cell r="AM8">
            <v>5</v>
          </cell>
          <cell r="AN8">
            <v>15</v>
          </cell>
          <cell r="AO8">
            <v>20</v>
          </cell>
          <cell r="AP8">
            <v>47</v>
          </cell>
          <cell r="AQ8">
            <v>82</v>
          </cell>
          <cell r="AR8">
            <v>94</v>
          </cell>
          <cell r="AS8">
            <v>5</v>
          </cell>
          <cell r="AT8">
            <v>14</v>
          </cell>
          <cell r="AU8">
            <v>18</v>
          </cell>
          <cell r="AV8">
            <v>44</v>
          </cell>
          <cell r="AW8">
            <v>76</v>
          </cell>
          <cell r="AX8">
            <v>98</v>
          </cell>
          <cell r="AY8">
            <v>4</v>
          </cell>
          <cell r="AZ8">
            <v>15</v>
          </cell>
          <cell r="BA8">
            <v>5</v>
          </cell>
          <cell r="BB8">
            <v>29</v>
          </cell>
          <cell r="BC8">
            <v>49</v>
          </cell>
          <cell r="BD8">
            <v>49</v>
          </cell>
          <cell r="BE8">
            <v>5</v>
          </cell>
          <cell r="BF8">
            <v>34</v>
          </cell>
          <cell r="BG8">
            <v>4.8571428571428568</v>
          </cell>
          <cell r="BH8" t="str">
            <v>BETTER</v>
          </cell>
          <cell r="BI8">
            <v>626</v>
          </cell>
          <cell r="BJ8">
            <v>16</v>
          </cell>
          <cell r="BK8">
            <v>56</v>
          </cell>
        </row>
        <row r="9">
          <cell r="E9" t="str">
            <v xml:space="preserve">SELINA </v>
          </cell>
          <cell r="F9">
            <v>18</v>
          </cell>
          <cell r="G9">
            <v>19</v>
          </cell>
          <cell r="H9">
            <v>58</v>
          </cell>
          <cell r="I9">
            <v>95</v>
          </cell>
          <cell r="J9">
            <v>8</v>
          </cell>
          <cell r="K9">
            <v>10</v>
          </cell>
          <cell r="L9">
            <v>29</v>
          </cell>
          <cell r="M9">
            <v>47</v>
          </cell>
          <cell r="N9">
            <v>142</v>
          </cell>
          <cell r="O9">
            <v>0</v>
          </cell>
          <cell r="P9">
            <v>5</v>
          </cell>
          <cell r="Q9">
            <v>10</v>
          </cell>
          <cell r="R9">
            <v>20</v>
          </cell>
          <cell r="S9">
            <v>45</v>
          </cell>
          <cell r="T9">
            <v>75</v>
          </cell>
          <cell r="U9">
            <v>8</v>
          </cell>
          <cell r="V9">
            <v>8</v>
          </cell>
          <cell r="W9">
            <v>16</v>
          </cell>
          <cell r="X9">
            <v>32</v>
          </cell>
          <cell r="Y9">
            <v>107</v>
          </cell>
          <cell r="Z9">
            <v>0</v>
          </cell>
          <cell r="AA9">
            <v>4</v>
          </cell>
          <cell r="AB9">
            <v>12</v>
          </cell>
          <cell r="AC9">
            <v>20</v>
          </cell>
          <cell r="AD9">
            <v>48</v>
          </cell>
          <cell r="AE9">
            <v>80</v>
          </cell>
          <cell r="AF9">
            <v>0</v>
          </cell>
          <cell r="AG9">
            <v>5</v>
          </cell>
          <cell r="AH9">
            <v>14</v>
          </cell>
          <cell r="AI9">
            <v>20</v>
          </cell>
          <cell r="AJ9">
            <v>41</v>
          </cell>
          <cell r="AK9">
            <v>75</v>
          </cell>
          <cell r="AL9">
            <v>0</v>
          </cell>
          <cell r="AM9">
            <v>4</v>
          </cell>
          <cell r="AN9">
            <v>15</v>
          </cell>
          <cell r="AO9">
            <v>20</v>
          </cell>
          <cell r="AP9">
            <v>51</v>
          </cell>
          <cell r="AQ9">
            <v>86</v>
          </cell>
          <cell r="AR9">
            <v>0</v>
          </cell>
          <cell r="AS9">
            <v>5</v>
          </cell>
          <cell r="AT9">
            <v>19</v>
          </cell>
          <cell r="AU9">
            <v>20</v>
          </cell>
          <cell r="AV9">
            <v>55</v>
          </cell>
          <cell r="AW9">
            <v>94</v>
          </cell>
          <cell r="AX9">
            <v>0</v>
          </cell>
          <cell r="AY9">
            <v>5</v>
          </cell>
          <cell r="AZ9">
            <v>13</v>
          </cell>
          <cell r="BA9">
            <v>5</v>
          </cell>
          <cell r="BB9">
            <v>29</v>
          </cell>
          <cell r="BC9">
            <v>47</v>
          </cell>
          <cell r="BD9">
            <v>0</v>
          </cell>
          <cell r="BE9">
            <v>5</v>
          </cell>
          <cell r="BF9">
            <v>33</v>
          </cell>
          <cell r="BG9">
            <v>4.7142857142857144</v>
          </cell>
          <cell r="BH9" t="str">
            <v>BETTER</v>
          </cell>
          <cell r="BI9">
            <v>631</v>
          </cell>
          <cell r="BJ9">
            <v>10</v>
          </cell>
          <cell r="BK9">
            <v>58</v>
          </cell>
        </row>
        <row r="10">
          <cell r="E10" t="str">
            <v>MOST.NASRIN AKTER</v>
          </cell>
          <cell r="F10">
            <v>16</v>
          </cell>
          <cell r="G10">
            <v>20</v>
          </cell>
          <cell r="H10">
            <v>50</v>
          </cell>
          <cell r="I10">
            <v>86</v>
          </cell>
          <cell r="J10">
            <v>7</v>
          </cell>
          <cell r="K10">
            <v>10</v>
          </cell>
          <cell r="L10">
            <v>23</v>
          </cell>
          <cell r="M10">
            <v>40</v>
          </cell>
          <cell r="N10">
            <v>126</v>
          </cell>
          <cell r="O10">
            <v>0</v>
          </cell>
          <cell r="P10">
            <v>5</v>
          </cell>
          <cell r="Q10">
            <v>15</v>
          </cell>
          <cell r="R10">
            <v>20</v>
          </cell>
          <cell r="S10">
            <v>48</v>
          </cell>
          <cell r="T10">
            <v>83</v>
          </cell>
          <cell r="U10">
            <v>4</v>
          </cell>
          <cell r="V10">
            <v>10</v>
          </cell>
          <cell r="W10">
            <v>22</v>
          </cell>
          <cell r="X10">
            <v>36</v>
          </cell>
          <cell r="Y10">
            <v>119</v>
          </cell>
          <cell r="Z10">
            <v>0</v>
          </cell>
          <cell r="AA10">
            <v>4</v>
          </cell>
          <cell r="AB10">
            <v>8</v>
          </cell>
          <cell r="AC10">
            <v>20</v>
          </cell>
          <cell r="AD10">
            <v>59</v>
          </cell>
          <cell r="AE10">
            <v>87</v>
          </cell>
          <cell r="AF10">
            <v>0</v>
          </cell>
          <cell r="AG10">
            <v>5</v>
          </cell>
          <cell r="AH10">
            <v>10</v>
          </cell>
          <cell r="AI10">
            <v>20</v>
          </cell>
          <cell r="AJ10">
            <v>39</v>
          </cell>
          <cell r="AK10">
            <v>69</v>
          </cell>
          <cell r="AL10">
            <v>0</v>
          </cell>
          <cell r="AM10">
            <v>3.5</v>
          </cell>
          <cell r="AN10">
            <v>15</v>
          </cell>
          <cell r="AO10">
            <v>20</v>
          </cell>
          <cell r="AP10">
            <v>51</v>
          </cell>
          <cell r="AQ10">
            <v>86</v>
          </cell>
          <cell r="AR10">
            <v>0</v>
          </cell>
          <cell r="AS10">
            <v>5</v>
          </cell>
          <cell r="AT10">
            <v>8</v>
          </cell>
          <cell r="AU10">
            <v>20</v>
          </cell>
          <cell r="AV10">
            <v>55</v>
          </cell>
          <cell r="AW10">
            <v>83</v>
          </cell>
          <cell r="AX10">
            <v>0</v>
          </cell>
          <cell r="AY10">
            <v>5</v>
          </cell>
          <cell r="AZ10">
            <v>5</v>
          </cell>
          <cell r="BA10">
            <v>14</v>
          </cell>
          <cell r="BB10">
            <v>25</v>
          </cell>
          <cell r="BC10">
            <v>44</v>
          </cell>
          <cell r="BD10">
            <v>0</v>
          </cell>
          <cell r="BE10">
            <v>5</v>
          </cell>
          <cell r="BF10">
            <v>32.5</v>
          </cell>
          <cell r="BG10">
            <v>4.6428571428571432</v>
          </cell>
          <cell r="BH10" t="str">
            <v>BETTER</v>
          </cell>
          <cell r="BI10">
            <v>614</v>
          </cell>
          <cell r="BJ10">
            <v>15</v>
          </cell>
          <cell r="BK10">
            <v>56</v>
          </cell>
        </row>
        <row r="11">
          <cell r="E11" t="str">
            <v xml:space="preserve">TASLIMA BEGUM </v>
          </cell>
          <cell r="F11">
            <v>16</v>
          </cell>
          <cell r="G11">
            <v>15</v>
          </cell>
          <cell r="H11">
            <v>47</v>
          </cell>
          <cell r="I11">
            <v>78</v>
          </cell>
          <cell r="J11">
            <v>8</v>
          </cell>
          <cell r="K11">
            <v>10</v>
          </cell>
          <cell r="L11">
            <v>19</v>
          </cell>
          <cell r="M11">
            <v>37</v>
          </cell>
          <cell r="N11">
            <v>115</v>
          </cell>
          <cell r="O11">
            <v>0</v>
          </cell>
          <cell r="P11">
            <v>4</v>
          </cell>
          <cell r="Q11">
            <v>15</v>
          </cell>
          <cell r="R11">
            <v>20</v>
          </cell>
          <cell r="S11">
            <v>51</v>
          </cell>
          <cell r="T11">
            <v>86</v>
          </cell>
          <cell r="U11">
            <v>3</v>
          </cell>
          <cell r="V11">
            <v>10</v>
          </cell>
          <cell r="W11">
            <v>18</v>
          </cell>
          <cell r="X11">
            <v>31</v>
          </cell>
          <cell r="Y11">
            <v>117</v>
          </cell>
          <cell r="Z11">
            <v>0</v>
          </cell>
          <cell r="AA11">
            <v>4</v>
          </cell>
          <cell r="AB11">
            <v>17</v>
          </cell>
          <cell r="AC11">
            <v>15</v>
          </cell>
          <cell r="AD11">
            <v>50</v>
          </cell>
          <cell r="AE11">
            <v>82</v>
          </cell>
          <cell r="AF11">
            <v>0</v>
          </cell>
          <cell r="AG11">
            <v>5</v>
          </cell>
          <cell r="AH11">
            <v>17</v>
          </cell>
          <cell r="AI11">
            <v>20</v>
          </cell>
          <cell r="AJ11">
            <v>49</v>
          </cell>
          <cell r="AK11">
            <v>86</v>
          </cell>
          <cell r="AL11">
            <v>0</v>
          </cell>
          <cell r="AM11">
            <v>5</v>
          </cell>
          <cell r="AN11">
            <v>8</v>
          </cell>
          <cell r="AO11">
            <v>20</v>
          </cell>
          <cell r="AP11">
            <v>35</v>
          </cell>
          <cell r="AQ11">
            <v>63</v>
          </cell>
          <cell r="AR11">
            <v>0</v>
          </cell>
          <cell r="AS11">
            <v>3.5</v>
          </cell>
          <cell r="AT11">
            <v>17</v>
          </cell>
          <cell r="AU11">
            <v>19</v>
          </cell>
          <cell r="AV11">
            <v>46</v>
          </cell>
          <cell r="AW11">
            <v>82</v>
          </cell>
          <cell r="AX11">
            <v>0</v>
          </cell>
          <cell r="AY11">
            <v>5</v>
          </cell>
          <cell r="AZ11">
            <v>5</v>
          </cell>
          <cell r="BA11">
            <v>11</v>
          </cell>
          <cell r="BB11">
            <v>27</v>
          </cell>
          <cell r="BC11">
            <v>43</v>
          </cell>
          <cell r="BD11">
            <v>0</v>
          </cell>
          <cell r="BE11">
            <v>5</v>
          </cell>
          <cell r="BF11">
            <v>31.5</v>
          </cell>
          <cell r="BG11">
            <v>4.5</v>
          </cell>
          <cell r="BH11" t="str">
            <v>BETTER</v>
          </cell>
          <cell r="BI11">
            <v>588</v>
          </cell>
          <cell r="BJ11">
            <v>32</v>
          </cell>
          <cell r="BK11">
            <v>55</v>
          </cell>
        </row>
        <row r="12">
          <cell r="E12" t="str">
            <v>SONIA AKHTER</v>
          </cell>
          <cell r="F12">
            <v>16</v>
          </cell>
          <cell r="G12">
            <v>20</v>
          </cell>
          <cell r="H12">
            <v>50</v>
          </cell>
          <cell r="I12">
            <v>86</v>
          </cell>
          <cell r="J12">
            <v>8</v>
          </cell>
          <cell r="K12">
            <v>10</v>
          </cell>
          <cell r="L12">
            <v>26</v>
          </cell>
          <cell r="M12">
            <v>44</v>
          </cell>
          <cell r="N12">
            <v>130</v>
          </cell>
          <cell r="O12">
            <v>0</v>
          </cell>
          <cell r="P12">
            <v>5</v>
          </cell>
          <cell r="Q12">
            <v>18</v>
          </cell>
          <cell r="R12">
            <v>18</v>
          </cell>
          <cell r="S12">
            <v>26</v>
          </cell>
          <cell r="T12">
            <v>62</v>
          </cell>
          <cell r="U12">
            <v>4</v>
          </cell>
          <cell r="V12">
            <v>8</v>
          </cell>
          <cell r="W12">
            <v>20</v>
          </cell>
          <cell r="X12">
            <v>32</v>
          </cell>
          <cell r="Y12">
            <v>94</v>
          </cell>
          <cell r="Z12">
            <v>0</v>
          </cell>
          <cell r="AA12">
            <v>3.5</v>
          </cell>
          <cell r="AB12">
            <v>14</v>
          </cell>
          <cell r="AC12">
            <v>20</v>
          </cell>
          <cell r="AD12">
            <v>59</v>
          </cell>
          <cell r="AE12">
            <v>93</v>
          </cell>
          <cell r="AF12">
            <v>0</v>
          </cell>
          <cell r="AG12">
            <v>5</v>
          </cell>
          <cell r="AH12">
            <v>16</v>
          </cell>
          <cell r="AI12">
            <v>20</v>
          </cell>
          <cell r="AJ12">
            <v>35</v>
          </cell>
          <cell r="AK12">
            <v>71</v>
          </cell>
          <cell r="AL12">
            <v>0</v>
          </cell>
          <cell r="AM12">
            <v>4</v>
          </cell>
          <cell r="AN12">
            <v>15</v>
          </cell>
          <cell r="AO12">
            <v>20</v>
          </cell>
          <cell r="AP12">
            <v>44</v>
          </cell>
          <cell r="AQ12">
            <v>79</v>
          </cell>
          <cell r="AR12">
            <v>0</v>
          </cell>
          <cell r="AS12">
            <v>4</v>
          </cell>
          <cell r="AT12">
            <v>10</v>
          </cell>
          <cell r="AU12">
            <v>20</v>
          </cell>
          <cell r="AV12">
            <v>54</v>
          </cell>
          <cell r="AW12">
            <v>84</v>
          </cell>
          <cell r="AX12">
            <v>0</v>
          </cell>
          <cell r="AY12">
            <v>5</v>
          </cell>
          <cell r="AZ12">
            <v>4</v>
          </cell>
          <cell r="BA12">
            <v>14</v>
          </cell>
          <cell r="BB12">
            <v>25</v>
          </cell>
          <cell r="BC12">
            <v>43</v>
          </cell>
          <cell r="BD12">
            <v>0</v>
          </cell>
          <cell r="BE12">
            <v>5</v>
          </cell>
          <cell r="BF12">
            <v>31.5</v>
          </cell>
          <cell r="BG12">
            <v>4.5</v>
          </cell>
          <cell r="BH12" t="str">
            <v>BETTER</v>
          </cell>
          <cell r="BI12">
            <v>594</v>
          </cell>
          <cell r="BJ12">
            <v>45</v>
          </cell>
          <cell r="BK12">
            <v>62</v>
          </cell>
        </row>
        <row r="13">
          <cell r="E13" t="str">
            <v>SALINA AKTER</v>
          </cell>
          <cell r="F13">
            <v>15</v>
          </cell>
          <cell r="G13">
            <v>19</v>
          </cell>
          <cell r="H13">
            <v>43</v>
          </cell>
          <cell r="I13">
            <v>77</v>
          </cell>
          <cell r="J13">
            <v>8</v>
          </cell>
          <cell r="K13">
            <v>10</v>
          </cell>
          <cell r="L13">
            <v>26</v>
          </cell>
          <cell r="M13">
            <v>44</v>
          </cell>
          <cell r="N13">
            <v>121</v>
          </cell>
          <cell r="O13">
            <v>0</v>
          </cell>
          <cell r="P13">
            <v>5</v>
          </cell>
          <cell r="Q13">
            <v>12</v>
          </cell>
          <cell r="R13">
            <v>20</v>
          </cell>
          <cell r="S13">
            <v>45</v>
          </cell>
          <cell r="T13">
            <v>77</v>
          </cell>
          <cell r="U13">
            <v>9</v>
          </cell>
          <cell r="V13">
            <v>8</v>
          </cell>
          <cell r="W13">
            <v>15</v>
          </cell>
          <cell r="X13">
            <v>32</v>
          </cell>
          <cell r="Y13">
            <v>109</v>
          </cell>
          <cell r="Z13">
            <v>0</v>
          </cell>
          <cell r="AA13">
            <v>4</v>
          </cell>
          <cell r="AB13">
            <v>12</v>
          </cell>
          <cell r="AC13">
            <v>20</v>
          </cell>
          <cell r="AD13">
            <v>60</v>
          </cell>
          <cell r="AE13">
            <v>92</v>
          </cell>
          <cell r="AF13">
            <v>0</v>
          </cell>
          <cell r="AG13">
            <v>5</v>
          </cell>
          <cell r="AH13">
            <v>17</v>
          </cell>
          <cell r="AI13">
            <v>20</v>
          </cell>
          <cell r="AJ13">
            <v>38</v>
          </cell>
          <cell r="AK13">
            <v>75</v>
          </cell>
          <cell r="AL13">
            <v>0</v>
          </cell>
          <cell r="AM13">
            <v>4</v>
          </cell>
          <cell r="AN13">
            <v>13</v>
          </cell>
          <cell r="AO13">
            <v>20</v>
          </cell>
          <cell r="AP13">
            <v>45</v>
          </cell>
          <cell r="AQ13">
            <v>78</v>
          </cell>
          <cell r="AR13">
            <v>0</v>
          </cell>
          <cell r="AS13">
            <v>4</v>
          </cell>
          <cell r="AT13">
            <v>20</v>
          </cell>
          <cell r="AU13">
            <v>20</v>
          </cell>
          <cell r="AV13">
            <v>52</v>
          </cell>
          <cell r="AW13">
            <v>92</v>
          </cell>
          <cell r="AX13">
            <v>0</v>
          </cell>
          <cell r="AY13">
            <v>5</v>
          </cell>
          <cell r="AZ13">
            <v>5</v>
          </cell>
          <cell r="BA13">
            <v>14</v>
          </cell>
          <cell r="BB13">
            <v>28</v>
          </cell>
          <cell r="BC13">
            <v>47</v>
          </cell>
          <cell r="BD13">
            <v>0</v>
          </cell>
          <cell r="BE13">
            <v>5</v>
          </cell>
          <cell r="BF13">
            <v>32</v>
          </cell>
          <cell r="BG13">
            <v>4.5714285714285712</v>
          </cell>
          <cell r="BH13" t="str">
            <v>BETTER</v>
          </cell>
          <cell r="BI13">
            <v>614</v>
          </cell>
          <cell r="BJ13">
            <v>14</v>
          </cell>
          <cell r="BK13">
            <v>62</v>
          </cell>
        </row>
        <row r="14">
          <cell r="E14" t="str">
            <v>MOHELA BEGEM</v>
          </cell>
          <cell r="F14">
            <v>16</v>
          </cell>
          <cell r="G14">
            <v>19</v>
          </cell>
          <cell r="H14">
            <v>54</v>
          </cell>
          <cell r="I14">
            <v>89</v>
          </cell>
          <cell r="J14">
            <v>7</v>
          </cell>
          <cell r="K14">
            <v>10</v>
          </cell>
          <cell r="L14">
            <v>28</v>
          </cell>
          <cell r="M14">
            <v>45</v>
          </cell>
          <cell r="N14">
            <v>134</v>
          </cell>
          <cell r="O14">
            <v>0</v>
          </cell>
          <cell r="P14">
            <v>5</v>
          </cell>
          <cell r="Q14">
            <v>8</v>
          </cell>
          <cell r="R14">
            <v>20</v>
          </cell>
          <cell r="S14">
            <v>33</v>
          </cell>
          <cell r="T14">
            <v>61</v>
          </cell>
          <cell r="U14">
            <v>4</v>
          </cell>
          <cell r="V14">
            <v>8</v>
          </cell>
          <cell r="W14">
            <v>10</v>
          </cell>
          <cell r="X14">
            <v>22</v>
          </cell>
          <cell r="Y14">
            <v>83</v>
          </cell>
          <cell r="Z14">
            <v>0</v>
          </cell>
          <cell r="AA14">
            <v>3</v>
          </cell>
          <cell r="AB14">
            <v>12</v>
          </cell>
          <cell r="AC14">
            <v>20</v>
          </cell>
          <cell r="AD14">
            <v>45</v>
          </cell>
          <cell r="AE14">
            <v>77</v>
          </cell>
          <cell r="AF14">
            <v>0</v>
          </cell>
          <cell r="AG14">
            <v>4</v>
          </cell>
          <cell r="AH14">
            <v>9</v>
          </cell>
          <cell r="AI14">
            <v>20</v>
          </cell>
          <cell r="AJ14">
            <v>33</v>
          </cell>
          <cell r="AK14">
            <v>62</v>
          </cell>
          <cell r="AL14">
            <v>0</v>
          </cell>
          <cell r="AM14">
            <v>3.5</v>
          </cell>
          <cell r="AN14">
            <v>12</v>
          </cell>
          <cell r="AO14">
            <v>20</v>
          </cell>
          <cell r="AP14">
            <v>53</v>
          </cell>
          <cell r="AQ14">
            <v>85</v>
          </cell>
          <cell r="AR14">
            <v>0</v>
          </cell>
          <cell r="AS14">
            <v>5</v>
          </cell>
          <cell r="AT14">
            <v>17</v>
          </cell>
          <cell r="AU14">
            <v>19</v>
          </cell>
          <cell r="AV14">
            <v>48</v>
          </cell>
          <cell r="AW14">
            <v>84</v>
          </cell>
          <cell r="AX14">
            <v>0</v>
          </cell>
          <cell r="AY14">
            <v>5</v>
          </cell>
          <cell r="AZ14">
            <v>5</v>
          </cell>
          <cell r="BA14">
            <v>14</v>
          </cell>
          <cell r="BB14">
            <v>25</v>
          </cell>
          <cell r="BC14">
            <v>44</v>
          </cell>
          <cell r="BD14">
            <v>0</v>
          </cell>
          <cell r="BE14">
            <v>5</v>
          </cell>
          <cell r="BF14">
            <v>30.5</v>
          </cell>
          <cell r="BG14">
            <v>4.3571428571428568</v>
          </cell>
          <cell r="BH14" t="str">
            <v>BETTER</v>
          </cell>
          <cell r="BI14">
            <v>569</v>
          </cell>
          <cell r="BJ14">
            <v>43</v>
          </cell>
          <cell r="BK14">
            <v>57</v>
          </cell>
        </row>
        <row r="15">
          <cell r="E15" t="str">
            <v>REKHA BEGUIM</v>
          </cell>
          <cell r="F15">
            <v>14</v>
          </cell>
          <cell r="G15">
            <v>20</v>
          </cell>
          <cell r="H15">
            <v>52</v>
          </cell>
          <cell r="I15">
            <v>86</v>
          </cell>
          <cell r="J15">
            <v>7</v>
          </cell>
          <cell r="K15">
            <v>10</v>
          </cell>
          <cell r="L15">
            <v>28</v>
          </cell>
          <cell r="M15">
            <v>45</v>
          </cell>
          <cell r="N15">
            <v>131</v>
          </cell>
          <cell r="O15">
            <v>0</v>
          </cell>
          <cell r="P15">
            <v>5</v>
          </cell>
          <cell r="Q15">
            <v>16</v>
          </cell>
          <cell r="R15">
            <v>20</v>
          </cell>
          <cell r="S15">
            <v>35</v>
          </cell>
          <cell r="T15">
            <v>71</v>
          </cell>
          <cell r="U15">
            <v>9</v>
          </cell>
          <cell r="V15">
            <v>8</v>
          </cell>
          <cell r="W15">
            <v>12</v>
          </cell>
          <cell r="X15">
            <v>29</v>
          </cell>
          <cell r="Y15">
            <v>100</v>
          </cell>
          <cell r="Z15">
            <v>0</v>
          </cell>
          <cell r="AA15">
            <v>3.5</v>
          </cell>
          <cell r="AB15">
            <v>8</v>
          </cell>
          <cell r="AC15">
            <v>20</v>
          </cell>
          <cell r="AD15">
            <v>49</v>
          </cell>
          <cell r="AE15">
            <v>77</v>
          </cell>
          <cell r="AF15">
            <v>0</v>
          </cell>
          <cell r="AG15">
            <v>4</v>
          </cell>
          <cell r="AH15">
            <v>15</v>
          </cell>
          <cell r="AI15">
            <v>20</v>
          </cell>
          <cell r="AJ15">
            <v>58</v>
          </cell>
          <cell r="AK15">
            <v>93</v>
          </cell>
          <cell r="AL15">
            <v>0</v>
          </cell>
          <cell r="AM15">
            <v>5</v>
          </cell>
          <cell r="AN15">
            <v>11</v>
          </cell>
          <cell r="AO15">
            <v>20</v>
          </cell>
          <cell r="AP15">
            <v>52</v>
          </cell>
          <cell r="AQ15">
            <v>83</v>
          </cell>
          <cell r="AR15">
            <v>0</v>
          </cell>
          <cell r="AS15">
            <v>5</v>
          </cell>
          <cell r="AT15">
            <v>19</v>
          </cell>
          <cell r="AU15">
            <v>20</v>
          </cell>
          <cell r="AV15">
            <v>54</v>
          </cell>
          <cell r="AW15">
            <v>93</v>
          </cell>
          <cell r="AX15">
            <v>0</v>
          </cell>
          <cell r="AY15">
            <v>5</v>
          </cell>
          <cell r="AZ15">
            <v>4</v>
          </cell>
          <cell r="BA15">
            <v>15</v>
          </cell>
          <cell r="BB15">
            <v>26</v>
          </cell>
          <cell r="BC15">
            <v>45</v>
          </cell>
          <cell r="BD15">
            <v>0</v>
          </cell>
          <cell r="BE15">
            <v>5</v>
          </cell>
          <cell r="BF15">
            <v>32.5</v>
          </cell>
          <cell r="BG15">
            <v>4.6428571428571432</v>
          </cell>
          <cell r="BH15" t="str">
            <v>BETTER</v>
          </cell>
          <cell r="BI15">
            <v>622</v>
          </cell>
          <cell r="BJ15">
            <v>12</v>
          </cell>
          <cell r="BK15">
            <v>55</v>
          </cell>
        </row>
        <row r="16">
          <cell r="E16" t="str">
            <v>YESMINN AKTER</v>
          </cell>
          <cell r="F16">
            <v>15</v>
          </cell>
          <cell r="G16">
            <v>20</v>
          </cell>
          <cell r="H16">
            <v>47</v>
          </cell>
          <cell r="I16">
            <v>82</v>
          </cell>
          <cell r="J16">
            <v>7</v>
          </cell>
          <cell r="K16">
            <v>10</v>
          </cell>
          <cell r="L16">
            <v>26</v>
          </cell>
          <cell r="M16">
            <v>43</v>
          </cell>
          <cell r="N16">
            <v>125</v>
          </cell>
          <cell r="O16">
            <v>0</v>
          </cell>
          <cell r="P16">
            <v>5</v>
          </cell>
          <cell r="Q16">
            <v>12</v>
          </cell>
          <cell r="R16">
            <v>18</v>
          </cell>
          <cell r="S16">
            <v>45</v>
          </cell>
          <cell r="T16">
            <v>75</v>
          </cell>
          <cell r="U16">
            <v>8</v>
          </cell>
          <cell r="V16">
            <v>8</v>
          </cell>
          <cell r="W16">
            <v>13</v>
          </cell>
          <cell r="X16">
            <v>29</v>
          </cell>
          <cell r="Y16">
            <v>104</v>
          </cell>
          <cell r="Z16">
            <v>0</v>
          </cell>
          <cell r="AA16">
            <v>3.5</v>
          </cell>
          <cell r="AB16">
            <v>17</v>
          </cell>
          <cell r="AC16">
            <v>20</v>
          </cell>
          <cell r="AD16">
            <v>58</v>
          </cell>
          <cell r="AE16">
            <v>95</v>
          </cell>
          <cell r="AF16">
            <v>0</v>
          </cell>
          <cell r="AG16">
            <v>5</v>
          </cell>
          <cell r="AH16">
            <v>17</v>
          </cell>
          <cell r="AI16">
            <v>20</v>
          </cell>
          <cell r="AJ16">
            <v>54</v>
          </cell>
          <cell r="AK16">
            <v>91</v>
          </cell>
          <cell r="AL16">
            <v>0</v>
          </cell>
          <cell r="AM16">
            <v>5</v>
          </cell>
          <cell r="AN16">
            <v>13</v>
          </cell>
          <cell r="AO16">
            <v>20</v>
          </cell>
          <cell r="AP16">
            <v>48</v>
          </cell>
          <cell r="AQ16">
            <v>81</v>
          </cell>
          <cell r="AR16">
            <v>0</v>
          </cell>
          <cell r="AS16">
            <v>5</v>
          </cell>
          <cell r="AT16">
            <v>17</v>
          </cell>
          <cell r="AU16">
            <v>20</v>
          </cell>
          <cell r="AV16">
            <v>52</v>
          </cell>
          <cell r="AW16">
            <v>89</v>
          </cell>
          <cell r="AX16">
            <v>0</v>
          </cell>
          <cell r="AY16">
            <v>5</v>
          </cell>
          <cell r="AZ16">
            <v>4</v>
          </cell>
          <cell r="BA16">
            <v>14</v>
          </cell>
          <cell r="BB16">
            <v>23</v>
          </cell>
          <cell r="BC16">
            <v>41</v>
          </cell>
          <cell r="BD16">
            <v>0</v>
          </cell>
          <cell r="BE16">
            <v>5</v>
          </cell>
          <cell r="BF16">
            <v>33.5</v>
          </cell>
          <cell r="BG16">
            <v>4.7857142857142856</v>
          </cell>
          <cell r="BH16" t="str">
            <v>BETTER</v>
          </cell>
          <cell r="BI16">
            <v>626</v>
          </cell>
          <cell r="BJ16">
            <v>29</v>
          </cell>
          <cell r="BK16">
            <v>61</v>
          </cell>
        </row>
        <row r="17">
          <cell r="E17" t="str">
            <v>RUMA YESMIN</v>
          </cell>
          <cell r="F17">
            <v>13</v>
          </cell>
          <cell r="G17">
            <v>20</v>
          </cell>
          <cell r="H17">
            <v>47</v>
          </cell>
          <cell r="I17">
            <v>80</v>
          </cell>
          <cell r="J17">
            <v>5</v>
          </cell>
          <cell r="K17">
            <v>10</v>
          </cell>
          <cell r="L17">
            <v>22</v>
          </cell>
          <cell r="M17">
            <v>37</v>
          </cell>
          <cell r="N17">
            <v>117</v>
          </cell>
          <cell r="O17">
            <v>0</v>
          </cell>
          <cell r="P17">
            <v>4</v>
          </cell>
          <cell r="Q17">
            <v>10</v>
          </cell>
          <cell r="R17">
            <v>18</v>
          </cell>
          <cell r="S17">
            <v>33</v>
          </cell>
          <cell r="T17">
            <v>61</v>
          </cell>
          <cell r="U17">
            <v>2</v>
          </cell>
          <cell r="V17">
            <v>10</v>
          </cell>
          <cell r="W17">
            <v>16</v>
          </cell>
          <cell r="X17">
            <v>28</v>
          </cell>
          <cell r="Y17">
            <v>89</v>
          </cell>
          <cell r="Z17">
            <v>0</v>
          </cell>
          <cell r="AA17">
            <v>3</v>
          </cell>
          <cell r="AB17">
            <v>13</v>
          </cell>
          <cell r="AC17">
            <v>20</v>
          </cell>
          <cell r="AD17">
            <v>55</v>
          </cell>
          <cell r="AE17">
            <v>88</v>
          </cell>
          <cell r="AF17">
            <v>0</v>
          </cell>
          <cell r="AG17">
            <v>5</v>
          </cell>
          <cell r="AH17">
            <v>9</v>
          </cell>
          <cell r="AI17">
            <v>20</v>
          </cell>
          <cell r="AJ17">
            <v>32</v>
          </cell>
          <cell r="AK17">
            <v>61</v>
          </cell>
          <cell r="AL17">
            <v>0</v>
          </cell>
          <cell r="AM17">
            <v>3.5</v>
          </cell>
          <cell r="AN17">
            <v>13</v>
          </cell>
          <cell r="AO17">
            <v>20</v>
          </cell>
          <cell r="AP17">
            <v>39</v>
          </cell>
          <cell r="AQ17">
            <v>72</v>
          </cell>
          <cell r="AR17">
            <v>0</v>
          </cell>
          <cell r="AS17">
            <v>4</v>
          </cell>
          <cell r="AT17">
            <v>11</v>
          </cell>
          <cell r="AU17">
            <v>20</v>
          </cell>
          <cell r="AV17">
            <v>57</v>
          </cell>
          <cell r="AW17">
            <v>88</v>
          </cell>
          <cell r="AX17">
            <v>0</v>
          </cell>
          <cell r="AY17">
            <v>5</v>
          </cell>
          <cell r="AZ17">
            <v>5</v>
          </cell>
          <cell r="BA17">
            <v>15</v>
          </cell>
          <cell r="BB17">
            <v>25</v>
          </cell>
          <cell r="BC17">
            <v>45</v>
          </cell>
          <cell r="BD17">
            <v>0</v>
          </cell>
          <cell r="BE17">
            <v>5</v>
          </cell>
          <cell r="BF17">
            <v>29.5</v>
          </cell>
          <cell r="BG17">
            <v>4.2142857142857144</v>
          </cell>
          <cell r="BH17" t="str">
            <v>BETTER</v>
          </cell>
          <cell r="BI17">
            <v>560</v>
          </cell>
          <cell r="BJ17">
            <v>50</v>
          </cell>
          <cell r="BK17">
            <v>63</v>
          </cell>
        </row>
        <row r="18">
          <cell r="E18" t="str">
            <v>SUMONA AKTAR</v>
          </cell>
          <cell r="F18">
            <v>18</v>
          </cell>
          <cell r="G18">
            <v>18</v>
          </cell>
          <cell r="H18">
            <v>45</v>
          </cell>
          <cell r="I18">
            <v>81</v>
          </cell>
          <cell r="J18">
            <v>9</v>
          </cell>
          <cell r="K18">
            <v>10</v>
          </cell>
          <cell r="L18">
            <v>28</v>
          </cell>
          <cell r="M18">
            <v>47</v>
          </cell>
          <cell r="N18">
            <v>128</v>
          </cell>
          <cell r="O18">
            <v>0</v>
          </cell>
          <cell r="P18">
            <v>5</v>
          </cell>
          <cell r="Q18">
            <v>17</v>
          </cell>
          <cell r="R18">
            <v>18</v>
          </cell>
          <cell r="S18">
            <v>34</v>
          </cell>
          <cell r="T18">
            <v>69</v>
          </cell>
          <cell r="U18">
            <v>2</v>
          </cell>
          <cell r="V18">
            <v>10</v>
          </cell>
          <cell r="W18">
            <v>21</v>
          </cell>
          <cell r="X18">
            <v>33</v>
          </cell>
          <cell r="Y18">
            <v>102</v>
          </cell>
          <cell r="Z18">
            <v>0</v>
          </cell>
          <cell r="AA18">
            <v>3.5</v>
          </cell>
          <cell r="AB18">
            <v>14</v>
          </cell>
          <cell r="AC18">
            <v>20</v>
          </cell>
          <cell r="AD18">
            <v>50</v>
          </cell>
          <cell r="AE18">
            <v>84</v>
          </cell>
          <cell r="AF18">
            <v>0</v>
          </cell>
          <cell r="AG18">
            <v>5</v>
          </cell>
          <cell r="AH18">
            <v>9</v>
          </cell>
          <cell r="AI18">
            <v>20</v>
          </cell>
          <cell r="AJ18">
            <v>51</v>
          </cell>
          <cell r="AK18">
            <v>80</v>
          </cell>
          <cell r="AL18">
            <v>0</v>
          </cell>
          <cell r="AM18">
            <v>5</v>
          </cell>
          <cell r="AN18">
            <v>10</v>
          </cell>
          <cell r="AO18">
            <v>20</v>
          </cell>
          <cell r="AP18">
            <v>43</v>
          </cell>
          <cell r="AQ18">
            <v>73</v>
          </cell>
          <cell r="AR18">
            <v>0</v>
          </cell>
          <cell r="AS18">
            <v>4</v>
          </cell>
          <cell r="AT18">
            <v>15</v>
          </cell>
          <cell r="AU18">
            <v>20</v>
          </cell>
          <cell r="AV18">
            <v>51</v>
          </cell>
          <cell r="AW18">
            <v>86</v>
          </cell>
          <cell r="AX18">
            <v>0</v>
          </cell>
          <cell r="AY18">
            <v>5</v>
          </cell>
          <cell r="AZ18">
            <v>5</v>
          </cell>
          <cell r="BA18">
            <v>14</v>
          </cell>
          <cell r="BB18">
            <v>24</v>
          </cell>
          <cell r="BC18">
            <v>43</v>
          </cell>
          <cell r="BD18">
            <v>0</v>
          </cell>
          <cell r="BE18">
            <v>5</v>
          </cell>
          <cell r="BF18">
            <v>32.5</v>
          </cell>
          <cell r="BG18">
            <v>4.6428571428571432</v>
          </cell>
          <cell r="BH18" t="str">
            <v>BETTER</v>
          </cell>
          <cell r="BI18">
            <v>596</v>
          </cell>
          <cell r="BJ18">
            <v>17</v>
          </cell>
          <cell r="BK18">
            <v>56</v>
          </cell>
        </row>
        <row r="19">
          <cell r="E19" t="str">
            <v>REHANA AKTER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F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 t="str">
            <v>F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 t="str">
            <v>F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 t="str">
            <v>F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 t="str">
            <v>F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 t="str">
            <v>F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 t="str">
            <v>F</v>
          </cell>
          <cell r="BF19" t="str">
            <v>F</v>
          </cell>
          <cell r="BG19" t="str">
            <v>F</v>
          </cell>
          <cell r="BH19" t="str">
            <v>NEED TO PROGRESS</v>
          </cell>
          <cell r="BI19">
            <v>0</v>
          </cell>
          <cell r="BJ19">
            <v>59</v>
          </cell>
          <cell r="BK19">
            <v>58</v>
          </cell>
        </row>
        <row r="20">
          <cell r="E20" t="str">
            <v>SABIKUN NAHAR</v>
          </cell>
          <cell r="F20">
            <v>14</v>
          </cell>
          <cell r="G20">
            <v>20</v>
          </cell>
          <cell r="H20">
            <v>41</v>
          </cell>
          <cell r="I20">
            <v>75</v>
          </cell>
          <cell r="J20">
            <v>9</v>
          </cell>
          <cell r="K20">
            <v>10</v>
          </cell>
          <cell r="L20">
            <v>27</v>
          </cell>
          <cell r="M20">
            <v>46</v>
          </cell>
          <cell r="N20">
            <v>121</v>
          </cell>
          <cell r="O20">
            <v>0</v>
          </cell>
          <cell r="P20">
            <v>5</v>
          </cell>
          <cell r="Q20">
            <v>15</v>
          </cell>
          <cell r="R20">
            <v>20</v>
          </cell>
          <cell r="S20">
            <v>37</v>
          </cell>
          <cell r="T20">
            <v>72</v>
          </cell>
          <cell r="U20">
            <v>9</v>
          </cell>
          <cell r="V20">
            <v>8</v>
          </cell>
          <cell r="W20">
            <v>14</v>
          </cell>
          <cell r="X20">
            <v>31</v>
          </cell>
          <cell r="Y20">
            <v>103</v>
          </cell>
          <cell r="Z20">
            <v>0</v>
          </cell>
          <cell r="AA20">
            <v>3.5</v>
          </cell>
          <cell r="AB20">
            <v>15</v>
          </cell>
          <cell r="AC20">
            <v>20</v>
          </cell>
          <cell r="AD20">
            <v>45</v>
          </cell>
          <cell r="AE20">
            <v>80</v>
          </cell>
          <cell r="AF20">
            <v>0</v>
          </cell>
          <cell r="AG20">
            <v>5</v>
          </cell>
          <cell r="AH20">
            <v>18</v>
          </cell>
          <cell r="AI20">
            <v>20</v>
          </cell>
          <cell r="AJ20">
            <v>42</v>
          </cell>
          <cell r="AK20">
            <v>80</v>
          </cell>
          <cell r="AL20">
            <v>0</v>
          </cell>
          <cell r="AM20">
            <v>5</v>
          </cell>
          <cell r="AN20">
            <v>13</v>
          </cell>
          <cell r="AO20">
            <v>20</v>
          </cell>
          <cell r="AP20">
            <v>52</v>
          </cell>
          <cell r="AQ20">
            <v>85</v>
          </cell>
          <cell r="AR20">
            <v>0</v>
          </cell>
          <cell r="AS20">
            <v>5</v>
          </cell>
          <cell r="AT20">
            <v>20</v>
          </cell>
          <cell r="AU20">
            <v>20</v>
          </cell>
          <cell r="AV20">
            <v>51</v>
          </cell>
          <cell r="AW20">
            <v>91</v>
          </cell>
          <cell r="AX20">
            <v>0</v>
          </cell>
          <cell r="AY20">
            <v>5</v>
          </cell>
          <cell r="AZ20">
            <v>5</v>
          </cell>
          <cell r="BA20">
            <v>13</v>
          </cell>
          <cell r="BB20">
            <v>28</v>
          </cell>
          <cell r="BC20">
            <v>46</v>
          </cell>
          <cell r="BD20">
            <v>0</v>
          </cell>
          <cell r="BE20">
            <v>5</v>
          </cell>
          <cell r="BF20">
            <v>33.5</v>
          </cell>
          <cell r="BG20">
            <v>4.7857142857142856</v>
          </cell>
          <cell r="BH20" t="str">
            <v>BETTER</v>
          </cell>
          <cell r="BI20">
            <v>606</v>
          </cell>
          <cell r="BJ20">
            <v>53</v>
          </cell>
          <cell r="BK20">
            <v>55</v>
          </cell>
        </row>
        <row r="21">
          <cell r="E21" t="str">
            <v>POPY AKTER</v>
          </cell>
          <cell r="F21">
            <v>17</v>
          </cell>
          <cell r="G21">
            <v>19</v>
          </cell>
          <cell r="H21">
            <v>55</v>
          </cell>
          <cell r="I21">
            <v>91</v>
          </cell>
          <cell r="J21">
            <v>4</v>
          </cell>
          <cell r="K21">
            <v>10</v>
          </cell>
          <cell r="L21">
            <v>26</v>
          </cell>
          <cell r="M21">
            <v>40</v>
          </cell>
          <cell r="N21">
            <v>131</v>
          </cell>
          <cell r="O21">
            <v>0</v>
          </cell>
          <cell r="P21">
            <v>5</v>
          </cell>
          <cell r="Q21">
            <v>8</v>
          </cell>
          <cell r="R21">
            <v>19</v>
          </cell>
          <cell r="S21">
            <v>46</v>
          </cell>
          <cell r="T21">
            <v>73</v>
          </cell>
          <cell r="U21">
            <v>1</v>
          </cell>
          <cell r="V21">
            <v>10</v>
          </cell>
          <cell r="W21">
            <v>20</v>
          </cell>
          <cell r="X21">
            <v>31</v>
          </cell>
          <cell r="Y21">
            <v>104</v>
          </cell>
          <cell r="Z21">
            <v>0</v>
          </cell>
          <cell r="AA21">
            <v>3.5</v>
          </cell>
          <cell r="AB21">
            <v>8</v>
          </cell>
          <cell r="AC21">
            <v>20</v>
          </cell>
          <cell r="AD21">
            <v>59</v>
          </cell>
          <cell r="AE21">
            <v>87</v>
          </cell>
          <cell r="AF21">
            <v>0</v>
          </cell>
          <cell r="AG21">
            <v>5</v>
          </cell>
          <cell r="AH21">
            <v>13</v>
          </cell>
          <cell r="AI21">
            <v>20</v>
          </cell>
          <cell r="AJ21">
            <v>44</v>
          </cell>
          <cell r="AK21">
            <v>77</v>
          </cell>
          <cell r="AL21">
            <v>0</v>
          </cell>
          <cell r="AM21">
            <v>4</v>
          </cell>
          <cell r="AN21">
            <v>14</v>
          </cell>
          <cell r="AO21">
            <v>20</v>
          </cell>
          <cell r="AP21">
            <v>54</v>
          </cell>
          <cell r="AQ21">
            <v>88</v>
          </cell>
          <cell r="AR21">
            <v>0</v>
          </cell>
          <cell r="AS21">
            <v>5</v>
          </cell>
          <cell r="AT21">
            <v>18</v>
          </cell>
          <cell r="AU21">
            <v>20</v>
          </cell>
          <cell r="AV21">
            <v>59</v>
          </cell>
          <cell r="AW21">
            <v>97</v>
          </cell>
          <cell r="AX21">
            <v>0</v>
          </cell>
          <cell r="AY21">
            <v>5</v>
          </cell>
          <cell r="AZ21">
            <v>5</v>
          </cell>
          <cell r="BA21">
            <v>14</v>
          </cell>
          <cell r="BB21">
            <v>24</v>
          </cell>
          <cell r="BC21">
            <v>43</v>
          </cell>
          <cell r="BD21">
            <v>0</v>
          </cell>
          <cell r="BE21">
            <v>5</v>
          </cell>
          <cell r="BF21">
            <v>32.5</v>
          </cell>
          <cell r="BG21">
            <v>4.6428571428571432</v>
          </cell>
          <cell r="BH21" t="str">
            <v>BETTER</v>
          </cell>
          <cell r="BI21">
            <v>627</v>
          </cell>
          <cell r="BJ21">
            <v>20</v>
          </cell>
          <cell r="BK21">
            <v>62</v>
          </cell>
        </row>
        <row r="22">
          <cell r="E22" t="str">
            <v>MAHFUJA KHATUN</v>
          </cell>
          <cell r="F22">
            <v>19</v>
          </cell>
          <cell r="G22">
            <v>20</v>
          </cell>
          <cell r="H22">
            <v>44</v>
          </cell>
          <cell r="I22">
            <v>83</v>
          </cell>
          <cell r="J22">
            <v>4</v>
          </cell>
          <cell r="K22">
            <v>10</v>
          </cell>
          <cell r="L22">
            <v>22</v>
          </cell>
          <cell r="M22">
            <v>36</v>
          </cell>
          <cell r="N22">
            <v>119</v>
          </cell>
          <cell r="O22">
            <v>0</v>
          </cell>
          <cell r="P22">
            <v>4</v>
          </cell>
          <cell r="Q22">
            <v>10</v>
          </cell>
          <cell r="R22">
            <v>18</v>
          </cell>
          <cell r="S22">
            <v>27</v>
          </cell>
          <cell r="T22">
            <v>55</v>
          </cell>
          <cell r="U22">
            <v>0</v>
          </cell>
          <cell r="V22">
            <v>10</v>
          </cell>
          <cell r="W22">
            <v>12</v>
          </cell>
          <cell r="X22">
            <v>22</v>
          </cell>
          <cell r="Y22">
            <v>77</v>
          </cell>
          <cell r="Z22">
            <v>0</v>
          </cell>
          <cell r="AA22">
            <v>3</v>
          </cell>
          <cell r="AB22">
            <v>8</v>
          </cell>
          <cell r="AC22">
            <v>20</v>
          </cell>
          <cell r="AD22">
            <v>60</v>
          </cell>
          <cell r="AE22">
            <v>88</v>
          </cell>
          <cell r="AF22">
            <v>0</v>
          </cell>
          <cell r="AG22">
            <v>5</v>
          </cell>
          <cell r="AH22">
            <v>12</v>
          </cell>
          <cell r="AI22">
            <v>20</v>
          </cell>
          <cell r="AJ22">
            <v>47</v>
          </cell>
          <cell r="AK22">
            <v>79</v>
          </cell>
          <cell r="AL22">
            <v>0</v>
          </cell>
          <cell r="AM22">
            <v>4</v>
          </cell>
          <cell r="AN22">
            <v>16</v>
          </cell>
          <cell r="AO22">
            <v>20</v>
          </cell>
          <cell r="AP22">
            <v>54</v>
          </cell>
          <cell r="AQ22">
            <v>90</v>
          </cell>
          <cell r="AR22">
            <v>0</v>
          </cell>
          <cell r="AS22">
            <v>5</v>
          </cell>
          <cell r="AT22">
            <v>15</v>
          </cell>
          <cell r="AU22">
            <v>20</v>
          </cell>
          <cell r="AV22">
            <v>54</v>
          </cell>
          <cell r="AW22">
            <v>89</v>
          </cell>
          <cell r="AX22">
            <v>0</v>
          </cell>
          <cell r="AY22">
            <v>5</v>
          </cell>
          <cell r="AZ22">
            <v>5</v>
          </cell>
          <cell r="BA22">
            <v>8</v>
          </cell>
          <cell r="BB22">
            <v>11</v>
          </cell>
          <cell r="BC22">
            <v>24</v>
          </cell>
          <cell r="BD22">
            <v>0</v>
          </cell>
          <cell r="BE22">
            <v>2</v>
          </cell>
          <cell r="BF22">
            <v>28</v>
          </cell>
          <cell r="BG22">
            <v>4</v>
          </cell>
          <cell r="BH22" t="str">
            <v>BETTER</v>
          </cell>
          <cell r="BI22">
            <v>566</v>
          </cell>
          <cell r="BJ22">
            <v>40</v>
          </cell>
          <cell r="BK22">
            <v>55</v>
          </cell>
        </row>
        <row r="23">
          <cell r="E23" t="str">
            <v>ALIZA PERVIN</v>
          </cell>
          <cell r="F23">
            <v>15</v>
          </cell>
          <cell r="G23">
            <v>20</v>
          </cell>
          <cell r="H23">
            <v>47</v>
          </cell>
          <cell r="I23">
            <v>82</v>
          </cell>
          <cell r="J23">
            <v>7</v>
          </cell>
          <cell r="K23">
            <v>10</v>
          </cell>
          <cell r="L23">
            <v>27</v>
          </cell>
          <cell r="M23">
            <v>44</v>
          </cell>
          <cell r="N23">
            <v>126</v>
          </cell>
          <cell r="O23">
            <v>0</v>
          </cell>
          <cell r="P23">
            <v>5</v>
          </cell>
          <cell r="Q23">
            <v>17</v>
          </cell>
          <cell r="R23">
            <v>20</v>
          </cell>
          <cell r="S23">
            <v>47</v>
          </cell>
          <cell r="T23">
            <v>84</v>
          </cell>
          <cell r="U23">
            <v>8</v>
          </cell>
          <cell r="V23">
            <v>8</v>
          </cell>
          <cell r="W23">
            <v>13</v>
          </cell>
          <cell r="X23">
            <v>29</v>
          </cell>
          <cell r="Y23">
            <v>113</v>
          </cell>
          <cell r="Z23">
            <v>0</v>
          </cell>
          <cell r="AA23">
            <v>4</v>
          </cell>
          <cell r="AB23">
            <v>20</v>
          </cell>
          <cell r="AC23">
            <v>20</v>
          </cell>
          <cell r="AD23">
            <v>21</v>
          </cell>
          <cell r="AE23">
            <v>61</v>
          </cell>
          <cell r="AF23">
            <v>0</v>
          </cell>
          <cell r="AG23">
            <v>3.5</v>
          </cell>
          <cell r="AH23">
            <v>18</v>
          </cell>
          <cell r="AI23">
            <v>20</v>
          </cell>
          <cell r="AJ23">
            <v>40</v>
          </cell>
          <cell r="AK23">
            <v>78</v>
          </cell>
          <cell r="AL23">
            <v>0</v>
          </cell>
          <cell r="AM23">
            <v>4</v>
          </cell>
          <cell r="AN23">
            <v>17</v>
          </cell>
          <cell r="AO23">
            <v>20</v>
          </cell>
          <cell r="AP23">
            <v>54</v>
          </cell>
          <cell r="AQ23">
            <v>91</v>
          </cell>
          <cell r="AR23">
            <v>0</v>
          </cell>
          <cell r="AS23">
            <v>5</v>
          </cell>
          <cell r="AT23">
            <v>18</v>
          </cell>
          <cell r="AU23">
            <v>19</v>
          </cell>
          <cell r="AV23">
            <v>49</v>
          </cell>
          <cell r="AW23">
            <v>86</v>
          </cell>
          <cell r="AX23">
            <v>0</v>
          </cell>
          <cell r="AY23">
            <v>5</v>
          </cell>
          <cell r="AZ23">
            <v>5</v>
          </cell>
          <cell r="BA23">
            <v>11</v>
          </cell>
          <cell r="BB23">
            <v>26</v>
          </cell>
          <cell r="BC23">
            <v>42</v>
          </cell>
          <cell r="BD23">
            <v>0</v>
          </cell>
          <cell r="BE23">
            <v>5</v>
          </cell>
          <cell r="BF23">
            <v>31.5</v>
          </cell>
          <cell r="BG23">
            <v>4.5</v>
          </cell>
          <cell r="BH23" t="str">
            <v>BETTER</v>
          </cell>
          <cell r="BI23">
            <v>597</v>
          </cell>
          <cell r="BJ23">
            <v>22</v>
          </cell>
          <cell r="BK23">
            <v>55</v>
          </cell>
        </row>
        <row r="24">
          <cell r="E24" t="str">
            <v>MOST.SHAMMI AKTER</v>
          </cell>
          <cell r="F24">
            <v>16</v>
          </cell>
          <cell r="G24">
            <v>17</v>
          </cell>
          <cell r="H24">
            <v>47</v>
          </cell>
          <cell r="I24">
            <v>80</v>
          </cell>
          <cell r="J24">
            <v>6</v>
          </cell>
          <cell r="K24">
            <v>10</v>
          </cell>
          <cell r="L24">
            <v>21</v>
          </cell>
          <cell r="M24">
            <v>37</v>
          </cell>
          <cell r="N24">
            <v>117</v>
          </cell>
          <cell r="O24">
            <v>0</v>
          </cell>
          <cell r="P24">
            <v>4</v>
          </cell>
          <cell r="Q24">
            <v>14</v>
          </cell>
          <cell r="R24">
            <v>18</v>
          </cell>
          <cell r="S24">
            <v>35</v>
          </cell>
          <cell r="T24">
            <v>67</v>
          </cell>
          <cell r="U24">
            <v>4</v>
          </cell>
          <cell r="V24">
            <v>10</v>
          </cell>
          <cell r="W24">
            <v>13</v>
          </cell>
          <cell r="X24">
            <v>27</v>
          </cell>
          <cell r="Y24">
            <v>94</v>
          </cell>
          <cell r="Z24">
            <v>0</v>
          </cell>
          <cell r="AA24">
            <v>3.5</v>
          </cell>
          <cell r="AB24">
            <v>8</v>
          </cell>
          <cell r="AC24">
            <v>20</v>
          </cell>
          <cell r="AD24">
            <v>54</v>
          </cell>
          <cell r="AE24">
            <v>82</v>
          </cell>
          <cell r="AF24">
            <v>0</v>
          </cell>
          <cell r="AG24">
            <v>5</v>
          </cell>
          <cell r="AH24">
            <v>8</v>
          </cell>
          <cell r="AI24">
            <v>20</v>
          </cell>
          <cell r="AJ24">
            <v>53</v>
          </cell>
          <cell r="AK24">
            <v>81</v>
          </cell>
          <cell r="AL24">
            <v>0</v>
          </cell>
          <cell r="AM24">
            <v>5</v>
          </cell>
          <cell r="AN24">
            <v>15</v>
          </cell>
          <cell r="AO24">
            <v>20</v>
          </cell>
          <cell r="AP24">
            <v>55</v>
          </cell>
          <cell r="AQ24">
            <v>90</v>
          </cell>
          <cell r="AR24">
            <v>0</v>
          </cell>
          <cell r="AS24">
            <v>5</v>
          </cell>
          <cell r="AT24">
            <v>9</v>
          </cell>
          <cell r="AU24">
            <v>19</v>
          </cell>
          <cell r="AV24">
            <v>49</v>
          </cell>
          <cell r="AW24">
            <v>77</v>
          </cell>
          <cell r="AX24">
            <v>0</v>
          </cell>
          <cell r="AY24">
            <v>4</v>
          </cell>
          <cell r="AZ24">
            <v>4</v>
          </cell>
          <cell r="BA24">
            <v>14</v>
          </cell>
          <cell r="BB24">
            <v>26</v>
          </cell>
          <cell r="BC24">
            <v>44</v>
          </cell>
          <cell r="BD24">
            <v>0</v>
          </cell>
          <cell r="BE24">
            <v>5</v>
          </cell>
          <cell r="BF24">
            <v>31.5</v>
          </cell>
          <cell r="BG24">
            <v>4.5</v>
          </cell>
          <cell r="BH24" t="str">
            <v>BETTER</v>
          </cell>
          <cell r="BI24">
            <v>585</v>
          </cell>
          <cell r="BJ24">
            <v>41</v>
          </cell>
          <cell r="BK24">
            <v>64</v>
          </cell>
        </row>
        <row r="25">
          <cell r="E25" t="str">
            <v>ISRAT JAHAN MITU</v>
          </cell>
          <cell r="F25">
            <v>18</v>
          </cell>
          <cell r="G25">
            <v>20</v>
          </cell>
          <cell r="H25">
            <v>52</v>
          </cell>
          <cell r="I25">
            <v>90</v>
          </cell>
          <cell r="J25">
            <v>8</v>
          </cell>
          <cell r="K25">
            <v>10</v>
          </cell>
          <cell r="L25">
            <v>28</v>
          </cell>
          <cell r="M25">
            <v>46</v>
          </cell>
          <cell r="N25">
            <v>136</v>
          </cell>
          <cell r="O25">
            <v>0</v>
          </cell>
          <cell r="P25">
            <v>5</v>
          </cell>
          <cell r="Q25">
            <v>17</v>
          </cell>
          <cell r="R25">
            <v>20</v>
          </cell>
          <cell r="S25">
            <v>45</v>
          </cell>
          <cell r="T25">
            <v>82</v>
          </cell>
          <cell r="U25">
            <v>4</v>
          </cell>
          <cell r="V25">
            <v>8</v>
          </cell>
          <cell r="W25">
            <v>15</v>
          </cell>
          <cell r="X25">
            <v>27</v>
          </cell>
          <cell r="Y25">
            <v>109</v>
          </cell>
          <cell r="Z25">
            <v>0</v>
          </cell>
          <cell r="AA25">
            <v>4</v>
          </cell>
          <cell r="AB25">
            <v>20</v>
          </cell>
          <cell r="AC25">
            <v>20</v>
          </cell>
          <cell r="AD25">
            <v>60</v>
          </cell>
          <cell r="AE25">
            <v>100</v>
          </cell>
          <cell r="AF25">
            <v>0</v>
          </cell>
          <cell r="AG25">
            <v>5</v>
          </cell>
          <cell r="AH25">
            <v>19</v>
          </cell>
          <cell r="AI25">
            <v>20</v>
          </cell>
          <cell r="AJ25">
            <v>57</v>
          </cell>
          <cell r="AK25">
            <v>96</v>
          </cell>
          <cell r="AL25">
            <v>0</v>
          </cell>
          <cell r="AM25">
            <v>5</v>
          </cell>
          <cell r="AN25">
            <v>17</v>
          </cell>
          <cell r="AO25">
            <v>20</v>
          </cell>
          <cell r="AP25">
            <v>54</v>
          </cell>
          <cell r="AQ25">
            <v>91</v>
          </cell>
          <cell r="AR25">
            <v>0</v>
          </cell>
          <cell r="AS25">
            <v>5</v>
          </cell>
          <cell r="AT25">
            <v>20</v>
          </cell>
          <cell r="AU25">
            <v>20</v>
          </cell>
          <cell r="AV25">
            <v>58</v>
          </cell>
          <cell r="AW25">
            <v>98</v>
          </cell>
          <cell r="AX25">
            <v>0</v>
          </cell>
          <cell r="AY25">
            <v>5</v>
          </cell>
          <cell r="AZ25">
            <v>5</v>
          </cell>
          <cell r="BA25">
            <v>16</v>
          </cell>
          <cell r="BB25">
            <v>28</v>
          </cell>
          <cell r="BC25">
            <v>49</v>
          </cell>
          <cell r="BD25">
            <v>0</v>
          </cell>
          <cell r="BE25">
            <v>5</v>
          </cell>
          <cell r="BF25">
            <v>34</v>
          </cell>
          <cell r="BG25">
            <v>4.8571428571428568</v>
          </cell>
          <cell r="BH25" t="str">
            <v>BETTER</v>
          </cell>
          <cell r="BI25">
            <v>679</v>
          </cell>
          <cell r="BJ25">
            <v>4</v>
          </cell>
          <cell r="BK25">
            <v>65</v>
          </cell>
        </row>
        <row r="26">
          <cell r="E26" t="str">
            <v>MOST.SHAMMI AKTER</v>
          </cell>
          <cell r="F26">
            <v>16</v>
          </cell>
          <cell r="G26">
            <v>15</v>
          </cell>
          <cell r="H26">
            <v>41</v>
          </cell>
          <cell r="I26">
            <v>72</v>
          </cell>
          <cell r="J26">
            <v>5</v>
          </cell>
          <cell r="K26">
            <v>10</v>
          </cell>
          <cell r="L26">
            <v>22</v>
          </cell>
          <cell r="M26">
            <v>37</v>
          </cell>
          <cell r="N26">
            <v>109</v>
          </cell>
          <cell r="O26">
            <v>0</v>
          </cell>
          <cell r="P26">
            <v>4</v>
          </cell>
          <cell r="Q26">
            <v>17</v>
          </cell>
          <cell r="R26">
            <v>19</v>
          </cell>
          <cell r="S26">
            <v>40</v>
          </cell>
          <cell r="T26">
            <v>76</v>
          </cell>
          <cell r="U26">
            <v>3</v>
          </cell>
          <cell r="V26">
            <v>10</v>
          </cell>
          <cell r="W26">
            <v>17</v>
          </cell>
          <cell r="X26">
            <v>30</v>
          </cell>
          <cell r="Y26">
            <v>106</v>
          </cell>
          <cell r="Z26">
            <v>0</v>
          </cell>
          <cell r="AA26">
            <v>4</v>
          </cell>
          <cell r="AB26">
            <v>11</v>
          </cell>
          <cell r="AC26">
            <v>15</v>
          </cell>
          <cell r="AD26">
            <v>57</v>
          </cell>
          <cell r="AE26">
            <v>83</v>
          </cell>
          <cell r="AF26">
            <v>0</v>
          </cell>
          <cell r="AG26">
            <v>5</v>
          </cell>
          <cell r="AH26">
            <v>16</v>
          </cell>
          <cell r="AI26">
            <v>20</v>
          </cell>
          <cell r="AJ26">
            <v>53</v>
          </cell>
          <cell r="AK26">
            <v>89</v>
          </cell>
          <cell r="AL26">
            <v>0</v>
          </cell>
          <cell r="AM26">
            <v>5</v>
          </cell>
          <cell r="AN26">
            <v>18</v>
          </cell>
          <cell r="AO26">
            <v>20</v>
          </cell>
          <cell r="AP26">
            <v>54</v>
          </cell>
          <cell r="AQ26">
            <v>92</v>
          </cell>
          <cell r="AR26">
            <v>0</v>
          </cell>
          <cell r="AS26">
            <v>5</v>
          </cell>
          <cell r="AT26">
            <v>16</v>
          </cell>
          <cell r="AU26">
            <v>19</v>
          </cell>
          <cell r="AV26">
            <v>48</v>
          </cell>
          <cell r="AW26">
            <v>83</v>
          </cell>
          <cell r="AX26">
            <v>0</v>
          </cell>
          <cell r="AY26">
            <v>5</v>
          </cell>
          <cell r="AZ26">
            <v>5</v>
          </cell>
          <cell r="BA26">
            <v>10</v>
          </cell>
          <cell r="BB26">
            <v>13</v>
          </cell>
          <cell r="BC26">
            <v>28</v>
          </cell>
          <cell r="BD26">
            <v>0</v>
          </cell>
          <cell r="BE26">
            <v>3</v>
          </cell>
          <cell r="BF26">
            <v>31</v>
          </cell>
          <cell r="BG26">
            <v>4.4285714285714288</v>
          </cell>
          <cell r="BH26" t="str">
            <v>BETTER</v>
          </cell>
          <cell r="BI26">
            <v>590</v>
          </cell>
          <cell r="BJ26">
            <v>52</v>
          </cell>
          <cell r="BK26">
            <v>60</v>
          </cell>
        </row>
        <row r="27">
          <cell r="E27" t="str">
            <v>ROZINA AKTER RADIA</v>
          </cell>
          <cell r="F27">
            <v>19</v>
          </cell>
          <cell r="G27">
            <v>20</v>
          </cell>
          <cell r="H27">
            <v>54</v>
          </cell>
          <cell r="I27">
            <v>93</v>
          </cell>
          <cell r="J27">
            <v>8</v>
          </cell>
          <cell r="K27">
            <v>10</v>
          </cell>
          <cell r="L27">
            <v>28</v>
          </cell>
          <cell r="M27">
            <v>46</v>
          </cell>
          <cell r="N27">
            <v>139</v>
          </cell>
          <cell r="O27">
            <v>0</v>
          </cell>
          <cell r="P27">
            <v>5</v>
          </cell>
          <cell r="Q27">
            <v>13</v>
          </cell>
          <cell r="R27">
            <v>20</v>
          </cell>
          <cell r="S27">
            <v>38</v>
          </cell>
          <cell r="T27">
            <v>71</v>
          </cell>
          <cell r="U27">
            <v>9</v>
          </cell>
          <cell r="V27">
            <v>8</v>
          </cell>
          <cell r="W27">
            <v>15</v>
          </cell>
          <cell r="X27">
            <v>32</v>
          </cell>
          <cell r="Y27">
            <v>103</v>
          </cell>
          <cell r="Z27">
            <v>0</v>
          </cell>
          <cell r="AA27">
            <v>3.5</v>
          </cell>
          <cell r="AB27">
            <v>15</v>
          </cell>
          <cell r="AC27">
            <v>20</v>
          </cell>
          <cell r="AD27">
            <v>53</v>
          </cell>
          <cell r="AE27">
            <v>88</v>
          </cell>
          <cell r="AF27">
            <v>0</v>
          </cell>
          <cell r="AG27">
            <v>5</v>
          </cell>
          <cell r="AH27">
            <v>15</v>
          </cell>
          <cell r="AI27">
            <v>20</v>
          </cell>
          <cell r="AJ27">
            <v>42</v>
          </cell>
          <cell r="AK27">
            <v>77</v>
          </cell>
          <cell r="AL27">
            <v>0</v>
          </cell>
          <cell r="AM27">
            <v>4</v>
          </cell>
          <cell r="AN27">
            <v>15</v>
          </cell>
          <cell r="AO27">
            <v>20</v>
          </cell>
          <cell r="AP27">
            <v>44</v>
          </cell>
          <cell r="AQ27">
            <v>79</v>
          </cell>
          <cell r="AR27">
            <v>0</v>
          </cell>
          <cell r="AS27">
            <v>4</v>
          </cell>
          <cell r="AT27">
            <v>13</v>
          </cell>
          <cell r="AU27">
            <v>20</v>
          </cell>
          <cell r="AV27">
            <v>54</v>
          </cell>
          <cell r="AW27">
            <v>87</v>
          </cell>
          <cell r="AX27">
            <v>0</v>
          </cell>
          <cell r="AY27">
            <v>5</v>
          </cell>
          <cell r="AZ27">
            <v>5</v>
          </cell>
          <cell r="BA27">
            <v>14</v>
          </cell>
          <cell r="BB27">
            <v>26</v>
          </cell>
          <cell r="BC27">
            <v>45</v>
          </cell>
          <cell r="BD27">
            <v>0</v>
          </cell>
          <cell r="BE27">
            <v>5</v>
          </cell>
          <cell r="BF27">
            <v>31.5</v>
          </cell>
          <cell r="BG27">
            <v>4.5</v>
          </cell>
          <cell r="BH27" t="str">
            <v>BETTER</v>
          </cell>
          <cell r="BI27">
            <v>618</v>
          </cell>
          <cell r="BJ27">
            <v>18</v>
          </cell>
          <cell r="BK27">
            <v>56</v>
          </cell>
        </row>
        <row r="28">
          <cell r="E28" t="str">
            <v>RAHELA AKTER</v>
          </cell>
          <cell r="F28">
            <v>17</v>
          </cell>
          <cell r="G28">
            <v>19</v>
          </cell>
          <cell r="H28">
            <v>53</v>
          </cell>
          <cell r="I28">
            <v>89</v>
          </cell>
          <cell r="J28">
            <v>6</v>
          </cell>
          <cell r="K28">
            <v>10</v>
          </cell>
          <cell r="L28">
            <v>22</v>
          </cell>
          <cell r="M28">
            <v>38</v>
          </cell>
          <cell r="N28">
            <v>127</v>
          </cell>
          <cell r="O28">
            <v>0</v>
          </cell>
          <cell r="P28">
            <v>5</v>
          </cell>
          <cell r="Q28">
            <v>10</v>
          </cell>
          <cell r="R28">
            <v>18</v>
          </cell>
          <cell r="S28">
            <v>33</v>
          </cell>
          <cell r="T28">
            <v>61</v>
          </cell>
          <cell r="U28">
            <v>1</v>
          </cell>
          <cell r="V28">
            <v>10</v>
          </cell>
          <cell r="W28">
            <v>18</v>
          </cell>
          <cell r="X28">
            <v>29</v>
          </cell>
          <cell r="Y28">
            <v>90</v>
          </cell>
          <cell r="Z28">
            <v>0</v>
          </cell>
          <cell r="AA28">
            <v>3.5</v>
          </cell>
          <cell r="AB28">
            <v>12</v>
          </cell>
          <cell r="AC28">
            <v>20</v>
          </cell>
          <cell r="AD28">
            <v>58</v>
          </cell>
          <cell r="AE28">
            <v>90</v>
          </cell>
          <cell r="AF28">
            <v>0</v>
          </cell>
          <cell r="AG28">
            <v>5</v>
          </cell>
          <cell r="AH28">
            <v>16</v>
          </cell>
          <cell r="AI28">
            <v>20</v>
          </cell>
          <cell r="AJ28">
            <v>51</v>
          </cell>
          <cell r="AK28">
            <v>87</v>
          </cell>
          <cell r="AL28">
            <v>0</v>
          </cell>
          <cell r="AM28">
            <v>5</v>
          </cell>
          <cell r="AN28">
            <v>17</v>
          </cell>
          <cell r="AO28">
            <v>20</v>
          </cell>
          <cell r="AP28">
            <v>48</v>
          </cell>
          <cell r="AQ28">
            <v>85</v>
          </cell>
          <cell r="AR28">
            <v>0</v>
          </cell>
          <cell r="AS28">
            <v>5</v>
          </cell>
          <cell r="AT28">
            <v>0</v>
          </cell>
          <cell r="AU28">
            <v>19</v>
          </cell>
          <cell r="AV28">
            <v>45</v>
          </cell>
          <cell r="AW28">
            <v>64</v>
          </cell>
          <cell r="AX28">
            <v>0</v>
          </cell>
          <cell r="AY28">
            <v>3.5</v>
          </cell>
          <cell r="AZ28">
            <v>7</v>
          </cell>
          <cell r="BA28">
            <v>4</v>
          </cell>
          <cell r="BB28">
            <v>10</v>
          </cell>
          <cell r="BC28">
            <v>21</v>
          </cell>
          <cell r="BD28">
            <v>0</v>
          </cell>
          <cell r="BE28">
            <v>2</v>
          </cell>
          <cell r="BF28">
            <v>29</v>
          </cell>
          <cell r="BG28">
            <v>4.1428571428571432</v>
          </cell>
          <cell r="BH28" t="str">
            <v>BETTER</v>
          </cell>
          <cell r="BI28">
            <v>564</v>
          </cell>
          <cell r="BJ28">
            <v>37</v>
          </cell>
          <cell r="BK28">
            <v>57</v>
          </cell>
        </row>
        <row r="29">
          <cell r="E29" t="str">
            <v>SUFIA BEGUM</v>
          </cell>
          <cell r="F29">
            <v>17</v>
          </cell>
          <cell r="G29">
            <v>19</v>
          </cell>
          <cell r="H29">
            <v>50</v>
          </cell>
          <cell r="I29">
            <v>86</v>
          </cell>
          <cell r="J29">
            <v>7</v>
          </cell>
          <cell r="K29">
            <v>10</v>
          </cell>
          <cell r="L29">
            <v>25</v>
          </cell>
          <cell r="M29">
            <v>42</v>
          </cell>
          <cell r="N29">
            <v>128</v>
          </cell>
          <cell r="O29">
            <v>0</v>
          </cell>
          <cell r="P29">
            <v>5</v>
          </cell>
          <cell r="Q29">
            <v>13</v>
          </cell>
          <cell r="R29">
            <v>20</v>
          </cell>
          <cell r="S29">
            <v>49</v>
          </cell>
          <cell r="T29">
            <v>82</v>
          </cell>
          <cell r="U29">
            <v>6</v>
          </cell>
          <cell r="V29">
            <v>10</v>
          </cell>
          <cell r="W29">
            <v>23</v>
          </cell>
          <cell r="X29">
            <v>39</v>
          </cell>
          <cell r="Y29">
            <v>121</v>
          </cell>
          <cell r="Z29">
            <v>0</v>
          </cell>
          <cell r="AA29">
            <v>5</v>
          </cell>
          <cell r="AB29">
            <v>13</v>
          </cell>
          <cell r="AC29">
            <v>20</v>
          </cell>
          <cell r="AD29">
            <v>59</v>
          </cell>
          <cell r="AE29">
            <v>92</v>
          </cell>
          <cell r="AF29">
            <v>0</v>
          </cell>
          <cell r="AG29">
            <v>5</v>
          </cell>
          <cell r="AH29">
            <v>19</v>
          </cell>
          <cell r="AI29">
            <v>20</v>
          </cell>
          <cell r="AJ29">
            <v>46</v>
          </cell>
          <cell r="AK29">
            <v>85</v>
          </cell>
          <cell r="AL29">
            <v>0</v>
          </cell>
          <cell r="AM29">
            <v>5</v>
          </cell>
          <cell r="AN29">
            <v>17</v>
          </cell>
          <cell r="AO29">
            <v>20</v>
          </cell>
          <cell r="AP29">
            <v>48</v>
          </cell>
          <cell r="AQ29">
            <v>85</v>
          </cell>
          <cell r="AR29">
            <v>0</v>
          </cell>
          <cell r="AS29">
            <v>5</v>
          </cell>
          <cell r="AT29">
            <v>15</v>
          </cell>
          <cell r="AU29">
            <v>18</v>
          </cell>
          <cell r="AV29">
            <v>44</v>
          </cell>
          <cell r="AW29">
            <v>77</v>
          </cell>
          <cell r="AX29">
            <v>0</v>
          </cell>
          <cell r="AY29">
            <v>4</v>
          </cell>
          <cell r="AZ29">
            <v>5</v>
          </cell>
          <cell r="BA29">
            <v>13</v>
          </cell>
          <cell r="BB29">
            <v>27</v>
          </cell>
          <cell r="BC29">
            <v>45</v>
          </cell>
          <cell r="BD29">
            <v>0</v>
          </cell>
          <cell r="BE29">
            <v>5</v>
          </cell>
          <cell r="BF29">
            <v>34</v>
          </cell>
          <cell r="BG29">
            <v>4.8571428571428568</v>
          </cell>
          <cell r="BH29" t="str">
            <v>BETTER</v>
          </cell>
          <cell r="BI29">
            <v>633</v>
          </cell>
          <cell r="BJ29">
            <v>13</v>
          </cell>
          <cell r="BK29">
            <v>55</v>
          </cell>
        </row>
        <row r="30">
          <cell r="E30" t="str">
            <v>RAJIA SULTANA HERA</v>
          </cell>
          <cell r="F30">
            <v>15</v>
          </cell>
          <cell r="G30">
            <v>20</v>
          </cell>
          <cell r="H30">
            <v>46</v>
          </cell>
          <cell r="I30">
            <v>81</v>
          </cell>
          <cell r="J30">
            <v>6</v>
          </cell>
          <cell r="K30">
            <v>10</v>
          </cell>
          <cell r="L30">
            <v>27</v>
          </cell>
          <cell r="M30">
            <v>43</v>
          </cell>
          <cell r="N30">
            <v>124</v>
          </cell>
          <cell r="O30">
            <v>0</v>
          </cell>
          <cell r="P30">
            <v>5</v>
          </cell>
          <cell r="Q30">
            <v>11</v>
          </cell>
          <cell r="R30">
            <v>20</v>
          </cell>
          <cell r="S30">
            <v>36</v>
          </cell>
          <cell r="T30">
            <v>67</v>
          </cell>
          <cell r="U30">
            <v>8</v>
          </cell>
          <cell r="V30">
            <v>8</v>
          </cell>
          <cell r="W30">
            <v>13</v>
          </cell>
          <cell r="X30">
            <v>29</v>
          </cell>
          <cell r="Y30">
            <v>96</v>
          </cell>
          <cell r="Z30">
            <v>0</v>
          </cell>
          <cell r="AA30">
            <v>3.5</v>
          </cell>
          <cell r="AB30">
            <v>13</v>
          </cell>
          <cell r="AC30">
            <v>20</v>
          </cell>
          <cell r="AD30">
            <v>58</v>
          </cell>
          <cell r="AE30">
            <v>91</v>
          </cell>
          <cell r="AF30">
            <v>0</v>
          </cell>
          <cell r="AG30">
            <v>5</v>
          </cell>
          <cell r="AH30">
            <v>17</v>
          </cell>
          <cell r="AI30">
            <v>18</v>
          </cell>
          <cell r="AJ30">
            <v>26</v>
          </cell>
          <cell r="AK30">
            <v>61</v>
          </cell>
          <cell r="AL30">
            <v>0</v>
          </cell>
          <cell r="AM30">
            <v>3.5</v>
          </cell>
          <cell r="AN30">
            <v>15</v>
          </cell>
          <cell r="AO30">
            <v>20</v>
          </cell>
          <cell r="AP30">
            <v>38</v>
          </cell>
          <cell r="AQ30">
            <v>73</v>
          </cell>
          <cell r="AR30">
            <v>0</v>
          </cell>
          <cell r="AS30">
            <v>4</v>
          </cell>
          <cell r="AT30">
            <v>13</v>
          </cell>
          <cell r="AU30">
            <v>20</v>
          </cell>
          <cell r="AV30">
            <v>51</v>
          </cell>
          <cell r="AW30">
            <v>84</v>
          </cell>
          <cell r="AX30">
            <v>0</v>
          </cell>
          <cell r="AY30">
            <v>5</v>
          </cell>
          <cell r="AZ30">
            <v>5</v>
          </cell>
          <cell r="BA30">
            <v>11</v>
          </cell>
          <cell r="BB30">
            <v>24</v>
          </cell>
          <cell r="BC30">
            <v>40</v>
          </cell>
          <cell r="BD30">
            <v>0</v>
          </cell>
          <cell r="BE30">
            <v>5</v>
          </cell>
          <cell r="BF30">
            <v>31</v>
          </cell>
          <cell r="BG30">
            <v>4.4285714285714288</v>
          </cell>
          <cell r="BH30" t="str">
            <v>BETTER</v>
          </cell>
          <cell r="BI30">
            <v>569</v>
          </cell>
          <cell r="BJ30">
            <v>55</v>
          </cell>
          <cell r="BK30">
            <v>56</v>
          </cell>
        </row>
        <row r="31">
          <cell r="E31" t="str">
            <v>ISRAT JAHAN ROSY</v>
          </cell>
          <cell r="F31">
            <v>18</v>
          </cell>
          <cell r="G31">
            <v>20</v>
          </cell>
          <cell r="H31">
            <v>59</v>
          </cell>
          <cell r="I31">
            <v>97</v>
          </cell>
          <cell r="J31">
            <v>8</v>
          </cell>
          <cell r="K31">
            <v>10</v>
          </cell>
          <cell r="L31">
            <v>27</v>
          </cell>
          <cell r="M31">
            <v>45</v>
          </cell>
          <cell r="N31">
            <v>142</v>
          </cell>
          <cell r="O31">
            <v>0</v>
          </cell>
          <cell r="P31">
            <v>5</v>
          </cell>
          <cell r="Q31">
            <v>17</v>
          </cell>
          <cell r="R31">
            <v>20</v>
          </cell>
          <cell r="S31">
            <v>52</v>
          </cell>
          <cell r="T31">
            <v>89</v>
          </cell>
          <cell r="U31">
            <v>7</v>
          </cell>
          <cell r="V31">
            <v>10</v>
          </cell>
          <cell r="W31">
            <v>25</v>
          </cell>
          <cell r="X31">
            <v>42</v>
          </cell>
          <cell r="Y31">
            <v>131</v>
          </cell>
          <cell r="Z31">
            <v>0</v>
          </cell>
          <cell r="AA31">
            <v>5</v>
          </cell>
          <cell r="AB31">
            <v>15</v>
          </cell>
          <cell r="AC31">
            <v>20</v>
          </cell>
          <cell r="AD31">
            <v>60</v>
          </cell>
          <cell r="AE31">
            <v>95</v>
          </cell>
          <cell r="AF31">
            <v>0</v>
          </cell>
          <cell r="AG31">
            <v>5</v>
          </cell>
          <cell r="AH31">
            <v>20</v>
          </cell>
          <cell r="AI31">
            <v>20</v>
          </cell>
          <cell r="AJ31">
            <v>58</v>
          </cell>
          <cell r="AK31">
            <v>98</v>
          </cell>
          <cell r="AL31">
            <v>0</v>
          </cell>
          <cell r="AM31">
            <v>5</v>
          </cell>
          <cell r="AN31">
            <v>19</v>
          </cell>
          <cell r="AO31">
            <v>20</v>
          </cell>
          <cell r="AP31">
            <v>55</v>
          </cell>
          <cell r="AQ31">
            <v>94</v>
          </cell>
          <cell r="AR31">
            <v>0</v>
          </cell>
          <cell r="AS31">
            <v>5</v>
          </cell>
          <cell r="AT31">
            <v>20</v>
          </cell>
          <cell r="AU31">
            <v>19</v>
          </cell>
          <cell r="AV31">
            <v>51</v>
          </cell>
          <cell r="AW31">
            <v>90</v>
          </cell>
          <cell r="AX31">
            <v>0</v>
          </cell>
          <cell r="AY31">
            <v>5</v>
          </cell>
          <cell r="AZ31">
            <v>5</v>
          </cell>
          <cell r="BA31">
            <v>15</v>
          </cell>
          <cell r="BB31">
            <v>29</v>
          </cell>
          <cell r="BC31">
            <v>49</v>
          </cell>
          <cell r="BD31">
            <v>0</v>
          </cell>
          <cell r="BE31">
            <v>5</v>
          </cell>
          <cell r="BF31">
            <v>35</v>
          </cell>
          <cell r="BG31">
            <v>5</v>
          </cell>
          <cell r="BH31" t="str">
            <v>BEST</v>
          </cell>
          <cell r="BI31">
            <v>699</v>
          </cell>
          <cell r="BJ31">
            <v>5</v>
          </cell>
          <cell r="BK31">
            <v>56</v>
          </cell>
        </row>
        <row r="32">
          <cell r="E32" t="str">
            <v>KHALEDA PERVIN</v>
          </cell>
          <cell r="F32">
            <v>18</v>
          </cell>
          <cell r="G32">
            <v>20</v>
          </cell>
          <cell r="H32">
            <v>52</v>
          </cell>
          <cell r="I32">
            <v>90</v>
          </cell>
          <cell r="J32">
            <v>8</v>
          </cell>
          <cell r="K32">
            <v>10</v>
          </cell>
          <cell r="L32">
            <v>28</v>
          </cell>
          <cell r="M32">
            <v>46</v>
          </cell>
          <cell r="N32">
            <v>136</v>
          </cell>
          <cell r="O32">
            <v>0</v>
          </cell>
          <cell r="P32">
            <v>5</v>
          </cell>
          <cell r="Q32">
            <v>11</v>
          </cell>
          <cell r="R32">
            <v>20</v>
          </cell>
          <cell r="S32">
            <v>43</v>
          </cell>
          <cell r="T32">
            <v>74</v>
          </cell>
          <cell r="U32">
            <v>8</v>
          </cell>
          <cell r="V32">
            <v>8</v>
          </cell>
          <cell r="W32">
            <v>16</v>
          </cell>
          <cell r="X32">
            <v>32</v>
          </cell>
          <cell r="Y32">
            <v>106</v>
          </cell>
          <cell r="Z32">
            <v>0</v>
          </cell>
          <cell r="AA32">
            <v>4</v>
          </cell>
          <cell r="AB32">
            <v>18</v>
          </cell>
          <cell r="AC32">
            <v>20</v>
          </cell>
          <cell r="AD32">
            <v>58</v>
          </cell>
          <cell r="AE32">
            <v>96</v>
          </cell>
          <cell r="AF32">
            <v>0</v>
          </cell>
          <cell r="AG32">
            <v>5</v>
          </cell>
          <cell r="AH32">
            <v>18</v>
          </cell>
          <cell r="AI32">
            <v>20</v>
          </cell>
          <cell r="AJ32">
            <v>49</v>
          </cell>
          <cell r="AK32">
            <v>87</v>
          </cell>
          <cell r="AL32">
            <v>0</v>
          </cell>
          <cell r="AM32">
            <v>5</v>
          </cell>
          <cell r="AN32">
            <v>16</v>
          </cell>
          <cell r="AO32">
            <v>20</v>
          </cell>
          <cell r="AP32">
            <v>51</v>
          </cell>
          <cell r="AQ32">
            <v>87</v>
          </cell>
          <cell r="AR32">
            <v>0</v>
          </cell>
          <cell r="AS32">
            <v>5</v>
          </cell>
          <cell r="AT32">
            <v>18</v>
          </cell>
          <cell r="AU32">
            <v>20</v>
          </cell>
          <cell r="AV32">
            <v>56</v>
          </cell>
          <cell r="AW32">
            <v>94</v>
          </cell>
          <cell r="AX32">
            <v>0</v>
          </cell>
          <cell r="AY32">
            <v>5</v>
          </cell>
          <cell r="AZ32">
            <v>5</v>
          </cell>
          <cell r="BA32">
            <v>14</v>
          </cell>
          <cell r="BB32">
            <v>23</v>
          </cell>
          <cell r="BC32">
            <v>42</v>
          </cell>
          <cell r="BD32">
            <v>0</v>
          </cell>
          <cell r="BE32">
            <v>5</v>
          </cell>
          <cell r="BF32">
            <v>34</v>
          </cell>
          <cell r="BG32">
            <v>4.8571428571428568</v>
          </cell>
          <cell r="BH32" t="str">
            <v>BETTER</v>
          </cell>
          <cell r="BI32">
            <v>648</v>
          </cell>
          <cell r="BJ32">
            <v>11</v>
          </cell>
          <cell r="BK32">
            <v>59</v>
          </cell>
        </row>
        <row r="33">
          <cell r="E33" t="str">
            <v>ISRAT JAHAN ROSY</v>
          </cell>
          <cell r="F33">
            <v>17</v>
          </cell>
          <cell r="G33">
            <v>20</v>
          </cell>
          <cell r="H33">
            <v>54</v>
          </cell>
          <cell r="I33">
            <v>91</v>
          </cell>
          <cell r="J33">
            <v>10</v>
          </cell>
          <cell r="K33">
            <v>10</v>
          </cell>
          <cell r="L33">
            <v>29</v>
          </cell>
          <cell r="M33">
            <v>49</v>
          </cell>
          <cell r="N33">
            <v>140</v>
          </cell>
          <cell r="O33">
            <v>0</v>
          </cell>
          <cell r="P33">
            <v>5</v>
          </cell>
          <cell r="Q33">
            <v>17</v>
          </cell>
          <cell r="R33">
            <v>20</v>
          </cell>
          <cell r="S33">
            <v>54</v>
          </cell>
          <cell r="T33">
            <v>91</v>
          </cell>
          <cell r="U33">
            <v>7</v>
          </cell>
          <cell r="V33">
            <v>10</v>
          </cell>
          <cell r="W33">
            <v>25</v>
          </cell>
          <cell r="X33">
            <v>42</v>
          </cell>
          <cell r="Y33">
            <v>133</v>
          </cell>
          <cell r="Z33">
            <v>0</v>
          </cell>
          <cell r="AA33">
            <v>5</v>
          </cell>
          <cell r="AB33">
            <v>20</v>
          </cell>
          <cell r="AC33">
            <v>20</v>
          </cell>
          <cell r="AD33">
            <v>60</v>
          </cell>
          <cell r="AE33">
            <v>100</v>
          </cell>
          <cell r="AF33">
            <v>0</v>
          </cell>
          <cell r="AG33">
            <v>5</v>
          </cell>
          <cell r="AH33">
            <v>19</v>
          </cell>
          <cell r="AI33">
            <v>20</v>
          </cell>
          <cell r="AJ33">
            <v>59</v>
          </cell>
          <cell r="AK33">
            <v>98</v>
          </cell>
          <cell r="AL33">
            <v>0</v>
          </cell>
          <cell r="AM33">
            <v>5</v>
          </cell>
          <cell r="AN33">
            <v>19</v>
          </cell>
          <cell r="AO33">
            <v>20</v>
          </cell>
          <cell r="AP33">
            <v>52</v>
          </cell>
          <cell r="AQ33">
            <v>91</v>
          </cell>
          <cell r="AR33">
            <v>0</v>
          </cell>
          <cell r="AS33">
            <v>5</v>
          </cell>
          <cell r="AT33">
            <v>20</v>
          </cell>
          <cell r="AU33">
            <v>18</v>
          </cell>
          <cell r="AV33">
            <v>46</v>
          </cell>
          <cell r="AW33">
            <v>84</v>
          </cell>
          <cell r="AX33">
            <v>0</v>
          </cell>
          <cell r="AY33">
            <v>5</v>
          </cell>
          <cell r="AZ33">
            <v>5</v>
          </cell>
          <cell r="BA33">
            <v>15</v>
          </cell>
          <cell r="BB33">
            <v>29</v>
          </cell>
          <cell r="BC33">
            <v>49</v>
          </cell>
          <cell r="BD33">
            <v>0</v>
          </cell>
          <cell r="BE33">
            <v>5</v>
          </cell>
          <cell r="BF33">
            <v>35</v>
          </cell>
          <cell r="BG33">
            <v>5</v>
          </cell>
          <cell r="BH33" t="str">
            <v>BEST</v>
          </cell>
          <cell r="BI33">
            <v>695</v>
          </cell>
          <cell r="BJ33">
            <v>3</v>
          </cell>
          <cell r="BK33">
            <v>60</v>
          </cell>
        </row>
        <row r="34">
          <cell r="E34" t="str">
            <v>ROJINA BEGUM</v>
          </cell>
          <cell r="F34">
            <v>19</v>
          </cell>
          <cell r="G34">
            <v>20</v>
          </cell>
          <cell r="H34">
            <v>53</v>
          </cell>
          <cell r="I34">
            <v>92</v>
          </cell>
          <cell r="J34">
            <v>5</v>
          </cell>
          <cell r="K34">
            <v>10</v>
          </cell>
          <cell r="L34">
            <v>26</v>
          </cell>
          <cell r="M34">
            <v>41</v>
          </cell>
          <cell r="N34">
            <v>133</v>
          </cell>
          <cell r="O34">
            <v>0</v>
          </cell>
          <cell r="P34">
            <v>5</v>
          </cell>
          <cell r="Q34">
            <v>9</v>
          </cell>
          <cell r="R34">
            <v>18</v>
          </cell>
          <cell r="S34">
            <v>50</v>
          </cell>
          <cell r="T34">
            <v>77</v>
          </cell>
          <cell r="U34">
            <v>8</v>
          </cell>
          <cell r="V34">
            <v>8</v>
          </cell>
          <cell r="W34">
            <v>16</v>
          </cell>
          <cell r="X34">
            <v>32</v>
          </cell>
          <cell r="Y34">
            <v>109</v>
          </cell>
          <cell r="Z34">
            <v>0</v>
          </cell>
          <cell r="AA34">
            <v>4</v>
          </cell>
          <cell r="AB34">
            <v>11</v>
          </cell>
          <cell r="AC34">
            <v>20</v>
          </cell>
          <cell r="AD34">
            <v>52</v>
          </cell>
          <cell r="AE34">
            <v>83</v>
          </cell>
          <cell r="AF34">
            <v>0</v>
          </cell>
          <cell r="AG34">
            <v>5</v>
          </cell>
          <cell r="AH34">
            <v>11</v>
          </cell>
          <cell r="AI34">
            <v>20</v>
          </cell>
          <cell r="AJ34">
            <v>49</v>
          </cell>
          <cell r="AK34">
            <v>80</v>
          </cell>
          <cell r="AL34">
            <v>0</v>
          </cell>
          <cell r="AM34">
            <v>5</v>
          </cell>
          <cell r="AN34">
            <v>16</v>
          </cell>
          <cell r="AO34">
            <v>20</v>
          </cell>
          <cell r="AP34">
            <v>52</v>
          </cell>
          <cell r="AQ34">
            <v>88</v>
          </cell>
          <cell r="AR34">
            <v>0</v>
          </cell>
          <cell r="AS34">
            <v>5</v>
          </cell>
          <cell r="AT34">
            <v>18</v>
          </cell>
          <cell r="AU34">
            <v>20</v>
          </cell>
          <cell r="AV34">
            <v>54</v>
          </cell>
          <cell r="AW34">
            <v>92</v>
          </cell>
          <cell r="AX34">
            <v>0</v>
          </cell>
          <cell r="AY34">
            <v>5</v>
          </cell>
          <cell r="AZ34">
            <v>5</v>
          </cell>
          <cell r="BA34">
            <v>14</v>
          </cell>
          <cell r="BB34">
            <v>28</v>
          </cell>
          <cell r="BC34">
            <v>47</v>
          </cell>
          <cell r="BD34">
            <v>0</v>
          </cell>
          <cell r="BE34">
            <v>5</v>
          </cell>
          <cell r="BF34">
            <v>34</v>
          </cell>
          <cell r="BG34">
            <v>4.8571428571428568</v>
          </cell>
          <cell r="BH34" t="str">
            <v>BETTER</v>
          </cell>
          <cell r="BI34">
            <v>632</v>
          </cell>
          <cell r="BJ34">
            <v>7</v>
          </cell>
          <cell r="BK34">
            <v>57</v>
          </cell>
        </row>
        <row r="35">
          <cell r="E35" t="str">
            <v>SHAHIDA HOSSAIN</v>
          </cell>
          <cell r="F35">
            <v>14</v>
          </cell>
          <cell r="G35">
            <v>15</v>
          </cell>
          <cell r="H35">
            <v>47</v>
          </cell>
          <cell r="I35">
            <v>76</v>
          </cell>
          <cell r="J35">
            <v>1</v>
          </cell>
          <cell r="K35">
            <v>10</v>
          </cell>
          <cell r="L35">
            <v>23</v>
          </cell>
          <cell r="M35">
            <v>34</v>
          </cell>
          <cell r="N35">
            <v>110</v>
          </cell>
          <cell r="O35">
            <v>0</v>
          </cell>
          <cell r="P35">
            <v>4</v>
          </cell>
          <cell r="Q35">
            <v>16</v>
          </cell>
          <cell r="R35">
            <v>19</v>
          </cell>
          <cell r="S35">
            <v>45</v>
          </cell>
          <cell r="T35">
            <v>80</v>
          </cell>
          <cell r="U35">
            <v>5</v>
          </cell>
          <cell r="V35">
            <v>10</v>
          </cell>
          <cell r="W35">
            <v>23</v>
          </cell>
          <cell r="X35">
            <v>38</v>
          </cell>
          <cell r="Y35">
            <v>118</v>
          </cell>
          <cell r="Z35">
            <v>0</v>
          </cell>
          <cell r="AA35">
            <v>4</v>
          </cell>
          <cell r="AB35">
            <v>12</v>
          </cell>
          <cell r="AC35">
            <v>20</v>
          </cell>
          <cell r="AD35">
            <v>58</v>
          </cell>
          <cell r="AE35">
            <v>90</v>
          </cell>
          <cell r="AF35">
            <v>0</v>
          </cell>
          <cell r="AG35">
            <v>5</v>
          </cell>
          <cell r="AH35">
            <v>18</v>
          </cell>
          <cell r="AI35">
            <v>20</v>
          </cell>
          <cell r="AJ35">
            <v>46</v>
          </cell>
          <cell r="AK35">
            <v>84</v>
          </cell>
          <cell r="AL35">
            <v>0</v>
          </cell>
          <cell r="AM35">
            <v>5</v>
          </cell>
          <cell r="AN35">
            <v>14</v>
          </cell>
          <cell r="AO35">
            <v>20</v>
          </cell>
          <cell r="AP35">
            <v>53</v>
          </cell>
          <cell r="AQ35">
            <v>87</v>
          </cell>
          <cell r="AR35">
            <v>0</v>
          </cell>
          <cell r="AS35">
            <v>5</v>
          </cell>
          <cell r="AT35">
            <v>16</v>
          </cell>
          <cell r="AU35">
            <v>18</v>
          </cell>
          <cell r="AV35">
            <v>43</v>
          </cell>
          <cell r="AW35">
            <v>77</v>
          </cell>
          <cell r="AX35">
            <v>0</v>
          </cell>
          <cell r="AY35">
            <v>4</v>
          </cell>
          <cell r="AZ35">
            <v>5</v>
          </cell>
          <cell r="BA35">
            <v>14</v>
          </cell>
          <cell r="BB35">
            <v>25</v>
          </cell>
          <cell r="BC35">
            <v>44</v>
          </cell>
          <cell r="BD35">
            <v>0</v>
          </cell>
          <cell r="BE35">
            <v>5</v>
          </cell>
          <cell r="BF35">
            <v>32</v>
          </cell>
          <cell r="BG35">
            <v>4.5714285714285712</v>
          </cell>
          <cell r="BH35" t="str">
            <v>BETTER</v>
          </cell>
          <cell r="BI35">
            <v>610</v>
          </cell>
          <cell r="BJ35">
            <v>30</v>
          </cell>
          <cell r="BK35">
            <v>60</v>
          </cell>
        </row>
        <row r="36">
          <cell r="E36" t="str">
            <v>RASHIDA AKTER SHANTO</v>
          </cell>
          <cell r="F36">
            <v>16</v>
          </cell>
          <cell r="G36">
            <v>20</v>
          </cell>
          <cell r="H36">
            <v>49</v>
          </cell>
          <cell r="I36">
            <v>85</v>
          </cell>
          <cell r="J36">
            <v>8</v>
          </cell>
          <cell r="K36">
            <v>10</v>
          </cell>
          <cell r="L36">
            <v>25</v>
          </cell>
          <cell r="M36">
            <v>43</v>
          </cell>
          <cell r="N36">
            <v>128</v>
          </cell>
          <cell r="O36">
            <v>0</v>
          </cell>
          <cell r="P36">
            <v>5</v>
          </cell>
          <cell r="Q36">
            <v>18</v>
          </cell>
          <cell r="R36">
            <v>20</v>
          </cell>
          <cell r="S36">
            <v>43</v>
          </cell>
          <cell r="T36">
            <v>81</v>
          </cell>
          <cell r="U36">
            <v>7</v>
          </cell>
          <cell r="V36">
            <v>8</v>
          </cell>
          <cell r="W36">
            <v>13</v>
          </cell>
          <cell r="X36">
            <v>28</v>
          </cell>
          <cell r="Y36">
            <v>109</v>
          </cell>
          <cell r="Z36">
            <v>0</v>
          </cell>
          <cell r="AA36">
            <v>4</v>
          </cell>
          <cell r="AB36">
            <v>14</v>
          </cell>
          <cell r="AC36">
            <v>20</v>
          </cell>
          <cell r="AD36">
            <v>38</v>
          </cell>
          <cell r="AE36">
            <v>72</v>
          </cell>
          <cell r="AF36">
            <v>0</v>
          </cell>
          <cell r="AG36">
            <v>4</v>
          </cell>
          <cell r="AH36">
            <v>9</v>
          </cell>
          <cell r="AI36">
            <v>20</v>
          </cell>
          <cell r="AJ36">
            <v>38</v>
          </cell>
          <cell r="AK36">
            <v>67</v>
          </cell>
          <cell r="AL36">
            <v>0</v>
          </cell>
          <cell r="AM36">
            <v>3.5</v>
          </cell>
          <cell r="AN36">
            <v>13</v>
          </cell>
          <cell r="AO36">
            <v>20</v>
          </cell>
          <cell r="AP36">
            <v>45</v>
          </cell>
          <cell r="AQ36">
            <v>78</v>
          </cell>
          <cell r="AR36">
            <v>0</v>
          </cell>
          <cell r="AS36">
            <v>4</v>
          </cell>
          <cell r="AT36">
            <v>16</v>
          </cell>
          <cell r="AU36">
            <v>20</v>
          </cell>
          <cell r="AV36">
            <v>56</v>
          </cell>
          <cell r="AW36">
            <v>92</v>
          </cell>
          <cell r="AX36">
            <v>0</v>
          </cell>
          <cell r="AY36">
            <v>5</v>
          </cell>
          <cell r="AZ36">
            <v>5</v>
          </cell>
          <cell r="BA36">
            <v>13</v>
          </cell>
          <cell r="BB36">
            <v>28</v>
          </cell>
          <cell r="BC36">
            <v>46</v>
          </cell>
          <cell r="BD36">
            <v>0</v>
          </cell>
          <cell r="BE36">
            <v>5</v>
          </cell>
          <cell r="BF36">
            <v>30.5</v>
          </cell>
          <cell r="BG36">
            <v>4.3571428571428568</v>
          </cell>
          <cell r="BH36" t="str">
            <v>BETTER</v>
          </cell>
          <cell r="BI36">
            <v>592</v>
          </cell>
          <cell r="BJ36">
            <v>47</v>
          </cell>
          <cell r="BK36">
            <v>64</v>
          </cell>
        </row>
        <row r="37">
          <cell r="E37" t="str">
            <v>MAKSUDA BEGUM</v>
          </cell>
          <cell r="F37">
            <v>15</v>
          </cell>
          <cell r="G37">
            <v>20</v>
          </cell>
          <cell r="H37">
            <v>47</v>
          </cell>
          <cell r="I37">
            <v>82</v>
          </cell>
          <cell r="J37">
            <v>3</v>
          </cell>
          <cell r="K37">
            <v>10</v>
          </cell>
          <cell r="L37">
            <v>25</v>
          </cell>
          <cell r="M37">
            <v>38</v>
          </cell>
          <cell r="N37">
            <v>120</v>
          </cell>
          <cell r="O37">
            <v>0</v>
          </cell>
          <cell r="P37">
            <v>5</v>
          </cell>
          <cell r="Q37">
            <v>8</v>
          </cell>
          <cell r="R37">
            <v>20</v>
          </cell>
          <cell r="S37">
            <v>28</v>
          </cell>
          <cell r="T37">
            <v>56</v>
          </cell>
          <cell r="U37">
            <v>8</v>
          </cell>
          <cell r="V37">
            <v>8</v>
          </cell>
          <cell r="W37">
            <v>11</v>
          </cell>
          <cell r="X37">
            <v>27</v>
          </cell>
          <cell r="Y37">
            <v>83</v>
          </cell>
          <cell r="Z37">
            <v>0</v>
          </cell>
          <cell r="AA37">
            <v>3</v>
          </cell>
          <cell r="AB37">
            <v>11</v>
          </cell>
          <cell r="AC37">
            <v>20</v>
          </cell>
          <cell r="AD37">
            <v>49</v>
          </cell>
          <cell r="AE37">
            <v>80</v>
          </cell>
          <cell r="AF37">
            <v>0</v>
          </cell>
          <cell r="AG37">
            <v>5</v>
          </cell>
          <cell r="AH37">
            <v>4</v>
          </cell>
          <cell r="AI37">
            <v>20</v>
          </cell>
          <cell r="AJ37">
            <v>38</v>
          </cell>
          <cell r="AK37">
            <v>62</v>
          </cell>
          <cell r="AL37">
            <v>0</v>
          </cell>
          <cell r="AM37">
            <v>3.5</v>
          </cell>
          <cell r="AN37">
            <v>12</v>
          </cell>
          <cell r="AO37">
            <v>20</v>
          </cell>
          <cell r="AP37">
            <v>43</v>
          </cell>
          <cell r="AQ37">
            <v>75</v>
          </cell>
          <cell r="AR37">
            <v>0</v>
          </cell>
          <cell r="AS37">
            <v>4</v>
          </cell>
          <cell r="AT37">
            <v>13</v>
          </cell>
          <cell r="AU37">
            <v>20</v>
          </cell>
          <cell r="AV37">
            <v>50</v>
          </cell>
          <cell r="AW37">
            <v>83</v>
          </cell>
          <cell r="AX37">
            <v>0</v>
          </cell>
          <cell r="AY37">
            <v>5</v>
          </cell>
          <cell r="AZ37">
            <v>5</v>
          </cell>
          <cell r="BA37">
            <v>14</v>
          </cell>
          <cell r="BB37">
            <v>24</v>
          </cell>
          <cell r="BC37">
            <v>43</v>
          </cell>
          <cell r="BD37">
            <v>0</v>
          </cell>
          <cell r="BE37">
            <v>5</v>
          </cell>
          <cell r="BF37">
            <v>30.5</v>
          </cell>
          <cell r="BG37">
            <v>4.3571428571428568</v>
          </cell>
          <cell r="BH37" t="str">
            <v>BETTER</v>
          </cell>
          <cell r="BI37">
            <v>546</v>
          </cell>
          <cell r="BJ37">
            <v>40</v>
          </cell>
          <cell r="BK37">
            <v>56</v>
          </cell>
        </row>
        <row r="38">
          <cell r="E38" t="str">
            <v>ROMANA AKTER</v>
          </cell>
          <cell r="F38">
            <v>18</v>
          </cell>
          <cell r="G38">
            <v>20</v>
          </cell>
          <cell r="H38">
            <v>58</v>
          </cell>
          <cell r="I38">
            <v>96</v>
          </cell>
          <cell r="J38">
            <v>9</v>
          </cell>
          <cell r="K38">
            <v>10</v>
          </cell>
          <cell r="L38">
            <v>29</v>
          </cell>
          <cell r="M38">
            <v>48</v>
          </cell>
          <cell r="N38">
            <v>144</v>
          </cell>
          <cell r="O38">
            <v>0</v>
          </cell>
          <cell r="P38">
            <v>5</v>
          </cell>
          <cell r="Q38">
            <v>11</v>
          </cell>
          <cell r="R38">
            <v>20</v>
          </cell>
          <cell r="S38">
            <v>46</v>
          </cell>
          <cell r="T38">
            <v>77</v>
          </cell>
          <cell r="U38">
            <v>9</v>
          </cell>
          <cell r="V38">
            <v>8</v>
          </cell>
          <cell r="W38">
            <v>16</v>
          </cell>
          <cell r="X38">
            <v>33</v>
          </cell>
          <cell r="Y38">
            <v>110</v>
          </cell>
          <cell r="Z38">
            <v>0</v>
          </cell>
          <cell r="AA38">
            <v>4</v>
          </cell>
          <cell r="AB38">
            <v>12</v>
          </cell>
          <cell r="AC38">
            <v>20</v>
          </cell>
          <cell r="AD38">
            <v>50</v>
          </cell>
          <cell r="AE38">
            <v>82</v>
          </cell>
          <cell r="AF38">
            <v>0</v>
          </cell>
          <cell r="AG38">
            <v>5</v>
          </cell>
          <cell r="AH38">
            <v>20</v>
          </cell>
          <cell r="AI38">
            <v>20</v>
          </cell>
          <cell r="AJ38">
            <v>60</v>
          </cell>
          <cell r="AK38">
            <v>100</v>
          </cell>
          <cell r="AL38">
            <v>0</v>
          </cell>
          <cell r="AM38">
            <v>5</v>
          </cell>
          <cell r="AN38">
            <v>17</v>
          </cell>
          <cell r="AO38">
            <v>20</v>
          </cell>
          <cell r="AP38">
            <v>52</v>
          </cell>
          <cell r="AQ38">
            <v>89</v>
          </cell>
          <cell r="AR38">
            <v>0</v>
          </cell>
          <cell r="AS38">
            <v>5</v>
          </cell>
          <cell r="AT38">
            <v>19</v>
          </cell>
          <cell r="AU38">
            <v>20</v>
          </cell>
          <cell r="AV38">
            <v>58</v>
          </cell>
          <cell r="AW38">
            <v>97</v>
          </cell>
          <cell r="AX38">
            <v>0</v>
          </cell>
          <cell r="AY38">
            <v>5</v>
          </cell>
          <cell r="AZ38">
            <v>5</v>
          </cell>
          <cell r="BA38">
            <v>16</v>
          </cell>
          <cell r="BB38">
            <v>27</v>
          </cell>
          <cell r="BC38">
            <v>48</v>
          </cell>
          <cell r="BD38">
            <v>0</v>
          </cell>
          <cell r="BE38">
            <v>5</v>
          </cell>
          <cell r="BF38">
            <v>34</v>
          </cell>
          <cell r="BG38">
            <v>4.8571428571428568</v>
          </cell>
          <cell r="BH38" t="str">
            <v>BETTER</v>
          </cell>
          <cell r="BI38">
            <v>670</v>
          </cell>
          <cell r="BJ38">
            <v>9</v>
          </cell>
          <cell r="BK38">
            <v>61</v>
          </cell>
        </row>
        <row r="39">
          <cell r="E39" t="str">
            <v>TASLIMA KHAN</v>
          </cell>
          <cell r="F39">
            <v>15</v>
          </cell>
          <cell r="G39">
            <v>20</v>
          </cell>
          <cell r="H39">
            <v>46</v>
          </cell>
          <cell r="I39">
            <v>81</v>
          </cell>
          <cell r="J39">
            <v>8</v>
          </cell>
          <cell r="K39">
            <v>10</v>
          </cell>
          <cell r="L39">
            <v>29</v>
          </cell>
          <cell r="M39">
            <v>47</v>
          </cell>
          <cell r="N39">
            <v>128</v>
          </cell>
          <cell r="O39">
            <v>0</v>
          </cell>
          <cell r="P39">
            <v>5</v>
          </cell>
          <cell r="Q39">
            <v>0</v>
          </cell>
          <cell r="R39">
            <v>18</v>
          </cell>
          <cell r="S39">
            <v>36</v>
          </cell>
          <cell r="T39">
            <v>54</v>
          </cell>
          <cell r="U39">
            <v>0</v>
          </cell>
          <cell r="V39">
            <v>8</v>
          </cell>
          <cell r="W39">
            <v>18</v>
          </cell>
          <cell r="X39">
            <v>26</v>
          </cell>
          <cell r="Y39">
            <v>80</v>
          </cell>
          <cell r="Z39">
            <v>0</v>
          </cell>
          <cell r="AA39">
            <v>3</v>
          </cell>
          <cell r="AB39">
            <v>0</v>
          </cell>
          <cell r="AC39">
            <v>20</v>
          </cell>
          <cell r="AD39">
            <v>52</v>
          </cell>
          <cell r="AE39">
            <v>72</v>
          </cell>
          <cell r="AF39">
            <v>0</v>
          </cell>
          <cell r="AG39">
            <v>4</v>
          </cell>
          <cell r="AH39">
            <v>19</v>
          </cell>
          <cell r="AI39">
            <v>20</v>
          </cell>
          <cell r="AJ39">
            <v>53</v>
          </cell>
          <cell r="AK39">
            <v>92</v>
          </cell>
          <cell r="AL39">
            <v>0</v>
          </cell>
          <cell r="AM39">
            <v>5</v>
          </cell>
          <cell r="AN39">
            <v>14</v>
          </cell>
          <cell r="AO39">
            <v>20</v>
          </cell>
          <cell r="AP39">
            <v>37</v>
          </cell>
          <cell r="AQ39">
            <v>71</v>
          </cell>
          <cell r="AR39">
            <v>0</v>
          </cell>
          <cell r="AS39">
            <v>4</v>
          </cell>
          <cell r="AT39">
            <v>0</v>
          </cell>
          <cell r="AU39">
            <v>20</v>
          </cell>
          <cell r="AV39">
            <v>52</v>
          </cell>
          <cell r="AW39">
            <v>72</v>
          </cell>
          <cell r="AX39">
            <v>0</v>
          </cell>
          <cell r="AY39">
            <v>4</v>
          </cell>
          <cell r="AZ39">
            <v>0</v>
          </cell>
          <cell r="BA39">
            <v>14</v>
          </cell>
          <cell r="BB39">
            <v>26</v>
          </cell>
          <cell r="BC39">
            <v>40</v>
          </cell>
          <cell r="BD39">
            <v>0</v>
          </cell>
          <cell r="BE39">
            <v>5</v>
          </cell>
          <cell r="BF39">
            <v>30</v>
          </cell>
          <cell r="BG39">
            <v>4.2857142857142856</v>
          </cell>
          <cell r="BH39" t="str">
            <v>BETTER</v>
          </cell>
          <cell r="BI39">
            <v>555</v>
          </cell>
          <cell r="BJ39">
            <v>28</v>
          </cell>
          <cell r="BK39">
            <v>55</v>
          </cell>
        </row>
        <row r="40">
          <cell r="E40" t="str">
            <v>JOHORA AKTER</v>
          </cell>
          <cell r="F40">
            <v>18</v>
          </cell>
          <cell r="G40">
            <v>18</v>
          </cell>
          <cell r="H40">
            <v>44</v>
          </cell>
          <cell r="I40">
            <v>80</v>
          </cell>
          <cell r="J40">
            <v>7</v>
          </cell>
          <cell r="K40">
            <v>10</v>
          </cell>
          <cell r="L40">
            <v>24</v>
          </cell>
          <cell r="M40">
            <v>41</v>
          </cell>
          <cell r="N40">
            <v>121</v>
          </cell>
          <cell r="O40">
            <v>0</v>
          </cell>
          <cell r="P40">
            <v>5</v>
          </cell>
          <cell r="Q40">
            <v>13</v>
          </cell>
          <cell r="R40">
            <v>20</v>
          </cell>
          <cell r="S40">
            <v>48</v>
          </cell>
          <cell r="T40">
            <v>81</v>
          </cell>
          <cell r="U40">
            <v>1</v>
          </cell>
          <cell r="V40">
            <v>10</v>
          </cell>
          <cell r="W40">
            <v>18</v>
          </cell>
          <cell r="X40">
            <v>29</v>
          </cell>
          <cell r="Y40">
            <v>110</v>
          </cell>
          <cell r="Z40">
            <v>0</v>
          </cell>
          <cell r="AA40">
            <v>4</v>
          </cell>
          <cell r="AB40">
            <v>8</v>
          </cell>
          <cell r="AC40">
            <v>20</v>
          </cell>
          <cell r="AD40">
            <v>56</v>
          </cell>
          <cell r="AE40">
            <v>84</v>
          </cell>
          <cell r="AF40">
            <v>0</v>
          </cell>
          <cell r="AG40">
            <v>5</v>
          </cell>
          <cell r="AH40">
            <v>0</v>
          </cell>
          <cell r="AI40">
            <v>15</v>
          </cell>
          <cell r="AJ40">
            <v>20</v>
          </cell>
          <cell r="AK40">
            <v>35</v>
          </cell>
          <cell r="AL40">
            <v>0</v>
          </cell>
          <cell r="AM40" t="str">
            <v>F</v>
          </cell>
          <cell r="AN40">
            <v>14</v>
          </cell>
          <cell r="AO40">
            <v>20</v>
          </cell>
          <cell r="AP40">
            <v>43</v>
          </cell>
          <cell r="AQ40">
            <v>77</v>
          </cell>
          <cell r="AR40">
            <v>0</v>
          </cell>
          <cell r="AS40">
            <v>4</v>
          </cell>
          <cell r="AT40">
            <v>19</v>
          </cell>
          <cell r="AU40">
            <v>9</v>
          </cell>
          <cell r="AV40">
            <v>48</v>
          </cell>
          <cell r="AW40">
            <v>76</v>
          </cell>
          <cell r="AX40">
            <v>0</v>
          </cell>
          <cell r="AY40">
            <v>4</v>
          </cell>
          <cell r="AZ40">
            <v>5</v>
          </cell>
          <cell r="BA40">
            <v>13</v>
          </cell>
          <cell r="BB40">
            <v>25</v>
          </cell>
          <cell r="BC40">
            <v>43</v>
          </cell>
          <cell r="BD40">
            <v>0</v>
          </cell>
          <cell r="BE40">
            <v>5</v>
          </cell>
          <cell r="BF40" t="str">
            <v>F</v>
          </cell>
          <cell r="BG40" t="str">
            <v>F</v>
          </cell>
          <cell r="BH40" t="str">
            <v>NEED TO PROGRESS</v>
          </cell>
          <cell r="BI40">
            <v>546</v>
          </cell>
          <cell r="BJ40">
            <v>21</v>
          </cell>
          <cell r="BK40">
            <v>59</v>
          </cell>
        </row>
        <row r="41">
          <cell r="E41" t="str">
            <v>SHEOULI AKTER JHARNA</v>
          </cell>
          <cell r="F41">
            <v>16</v>
          </cell>
          <cell r="G41">
            <v>20</v>
          </cell>
          <cell r="H41">
            <v>50</v>
          </cell>
          <cell r="I41">
            <v>86</v>
          </cell>
          <cell r="J41">
            <v>8</v>
          </cell>
          <cell r="K41">
            <v>10</v>
          </cell>
          <cell r="L41">
            <v>26</v>
          </cell>
          <cell r="M41">
            <v>44</v>
          </cell>
          <cell r="N41">
            <v>130</v>
          </cell>
          <cell r="O41">
            <v>0</v>
          </cell>
          <cell r="P41">
            <v>5</v>
          </cell>
          <cell r="Q41">
            <v>9</v>
          </cell>
          <cell r="R41">
            <v>20</v>
          </cell>
          <cell r="S41">
            <v>27</v>
          </cell>
          <cell r="T41">
            <v>56</v>
          </cell>
          <cell r="U41">
            <v>5</v>
          </cell>
          <cell r="V41">
            <v>8</v>
          </cell>
          <cell r="W41">
            <v>10</v>
          </cell>
          <cell r="X41">
            <v>23</v>
          </cell>
          <cell r="Y41">
            <v>79</v>
          </cell>
          <cell r="Z41">
            <v>0</v>
          </cell>
          <cell r="AA41">
            <v>3</v>
          </cell>
          <cell r="AB41">
            <v>12</v>
          </cell>
          <cell r="AC41">
            <v>20</v>
          </cell>
          <cell r="AD41">
            <v>35</v>
          </cell>
          <cell r="AE41">
            <v>67</v>
          </cell>
          <cell r="AF41">
            <v>0</v>
          </cell>
          <cell r="AG41">
            <v>3.5</v>
          </cell>
          <cell r="AH41">
            <v>19</v>
          </cell>
          <cell r="AI41">
            <v>20</v>
          </cell>
          <cell r="AJ41">
            <v>49</v>
          </cell>
          <cell r="AK41">
            <v>88</v>
          </cell>
          <cell r="AL41">
            <v>0</v>
          </cell>
          <cell r="AM41">
            <v>5</v>
          </cell>
          <cell r="AN41">
            <v>17</v>
          </cell>
          <cell r="AO41">
            <v>20</v>
          </cell>
          <cell r="AP41">
            <v>43</v>
          </cell>
          <cell r="AQ41">
            <v>80</v>
          </cell>
          <cell r="AR41">
            <v>0</v>
          </cell>
          <cell r="AS41">
            <v>5</v>
          </cell>
          <cell r="AT41">
            <v>19</v>
          </cell>
          <cell r="AU41">
            <v>20</v>
          </cell>
          <cell r="AV41">
            <v>56</v>
          </cell>
          <cell r="AW41">
            <v>95</v>
          </cell>
          <cell r="AX41">
            <v>0</v>
          </cell>
          <cell r="AY41">
            <v>5</v>
          </cell>
          <cell r="AZ41">
            <v>5</v>
          </cell>
          <cell r="BA41">
            <v>14</v>
          </cell>
          <cell r="BB41">
            <v>27</v>
          </cell>
          <cell r="BC41">
            <v>46</v>
          </cell>
          <cell r="BD41">
            <v>0</v>
          </cell>
          <cell r="BE41">
            <v>5</v>
          </cell>
          <cell r="BF41">
            <v>31.5</v>
          </cell>
          <cell r="BG41">
            <v>4.5</v>
          </cell>
          <cell r="BH41" t="str">
            <v>BETTER</v>
          </cell>
          <cell r="BI41">
            <v>585</v>
          </cell>
          <cell r="BJ41">
            <v>56</v>
          </cell>
          <cell r="BK41">
            <v>58</v>
          </cell>
        </row>
        <row r="42">
          <cell r="E42" t="str">
            <v>HUSNARRA AKTER RITA</v>
          </cell>
          <cell r="F42">
            <v>14</v>
          </cell>
          <cell r="G42">
            <v>20</v>
          </cell>
          <cell r="H42">
            <v>43</v>
          </cell>
          <cell r="I42">
            <v>77</v>
          </cell>
          <cell r="J42">
            <v>8</v>
          </cell>
          <cell r="K42">
            <v>10</v>
          </cell>
          <cell r="L42">
            <v>25</v>
          </cell>
          <cell r="M42">
            <v>43</v>
          </cell>
          <cell r="N42">
            <v>120</v>
          </cell>
          <cell r="O42">
            <v>0</v>
          </cell>
          <cell r="P42">
            <v>5</v>
          </cell>
          <cell r="Q42">
            <v>11</v>
          </cell>
          <cell r="R42">
            <v>20</v>
          </cell>
          <cell r="S42">
            <v>32</v>
          </cell>
          <cell r="T42">
            <v>63</v>
          </cell>
          <cell r="U42">
            <v>6</v>
          </cell>
          <cell r="V42">
            <v>8</v>
          </cell>
          <cell r="W42">
            <v>8</v>
          </cell>
          <cell r="X42">
            <v>22</v>
          </cell>
          <cell r="Y42">
            <v>85</v>
          </cell>
          <cell r="Z42">
            <v>0</v>
          </cell>
          <cell r="AA42">
            <v>3</v>
          </cell>
          <cell r="AB42">
            <v>11</v>
          </cell>
          <cell r="AC42">
            <v>20</v>
          </cell>
          <cell r="AD42">
            <v>59</v>
          </cell>
          <cell r="AE42">
            <v>90</v>
          </cell>
          <cell r="AF42">
            <v>0</v>
          </cell>
          <cell r="AG42">
            <v>5</v>
          </cell>
          <cell r="AH42">
            <v>15</v>
          </cell>
          <cell r="AI42">
            <v>20</v>
          </cell>
          <cell r="AJ42">
            <v>31</v>
          </cell>
          <cell r="AK42">
            <v>66</v>
          </cell>
          <cell r="AL42">
            <v>0</v>
          </cell>
          <cell r="AM42">
            <v>3.5</v>
          </cell>
          <cell r="AN42">
            <v>11</v>
          </cell>
          <cell r="AO42">
            <v>20</v>
          </cell>
          <cell r="AP42">
            <v>41</v>
          </cell>
          <cell r="AQ42">
            <v>72</v>
          </cell>
          <cell r="AR42">
            <v>0</v>
          </cell>
          <cell r="AS42">
            <v>4</v>
          </cell>
          <cell r="AT42">
            <v>15</v>
          </cell>
          <cell r="AU42">
            <v>20</v>
          </cell>
          <cell r="AV42">
            <v>51</v>
          </cell>
          <cell r="AW42">
            <v>86</v>
          </cell>
          <cell r="AX42">
            <v>0</v>
          </cell>
          <cell r="AY42">
            <v>5</v>
          </cell>
          <cell r="AZ42">
            <v>5</v>
          </cell>
          <cell r="BA42">
            <v>13</v>
          </cell>
          <cell r="BB42">
            <v>20</v>
          </cell>
          <cell r="BC42">
            <v>38</v>
          </cell>
          <cell r="BD42">
            <v>0</v>
          </cell>
          <cell r="BE42">
            <v>4</v>
          </cell>
          <cell r="BF42">
            <v>29.5</v>
          </cell>
          <cell r="BG42">
            <v>4.2142857142857144</v>
          </cell>
          <cell r="BH42" t="str">
            <v>BETTER</v>
          </cell>
          <cell r="BI42">
            <v>557</v>
          </cell>
          <cell r="BJ42">
            <v>31</v>
          </cell>
          <cell r="BK42">
            <v>59</v>
          </cell>
        </row>
        <row r="43">
          <cell r="E43" t="str">
            <v>RUMA BEGUM</v>
          </cell>
          <cell r="F43">
            <v>14</v>
          </cell>
          <cell r="G43">
            <v>20</v>
          </cell>
          <cell r="H43">
            <v>45</v>
          </cell>
          <cell r="I43">
            <v>79</v>
          </cell>
          <cell r="J43">
            <v>7</v>
          </cell>
          <cell r="K43">
            <v>10</v>
          </cell>
          <cell r="L43">
            <v>25</v>
          </cell>
          <cell r="M43">
            <v>42</v>
          </cell>
          <cell r="N43">
            <v>121</v>
          </cell>
          <cell r="O43">
            <v>0</v>
          </cell>
          <cell r="P43">
            <v>5</v>
          </cell>
          <cell r="Q43">
            <v>12</v>
          </cell>
          <cell r="R43">
            <v>20</v>
          </cell>
          <cell r="S43">
            <v>31</v>
          </cell>
          <cell r="T43">
            <v>63</v>
          </cell>
          <cell r="U43">
            <v>7</v>
          </cell>
          <cell r="V43">
            <v>8</v>
          </cell>
          <cell r="W43">
            <v>13</v>
          </cell>
          <cell r="X43">
            <v>28</v>
          </cell>
          <cell r="Y43">
            <v>91</v>
          </cell>
          <cell r="Z43">
            <v>0</v>
          </cell>
          <cell r="AA43">
            <v>3.5</v>
          </cell>
          <cell r="AB43">
            <v>10</v>
          </cell>
          <cell r="AC43">
            <v>20</v>
          </cell>
          <cell r="AD43">
            <v>45</v>
          </cell>
          <cell r="AE43">
            <v>75</v>
          </cell>
          <cell r="AF43">
            <v>0</v>
          </cell>
          <cell r="AG43">
            <v>4</v>
          </cell>
          <cell r="AH43">
            <v>18</v>
          </cell>
          <cell r="AI43">
            <v>20</v>
          </cell>
          <cell r="AJ43">
            <v>47</v>
          </cell>
          <cell r="AK43">
            <v>85</v>
          </cell>
          <cell r="AL43">
            <v>0</v>
          </cell>
          <cell r="AM43">
            <v>5</v>
          </cell>
          <cell r="AN43">
            <v>15</v>
          </cell>
          <cell r="AO43">
            <v>20</v>
          </cell>
          <cell r="AP43">
            <v>44</v>
          </cell>
          <cell r="AQ43">
            <v>79</v>
          </cell>
          <cell r="AR43">
            <v>0</v>
          </cell>
          <cell r="AS43">
            <v>4</v>
          </cell>
          <cell r="AT43">
            <v>20</v>
          </cell>
          <cell r="AU43">
            <v>20</v>
          </cell>
          <cell r="AV43">
            <v>51</v>
          </cell>
          <cell r="AW43">
            <v>91</v>
          </cell>
          <cell r="AX43">
            <v>0</v>
          </cell>
          <cell r="AY43">
            <v>5</v>
          </cell>
          <cell r="AZ43">
            <v>5</v>
          </cell>
          <cell r="BA43">
            <v>14</v>
          </cell>
          <cell r="BB43">
            <v>23</v>
          </cell>
          <cell r="BC43">
            <v>42</v>
          </cell>
          <cell r="BD43">
            <v>0</v>
          </cell>
          <cell r="BE43">
            <v>5</v>
          </cell>
          <cell r="BF43">
            <v>31.5</v>
          </cell>
          <cell r="BG43">
            <v>4.5</v>
          </cell>
          <cell r="BH43" t="str">
            <v>BETTER</v>
          </cell>
          <cell r="BI43">
            <v>584</v>
          </cell>
          <cell r="BJ43">
            <v>39</v>
          </cell>
          <cell r="BK43">
            <v>56</v>
          </cell>
        </row>
        <row r="44">
          <cell r="E44" t="str">
            <v>ROJINA AKTHER</v>
          </cell>
          <cell r="F44">
            <v>18</v>
          </cell>
          <cell r="G44">
            <v>20</v>
          </cell>
          <cell r="H44">
            <v>50</v>
          </cell>
          <cell r="I44">
            <v>88</v>
          </cell>
          <cell r="J44">
            <v>7</v>
          </cell>
          <cell r="K44">
            <v>10</v>
          </cell>
          <cell r="L44">
            <v>24</v>
          </cell>
          <cell r="M44">
            <v>41</v>
          </cell>
          <cell r="N44">
            <v>129</v>
          </cell>
          <cell r="O44">
            <v>0</v>
          </cell>
          <cell r="P44">
            <v>5</v>
          </cell>
          <cell r="Q44">
            <v>11</v>
          </cell>
          <cell r="R44">
            <v>20</v>
          </cell>
          <cell r="S44">
            <v>39</v>
          </cell>
          <cell r="T44">
            <v>70</v>
          </cell>
          <cell r="U44">
            <v>4</v>
          </cell>
          <cell r="V44">
            <v>8</v>
          </cell>
          <cell r="W44">
            <v>9</v>
          </cell>
          <cell r="X44">
            <v>21</v>
          </cell>
          <cell r="Y44">
            <v>91</v>
          </cell>
          <cell r="Z44">
            <v>0</v>
          </cell>
          <cell r="AA44">
            <v>3.5</v>
          </cell>
          <cell r="AB44">
            <v>14</v>
          </cell>
          <cell r="AC44">
            <v>20</v>
          </cell>
          <cell r="AD44">
            <v>44</v>
          </cell>
          <cell r="AE44">
            <v>78</v>
          </cell>
          <cell r="AF44">
            <v>0</v>
          </cell>
          <cell r="AG44">
            <v>4</v>
          </cell>
          <cell r="AH44">
            <v>20</v>
          </cell>
          <cell r="AI44">
            <v>20</v>
          </cell>
          <cell r="AJ44">
            <v>42</v>
          </cell>
          <cell r="AK44">
            <v>82</v>
          </cell>
          <cell r="AL44">
            <v>0</v>
          </cell>
          <cell r="AM44">
            <v>5</v>
          </cell>
          <cell r="AN44">
            <v>15</v>
          </cell>
          <cell r="AO44">
            <v>20</v>
          </cell>
          <cell r="AP44">
            <v>46</v>
          </cell>
          <cell r="AQ44">
            <v>81</v>
          </cell>
          <cell r="AR44">
            <v>0</v>
          </cell>
          <cell r="AS44">
            <v>5</v>
          </cell>
          <cell r="AT44">
            <v>16</v>
          </cell>
          <cell r="AU44">
            <v>20</v>
          </cell>
          <cell r="AV44">
            <v>53</v>
          </cell>
          <cell r="AW44">
            <v>89</v>
          </cell>
          <cell r="AX44">
            <v>0</v>
          </cell>
          <cell r="AY44">
            <v>5</v>
          </cell>
          <cell r="AZ44">
            <v>5</v>
          </cell>
          <cell r="BA44">
            <v>13</v>
          </cell>
          <cell r="BB44">
            <v>27</v>
          </cell>
          <cell r="BC44">
            <v>45</v>
          </cell>
          <cell r="BD44">
            <v>0</v>
          </cell>
          <cell r="BE44">
            <v>5</v>
          </cell>
          <cell r="BF44">
            <v>32.5</v>
          </cell>
          <cell r="BG44">
            <v>4.6428571428571432</v>
          </cell>
          <cell r="BH44" t="str">
            <v>BETTER</v>
          </cell>
          <cell r="BI44">
            <v>595</v>
          </cell>
          <cell r="BJ44">
            <v>44</v>
          </cell>
          <cell r="BK44">
            <v>62</v>
          </cell>
        </row>
        <row r="45">
          <cell r="E45" t="str">
            <v>AMINA BEGUM</v>
          </cell>
          <cell r="F45">
            <v>14</v>
          </cell>
          <cell r="G45">
            <v>20</v>
          </cell>
          <cell r="H45">
            <v>47</v>
          </cell>
          <cell r="I45">
            <v>81</v>
          </cell>
          <cell r="J45">
            <v>8</v>
          </cell>
          <cell r="K45">
            <v>10</v>
          </cell>
          <cell r="L45">
            <v>24</v>
          </cell>
          <cell r="M45">
            <v>42</v>
          </cell>
          <cell r="N45">
            <v>123</v>
          </cell>
          <cell r="O45">
            <v>0</v>
          </cell>
          <cell r="P45">
            <v>5</v>
          </cell>
          <cell r="Q45">
            <v>10</v>
          </cell>
          <cell r="R45">
            <v>20</v>
          </cell>
          <cell r="S45">
            <v>30</v>
          </cell>
          <cell r="T45">
            <v>60</v>
          </cell>
          <cell r="U45">
            <v>6</v>
          </cell>
          <cell r="V45">
            <v>8</v>
          </cell>
          <cell r="W45">
            <v>8</v>
          </cell>
          <cell r="X45">
            <v>22</v>
          </cell>
          <cell r="Y45">
            <v>82</v>
          </cell>
          <cell r="Z45">
            <v>0</v>
          </cell>
          <cell r="AA45">
            <v>3</v>
          </cell>
          <cell r="AB45">
            <v>15</v>
          </cell>
          <cell r="AC45">
            <v>20</v>
          </cell>
          <cell r="AD45">
            <v>49</v>
          </cell>
          <cell r="AE45">
            <v>84</v>
          </cell>
          <cell r="AF45">
            <v>0</v>
          </cell>
          <cell r="AG45">
            <v>5</v>
          </cell>
          <cell r="AH45">
            <v>17</v>
          </cell>
          <cell r="AI45">
            <v>20</v>
          </cell>
          <cell r="AJ45">
            <v>40</v>
          </cell>
          <cell r="AK45">
            <v>77</v>
          </cell>
          <cell r="AL45">
            <v>0</v>
          </cell>
          <cell r="AM45">
            <v>4</v>
          </cell>
          <cell r="AN45">
            <v>15</v>
          </cell>
          <cell r="AO45">
            <v>20</v>
          </cell>
          <cell r="AP45">
            <v>49</v>
          </cell>
          <cell r="AQ45">
            <v>84</v>
          </cell>
          <cell r="AR45">
            <v>0</v>
          </cell>
          <cell r="AS45">
            <v>5</v>
          </cell>
          <cell r="AT45">
            <v>15</v>
          </cell>
          <cell r="AU45">
            <v>20</v>
          </cell>
          <cell r="AV45">
            <v>56</v>
          </cell>
          <cell r="AW45">
            <v>91</v>
          </cell>
          <cell r="AX45">
            <v>0</v>
          </cell>
          <cell r="AY45">
            <v>5</v>
          </cell>
          <cell r="AZ45">
            <v>5</v>
          </cell>
          <cell r="BA45">
            <v>14</v>
          </cell>
          <cell r="BB45">
            <v>20</v>
          </cell>
          <cell r="BC45">
            <v>39</v>
          </cell>
          <cell r="BD45">
            <v>0</v>
          </cell>
          <cell r="BE45">
            <v>4</v>
          </cell>
          <cell r="BF45">
            <v>31</v>
          </cell>
          <cell r="BG45">
            <v>4.4285714285714288</v>
          </cell>
          <cell r="BH45" t="str">
            <v>BETTER</v>
          </cell>
          <cell r="BI45">
            <v>580</v>
          </cell>
          <cell r="BJ45">
            <v>60</v>
          </cell>
          <cell r="BK45">
            <v>57</v>
          </cell>
        </row>
        <row r="46">
          <cell r="E46" t="str">
            <v>FERDOUSI AKTER</v>
          </cell>
          <cell r="F46">
            <v>19</v>
          </cell>
          <cell r="G46">
            <v>20</v>
          </cell>
          <cell r="H46">
            <v>57</v>
          </cell>
          <cell r="I46">
            <v>96</v>
          </cell>
          <cell r="J46">
            <v>8</v>
          </cell>
          <cell r="K46">
            <v>10</v>
          </cell>
          <cell r="L46">
            <v>25</v>
          </cell>
          <cell r="M46">
            <v>43</v>
          </cell>
          <cell r="N46">
            <v>139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47</v>
          </cell>
          <cell r="T46">
            <v>82</v>
          </cell>
          <cell r="U46">
            <v>0</v>
          </cell>
          <cell r="V46">
            <v>10</v>
          </cell>
          <cell r="W46">
            <v>17</v>
          </cell>
          <cell r="X46">
            <v>27</v>
          </cell>
          <cell r="Y46">
            <v>109</v>
          </cell>
          <cell r="Z46">
            <v>0</v>
          </cell>
          <cell r="AA46">
            <v>4</v>
          </cell>
          <cell r="AB46">
            <v>15</v>
          </cell>
          <cell r="AC46">
            <v>20</v>
          </cell>
          <cell r="AD46">
            <v>59</v>
          </cell>
          <cell r="AE46">
            <v>94</v>
          </cell>
          <cell r="AF46">
            <v>0</v>
          </cell>
          <cell r="AG46">
            <v>5</v>
          </cell>
          <cell r="AH46">
            <v>16</v>
          </cell>
          <cell r="AI46">
            <v>20</v>
          </cell>
          <cell r="AJ46">
            <v>46</v>
          </cell>
          <cell r="AK46">
            <v>82</v>
          </cell>
          <cell r="AL46">
            <v>0</v>
          </cell>
          <cell r="AM46">
            <v>5</v>
          </cell>
          <cell r="AN46">
            <v>14</v>
          </cell>
          <cell r="AO46">
            <v>20</v>
          </cell>
          <cell r="AP46">
            <v>51</v>
          </cell>
          <cell r="AQ46">
            <v>85</v>
          </cell>
          <cell r="AR46">
            <v>0</v>
          </cell>
          <cell r="AS46">
            <v>5</v>
          </cell>
          <cell r="AT46">
            <v>20</v>
          </cell>
          <cell r="AU46">
            <v>20</v>
          </cell>
          <cell r="AV46">
            <v>56</v>
          </cell>
          <cell r="AW46">
            <v>96</v>
          </cell>
          <cell r="AX46">
            <v>0</v>
          </cell>
          <cell r="AY46">
            <v>5</v>
          </cell>
          <cell r="AZ46">
            <v>5</v>
          </cell>
          <cell r="BA46">
            <v>14</v>
          </cell>
          <cell r="BB46">
            <v>23</v>
          </cell>
          <cell r="BC46">
            <v>42</v>
          </cell>
          <cell r="BD46">
            <v>0</v>
          </cell>
          <cell r="BE46">
            <v>5</v>
          </cell>
          <cell r="BF46">
            <v>34</v>
          </cell>
          <cell r="BG46">
            <v>4.8571428571428568</v>
          </cell>
          <cell r="BH46" t="str">
            <v>BETTER</v>
          </cell>
          <cell r="BI46">
            <v>647</v>
          </cell>
          <cell r="BJ46">
            <v>8</v>
          </cell>
          <cell r="BK46">
            <v>57</v>
          </cell>
        </row>
        <row r="47">
          <cell r="E47" t="str">
            <v>MST.FATEMA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F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 t="str">
            <v>F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 t="str">
            <v>F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 t="str">
            <v>F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 t="str">
            <v>F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 t="str">
            <v>F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 t="str">
            <v>F</v>
          </cell>
          <cell r="BF47" t="str">
            <v>F</v>
          </cell>
          <cell r="BG47" t="str">
            <v>F</v>
          </cell>
          <cell r="BH47" t="str">
            <v>NEED TO PROGRESS</v>
          </cell>
          <cell r="BI47">
            <v>0</v>
          </cell>
          <cell r="BJ47" t="str">
            <v>F</v>
          </cell>
          <cell r="BK47">
            <v>65</v>
          </cell>
        </row>
        <row r="48">
          <cell r="E48" t="str">
            <v>SHEULI BEGUM</v>
          </cell>
          <cell r="F48">
            <v>18</v>
          </cell>
          <cell r="G48">
            <v>20</v>
          </cell>
          <cell r="H48">
            <v>57</v>
          </cell>
          <cell r="I48">
            <v>95</v>
          </cell>
          <cell r="J48">
            <v>8</v>
          </cell>
          <cell r="K48">
            <v>10</v>
          </cell>
          <cell r="L48">
            <v>28</v>
          </cell>
          <cell r="M48">
            <v>46</v>
          </cell>
          <cell r="N48">
            <v>141</v>
          </cell>
          <cell r="O48">
            <v>0</v>
          </cell>
          <cell r="P48">
            <v>5</v>
          </cell>
          <cell r="Q48">
            <v>13</v>
          </cell>
          <cell r="R48">
            <v>20</v>
          </cell>
          <cell r="S48">
            <v>45</v>
          </cell>
          <cell r="T48">
            <v>78</v>
          </cell>
          <cell r="U48">
            <v>9</v>
          </cell>
          <cell r="V48">
            <v>8</v>
          </cell>
          <cell r="W48">
            <v>13</v>
          </cell>
          <cell r="X48">
            <v>30</v>
          </cell>
          <cell r="Y48">
            <v>108</v>
          </cell>
          <cell r="Z48">
            <v>0</v>
          </cell>
          <cell r="AA48">
            <v>4</v>
          </cell>
          <cell r="AB48">
            <v>15</v>
          </cell>
          <cell r="AC48">
            <v>20</v>
          </cell>
          <cell r="AD48">
            <v>54</v>
          </cell>
          <cell r="AE48">
            <v>89</v>
          </cell>
          <cell r="AF48">
            <v>0</v>
          </cell>
          <cell r="AG48">
            <v>5</v>
          </cell>
          <cell r="AH48">
            <v>20</v>
          </cell>
          <cell r="AI48">
            <v>20</v>
          </cell>
          <cell r="AJ48">
            <v>58</v>
          </cell>
          <cell r="AK48">
            <v>98</v>
          </cell>
          <cell r="AL48">
            <v>0</v>
          </cell>
          <cell r="AM48">
            <v>5</v>
          </cell>
          <cell r="AN48">
            <v>17</v>
          </cell>
          <cell r="AO48">
            <v>20</v>
          </cell>
          <cell r="AP48">
            <v>50</v>
          </cell>
          <cell r="AQ48">
            <v>87</v>
          </cell>
          <cell r="AR48">
            <v>0</v>
          </cell>
          <cell r="AS48">
            <v>5</v>
          </cell>
          <cell r="AT48">
            <v>20</v>
          </cell>
          <cell r="AU48">
            <v>20</v>
          </cell>
          <cell r="AV48">
            <v>58</v>
          </cell>
          <cell r="AW48">
            <v>98</v>
          </cell>
          <cell r="AX48">
            <v>0</v>
          </cell>
          <cell r="AY48">
            <v>5</v>
          </cell>
          <cell r="AZ48">
            <v>5</v>
          </cell>
          <cell r="BA48">
            <v>16</v>
          </cell>
          <cell r="BB48">
            <v>28</v>
          </cell>
          <cell r="BC48">
            <v>49</v>
          </cell>
          <cell r="BD48">
            <v>0</v>
          </cell>
          <cell r="BE48">
            <v>5</v>
          </cell>
          <cell r="BF48">
            <v>34</v>
          </cell>
          <cell r="BG48">
            <v>4.8571428571428568</v>
          </cell>
          <cell r="BH48" t="str">
            <v>BETTER</v>
          </cell>
          <cell r="BI48">
            <v>670</v>
          </cell>
          <cell r="BJ48">
            <v>1</v>
          </cell>
          <cell r="BK48">
            <v>62</v>
          </cell>
        </row>
        <row r="49">
          <cell r="E49" t="str">
            <v>MST.SHAIDA PERVIN</v>
          </cell>
          <cell r="F49">
            <v>17</v>
          </cell>
          <cell r="G49">
            <v>15</v>
          </cell>
          <cell r="H49">
            <v>57</v>
          </cell>
          <cell r="I49">
            <v>89</v>
          </cell>
          <cell r="J49">
            <v>9</v>
          </cell>
          <cell r="K49">
            <v>10</v>
          </cell>
          <cell r="L49">
            <v>21</v>
          </cell>
          <cell r="M49">
            <v>40</v>
          </cell>
          <cell r="N49">
            <v>129</v>
          </cell>
          <cell r="O49">
            <v>0</v>
          </cell>
          <cell r="P49">
            <v>5</v>
          </cell>
          <cell r="Q49">
            <v>18</v>
          </cell>
          <cell r="R49">
            <v>20</v>
          </cell>
          <cell r="S49">
            <v>54</v>
          </cell>
          <cell r="T49">
            <v>92</v>
          </cell>
          <cell r="U49">
            <v>6</v>
          </cell>
          <cell r="V49">
            <v>10</v>
          </cell>
          <cell r="W49">
            <v>25</v>
          </cell>
          <cell r="X49">
            <v>41</v>
          </cell>
          <cell r="Y49">
            <v>133</v>
          </cell>
          <cell r="Z49">
            <v>0</v>
          </cell>
          <cell r="AA49">
            <v>5</v>
          </cell>
          <cell r="AB49">
            <v>17</v>
          </cell>
          <cell r="AC49">
            <v>20</v>
          </cell>
          <cell r="AD49">
            <v>60</v>
          </cell>
          <cell r="AE49">
            <v>97</v>
          </cell>
          <cell r="AF49">
            <v>0</v>
          </cell>
          <cell r="AG49">
            <v>5</v>
          </cell>
          <cell r="AH49">
            <v>20</v>
          </cell>
          <cell r="AI49">
            <v>20</v>
          </cell>
          <cell r="AJ49">
            <v>36</v>
          </cell>
          <cell r="AK49">
            <v>76</v>
          </cell>
          <cell r="AL49">
            <v>0</v>
          </cell>
          <cell r="AM49">
            <v>4</v>
          </cell>
          <cell r="AN49">
            <v>13</v>
          </cell>
          <cell r="AO49">
            <v>20</v>
          </cell>
          <cell r="AP49">
            <v>52</v>
          </cell>
          <cell r="AQ49">
            <v>85</v>
          </cell>
          <cell r="AR49">
            <v>0</v>
          </cell>
          <cell r="AS49">
            <v>5</v>
          </cell>
          <cell r="AT49">
            <v>14</v>
          </cell>
          <cell r="AU49">
            <v>20</v>
          </cell>
          <cell r="AV49">
            <v>55</v>
          </cell>
          <cell r="AW49">
            <v>89</v>
          </cell>
          <cell r="AX49">
            <v>0</v>
          </cell>
          <cell r="AY49">
            <v>5</v>
          </cell>
          <cell r="AZ49">
            <v>5</v>
          </cell>
          <cell r="BA49">
            <v>14</v>
          </cell>
          <cell r="BB49">
            <v>28</v>
          </cell>
          <cell r="BC49">
            <v>47</v>
          </cell>
          <cell r="BD49">
            <v>0</v>
          </cell>
          <cell r="BE49">
            <v>5</v>
          </cell>
          <cell r="BF49">
            <v>34</v>
          </cell>
          <cell r="BG49">
            <v>4.8571428571428568</v>
          </cell>
          <cell r="BH49" t="str">
            <v>BETTER</v>
          </cell>
          <cell r="BI49">
            <v>656</v>
          </cell>
          <cell r="BJ49">
            <v>7</v>
          </cell>
          <cell r="BK49">
            <v>58</v>
          </cell>
        </row>
        <row r="50">
          <cell r="E50" t="str">
            <v>NURA SABA</v>
          </cell>
          <cell r="F50">
            <v>19</v>
          </cell>
          <cell r="G50">
            <v>19</v>
          </cell>
          <cell r="H50">
            <v>58</v>
          </cell>
          <cell r="I50">
            <v>96</v>
          </cell>
          <cell r="J50">
            <v>10</v>
          </cell>
          <cell r="K50">
            <v>10</v>
          </cell>
          <cell r="L50">
            <v>26</v>
          </cell>
          <cell r="M50">
            <v>46</v>
          </cell>
          <cell r="N50">
            <v>142</v>
          </cell>
          <cell r="O50">
            <v>0</v>
          </cell>
          <cell r="P50">
            <v>5</v>
          </cell>
          <cell r="Q50">
            <v>17</v>
          </cell>
          <cell r="R50">
            <v>20</v>
          </cell>
          <cell r="S50">
            <v>54</v>
          </cell>
          <cell r="T50">
            <v>91</v>
          </cell>
          <cell r="U50">
            <v>4</v>
          </cell>
          <cell r="V50">
            <v>10</v>
          </cell>
          <cell r="W50">
            <v>24</v>
          </cell>
          <cell r="X50">
            <v>38</v>
          </cell>
          <cell r="Y50">
            <v>129</v>
          </cell>
          <cell r="Z50">
            <v>0</v>
          </cell>
          <cell r="AA50">
            <v>5</v>
          </cell>
          <cell r="AB50">
            <v>19</v>
          </cell>
          <cell r="AC50">
            <v>20</v>
          </cell>
          <cell r="AD50">
            <v>60</v>
          </cell>
          <cell r="AE50">
            <v>99</v>
          </cell>
          <cell r="AF50">
            <v>0</v>
          </cell>
          <cell r="AG50">
            <v>5</v>
          </cell>
          <cell r="AH50">
            <v>20</v>
          </cell>
          <cell r="AI50">
            <v>20</v>
          </cell>
          <cell r="AJ50">
            <v>60</v>
          </cell>
          <cell r="AK50">
            <v>100</v>
          </cell>
          <cell r="AL50">
            <v>0</v>
          </cell>
          <cell r="AM50">
            <v>5</v>
          </cell>
          <cell r="AN50">
            <v>17</v>
          </cell>
          <cell r="AO50">
            <v>20</v>
          </cell>
          <cell r="AP50">
            <v>55</v>
          </cell>
          <cell r="AQ50">
            <v>92</v>
          </cell>
          <cell r="AR50">
            <v>0</v>
          </cell>
          <cell r="AS50">
            <v>5</v>
          </cell>
          <cell r="AT50">
            <v>19</v>
          </cell>
          <cell r="AU50">
            <v>20</v>
          </cell>
          <cell r="AV50">
            <v>58</v>
          </cell>
          <cell r="AW50">
            <v>97</v>
          </cell>
          <cell r="AX50">
            <v>0</v>
          </cell>
          <cell r="AY50">
            <v>5</v>
          </cell>
          <cell r="AZ50">
            <v>5</v>
          </cell>
          <cell r="BA50">
            <v>15</v>
          </cell>
          <cell r="BB50">
            <v>29</v>
          </cell>
          <cell r="BC50">
            <v>49</v>
          </cell>
          <cell r="BD50">
            <v>0</v>
          </cell>
          <cell r="BE50">
            <v>5</v>
          </cell>
          <cell r="BF50">
            <v>35</v>
          </cell>
          <cell r="BG50">
            <v>5</v>
          </cell>
          <cell r="BH50" t="str">
            <v>BEST</v>
          </cell>
          <cell r="BI50">
            <v>708</v>
          </cell>
          <cell r="BJ50">
            <v>2</v>
          </cell>
          <cell r="BK50">
            <v>60</v>
          </cell>
        </row>
        <row r="51">
          <cell r="E51" t="str">
            <v>KHADIJA KHANDAKAR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F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 t="str">
            <v>F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 t="str">
            <v>F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 t="str">
            <v>F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 t="str">
            <v>F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 t="str">
            <v>F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 t="str">
            <v>F</v>
          </cell>
          <cell r="BF51" t="str">
            <v>F</v>
          </cell>
          <cell r="BG51" t="str">
            <v>F</v>
          </cell>
          <cell r="BH51" t="str">
            <v>NEED TO PROGRESS</v>
          </cell>
          <cell r="BI51">
            <v>0</v>
          </cell>
          <cell r="BJ51">
            <v>23</v>
          </cell>
          <cell r="BK51">
            <v>56</v>
          </cell>
        </row>
      </sheetData>
      <sheetData sheetId="1" refreshError="1"/>
      <sheetData sheetId="2" refreshError="1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N5" t="str">
            <v>All Semester Total Marks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</row>
        <row r="6"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>
            <v>0</v>
          </cell>
          <cell r="Y6" t="str">
            <v>TOTAL</v>
          </cell>
          <cell r="Z6" t="str">
            <v>E1+E2</v>
          </cell>
          <cell r="AA6" t="str">
            <v>HIGHESTMARK</v>
          </cell>
          <cell r="AB6" t="str">
            <v>GP</v>
          </cell>
          <cell r="AC6" t="str">
            <v>MT</v>
          </cell>
          <cell r="AD6" t="str">
            <v>MATH</v>
          </cell>
          <cell r="AE6">
            <v>0</v>
          </cell>
          <cell r="AF6" t="str">
            <v>TOTAL</v>
          </cell>
          <cell r="AG6" t="str">
            <v>HIGHESTMARK</v>
          </cell>
          <cell r="AH6" t="str">
            <v>GP</v>
          </cell>
          <cell r="AI6" t="str">
            <v>MT</v>
          </cell>
          <cell r="AJ6" t="str">
            <v>SCIENCE</v>
          </cell>
          <cell r="AK6">
            <v>0</v>
          </cell>
          <cell r="AL6" t="str">
            <v>TOTAL</v>
          </cell>
          <cell r="AM6" t="str">
            <v>HIGHESTMARK</v>
          </cell>
          <cell r="AN6" t="str">
            <v>GP</v>
          </cell>
          <cell r="AO6" t="str">
            <v>MT</v>
          </cell>
          <cell r="AP6" t="str">
            <v>BGS</v>
          </cell>
          <cell r="AQ6">
            <v>0</v>
          </cell>
          <cell r="AR6" t="str">
            <v>TOTAL</v>
          </cell>
          <cell r="AS6" t="str">
            <v>HIGHESTMARK</v>
          </cell>
          <cell r="AT6" t="str">
            <v>GP</v>
          </cell>
          <cell r="AU6" t="str">
            <v>MT</v>
          </cell>
          <cell r="AV6" t="str">
            <v>RELIGION</v>
          </cell>
          <cell r="AW6">
            <v>0</v>
          </cell>
          <cell r="AX6" t="str">
            <v>TOTAL</v>
          </cell>
          <cell r="AY6" t="str">
            <v>HIGHESTMARK</v>
          </cell>
          <cell r="AZ6" t="str">
            <v>GP</v>
          </cell>
          <cell r="BA6" t="str">
            <v>MT</v>
          </cell>
          <cell r="BB6" t="str">
            <v>ASS</v>
          </cell>
          <cell r="BC6" t="str">
            <v>ICT</v>
          </cell>
          <cell r="BD6">
            <v>0</v>
          </cell>
          <cell r="BE6" t="str">
            <v>TOTAL</v>
          </cell>
          <cell r="BF6" t="str">
            <v>HIGHESTMARK</v>
          </cell>
          <cell r="BG6" t="str">
            <v>GP</v>
          </cell>
          <cell r="BH6" t="str">
            <v>T-GP</v>
          </cell>
          <cell r="BI6" t="str">
            <v>GPA</v>
          </cell>
          <cell r="BJ6" t="str">
            <v>BHVR</v>
          </cell>
          <cell r="BK6" t="str">
            <v>TOTAL MARK</v>
          </cell>
          <cell r="BL6" t="str">
            <v>Position</v>
          </cell>
          <cell r="BM6" t="str">
            <v>WORKINGDAYS</v>
          </cell>
          <cell r="BN6" t="str">
            <v>1st semester</v>
          </cell>
          <cell r="BO6" t="str">
            <v>2nd Semester</v>
          </cell>
          <cell r="BP6" t="str">
            <v>3rd Semester</v>
          </cell>
          <cell r="BQ6" t="str">
            <v>Avarege</v>
          </cell>
          <cell r="BR6">
            <v>0</v>
          </cell>
          <cell r="BS6" t="str">
            <v>Rank</v>
          </cell>
        </row>
        <row r="7"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 t="str">
            <v>AV-50%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 t="str">
            <v>ASS</v>
          </cell>
          <cell r="AE7" t="str">
            <v>CR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 t="str">
            <v>ASS</v>
          </cell>
          <cell r="AK7" t="str">
            <v>CR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str">
            <v>ASS</v>
          </cell>
          <cell r="AQ7" t="str">
            <v>CR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 t="str">
            <v>ASS</v>
          </cell>
          <cell r="AW7" t="str">
            <v>CR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 t="str">
            <v>CR</v>
          </cell>
          <cell r="BD7" t="str">
            <v>AV-60%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</row>
        <row r="8">
          <cell r="E8" t="str">
            <v>KRISHNA SHAHA</v>
          </cell>
          <cell r="F8">
            <v>20</v>
          </cell>
          <cell r="G8">
            <v>20</v>
          </cell>
          <cell r="H8">
            <v>57</v>
          </cell>
          <cell r="I8">
            <v>97</v>
          </cell>
          <cell r="J8">
            <v>9</v>
          </cell>
          <cell r="K8">
            <v>10</v>
          </cell>
          <cell r="L8">
            <v>29</v>
          </cell>
          <cell r="M8">
            <v>48</v>
          </cell>
          <cell r="N8">
            <v>145</v>
          </cell>
          <cell r="O8">
            <v>150</v>
          </cell>
          <cell r="P8">
            <v>5</v>
          </cell>
          <cell r="Q8">
            <v>17</v>
          </cell>
          <cell r="R8">
            <v>20</v>
          </cell>
          <cell r="S8">
            <v>53</v>
          </cell>
          <cell r="T8">
            <v>90</v>
          </cell>
          <cell r="U8">
            <v>10</v>
          </cell>
          <cell r="V8">
            <v>10</v>
          </cell>
          <cell r="W8">
            <v>51</v>
          </cell>
          <cell r="X8">
            <v>25.5</v>
          </cell>
          <cell r="Y8">
            <v>45.5</v>
          </cell>
          <cell r="Z8">
            <v>135.5</v>
          </cell>
          <cell r="AA8">
            <v>148</v>
          </cell>
          <cell r="AB8">
            <v>5</v>
          </cell>
          <cell r="AC8">
            <v>18</v>
          </cell>
          <cell r="AD8">
            <v>20</v>
          </cell>
          <cell r="AE8">
            <v>58</v>
          </cell>
          <cell r="AF8">
            <v>96</v>
          </cell>
          <cell r="AG8">
            <v>100</v>
          </cell>
          <cell r="AH8">
            <v>5</v>
          </cell>
          <cell r="AI8">
            <v>19</v>
          </cell>
          <cell r="AJ8">
            <v>20</v>
          </cell>
          <cell r="AK8">
            <v>56</v>
          </cell>
          <cell r="AL8">
            <v>95</v>
          </cell>
          <cell r="AM8">
            <v>100</v>
          </cell>
          <cell r="AN8">
            <v>5</v>
          </cell>
          <cell r="AO8">
            <v>20</v>
          </cell>
          <cell r="AP8">
            <v>20</v>
          </cell>
          <cell r="AQ8">
            <v>58</v>
          </cell>
          <cell r="AR8">
            <v>98</v>
          </cell>
          <cell r="AS8">
            <v>100</v>
          </cell>
          <cell r="AT8">
            <v>5</v>
          </cell>
          <cell r="AU8">
            <v>20</v>
          </cell>
          <cell r="AV8">
            <v>20</v>
          </cell>
          <cell r="AW8">
            <v>56</v>
          </cell>
          <cell r="AX8">
            <v>96</v>
          </cell>
          <cell r="AY8">
            <v>100</v>
          </cell>
          <cell r="AZ8">
            <v>5</v>
          </cell>
          <cell r="BA8">
            <v>10</v>
          </cell>
          <cell r="BB8">
            <v>10</v>
          </cell>
          <cell r="BC8">
            <v>45</v>
          </cell>
          <cell r="BD8">
            <v>27</v>
          </cell>
          <cell r="BE8">
            <v>47</v>
          </cell>
          <cell r="BF8">
            <v>50</v>
          </cell>
          <cell r="BG8">
            <v>5</v>
          </cell>
          <cell r="BH8">
            <v>35</v>
          </cell>
          <cell r="BI8">
            <v>5</v>
          </cell>
          <cell r="BJ8" t="str">
            <v>BEST</v>
          </cell>
          <cell r="BK8">
            <v>712.5</v>
          </cell>
          <cell r="BL8">
            <v>16</v>
          </cell>
          <cell r="BM8">
            <v>59</v>
          </cell>
          <cell r="BN8">
            <v>626</v>
          </cell>
          <cell r="BO8">
            <v>708</v>
          </cell>
          <cell r="BP8">
            <v>712.5</v>
          </cell>
          <cell r="BQ8">
            <v>682.16666666666663</v>
          </cell>
          <cell r="BR8" t="e">
            <v>#REF!</v>
          </cell>
          <cell r="BS8">
            <v>9</v>
          </cell>
        </row>
        <row r="9">
          <cell r="E9" t="str">
            <v xml:space="preserve">SELINA </v>
          </cell>
          <cell r="F9">
            <v>20</v>
          </cell>
          <cell r="G9">
            <v>20</v>
          </cell>
          <cell r="H9">
            <v>59</v>
          </cell>
          <cell r="I9">
            <v>99</v>
          </cell>
          <cell r="J9">
            <v>10</v>
          </cell>
          <cell r="K9">
            <v>10</v>
          </cell>
          <cell r="L9">
            <v>30</v>
          </cell>
          <cell r="M9">
            <v>50</v>
          </cell>
          <cell r="N9">
            <v>149</v>
          </cell>
          <cell r="O9">
            <v>0</v>
          </cell>
          <cell r="P9">
            <v>5</v>
          </cell>
          <cell r="Q9">
            <v>17</v>
          </cell>
          <cell r="R9">
            <v>20</v>
          </cell>
          <cell r="S9">
            <v>56</v>
          </cell>
          <cell r="T9">
            <v>93</v>
          </cell>
          <cell r="U9">
            <v>10</v>
          </cell>
          <cell r="V9">
            <v>10</v>
          </cell>
          <cell r="W9">
            <v>55</v>
          </cell>
          <cell r="X9">
            <v>27.5</v>
          </cell>
          <cell r="Y9">
            <v>47.5</v>
          </cell>
          <cell r="Z9">
            <v>140.5</v>
          </cell>
          <cell r="AA9">
            <v>0</v>
          </cell>
          <cell r="AB9">
            <v>5</v>
          </cell>
          <cell r="AC9">
            <v>16</v>
          </cell>
          <cell r="AD9">
            <v>20</v>
          </cell>
          <cell r="AE9">
            <v>59</v>
          </cell>
          <cell r="AF9">
            <v>95</v>
          </cell>
          <cell r="AG9">
            <v>0</v>
          </cell>
          <cell r="AH9">
            <v>5</v>
          </cell>
          <cell r="AI9">
            <v>19</v>
          </cell>
          <cell r="AJ9">
            <v>20</v>
          </cell>
          <cell r="AK9">
            <v>51</v>
          </cell>
          <cell r="AL9">
            <v>90</v>
          </cell>
          <cell r="AM9">
            <v>0</v>
          </cell>
          <cell r="AN9">
            <v>5</v>
          </cell>
          <cell r="AO9">
            <v>20</v>
          </cell>
          <cell r="AP9">
            <v>20</v>
          </cell>
          <cell r="AQ9">
            <v>59</v>
          </cell>
          <cell r="AR9">
            <v>99</v>
          </cell>
          <cell r="AS9">
            <v>0</v>
          </cell>
          <cell r="AT9">
            <v>5</v>
          </cell>
          <cell r="AU9">
            <v>19</v>
          </cell>
          <cell r="AV9">
            <v>20</v>
          </cell>
          <cell r="AW9">
            <v>57</v>
          </cell>
          <cell r="AX9">
            <v>96</v>
          </cell>
          <cell r="AY9">
            <v>0</v>
          </cell>
          <cell r="AZ9">
            <v>5</v>
          </cell>
          <cell r="BA9">
            <v>10</v>
          </cell>
          <cell r="BB9">
            <v>10</v>
          </cell>
          <cell r="BC9">
            <v>47</v>
          </cell>
          <cell r="BD9">
            <v>28.2</v>
          </cell>
          <cell r="BE9">
            <v>48.2</v>
          </cell>
          <cell r="BF9">
            <v>0</v>
          </cell>
          <cell r="BG9">
            <v>5</v>
          </cell>
          <cell r="BH9">
            <v>35</v>
          </cell>
          <cell r="BI9">
            <v>5</v>
          </cell>
          <cell r="BJ9" t="str">
            <v>BEST</v>
          </cell>
          <cell r="BK9">
            <v>717.7</v>
          </cell>
          <cell r="BL9">
            <v>10</v>
          </cell>
          <cell r="BM9">
            <v>59</v>
          </cell>
          <cell r="BN9">
            <v>631</v>
          </cell>
          <cell r="BO9">
            <v>720.5</v>
          </cell>
          <cell r="BP9">
            <v>717.7</v>
          </cell>
          <cell r="BQ9">
            <v>689.73333333333323</v>
          </cell>
          <cell r="BR9" t="e">
            <v>#REF!</v>
          </cell>
          <cell r="BS9">
            <v>10</v>
          </cell>
        </row>
        <row r="10">
          <cell r="E10" t="str">
            <v>MOST.NASRIN AKTER</v>
          </cell>
          <cell r="F10">
            <v>20</v>
          </cell>
          <cell r="G10">
            <v>20</v>
          </cell>
          <cell r="H10">
            <v>57</v>
          </cell>
          <cell r="I10">
            <v>97</v>
          </cell>
          <cell r="J10">
            <v>9</v>
          </cell>
          <cell r="K10">
            <v>8</v>
          </cell>
          <cell r="L10">
            <v>30</v>
          </cell>
          <cell r="M10">
            <v>47</v>
          </cell>
          <cell r="N10">
            <v>144</v>
          </cell>
          <cell r="O10">
            <v>0</v>
          </cell>
          <cell r="P10">
            <v>5</v>
          </cell>
          <cell r="Q10">
            <v>16</v>
          </cell>
          <cell r="R10">
            <v>20</v>
          </cell>
          <cell r="S10">
            <v>48</v>
          </cell>
          <cell r="T10">
            <v>84</v>
          </cell>
          <cell r="U10">
            <v>8</v>
          </cell>
          <cell r="V10">
            <v>10</v>
          </cell>
          <cell r="W10">
            <v>43</v>
          </cell>
          <cell r="X10">
            <v>21.5</v>
          </cell>
          <cell r="Y10">
            <v>39.5</v>
          </cell>
          <cell r="Z10">
            <v>123.5</v>
          </cell>
          <cell r="AA10">
            <v>0</v>
          </cell>
          <cell r="AB10">
            <v>5</v>
          </cell>
          <cell r="AC10">
            <v>14</v>
          </cell>
          <cell r="AD10">
            <v>20</v>
          </cell>
          <cell r="AE10">
            <v>58</v>
          </cell>
          <cell r="AF10">
            <v>92</v>
          </cell>
          <cell r="AG10">
            <v>0</v>
          </cell>
          <cell r="AH10">
            <v>5</v>
          </cell>
          <cell r="AI10">
            <v>18</v>
          </cell>
          <cell r="AJ10">
            <v>20</v>
          </cell>
          <cell r="AK10">
            <v>54</v>
          </cell>
          <cell r="AL10">
            <v>92</v>
          </cell>
          <cell r="AM10">
            <v>0</v>
          </cell>
          <cell r="AN10">
            <v>5</v>
          </cell>
          <cell r="AO10">
            <v>20</v>
          </cell>
          <cell r="AP10">
            <v>20</v>
          </cell>
          <cell r="AQ10">
            <v>57</v>
          </cell>
          <cell r="AR10">
            <v>97</v>
          </cell>
          <cell r="AS10">
            <v>0</v>
          </cell>
          <cell r="AT10">
            <v>5</v>
          </cell>
          <cell r="AU10">
            <v>18</v>
          </cell>
          <cell r="AV10">
            <v>20</v>
          </cell>
          <cell r="AW10">
            <v>56</v>
          </cell>
          <cell r="AX10">
            <v>94</v>
          </cell>
          <cell r="AY10">
            <v>0</v>
          </cell>
          <cell r="AZ10">
            <v>5</v>
          </cell>
          <cell r="BA10">
            <v>10</v>
          </cell>
          <cell r="BB10">
            <v>10</v>
          </cell>
          <cell r="BC10">
            <v>47</v>
          </cell>
          <cell r="BD10">
            <v>28.2</v>
          </cell>
          <cell r="BE10">
            <v>48.2</v>
          </cell>
          <cell r="BF10">
            <v>0</v>
          </cell>
          <cell r="BG10">
            <v>5</v>
          </cell>
          <cell r="BH10">
            <v>35</v>
          </cell>
          <cell r="BI10">
            <v>5</v>
          </cell>
          <cell r="BJ10" t="str">
            <v>BEST</v>
          </cell>
          <cell r="BK10">
            <v>690.7</v>
          </cell>
          <cell r="BL10">
            <v>15</v>
          </cell>
          <cell r="BM10">
            <v>65</v>
          </cell>
          <cell r="BN10">
            <v>614</v>
          </cell>
          <cell r="BO10">
            <v>709.9</v>
          </cell>
          <cell r="BP10">
            <v>690.7</v>
          </cell>
          <cell r="BQ10">
            <v>671.53333333333342</v>
          </cell>
          <cell r="BR10" t="e">
            <v>#REF!</v>
          </cell>
          <cell r="BS10">
            <v>13</v>
          </cell>
        </row>
        <row r="11">
          <cell r="E11" t="str">
            <v xml:space="preserve">TASLIMA BEGUM </v>
          </cell>
          <cell r="F11">
            <v>20</v>
          </cell>
          <cell r="G11">
            <v>20</v>
          </cell>
          <cell r="H11">
            <v>60</v>
          </cell>
          <cell r="I11">
            <v>100</v>
          </cell>
          <cell r="J11">
            <v>10</v>
          </cell>
          <cell r="K11">
            <v>8</v>
          </cell>
          <cell r="L11">
            <v>30</v>
          </cell>
          <cell r="M11">
            <v>48</v>
          </cell>
          <cell r="N11">
            <v>148</v>
          </cell>
          <cell r="O11">
            <v>0</v>
          </cell>
          <cell r="P11">
            <v>5</v>
          </cell>
          <cell r="Q11">
            <v>20</v>
          </cell>
          <cell r="R11">
            <v>20</v>
          </cell>
          <cell r="S11">
            <v>51</v>
          </cell>
          <cell r="T11">
            <v>91</v>
          </cell>
          <cell r="U11">
            <v>8</v>
          </cell>
          <cell r="V11">
            <v>10</v>
          </cell>
          <cell r="W11">
            <v>37</v>
          </cell>
          <cell r="X11">
            <v>18.5</v>
          </cell>
          <cell r="Y11">
            <v>36.5</v>
          </cell>
          <cell r="Z11">
            <v>127.5</v>
          </cell>
          <cell r="AA11">
            <v>0</v>
          </cell>
          <cell r="AB11">
            <v>5</v>
          </cell>
          <cell r="AC11">
            <v>16</v>
          </cell>
          <cell r="AD11">
            <v>20</v>
          </cell>
          <cell r="AE11">
            <v>60</v>
          </cell>
          <cell r="AF11">
            <v>96</v>
          </cell>
          <cell r="AG11">
            <v>0</v>
          </cell>
          <cell r="AH11">
            <v>5</v>
          </cell>
          <cell r="AI11">
            <v>19</v>
          </cell>
          <cell r="AJ11">
            <v>20</v>
          </cell>
          <cell r="AK11">
            <v>56</v>
          </cell>
          <cell r="AL11">
            <v>95</v>
          </cell>
          <cell r="AM11">
            <v>0</v>
          </cell>
          <cell r="AN11">
            <v>5</v>
          </cell>
          <cell r="AO11">
            <v>20</v>
          </cell>
          <cell r="AP11">
            <v>20</v>
          </cell>
          <cell r="AQ11">
            <v>54</v>
          </cell>
          <cell r="AR11">
            <v>94</v>
          </cell>
          <cell r="AS11">
            <v>0</v>
          </cell>
          <cell r="AT11">
            <v>5</v>
          </cell>
          <cell r="AU11">
            <v>20</v>
          </cell>
          <cell r="AV11">
            <v>20</v>
          </cell>
          <cell r="AW11">
            <v>60</v>
          </cell>
          <cell r="AX11">
            <v>100</v>
          </cell>
          <cell r="AY11">
            <v>0</v>
          </cell>
          <cell r="AZ11">
            <v>5</v>
          </cell>
          <cell r="BA11">
            <v>10</v>
          </cell>
          <cell r="BB11">
            <v>10</v>
          </cell>
          <cell r="BC11">
            <v>40</v>
          </cell>
          <cell r="BD11">
            <v>24</v>
          </cell>
          <cell r="BE11">
            <v>44</v>
          </cell>
          <cell r="BF11">
            <v>0</v>
          </cell>
          <cell r="BG11">
            <v>5</v>
          </cell>
          <cell r="BH11">
            <v>35</v>
          </cell>
          <cell r="BI11">
            <v>5</v>
          </cell>
          <cell r="BJ11" t="str">
            <v>BEST</v>
          </cell>
          <cell r="BK11">
            <v>704.5</v>
          </cell>
          <cell r="BL11">
            <v>32</v>
          </cell>
          <cell r="BM11">
            <v>56</v>
          </cell>
          <cell r="BN11">
            <v>588</v>
          </cell>
          <cell r="BO11">
            <v>676.4</v>
          </cell>
          <cell r="BP11">
            <v>704.5</v>
          </cell>
          <cell r="BQ11">
            <v>656.30000000000007</v>
          </cell>
          <cell r="BR11" t="e">
            <v>#REF!</v>
          </cell>
          <cell r="BS11">
            <v>17</v>
          </cell>
        </row>
        <row r="12">
          <cell r="E12" t="str">
            <v>SONIA AKHTER</v>
          </cell>
          <cell r="F12">
            <v>20</v>
          </cell>
          <cell r="G12">
            <v>20</v>
          </cell>
          <cell r="H12">
            <v>60</v>
          </cell>
          <cell r="I12">
            <v>100</v>
          </cell>
          <cell r="J12">
            <v>9</v>
          </cell>
          <cell r="K12">
            <v>10</v>
          </cell>
          <cell r="L12">
            <v>30</v>
          </cell>
          <cell r="M12">
            <v>49</v>
          </cell>
          <cell r="N12">
            <v>149</v>
          </cell>
          <cell r="O12">
            <v>0</v>
          </cell>
          <cell r="P12">
            <v>5</v>
          </cell>
          <cell r="Q12">
            <v>18</v>
          </cell>
          <cell r="R12">
            <v>20</v>
          </cell>
          <cell r="S12">
            <v>49</v>
          </cell>
          <cell r="T12">
            <v>87</v>
          </cell>
          <cell r="U12">
            <v>9</v>
          </cell>
          <cell r="V12">
            <v>10</v>
          </cell>
          <cell r="W12">
            <v>34</v>
          </cell>
          <cell r="X12">
            <v>17</v>
          </cell>
          <cell r="Y12">
            <v>36</v>
          </cell>
          <cell r="Z12">
            <v>123</v>
          </cell>
          <cell r="AA12">
            <v>0</v>
          </cell>
          <cell r="AB12">
            <v>5</v>
          </cell>
          <cell r="AC12">
            <v>13</v>
          </cell>
          <cell r="AD12">
            <v>20</v>
          </cell>
          <cell r="AE12">
            <v>60</v>
          </cell>
          <cell r="AF12">
            <v>93</v>
          </cell>
          <cell r="AG12">
            <v>0</v>
          </cell>
          <cell r="AH12">
            <v>5</v>
          </cell>
          <cell r="AI12">
            <v>16</v>
          </cell>
          <cell r="AJ12">
            <v>20</v>
          </cell>
          <cell r="AK12">
            <v>58</v>
          </cell>
          <cell r="AL12">
            <v>94</v>
          </cell>
          <cell r="AM12">
            <v>0</v>
          </cell>
          <cell r="AN12">
            <v>5</v>
          </cell>
          <cell r="AO12">
            <v>20</v>
          </cell>
          <cell r="AP12">
            <v>20</v>
          </cell>
          <cell r="AQ12">
            <v>59</v>
          </cell>
          <cell r="AR12">
            <v>99</v>
          </cell>
          <cell r="AS12">
            <v>0</v>
          </cell>
          <cell r="AT12">
            <v>5</v>
          </cell>
          <cell r="AU12">
            <v>20</v>
          </cell>
          <cell r="AV12">
            <v>20</v>
          </cell>
          <cell r="AW12">
            <v>58</v>
          </cell>
          <cell r="AX12">
            <v>98</v>
          </cell>
          <cell r="AY12">
            <v>0</v>
          </cell>
          <cell r="AZ12">
            <v>5</v>
          </cell>
          <cell r="BA12">
            <v>10</v>
          </cell>
          <cell r="BB12">
            <v>10</v>
          </cell>
          <cell r="BC12">
            <v>49</v>
          </cell>
          <cell r="BD12">
            <v>29.4</v>
          </cell>
          <cell r="BE12">
            <v>49.4</v>
          </cell>
          <cell r="BF12">
            <v>0</v>
          </cell>
          <cell r="BG12">
            <v>5</v>
          </cell>
          <cell r="BH12">
            <v>35</v>
          </cell>
          <cell r="BI12">
            <v>5</v>
          </cell>
          <cell r="BJ12" t="str">
            <v>BEST</v>
          </cell>
          <cell r="BK12">
            <v>705.4</v>
          </cell>
          <cell r="BL12">
            <v>45</v>
          </cell>
          <cell r="BM12">
            <v>61</v>
          </cell>
          <cell r="BN12">
            <v>594</v>
          </cell>
          <cell r="BO12">
            <v>677</v>
          </cell>
          <cell r="BP12">
            <v>705.4</v>
          </cell>
          <cell r="BQ12">
            <v>658.80000000000007</v>
          </cell>
          <cell r="BR12" t="e">
            <v>#REF!</v>
          </cell>
          <cell r="BS12">
            <v>23</v>
          </cell>
        </row>
        <row r="13">
          <cell r="E13" t="str">
            <v>SALINA AKTER</v>
          </cell>
          <cell r="F13">
            <v>20</v>
          </cell>
          <cell r="G13">
            <v>20</v>
          </cell>
          <cell r="H13">
            <v>60</v>
          </cell>
          <cell r="I13">
            <v>100</v>
          </cell>
          <cell r="J13">
            <v>9</v>
          </cell>
          <cell r="K13">
            <v>10</v>
          </cell>
          <cell r="L13">
            <v>30</v>
          </cell>
          <cell r="M13">
            <v>49</v>
          </cell>
          <cell r="N13">
            <v>149</v>
          </cell>
          <cell r="O13">
            <v>0</v>
          </cell>
          <cell r="P13">
            <v>5</v>
          </cell>
          <cell r="Q13">
            <v>19</v>
          </cell>
          <cell r="R13">
            <v>20</v>
          </cell>
          <cell r="S13">
            <v>50</v>
          </cell>
          <cell r="T13">
            <v>89</v>
          </cell>
          <cell r="U13">
            <v>9</v>
          </cell>
          <cell r="V13">
            <v>10</v>
          </cell>
          <cell r="W13">
            <v>46</v>
          </cell>
          <cell r="X13">
            <v>23</v>
          </cell>
          <cell r="Y13">
            <v>42</v>
          </cell>
          <cell r="Z13">
            <v>131</v>
          </cell>
          <cell r="AA13">
            <v>0</v>
          </cell>
          <cell r="AB13">
            <v>5</v>
          </cell>
          <cell r="AC13">
            <v>15</v>
          </cell>
          <cell r="AD13">
            <v>20</v>
          </cell>
          <cell r="AE13">
            <v>59</v>
          </cell>
          <cell r="AF13">
            <v>94</v>
          </cell>
          <cell r="AG13">
            <v>0</v>
          </cell>
          <cell r="AH13">
            <v>5</v>
          </cell>
          <cell r="AI13">
            <v>20</v>
          </cell>
          <cell r="AJ13">
            <v>20</v>
          </cell>
          <cell r="AK13">
            <v>47</v>
          </cell>
          <cell r="AL13">
            <v>87</v>
          </cell>
          <cell r="AM13">
            <v>0</v>
          </cell>
          <cell r="AN13">
            <v>5</v>
          </cell>
          <cell r="AO13">
            <v>19</v>
          </cell>
          <cell r="AP13">
            <v>20</v>
          </cell>
          <cell r="AQ13">
            <v>59</v>
          </cell>
          <cell r="AR13">
            <v>98</v>
          </cell>
          <cell r="AS13">
            <v>0</v>
          </cell>
          <cell r="AT13">
            <v>5</v>
          </cell>
          <cell r="AU13">
            <v>19</v>
          </cell>
          <cell r="AV13">
            <v>20</v>
          </cell>
          <cell r="AW13">
            <v>58</v>
          </cell>
          <cell r="AX13">
            <v>97</v>
          </cell>
          <cell r="AY13">
            <v>0</v>
          </cell>
          <cell r="AZ13">
            <v>5</v>
          </cell>
          <cell r="BA13">
            <v>10</v>
          </cell>
          <cell r="BB13">
            <v>10</v>
          </cell>
          <cell r="BC13">
            <v>45</v>
          </cell>
          <cell r="BD13">
            <v>27</v>
          </cell>
          <cell r="BE13">
            <v>47</v>
          </cell>
          <cell r="BF13">
            <v>0</v>
          </cell>
          <cell r="BG13">
            <v>5</v>
          </cell>
          <cell r="BH13">
            <v>35</v>
          </cell>
          <cell r="BI13">
            <v>5</v>
          </cell>
          <cell r="BJ13" t="str">
            <v>BEST</v>
          </cell>
          <cell r="BK13">
            <v>703</v>
          </cell>
          <cell r="BL13">
            <v>14</v>
          </cell>
          <cell r="BM13">
            <v>57</v>
          </cell>
          <cell r="BN13">
            <v>614</v>
          </cell>
          <cell r="BO13">
            <v>711.8</v>
          </cell>
          <cell r="BP13">
            <v>703</v>
          </cell>
          <cell r="BQ13">
            <v>676.26666666666665</v>
          </cell>
          <cell r="BR13" t="e">
            <v>#REF!</v>
          </cell>
          <cell r="BS13">
            <v>16</v>
          </cell>
        </row>
        <row r="14">
          <cell r="E14" t="str">
            <v>MOHELA BEGEM</v>
          </cell>
          <cell r="F14">
            <v>19</v>
          </cell>
          <cell r="G14">
            <v>20</v>
          </cell>
          <cell r="H14">
            <v>55</v>
          </cell>
          <cell r="I14">
            <v>94</v>
          </cell>
          <cell r="J14">
            <v>9</v>
          </cell>
          <cell r="K14">
            <v>10</v>
          </cell>
          <cell r="L14">
            <v>29</v>
          </cell>
          <cell r="M14">
            <v>48</v>
          </cell>
          <cell r="N14">
            <v>142</v>
          </cell>
          <cell r="O14">
            <v>0</v>
          </cell>
          <cell r="P14">
            <v>5</v>
          </cell>
          <cell r="Q14">
            <v>18</v>
          </cell>
          <cell r="R14">
            <v>20</v>
          </cell>
          <cell r="S14">
            <v>41</v>
          </cell>
          <cell r="T14">
            <v>79</v>
          </cell>
          <cell r="U14">
            <v>9</v>
          </cell>
          <cell r="V14">
            <v>10</v>
          </cell>
          <cell r="W14">
            <v>44</v>
          </cell>
          <cell r="X14">
            <v>22</v>
          </cell>
          <cell r="Y14">
            <v>41</v>
          </cell>
          <cell r="Z14">
            <v>120</v>
          </cell>
          <cell r="AA14">
            <v>0</v>
          </cell>
          <cell r="AB14">
            <v>5</v>
          </cell>
          <cell r="AC14">
            <v>16</v>
          </cell>
          <cell r="AD14">
            <v>20</v>
          </cell>
          <cell r="AE14">
            <v>57</v>
          </cell>
          <cell r="AF14">
            <v>93</v>
          </cell>
          <cell r="AG14">
            <v>0</v>
          </cell>
          <cell r="AH14">
            <v>5</v>
          </cell>
          <cell r="AI14">
            <v>16</v>
          </cell>
          <cell r="AJ14">
            <v>20</v>
          </cell>
          <cell r="AK14">
            <v>46</v>
          </cell>
          <cell r="AL14">
            <v>82</v>
          </cell>
          <cell r="AM14">
            <v>0</v>
          </cell>
          <cell r="AN14">
            <v>5</v>
          </cell>
          <cell r="AO14">
            <v>20</v>
          </cell>
          <cell r="AP14">
            <v>20</v>
          </cell>
          <cell r="AQ14">
            <v>50</v>
          </cell>
          <cell r="AR14">
            <v>90</v>
          </cell>
          <cell r="AS14">
            <v>0</v>
          </cell>
          <cell r="AT14">
            <v>5</v>
          </cell>
          <cell r="AU14">
            <v>18</v>
          </cell>
          <cell r="AV14">
            <v>20</v>
          </cell>
          <cell r="AW14">
            <v>56</v>
          </cell>
          <cell r="AX14">
            <v>94</v>
          </cell>
          <cell r="AY14">
            <v>0</v>
          </cell>
          <cell r="AZ14">
            <v>5</v>
          </cell>
          <cell r="BA14">
            <v>10</v>
          </cell>
          <cell r="BB14">
            <v>10</v>
          </cell>
          <cell r="BC14">
            <v>43</v>
          </cell>
          <cell r="BD14">
            <v>25.8</v>
          </cell>
          <cell r="BE14">
            <v>45.8</v>
          </cell>
          <cell r="BF14">
            <v>0</v>
          </cell>
          <cell r="BG14">
            <v>5</v>
          </cell>
          <cell r="BH14">
            <v>35</v>
          </cell>
          <cell r="BI14">
            <v>5</v>
          </cell>
          <cell r="BJ14" t="str">
            <v>BEST</v>
          </cell>
          <cell r="BK14">
            <v>666.8</v>
          </cell>
          <cell r="BL14">
            <v>43</v>
          </cell>
          <cell r="BM14">
            <v>62</v>
          </cell>
          <cell r="BN14">
            <v>569</v>
          </cell>
          <cell r="BO14">
            <v>678.2</v>
          </cell>
          <cell r="BP14">
            <v>666.8</v>
          </cell>
          <cell r="BQ14">
            <v>638</v>
          </cell>
          <cell r="BR14" t="e">
            <v>#REF!</v>
          </cell>
          <cell r="BS14">
            <v>29</v>
          </cell>
        </row>
        <row r="15">
          <cell r="E15" t="str">
            <v>REKHA BEGUIM</v>
          </cell>
          <cell r="F15">
            <v>20</v>
          </cell>
          <cell r="G15">
            <v>20</v>
          </cell>
          <cell r="H15">
            <v>59</v>
          </cell>
          <cell r="I15">
            <v>99</v>
          </cell>
          <cell r="J15">
            <v>9</v>
          </cell>
          <cell r="K15">
            <v>10</v>
          </cell>
          <cell r="L15">
            <v>29</v>
          </cell>
          <cell r="M15">
            <v>48</v>
          </cell>
          <cell r="N15">
            <v>147</v>
          </cell>
          <cell r="O15">
            <v>0</v>
          </cell>
          <cell r="P15">
            <v>5</v>
          </cell>
          <cell r="Q15">
            <v>20</v>
          </cell>
          <cell r="R15">
            <v>20</v>
          </cell>
          <cell r="S15">
            <v>54</v>
          </cell>
          <cell r="T15">
            <v>94</v>
          </cell>
          <cell r="U15">
            <v>9</v>
          </cell>
          <cell r="V15">
            <v>10</v>
          </cell>
          <cell r="W15">
            <v>48</v>
          </cell>
          <cell r="X15">
            <v>24</v>
          </cell>
          <cell r="Y15">
            <v>43</v>
          </cell>
          <cell r="Z15">
            <v>137</v>
          </cell>
          <cell r="AA15">
            <v>0</v>
          </cell>
          <cell r="AB15">
            <v>5</v>
          </cell>
          <cell r="AC15">
            <v>19</v>
          </cell>
          <cell r="AD15">
            <v>20</v>
          </cell>
          <cell r="AE15">
            <v>58</v>
          </cell>
          <cell r="AF15">
            <v>97</v>
          </cell>
          <cell r="AG15">
            <v>0</v>
          </cell>
          <cell r="AH15">
            <v>5</v>
          </cell>
          <cell r="AI15">
            <v>16</v>
          </cell>
          <cell r="AJ15">
            <v>20</v>
          </cell>
          <cell r="AK15">
            <v>54</v>
          </cell>
          <cell r="AL15">
            <v>90</v>
          </cell>
          <cell r="AM15">
            <v>0</v>
          </cell>
          <cell r="AN15">
            <v>5</v>
          </cell>
          <cell r="AO15">
            <v>20</v>
          </cell>
          <cell r="AP15">
            <v>20</v>
          </cell>
          <cell r="AQ15">
            <v>56</v>
          </cell>
          <cell r="AR15">
            <v>96</v>
          </cell>
          <cell r="AS15">
            <v>0</v>
          </cell>
          <cell r="AT15">
            <v>5</v>
          </cell>
          <cell r="AU15">
            <v>18</v>
          </cell>
          <cell r="AV15">
            <v>20</v>
          </cell>
          <cell r="AW15">
            <v>57</v>
          </cell>
          <cell r="AX15">
            <v>95</v>
          </cell>
          <cell r="AY15">
            <v>0</v>
          </cell>
          <cell r="AZ15">
            <v>5</v>
          </cell>
          <cell r="BA15">
            <v>10</v>
          </cell>
          <cell r="BB15">
            <v>10</v>
          </cell>
          <cell r="BC15">
            <v>48</v>
          </cell>
          <cell r="BD15">
            <v>28.799999999999997</v>
          </cell>
          <cell r="BE15">
            <v>48.8</v>
          </cell>
          <cell r="BF15">
            <v>0</v>
          </cell>
          <cell r="BG15">
            <v>5</v>
          </cell>
          <cell r="BH15">
            <v>35</v>
          </cell>
          <cell r="BI15">
            <v>5</v>
          </cell>
          <cell r="BJ15" t="str">
            <v>BEST</v>
          </cell>
          <cell r="BK15">
            <v>710.8</v>
          </cell>
          <cell r="BL15">
            <v>12</v>
          </cell>
          <cell r="BM15">
            <v>59</v>
          </cell>
          <cell r="BN15">
            <v>622</v>
          </cell>
          <cell r="BO15">
            <v>712.8</v>
          </cell>
          <cell r="BP15">
            <v>710.8</v>
          </cell>
          <cell r="BQ15">
            <v>681.86666666666667</v>
          </cell>
          <cell r="BR15" t="e">
            <v>#REF!</v>
          </cell>
          <cell r="BS15">
            <v>12</v>
          </cell>
        </row>
        <row r="16">
          <cell r="E16" t="str">
            <v>YESMINN AKTER</v>
          </cell>
          <cell r="F16">
            <v>20</v>
          </cell>
          <cell r="G16">
            <v>20</v>
          </cell>
          <cell r="H16">
            <v>60</v>
          </cell>
          <cell r="I16">
            <v>100</v>
          </cell>
          <cell r="J16">
            <v>10</v>
          </cell>
          <cell r="K16">
            <v>10</v>
          </cell>
          <cell r="L16">
            <v>29</v>
          </cell>
          <cell r="M16">
            <v>49</v>
          </cell>
          <cell r="N16">
            <v>149</v>
          </cell>
          <cell r="O16">
            <v>0</v>
          </cell>
          <cell r="P16">
            <v>5</v>
          </cell>
          <cell r="Q16">
            <v>19</v>
          </cell>
          <cell r="R16">
            <v>19</v>
          </cell>
          <cell r="S16">
            <v>44</v>
          </cell>
          <cell r="T16">
            <v>82</v>
          </cell>
          <cell r="U16">
            <v>9</v>
          </cell>
          <cell r="V16">
            <v>10</v>
          </cell>
          <cell r="W16">
            <v>41</v>
          </cell>
          <cell r="X16">
            <v>20.5</v>
          </cell>
          <cell r="Y16">
            <v>39.5</v>
          </cell>
          <cell r="Z16">
            <v>121.5</v>
          </cell>
          <cell r="AA16">
            <v>0</v>
          </cell>
          <cell r="AB16">
            <v>5</v>
          </cell>
          <cell r="AC16">
            <v>16</v>
          </cell>
          <cell r="AD16">
            <v>20</v>
          </cell>
          <cell r="AE16">
            <v>55</v>
          </cell>
          <cell r="AF16">
            <v>91</v>
          </cell>
          <cell r="AG16">
            <v>0</v>
          </cell>
          <cell r="AH16">
            <v>5</v>
          </cell>
          <cell r="AI16">
            <v>13</v>
          </cell>
          <cell r="AJ16">
            <v>20</v>
          </cell>
          <cell r="AK16">
            <v>53</v>
          </cell>
          <cell r="AL16">
            <v>86</v>
          </cell>
          <cell r="AM16">
            <v>0</v>
          </cell>
          <cell r="AN16">
            <v>5</v>
          </cell>
          <cell r="AO16">
            <v>19</v>
          </cell>
          <cell r="AP16">
            <v>20</v>
          </cell>
          <cell r="AQ16">
            <v>59</v>
          </cell>
          <cell r="AR16">
            <v>98</v>
          </cell>
          <cell r="AS16">
            <v>0</v>
          </cell>
          <cell r="AT16">
            <v>5</v>
          </cell>
          <cell r="AU16">
            <v>17</v>
          </cell>
          <cell r="AV16">
            <v>20</v>
          </cell>
          <cell r="AW16">
            <v>52</v>
          </cell>
          <cell r="AX16">
            <v>89</v>
          </cell>
          <cell r="AY16">
            <v>0</v>
          </cell>
          <cell r="AZ16">
            <v>5</v>
          </cell>
          <cell r="BA16">
            <v>9</v>
          </cell>
          <cell r="BB16">
            <v>10</v>
          </cell>
          <cell r="BC16">
            <v>34</v>
          </cell>
          <cell r="BD16">
            <v>20.399999999999999</v>
          </cell>
          <cell r="BE16">
            <v>39.4</v>
          </cell>
          <cell r="BF16">
            <v>0</v>
          </cell>
          <cell r="BG16">
            <v>4</v>
          </cell>
          <cell r="BH16">
            <v>34</v>
          </cell>
          <cell r="BI16">
            <v>4.8571428571428568</v>
          </cell>
          <cell r="BJ16" t="str">
            <v>BETTER</v>
          </cell>
          <cell r="BK16">
            <v>673.9</v>
          </cell>
          <cell r="BL16">
            <v>29</v>
          </cell>
          <cell r="BM16">
            <v>62</v>
          </cell>
          <cell r="BN16">
            <v>626</v>
          </cell>
          <cell r="BO16">
            <v>681.4</v>
          </cell>
          <cell r="BP16">
            <v>673.9</v>
          </cell>
          <cell r="BQ16">
            <v>660.43333333333339</v>
          </cell>
          <cell r="BR16" t="e">
            <v>#REF!</v>
          </cell>
          <cell r="BS16">
            <v>15</v>
          </cell>
        </row>
        <row r="17">
          <cell r="E17" t="str">
            <v>RUMA YESMIN</v>
          </cell>
          <cell r="F17">
            <v>18</v>
          </cell>
          <cell r="G17">
            <v>20</v>
          </cell>
          <cell r="H17">
            <v>59</v>
          </cell>
          <cell r="I17">
            <v>97</v>
          </cell>
          <cell r="J17">
            <v>8</v>
          </cell>
          <cell r="K17">
            <v>10</v>
          </cell>
          <cell r="L17">
            <v>29</v>
          </cell>
          <cell r="M17">
            <v>47</v>
          </cell>
          <cell r="N17">
            <v>144</v>
          </cell>
          <cell r="O17">
            <v>0</v>
          </cell>
          <cell r="P17">
            <v>5</v>
          </cell>
          <cell r="Q17">
            <v>19</v>
          </cell>
          <cell r="R17">
            <v>20</v>
          </cell>
          <cell r="S17">
            <v>53</v>
          </cell>
          <cell r="T17">
            <v>92</v>
          </cell>
          <cell r="U17">
            <v>10</v>
          </cell>
          <cell r="V17">
            <v>10</v>
          </cell>
          <cell r="W17">
            <v>54</v>
          </cell>
          <cell r="X17">
            <v>27</v>
          </cell>
          <cell r="Y17">
            <v>47</v>
          </cell>
          <cell r="Z17">
            <v>139</v>
          </cell>
          <cell r="AA17">
            <v>0</v>
          </cell>
          <cell r="AB17">
            <v>5</v>
          </cell>
          <cell r="AC17">
            <v>19</v>
          </cell>
          <cell r="AD17">
            <v>20</v>
          </cell>
          <cell r="AE17">
            <v>60</v>
          </cell>
          <cell r="AF17">
            <v>99</v>
          </cell>
          <cell r="AG17">
            <v>0</v>
          </cell>
          <cell r="AH17">
            <v>5</v>
          </cell>
          <cell r="AI17">
            <v>16</v>
          </cell>
          <cell r="AJ17">
            <v>20</v>
          </cell>
          <cell r="AK17">
            <v>32</v>
          </cell>
          <cell r="AL17">
            <v>68</v>
          </cell>
          <cell r="AM17">
            <v>0</v>
          </cell>
          <cell r="AN17">
            <v>3.5</v>
          </cell>
          <cell r="AO17">
            <v>20</v>
          </cell>
          <cell r="AP17">
            <v>20</v>
          </cell>
          <cell r="AQ17">
            <v>58</v>
          </cell>
          <cell r="AR17">
            <v>98</v>
          </cell>
          <cell r="AS17">
            <v>0</v>
          </cell>
          <cell r="AT17">
            <v>5</v>
          </cell>
          <cell r="AU17">
            <v>18</v>
          </cell>
          <cell r="AV17">
            <v>20</v>
          </cell>
          <cell r="AW17">
            <v>51</v>
          </cell>
          <cell r="AX17">
            <v>89</v>
          </cell>
          <cell r="AY17">
            <v>0</v>
          </cell>
          <cell r="AZ17">
            <v>5</v>
          </cell>
          <cell r="BA17">
            <v>10</v>
          </cell>
          <cell r="BB17">
            <v>10</v>
          </cell>
          <cell r="BC17">
            <v>49</v>
          </cell>
          <cell r="BD17">
            <v>29.4</v>
          </cell>
          <cell r="BE17">
            <v>49.4</v>
          </cell>
          <cell r="BF17">
            <v>0</v>
          </cell>
          <cell r="BG17">
            <v>5</v>
          </cell>
          <cell r="BH17">
            <v>33.5</v>
          </cell>
          <cell r="BI17">
            <v>4.7857142857142856</v>
          </cell>
          <cell r="BJ17" t="str">
            <v>BETTER</v>
          </cell>
          <cell r="BK17">
            <v>686.4</v>
          </cell>
          <cell r="BL17">
            <v>50</v>
          </cell>
          <cell r="BM17">
            <v>57</v>
          </cell>
          <cell r="BN17">
            <v>560</v>
          </cell>
          <cell r="BO17">
            <v>667.5</v>
          </cell>
          <cell r="BP17">
            <v>686.4</v>
          </cell>
          <cell r="BQ17">
            <v>637.9666666666667</v>
          </cell>
          <cell r="BR17" t="e">
            <v>#REF!</v>
          </cell>
          <cell r="BS17">
            <v>39</v>
          </cell>
        </row>
        <row r="18">
          <cell r="E18" t="str">
            <v>SUMONA AKTAR</v>
          </cell>
          <cell r="F18">
            <v>19</v>
          </cell>
          <cell r="G18">
            <v>20</v>
          </cell>
          <cell r="H18">
            <v>59</v>
          </cell>
          <cell r="I18">
            <v>98</v>
          </cell>
          <cell r="J18">
            <v>10</v>
          </cell>
          <cell r="K18">
            <v>10</v>
          </cell>
          <cell r="L18">
            <v>30</v>
          </cell>
          <cell r="M18">
            <v>50</v>
          </cell>
          <cell r="N18">
            <v>148</v>
          </cell>
          <cell r="O18">
            <v>0</v>
          </cell>
          <cell r="P18">
            <v>5</v>
          </cell>
          <cell r="Q18">
            <v>15</v>
          </cell>
          <cell r="R18">
            <v>19</v>
          </cell>
          <cell r="S18">
            <v>48</v>
          </cell>
          <cell r="T18">
            <v>82</v>
          </cell>
          <cell r="U18">
            <v>8</v>
          </cell>
          <cell r="V18">
            <v>10</v>
          </cell>
          <cell r="W18">
            <v>40</v>
          </cell>
          <cell r="X18">
            <v>20</v>
          </cell>
          <cell r="Y18">
            <v>38</v>
          </cell>
          <cell r="Z18">
            <v>120</v>
          </cell>
          <cell r="AA18">
            <v>0</v>
          </cell>
          <cell r="AB18">
            <v>5</v>
          </cell>
          <cell r="AC18">
            <v>19</v>
          </cell>
          <cell r="AD18">
            <v>20</v>
          </cell>
          <cell r="AE18">
            <v>59</v>
          </cell>
          <cell r="AF18">
            <v>98</v>
          </cell>
          <cell r="AG18">
            <v>0</v>
          </cell>
          <cell r="AH18">
            <v>5</v>
          </cell>
          <cell r="AI18">
            <v>16</v>
          </cell>
          <cell r="AJ18">
            <v>20</v>
          </cell>
          <cell r="AK18">
            <v>54</v>
          </cell>
          <cell r="AL18">
            <v>90</v>
          </cell>
          <cell r="AM18">
            <v>0</v>
          </cell>
          <cell r="AN18">
            <v>5</v>
          </cell>
          <cell r="AO18">
            <v>19</v>
          </cell>
          <cell r="AP18">
            <v>20</v>
          </cell>
          <cell r="AQ18">
            <v>58</v>
          </cell>
          <cell r="AR18">
            <v>97</v>
          </cell>
          <cell r="AS18">
            <v>0</v>
          </cell>
          <cell r="AT18">
            <v>5</v>
          </cell>
          <cell r="AU18">
            <v>19</v>
          </cell>
          <cell r="AV18">
            <v>20</v>
          </cell>
          <cell r="AW18">
            <v>57</v>
          </cell>
          <cell r="AX18">
            <v>96</v>
          </cell>
          <cell r="AY18">
            <v>0</v>
          </cell>
          <cell r="AZ18">
            <v>5</v>
          </cell>
          <cell r="BA18">
            <v>10</v>
          </cell>
          <cell r="BB18">
            <v>10</v>
          </cell>
          <cell r="BC18">
            <v>48</v>
          </cell>
          <cell r="BD18">
            <v>28.799999999999997</v>
          </cell>
          <cell r="BE18">
            <v>48.8</v>
          </cell>
          <cell r="BF18">
            <v>0</v>
          </cell>
          <cell r="BG18">
            <v>5</v>
          </cell>
          <cell r="BH18">
            <v>35</v>
          </cell>
          <cell r="BI18">
            <v>5</v>
          </cell>
          <cell r="BJ18" t="str">
            <v>BEST</v>
          </cell>
          <cell r="BK18">
            <v>697.8</v>
          </cell>
          <cell r="BL18">
            <v>17</v>
          </cell>
          <cell r="BM18">
            <v>63</v>
          </cell>
          <cell r="BN18">
            <v>596</v>
          </cell>
          <cell r="BO18">
            <v>706.8</v>
          </cell>
          <cell r="BP18">
            <v>697.8</v>
          </cell>
          <cell r="BQ18">
            <v>666.86666666666667</v>
          </cell>
          <cell r="BR18" t="e">
            <v>#REF!</v>
          </cell>
          <cell r="BS18">
            <v>14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 t="e">
            <v>#REF!</v>
          </cell>
          <cell r="BS19">
            <v>0</v>
          </cell>
        </row>
        <row r="20">
          <cell r="E20" t="str">
            <v>SABIKUN NAHAR</v>
          </cell>
          <cell r="F20">
            <v>20</v>
          </cell>
          <cell r="G20">
            <v>20</v>
          </cell>
          <cell r="H20">
            <v>59</v>
          </cell>
          <cell r="I20">
            <v>99</v>
          </cell>
          <cell r="J20">
            <v>9</v>
          </cell>
          <cell r="K20">
            <v>10</v>
          </cell>
          <cell r="L20">
            <v>28</v>
          </cell>
          <cell r="M20">
            <v>47</v>
          </cell>
          <cell r="N20">
            <v>146</v>
          </cell>
          <cell r="O20">
            <v>0</v>
          </cell>
          <cell r="P20">
            <v>5</v>
          </cell>
          <cell r="Q20">
            <v>20</v>
          </cell>
          <cell r="R20">
            <v>20</v>
          </cell>
          <cell r="S20">
            <v>55</v>
          </cell>
          <cell r="T20">
            <v>95</v>
          </cell>
          <cell r="U20">
            <v>8</v>
          </cell>
          <cell r="V20">
            <v>10</v>
          </cell>
          <cell r="W20">
            <v>46</v>
          </cell>
          <cell r="X20">
            <v>23</v>
          </cell>
          <cell r="Y20">
            <v>41</v>
          </cell>
          <cell r="Z20">
            <v>136</v>
          </cell>
          <cell r="AA20">
            <v>0</v>
          </cell>
          <cell r="AB20">
            <v>5</v>
          </cell>
          <cell r="AC20">
            <v>18</v>
          </cell>
          <cell r="AD20">
            <v>20</v>
          </cell>
          <cell r="AE20">
            <v>60</v>
          </cell>
          <cell r="AF20">
            <v>98</v>
          </cell>
          <cell r="AG20">
            <v>0</v>
          </cell>
          <cell r="AH20">
            <v>5</v>
          </cell>
          <cell r="AI20">
            <v>16</v>
          </cell>
          <cell r="AJ20">
            <v>20</v>
          </cell>
          <cell r="AK20">
            <v>37</v>
          </cell>
          <cell r="AL20">
            <v>73</v>
          </cell>
          <cell r="AM20">
            <v>0</v>
          </cell>
          <cell r="AN20">
            <v>4</v>
          </cell>
          <cell r="AO20">
            <v>20</v>
          </cell>
          <cell r="AP20">
            <v>20</v>
          </cell>
          <cell r="AQ20">
            <v>50</v>
          </cell>
          <cell r="AR20">
            <v>90</v>
          </cell>
          <cell r="AS20">
            <v>0</v>
          </cell>
          <cell r="AT20">
            <v>5</v>
          </cell>
          <cell r="AU20">
            <v>20</v>
          </cell>
          <cell r="AV20">
            <v>20</v>
          </cell>
          <cell r="AW20">
            <v>58</v>
          </cell>
          <cell r="AX20">
            <v>98</v>
          </cell>
          <cell r="AY20">
            <v>0</v>
          </cell>
          <cell r="AZ20">
            <v>5</v>
          </cell>
          <cell r="BA20">
            <v>10</v>
          </cell>
          <cell r="BB20">
            <v>10</v>
          </cell>
          <cell r="BC20">
            <v>45</v>
          </cell>
          <cell r="BD20">
            <v>27</v>
          </cell>
          <cell r="BE20">
            <v>47</v>
          </cell>
          <cell r="BF20">
            <v>0</v>
          </cell>
          <cell r="BG20">
            <v>5</v>
          </cell>
          <cell r="BH20">
            <v>34</v>
          </cell>
          <cell r="BI20">
            <v>4.8571428571428568</v>
          </cell>
          <cell r="BJ20" t="str">
            <v>BETTER</v>
          </cell>
          <cell r="BK20">
            <v>688</v>
          </cell>
          <cell r="BL20">
            <v>53</v>
          </cell>
          <cell r="BM20">
            <v>55</v>
          </cell>
          <cell r="BN20">
            <v>606</v>
          </cell>
          <cell r="BO20">
            <v>653.70000000000005</v>
          </cell>
          <cell r="BP20">
            <v>688</v>
          </cell>
          <cell r="BQ20">
            <v>649.23333333333335</v>
          </cell>
          <cell r="BR20" t="e">
            <v>#REF!</v>
          </cell>
          <cell r="BS20">
            <v>18</v>
          </cell>
        </row>
        <row r="21">
          <cell r="E21" t="str">
            <v>POPY AKTER</v>
          </cell>
          <cell r="F21">
            <v>20</v>
          </cell>
          <cell r="G21">
            <v>20</v>
          </cell>
          <cell r="H21">
            <v>54</v>
          </cell>
          <cell r="I21">
            <v>94</v>
          </cell>
          <cell r="J21">
            <v>10</v>
          </cell>
          <cell r="K21">
            <v>7</v>
          </cell>
          <cell r="L21">
            <v>27</v>
          </cell>
          <cell r="M21">
            <v>44</v>
          </cell>
          <cell r="N21">
            <v>138</v>
          </cell>
          <cell r="O21">
            <v>0</v>
          </cell>
          <cell r="P21">
            <v>5</v>
          </cell>
          <cell r="Q21">
            <v>16</v>
          </cell>
          <cell r="R21">
            <v>19</v>
          </cell>
          <cell r="S21">
            <v>28</v>
          </cell>
          <cell r="T21">
            <v>63</v>
          </cell>
          <cell r="U21">
            <v>8</v>
          </cell>
          <cell r="V21">
            <v>10</v>
          </cell>
          <cell r="W21">
            <v>44</v>
          </cell>
          <cell r="X21">
            <v>22</v>
          </cell>
          <cell r="Y21">
            <v>40</v>
          </cell>
          <cell r="Z21">
            <v>103</v>
          </cell>
          <cell r="AA21">
            <v>0</v>
          </cell>
          <cell r="AB21">
            <v>3.5</v>
          </cell>
          <cell r="AC21">
            <v>16</v>
          </cell>
          <cell r="AD21">
            <v>20</v>
          </cell>
          <cell r="AE21">
            <v>58</v>
          </cell>
          <cell r="AF21">
            <v>94</v>
          </cell>
          <cell r="AG21">
            <v>0</v>
          </cell>
          <cell r="AH21">
            <v>5</v>
          </cell>
          <cell r="AI21">
            <v>16</v>
          </cell>
          <cell r="AJ21">
            <v>20</v>
          </cell>
          <cell r="AK21">
            <v>52</v>
          </cell>
          <cell r="AL21">
            <v>88</v>
          </cell>
          <cell r="AM21">
            <v>0</v>
          </cell>
          <cell r="AN21">
            <v>5</v>
          </cell>
          <cell r="AO21">
            <v>19</v>
          </cell>
          <cell r="AP21">
            <v>20</v>
          </cell>
          <cell r="AQ21">
            <v>57</v>
          </cell>
          <cell r="AR21">
            <v>96</v>
          </cell>
          <cell r="AS21">
            <v>0</v>
          </cell>
          <cell r="AT21">
            <v>5</v>
          </cell>
          <cell r="AU21">
            <v>16</v>
          </cell>
          <cell r="AV21">
            <v>20</v>
          </cell>
          <cell r="AW21">
            <v>50</v>
          </cell>
          <cell r="AX21">
            <v>86</v>
          </cell>
          <cell r="AY21">
            <v>0</v>
          </cell>
          <cell r="AZ21">
            <v>5</v>
          </cell>
          <cell r="BA21">
            <v>10</v>
          </cell>
          <cell r="BB21">
            <v>10</v>
          </cell>
          <cell r="BC21">
            <v>40</v>
          </cell>
          <cell r="BD21">
            <v>24</v>
          </cell>
          <cell r="BE21">
            <v>44</v>
          </cell>
          <cell r="BF21">
            <v>0</v>
          </cell>
          <cell r="BG21">
            <v>5</v>
          </cell>
          <cell r="BH21">
            <v>33.5</v>
          </cell>
          <cell r="BI21">
            <v>4.7857142857142856</v>
          </cell>
          <cell r="BJ21" t="str">
            <v>BETTER</v>
          </cell>
          <cell r="BK21">
            <v>649</v>
          </cell>
          <cell r="BL21">
            <v>20</v>
          </cell>
          <cell r="BM21">
            <v>55</v>
          </cell>
          <cell r="BN21">
            <v>627</v>
          </cell>
          <cell r="BO21">
            <v>699.5</v>
          </cell>
          <cell r="BP21">
            <v>649</v>
          </cell>
          <cell r="BQ21">
            <v>658.5</v>
          </cell>
          <cell r="BR21" t="e">
            <v>#REF!</v>
          </cell>
          <cell r="BS21">
            <v>21</v>
          </cell>
        </row>
        <row r="22">
          <cell r="E22" t="str">
            <v>MAHFUJA KHATUN</v>
          </cell>
          <cell r="F22">
            <v>19</v>
          </cell>
          <cell r="G22">
            <v>20</v>
          </cell>
          <cell r="H22">
            <v>59</v>
          </cell>
          <cell r="I22">
            <v>98</v>
          </cell>
          <cell r="J22">
            <v>10</v>
          </cell>
          <cell r="K22">
            <v>10</v>
          </cell>
          <cell r="L22">
            <v>29</v>
          </cell>
          <cell r="M22">
            <v>49</v>
          </cell>
          <cell r="N22">
            <v>147</v>
          </cell>
          <cell r="O22">
            <v>0</v>
          </cell>
          <cell r="P22">
            <v>5</v>
          </cell>
          <cell r="Q22">
            <v>13</v>
          </cell>
          <cell r="R22">
            <v>19</v>
          </cell>
          <cell r="S22">
            <v>29</v>
          </cell>
          <cell r="T22">
            <v>61</v>
          </cell>
          <cell r="U22">
            <v>8</v>
          </cell>
          <cell r="V22">
            <v>10</v>
          </cell>
          <cell r="W22">
            <v>42</v>
          </cell>
          <cell r="X22">
            <v>21</v>
          </cell>
          <cell r="Y22">
            <v>39</v>
          </cell>
          <cell r="Z22">
            <v>100</v>
          </cell>
          <cell r="AA22">
            <v>0</v>
          </cell>
          <cell r="AB22">
            <v>3.5</v>
          </cell>
          <cell r="AC22">
            <v>14</v>
          </cell>
          <cell r="AD22">
            <v>20</v>
          </cell>
          <cell r="AE22">
            <v>59</v>
          </cell>
          <cell r="AF22">
            <v>93</v>
          </cell>
          <cell r="AG22">
            <v>0</v>
          </cell>
          <cell r="AH22">
            <v>5</v>
          </cell>
          <cell r="AI22">
            <v>15</v>
          </cell>
          <cell r="AJ22">
            <v>20</v>
          </cell>
          <cell r="AK22">
            <v>45</v>
          </cell>
          <cell r="AL22">
            <v>80</v>
          </cell>
          <cell r="AM22">
            <v>0</v>
          </cell>
          <cell r="AN22">
            <v>5</v>
          </cell>
          <cell r="AO22">
            <v>20</v>
          </cell>
          <cell r="AP22">
            <v>20</v>
          </cell>
          <cell r="AQ22">
            <v>50</v>
          </cell>
          <cell r="AR22">
            <v>90</v>
          </cell>
          <cell r="AS22">
            <v>0</v>
          </cell>
          <cell r="AT22">
            <v>5</v>
          </cell>
          <cell r="AU22">
            <v>17</v>
          </cell>
          <cell r="AV22">
            <v>20</v>
          </cell>
          <cell r="AW22">
            <v>57</v>
          </cell>
          <cell r="AX22">
            <v>94</v>
          </cell>
          <cell r="AY22">
            <v>0</v>
          </cell>
          <cell r="AZ22">
            <v>5</v>
          </cell>
          <cell r="BA22">
            <v>9</v>
          </cell>
          <cell r="BB22">
            <v>10</v>
          </cell>
          <cell r="BC22">
            <v>39</v>
          </cell>
          <cell r="BD22">
            <v>23.4</v>
          </cell>
          <cell r="BE22">
            <v>42.4</v>
          </cell>
          <cell r="BF22">
            <v>0</v>
          </cell>
          <cell r="BG22">
            <v>5</v>
          </cell>
          <cell r="BH22">
            <v>33.5</v>
          </cell>
          <cell r="BI22">
            <v>4.7857142857142856</v>
          </cell>
          <cell r="BJ22" t="str">
            <v>BETTER</v>
          </cell>
          <cell r="BK22">
            <v>646.4</v>
          </cell>
          <cell r="BL22">
            <v>40</v>
          </cell>
          <cell r="BM22">
            <v>56</v>
          </cell>
          <cell r="BN22">
            <v>566</v>
          </cell>
          <cell r="BO22">
            <v>681.4</v>
          </cell>
          <cell r="BP22">
            <v>646.4</v>
          </cell>
          <cell r="BQ22">
            <v>631.26666666666677</v>
          </cell>
          <cell r="BR22" t="e">
            <v>#REF!</v>
          </cell>
          <cell r="BS22">
            <v>44</v>
          </cell>
        </row>
        <row r="23">
          <cell r="E23" t="str">
            <v>ALIZA PERVIN</v>
          </cell>
          <cell r="F23">
            <v>20</v>
          </cell>
          <cell r="G23">
            <v>20</v>
          </cell>
          <cell r="H23">
            <v>56</v>
          </cell>
          <cell r="I23">
            <v>96</v>
          </cell>
          <cell r="J23">
            <v>8</v>
          </cell>
          <cell r="K23">
            <v>10</v>
          </cell>
          <cell r="L23">
            <v>30</v>
          </cell>
          <cell r="M23">
            <v>48</v>
          </cell>
          <cell r="N23">
            <v>144</v>
          </cell>
          <cell r="O23">
            <v>0</v>
          </cell>
          <cell r="P23">
            <v>5</v>
          </cell>
          <cell r="Q23">
            <v>18</v>
          </cell>
          <cell r="R23">
            <v>20</v>
          </cell>
          <cell r="S23">
            <v>55</v>
          </cell>
          <cell r="T23">
            <v>93</v>
          </cell>
          <cell r="U23">
            <v>8</v>
          </cell>
          <cell r="V23">
            <v>10</v>
          </cell>
          <cell r="W23">
            <v>43</v>
          </cell>
          <cell r="X23">
            <v>21.5</v>
          </cell>
          <cell r="Y23">
            <v>39.5</v>
          </cell>
          <cell r="Z23">
            <v>132.5</v>
          </cell>
          <cell r="AA23">
            <v>0</v>
          </cell>
          <cell r="AB23">
            <v>5</v>
          </cell>
          <cell r="AC23">
            <v>19</v>
          </cell>
          <cell r="AD23">
            <v>20</v>
          </cell>
          <cell r="AE23">
            <v>59</v>
          </cell>
          <cell r="AF23">
            <v>98</v>
          </cell>
          <cell r="AG23">
            <v>0</v>
          </cell>
          <cell r="AH23">
            <v>5</v>
          </cell>
          <cell r="AI23">
            <v>16</v>
          </cell>
          <cell r="AJ23">
            <v>20</v>
          </cell>
          <cell r="AK23">
            <v>34</v>
          </cell>
          <cell r="AL23">
            <v>70</v>
          </cell>
          <cell r="AM23">
            <v>0</v>
          </cell>
          <cell r="AN23">
            <v>4</v>
          </cell>
          <cell r="AO23">
            <v>19</v>
          </cell>
          <cell r="AP23">
            <v>20</v>
          </cell>
          <cell r="AQ23">
            <v>57</v>
          </cell>
          <cell r="AR23">
            <v>96</v>
          </cell>
          <cell r="AS23">
            <v>0</v>
          </cell>
          <cell r="AT23">
            <v>5</v>
          </cell>
          <cell r="AU23">
            <v>15</v>
          </cell>
          <cell r="AV23">
            <v>20</v>
          </cell>
          <cell r="AW23">
            <v>55</v>
          </cell>
          <cell r="AX23">
            <v>90</v>
          </cell>
          <cell r="AY23">
            <v>0</v>
          </cell>
          <cell r="AZ23">
            <v>5</v>
          </cell>
          <cell r="BA23">
            <v>10</v>
          </cell>
          <cell r="BB23">
            <v>10</v>
          </cell>
          <cell r="BC23">
            <v>46</v>
          </cell>
          <cell r="BD23">
            <v>27.599999999999998</v>
          </cell>
          <cell r="BE23">
            <v>47.599999999999994</v>
          </cell>
          <cell r="BF23">
            <v>0</v>
          </cell>
          <cell r="BG23">
            <v>5</v>
          </cell>
          <cell r="BH23">
            <v>34</v>
          </cell>
          <cell r="BI23">
            <v>4.8571428571428568</v>
          </cell>
          <cell r="BJ23" t="str">
            <v>BETTER</v>
          </cell>
          <cell r="BK23">
            <v>678.1</v>
          </cell>
          <cell r="BL23">
            <v>28</v>
          </cell>
          <cell r="BM23">
            <v>57</v>
          </cell>
          <cell r="BN23">
            <v>597</v>
          </cell>
          <cell r="BO23">
            <v>582</v>
          </cell>
          <cell r="BP23">
            <v>678.1</v>
          </cell>
          <cell r="BQ23">
            <v>619.0333333333333</v>
          </cell>
          <cell r="BR23" t="e">
            <v>#REF!</v>
          </cell>
          <cell r="BS23">
            <v>49</v>
          </cell>
        </row>
        <row r="24">
          <cell r="E24" t="str">
            <v>MOST.SHAMMI AKTER</v>
          </cell>
          <cell r="F24">
            <v>20</v>
          </cell>
          <cell r="G24">
            <v>20</v>
          </cell>
          <cell r="H24">
            <v>59</v>
          </cell>
          <cell r="I24">
            <v>99</v>
          </cell>
          <cell r="J24">
            <v>10</v>
          </cell>
          <cell r="K24">
            <v>10</v>
          </cell>
          <cell r="L24">
            <v>29</v>
          </cell>
          <cell r="M24">
            <v>49</v>
          </cell>
          <cell r="N24">
            <v>148</v>
          </cell>
          <cell r="O24">
            <v>0</v>
          </cell>
          <cell r="P24">
            <v>5</v>
          </cell>
          <cell r="Q24">
            <v>14</v>
          </cell>
          <cell r="R24">
            <v>20</v>
          </cell>
          <cell r="S24">
            <v>51</v>
          </cell>
          <cell r="T24">
            <v>85</v>
          </cell>
          <cell r="U24">
            <v>8</v>
          </cell>
          <cell r="V24">
            <v>10</v>
          </cell>
          <cell r="W24">
            <v>35</v>
          </cell>
          <cell r="X24">
            <v>17.5</v>
          </cell>
          <cell r="Y24">
            <v>35.5</v>
          </cell>
          <cell r="Z24">
            <v>120.5</v>
          </cell>
          <cell r="AA24">
            <v>0</v>
          </cell>
          <cell r="AB24">
            <v>5</v>
          </cell>
          <cell r="AC24">
            <v>19</v>
          </cell>
          <cell r="AD24">
            <v>20</v>
          </cell>
          <cell r="AE24">
            <v>60</v>
          </cell>
          <cell r="AF24">
            <v>99</v>
          </cell>
          <cell r="AG24">
            <v>0</v>
          </cell>
          <cell r="AH24">
            <v>5</v>
          </cell>
          <cell r="AI24">
            <v>19</v>
          </cell>
          <cell r="AJ24">
            <v>20</v>
          </cell>
          <cell r="AK24">
            <v>60</v>
          </cell>
          <cell r="AL24">
            <v>99</v>
          </cell>
          <cell r="AM24">
            <v>0</v>
          </cell>
          <cell r="AN24">
            <v>5</v>
          </cell>
          <cell r="AO24">
            <v>20</v>
          </cell>
          <cell r="AP24">
            <v>20</v>
          </cell>
          <cell r="AQ24">
            <v>60</v>
          </cell>
          <cell r="AR24">
            <v>100</v>
          </cell>
          <cell r="AS24">
            <v>0</v>
          </cell>
          <cell r="AT24">
            <v>5</v>
          </cell>
          <cell r="AU24">
            <v>19</v>
          </cell>
          <cell r="AV24">
            <v>20</v>
          </cell>
          <cell r="AW24">
            <v>59</v>
          </cell>
          <cell r="AX24">
            <v>98</v>
          </cell>
          <cell r="AY24">
            <v>0</v>
          </cell>
          <cell r="AZ24">
            <v>5</v>
          </cell>
          <cell r="BA24">
            <v>8</v>
          </cell>
          <cell r="BB24">
            <v>10</v>
          </cell>
          <cell r="BC24">
            <v>36</v>
          </cell>
          <cell r="BD24">
            <v>21.599999999999998</v>
          </cell>
          <cell r="BE24">
            <v>39.599999999999994</v>
          </cell>
          <cell r="BF24">
            <v>0</v>
          </cell>
          <cell r="BG24">
            <v>4</v>
          </cell>
          <cell r="BH24">
            <v>34</v>
          </cell>
          <cell r="BI24">
            <v>4.8571428571428568</v>
          </cell>
          <cell r="BJ24" t="str">
            <v>BETTER</v>
          </cell>
          <cell r="BK24">
            <v>704.1</v>
          </cell>
          <cell r="BL24">
            <v>41</v>
          </cell>
          <cell r="BM24">
            <v>57</v>
          </cell>
          <cell r="BN24">
            <v>585</v>
          </cell>
          <cell r="BO24">
            <v>679.9</v>
          </cell>
          <cell r="BP24">
            <v>704.1</v>
          </cell>
          <cell r="BQ24">
            <v>656.33333333333337</v>
          </cell>
          <cell r="BR24" t="e">
            <v>#REF!</v>
          </cell>
          <cell r="BS24">
            <v>27</v>
          </cell>
        </row>
        <row r="25">
          <cell r="E25" t="str">
            <v>ISRAT JAHAN MITU</v>
          </cell>
          <cell r="F25">
            <v>20</v>
          </cell>
          <cell r="G25">
            <v>20</v>
          </cell>
          <cell r="H25">
            <v>60</v>
          </cell>
          <cell r="I25">
            <v>100</v>
          </cell>
          <cell r="J25">
            <v>10</v>
          </cell>
          <cell r="K25">
            <v>10</v>
          </cell>
          <cell r="L25">
            <v>29</v>
          </cell>
          <cell r="M25">
            <v>49</v>
          </cell>
          <cell r="N25">
            <v>149</v>
          </cell>
          <cell r="O25">
            <v>0</v>
          </cell>
          <cell r="P25">
            <v>5</v>
          </cell>
          <cell r="Q25">
            <v>20</v>
          </cell>
          <cell r="R25">
            <v>20</v>
          </cell>
          <cell r="S25">
            <v>58</v>
          </cell>
          <cell r="T25">
            <v>98</v>
          </cell>
          <cell r="U25">
            <v>10</v>
          </cell>
          <cell r="V25">
            <v>10</v>
          </cell>
          <cell r="W25">
            <v>54</v>
          </cell>
          <cell r="X25">
            <v>27</v>
          </cell>
          <cell r="Y25">
            <v>47</v>
          </cell>
          <cell r="Z25">
            <v>145</v>
          </cell>
          <cell r="AA25">
            <v>0</v>
          </cell>
          <cell r="AB25">
            <v>5</v>
          </cell>
          <cell r="AC25">
            <v>20</v>
          </cell>
          <cell r="AD25">
            <v>20</v>
          </cell>
          <cell r="AE25">
            <v>60</v>
          </cell>
          <cell r="AF25">
            <v>100</v>
          </cell>
          <cell r="AG25">
            <v>0</v>
          </cell>
          <cell r="AH25">
            <v>5</v>
          </cell>
          <cell r="AI25">
            <v>20</v>
          </cell>
          <cell r="AJ25">
            <v>20</v>
          </cell>
          <cell r="AK25">
            <v>58</v>
          </cell>
          <cell r="AL25">
            <v>98</v>
          </cell>
          <cell r="AM25">
            <v>0</v>
          </cell>
          <cell r="AN25">
            <v>5</v>
          </cell>
          <cell r="AO25">
            <v>20</v>
          </cell>
          <cell r="AP25">
            <v>20</v>
          </cell>
          <cell r="AQ25">
            <v>60</v>
          </cell>
          <cell r="AR25">
            <v>100</v>
          </cell>
          <cell r="AS25">
            <v>0</v>
          </cell>
          <cell r="AT25">
            <v>5</v>
          </cell>
          <cell r="AU25">
            <v>20</v>
          </cell>
          <cell r="AV25">
            <v>20</v>
          </cell>
          <cell r="AW25">
            <v>60</v>
          </cell>
          <cell r="AX25">
            <v>100</v>
          </cell>
          <cell r="AY25">
            <v>0</v>
          </cell>
          <cell r="AZ25">
            <v>5</v>
          </cell>
          <cell r="BA25">
            <v>10</v>
          </cell>
          <cell r="BB25">
            <v>10</v>
          </cell>
          <cell r="BC25">
            <v>48</v>
          </cell>
          <cell r="BD25">
            <v>28.799999999999997</v>
          </cell>
          <cell r="BE25">
            <v>48.8</v>
          </cell>
          <cell r="BF25">
            <v>0</v>
          </cell>
          <cell r="BG25">
            <v>5</v>
          </cell>
          <cell r="BH25">
            <v>35</v>
          </cell>
          <cell r="BI25">
            <v>5</v>
          </cell>
          <cell r="BJ25" t="str">
            <v>BEST</v>
          </cell>
          <cell r="BK25">
            <v>740.8</v>
          </cell>
          <cell r="BL25">
            <v>4</v>
          </cell>
          <cell r="BM25">
            <v>64</v>
          </cell>
          <cell r="BN25">
            <v>679</v>
          </cell>
          <cell r="BO25">
            <v>741</v>
          </cell>
          <cell r="BP25">
            <v>740.8</v>
          </cell>
          <cell r="BQ25">
            <v>720.26666666666677</v>
          </cell>
          <cell r="BR25" t="e">
            <v>#REF!</v>
          </cell>
          <cell r="BS25">
            <v>4</v>
          </cell>
        </row>
        <row r="26">
          <cell r="E26" t="str">
            <v>MOST.SHAMMI AKTER</v>
          </cell>
          <cell r="F26">
            <v>20</v>
          </cell>
          <cell r="G26">
            <v>20</v>
          </cell>
          <cell r="H26">
            <v>60</v>
          </cell>
          <cell r="I26">
            <v>100</v>
          </cell>
          <cell r="J26">
            <v>10</v>
          </cell>
          <cell r="K26">
            <v>10</v>
          </cell>
          <cell r="L26">
            <v>25</v>
          </cell>
          <cell r="M26">
            <v>45</v>
          </cell>
          <cell r="N26">
            <v>145</v>
          </cell>
          <cell r="O26">
            <v>0</v>
          </cell>
          <cell r="P26">
            <v>5</v>
          </cell>
          <cell r="Q26">
            <v>16</v>
          </cell>
          <cell r="R26">
            <v>20</v>
          </cell>
          <cell r="S26">
            <v>47</v>
          </cell>
          <cell r="T26">
            <v>83</v>
          </cell>
          <cell r="U26">
            <v>9</v>
          </cell>
          <cell r="V26">
            <v>10</v>
          </cell>
          <cell r="W26">
            <v>40</v>
          </cell>
          <cell r="X26">
            <v>20</v>
          </cell>
          <cell r="Y26">
            <v>39</v>
          </cell>
          <cell r="Z26">
            <v>122</v>
          </cell>
          <cell r="AA26">
            <v>0</v>
          </cell>
          <cell r="AB26">
            <v>5</v>
          </cell>
          <cell r="AC26">
            <v>18</v>
          </cell>
          <cell r="AD26">
            <v>20</v>
          </cell>
          <cell r="AE26">
            <v>60</v>
          </cell>
          <cell r="AF26">
            <v>98</v>
          </cell>
          <cell r="AG26">
            <v>0</v>
          </cell>
          <cell r="AH26">
            <v>5</v>
          </cell>
          <cell r="AI26">
            <v>11</v>
          </cell>
          <cell r="AJ26">
            <v>20</v>
          </cell>
          <cell r="AK26">
            <v>60</v>
          </cell>
          <cell r="AL26">
            <v>91</v>
          </cell>
          <cell r="AM26">
            <v>0</v>
          </cell>
          <cell r="AN26">
            <v>5</v>
          </cell>
          <cell r="AO26">
            <v>20</v>
          </cell>
          <cell r="AP26">
            <v>20</v>
          </cell>
          <cell r="AQ26">
            <v>60</v>
          </cell>
          <cell r="AR26">
            <v>100</v>
          </cell>
          <cell r="AS26">
            <v>0</v>
          </cell>
          <cell r="AT26">
            <v>5</v>
          </cell>
          <cell r="AU26">
            <v>17</v>
          </cell>
          <cell r="AV26">
            <v>20</v>
          </cell>
          <cell r="AW26">
            <v>57</v>
          </cell>
          <cell r="AX26">
            <v>94</v>
          </cell>
          <cell r="AY26">
            <v>0</v>
          </cell>
          <cell r="AZ26">
            <v>5</v>
          </cell>
          <cell r="BA26">
            <v>10</v>
          </cell>
          <cell r="BB26">
            <v>10</v>
          </cell>
          <cell r="BC26">
            <v>43</v>
          </cell>
          <cell r="BD26">
            <v>25.8</v>
          </cell>
          <cell r="BE26">
            <v>45.8</v>
          </cell>
          <cell r="BF26">
            <v>0</v>
          </cell>
          <cell r="BG26">
            <v>5</v>
          </cell>
          <cell r="BH26">
            <v>35</v>
          </cell>
          <cell r="BI26">
            <v>5</v>
          </cell>
          <cell r="BJ26" t="str">
            <v>BEST</v>
          </cell>
          <cell r="BK26">
            <v>695.8</v>
          </cell>
          <cell r="BL26">
            <v>52</v>
          </cell>
          <cell r="BM26">
            <v>59</v>
          </cell>
          <cell r="BN26">
            <v>590</v>
          </cell>
          <cell r="BO26">
            <v>657.5</v>
          </cell>
          <cell r="BP26">
            <v>700.8</v>
          </cell>
          <cell r="BQ26">
            <v>649.43333333333328</v>
          </cell>
          <cell r="BR26" t="e">
            <v>#REF!</v>
          </cell>
          <cell r="BS26">
            <v>26</v>
          </cell>
        </row>
        <row r="27">
          <cell r="E27" t="str">
            <v>ROZINA AKTER RADIA</v>
          </cell>
          <cell r="F27">
            <v>20</v>
          </cell>
          <cell r="G27">
            <v>20</v>
          </cell>
          <cell r="H27">
            <v>60</v>
          </cell>
          <cell r="I27">
            <v>100</v>
          </cell>
          <cell r="J27">
            <v>8</v>
          </cell>
          <cell r="K27">
            <v>10</v>
          </cell>
          <cell r="L27">
            <v>29</v>
          </cell>
          <cell r="M27">
            <v>47</v>
          </cell>
          <cell r="N27">
            <v>147</v>
          </cell>
          <cell r="O27">
            <v>0</v>
          </cell>
          <cell r="P27">
            <v>5</v>
          </cell>
          <cell r="Q27">
            <v>17</v>
          </cell>
          <cell r="R27">
            <v>20</v>
          </cell>
          <cell r="S27">
            <v>39</v>
          </cell>
          <cell r="T27">
            <v>76</v>
          </cell>
          <cell r="U27">
            <v>8</v>
          </cell>
          <cell r="V27">
            <v>10</v>
          </cell>
          <cell r="W27">
            <v>41</v>
          </cell>
          <cell r="X27">
            <v>20.5</v>
          </cell>
          <cell r="Y27">
            <v>38.5</v>
          </cell>
          <cell r="Z27">
            <v>114.5</v>
          </cell>
          <cell r="AA27">
            <v>0</v>
          </cell>
          <cell r="AB27">
            <v>4</v>
          </cell>
          <cell r="AC27">
            <v>18</v>
          </cell>
          <cell r="AD27">
            <v>20</v>
          </cell>
          <cell r="AE27">
            <v>60</v>
          </cell>
          <cell r="AF27">
            <v>98</v>
          </cell>
          <cell r="AG27">
            <v>0</v>
          </cell>
          <cell r="AH27">
            <v>5</v>
          </cell>
          <cell r="AI27">
            <v>15</v>
          </cell>
          <cell r="AJ27">
            <v>20</v>
          </cell>
          <cell r="AK27">
            <v>50</v>
          </cell>
          <cell r="AL27">
            <v>85</v>
          </cell>
          <cell r="AM27">
            <v>0</v>
          </cell>
          <cell r="AN27">
            <v>5</v>
          </cell>
          <cell r="AO27">
            <v>18</v>
          </cell>
          <cell r="AP27">
            <v>20</v>
          </cell>
          <cell r="AQ27">
            <v>56</v>
          </cell>
          <cell r="AR27">
            <v>94</v>
          </cell>
          <cell r="AS27">
            <v>0</v>
          </cell>
          <cell r="AT27">
            <v>5</v>
          </cell>
          <cell r="AU27">
            <v>18</v>
          </cell>
          <cell r="AV27">
            <v>20</v>
          </cell>
          <cell r="AW27">
            <v>59</v>
          </cell>
          <cell r="AX27">
            <v>97</v>
          </cell>
          <cell r="AY27">
            <v>0</v>
          </cell>
          <cell r="AZ27">
            <v>5</v>
          </cell>
          <cell r="BA27">
            <v>10</v>
          </cell>
          <cell r="BB27">
            <v>10</v>
          </cell>
          <cell r="BC27">
            <v>44</v>
          </cell>
          <cell r="BD27">
            <v>26.4</v>
          </cell>
          <cell r="BE27">
            <v>46.4</v>
          </cell>
          <cell r="BF27">
            <v>0</v>
          </cell>
          <cell r="BG27">
            <v>5</v>
          </cell>
          <cell r="BH27">
            <v>34</v>
          </cell>
          <cell r="BI27">
            <v>4.8571428571428568</v>
          </cell>
          <cell r="BJ27" t="str">
            <v>BETTER</v>
          </cell>
          <cell r="BK27">
            <v>681.9</v>
          </cell>
          <cell r="BL27">
            <v>18</v>
          </cell>
          <cell r="BM27">
            <v>57</v>
          </cell>
          <cell r="BN27">
            <v>618</v>
          </cell>
          <cell r="BO27">
            <v>703.5</v>
          </cell>
          <cell r="BP27">
            <v>681.9</v>
          </cell>
          <cell r="BQ27">
            <v>667.80000000000007</v>
          </cell>
          <cell r="BR27" t="e">
            <v>#REF!</v>
          </cell>
          <cell r="BS27">
            <v>22</v>
          </cell>
        </row>
        <row r="28">
          <cell r="E28" t="str">
            <v>RAHELA AKTER</v>
          </cell>
          <cell r="F28">
            <v>19</v>
          </cell>
          <cell r="G28">
            <v>20</v>
          </cell>
          <cell r="H28">
            <v>60</v>
          </cell>
          <cell r="I28">
            <v>99</v>
          </cell>
          <cell r="J28">
            <v>10</v>
          </cell>
          <cell r="K28">
            <v>10</v>
          </cell>
          <cell r="L28">
            <v>30</v>
          </cell>
          <cell r="M28">
            <v>50</v>
          </cell>
          <cell r="N28">
            <v>149</v>
          </cell>
          <cell r="O28">
            <v>0</v>
          </cell>
          <cell r="P28">
            <v>5</v>
          </cell>
          <cell r="Q28">
            <v>17</v>
          </cell>
          <cell r="R28">
            <v>20</v>
          </cell>
          <cell r="S28">
            <v>50</v>
          </cell>
          <cell r="T28">
            <v>87</v>
          </cell>
          <cell r="U28">
            <v>9</v>
          </cell>
          <cell r="V28">
            <v>10</v>
          </cell>
          <cell r="W28">
            <v>50</v>
          </cell>
          <cell r="X28">
            <v>25</v>
          </cell>
          <cell r="Y28">
            <v>44</v>
          </cell>
          <cell r="Z28">
            <v>131</v>
          </cell>
          <cell r="AA28">
            <v>0</v>
          </cell>
          <cell r="AB28">
            <v>5</v>
          </cell>
          <cell r="AC28">
            <v>18</v>
          </cell>
          <cell r="AD28">
            <v>20</v>
          </cell>
          <cell r="AE28">
            <v>60</v>
          </cell>
          <cell r="AF28">
            <v>98</v>
          </cell>
          <cell r="AG28">
            <v>0</v>
          </cell>
          <cell r="AH28">
            <v>5</v>
          </cell>
          <cell r="AI28">
            <v>19</v>
          </cell>
          <cell r="AJ28">
            <v>20</v>
          </cell>
          <cell r="AK28">
            <v>58</v>
          </cell>
          <cell r="AL28">
            <v>97</v>
          </cell>
          <cell r="AM28">
            <v>0</v>
          </cell>
          <cell r="AN28">
            <v>5</v>
          </cell>
          <cell r="AO28">
            <v>20</v>
          </cell>
          <cell r="AP28">
            <v>20</v>
          </cell>
          <cell r="AQ28">
            <v>59</v>
          </cell>
          <cell r="AR28">
            <v>99</v>
          </cell>
          <cell r="AS28">
            <v>0</v>
          </cell>
          <cell r="AT28">
            <v>5</v>
          </cell>
          <cell r="AU28">
            <v>20</v>
          </cell>
          <cell r="AV28">
            <v>20</v>
          </cell>
          <cell r="AW28">
            <v>60</v>
          </cell>
          <cell r="AX28">
            <v>100</v>
          </cell>
          <cell r="AY28">
            <v>0</v>
          </cell>
          <cell r="AZ28">
            <v>5</v>
          </cell>
          <cell r="BA28">
            <v>8</v>
          </cell>
          <cell r="BB28">
            <v>10</v>
          </cell>
          <cell r="BC28">
            <v>37</v>
          </cell>
          <cell r="BD28">
            <v>22.2</v>
          </cell>
          <cell r="BE28">
            <v>40.200000000000003</v>
          </cell>
          <cell r="BF28">
            <v>0</v>
          </cell>
          <cell r="BG28">
            <v>5</v>
          </cell>
          <cell r="BH28">
            <v>35</v>
          </cell>
          <cell r="BI28">
            <v>5</v>
          </cell>
          <cell r="BJ28" t="str">
            <v>BEST</v>
          </cell>
          <cell r="BK28">
            <v>714.2</v>
          </cell>
          <cell r="BL28">
            <v>37</v>
          </cell>
          <cell r="BM28">
            <v>58</v>
          </cell>
          <cell r="BN28">
            <v>564</v>
          </cell>
          <cell r="BO28">
            <v>691.8</v>
          </cell>
          <cell r="BP28">
            <v>714.2</v>
          </cell>
          <cell r="BQ28">
            <v>656.66666666666663</v>
          </cell>
          <cell r="BR28" t="e">
            <v>#REF!</v>
          </cell>
          <cell r="BS28">
            <v>33</v>
          </cell>
        </row>
        <row r="29">
          <cell r="E29" t="str">
            <v>SUFIA BEGUM</v>
          </cell>
          <cell r="F29">
            <v>20</v>
          </cell>
          <cell r="G29">
            <v>20</v>
          </cell>
          <cell r="H29">
            <v>59</v>
          </cell>
          <cell r="I29">
            <v>99</v>
          </cell>
          <cell r="J29">
            <v>9</v>
          </cell>
          <cell r="K29">
            <v>10</v>
          </cell>
          <cell r="L29">
            <v>29</v>
          </cell>
          <cell r="M29">
            <v>48</v>
          </cell>
          <cell r="N29">
            <v>147</v>
          </cell>
          <cell r="O29">
            <v>0</v>
          </cell>
          <cell r="P29">
            <v>5</v>
          </cell>
          <cell r="Q29">
            <v>18</v>
          </cell>
          <cell r="R29">
            <v>20</v>
          </cell>
          <cell r="S29">
            <v>44</v>
          </cell>
          <cell r="T29">
            <v>82</v>
          </cell>
          <cell r="U29">
            <v>9</v>
          </cell>
          <cell r="V29">
            <v>10</v>
          </cell>
          <cell r="W29">
            <v>45</v>
          </cell>
          <cell r="X29">
            <v>22.5</v>
          </cell>
          <cell r="Y29">
            <v>41.5</v>
          </cell>
          <cell r="Z29">
            <v>123.5</v>
          </cell>
          <cell r="AA29">
            <v>0</v>
          </cell>
          <cell r="AB29">
            <v>5</v>
          </cell>
          <cell r="AC29">
            <v>18</v>
          </cell>
          <cell r="AD29">
            <v>20</v>
          </cell>
          <cell r="AE29">
            <v>60</v>
          </cell>
          <cell r="AF29">
            <v>98</v>
          </cell>
          <cell r="AG29">
            <v>0</v>
          </cell>
          <cell r="AH29">
            <v>5</v>
          </cell>
          <cell r="AI29">
            <v>19</v>
          </cell>
          <cell r="AJ29">
            <v>20</v>
          </cell>
          <cell r="AK29">
            <v>53</v>
          </cell>
          <cell r="AL29">
            <v>92</v>
          </cell>
          <cell r="AM29">
            <v>0</v>
          </cell>
          <cell r="AN29">
            <v>5</v>
          </cell>
          <cell r="AO29">
            <v>20</v>
          </cell>
          <cell r="AP29">
            <v>20</v>
          </cell>
          <cell r="AQ29">
            <v>52</v>
          </cell>
          <cell r="AR29">
            <v>92</v>
          </cell>
          <cell r="AS29">
            <v>0</v>
          </cell>
          <cell r="AT29">
            <v>5</v>
          </cell>
          <cell r="AU29">
            <v>19</v>
          </cell>
          <cell r="AV29">
            <v>20</v>
          </cell>
          <cell r="AW29">
            <v>60</v>
          </cell>
          <cell r="AX29">
            <v>99</v>
          </cell>
          <cell r="AY29">
            <v>0</v>
          </cell>
          <cell r="AZ29">
            <v>5</v>
          </cell>
          <cell r="BA29">
            <v>8</v>
          </cell>
          <cell r="BB29">
            <v>10</v>
          </cell>
          <cell r="BC29">
            <v>36</v>
          </cell>
          <cell r="BD29">
            <v>21.599999999999998</v>
          </cell>
          <cell r="BE29">
            <v>39.599999999999994</v>
          </cell>
          <cell r="BF29">
            <v>0</v>
          </cell>
          <cell r="BG29">
            <v>4</v>
          </cell>
          <cell r="BH29">
            <v>34</v>
          </cell>
          <cell r="BI29">
            <v>4.8571428571428568</v>
          </cell>
          <cell r="BJ29" t="str">
            <v>BETTER</v>
          </cell>
          <cell r="BK29">
            <v>691.1</v>
          </cell>
          <cell r="BL29">
            <v>13</v>
          </cell>
          <cell r="BM29">
            <v>64</v>
          </cell>
          <cell r="BN29">
            <v>633</v>
          </cell>
          <cell r="BO29">
            <v>712.5</v>
          </cell>
          <cell r="BP29">
            <v>691.1</v>
          </cell>
          <cell r="BQ29">
            <v>678.86666666666667</v>
          </cell>
          <cell r="BR29" t="e">
            <v>#REF!</v>
          </cell>
          <cell r="BS29">
            <v>11</v>
          </cell>
        </row>
        <row r="30">
          <cell r="E30" t="str">
            <v>RAJIA SULTANA HERA</v>
          </cell>
          <cell r="F30">
            <v>19</v>
          </cell>
          <cell r="G30">
            <v>20</v>
          </cell>
          <cell r="H30">
            <v>49</v>
          </cell>
          <cell r="I30">
            <v>88</v>
          </cell>
          <cell r="J30">
            <v>8</v>
          </cell>
          <cell r="K30">
            <v>10</v>
          </cell>
          <cell r="L30">
            <v>23</v>
          </cell>
          <cell r="M30">
            <v>41</v>
          </cell>
          <cell r="N30">
            <v>129</v>
          </cell>
          <cell r="O30">
            <v>0</v>
          </cell>
          <cell r="P30">
            <v>5</v>
          </cell>
          <cell r="Q30">
            <v>13</v>
          </cell>
          <cell r="R30">
            <v>20</v>
          </cell>
          <cell r="S30">
            <v>42</v>
          </cell>
          <cell r="T30">
            <v>75</v>
          </cell>
          <cell r="U30">
            <v>9</v>
          </cell>
          <cell r="V30">
            <v>10</v>
          </cell>
          <cell r="W30">
            <v>37</v>
          </cell>
          <cell r="X30">
            <v>18.5</v>
          </cell>
          <cell r="Y30">
            <v>37.5</v>
          </cell>
          <cell r="Z30">
            <v>112.5</v>
          </cell>
          <cell r="AA30">
            <v>0</v>
          </cell>
          <cell r="AB30">
            <v>4</v>
          </cell>
          <cell r="AC30">
            <v>11</v>
          </cell>
          <cell r="AD30">
            <v>20</v>
          </cell>
          <cell r="AE30">
            <v>59</v>
          </cell>
          <cell r="AF30">
            <v>90</v>
          </cell>
          <cell r="AG30">
            <v>0</v>
          </cell>
          <cell r="AH30">
            <v>5</v>
          </cell>
          <cell r="AI30">
            <v>19</v>
          </cell>
          <cell r="AJ30">
            <v>20</v>
          </cell>
          <cell r="AK30">
            <v>47</v>
          </cell>
          <cell r="AL30">
            <v>86</v>
          </cell>
          <cell r="AM30">
            <v>0</v>
          </cell>
          <cell r="AN30">
            <v>5</v>
          </cell>
          <cell r="AO30">
            <v>19</v>
          </cell>
          <cell r="AP30">
            <v>20</v>
          </cell>
          <cell r="AQ30">
            <v>52</v>
          </cell>
          <cell r="AR30">
            <v>91</v>
          </cell>
          <cell r="AS30">
            <v>0</v>
          </cell>
          <cell r="AT30">
            <v>5</v>
          </cell>
          <cell r="AU30">
            <v>20</v>
          </cell>
          <cell r="AV30">
            <v>20</v>
          </cell>
          <cell r="AW30">
            <v>50</v>
          </cell>
          <cell r="AX30">
            <v>90</v>
          </cell>
          <cell r="AY30">
            <v>0</v>
          </cell>
          <cell r="AZ30">
            <v>5</v>
          </cell>
          <cell r="BA30">
            <v>8</v>
          </cell>
          <cell r="BB30">
            <v>10</v>
          </cell>
          <cell r="BC30">
            <v>38</v>
          </cell>
          <cell r="BD30">
            <v>22.8</v>
          </cell>
          <cell r="BE30">
            <v>40.799999999999997</v>
          </cell>
          <cell r="BF30">
            <v>0</v>
          </cell>
          <cell r="BG30">
            <v>5</v>
          </cell>
          <cell r="BH30">
            <v>34</v>
          </cell>
          <cell r="BI30">
            <v>4.8571428571428568</v>
          </cell>
          <cell r="BJ30" t="str">
            <v>BETTER</v>
          </cell>
          <cell r="BK30">
            <v>639.29999999999995</v>
          </cell>
          <cell r="BL30">
            <v>55</v>
          </cell>
          <cell r="BM30">
            <v>56</v>
          </cell>
          <cell r="BN30">
            <v>569</v>
          </cell>
          <cell r="BO30">
            <v>642.70000000000005</v>
          </cell>
          <cell r="BP30">
            <v>639.29999999999995</v>
          </cell>
          <cell r="BQ30">
            <v>617</v>
          </cell>
          <cell r="BR30" t="e">
            <v>#REF!</v>
          </cell>
          <cell r="BS30">
            <v>32</v>
          </cell>
        </row>
        <row r="31">
          <cell r="E31" t="str">
            <v>ISRAT JAHAN ROSY</v>
          </cell>
          <cell r="F31">
            <v>20</v>
          </cell>
          <cell r="G31">
            <v>20</v>
          </cell>
          <cell r="H31">
            <v>60</v>
          </cell>
          <cell r="I31">
            <v>100</v>
          </cell>
          <cell r="J31">
            <v>10</v>
          </cell>
          <cell r="K31">
            <v>10</v>
          </cell>
          <cell r="L31">
            <v>29</v>
          </cell>
          <cell r="M31">
            <v>49</v>
          </cell>
          <cell r="N31">
            <v>149</v>
          </cell>
          <cell r="O31">
            <v>0</v>
          </cell>
          <cell r="P31">
            <v>5</v>
          </cell>
          <cell r="Q31">
            <v>20</v>
          </cell>
          <cell r="R31">
            <v>20</v>
          </cell>
          <cell r="S31">
            <v>58</v>
          </cell>
          <cell r="T31">
            <v>98</v>
          </cell>
          <cell r="U31">
            <v>10</v>
          </cell>
          <cell r="V31">
            <v>10</v>
          </cell>
          <cell r="W31">
            <v>55</v>
          </cell>
          <cell r="X31">
            <v>27.5</v>
          </cell>
          <cell r="Y31">
            <v>47.5</v>
          </cell>
          <cell r="Z31">
            <v>145.5</v>
          </cell>
          <cell r="AA31">
            <v>0</v>
          </cell>
          <cell r="AB31">
            <v>5</v>
          </cell>
          <cell r="AC31">
            <v>20</v>
          </cell>
          <cell r="AD31">
            <v>20</v>
          </cell>
          <cell r="AE31">
            <v>59</v>
          </cell>
          <cell r="AF31">
            <v>99</v>
          </cell>
          <cell r="AG31">
            <v>0</v>
          </cell>
          <cell r="AH31">
            <v>5</v>
          </cell>
          <cell r="AI31">
            <v>20</v>
          </cell>
          <cell r="AJ31">
            <v>20</v>
          </cell>
          <cell r="AK31">
            <v>60</v>
          </cell>
          <cell r="AL31">
            <v>100</v>
          </cell>
          <cell r="AM31">
            <v>0</v>
          </cell>
          <cell r="AN31">
            <v>5</v>
          </cell>
          <cell r="AO31">
            <v>20</v>
          </cell>
          <cell r="AP31">
            <v>20</v>
          </cell>
          <cell r="AQ31">
            <v>60</v>
          </cell>
          <cell r="AR31">
            <v>100</v>
          </cell>
          <cell r="AS31">
            <v>0</v>
          </cell>
          <cell r="AT31">
            <v>5</v>
          </cell>
          <cell r="AU31">
            <v>20</v>
          </cell>
          <cell r="AV31">
            <v>20</v>
          </cell>
          <cell r="AW31">
            <v>60</v>
          </cell>
          <cell r="AX31">
            <v>100</v>
          </cell>
          <cell r="AY31">
            <v>0</v>
          </cell>
          <cell r="AZ31">
            <v>5</v>
          </cell>
          <cell r="BA31">
            <v>10</v>
          </cell>
          <cell r="BB31">
            <v>10</v>
          </cell>
          <cell r="BC31">
            <v>42</v>
          </cell>
          <cell r="BD31">
            <v>25.2</v>
          </cell>
          <cell r="BE31">
            <v>45.2</v>
          </cell>
          <cell r="BF31">
            <v>0</v>
          </cell>
          <cell r="BG31">
            <v>5</v>
          </cell>
          <cell r="BH31">
            <v>35</v>
          </cell>
          <cell r="BI31">
            <v>5</v>
          </cell>
          <cell r="BJ31" t="str">
            <v>BEST</v>
          </cell>
          <cell r="BK31">
            <v>738.7</v>
          </cell>
          <cell r="BL31">
            <v>5</v>
          </cell>
          <cell r="BM31">
            <v>65</v>
          </cell>
          <cell r="BN31">
            <v>699</v>
          </cell>
          <cell r="BO31">
            <v>738.5</v>
          </cell>
          <cell r="BP31">
            <v>738.7</v>
          </cell>
          <cell r="BQ31">
            <v>725.4</v>
          </cell>
          <cell r="BR31" t="e">
            <v>#REF!</v>
          </cell>
          <cell r="BS31">
            <v>2</v>
          </cell>
        </row>
        <row r="32">
          <cell r="E32" t="str">
            <v>KHALEDA PERVIN</v>
          </cell>
          <cell r="F32">
            <v>20</v>
          </cell>
          <cell r="G32">
            <v>20</v>
          </cell>
          <cell r="H32">
            <v>59</v>
          </cell>
          <cell r="I32">
            <v>99</v>
          </cell>
          <cell r="J32">
            <v>10</v>
          </cell>
          <cell r="K32">
            <v>10</v>
          </cell>
          <cell r="L32">
            <v>30</v>
          </cell>
          <cell r="M32">
            <v>50</v>
          </cell>
          <cell r="N32">
            <v>149</v>
          </cell>
          <cell r="O32">
            <v>0</v>
          </cell>
          <cell r="P32">
            <v>5</v>
          </cell>
          <cell r="Q32">
            <v>18</v>
          </cell>
          <cell r="R32">
            <v>19</v>
          </cell>
          <cell r="S32">
            <v>42</v>
          </cell>
          <cell r="T32">
            <v>79</v>
          </cell>
          <cell r="U32">
            <v>10</v>
          </cell>
          <cell r="V32">
            <v>10</v>
          </cell>
          <cell r="W32">
            <v>52</v>
          </cell>
          <cell r="X32">
            <v>26</v>
          </cell>
          <cell r="Y32">
            <v>46</v>
          </cell>
          <cell r="Z32">
            <v>125</v>
          </cell>
          <cell r="AA32">
            <v>0</v>
          </cell>
          <cell r="AB32">
            <v>5</v>
          </cell>
          <cell r="AC32">
            <v>19</v>
          </cell>
          <cell r="AD32">
            <v>20</v>
          </cell>
          <cell r="AE32">
            <v>60</v>
          </cell>
          <cell r="AF32">
            <v>99</v>
          </cell>
          <cell r="AG32">
            <v>0</v>
          </cell>
          <cell r="AH32">
            <v>5</v>
          </cell>
          <cell r="AI32">
            <v>20</v>
          </cell>
          <cell r="AJ32">
            <v>20</v>
          </cell>
          <cell r="AK32">
            <v>60</v>
          </cell>
          <cell r="AL32">
            <v>100</v>
          </cell>
          <cell r="AM32">
            <v>0</v>
          </cell>
          <cell r="AN32">
            <v>5</v>
          </cell>
          <cell r="AO32">
            <v>20</v>
          </cell>
          <cell r="AP32">
            <v>20</v>
          </cell>
          <cell r="AQ32">
            <v>54</v>
          </cell>
          <cell r="AR32">
            <v>94</v>
          </cell>
          <cell r="AS32">
            <v>0</v>
          </cell>
          <cell r="AT32">
            <v>5</v>
          </cell>
          <cell r="AU32">
            <v>20</v>
          </cell>
          <cell r="AV32">
            <v>20</v>
          </cell>
          <cell r="AW32">
            <v>58</v>
          </cell>
          <cell r="AX32">
            <v>98</v>
          </cell>
          <cell r="AY32">
            <v>0</v>
          </cell>
          <cell r="AZ32">
            <v>5</v>
          </cell>
          <cell r="BA32">
            <v>9</v>
          </cell>
          <cell r="BB32">
            <v>10</v>
          </cell>
          <cell r="BC32">
            <v>37</v>
          </cell>
          <cell r="BD32">
            <v>22.2</v>
          </cell>
          <cell r="BE32">
            <v>41.2</v>
          </cell>
          <cell r="BF32">
            <v>0</v>
          </cell>
          <cell r="BG32">
            <v>5</v>
          </cell>
          <cell r="BH32">
            <v>35</v>
          </cell>
          <cell r="BI32">
            <v>5</v>
          </cell>
          <cell r="BJ32" t="str">
            <v>BEST</v>
          </cell>
          <cell r="BK32">
            <v>706.2</v>
          </cell>
          <cell r="BL32">
            <v>11</v>
          </cell>
          <cell r="BM32">
            <v>57</v>
          </cell>
          <cell r="BN32">
            <v>648</v>
          </cell>
          <cell r="BO32">
            <v>715</v>
          </cell>
          <cell r="BP32">
            <v>706.2</v>
          </cell>
          <cell r="BQ32">
            <v>689.73333333333323</v>
          </cell>
          <cell r="BR32" t="e">
            <v>#REF!</v>
          </cell>
          <cell r="BS32">
            <v>8</v>
          </cell>
        </row>
        <row r="33">
          <cell r="E33" t="str">
            <v>ISRAT JAHAN ROSY</v>
          </cell>
          <cell r="F33">
            <v>20</v>
          </cell>
          <cell r="G33">
            <v>20</v>
          </cell>
          <cell r="H33">
            <v>60</v>
          </cell>
          <cell r="I33">
            <v>100</v>
          </cell>
          <cell r="J33">
            <v>10</v>
          </cell>
          <cell r="K33">
            <v>10</v>
          </cell>
          <cell r="L33">
            <v>30</v>
          </cell>
          <cell r="M33">
            <v>50</v>
          </cell>
          <cell r="N33">
            <v>150</v>
          </cell>
          <cell r="O33">
            <v>0</v>
          </cell>
          <cell r="P33">
            <v>5</v>
          </cell>
          <cell r="Q33">
            <v>20</v>
          </cell>
          <cell r="R33">
            <v>20</v>
          </cell>
          <cell r="S33">
            <v>53</v>
          </cell>
          <cell r="T33">
            <v>93</v>
          </cell>
          <cell r="U33">
            <v>10</v>
          </cell>
          <cell r="V33">
            <v>10</v>
          </cell>
          <cell r="W33">
            <v>56</v>
          </cell>
          <cell r="X33">
            <v>28</v>
          </cell>
          <cell r="Y33">
            <v>48</v>
          </cell>
          <cell r="Z33">
            <v>141</v>
          </cell>
          <cell r="AA33">
            <v>0</v>
          </cell>
          <cell r="AB33">
            <v>5</v>
          </cell>
          <cell r="AC33">
            <v>20</v>
          </cell>
          <cell r="AD33">
            <v>20</v>
          </cell>
          <cell r="AE33">
            <v>60</v>
          </cell>
          <cell r="AF33">
            <v>100</v>
          </cell>
          <cell r="AG33">
            <v>0</v>
          </cell>
          <cell r="AH33">
            <v>5</v>
          </cell>
          <cell r="AI33">
            <v>20</v>
          </cell>
          <cell r="AJ33">
            <v>20</v>
          </cell>
          <cell r="AK33">
            <v>60</v>
          </cell>
          <cell r="AL33">
            <v>100</v>
          </cell>
          <cell r="AM33">
            <v>0</v>
          </cell>
          <cell r="AN33">
            <v>5</v>
          </cell>
          <cell r="AO33">
            <v>20</v>
          </cell>
          <cell r="AP33">
            <v>20</v>
          </cell>
          <cell r="AQ33">
            <v>60</v>
          </cell>
          <cell r="AR33">
            <v>100</v>
          </cell>
          <cell r="AS33">
            <v>0</v>
          </cell>
          <cell r="AT33">
            <v>5</v>
          </cell>
          <cell r="AU33">
            <v>20</v>
          </cell>
          <cell r="AV33">
            <v>20</v>
          </cell>
          <cell r="AW33">
            <v>59</v>
          </cell>
          <cell r="AX33">
            <v>99</v>
          </cell>
          <cell r="AY33">
            <v>0</v>
          </cell>
          <cell r="AZ33">
            <v>5</v>
          </cell>
          <cell r="BA33">
            <v>10</v>
          </cell>
          <cell r="BB33">
            <v>10</v>
          </cell>
          <cell r="BC33">
            <v>43</v>
          </cell>
          <cell r="BD33">
            <v>25.8</v>
          </cell>
          <cell r="BE33">
            <v>45.8</v>
          </cell>
          <cell r="BF33">
            <v>0</v>
          </cell>
          <cell r="BG33">
            <v>5</v>
          </cell>
          <cell r="BH33">
            <v>35</v>
          </cell>
          <cell r="BI33">
            <v>5</v>
          </cell>
          <cell r="BJ33" t="str">
            <v>BEST</v>
          </cell>
          <cell r="BK33">
            <v>735.8</v>
          </cell>
          <cell r="BL33">
            <v>3</v>
          </cell>
          <cell r="BM33">
            <v>57</v>
          </cell>
          <cell r="BN33">
            <v>695</v>
          </cell>
          <cell r="BO33">
            <v>741</v>
          </cell>
          <cell r="BP33">
            <v>735.8</v>
          </cell>
          <cell r="BQ33">
            <v>723.93333333333339</v>
          </cell>
          <cell r="BR33" t="e">
            <v>#REF!</v>
          </cell>
          <cell r="BS33">
            <v>3</v>
          </cell>
        </row>
        <row r="34">
          <cell r="E34" t="str">
            <v>ROJINA BEGUM</v>
          </cell>
          <cell r="F34">
            <v>20</v>
          </cell>
          <cell r="G34">
            <v>20</v>
          </cell>
          <cell r="H34">
            <v>60</v>
          </cell>
          <cell r="I34">
            <v>100</v>
          </cell>
          <cell r="J34">
            <v>9</v>
          </cell>
          <cell r="K34">
            <v>7</v>
          </cell>
          <cell r="L34">
            <v>30</v>
          </cell>
          <cell r="M34">
            <v>46</v>
          </cell>
          <cell r="N34">
            <v>146</v>
          </cell>
          <cell r="O34">
            <v>0</v>
          </cell>
          <cell r="P34">
            <v>5</v>
          </cell>
          <cell r="Q34">
            <v>17</v>
          </cell>
          <cell r="R34">
            <v>19</v>
          </cell>
          <cell r="S34">
            <v>28</v>
          </cell>
          <cell r="T34">
            <v>64</v>
          </cell>
          <cell r="U34">
            <v>8</v>
          </cell>
          <cell r="V34">
            <v>10</v>
          </cell>
          <cell r="W34">
            <v>41</v>
          </cell>
          <cell r="X34">
            <v>20.5</v>
          </cell>
          <cell r="Y34">
            <v>38.5</v>
          </cell>
          <cell r="Z34">
            <v>102.5</v>
          </cell>
          <cell r="AA34">
            <v>0</v>
          </cell>
          <cell r="AB34">
            <v>3.5</v>
          </cell>
          <cell r="AC34">
            <v>13</v>
          </cell>
          <cell r="AD34">
            <v>20</v>
          </cell>
          <cell r="AE34">
            <v>59</v>
          </cell>
          <cell r="AF34">
            <v>92</v>
          </cell>
          <cell r="AG34">
            <v>0</v>
          </cell>
          <cell r="AH34">
            <v>5</v>
          </cell>
          <cell r="AI34">
            <v>19</v>
          </cell>
          <cell r="AJ34">
            <v>20</v>
          </cell>
          <cell r="AK34">
            <v>53</v>
          </cell>
          <cell r="AL34">
            <v>92</v>
          </cell>
          <cell r="AM34">
            <v>0</v>
          </cell>
          <cell r="AN34">
            <v>5</v>
          </cell>
          <cell r="AO34">
            <v>15</v>
          </cell>
          <cell r="AP34">
            <v>20</v>
          </cell>
          <cell r="AQ34">
            <v>55</v>
          </cell>
          <cell r="AR34">
            <v>90</v>
          </cell>
          <cell r="AS34">
            <v>0</v>
          </cell>
          <cell r="AT34">
            <v>5</v>
          </cell>
          <cell r="AU34">
            <v>17</v>
          </cell>
          <cell r="AV34">
            <v>20</v>
          </cell>
          <cell r="AW34">
            <v>25</v>
          </cell>
          <cell r="AX34">
            <v>62</v>
          </cell>
          <cell r="AY34">
            <v>0</v>
          </cell>
          <cell r="AZ34">
            <v>3.5</v>
          </cell>
          <cell r="BA34">
            <v>10</v>
          </cell>
          <cell r="BB34">
            <v>10</v>
          </cell>
          <cell r="BC34">
            <v>44</v>
          </cell>
          <cell r="BD34">
            <v>26.4</v>
          </cell>
          <cell r="BE34">
            <v>46.4</v>
          </cell>
          <cell r="BF34">
            <v>0</v>
          </cell>
          <cell r="BG34">
            <v>5</v>
          </cell>
          <cell r="BH34">
            <v>32</v>
          </cell>
          <cell r="BI34">
            <v>4.5714285714285712</v>
          </cell>
          <cell r="BJ34" t="str">
            <v>BETTER</v>
          </cell>
          <cell r="BK34">
            <v>630.9</v>
          </cell>
          <cell r="BL34">
            <v>7</v>
          </cell>
          <cell r="BM34">
            <v>65</v>
          </cell>
          <cell r="BN34">
            <v>632</v>
          </cell>
          <cell r="BO34">
            <v>722</v>
          </cell>
          <cell r="BP34">
            <v>630.9</v>
          </cell>
          <cell r="BQ34">
            <v>661.63333333333333</v>
          </cell>
          <cell r="BR34" t="e">
            <v>#REF!</v>
          </cell>
          <cell r="BS34">
            <v>20</v>
          </cell>
        </row>
        <row r="35">
          <cell r="E35" t="str">
            <v>SHAHIDA HOSSAIN</v>
          </cell>
          <cell r="F35">
            <v>20</v>
          </cell>
          <cell r="G35">
            <v>20</v>
          </cell>
          <cell r="H35">
            <v>54</v>
          </cell>
          <cell r="I35">
            <v>94</v>
          </cell>
          <cell r="J35">
            <v>9</v>
          </cell>
          <cell r="K35">
            <v>10</v>
          </cell>
          <cell r="L35">
            <v>29</v>
          </cell>
          <cell r="M35">
            <v>48</v>
          </cell>
          <cell r="N35">
            <v>142</v>
          </cell>
          <cell r="O35">
            <v>0</v>
          </cell>
          <cell r="P35">
            <v>5</v>
          </cell>
          <cell r="Q35">
            <v>18</v>
          </cell>
          <cell r="R35">
            <v>19</v>
          </cell>
          <cell r="S35">
            <v>41</v>
          </cell>
          <cell r="T35">
            <v>78</v>
          </cell>
          <cell r="U35">
            <v>8</v>
          </cell>
          <cell r="V35">
            <v>10</v>
          </cell>
          <cell r="W35">
            <v>42</v>
          </cell>
          <cell r="X35">
            <v>21</v>
          </cell>
          <cell r="Y35">
            <v>39</v>
          </cell>
          <cell r="Z35">
            <v>117</v>
          </cell>
          <cell r="AA35">
            <v>0</v>
          </cell>
          <cell r="AB35">
            <v>4</v>
          </cell>
          <cell r="AC35">
            <v>15</v>
          </cell>
          <cell r="AD35">
            <v>20</v>
          </cell>
          <cell r="AE35">
            <v>59</v>
          </cell>
          <cell r="AF35">
            <v>94</v>
          </cell>
          <cell r="AG35">
            <v>0</v>
          </cell>
          <cell r="AH35">
            <v>5</v>
          </cell>
          <cell r="AI35">
            <v>13</v>
          </cell>
          <cell r="AJ35">
            <v>20</v>
          </cell>
          <cell r="AK35">
            <v>56</v>
          </cell>
          <cell r="AL35">
            <v>89</v>
          </cell>
          <cell r="AM35">
            <v>0</v>
          </cell>
          <cell r="AN35">
            <v>5</v>
          </cell>
          <cell r="AO35">
            <v>18</v>
          </cell>
          <cell r="AP35">
            <v>20</v>
          </cell>
          <cell r="AQ35">
            <v>0</v>
          </cell>
          <cell r="AR35">
            <v>38</v>
          </cell>
          <cell r="AS35">
            <v>0</v>
          </cell>
          <cell r="AT35" t="str">
            <v>F</v>
          </cell>
          <cell r="AU35">
            <v>16</v>
          </cell>
          <cell r="AV35">
            <v>20</v>
          </cell>
          <cell r="AW35">
            <v>48</v>
          </cell>
          <cell r="AX35">
            <v>84</v>
          </cell>
          <cell r="AY35">
            <v>0</v>
          </cell>
          <cell r="AZ35">
            <v>5</v>
          </cell>
          <cell r="BA35">
            <v>10</v>
          </cell>
          <cell r="BB35">
            <v>10</v>
          </cell>
          <cell r="BC35">
            <v>44</v>
          </cell>
          <cell r="BD35">
            <v>26.4</v>
          </cell>
          <cell r="BE35">
            <v>46.4</v>
          </cell>
          <cell r="BF35">
            <v>0</v>
          </cell>
          <cell r="BG35">
            <v>5</v>
          </cell>
          <cell r="BH35" t="str">
            <v>F</v>
          </cell>
          <cell r="BI35" t="str">
            <v>F</v>
          </cell>
          <cell r="BJ35" t="str">
            <v>NEED TO PROGRESS</v>
          </cell>
          <cell r="BK35">
            <v>610.4</v>
          </cell>
          <cell r="BL35">
            <v>30</v>
          </cell>
          <cell r="BM35">
            <v>62</v>
          </cell>
          <cell r="BN35">
            <v>610</v>
          </cell>
          <cell r="BO35">
            <v>678.4</v>
          </cell>
          <cell r="BP35">
            <v>610.4</v>
          </cell>
          <cell r="BQ35">
            <v>632.93333333333339</v>
          </cell>
          <cell r="BR35" t="e">
            <v>#REF!</v>
          </cell>
          <cell r="BS35">
            <v>42</v>
          </cell>
        </row>
        <row r="36">
          <cell r="E36" t="str">
            <v>RASHIDA AKTER SHANTO</v>
          </cell>
          <cell r="F36">
            <v>19</v>
          </cell>
          <cell r="G36">
            <v>20</v>
          </cell>
          <cell r="H36">
            <v>57</v>
          </cell>
          <cell r="I36">
            <v>96</v>
          </cell>
          <cell r="J36">
            <v>9</v>
          </cell>
          <cell r="K36">
            <v>10</v>
          </cell>
          <cell r="L36">
            <v>29</v>
          </cell>
          <cell r="M36">
            <v>48</v>
          </cell>
          <cell r="N36">
            <v>144</v>
          </cell>
          <cell r="O36">
            <v>0</v>
          </cell>
          <cell r="P36">
            <v>5</v>
          </cell>
          <cell r="Q36">
            <v>17</v>
          </cell>
          <cell r="R36">
            <v>20</v>
          </cell>
          <cell r="S36">
            <v>49</v>
          </cell>
          <cell r="T36">
            <v>86</v>
          </cell>
          <cell r="U36">
            <v>8</v>
          </cell>
          <cell r="V36">
            <v>10</v>
          </cell>
          <cell r="W36">
            <v>43</v>
          </cell>
          <cell r="X36">
            <v>21.5</v>
          </cell>
          <cell r="Y36">
            <v>39.5</v>
          </cell>
          <cell r="Z36">
            <v>125.5</v>
          </cell>
          <cell r="AA36">
            <v>0</v>
          </cell>
          <cell r="AB36">
            <v>5</v>
          </cell>
          <cell r="AC36">
            <v>14</v>
          </cell>
          <cell r="AD36">
            <v>20</v>
          </cell>
          <cell r="AE36">
            <v>45</v>
          </cell>
          <cell r="AF36">
            <v>79</v>
          </cell>
          <cell r="AG36">
            <v>0</v>
          </cell>
          <cell r="AH36">
            <v>4</v>
          </cell>
          <cell r="AI36">
            <v>13</v>
          </cell>
          <cell r="AJ36">
            <v>20</v>
          </cell>
          <cell r="AK36">
            <v>45</v>
          </cell>
          <cell r="AL36">
            <v>78</v>
          </cell>
          <cell r="AM36">
            <v>0</v>
          </cell>
          <cell r="AN36">
            <v>4</v>
          </cell>
          <cell r="AO36">
            <v>19</v>
          </cell>
          <cell r="AP36">
            <v>20</v>
          </cell>
          <cell r="AQ36">
            <v>54</v>
          </cell>
          <cell r="AR36">
            <v>93</v>
          </cell>
          <cell r="AS36">
            <v>0</v>
          </cell>
          <cell r="AT36">
            <v>5</v>
          </cell>
          <cell r="AU36">
            <v>17</v>
          </cell>
          <cell r="AV36">
            <v>20</v>
          </cell>
          <cell r="AW36">
            <v>47</v>
          </cell>
          <cell r="AX36">
            <v>84</v>
          </cell>
          <cell r="AY36">
            <v>0</v>
          </cell>
          <cell r="AZ36">
            <v>5</v>
          </cell>
          <cell r="BA36">
            <v>10</v>
          </cell>
          <cell r="BB36">
            <v>10</v>
          </cell>
          <cell r="BC36">
            <v>39</v>
          </cell>
          <cell r="BD36">
            <v>23.4</v>
          </cell>
          <cell r="BE36">
            <v>43.4</v>
          </cell>
          <cell r="BF36">
            <v>0</v>
          </cell>
          <cell r="BG36">
            <v>5</v>
          </cell>
          <cell r="BH36">
            <v>33</v>
          </cell>
          <cell r="BI36">
            <v>4.7142857142857144</v>
          </cell>
          <cell r="BJ36" t="str">
            <v>BETTER</v>
          </cell>
          <cell r="BK36">
            <v>646.9</v>
          </cell>
          <cell r="BL36">
            <v>47</v>
          </cell>
          <cell r="BM36">
            <v>65</v>
          </cell>
          <cell r="BN36">
            <v>592</v>
          </cell>
          <cell r="BO36">
            <v>672.1</v>
          </cell>
          <cell r="BP36">
            <v>646.9</v>
          </cell>
          <cell r="BQ36">
            <v>637</v>
          </cell>
          <cell r="BR36" t="e">
            <v>#REF!</v>
          </cell>
          <cell r="BS36">
            <v>36</v>
          </cell>
        </row>
        <row r="37">
          <cell r="E37" t="str">
            <v>MAKSUDA BEGUM</v>
          </cell>
          <cell r="F37">
            <v>20</v>
          </cell>
          <cell r="G37">
            <v>20</v>
          </cell>
          <cell r="H37">
            <v>58</v>
          </cell>
          <cell r="I37">
            <v>98</v>
          </cell>
          <cell r="J37">
            <v>9</v>
          </cell>
          <cell r="K37">
            <v>10</v>
          </cell>
          <cell r="L37">
            <v>28</v>
          </cell>
          <cell r="M37">
            <v>47</v>
          </cell>
          <cell r="N37">
            <v>145</v>
          </cell>
          <cell r="O37">
            <v>0</v>
          </cell>
          <cell r="P37">
            <v>5</v>
          </cell>
          <cell r="Q37">
            <v>15</v>
          </cell>
          <cell r="R37">
            <v>20</v>
          </cell>
          <cell r="S37">
            <v>46</v>
          </cell>
          <cell r="T37">
            <v>81</v>
          </cell>
          <cell r="U37">
            <v>8</v>
          </cell>
          <cell r="V37">
            <v>10</v>
          </cell>
          <cell r="W37">
            <v>39</v>
          </cell>
          <cell r="X37">
            <v>19.5</v>
          </cell>
          <cell r="Y37">
            <v>37.5</v>
          </cell>
          <cell r="Z37">
            <v>118.5</v>
          </cell>
          <cell r="AA37">
            <v>0</v>
          </cell>
          <cell r="AB37">
            <v>4</v>
          </cell>
          <cell r="AC37">
            <v>19</v>
          </cell>
          <cell r="AD37">
            <v>20</v>
          </cell>
          <cell r="AE37">
            <v>60</v>
          </cell>
          <cell r="AF37">
            <v>99</v>
          </cell>
          <cell r="AG37">
            <v>0</v>
          </cell>
          <cell r="AH37">
            <v>5</v>
          </cell>
          <cell r="AI37">
            <v>15</v>
          </cell>
          <cell r="AJ37">
            <v>20</v>
          </cell>
          <cell r="AK37">
            <v>48</v>
          </cell>
          <cell r="AL37">
            <v>83</v>
          </cell>
          <cell r="AM37">
            <v>0</v>
          </cell>
          <cell r="AN37">
            <v>5</v>
          </cell>
          <cell r="AO37">
            <v>19</v>
          </cell>
          <cell r="AP37">
            <v>20</v>
          </cell>
          <cell r="AQ37">
            <v>57</v>
          </cell>
          <cell r="AR37">
            <v>96</v>
          </cell>
          <cell r="AS37">
            <v>0</v>
          </cell>
          <cell r="AT37">
            <v>5</v>
          </cell>
          <cell r="AU37">
            <v>20</v>
          </cell>
          <cell r="AV37">
            <v>20</v>
          </cell>
          <cell r="AW37">
            <v>55</v>
          </cell>
          <cell r="AX37">
            <v>95</v>
          </cell>
          <cell r="AY37">
            <v>0</v>
          </cell>
          <cell r="AZ37">
            <v>5</v>
          </cell>
          <cell r="BA37">
            <v>9</v>
          </cell>
          <cell r="BB37">
            <v>10</v>
          </cell>
          <cell r="BC37">
            <v>38</v>
          </cell>
          <cell r="BD37">
            <v>22.8</v>
          </cell>
          <cell r="BE37">
            <v>41.8</v>
          </cell>
          <cell r="BF37">
            <v>0</v>
          </cell>
          <cell r="BG37">
            <v>5</v>
          </cell>
          <cell r="BH37">
            <v>34</v>
          </cell>
          <cell r="BI37">
            <v>4.8571428571428568</v>
          </cell>
          <cell r="BJ37" t="str">
            <v>BETTER</v>
          </cell>
          <cell r="BK37">
            <v>678.3</v>
          </cell>
          <cell r="BL37">
            <v>27</v>
          </cell>
          <cell r="BM37">
            <v>64</v>
          </cell>
          <cell r="BN37">
            <v>546</v>
          </cell>
          <cell r="BO37">
            <v>529</v>
          </cell>
          <cell r="BP37">
            <v>678.3</v>
          </cell>
          <cell r="BQ37">
            <v>584.43333333333328</v>
          </cell>
          <cell r="BR37" t="e">
            <v>#REF!</v>
          </cell>
          <cell r="BS37">
            <v>64</v>
          </cell>
        </row>
        <row r="38">
          <cell r="E38" t="str">
            <v>ROMANA AKTER</v>
          </cell>
          <cell r="F38">
            <v>20</v>
          </cell>
          <cell r="G38">
            <v>20</v>
          </cell>
          <cell r="H38">
            <v>57</v>
          </cell>
          <cell r="I38">
            <v>97</v>
          </cell>
          <cell r="J38">
            <v>10</v>
          </cell>
          <cell r="K38">
            <v>10</v>
          </cell>
          <cell r="L38">
            <v>30</v>
          </cell>
          <cell r="M38">
            <v>50</v>
          </cell>
          <cell r="N38">
            <v>147</v>
          </cell>
          <cell r="O38">
            <v>0</v>
          </cell>
          <cell r="P38">
            <v>5</v>
          </cell>
          <cell r="Q38">
            <v>16</v>
          </cell>
          <cell r="R38">
            <v>20</v>
          </cell>
          <cell r="S38">
            <v>55</v>
          </cell>
          <cell r="T38">
            <v>91</v>
          </cell>
          <cell r="U38">
            <v>10</v>
          </cell>
          <cell r="V38">
            <v>10</v>
          </cell>
          <cell r="W38">
            <v>54</v>
          </cell>
          <cell r="X38">
            <v>27</v>
          </cell>
          <cell r="Y38">
            <v>47</v>
          </cell>
          <cell r="Z38">
            <v>138</v>
          </cell>
          <cell r="AA38">
            <v>0</v>
          </cell>
          <cell r="AB38">
            <v>5</v>
          </cell>
          <cell r="AC38">
            <v>19</v>
          </cell>
          <cell r="AD38">
            <v>20</v>
          </cell>
          <cell r="AE38">
            <v>60</v>
          </cell>
          <cell r="AF38">
            <v>99</v>
          </cell>
          <cell r="AG38">
            <v>0</v>
          </cell>
          <cell r="AH38">
            <v>5</v>
          </cell>
          <cell r="AI38">
            <v>20</v>
          </cell>
          <cell r="AJ38">
            <v>20</v>
          </cell>
          <cell r="AK38">
            <v>58</v>
          </cell>
          <cell r="AL38">
            <v>98</v>
          </cell>
          <cell r="AM38">
            <v>0</v>
          </cell>
          <cell r="AN38">
            <v>5</v>
          </cell>
          <cell r="AO38">
            <v>20</v>
          </cell>
          <cell r="AP38">
            <v>20</v>
          </cell>
          <cell r="AQ38">
            <v>59</v>
          </cell>
          <cell r="AR38">
            <v>99</v>
          </cell>
          <cell r="AS38">
            <v>0</v>
          </cell>
          <cell r="AT38">
            <v>5</v>
          </cell>
          <cell r="AU38">
            <v>19</v>
          </cell>
          <cell r="AV38">
            <v>20</v>
          </cell>
          <cell r="AW38">
            <v>60</v>
          </cell>
          <cell r="AX38">
            <v>99</v>
          </cell>
          <cell r="AY38">
            <v>0</v>
          </cell>
          <cell r="AZ38">
            <v>5</v>
          </cell>
          <cell r="BA38">
            <v>10</v>
          </cell>
          <cell r="BB38">
            <v>10</v>
          </cell>
          <cell r="BC38">
            <v>47</v>
          </cell>
          <cell r="BD38">
            <v>28.2</v>
          </cell>
          <cell r="BE38">
            <v>48.2</v>
          </cell>
          <cell r="BF38">
            <v>0</v>
          </cell>
          <cell r="BG38">
            <v>5</v>
          </cell>
          <cell r="BH38">
            <v>35</v>
          </cell>
          <cell r="BI38">
            <v>5</v>
          </cell>
          <cell r="BJ38" t="str">
            <v>BEST</v>
          </cell>
          <cell r="BK38">
            <v>728.2</v>
          </cell>
          <cell r="BL38">
            <v>9</v>
          </cell>
          <cell r="BM38">
            <v>62</v>
          </cell>
          <cell r="BN38">
            <v>670</v>
          </cell>
          <cell r="BO38">
            <v>721.5</v>
          </cell>
          <cell r="BP38">
            <v>728.2</v>
          </cell>
          <cell r="BQ38">
            <v>706.56666666666661</v>
          </cell>
          <cell r="BR38" t="e">
            <v>#REF!</v>
          </cell>
          <cell r="BS38">
            <v>5</v>
          </cell>
        </row>
        <row r="39">
          <cell r="E39" t="str">
            <v>TASLIMA KHAN</v>
          </cell>
          <cell r="F39">
            <v>20</v>
          </cell>
          <cell r="G39">
            <v>20</v>
          </cell>
          <cell r="H39">
            <v>56</v>
          </cell>
          <cell r="I39">
            <v>96</v>
          </cell>
          <cell r="J39">
            <v>9</v>
          </cell>
          <cell r="K39">
            <v>10</v>
          </cell>
          <cell r="L39">
            <v>26</v>
          </cell>
          <cell r="M39">
            <v>45</v>
          </cell>
          <cell r="N39">
            <v>141</v>
          </cell>
          <cell r="O39">
            <v>0</v>
          </cell>
          <cell r="P39">
            <v>5</v>
          </cell>
          <cell r="Q39">
            <v>16</v>
          </cell>
          <cell r="R39">
            <v>20</v>
          </cell>
          <cell r="S39">
            <v>43</v>
          </cell>
          <cell r="T39">
            <v>79</v>
          </cell>
          <cell r="U39">
            <v>9</v>
          </cell>
          <cell r="V39">
            <v>10</v>
          </cell>
          <cell r="W39">
            <v>38</v>
          </cell>
          <cell r="X39">
            <v>19</v>
          </cell>
          <cell r="Y39">
            <v>38</v>
          </cell>
          <cell r="Z39">
            <v>117</v>
          </cell>
          <cell r="AA39">
            <v>0</v>
          </cell>
          <cell r="AB39">
            <v>4</v>
          </cell>
          <cell r="AC39">
            <v>19</v>
          </cell>
          <cell r="AD39">
            <v>20</v>
          </cell>
          <cell r="AE39">
            <v>57</v>
          </cell>
          <cell r="AF39">
            <v>96</v>
          </cell>
          <cell r="AG39">
            <v>0</v>
          </cell>
          <cell r="AH39">
            <v>5</v>
          </cell>
          <cell r="AI39">
            <v>19</v>
          </cell>
          <cell r="AJ39">
            <v>20</v>
          </cell>
          <cell r="AK39">
            <v>51</v>
          </cell>
          <cell r="AL39">
            <v>90</v>
          </cell>
          <cell r="AM39">
            <v>0</v>
          </cell>
          <cell r="AN39">
            <v>5</v>
          </cell>
          <cell r="AO39">
            <v>19</v>
          </cell>
          <cell r="AP39">
            <v>20</v>
          </cell>
          <cell r="AQ39">
            <v>53</v>
          </cell>
          <cell r="AR39">
            <v>92</v>
          </cell>
          <cell r="AS39">
            <v>0</v>
          </cell>
          <cell r="AT39">
            <v>5</v>
          </cell>
          <cell r="AU39">
            <v>18</v>
          </cell>
          <cell r="AV39">
            <v>20</v>
          </cell>
          <cell r="AW39">
            <v>55</v>
          </cell>
          <cell r="AX39">
            <v>93</v>
          </cell>
          <cell r="AY39">
            <v>0</v>
          </cell>
          <cell r="AZ39">
            <v>5</v>
          </cell>
          <cell r="BA39">
            <v>10</v>
          </cell>
          <cell r="BB39">
            <v>10</v>
          </cell>
          <cell r="BC39">
            <v>47</v>
          </cell>
          <cell r="BD39">
            <v>28.2</v>
          </cell>
          <cell r="BE39">
            <v>48.2</v>
          </cell>
          <cell r="BF39">
            <v>0</v>
          </cell>
          <cell r="BG39">
            <v>5</v>
          </cell>
          <cell r="BH39">
            <v>34</v>
          </cell>
          <cell r="BI39">
            <v>4.8571428571428568</v>
          </cell>
          <cell r="BJ39" t="str">
            <v>BETTER</v>
          </cell>
          <cell r="BK39">
            <v>677.2</v>
          </cell>
          <cell r="BL39">
            <v>28</v>
          </cell>
          <cell r="BM39">
            <v>57</v>
          </cell>
          <cell r="BN39">
            <v>555</v>
          </cell>
          <cell r="BO39">
            <v>681.5</v>
          </cell>
          <cell r="BP39">
            <v>677.2</v>
          </cell>
          <cell r="BQ39">
            <v>637.9</v>
          </cell>
          <cell r="BR39" t="e">
            <v>#REF!</v>
          </cell>
          <cell r="BS39">
            <v>31</v>
          </cell>
        </row>
        <row r="40">
          <cell r="E40" t="str">
            <v>JOHORA AKTER</v>
          </cell>
          <cell r="F40">
            <v>20</v>
          </cell>
          <cell r="G40">
            <v>20</v>
          </cell>
          <cell r="H40">
            <v>59</v>
          </cell>
          <cell r="I40">
            <v>99</v>
          </cell>
          <cell r="J40">
            <v>9</v>
          </cell>
          <cell r="K40">
            <v>10</v>
          </cell>
          <cell r="L40">
            <v>30</v>
          </cell>
          <cell r="M40">
            <v>49</v>
          </cell>
          <cell r="N40">
            <v>148</v>
          </cell>
          <cell r="O40">
            <v>0</v>
          </cell>
          <cell r="P40">
            <v>5</v>
          </cell>
          <cell r="Q40">
            <v>17</v>
          </cell>
          <cell r="R40">
            <v>20</v>
          </cell>
          <cell r="S40">
            <v>43</v>
          </cell>
          <cell r="T40">
            <v>80</v>
          </cell>
          <cell r="U40">
            <v>9</v>
          </cell>
          <cell r="V40">
            <v>10</v>
          </cell>
          <cell r="W40">
            <v>44</v>
          </cell>
          <cell r="X40">
            <v>22</v>
          </cell>
          <cell r="Y40">
            <v>41</v>
          </cell>
          <cell r="Z40">
            <v>121</v>
          </cell>
          <cell r="AA40">
            <v>0</v>
          </cell>
          <cell r="AB40">
            <v>5</v>
          </cell>
          <cell r="AC40">
            <v>16</v>
          </cell>
          <cell r="AD40">
            <v>20</v>
          </cell>
          <cell r="AE40">
            <v>60</v>
          </cell>
          <cell r="AF40">
            <v>96</v>
          </cell>
          <cell r="AG40">
            <v>0</v>
          </cell>
          <cell r="AH40">
            <v>5</v>
          </cell>
          <cell r="AI40">
            <v>18</v>
          </cell>
          <cell r="AJ40">
            <v>20</v>
          </cell>
          <cell r="AK40">
            <v>45</v>
          </cell>
          <cell r="AL40">
            <v>83</v>
          </cell>
          <cell r="AM40">
            <v>0</v>
          </cell>
          <cell r="AN40">
            <v>5</v>
          </cell>
          <cell r="AO40">
            <v>19</v>
          </cell>
          <cell r="AP40">
            <v>20</v>
          </cell>
          <cell r="AQ40">
            <v>51</v>
          </cell>
          <cell r="AR40">
            <v>90</v>
          </cell>
          <cell r="AS40">
            <v>0</v>
          </cell>
          <cell r="AT40">
            <v>5</v>
          </cell>
          <cell r="AU40">
            <v>19</v>
          </cell>
          <cell r="AV40">
            <v>20</v>
          </cell>
          <cell r="AW40">
            <v>57</v>
          </cell>
          <cell r="AX40">
            <v>96</v>
          </cell>
          <cell r="AY40">
            <v>0</v>
          </cell>
          <cell r="AZ40">
            <v>5</v>
          </cell>
          <cell r="BA40">
            <v>9</v>
          </cell>
          <cell r="BB40">
            <v>10</v>
          </cell>
          <cell r="BC40">
            <v>39</v>
          </cell>
          <cell r="BD40">
            <v>23.4</v>
          </cell>
          <cell r="BE40">
            <v>42.4</v>
          </cell>
          <cell r="BF40">
            <v>0</v>
          </cell>
          <cell r="BG40">
            <v>5</v>
          </cell>
          <cell r="BH40">
            <v>35</v>
          </cell>
          <cell r="BI40">
            <v>5</v>
          </cell>
          <cell r="BJ40" t="str">
            <v>BEST</v>
          </cell>
          <cell r="BK40">
            <v>676.4</v>
          </cell>
          <cell r="BL40">
            <v>21</v>
          </cell>
          <cell r="BM40">
            <v>57</v>
          </cell>
          <cell r="BN40">
            <v>546</v>
          </cell>
          <cell r="BO40">
            <v>698</v>
          </cell>
          <cell r="BP40">
            <v>676.4</v>
          </cell>
          <cell r="BQ40">
            <v>640.13333333333333</v>
          </cell>
          <cell r="BR40" t="e">
            <v>#REF!</v>
          </cell>
          <cell r="BS40">
            <v>38</v>
          </cell>
        </row>
        <row r="41">
          <cell r="E41" t="str">
            <v>SHEOULI AKTER JHARNA</v>
          </cell>
          <cell r="F41">
            <v>20</v>
          </cell>
          <cell r="G41">
            <v>20</v>
          </cell>
          <cell r="H41">
            <v>57</v>
          </cell>
          <cell r="I41">
            <v>97</v>
          </cell>
          <cell r="J41">
            <v>10</v>
          </cell>
          <cell r="K41">
            <v>10</v>
          </cell>
          <cell r="L41">
            <v>30</v>
          </cell>
          <cell r="M41">
            <v>50</v>
          </cell>
          <cell r="N41">
            <v>147</v>
          </cell>
          <cell r="O41">
            <v>0</v>
          </cell>
          <cell r="P41">
            <v>5</v>
          </cell>
          <cell r="Q41">
            <v>11</v>
          </cell>
          <cell r="R41">
            <v>19</v>
          </cell>
          <cell r="S41">
            <v>52</v>
          </cell>
          <cell r="T41">
            <v>82</v>
          </cell>
          <cell r="U41">
            <v>8</v>
          </cell>
          <cell r="V41">
            <v>10</v>
          </cell>
          <cell r="W41">
            <v>41</v>
          </cell>
          <cell r="X41">
            <v>20.5</v>
          </cell>
          <cell r="Y41">
            <v>38.5</v>
          </cell>
          <cell r="Z41">
            <v>120.5</v>
          </cell>
          <cell r="AA41">
            <v>0</v>
          </cell>
          <cell r="AB41">
            <v>5</v>
          </cell>
          <cell r="AC41">
            <v>16</v>
          </cell>
          <cell r="AD41">
            <v>20</v>
          </cell>
          <cell r="AE41">
            <v>60</v>
          </cell>
          <cell r="AF41">
            <v>96</v>
          </cell>
          <cell r="AG41">
            <v>0</v>
          </cell>
          <cell r="AH41">
            <v>5</v>
          </cell>
          <cell r="AI41">
            <v>17</v>
          </cell>
          <cell r="AJ41">
            <v>20</v>
          </cell>
          <cell r="AK41">
            <v>57</v>
          </cell>
          <cell r="AL41">
            <v>94</v>
          </cell>
          <cell r="AM41">
            <v>0</v>
          </cell>
          <cell r="AN41">
            <v>5</v>
          </cell>
          <cell r="AO41">
            <v>20</v>
          </cell>
          <cell r="AP41">
            <v>20</v>
          </cell>
          <cell r="AQ41">
            <v>59</v>
          </cell>
          <cell r="AR41">
            <v>99</v>
          </cell>
          <cell r="AS41">
            <v>0</v>
          </cell>
          <cell r="AT41">
            <v>5</v>
          </cell>
          <cell r="AU41">
            <v>20</v>
          </cell>
          <cell r="AV41">
            <v>20</v>
          </cell>
          <cell r="AW41">
            <v>58</v>
          </cell>
          <cell r="AX41">
            <v>98</v>
          </cell>
          <cell r="AY41">
            <v>0</v>
          </cell>
          <cell r="AZ41">
            <v>5</v>
          </cell>
          <cell r="BA41">
            <v>10</v>
          </cell>
          <cell r="BB41">
            <v>10</v>
          </cell>
          <cell r="BC41">
            <v>48</v>
          </cell>
          <cell r="BD41">
            <v>28.799999999999997</v>
          </cell>
          <cell r="BE41">
            <v>48.8</v>
          </cell>
          <cell r="BF41">
            <v>0</v>
          </cell>
          <cell r="BG41">
            <v>5</v>
          </cell>
          <cell r="BH41">
            <v>35</v>
          </cell>
          <cell r="BI41">
            <v>5</v>
          </cell>
          <cell r="BJ41" t="str">
            <v>BEST</v>
          </cell>
          <cell r="BK41">
            <v>703.3</v>
          </cell>
          <cell r="BL41">
            <v>56</v>
          </cell>
          <cell r="BM41">
            <v>56</v>
          </cell>
          <cell r="BN41">
            <v>585</v>
          </cell>
          <cell r="BO41">
            <v>677.5</v>
          </cell>
          <cell r="BP41">
            <v>703.3</v>
          </cell>
          <cell r="BQ41">
            <v>655.26666666666665</v>
          </cell>
          <cell r="BR41" t="e">
            <v>#REF!</v>
          </cell>
          <cell r="BS41">
            <v>28</v>
          </cell>
        </row>
        <row r="42">
          <cell r="E42" t="str">
            <v>HUSNARRA AKTER RITA</v>
          </cell>
          <cell r="F42">
            <v>20</v>
          </cell>
          <cell r="G42">
            <v>20</v>
          </cell>
          <cell r="H42">
            <v>59</v>
          </cell>
          <cell r="I42">
            <v>99</v>
          </cell>
          <cell r="J42">
            <v>0</v>
          </cell>
          <cell r="K42">
            <v>7</v>
          </cell>
          <cell r="L42">
            <v>30</v>
          </cell>
          <cell r="M42">
            <v>37</v>
          </cell>
          <cell r="N42">
            <v>136</v>
          </cell>
          <cell r="O42">
            <v>0</v>
          </cell>
          <cell r="P42">
            <v>5</v>
          </cell>
          <cell r="Q42">
            <v>16</v>
          </cell>
          <cell r="R42">
            <v>20</v>
          </cell>
          <cell r="S42">
            <v>53</v>
          </cell>
          <cell r="T42">
            <v>89</v>
          </cell>
          <cell r="U42">
            <v>8</v>
          </cell>
          <cell r="V42">
            <v>10</v>
          </cell>
          <cell r="W42">
            <v>51</v>
          </cell>
          <cell r="X42">
            <v>25.5</v>
          </cell>
          <cell r="Y42">
            <v>43.5</v>
          </cell>
          <cell r="Z42">
            <v>132.5</v>
          </cell>
          <cell r="AA42">
            <v>0</v>
          </cell>
          <cell r="AB42">
            <v>5</v>
          </cell>
          <cell r="AC42">
            <v>11</v>
          </cell>
          <cell r="AD42">
            <v>20</v>
          </cell>
          <cell r="AE42">
            <v>57</v>
          </cell>
          <cell r="AF42">
            <v>88</v>
          </cell>
          <cell r="AG42">
            <v>0</v>
          </cell>
          <cell r="AH42">
            <v>5</v>
          </cell>
          <cell r="AI42">
            <v>15</v>
          </cell>
          <cell r="AJ42">
            <v>20</v>
          </cell>
          <cell r="AK42">
            <v>47</v>
          </cell>
          <cell r="AL42">
            <v>82</v>
          </cell>
          <cell r="AM42">
            <v>0</v>
          </cell>
          <cell r="AN42">
            <v>5</v>
          </cell>
          <cell r="AO42">
            <v>20</v>
          </cell>
          <cell r="AP42">
            <v>20</v>
          </cell>
          <cell r="AQ42">
            <v>56</v>
          </cell>
          <cell r="AR42">
            <v>96</v>
          </cell>
          <cell r="AS42">
            <v>0</v>
          </cell>
          <cell r="AT42">
            <v>5</v>
          </cell>
          <cell r="AU42">
            <v>18</v>
          </cell>
          <cell r="AV42">
            <v>20</v>
          </cell>
          <cell r="AW42">
            <v>54</v>
          </cell>
          <cell r="AX42">
            <v>92</v>
          </cell>
          <cell r="AY42">
            <v>0</v>
          </cell>
          <cell r="AZ42">
            <v>5</v>
          </cell>
          <cell r="BA42">
            <v>10</v>
          </cell>
          <cell r="BB42">
            <v>10</v>
          </cell>
          <cell r="BC42">
            <v>42</v>
          </cell>
          <cell r="BD42">
            <v>25.2</v>
          </cell>
          <cell r="BE42">
            <v>45.2</v>
          </cell>
          <cell r="BF42">
            <v>0</v>
          </cell>
          <cell r="BG42">
            <v>5</v>
          </cell>
          <cell r="BH42">
            <v>35</v>
          </cell>
          <cell r="BI42">
            <v>5</v>
          </cell>
          <cell r="BJ42" t="str">
            <v>BEST</v>
          </cell>
          <cell r="BK42">
            <v>671.7</v>
          </cell>
          <cell r="BL42">
            <v>31</v>
          </cell>
          <cell r="BM42">
            <v>57</v>
          </cell>
          <cell r="BN42">
            <v>557</v>
          </cell>
          <cell r="BO42">
            <v>677.5</v>
          </cell>
          <cell r="BP42">
            <v>671.7</v>
          </cell>
          <cell r="BQ42">
            <v>635.4</v>
          </cell>
          <cell r="BR42" t="e">
            <v>#REF!</v>
          </cell>
          <cell r="BS42">
            <v>30</v>
          </cell>
        </row>
        <row r="43">
          <cell r="E43" t="str">
            <v>RUMA BEGUM</v>
          </cell>
          <cell r="F43">
            <v>20</v>
          </cell>
          <cell r="G43">
            <v>20</v>
          </cell>
          <cell r="H43">
            <v>58</v>
          </cell>
          <cell r="I43">
            <v>98</v>
          </cell>
          <cell r="J43">
            <v>10</v>
          </cell>
          <cell r="K43">
            <v>10</v>
          </cell>
          <cell r="L43">
            <v>28</v>
          </cell>
          <cell r="M43">
            <v>48</v>
          </cell>
          <cell r="N43">
            <v>146</v>
          </cell>
          <cell r="O43">
            <v>0</v>
          </cell>
          <cell r="P43">
            <v>5</v>
          </cell>
          <cell r="Q43">
            <v>18</v>
          </cell>
          <cell r="R43">
            <v>20</v>
          </cell>
          <cell r="S43">
            <v>49</v>
          </cell>
          <cell r="T43">
            <v>87</v>
          </cell>
          <cell r="U43">
            <v>9</v>
          </cell>
          <cell r="V43">
            <v>10</v>
          </cell>
          <cell r="W43">
            <v>42</v>
          </cell>
          <cell r="X43">
            <v>21</v>
          </cell>
          <cell r="Y43">
            <v>40</v>
          </cell>
          <cell r="Z43">
            <v>127</v>
          </cell>
          <cell r="AA43">
            <v>0</v>
          </cell>
          <cell r="AB43">
            <v>5</v>
          </cell>
          <cell r="AC43">
            <v>16</v>
          </cell>
          <cell r="AD43">
            <v>20</v>
          </cell>
          <cell r="AE43">
            <v>60</v>
          </cell>
          <cell r="AF43">
            <v>96</v>
          </cell>
          <cell r="AG43">
            <v>0</v>
          </cell>
          <cell r="AH43">
            <v>5</v>
          </cell>
          <cell r="AI43">
            <v>15</v>
          </cell>
          <cell r="AJ43">
            <v>20</v>
          </cell>
          <cell r="AK43">
            <v>47</v>
          </cell>
          <cell r="AL43">
            <v>82</v>
          </cell>
          <cell r="AM43">
            <v>0</v>
          </cell>
          <cell r="AN43">
            <v>5</v>
          </cell>
          <cell r="AO43">
            <v>16</v>
          </cell>
          <cell r="AP43">
            <v>20</v>
          </cell>
          <cell r="AQ43">
            <v>54</v>
          </cell>
          <cell r="AR43">
            <v>90</v>
          </cell>
          <cell r="AS43">
            <v>0</v>
          </cell>
          <cell r="AT43">
            <v>5</v>
          </cell>
          <cell r="AU43">
            <v>18</v>
          </cell>
          <cell r="AV43">
            <v>20</v>
          </cell>
          <cell r="AW43">
            <v>51</v>
          </cell>
          <cell r="AX43">
            <v>89</v>
          </cell>
          <cell r="AY43">
            <v>0</v>
          </cell>
          <cell r="AZ43">
            <v>5</v>
          </cell>
          <cell r="BA43">
            <v>10</v>
          </cell>
          <cell r="BB43">
            <v>10</v>
          </cell>
          <cell r="BC43">
            <v>49</v>
          </cell>
          <cell r="BD43">
            <v>29.4</v>
          </cell>
          <cell r="BE43">
            <v>49.4</v>
          </cell>
          <cell r="BF43">
            <v>0</v>
          </cell>
          <cell r="BG43">
            <v>5</v>
          </cell>
          <cell r="BH43">
            <v>35</v>
          </cell>
          <cell r="BI43">
            <v>5</v>
          </cell>
          <cell r="BJ43" t="str">
            <v>BEST</v>
          </cell>
          <cell r="BK43">
            <v>679.4</v>
          </cell>
          <cell r="BL43">
            <v>39</v>
          </cell>
          <cell r="BM43">
            <v>60</v>
          </cell>
          <cell r="BN43">
            <v>584</v>
          </cell>
          <cell r="BO43">
            <v>686.4</v>
          </cell>
          <cell r="BP43">
            <v>679.4</v>
          </cell>
          <cell r="BQ43">
            <v>649.93333333333339</v>
          </cell>
          <cell r="BR43" t="e">
            <v>#REF!</v>
          </cell>
          <cell r="BS43">
            <v>25</v>
          </cell>
        </row>
        <row r="44">
          <cell r="E44" t="str">
            <v>ROJINA AKTHER</v>
          </cell>
          <cell r="F44">
            <v>20</v>
          </cell>
          <cell r="G44">
            <v>20</v>
          </cell>
          <cell r="H44">
            <v>60</v>
          </cell>
          <cell r="I44">
            <v>100</v>
          </cell>
          <cell r="J44">
            <v>10</v>
          </cell>
          <cell r="K44">
            <v>10</v>
          </cell>
          <cell r="L44">
            <v>29</v>
          </cell>
          <cell r="M44">
            <v>49</v>
          </cell>
          <cell r="N44">
            <v>149</v>
          </cell>
          <cell r="O44">
            <v>0</v>
          </cell>
          <cell r="P44">
            <v>5</v>
          </cell>
          <cell r="Q44">
            <v>18</v>
          </cell>
          <cell r="R44">
            <v>20</v>
          </cell>
          <cell r="S44">
            <v>32</v>
          </cell>
          <cell r="T44">
            <v>70</v>
          </cell>
          <cell r="U44">
            <v>8</v>
          </cell>
          <cell r="V44">
            <v>10</v>
          </cell>
          <cell r="W44">
            <v>41</v>
          </cell>
          <cell r="X44">
            <v>20.5</v>
          </cell>
          <cell r="Y44">
            <v>38.5</v>
          </cell>
          <cell r="Z44">
            <v>108.5</v>
          </cell>
          <cell r="AA44">
            <v>0</v>
          </cell>
          <cell r="AB44">
            <v>4</v>
          </cell>
          <cell r="AC44">
            <v>11</v>
          </cell>
          <cell r="AD44">
            <v>20</v>
          </cell>
          <cell r="AE44">
            <v>59</v>
          </cell>
          <cell r="AF44">
            <v>90</v>
          </cell>
          <cell r="AG44">
            <v>0</v>
          </cell>
          <cell r="AH44">
            <v>5</v>
          </cell>
          <cell r="AI44">
            <v>18</v>
          </cell>
          <cell r="AJ44">
            <v>20</v>
          </cell>
          <cell r="AK44">
            <v>56</v>
          </cell>
          <cell r="AL44">
            <v>94</v>
          </cell>
          <cell r="AM44">
            <v>0</v>
          </cell>
          <cell r="AN44">
            <v>5</v>
          </cell>
          <cell r="AO44">
            <v>20</v>
          </cell>
          <cell r="AP44">
            <v>20</v>
          </cell>
          <cell r="AQ44">
            <v>55</v>
          </cell>
          <cell r="AR44">
            <v>95</v>
          </cell>
          <cell r="AS44">
            <v>0</v>
          </cell>
          <cell r="AT44">
            <v>5</v>
          </cell>
          <cell r="AU44">
            <v>20</v>
          </cell>
          <cell r="AV44">
            <v>20</v>
          </cell>
          <cell r="AW44">
            <v>57</v>
          </cell>
          <cell r="AX44">
            <v>97</v>
          </cell>
          <cell r="AY44">
            <v>0</v>
          </cell>
          <cell r="AZ44">
            <v>5</v>
          </cell>
          <cell r="BA44">
            <v>10</v>
          </cell>
          <cell r="BB44">
            <v>10</v>
          </cell>
          <cell r="BC44">
            <v>44</v>
          </cell>
          <cell r="BD44">
            <v>26.4</v>
          </cell>
          <cell r="BE44">
            <v>46.4</v>
          </cell>
          <cell r="BF44">
            <v>0</v>
          </cell>
          <cell r="BG44">
            <v>5</v>
          </cell>
          <cell r="BH44">
            <v>34</v>
          </cell>
          <cell r="BI44">
            <v>4.8571428571428568</v>
          </cell>
          <cell r="BJ44" t="str">
            <v>BETTER</v>
          </cell>
          <cell r="BK44">
            <v>679.9</v>
          </cell>
          <cell r="BL44">
            <v>44</v>
          </cell>
          <cell r="BM44">
            <v>61</v>
          </cell>
          <cell r="BN44">
            <v>595</v>
          </cell>
          <cell r="BO44">
            <v>677.4</v>
          </cell>
          <cell r="BP44">
            <v>679.9</v>
          </cell>
          <cell r="BQ44">
            <v>650.76666666666677</v>
          </cell>
          <cell r="BR44" t="e">
            <v>#REF!</v>
          </cell>
          <cell r="BS44">
            <v>24</v>
          </cell>
        </row>
        <row r="45">
          <cell r="E45" t="str">
            <v>AMINA BEGUM</v>
          </cell>
          <cell r="F45">
            <v>17</v>
          </cell>
          <cell r="G45">
            <v>20</v>
          </cell>
          <cell r="H45">
            <v>51</v>
          </cell>
          <cell r="I45">
            <v>88</v>
          </cell>
          <cell r="J45">
            <v>10</v>
          </cell>
          <cell r="K45">
            <v>7</v>
          </cell>
          <cell r="L45">
            <v>27</v>
          </cell>
          <cell r="M45">
            <v>44</v>
          </cell>
          <cell r="N45">
            <v>132</v>
          </cell>
          <cell r="O45">
            <v>0</v>
          </cell>
          <cell r="P45">
            <v>5</v>
          </cell>
          <cell r="Q45">
            <v>14</v>
          </cell>
          <cell r="R45">
            <v>20</v>
          </cell>
          <cell r="S45">
            <v>39</v>
          </cell>
          <cell r="T45">
            <v>73</v>
          </cell>
          <cell r="U45">
            <v>7</v>
          </cell>
          <cell r="V45">
            <v>10</v>
          </cell>
          <cell r="W45">
            <v>29</v>
          </cell>
          <cell r="X45">
            <v>14.5</v>
          </cell>
          <cell r="Y45">
            <v>31.5</v>
          </cell>
          <cell r="Z45">
            <v>104.5</v>
          </cell>
          <cell r="AA45">
            <v>0</v>
          </cell>
          <cell r="AB45">
            <v>3.5</v>
          </cell>
          <cell r="AC45">
            <v>11</v>
          </cell>
          <cell r="AD45">
            <v>20</v>
          </cell>
          <cell r="AE45">
            <v>40</v>
          </cell>
          <cell r="AF45">
            <v>71</v>
          </cell>
          <cell r="AG45">
            <v>0</v>
          </cell>
          <cell r="AH45">
            <v>4</v>
          </cell>
          <cell r="AI45">
            <v>13</v>
          </cell>
          <cell r="AJ45">
            <v>20</v>
          </cell>
          <cell r="AK45">
            <v>41</v>
          </cell>
          <cell r="AL45">
            <v>74</v>
          </cell>
          <cell r="AM45">
            <v>0</v>
          </cell>
          <cell r="AN45">
            <v>4</v>
          </cell>
          <cell r="AO45">
            <v>19</v>
          </cell>
          <cell r="AP45">
            <v>20</v>
          </cell>
          <cell r="AQ45">
            <v>48</v>
          </cell>
          <cell r="AR45">
            <v>87</v>
          </cell>
          <cell r="AS45">
            <v>0</v>
          </cell>
          <cell r="AT45">
            <v>5</v>
          </cell>
          <cell r="AU45">
            <v>18</v>
          </cell>
          <cell r="AV45">
            <v>20</v>
          </cell>
          <cell r="AW45">
            <v>53</v>
          </cell>
          <cell r="AX45">
            <v>91</v>
          </cell>
          <cell r="AY45">
            <v>0</v>
          </cell>
          <cell r="AZ45">
            <v>5</v>
          </cell>
          <cell r="BA45">
            <v>9</v>
          </cell>
          <cell r="BB45">
            <v>10</v>
          </cell>
          <cell r="BC45">
            <v>35</v>
          </cell>
          <cell r="BD45">
            <v>21</v>
          </cell>
          <cell r="BE45">
            <v>40</v>
          </cell>
          <cell r="BF45">
            <v>0</v>
          </cell>
          <cell r="BG45">
            <v>5</v>
          </cell>
          <cell r="BH45">
            <v>31.5</v>
          </cell>
          <cell r="BI45">
            <v>4.5</v>
          </cell>
          <cell r="BJ45" t="str">
            <v>BETTER</v>
          </cell>
          <cell r="BK45">
            <v>599.5</v>
          </cell>
          <cell r="BL45">
            <v>60</v>
          </cell>
          <cell r="BM45">
            <v>64</v>
          </cell>
          <cell r="BN45">
            <v>580</v>
          </cell>
          <cell r="BO45">
            <v>655.20000000000005</v>
          </cell>
          <cell r="BP45">
            <v>599.5</v>
          </cell>
          <cell r="BQ45">
            <v>611.56666666666672</v>
          </cell>
          <cell r="BR45" t="e">
            <v>#REF!</v>
          </cell>
          <cell r="BS45">
            <v>46</v>
          </cell>
        </row>
        <row r="46">
          <cell r="E46" t="str">
            <v>FERDOUSI AKTER</v>
          </cell>
          <cell r="F46">
            <v>18</v>
          </cell>
          <cell r="G46">
            <v>20</v>
          </cell>
          <cell r="H46">
            <v>56</v>
          </cell>
          <cell r="I46">
            <v>94</v>
          </cell>
          <cell r="J46">
            <v>10</v>
          </cell>
          <cell r="K46">
            <v>10</v>
          </cell>
          <cell r="L46">
            <v>28</v>
          </cell>
          <cell r="M46">
            <v>48</v>
          </cell>
          <cell r="N46">
            <v>142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50</v>
          </cell>
          <cell r="T46">
            <v>85</v>
          </cell>
          <cell r="U46">
            <v>9</v>
          </cell>
          <cell r="V46">
            <v>10</v>
          </cell>
          <cell r="W46">
            <v>49</v>
          </cell>
          <cell r="X46">
            <v>24.5</v>
          </cell>
          <cell r="Y46">
            <v>43.5</v>
          </cell>
          <cell r="Z46">
            <v>128.5</v>
          </cell>
          <cell r="AA46">
            <v>0</v>
          </cell>
          <cell r="AB46">
            <v>5</v>
          </cell>
          <cell r="AC46">
            <v>15</v>
          </cell>
          <cell r="AD46">
            <v>20</v>
          </cell>
          <cell r="AE46">
            <v>60</v>
          </cell>
          <cell r="AF46">
            <v>95</v>
          </cell>
          <cell r="AG46">
            <v>0</v>
          </cell>
          <cell r="AH46">
            <v>5</v>
          </cell>
          <cell r="AI46">
            <v>18</v>
          </cell>
          <cell r="AJ46">
            <v>20</v>
          </cell>
          <cell r="AK46">
            <v>60</v>
          </cell>
          <cell r="AL46">
            <v>98</v>
          </cell>
          <cell r="AM46">
            <v>0</v>
          </cell>
          <cell r="AN46">
            <v>5</v>
          </cell>
          <cell r="AO46">
            <v>20</v>
          </cell>
          <cell r="AP46">
            <v>20</v>
          </cell>
          <cell r="AQ46">
            <v>59</v>
          </cell>
          <cell r="AR46">
            <v>99</v>
          </cell>
          <cell r="AS46">
            <v>0</v>
          </cell>
          <cell r="AT46">
            <v>5</v>
          </cell>
          <cell r="AU46">
            <v>18</v>
          </cell>
          <cell r="AV46">
            <v>20</v>
          </cell>
          <cell r="AW46">
            <v>58</v>
          </cell>
          <cell r="AX46">
            <v>96</v>
          </cell>
          <cell r="AY46">
            <v>0</v>
          </cell>
          <cell r="AZ46">
            <v>5</v>
          </cell>
          <cell r="BA46">
            <v>10</v>
          </cell>
          <cell r="BB46">
            <v>10</v>
          </cell>
          <cell r="BC46">
            <v>46</v>
          </cell>
          <cell r="BD46">
            <v>27.599999999999998</v>
          </cell>
          <cell r="BE46">
            <v>47.599999999999994</v>
          </cell>
          <cell r="BF46">
            <v>0</v>
          </cell>
          <cell r="BG46">
            <v>5</v>
          </cell>
          <cell r="BH46">
            <v>35</v>
          </cell>
          <cell r="BI46">
            <v>5</v>
          </cell>
          <cell r="BJ46" t="str">
            <v>BEST</v>
          </cell>
          <cell r="BK46">
            <v>706.1</v>
          </cell>
          <cell r="BL46">
            <v>8</v>
          </cell>
          <cell r="BM46">
            <v>55</v>
          </cell>
          <cell r="BN46">
            <v>647</v>
          </cell>
          <cell r="BO46">
            <v>722.3</v>
          </cell>
          <cell r="BP46">
            <v>706.1</v>
          </cell>
          <cell r="BQ46">
            <v>691.80000000000007</v>
          </cell>
          <cell r="BR46" t="e">
            <v>#REF!</v>
          </cell>
          <cell r="BS46">
            <v>7</v>
          </cell>
        </row>
        <row r="47"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 t="e">
            <v>#REF!</v>
          </cell>
          <cell r="BS47">
            <v>0</v>
          </cell>
        </row>
        <row r="48">
          <cell r="E48" t="str">
            <v>SHEULI BEGUM</v>
          </cell>
          <cell r="F48">
            <v>20</v>
          </cell>
          <cell r="G48">
            <v>20</v>
          </cell>
          <cell r="H48">
            <v>60</v>
          </cell>
          <cell r="I48">
            <v>100</v>
          </cell>
          <cell r="J48">
            <v>9</v>
          </cell>
          <cell r="K48">
            <v>8</v>
          </cell>
          <cell r="L48">
            <v>30</v>
          </cell>
          <cell r="M48">
            <v>47</v>
          </cell>
          <cell r="N48">
            <v>147</v>
          </cell>
          <cell r="O48">
            <v>0</v>
          </cell>
          <cell r="P48">
            <v>5</v>
          </cell>
          <cell r="Q48">
            <v>20</v>
          </cell>
          <cell r="R48">
            <v>20</v>
          </cell>
          <cell r="S48">
            <v>57</v>
          </cell>
          <cell r="T48">
            <v>97</v>
          </cell>
          <cell r="U48">
            <v>10</v>
          </cell>
          <cell r="V48">
            <v>10</v>
          </cell>
          <cell r="W48">
            <v>51</v>
          </cell>
          <cell r="X48">
            <v>25.5</v>
          </cell>
          <cell r="Y48">
            <v>45.5</v>
          </cell>
          <cell r="Z48">
            <v>142.5</v>
          </cell>
          <cell r="AA48">
            <v>0</v>
          </cell>
          <cell r="AB48">
            <v>5</v>
          </cell>
          <cell r="AC48">
            <v>19</v>
          </cell>
          <cell r="AD48">
            <v>20</v>
          </cell>
          <cell r="AE48">
            <v>60</v>
          </cell>
          <cell r="AF48">
            <v>99</v>
          </cell>
          <cell r="AG48">
            <v>0</v>
          </cell>
          <cell r="AH48">
            <v>5</v>
          </cell>
          <cell r="AI48">
            <v>20</v>
          </cell>
          <cell r="AJ48">
            <v>20</v>
          </cell>
          <cell r="AK48">
            <v>60</v>
          </cell>
          <cell r="AL48">
            <v>100</v>
          </cell>
          <cell r="AM48">
            <v>0</v>
          </cell>
          <cell r="AN48">
            <v>5</v>
          </cell>
          <cell r="AO48">
            <v>20</v>
          </cell>
          <cell r="AP48">
            <v>20</v>
          </cell>
          <cell r="AQ48">
            <v>0</v>
          </cell>
          <cell r="AR48">
            <v>40</v>
          </cell>
          <cell r="AS48">
            <v>0</v>
          </cell>
          <cell r="AT48">
            <v>2</v>
          </cell>
          <cell r="AU48">
            <v>20</v>
          </cell>
          <cell r="AV48">
            <v>20</v>
          </cell>
          <cell r="AW48">
            <v>60</v>
          </cell>
          <cell r="AX48">
            <v>100</v>
          </cell>
          <cell r="AY48">
            <v>0</v>
          </cell>
          <cell r="AZ48">
            <v>5</v>
          </cell>
          <cell r="BA48">
            <v>10</v>
          </cell>
          <cell r="BB48">
            <v>10</v>
          </cell>
          <cell r="BC48">
            <v>48</v>
          </cell>
          <cell r="BD48">
            <v>28.799999999999997</v>
          </cell>
          <cell r="BE48">
            <v>48.8</v>
          </cell>
          <cell r="BF48">
            <v>0</v>
          </cell>
          <cell r="BG48">
            <v>5</v>
          </cell>
          <cell r="BH48">
            <v>32</v>
          </cell>
          <cell r="BI48">
            <v>4.5714285714285712</v>
          </cell>
          <cell r="BJ48" t="str">
            <v>BETTER</v>
          </cell>
          <cell r="BK48">
            <v>677.3</v>
          </cell>
          <cell r="BL48">
            <v>1</v>
          </cell>
          <cell r="BM48">
            <v>65</v>
          </cell>
          <cell r="BN48">
            <v>670</v>
          </cell>
          <cell r="BO48">
            <v>741.5</v>
          </cell>
          <cell r="BP48">
            <v>677.3</v>
          </cell>
          <cell r="BQ48">
            <v>696.26666666666677</v>
          </cell>
          <cell r="BR48" t="e">
            <v>#REF!</v>
          </cell>
          <cell r="BS48">
            <v>19</v>
          </cell>
        </row>
        <row r="49">
          <cell r="E49" t="str">
            <v>MST.SHAIDA PERVIN</v>
          </cell>
          <cell r="F49">
            <v>20</v>
          </cell>
          <cell r="G49">
            <v>20</v>
          </cell>
          <cell r="H49">
            <v>60</v>
          </cell>
          <cell r="I49">
            <v>100</v>
          </cell>
          <cell r="J49">
            <v>10</v>
          </cell>
          <cell r="K49">
            <v>10</v>
          </cell>
          <cell r="L49">
            <v>30</v>
          </cell>
          <cell r="M49">
            <v>50</v>
          </cell>
          <cell r="N49">
            <v>150</v>
          </cell>
          <cell r="O49">
            <v>0</v>
          </cell>
          <cell r="P49">
            <v>5</v>
          </cell>
          <cell r="Q49">
            <v>20</v>
          </cell>
          <cell r="R49">
            <v>20</v>
          </cell>
          <cell r="S49">
            <v>59</v>
          </cell>
          <cell r="T49">
            <v>99</v>
          </cell>
          <cell r="U49">
            <v>9</v>
          </cell>
          <cell r="V49">
            <v>10</v>
          </cell>
          <cell r="W49">
            <v>48</v>
          </cell>
          <cell r="X49">
            <v>24</v>
          </cell>
          <cell r="Y49">
            <v>43</v>
          </cell>
          <cell r="Z49">
            <v>142</v>
          </cell>
          <cell r="AA49">
            <v>0</v>
          </cell>
          <cell r="AB49">
            <v>5</v>
          </cell>
          <cell r="AC49">
            <v>19</v>
          </cell>
          <cell r="AD49">
            <v>20</v>
          </cell>
          <cell r="AE49">
            <v>60</v>
          </cell>
          <cell r="AF49">
            <v>99</v>
          </cell>
          <cell r="AG49">
            <v>0</v>
          </cell>
          <cell r="AH49">
            <v>5</v>
          </cell>
          <cell r="AI49">
            <v>19</v>
          </cell>
          <cell r="AJ49">
            <v>20</v>
          </cell>
          <cell r="AK49">
            <v>57</v>
          </cell>
          <cell r="AL49">
            <v>96</v>
          </cell>
          <cell r="AM49">
            <v>0</v>
          </cell>
          <cell r="AN49">
            <v>5</v>
          </cell>
          <cell r="AO49">
            <v>20</v>
          </cell>
          <cell r="AP49">
            <v>20</v>
          </cell>
          <cell r="AQ49">
            <v>56</v>
          </cell>
          <cell r="AR49">
            <v>96</v>
          </cell>
          <cell r="AS49">
            <v>0</v>
          </cell>
          <cell r="AT49">
            <v>5</v>
          </cell>
          <cell r="AU49">
            <v>20</v>
          </cell>
          <cell r="AV49">
            <v>20</v>
          </cell>
          <cell r="AW49">
            <v>59</v>
          </cell>
          <cell r="AX49">
            <v>99</v>
          </cell>
          <cell r="AY49">
            <v>0</v>
          </cell>
          <cell r="AZ49">
            <v>5</v>
          </cell>
          <cell r="BA49">
            <v>10</v>
          </cell>
          <cell r="BB49">
            <v>10</v>
          </cell>
          <cell r="BC49">
            <v>49</v>
          </cell>
          <cell r="BD49">
            <v>29.4</v>
          </cell>
          <cell r="BE49">
            <v>49.4</v>
          </cell>
          <cell r="BF49">
            <v>0</v>
          </cell>
          <cell r="BG49">
            <v>5</v>
          </cell>
          <cell r="BH49">
            <v>35</v>
          </cell>
          <cell r="BI49">
            <v>5</v>
          </cell>
          <cell r="BJ49" t="str">
            <v>BEST</v>
          </cell>
          <cell r="BK49">
            <v>731.4</v>
          </cell>
          <cell r="BL49">
            <v>5</v>
          </cell>
          <cell r="BM49">
            <v>60</v>
          </cell>
          <cell r="BN49">
            <v>656</v>
          </cell>
          <cell r="BO49">
            <v>729</v>
          </cell>
          <cell r="BP49">
            <v>731.4</v>
          </cell>
          <cell r="BQ49">
            <v>705.4666666666667</v>
          </cell>
          <cell r="BR49" t="e">
            <v>#REF!</v>
          </cell>
          <cell r="BS49">
            <v>6</v>
          </cell>
        </row>
        <row r="50">
          <cell r="E50" t="str">
            <v>NURA SABA</v>
          </cell>
          <cell r="F50">
            <v>20</v>
          </cell>
          <cell r="G50">
            <v>20</v>
          </cell>
          <cell r="H50">
            <v>60</v>
          </cell>
          <cell r="I50">
            <v>100</v>
          </cell>
          <cell r="J50">
            <v>10</v>
          </cell>
          <cell r="K50">
            <v>10</v>
          </cell>
          <cell r="L50">
            <v>30</v>
          </cell>
          <cell r="M50">
            <v>50</v>
          </cell>
          <cell r="N50">
            <v>150</v>
          </cell>
          <cell r="O50">
            <v>0</v>
          </cell>
          <cell r="P50">
            <v>5</v>
          </cell>
          <cell r="Q50">
            <v>20</v>
          </cell>
          <cell r="R50">
            <v>20</v>
          </cell>
          <cell r="S50">
            <v>59</v>
          </cell>
          <cell r="T50">
            <v>99</v>
          </cell>
          <cell r="U50">
            <v>10</v>
          </cell>
          <cell r="V50">
            <v>10</v>
          </cell>
          <cell r="W50">
            <v>58</v>
          </cell>
          <cell r="X50">
            <v>29</v>
          </cell>
          <cell r="Y50">
            <v>49</v>
          </cell>
          <cell r="Z50">
            <v>148</v>
          </cell>
          <cell r="AA50">
            <v>0</v>
          </cell>
          <cell r="AB50">
            <v>5</v>
          </cell>
          <cell r="AC50">
            <v>20</v>
          </cell>
          <cell r="AD50">
            <v>20</v>
          </cell>
          <cell r="AE50">
            <v>60</v>
          </cell>
          <cell r="AF50">
            <v>100</v>
          </cell>
          <cell r="AG50">
            <v>0</v>
          </cell>
          <cell r="AH50">
            <v>5</v>
          </cell>
          <cell r="AI50">
            <v>18</v>
          </cell>
          <cell r="AJ50">
            <v>20</v>
          </cell>
          <cell r="AK50">
            <v>60</v>
          </cell>
          <cell r="AL50">
            <v>98</v>
          </cell>
          <cell r="AM50">
            <v>0</v>
          </cell>
          <cell r="AN50">
            <v>5</v>
          </cell>
          <cell r="AO50">
            <v>20</v>
          </cell>
          <cell r="AP50">
            <v>20</v>
          </cell>
          <cell r="AQ50">
            <v>60</v>
          </cell>
          <cell r="AR50">
            <v>100</v>
          </cell>
          <cell r="AS50">
            <v>0</v>
          </cell>
          <cell r="AT50">
            <v>5</v>
          </cell>
          <cell r="AU50">
            <v>20</v>
          </cell>
          <cell r="AV50">
            <v>20</v>
          </cell>
          <cell r="AW50">
            <v>60</v>
          </cell>
          <cell r="AX50">
            <v>100</v>
          </cell>
          <cell r="AY50">
            <v>0</v>
          </cell>
          <cell r="AZ50">
            <v>5</v>
          </cell>
          <cell r="BA50">
            <v>10</v>
          </cell>
          <cell r="BB50">
            <v>10</v>
          </cell>
          <cell r="BC50">
            <v>50</v>
          </cell>
          <cell r="BD50">
            <v>30</v>
          </cell>
          <cell r="BE50">
            <v>50</v>
          </cell>
          <cell r="BF50">
            <v>0</v>
          </cell>
          <cell r="BG50">
            <v>5</v>
          </cell>
          <cell r="BH50">
            <v>35</v>
          </cell>
          <cell r="BI50">
            <v>5</v>
          </cell>
          <cell r="BJ50" t="str">
            <v>BEST</v>
          </cell>
          <cell r="BK50">
            <v>746</v>
          </cell>
          <cell r="BL50">
            <v>2</v>
          </cell>
          <cell r="BM50">
            <v>65</v>
          </cell>
          <cell r="BN50">
            <v>708</v>
          </cell>
          <cell r="BO50">
            <v>742</v>
          </cell>
          <cell r="BP50">
            <v>746</v>
          </cell>
          <cell r="BQ50">
            <v>732</v>
          </cell>
          <cell r="BR50" t="e">
            <v>#REF!</v>
          </cell>
          <cell r="BS50">
            <v>1</v>
          </cell>
        </row>
        <row r="51">
          <cell r="E51" t="str">
            <v>KHADIJA KHANDAKAR</v>
          </cell>
          <cell r="F51">
            <v>20</v>
          </cell>
          <cell r="G51">
            <v>20</v>
          </cell>
          <cell r="H51">
            <v>53</v>
          </cell>
          <cell r="I51">
            <v>93</v>
          </cell>
          <cell r="J51">
            <v>9</v>
          </cell>
          <cell r="K51">
            <v>10</v>
          </cell>
          <cell r="L51">
            <v>29</v>
          </cell>
          <cell r="M51">
            <v>48</v>
          </cell>
          <cell r="N51">
            <v>141</v>
          </cell>
          <cell r="O51">
            <v>0</v>
          </cell>
          <cell r="P51">
            <v>5</v>
          </cell>
          <cell r="Q51">
            <v>17</v>
          </cell>
          <cell r="R51">
            <v>19</v>
          </cell>
          <cell r="S51">
            <v>50</v>
          </cell>
          <cell r="T51">
            <v>86</v>
          </cell>
          <cell r="U51">
            <v>9</v>
          </cell>
          <cell r="V51">
            <v>10</v>
          </cell>
          <cell r="W51">
            <v>37</v>
          </cell>
          <cell r="X51">
            <v>18.5</v>
          </cell>
          <cell r="Y51">
            <v>37.5</v>
          </cell>
          <cell r="Z51">
            <v>123.5</v>
          </cell>
          <cell r="AA51">
            <v>0</v>
          </cell>
          <cell r="AB51">
            <v>5</v>
          </cell>
          <cell r="AC51">
            <v>19</v>
          </cell>
          <cell r="AD51">
            <v>20</v>
          </cell>
          <cell r="AE51">
            <v>60</v>
          </cell>
          <cell r="AF51">
            <v>99</v>
          </cell>
          <cell r="AG51">
            <v>0</v>
          </cell>
          <cell r="AH51">
            <v>5</v>
          </cell>
          <cell r="AI51">
            <v>15</v>
          </cell>
          <cell r="AJ51">
            <v>20</v>
          </cell>
          <cell r="AK51">
            <v>42</v>
          </cell>
          <cell r="AL51">
            <v>77</v>
          </cell>
          <cell r="AM51">
            <v>0</v>
          </cell>
          <cell r="AN51">
            <v>4</v>
          </cell>
          <cell r="AO51">
            <v>19</v>
          </cell>
          <cell r="AP51">
            <v>20</v>
          </cell>
          <cell r="AQ51">
            <v>52</v>
          </cell>
          <cell r="AR51">
            <v>91</v>
          </cell>
          <cell r="AS51">
            <v>0</v>
          </cell>
          <cell r="AT51">
            <v>5</v>
          </cell>
          <cell r="AU51">
            <v>18</v>
          </cell>
          <cell r="AV51">
            <v>20</v>
          </cell>
          <cell r="AW51">
            <v>57</v>
          </cell>
          <cell r="AX51">
            <v>95</v>
          </cell>
          <cell r="AY51">
            <v>0</v>
          </cell>
          <cell r="AZ51">
            <v>5</v>
          </cell>
          <cell r="BA51">
            <v>10</v>
          </cell>
          <cell r="BB51">
            <v>10</v>
          </cell>
          <cell r="BC51">
            <v>43</v>
          </cell>
          <cell r="BD51">
            <v>25.8</v>
          </cell>
          <cell r="BE51">
            <v>45.8</v>
          </cell>
          <cell r="BF51">
            <v>0</v>
          </cell>
          <cell r="BG51">
            <v>5</v>
          </cell>
          <cell r="BH51">
            <v>34</v>
          </cell>
          <cell r="BI51">
            <v>4.8571428571428568</v>
          </cell>
          <cell r="BJ51" t="str">
            <v>BETTER</v>
          </cell>
          <cell r="BK51">
            <v>672.3</v>
          </cell>
          <cell r="BL51">
            <v>23</v>
          </cell>
          <cell r="BM51">
            <v>58</v>
          </cell>
          <cell r="BN51">
            <v>0</v>
          </cell>
          <cell r="BO51">
            <v>694.1</v>
          </cell>
          <cell r="BP51">
            <v>672.3</v>
          </cell>
          <cell r="BQ51">
            <v>455.4666666666667</v>
          </cell>
          <cell r="BR51" t="e">
            <v>#REF!</v>
          </cell>
          <cell r="BS51">
            <v>77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E39"/>
  <sheetViews>
    <sheetView topLeftCell="C1" workbookViewId="0">
      <pane ySplit="7" topLeftCell="A8" activePane="bottomLeft" state="frozen"/>
      <selection pane="bottomLeft" activeCell="AY14" sqref="AY8:AY14"/>
    </sheetView>
  </sheetViews>
  <sheetFormatPr defaultRowHeight="15"/>
  <cols>
    <col min="1" max="1" width="3.7109375" customWidth="1"/>
    <col min="2" max="2" width="4.7109375" style="30" customWidth="1"/>
    <col min="3" max="3" width="25.42578125" style="31" bestFit="1" customWidth="1"/>
    <col min="4" max="4" width="23" hidden="1" customWidth="1"/>
    <col min="5" max="5" width="18.28515625" hidden="1" customWidth="1"/>
    <col min="6" max="49" width="3.7109375" customWidth="1"/>
    <col min="50" max="50" width="6" bestFit="1" customWidth="1"/>
    <col min="51" max="52" width="7.7109375" customWidth="1"/>
    <col min="53" max="53" width="14.7109375" customWidth="1"/>
  </cols>
  <sheetData>
    <row r="1" spans="1:57" ht="15.75" customHeight="1">
      <c r="A1" s="189" t="s">
        <v>176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1"/>
    </row>
    <row r="2" spans="1:57" ht="21" customHeight="1">
      <c r="A2" s="192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4"/>
    </row>
    <row r="3" spans="1:57" ht="25.5" customHeight="1">
      <c r="A3" s="192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4"/>
    </row>
    <row r="4" spans="1:57">
      <c r="A4" s="192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4"/>
    </row>
    <row r="5" spans="1:57">
      <c r="A5" s="195" t="s">
        <v>25</v>
      </c>
      <c r="B5" s="195"/>
      <c r="C5" s="195"/>
      <c r="D5" s="45" t="s">
        <v>35</v>
      </c>
      <c r="E5" s="195" t="s">
        <v>26</v>
      </c>
      <c r="F5" s="195"/>
      <c r="G5" s="195"/>
      <c r="H5" s="195" t="s">
        <v>88</v>
      </c>
      <c r="I5" s="195"/>
      <c r="J5" s="195"/>
      <c r="K5" s="195"/>
      <c r="L5" s="195"/>
      <c r="M5" s="195"/>
      <c r="N5" s="195"/>
      <c r="O5" s="195" t="s">
        <v>27</v>
      </c>
      <c r="P5" s="195"/>
      <c r="Q5" s="195"/>
      <c r="R5" s="195"/>
      <c r="S5" s="195" t="s">
        <v>44</v>
      </c>
      <c r="T5" s="195"/>
      <c r="U5" s="195"/>
      <c r="V5" s="46"/>
      <c r="W5" s="195" t="s">
        <v>28</v>
      </c>
      <c r="X5" s="195"/>
      <c r="Y5" s="195"/>
      <c r="Z5" s="195"/>
      <c r="AA5" s="195"/>
      <c r="AB5" s="45"/>
      <c r="AC5" s="45">
        <v>27</v>
      </c>
      <c r="AD5" s="46"/>
      <c r="AE5" s="195" t="s">
        <v>29</v>
      </c>
      <c r="AF5" s="195"/>
      <c r="AG5" s="195"/>
      <c r="AH5" s="195"/>
      <c r="AI5" s="196" t="s">
        <v>89</v>
      </c>
      <c r="AJ5" s="196"/>
      <c r="AK5" s="196"/>
      <c r="AL5" s="196"/>
      <c r="AM5" s="196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6"/>
      <c r="AY5" s="46"/>
      <c r="AZ5" s="46"/>
      <c r="BA5" s="44"/>
    </row>
    <row r="6" spans="1:57" s="5" customFormat="1" ht="21" customHeight="1">
      <c r="A6" s="185" t="s">
        <v>0</v>
      </c>
      <c r="B6" s="185" t="s">
        <v>1</v>
      </c>
      <c r="C6" s="197" t="s">
        <v>2</v>
      </c>
      <c r="D6" s="198" t="s">
        <v>33</v>
      </c>
      <c r="E6" s="198" t="s">
        <v>34</v>
      </c>
      <c r="F6" s="178" t="s">
        <v>37</v>
      </c>
      <c r="G6" s="178"/>
      <c r="H6" s="181" t="s">
        <v>36</v>
      </c>
      <c r="I6" s="182"/>
      <c r="J6" s="198" t="s">
        <v>3</v>
      </c>
      <c r="K6" s="185" t="s">
        <v>4</v>
      </c>
      <c r="L6" s="185" t="s">
        <v>5</v>
      </c>
      <c r="M6" s="178" t="s">
        <v>13</v>
      </c>
      <c r="N6" s="178"/>
      <c r="O6" s="178" t="s">
        <v>14</v>
      </c>
      <c r="P6" s="178"/>
      <c r="Q6" s="185" t="s">
        <v>3</v>
      </c>
      <c r="R6" s="185" t="s">
        <v>4</v>
      </c>
      <c r="S6" s="185" t="s">
        <v>5</v>
      </c>
      <c r="T6" s="178" t="s">
        <v>15</v>
      </c>
      <c r="U6" s="178"/>
      <c r="V6" s="178"/>
      <c r="W6" s="178"/>
      <c r="X6" s="178"/>
      <c r="Y6" s="178" t="s">
        <v>7</v>
      </c>
      <c r="Z6" s="178"/>
      <c r="AA6" s="178"/>
      <c r="AB6" s="178"/>
      <c r="AC6" s="178"/>
      <c r="AD6" s="178" t="s">
        <v>8</v>
      </c>
      <c r="AE6" s="178"/>
      <c r="AF6" s="178"/>
      <c r="AG6" s="178"/>
      <c r="AH6" s="178"/>
      <c r="AI6" s="181" t="s">
        <v>9</v>
      </c>
      <c r="AJ6" s="182"/>
      <c r="AK6" s="182"/>
      <c r="AL6" s="182"/>
      <c r="AM6" s="183"/>
      <c r="AN6" s="184" t="s">
        <v>54</v>
      </c>
      <c r="AO6" s="184"/>
      <c r="AP6" s="184"/>
      <c r="AQ6" s="184"/>
      <c r="AR6" s="184"/>
      <c r="AS6" s="186" t="s">
        <v>38</v>
      </c>
      <c r="AT6" s="187"/>
      <c r="AU6" s="188"/>
      <c r="AV6" s="185" t="s">
        <v>10</v>
      </c>
      <c r="AW6" s="198" t="s">
        <v>11</v>
      </c>
      <c r="AX6" s="185" t="s">
        <v>90</v>
      </c>
      <c r="AY6" s="185" t="s">
        <v>16</v>
      </c>
      <c r="AZ6" s="203" t="s">
        <v>30</v>
      </c>
      <c r="BA6" s="201" t="s">
        <v>31</v>
      </c>
    </row>
    <row r="7" spans="1:57" s="4" customFormat="1" ht="45">
      <c r="A7" s="185"/>
      <c r="B7" s="185"/>
      <c r="C7" s="197"/>
      <c r="D7" s="199"/>
      <c r="E7" s="199"/>
      <c r="F7" s="48" t="s">
        <v>12</v>
      </c>
      <c r="G7" s="49" t="s">
        <v>6</v>
      </c>
      <c r="H7" s="48" t="s">
        <v>12</v>
      </c>
      <c r="I7" s="49" t="s">
        <v>6</v>
      </c>
      <c r="J7" s="200"/>
      <c r="K7" s="185"/>
      <c r="L7" s="185"/>
      <c r="M7" s="49" t="s">
        <v>12</v>
      </c>
      <c r="N7" s="49" t="s">
        <v>6</v>
      </c>
      <c r="O7" s="49" t="s">
        <v>12</v>
      </c>
      <c r="P7" s="49" t="s">
        <v>6</v>
      </c>
      <c r="Q7" s="185"/>
      <c r="R7" s="185"/>
      <c r="S7" s="185"/>
      <c r="T7" s="48" t="s">
        <v>12</v>
      </c>
      <c r="U7" s="49" t="s">
        <v>6</v>
      </c>
      <c r="V7" s="48" t="s">
        <v>3</v>
      </c>
      <c r="W7" s="48" t="s">
        <v>4</v>
      </c>
      <c r="X7" s="48" t="s">
        <v>5</v>
      </c>
      <c r="Y7" s="48" t="s">
        <v>12</v>
      </c>
      <c r="Z7" s="49" t="s">
        <v>6</v>
      </c>
      <c r="AA7" s="48" t="s">
        <v>3</v>
      </c>
      <c r="AB7" s="48" t="s">
        <v>4</v>
      </c>
      <c r="AC7" s="48" t="s">
        <v>5</v>
      </c>
      <c r="AD7" s="48" t="s">
        <v>12</v>
      </c>
      <c r="AE7" s="49" t="s">
        <v>6</v>
      </c>
      <c r="AF7" s="48" t="s">
        <v>3</v>
      </c>
      <c r="AG7" s="48" t="s">
        <v>4</v>
      </c>
      <c r="AH7" s="48" t="s">
        <v>5</v>
      </c>
      <c r="AI7" s="48" t="s">
        <v>12</v>
      </c>
      <c r="AJ7" s="49" t="s">
        <v>6</v>
      </c>
      <c r="AK7" s="48" t="s">
        <v>3</v>
      </c>
      <c r="AL7" s="48" t="s">
        <v>4</v>
      </c>
      <c r="AM7" s="48" t="s">
        <v>5</v>
      </c>
      <c r="AN7" s="49" t="s">
        <v>12</v>
      </c>
      <c r="AO7" s="49" t="s">
        <v>6</v>
      </c>
      <c r="AP7" s="48" t="s">
        <v>3</v>
      </c>
      <c r="AQ7" s="48" t="s">
        <v>4</v>
      </c>
      <c r="AR7" s="48" t="s">
        <v>5</v>
      </c>
      <c r="AS7" s="49" t="s">
        <v>6</v>
      </c>
      <c r="AT7" s="50" t="s">
        <v>4</v>
      </c>
      <c r="AU7" s="48" t="s">
        <v>5</v>
      </c>
      <c r="AV7" s="185"/>
      <c r="AW7" s="199"/>
      <c r="AX7" s="185"/>
      <c r="AY7" s="185"/>
      <c r="AZ7" s="202"/>
      <c r="BA7" s="202"/>
    </row>
    <row r="8" spans="1:57" ht="14.1" customHeight="1">
      <c r="A8" s="2">
        <v>1</v>
      </c>
      <c r="B8" s="103">
        <v>1</v>
      </c>
      <c r="C8" s="104" t="s">
        <v>96</v>
      </c>
      <c r="D8" s="104" t="s">
        <v>97</v>
      </c>
      <c r="E8" s="104" t="s">
        <v>98</v>
      </c>
      <c r="F8" s="32">
        <v>19</v>
      </c>
      <c r="G8" s="32">
        <v>66</v>
      </c>
      <c r="H8" s="2">
        <v>9</v>
      </c>
      <c r="I8" s="2">
        <v>35</v>
      </c>
      <c r="J8" s="33">
        <f t="shared" ref="J8:J28" si="0">F8+G8+H8+I8</f>
        <v>129</v>
      </c>
      <c r="K8" s="2">
        <f t="shared" ref="K8:K28" si="1">IF(J8&lt;60,"F",IF(J8&lt;75,2,IF(J8&lt;90,3,IF(J8&lt;105,3.5,IF(J8&lt;120,4,5)))))</f>
        <v>5</v>
      </c>
      <c r="L8" s="179">
        <f>MAX(J8:K37)</f>
        <v>149</v>
      </c>
      <c r="M8" s="32">
        <v>20</v>
      </c>
      <c r="N8" s="32">
        <v>72</v>
      </c>
      <c r="O8" s="2">
        <v>9</v>
      </c>
      <c r="P8" s="2">
        <v>31</v>
      </c>
      <c r="Q8" s="33">
        <f t="shared" ref="Q8:Q28" si="2">M8+N8+O8+P8</f>
        <v>132</v>
      </c>
      <c r="R8" s="2">
        <f t="shared" ref="R8:R35" si="3">IF(Q8&lt;60,"F",IF(Q8&lt;75,2,IF(Q8&lt;90,3,IF(Q8&lt;105,3.5,IF(Q8&lt;120,4,5)))))</f>
        <v>5</v>
      </c>
      <c r="S8" s="179">
        <f>MAX(Q8:R37)</f>
        <v>147</v>
      </c>
      <c r="T8" s="32">
        <v>16</v>
      </c>
      <c r="U8" s="32">
        <v>68</v>
      </c>
      <c r="V8" s="33">
        <f t="shared" ref="V8:V35" si="4">T8+U8</f>
        <v>84</v>
      </c>
      <c r="W8" s="2">
        <f t="shared" ref="W8:W35" si="5">IF(V8&lt;40,"F",IF(V8&lt;50,2,IF(V8&lt;60,3,IF(V8&lt;70,3.5,IF(V8&lt;80,4,5)))))</f>
        <v>5</v>
      </c>
      <c r="X8" s="179">
        <f>MAX(V8:W37)</f>
        <v>100</v>
      </c>
      <c r="Y8" s="32">
        <v>18</v>
      </c>
      <c r="Z8" s="32">
        <v>68</v>
      </c>
      <c r="AA8" s="33">
        <f t="shared" ref="AA8:AA35" si="6">Y8+Z8</f>
        <v>86</v>
      </c>
      <c r="AB8" s="2">
        <f t="shared" ref="AB8:AB35" si="7">IF(AA8&lt;40,"F",IF(AA8&lt;50,2,IF(AA8&lt;60,3,IF(AA8&lt;70,3.5,IF(AA8&lt;80,4,5)))))</f>
        <v>5</v>
      </c>
      <c r="AC8" s="179">
        <f>MAX(AA8:AB37)</f>
        <v>96</v>
      </c>
      <c r="AD8" s="32">
        <v>16</v>
      </c>
      <c r="AE8" s="32">
        <v>70</v>
      </c>
      <c r="AF8" s="33">
        <f t="shared" ref="AF8:AF35" si="8">AD8+AE8</f>
        <v>86</v>
      </c>
      <c r="AG8" s="2">
        <f t="shared" ref="AG8:AG35" si="9">IF(AF8&lt;40,"F",IF(AF8&lt;50,2,IF(AF8&lt;60,3,IF(AF8&lt;70,3.5,IF(AF8&lt;80,4,5)))))</f>
        <v>5</v>
      </c>
      <c r="AH8" s="179">
        <f>MAX(AF8:AG37)</f>
        <v>97</v>
      </c>
      <c r="AI8" s="32">
        <v>16</v>
      </c>
      <c r="AJ8" s="32">
        <v>74</v>
      </c>
      <c r="AK8" s="33">
        <f t="shared" ref="AK8:AK35" si="10">AI8+AJ8</f>
        <v>90</v>
      </c>
      <c r="AL8" s="2">
        <f t="shared" ref="AL8:AL35" si="11">IF(AK8&lt;40,"F",IF(AK8&lt;50,2,IF(AK8&lt;60,3,IF(AK8&lt;70,3.5,IF(AK8&lt;80,4,5)))))</f>
        <v>5</v>
      </c>
      <c r="AM8" s="179">
        <f>MAX(AK8:AL37)</f>
        <v>97</v>
      </c>
      <c r="AN8" s="2"/>
      <c r="AO8" s="2">
        <v>47</v>
      </c>
      <c r="AP8" s="34">
        <f t="shared" ref="AP8:AP35" si="12">AO8*1</f>
        <v>47</v>
      </c>
      <c r="AQ8" s="2">
        <f t="shared" ref="AQ8:AQ35" si="13">IF(AP8&lt;20,"F",IF(AP8&lt;25,2,IF(AP8&lt;30,3,IF(AP8&lt;35,3.5,IF(AP8&lt;40,4,5)))))</f>
        <v>5</v>
      </c>
      <c r="AR8" s="179">
        <f>MAX(AP8:AQ37)</f>
        <v>50</v>
      </c>
      <c r="AS8" s="2">
        <v>26</v>
      </c>
      <c r="AT8" s="2">
        <f t="shared" ref="AT8:AT35" si="14">IF(AS8&lt;20,"F",IF(AS8&lt;25,2,IF(AS8&lt;30,3,IF(AS8&lt;35,3.5,IF(AS8&lt;40,4,5)))))</f>
        <v>3</v>
      </c>
      <c r="AU8" s="179">
        <f>MAX(AS8:AT37)</f>
        <v>46</v>
      </c>
      <c r="AV8" s="2">
        <f t="shared" ref="AV8:AV28" si="15">IF(K8="F","F",IF(R8="F","F",IF(W8="F","F",IF(AB8="F","F",IF(AG8="F","F",IF(AL8="F","F",IF(AQ8="F","F",SUM(K8,R8,W8,AB8,AG8,AL8,AQ8))))))))</f>
        <v>35</v>
      </c>
      <c r="AW8" s="35">
        <f t="shared" ref="AW8:AW28" si="16">IF(AV8="F","F", IF(AV8&gt;=35,5,IF(AV8&lt;35,AV8/7)))</f>
        <v>5</v>
      </c>
      <c r="AX8" s="26">
        <f t="shared" ref="AX8:AX28" si="17">J8+Q8+V8+AA8+AF8+AK8+AP8</f>
        <v>654</v>
      </c>
      <c r="AY8" s="3"/>
      <c r="AZ8" s="3">
        <v>58</v>
      </c>
      <c r="BA8" s="51" t="str">
        <f t="shared" ref="BA8:BA28" si="18">IF(AW8="F","NEED TO PROGRESS",IF(AW8&gt;=5,"BEST",IF(AW8&gt;=4,"BETTER",IF(AW8&gt;2,"GOOD"))))</f>
        <v>BEST</v>
      </c>
      <c r="BE8">
        <v>654</v>
      </c>
    </row>
    <row r="9" spans="1:57" ht="14.1" customHeight="1">
      <c r="A9" s="2">
        <v>2</v>
      </c>
      <c r="B9" s="103">
        <v>2</v>
      </c>
      <c r="C9" s="104" t="s">
        <v>99</v>
      </c>
      <c r="D9" s="104" t="s">
        <v>100</v>
      </c>
      <c r="E9" s="104" t="s">
        <v>101</v>
      </c>
      <c r="F9" s="32">
        <v>15</v>
      </c>
      <c r="G9" s="32">
        <v>59</v>
      </c>
      <c r="H9" s="2">
        <v>7</v>
      </c>
      <c r="I9" s="2">
        <v>39</v>
      </c>
      <c r="J9" s="33">
        <f t="shared" si="0"/>
        <v>120</v>
      </c>
      <c r="K9" s="2">
        <f t="shared" si="1"/>
        <v>5</v>
      </c>
      <c r="L9" s="179"/>
      <c r="M9" s="32">
        <v>16</v>
      </c>
      <c r="N9" s="32">
        <v>65</v>
      </c>
      <c r="O9" s="2">
        <v>6</v>
      </c>
      <c r="P9" s="2">
        <v>27</v>
      </c>
      <c r="Q9" s="33">
        <f t="shared" si="2"/>
        <v>114</v>
      </c>
      <c r="R9" s="2">
        <f t="shared" si="3"/>
        <v>4</v>
      </c>
      <c r="S9" s="179"/>
      <c r="T9" s="32">
        <v>19</v>
      </c>
      <c r="U9" s="32">
        <v>76</v>
      </c>
      <c r="V9" s="33">
        <f t="shared" si="4"/>
        <v>95</v>
      </c>
      <c r="W9" s="2">
        <f t="shared" si="5"/>
        <v>5</v>
      </c>
      <c r="X9" s="179"/>
      <c r="Y9" s="32">
        <v>8</v>
      </c>
      <c r="Z9" s="32">
        <v>58</v>
      </c>
      <c r="AA9" s="33">
        <f t="shared" si="6"/>
        <v>66</v>
      </c>
      <c r="AB9" s="2">
        <f t="shared" si="7"/>
        <v>3.5</v>
      </c>
      <c r="AC9" s="179"/>
      <c r="AD9" s="32">
        <v>13</v>
      </c>
      <c r="AE9" s="32">
        <v>43</v>
      </c>
      <c r="AF9" s="33">
        <f t="shared" si="8"/>
        <v>56</v>
      </c>
      <c r="AG9" s="2">
        <f t="shared" si="9"/>
        <v>3</v>
      </c>
      <c r="AH9" s="179"/>
      <c r="AI9" s="32">
        <v>11</v>
      </c>
      <c r="AJ9" s="32">
        <v>38</v>
      </c>
      <c r="AK9" s="33">
        <f t="shared" si="10"/>
        <v>49</v>
      </c>
      <c r="AL9" s="2">
        <f t="shared" si="11"/>
        <v>2</v>
      </c>
      <c r="AM9" s="179"/>
      <c r="AN9" s="2"/>
      <c r="AO9" s="2">
        <v>48</v>
      </c>
      <c r="AP9" s="34">
        <f t="shared" si="12"/>
        <v>48</v>
      </c>
      <c r="AQ9" s="2">
        <f t="shared" si="13"/>
        <v>5</v>
      </c>
      <c r="AR9" s="179"/>
      <c r="AS9" s="2">
        <v>30</v>
      </c>
      <c r="AT9" s="2">
        <f t="shared" si="14"/>
        <v>3.5</v>
      </c>
      <c r="AU9" s="179"/>
      <c r="AV9" s="2">
        <f t="shared" si="15"/>
        <v>27.5</v>
      </c>
      <c r="AW9" s="35">
        <f t="shared" si="16"/>
        <v>3.9285714285714284</v>
      </c>
      <c r="AX9" s="26">
        <f t="shared" si="17"/>
        <v>548</v>
      </c>
      <c r="AY9" s="3"/>
      <c r="AZ9" s="3">
        <v>62</v>
      </c>
      <c r="BA9" s="51" t="str">
        <f t="shared" si="18"/>
        <v>GOOD</v>
      </c>
      <c r="BE9">
        <v>548</v>
      </c>
    </row>
    <row r="10" spans="1:57" ht="14.1" customHeight="1">
      <c r="A10" s="2">
        <v>3</v>
      </c>
      <c r="B10" s="103">
        <v>3</v>
      </c>
      <c r="C10" s="104" t="s">
        <v>102</v>
      </c>
      <c r="D10" s="104" t="s">
        <v>103</v>
      </c>
      <c r="E10" s="104" t="s">
        <v>104</v>
      </c>
      <c r="F10" s="32">
        <v>19</v>
      </c>
      <c r="G10" s="32">
        <v>57</v>
      </c>
      <c r="H10" s="2">
        <v>8</v>
      </c>
      <c r="I10" s="2">
        <v>27</v>
      </c>
      <c r="J10" s="33">
        <f t="shared" si="0"/>
        <v>111</v>
      </c>
      <c r="K10" s="2">
        <f t="shared" si="1"/>
        <v>4</v>
      </c>
      <c r="L10" s="179"/>
      <c r="M10" s="32">
        <v>13</v>
      </c>
      <c r="N10" s="32">
        <v>52</v>
      </c>
      <c r="O10" s="2">
        <v>7</v>
      </c>
      <c r="P10" s="2">
        <v>16</v>
      </c>
      <c r="Q10" s="33">
        <f t="shared" si="2"/>
        <v>88</v>
      </c>
      <c r="R10" s="2">
        <f t="shared" si="3"/>
        <v>3</v>
      </c>
      <c r="S10" s="179"/>
      <c r="T10" s="32">
        <v>15</v>
      </c>
      <c r="U10" s="32">
        <v>28</v>
      </c>
      <c r="V10" s="33">
        <f t="shared" si="4"/>
        <v>43</v>
      </c>
      <c r="W10" s="2">
        <f t="shared" si="5"/>
        <v>2</v>
      </c>
      <c r="X10" s="179"/>
      <c r="Y10" s="32">
        <v>17</v>
      </c>
      <c r="Z10" s="32">
        <v>50</v>
      </c>
      <c r="AA10" s="33">
        <f t="shared" si="6"/>
        <v>67</v>
      </c>
      <c r="AB10" s="2">
        <f t="shared" si="7"/>
        <v>3.5</v>
      </c>
      <c r="AC10" s="179"/>
      <c r="AD10" s="32">
        <v>14</v>
      </c>
      <c r="AE10" s="32">
        <v>62</v>
      </c>
      <c r="AF10" s="33">
        <f t="shared" si="8"/>
        <v>76</v>
      </c>
      <c r="AG10" s="2">
        <f t="shared" si="9"/>
        <v>4</v>
      </c>
      <c r="AH10" s="179"/>
      <c r="AI10" s="32">
        <v>16</v>
      </c>
      <c r="AJ10" s="32">
        <v>46</v>
      </c>
      <c r="AK10" s="33">
        <f t="shared" si="10"/>
        <v>62</v>
      </c>
      <c r="AL10" s="2">
        <f t="shared" si="11"/>
        <v>3.5</v>
      </c>
      <c r="AM10" s="179"/>
      <c r="AN10" s="2"/>
      <c r="AO10" s="2">
        <v>46</v>
      </c>
      <c r="AP10" s="34">
        <f t="shared" si="12"/>
        <v>46</v>
      </c>
      <c r="AQ10" s="2">
        <f t="shared" si="13"/>
        <v>5</v>
      </c>
      <c r="AR10" s="179"/>
      <c r="AS10" s="2">
        <v>28</v>
      </c>
      <c r="AT10" s="2">
        <f t="shared" si="14"/>
        <v>3</v>
      </c>
      <c r="AU10" s="179"/>
      <c r="AV10" s="2">
        <f t="shared" si="15"/>
        <v>25</v>
      </c>
      <c r="AW10" s="35">
        <f t="shared" si="16"/>
        <v>3.5714285714285716</v>
      </c>
      <c r="AX10" s="26">
        <f t="shared" si="17"/>
        <v>493</v>
      </c>
      <c r="AY10" s="3"/>
      <c r="AZ10" s="3">
        <v>58</v>
      </c>
      <c r="BA10" s="51" t="str">
        <f t="shared" si="18"/>
        <v>GOOD</v>
      </c>
      <c r="BE10">
        <v>493</v>
      </c>
    </row>
    <row r="11" spans="1:57" ht="14.1" customHeight="1">
      <c r="A11" s="2">
        <v>4</v>
      </c>
      <c r="B11" s="103">
        <v>4</v>
      </c>
      <c r="C11" s="104" t="s">
        <v>105</v>
      </c>
      <c r="D11" s="104" t="s">
        <v>106</v>
      </c>
      <c r="E11" s="104" t="s">
        <v>107</v>
      </c>
      <c r="F11" s="32">
        <v>19</v>
      </c>
      <c r="G11" s="32">
        <v>54</v>
      </c>
      <c r="H11" s="2">
        <v>5</v>
      </c>
      <c r="I11" s="2">
        <v>32</v>
      </c>
      <c r="J11" s="33">
        <f t="shared" si="0"/>
        <v>110</v>
      </c>
      <c r="K11" s="2">
        <f t="shared" si="1"/>
        <v>4</v>
      </c>
      <c r="L11" s="179"/>
      <c r="M11" s="32">
        <v>13</v>
      </c>
      <c r="N11" s="32">
        <v>43</v>
      </c>
      <c r="O11" s="2">
        <v>9</v>
      </c>
      <c r="P11" s="2">
        <v>21</v>
      </c>
      <c r="Q11" s="33">
        <f t="shared" si="2"/>
        <v>86</v>
      </c>
      <c r="R11" s="2">
        <f t="shared" si="3"/>
        <v>3</v>
      </c>
      <c r="S11" s="179"/>
      <c r="T11" s="32">
        <v>20</v>
      </c>
      <c r="U11" s="32">
        <v>60</v>
      </c>
      <c r="V11" s="33">
        <f t="shared" si="4"/>
        <v>80</v>
      </c>
      <c r="W11" s="2">
        <f t="shared" si="5"/>
        <v>5</v>
      </c>
      <c r="X11" s="179"/>
      <c r="Y11" s="32">
        <v>8</v>
      </c>
      <c r="Z11" s="32">
        <v>32</v>
      </c>
      <c r="AA11" s="33">
        <f t="shared" si="6"/>
        <v>40</v>
      </c>
      <c r="AB11" s="2">
        <f t="shared" si="7"/>
        <v>2</v>
      </c>
      <c r="AC11" s="179"/>
      <c r="AD11" s="32">
        <v>12</v>
      </c>
      <c r="AE11" s="32">
        <v>38</v>
      </c>
      <c r="AF11" s="33">
        <f t="shared" si="8"/>
        <v>50</v>
      </c>
      <c r="AG11" s="2">
        <f t="shared" si="9"/>
        <v>3</v>
      </c>
      <c r="AH11" s="179"/>
      <c r="AI11" s="32">
        <v>11</v>
      </c>
      <c r="AJ11" s="32">
        <v>50</v>
      </c>
      <c r="AK11" s="33">
        <f t="shared" si="10"/>
        <v>61</v>
      </c>
      <c r="AL11" s="2">
        <f t="shared" si="11"/>
        <v>3.5</v>
      </c>
      <c r="AM11" s="179"/>
      <c r="AN11" s="2"/>
      <c r="AO11" s="2">
        <v>47</v>
      </c>
      <c r="AP11" s="34">
        <f t="shared" si="12"/>
        <v>47</v>
      </c>
      <c r="AQ11" s="2">
        <f t="shared" si="13"/>
        <v>5</v>
      </c>
      <c r="AR11" s="179"/>
      <c r="AS11" s="2">
        <v>26</v>
      </c>
      <c r="AT11" s="2">
        <f t="shared" si="14"/>
        <v>3</v>
      </c>
      <c r="AU11" s="179"/>
      <c r="AV11" s="2">
        <f t="shared" si="15"/>
        <v>25.5</v>
      </c>
      <c r="AW11" s="35">
        <f t="shared" si="16"/>
        <v>3.6428571428571428</v>
      </c>
      <c r="AX11" s="26">
        <f t="shared" si="17"/>
        <v>474</v>
      </c>
      <c r="AY11" s="3"/>
      <c r="AZ11" s="3">
        <v>62</v>
      </c>
      <c r="BA11" s="51" t="str">
        <f t="shared" si="18"/>
        <v>GOOD</v>
      </c>
      <c r="BE11">
        <v>474</v>
      </c>
    </row>
    <row r="12" spans="1:57">
      <c r="A12" s="2">
        <v>5</v>
      </c>
      <c r="B12" s="103">
        <v>5</v>
      </c>
      <c r="C12" s="104" t="s">
        <v>108</v>
      </c>
      <c r="D12" s="104" t="s">
        <v>109</v>
      </c>
      <c r="E12" s="104" t="s">
        <v>110</v>
      </c>
      <c r="F12" s="32">
        <v>20</v>
      </c>
      <c r="G12" s="32">
        <v>75</v>
      </c>
      <c r="H12" s="2">
        <v>9</v>
      </c>
      <c r="I12" s="2">
        <v>36</v>
      </c>
      <c r="J12" s="33">
        <f t="shared" si="0"/>
        <v>140</v>
      </c>
      <c r="K12" s="2">
        <f t="shared" si="1"/>
        <v>5</v>
      </c>
      <c r="L12" s="179"/>
      <c r="M12" s="32">
        <v>19</v>
      </c>
      <c r="N12" s="32">
        <v>74</v>
      </c>
      <c r="O12" s="2">
        <v>9</v>
      </c>
      <c r="P12" s="2">
        <v>28</v>
      </c>
      <c r="Q12" s="33">
        <f t="shared" si="2"/>
        <v>130</v>
      </c>
      <c r="R12" s="2">
        <f t="shared" si="3"/>
        <v>5</v>
      </c>
      <c r="S12" s="179"/>
      <c r="T12" s="32">
        <v>20</v>
      </c>
      <c r="U12" s="32">
        <v>76</v>
      </c>
      <c r="V12" s="33">
        <f t="shared" si="4"/>
        <v>96</v>
      </c>
      <c r="W12" s="2">
        <f t="shared" si="5"/>
        <v>5</v>
      </c>
      <c r="X12" s="179"/>
      <c r="Y12" s="32">
        <v>19</v>
      </c>
      <c r="Z12" s="32">
        <v>56</v>
      </c>
      <c r="AA12" s="33">
        <f t="shared" si="6"/>
        <v>75</v>
      </c>
      <c r="AB12" s="2">
        <f t="shared" si="7"/>
        <v>4</v>
      </c>
      <c r="AC12" s="179"/>
      <c r="AD12" s="32">
        <v>18</v>
      </c>
      <c r="AE12" s="32">
        <v>62</v>
      </c>
      <c r="AF12" s="33">
        <f t="shared" si="8"/>
        <v>80</v>
      </c>
      <c r="AG12" s="2">
        <f t="shared" si="9"/>
        <v>5</v>
      </c>
      <c r="AH12" s="179"/>
      <c r="AI12" s="32">
        <v>13</v>
      </c>
      <c r="AJ12" s="32">
        <v>74</v>
      </c>
      <c r="AK12" s="33">
        <f t="shared" si="10"/>
        <v>87</v>
      </c>
      <c r="AL12" s="2">
        <f t="shared" si="11"/>
        <v>5</v>
      </c>
      <c r="AM12" s="179"/>
      <c r="AN12" s="2"/>
      <c r="AO12" s="2">
        <v>49</v>
      </c>
      <c r="AP12" s="34">
        <f t="shared" si="12"/>
        <v>49</v>
      </c>
      <c r="AQ12" s="2">
        <f t="shared" si="13"/>
        <v>5</v>
      </c>
      <c r="AR12" s="179"/>
      <c r="AS12" s="2">
        <v>40</v>
      </c>
      <c r="AT12" s="2">
        <f t="shared" si="14"/>
        <v>5</v>
      </c>
      <c r="AU12" s="179"/>
      <c r="AV12" s="2">
        <f t="shared" si="15"/>
        <v>34</v>
      </c>
      <c r="AW12" s="35">
        <f t="shared" si="16"/>
        <v>4.8571428571428568</v>
      </c>
      <c r="AX12" s="26">
        <f t="shared" si="17"/>
        <v>657</v>
      </c>
      <c r="AY12" s="3"/>
      <c r="AZ12" s="3">
        <v>60</v>
      </c>
      <c r="BA12" s="51" t="str">
        <f t="shared" si="18"/>
        <v>BETTER</v>
      </c>
      <c r="BE12">
        <v>657</v>
      </c>
    </row>
    <row r="13" spans="1:57">
      <c r="A13" s="2">
        <v>6</v>
      </c>
      <c r="B13" s="103">
        <v>6</v>
      </c>
      <c r="C13" s="104" t="s">
        <v>111</v>
      </c>
      <c r="D13" s="104" t="s">
        <v>112</v>
      </c>
      <c r="E13" s="104" t="s">
        <v>113</v>
      </c>
      <c r="F13" s="32">
        <v>20</v>
      </c>
      <c r="G13" s="32">
        <v>77</v>
      </c>
      <c r="H13" s="2">
        <v>10</v>
      </c>
      <c r="I13" s="2">
        <v>38</v>
      </c>
      <c r="J13" s="33">
        <f t="shared" si="0"/>
        <v>145</v>
      </c>
      <c r="K13" s="2">
        <f t="shared" si="1"/>
        <v>5</v>
      </c>
      <c r="L13" s="179"/>
      <c r="M13" s="32">
        <v>19</v>
      </c>
      <c r="N13" s="32">
        <v>75</v>
      </c>
      <c r="O13" s="2">
        <v>9</v>
      </c>
      <c r="P13" s="2">
        <v>38</v>
      </c>
      <c r="Q13" s="33">
        <f t="shared" si="2"/>
        <v>141</v>
      </c>
      <c r="R13" s="2">
        <f t="shared" si="3"/>
        <v>5</v>
      </c>
      <c r="S13" s="179"/>
      <c r="T13" s="32">
        <v>19</v>
      </c>
      <c r="U13" s="32">
        <v>64</v>
      </c>
      <c r="V13" s="33">
        <f t="shared" si="4"/>
        <v>83</v>
      </c>
      <c r="W13" s="2">
        <f t="shared" si="5"/>
        <v>5</v>
      </c>
      <c r="X13" s="179"/>
      <c r="Y13" s="32">
        <v>20</v>
      </c>
      <c r="Z13" s="32">
        <v>67</v>
      </c>
      <c r="AA13" s="33">
        <f t="shared" si="6"/>
        <v>87</v>
      </c>
      <c r="AB13" s="2">
        <f t="shared" si="7"/>
        <v>5</v>
      </c>
      <c r="AC13" s="179"/>
      <c r="AD13" s="32">
        <v>19</v>
      </c>
      <c r="AE13" s="32">
        <v>72</v>
      </c>
      <c r="AF13" s="33">
        <f t="shared" si="8"/>
        <v>91</v>
      </c>
      <c r="AG13" s="2">
        <f t="shared" si="9"/>
        <v>5</v>
      </c>
      <c r="AH13" s="179"/>
      <c r="AI13" s="32">
        <v>15</v>
      </c>
      <c r="AJ13" s="32">
        <v>70</v>
      </c>
      <c r="AK13" s="33">
        <f t="shared" si="10"/>
        <v>85</v>
      </c>
      <c r="AL13" s="2">
        <f t="shared" si="11"/>
        <v>5</v>
      </c>
      <c r="AM13" s="179"/>
      <c r="AN13" s="2"/>
      <c r="AO13" s="2">
        <v>49</v>
      </c>
      <c r="AP13" s="34">
        <f t="shared" si="12"/>
        <v>49</v>
      </c>
      <c r="AQ13" s="2">
        <f t="shared" si="13"/>
        <v>5</v>
      </c>
      <c r="AR13" s="179"/>
      <c r="AS13" s="2">
        <v>30</v>
      </c>
      <c r="AT13" s="2">
        <f t="shared" si="14"/>
        <v>3.5</v>
      </c>
      <c r="AU13" s="179"/>
      <c r="AV13" s="2">
        <f t="shared" si="15"/>
        <v>35</v>
      </c>
      <c r="AW13" s="35">
        <f t="shared" si="16"/>
        <v>5</v>
      </c>
      <c r="AX13" s="26">
        <f t="shared" si="17"/>
        <v>681</v>
      </c>
      <c r="AY13" s="3"/>
      <c r="AZ13" s="3">
        <v>59</v>
      </c>
      <c r="BA13" s="51" t="str">
        <f t="shared" si="18"/>
        <v>BEST</v>
      </c>
      <c r="BE13">
        <v>681</v>
      </c>
    </row>
    <row r="14" spans="1:57">
      <c r="A14" s="2">
        <v>7</v>
      </c>
      <c r="B14" s="103">
        <v>7</v>
      </c>
      <c r="C14" s="104" t="s">
        <v>114</v>
      </c>
      <c r="D14" s="104" t="s">
        <v>109</v>
      </c>
      <c r="E14" s="104" t="s">
        <v>110</v>
      </c>
      <c r="F14" s="32">
        <v>20</v>
      </c>
      <c r="G14" s="32">
        <v>76</v>
      </c>
      <c r="H14" s="2">
        <v>9</v>
      </c>
      <c r="I14" s="2">
        <v>39</v>
      </c>
      <c r="J14" s="33">
        <f t="shared" si="0"/>
        <v>144</v>
      </c>
      <c r="K14" s="2">
        <f t="shared" si="1"/>
        <v>5</v>
      </c>
      <c r="L14" s="179"/>
      <c r="M14" s="32">
        <v>20</v>
      </c>
      <c r="N14" s="32">
        <v>77</v>
      </c>
      <c r="O14" s="2">
        <v>9</v>
      </c>
      <c r="P14" s="2">
        <v>37</v>
      </c>
      <c r="Q14" s="33">
        <f t="shared" si="2"/>
        <v>143</v>
      </c>
      <c r="R14" s="2">
        <f t="shared" si="3"/>
        <v>5</v>
      </c>
      <c r="S14" s="179"/>
      <c r="T14" s="32">
        <v>20</v>
      </c>
      <c r="U14" s="32">
        <v>80</v>
      </c>
      <c r="V14" s="33">
        <f t="shared" si="4"/>
        <v>100</v>
      </c>
      <c r="W14" s="2">
        <f t="shared" si="5"/>
        <v>5</v>
      </c>
      <c r="X14" s="179"/>
      <c r="Y14" s="32">
        <v>18</v>
      </c>
      <c r="Z14" s="32">
        <v>70</v>
      </c>
      <c r="AA14" s="33">
        <f t="shared" si="6"/>
        <v>88</v>
      </c>
      <c r="AB14" s="2">
        <f t="shared" si="7"/>
        <v>5</v>
      </c>
      <c r="AC14" s="179"/>
      <c r="AD14" s="32">
        <v>19</v>
      </c>
      <c r="AE14" s="32">
        <v>67</v>
      </c>
      <c r="AF14" s="33">
        <f t="shared" si="8"/>
        <v>86</v>
      </c>
      <c r="AG14" s="2">
        <f t="shared" si="9"/>
        <v>5</v>
      </c>
      <c r="AH14" s="179"/>
      <c r="AI14" s="32">
        <v>18</v>
      </c>
      <c r="AJ14" s="32">
        <v>76</v>
      </c>
      <c r="AK14" s="33">
        <f t="shared" si="10"/>
        <v>94</v>
      </c>
      <c r="AL14" s="2">
        <f t="shared" si="11"/>
        <v>5</v>
      </c>
      <c r="AM14" s="179"/>
      <c r="AN14" s="2"/>
      <c r="AO14" s="2">
        <v>48</v>
      </c>
      <c r="AP14" s="34">
        <f t="shared" si="12"/>
        <v>48</v>
      </c>
      <c r="AQ14" s="2">
        <f t="shared" si="13"/>
        <v>5</v>
      </c>
      <c r="AR14" s="179"/>
      <c r="AS14" s="2">
        <v>30</v>
      </c>
      <c r="AT14" s="2">
        <f t="shared" si="14"/>
        <v>3.5</v>
      </c>
      <c r="AU14" s="179"/>
      <c r="AV14" s="2">
        <f t="shared" si="15"/>
        <v>35</v>
      </c>
      <c r="AW14" s="35">
        <f t="shared" si="16"/>
        <v>5</v>
      </c>
      <c r="AX14" s="26">
        <f t="shared" si="17"/>
        <v>703</v>
      </c>
      <c r="AY14" s="3"/>
      <c r="AZ14" s="3">
        <v>35</v>
      </c>
      <c r="BA14" s="51" t="str">
        <f t="shared" si="18"/>
        <v>BEST</v>
      </c>
      <c r="BE14">
        <v>703</v>
      </c>
    </row>
    <row r="15" spans="1:57">
      <c r="A15" s="2">
        <v>8</v>
      </c>
      <c r="B15" s="103">
        <v>8</v>
      </c>
      <c r="C15" s="104" t="s">
        <v>115</v>
      </c>
      <c r="D15" s="104" t="s">
        <v>116</v>
      </c>
      <c r="E15" s="104" t="s">
        <v>117</v>
      </c>
      <c r="F15" s="32">
        <v>14</v>
      </c>
      <c r="G15" s="32">
        <v>47</v>
      </c>
      <c r="H15" s="2">
        <v>7</v>
      </c>
      <c r="I15" s="2">
        <v>27</v>
      </c>
      <c r="J15" s="33">
        <f t="shared" si="0"/>
        <v>95</v>
      </c>
      <c r="K15" s="2">
        <f t="shared" si="1"/>
        <v>3.5</v>
      </c>
      <c r="L15" s="179"/>
      <c r="M15" s="32">
        <v>10</v>
      </c>
      <c r="N15" s="32">
        <v>32</v>
      </c>
      <c r="O15" s="2">
        <v>7</v>
      </c>
      <c r="P15" s="2">
        <v>16</v>
      </c>
      <c r="Q15" s="33">
        <f t="shared" si="2"/>
        <v>65</v>
      </c>
      <c r="R15" s="2">
        <f t="shared" si="3"/>
        <v>2</v>
      </c>
      <c r="S15" s="179"/>
      <c r="T15" s="32">
        <v>19</v>
      </c>
      <c r="U15" s="32">
        <v>62</v>
      </c>
      <c r="V15" s="33">
        <f t="shared" si="4"/>
        <v>81</v>
      </c>
      <c r="W15" s="2">
        <f t="shared" si="5"/>
        <v>5</v>
      </c>
      <c r="X15" s="179"/>
      <c r="Y15" s="32">
        <v>8</v>
      </c>
      <c r="Z15" s="32">
        <v>34</v>
      </c>
      <c r="AA15" s="33">
        <f t="shared" si="6"/>
        <v>42</v>
      </c>
      <c r="AB15" s="2">
        <f t="shared" si="7"/>
        <v>2</v>
      </c>
      <c r="AC15" s="179"/>
      <c r="AD15" s="32">
        <v>9</v>
      </c>
      <c r="AE15" s="32">
        <v>34</v>
      </c>
      <c r="AF15" s="33">
        <f t="shared" si="8"/>
        <v>43</v>
      </c>
      <c r="AG15" s="2">
        <f t="shared" si="9"/>
        <v>2</v>
      </c>
      <c r="AH15" s="179"/>
      <c r="AI15" s="32">
        <v>9</v>
      </c>
      <c r="AJ15" s="32">
        <v>47</v>
      </c>
      <c r="AK15" s="33">
        <f t="shared" si="10"/>
        <v>56</v>
      </c>
      <c r="AL15" s="2">
        <f t="shared" si="11"/>
        <v>3</v>
      </c>
      <c r="AM15" s="179"/>
      <c r="AN15" s="2"/>
      <c r="AO15" s="2">
        <v>37</v>
      </c>
      <c r="AP15" s="34">
        <f t="shared" si="12"/>
        <v>37</v>
      </c>
      <c r="AQ15" s="2">
        <f t="shared" si="13"/>
        <v>4</v>
      </c>
      <c r="AR15" s="179"/>
      <c r="AS15" s="2">
        <v>36</v>
      </c>
      <c r="AT15" s="2">
        <f t="shared" si="14"/>
        <v>4</v>
      </c>
      <c r="AU15" s="179"/>
      <c r="AV15" s="2">
        <f t="shared" si="15"/>
        <v>21.5</v>
      </c>
      <c r="AW15" s="35">
        <f t="shared" si="16"/>
        <v>3.0714285714285716</v>
      </c>
      <c r="AX15" s="26">
        <f t="shared" si="17"/>
        <v>419</v>
      </c>
      <c r="AY15" s="3"/>
      <c r="AZ15" s="3">
        <v>52</v>
      </c>
      <c r="BA15" s="51" t="str">
        <f t="shared" si="18"/>
        <v>GOOD</v>
      </c>
      <c r="BE15">
        <v>419</v>
      </c>
    </row>
    <row r="16" spans="1:57">
      <c r="A16" s="2">
        <v>9</v>
      </c>
      <c r="B16" s="103">
        <v>9</v>
      </c>
      <c r="C16" s="104" t="s">
        <v>118</v>
      </c>
      <c r="D16" s="104" t="s">
        <v>119</v>
      </c>
      <c r="E16" s="104" t="s">
        <v>120</v>
      </c>
      <c r="F16" s="32">
        <v>20</v>
      </c>
      <c r="G16" s="32">
        <v>80</v>
      </c>
      <c r="H16" s="2">
        <v>10</v>
      </c>
      <c r="I16" s="2">
        <v>39</v>
      </c>
      <c r="J16" s="33">
        <f t="shared" si="0"/>
        <v>149</v>
      </c>
      <c r="K16" s="2">
        <f t="shared" si="1"/>
        <v>5</v>
      </c>
      <c r="L16" s="179"/>
      <c r="M16" s="32">
        <v>20</v>
      </c>
      <c r="N16" s="32">
        <v>76</v>
      </c>
      <c r="O16" s="2">
        <v>10</v>
      </c>
      <c r="P16" s="2">
        <v>40</v>
      </c>
      <c r="Q16" s="33">
        <f t="shared" si="2"/>
        <v>146</v>
      </c>
      <c r="R16" s="2">
        <f t="shared" si="3"/>
        <v>5</v>
      </c>
      <c r="S16" s="179"/>
      <c r="T16" s="32">
        <v>20</v>
      </c>
      <c r="U16" s="32">
        <v>61</v>
      </c>
      <c r="V16" s="33">
        <f t="shared" si="4"/>
        <v>81</v>
      </c>
      <c r="W16" s="2">
        <f t="shared" si="5"/>
        <v>5</v>
      </c>
      <c r="X16" s="179"/>
      <c r="Y16" s="32">
        <v>9</v>
      </c>
      <c r="Z16" s="32">
        <v>76</v>
      </c>
      <c r="AA16" s="33">
        <f t="shared" si="6"/>
        <v>85</v>
      </c>
      <c r="AB16" s="2">
        <f t="shared" si="7"/>
        <v>5</v>
      </c>
      <c r="AC16" s="179"/>
      <c r="AD16" s="32">
        <v>8</v>
      </c>
      <c r="AE16" s="32">
        <v>56</v>
      </c>
      <c r="AF16" s="33">
        <f t="shared" si="8"/>
        <v>64</v>
      </c>
      <c r="AG16" s="2">
        <f t="shared" si="9"/>
        <v>3.5</v>
      </c>
      <c r="AH16" s="179"/>
      <c r="AI16" s="32">
        <v>14</v>
      </c>
      <c r="AJ16" s="32">
        <v>70</v>
      </c>
      <c r="AK16" s="33">
        <f t="shared" si="10"/>
        <v>84</v>
      </c>
      <c r="AL16" s="2">
        <f t="shared" si="11"/>
        <v>5</v>
      </c>
      <c r="AM16" s="179"/>
      <c r="AN16" s="2"/>
      <c r="AO16" s="2">
        <v>50</v>
      </c>
      <c r="AP16" s="34">
        <f t="shared" si="12"/>
        <v>50</v>
      </c>
      <c r="AQ16" s="2">
        <f t="shared" si="13"/>
        <v>5</v>
      </c>
      <c r="AR16" s="179"/>
      <c r="AS16" s="2">
        <v>46</v>
      </c>
      <c r="AT16" s="2">
        <f t="shared" si="14"/>
        <v>5</v>
      </c>
      <c r="AU16" s="179"/>
      <c r="AV16" s="2">
        <f t="shared" si="15"/>
        <v>33.5</v>
      </c>
      <c r="AW16" s="35">
        <f t="shared" si="16"/>
        <v>4.7857142857142856</v>
      </c>
      <c r="AX16" s="26">
        <f t="shared" si="17"/>
        <v>659</v>
      </c>
      <c r="AY16" s="3"/>
      <c r="AZ16" s="3">
        <v>50</v>
      </c>
      <c r="BA16" s="51" t="str">
        <f t="shared" si="18"/>
        <v>BETTER</v>
      </c>
      <c r="BE16">
        <v>659</v>
      </c>
    </row>
    <row r="17" spans="1:57">
      <c r="A17" s="2">
        <v>10</v>
      </c>
      <c r="B17" s="103">
        <v>10</v>
      </c>
      <c r="C17" s="104" t="s">
        <v>121</v>
      </c>
      <c r="D17" s="104" t="s">
        <v>122</v>
      </c>
      <c r="E17" s="104" t="s">
        <v>123</v>
      </c>
      <c r="F17" s="32">
        <v>20</v>
      </c>
      <c r="G17" s="32">
        <v>63</v>
      </c>
      <c r="H17" s="2">
        <v>8</v>
      </c>
      <c r="I17" s="2">
        <v>36</v>
      </c>
      <c r="J17" s="33">
        <f t="shared" si="0"/>
        <v>127</v>
      </c>
      <c r="K17" s="2">
        <f t="shared" si="1"/>
        <v>5</v>
      </c>
      <c r="L17" s="179"/>
      <c r="M17" s="32">
        <v>18</v>
      </c>
      <c r="N17" s="32">
        <v>59</v>
      </c>
      <c r="O17" s="2">
        <v>7</v>
      </c>
      <c r="P17" s="2">
        <v>18</v>
      </c>
      <c r="Q17" s="33">
        <f t="shared" si="2"/>
        <v>102</v>
      </c>
      <c r="R17" s="2">
        <f t="shared" si="3"/>
        <v>3.5</v>
      </c>
      <c r="S17" s="179"/>
      <c r="T17" s="32">
        <v>19</v>
      </c>
      <c r="U17" s="32">
        <v>63</v>
      </c>
      <c r="V17" s="33">
        <f t="shared" si="4"/>
        <v>82</v>
      </c>
      <c r="W17" s="2">
        <f t="shared" si="5"/>
        <v>5</v>
      </c>
      <c r="X17" s="179"/>
      <c r="Y17" s="32">
        <v>17</v>
      </c>
      <c r="Z17" s="32">
        <v>46</v>
      </c>
      <c r="AA17" s="33">
        <f t="shared" si="6"/>
        <v>63</v>
      </c>
      <c r="AB17" s="2">
        <f t="shared" si="7"/>
        <v>3.5</v>
      </c>
      <c r="AC17" s="179"/>
      <c r="AD17" s="32">
        <v>18</v>
      </c>
      <c r="AE17" s="32">
        <v>50</v>
      </c>
      <c r="AF17" s="33">
        <f t="shared" si="8"/>
        <v>68</v>
      </c>
      <c r="AG17" s="2">
        <f t="shared" si="9"/>
        <v>3.5</v>
      </c>
      <c r="AH17" s="179"/>
      <c r="AI17" s="32">
        <v>14</v>
      </c>
      <c r="AJ17" s="32">
        <v>61</v>
      </c>
      <c r="AK17" s="33">
        <f t="shared" si="10"/>
        <v>75</v>
      </c>
      <c r="AL17" s="2">
        <f t="shared" si="11"/>
        <v>4</v>
      </c>
      <c r="AM17" s="179"/>
      <c r="AN17" s="2"/>
      <c r="AO17" s="2">
        <v>39</v>
      </c>
      <c r="AP17" s="34">
        <f t="shared" si="12"/>
        <v>39</v>
      </c>
      <c r="AQ17" s="2">
        <f t="shared" si="13"/>
        <v>4</v>
      </c>
      <c r="AR17" s="179"/>
      <c r="AS17" s="2">
        <v>26</v>
      </c>
      <c r="AT17" s="2">
        <f t="shared" si="14"/>
        <v>3</v>
      </c>
      <c r="AU17" s="179"/>
      <c r="AV17" s="2">
        <f t="shared" si="15"/>
        <v>28.5</v>
      </c>
      <c r="AW17" s="35">
        <f t="shared" si="16"/>
        <v>4.0714285714285712</v>
      </c>
      <c r="AX17" s="26">
        <f t="shared" si="17"/>
        <v>556</v>
      </c>
      <c r="AY17" s="3"/>
      <c r="AZ17" s="3">
        <v>59</v>
      </c>
      <c r="BA17" s="51" t="str">
        <f t="shared" si="18"/>
        <v>BETTER</v>
      </c>
      <c r="BE17">
        <v>556</v>
      </c>
    </row>
    <row r="18" spans="1:57">
      <c r="A18" s="2">
        <v>11</v>
      </c>
      <c r="B18" s="103">
        <v>11</v>
      </c>
      <c r="C18" s="104" t="s">
        <v>124</v>
      </c>
      <c r="D18" s="104" t="s">
        <v>125</v>
      </c>
      <c r="E18" s="104" t="s">
        <v>126</v>
      </c>
      <c r="F18" s="32">
        <v>19</v>
      </c>
      <c r="G18" s="32">
        <v>79</v>
      </c>
      <c r="H18" s="2">
        <v>10</v>
      </c>
      <c r="I18" s="2">
        <v>39</v>
      </c>
      <c r="J18" s="33">
        <f t="shared" si="0"/>
        <v>147</v>
      </c>
      <c r="K18" s="2">
        <f t="shared" si="1"/>
        <v>5</v>
      </c>
      <c r="L18" s="179"/>
      <c r="M18" s="32">
        <v>20</v>
      </c>
      <c r="N18" s="32">
        <v>79</v>
      </c>
      <c r="O18" s="2">
        <v>10</v>
      </c>
      <c r="P18" s="2">
        <v>38</v>
      </c>
      <c r="Q18" s="33">
        <f t="shared" si="2"/>
        <v>147</v>
      </c>
      <c r="R18" s="2">
        <f t="shared" si="3"/>
        <v>5</v>
      </c>
      <c r="S18" s="179"/>
      <c r="T18" s="32">
        <v>20</v>
      </c>
      <c r="U18" s="32">
        <v>61</v>
      </c>
      <c r="V18" s="33">
        <f t="shared" si="4"/>
        <v>81</v>
      </c>
      <c r="W18" s="2">
        <f t="shared" si="5"/>
        <v>5</v>
      </c>
      <c r="X18" s="179"/>
      <c r="Y18" s="32">
        <v>16</v>
      </c>
      <c r="Z18" s="32">
        <v>76</v>
      </c>
      <c r="AA18" s="33">
        <f t="shared" si="6"/>
        <v>92</v>
      </c>
      <c r="AB18" s="2">
        <f t="shared" si="7"/>
        <v>5</v>
      </c>
      <c r="AC18" s="179"/>
      <c r="AD18" s="32">
        <v>19</v>
      </c>
      <c r="AE18" s="32">
        <v>66</v>
      </c>
      <c r="AF18" s="33">
        <f t="shared" si="8"/>
        <v>85</v>
      </c>
      <c r="AG18" s="2">
        <f t="shared" si="9"/>
        <v>5</v>
      </c>
      <c r="AH18" s="179"/>
      <c r="AI18" s="32">
        <v>12</v>
      </c>
      <c r="AJ18" s="32">
        <v>70</v>
      </c>
      <c r="AK18" s="33">
        <f t="shared" si="10"/>
        <v>82</v>
      </c>
      <c r="AL18" s="2">
        <f t="shared" si="11"/>
        <v>5</v>
      </c>
      <c r="AM18" s="179"/>
      <c r="AN18" s="2"/>
      <c r="AO18" s="2">
        <v>47</v>
      </c>
      <c r="AP18" s="34">
        <f t="shared" si="12"/>
        <v>47</v>
      </c>
      <c r="AQ18" s="2">
        <f t="shared" si="13"/>
        <v>5</v>
      </c>
      <c r="AR18" s="179"/>
      <c r="AS18" s="2">
        <v>46</v>
      </c>
      <c r="AT18" s="2">
        <f t="shared" si="14"/>
        <v>5</v>
      </c>
      <c r="AU18" s="179"/>
      <c r="AV18" s="2">
        <f t="shared" si="15"/>
        <v>35</v>
      </c>
      <c r="AW18" s="35">
        <f t="shared" si="16"/>
        <v>5</v>
      </c>
      <c r="AX18" s="26">
        <f t="shared" si="17"/>
        <v>681</v>
      </c>
      <c r="AY18" s="3"/>
      <c r="AZ18" s="3">
        <v>58</v>
      </c>
      <c r="BA18" s="51" t="str">
        <f t="shared" si="18"/>
        <v>BEST</v>
      </c>
      <c r="BE18">
        <v>681</v>
      </c>
    </row>
    <row r="19" spans="1:57">
      <c r="A19" s="2">
        <v>12</v>
      </c>
      <c r="B19" s="103">
        <v>12</v>
      </c>
      <c r="C19" s="104" t="s">
        <v>127</v>
      </c>
      <c r="D19" s="104" t="s">
        <v>128</v>
      </c>
      <c r="E19" s="104" t="s">
        <v>129</v>
      </c>
      <c r="F19" s="32">
        <v>20</v>
      </c>
      <c r="G19" s="32">
        <v>75</v>
      </c>
      <c r="H19" s="2">
        <v>6</v>
      </c>
      <c r="I19" s="2">
        <v>38</v>
      </c>
      <c r="J19" s="33">
        <f t="shared" si="0"/>
        <v>139</v>
      </c>
      <c r="K19" s="2">
        <f t="shared" si="1"/>
        <v>5</v>
      </c>
      <c r="L19" s="179"/>
      <c r="M19" s="32">
        <v>16</v>
      </c>
      <c r="N19" s="32">
        <v>62</v>
      </c>
      <c r="O19" s="2">
        <v>7</v>
      </c>
      <c r="P19" s="2">
        <v>22</v>
      </c>
      <c r="Q19" s="33">
        <f t="shared" si="2"/>
        <v>107</v>
      </c>
      <c r="R19" s="2">
        <f t="shared" si="3"/>
        <v>4</v>
      </c>
      <c r="S19" s="179"/>
      <c r="T19" s="32">
        <v>20</v>
      </c>
      <c r="U19" s="32">
        <v>53</v>
      </c>
      <c r="V19" s="33">
        <f t="shared" si="4"/>
        <v>73</v>
      </c>
      <c r="W19" s="2">
        <f t="shared" si="5"/>
        <v>4</v>
      </c>
      <c r="X19" s="179"/>
      <c r="Y19" s="32">
        <v>10</v>
      </c>
      <c r="Z19" s="32">
        <v>46</v>
      </c>
      <c r="AA19" s="33">
        <f t="shared" si="6"/>
        <v>56</v>
      </c>
      <c r="AB19" s="2">
        <f t="shared" si="7"/>
        <v>3</v>
      </c>
      <c r="AC19" s="179"/>
      <c r="AD19" s="32">
        <v>17</v>
      </c>
      <c r="AE19" s="32">
        <v>58</v>
      </c>
      <c r="AF19" s="33">
        <f t="shared" si="8"/>
        <v>75</v>
      </c>
      <c r="AG19" s="2">
        <f t="shared" si="9"/>
        <v>4</v>
      </c>
      <c r="AH19" s="179"/>
      <c r="AI19" s="32">
        <v>11</v>
      </c>
      <c r="AJ19" s="32">
        <v>53</v>
      </c>
      <c r="AK19" s="33">
        <f t="shared" si="10"/>
        <v>64</v>
      </c>
      <c r="AL19" s="2">
        <f t="shared" si="11"/>
        <v>3.5</v>
      </c>
      <c r="AM19" s="179"/>
      <c r="AN19" s="2"/>
      <c r="AO19" s="2">
        <v>43</v>
      </c>
      <c r="AP19" s="34">
        <f t="shared" si="12"/>
        <v>43</v>
      </c>
      <c r="AQ19" s="2">
        <f t="shared" si="13"/>
        <v>5</v>
      </c>
      <c r="AR19" s="179"/>
      <c r="AS19" s="2">
        <v>30</v>
      </c>
      <c r="AT19" s="2">
        <f t="shared" si="14"/>
        <v>3.5</v>
      </c>
      <c r="AU19" s="179"/>
      <c r="AV19" s="2">
        <f t="shared" si="15"/>
        <v>28.5</v>
      </c>
      <c r="AW19" s="35">
        <f t="shared" si="16"/>
        <v>4.0714285714285712</v>
      </c>
      <c r="AX19" s="26">
        <f t="shared" si="17"/>
        <v>557</v>
      </c>
      <c r="AY19" s="3"/>
      <c r="AZ19" s="3">
        <v>37</v>
      </c>
      <c r="BA19" s="51" t="str">
        <f t="shared" si="18"/>
        <v>BETTER</v>
      </c>
      <c r="BE19">
        <v>557</v>
      </c>
    </row>
    <row r="20" spans="1:57">
      <c r="A20" s="2">
        <v>13</v>
      </c>
      <c r="B20" s="103">
        <v>13</v>
      </c>
      <c r="C20" s="104" t="s">
        <v>130</v>
      </c>
      <c r="D20" s="104" t="s">
        <v>131</v>
      </c>
      <c r="E20" s="104" t="s">
        <v>132</v>
      </c>
      <c r="F20" s="32">
        <v>19</v>
      </c>
      <c r="G20" s="32">
        <v>67</v>
      </c>
      <c r="H20" s="2">
        <v>10</v>
      </c>
      <c r="I20" s="2">
        <v>31</v>
      </c>
      <c r="J20" s="33">
        <f t="shared" si="0"/>
        <v>127</v>
      </c>
      <c r="K20" s="2">
        <f t="shared" si="1"/>
        <v>5</v>
      </c>
      <c r="L20" s="179"/>
      <c r="M20" s="32">
        <v>16</v>
      </c>
      <c r="N20" s="32">
        <v>62</v>
      </c>
      <c r="O20" s="2">
        <v>6</v>
      </c>
      <c r="P20" s="2">
        <v>20</v>
      </c>
      <c r="Q20" s="33">
        <f t="shared" si="2"/>
        <v>104</v>
      </c>
      <c r="R20" s="2">
        <f t="shared" si="3"/>
        <v>3.5</v>
      </c>
      <c r="S20" s="179"/>
      <c r="T20" s="32">
        <v>12</v>
      </c>
      <c r="U20" s="32">
        <v>68</v>
      </c>
      <c r="V20" s="33">
        <f t="shared" si="4"/>
        <v>80</v>
      </c>
      <c r="W20" s="2">
        <f t="shared" si="5"/>
        <v>5</v>
      </c>
      <c r="X20" s="179"/>
      <c r="Y20" s="32">
        <v>15</v>
      </c>
      <c r="Z20" s="32">
        <v>62</v>
      </c>
      <c r="AA20" s="33">
        <f t="shared" si="6"/>
        <v>77</v>
      </c>
      <c r="AB20" s="2">
        <f t="shared" si="7"/>
        <v>4</v>
      </c>
      <c r="AC20" s="179"/>
      <c r="AD20" s="32">
        <v>19</v>
      </c>
      <c r="AE20" s="32">
        <v>69</v>
      </c>
      <c r="AF20" s="33">
        <f t="shared" si="8"/>
        <v>88</v>
      </c>
      <c r="AG20" s="2">
        <f t="shared" si="9"/>
        <v>5</v>
      </c>
      <c r="AH20" s="179"/>
      <c r="AI20" s="32">
        <v>13</v>
      </c>
      <c r="AJ20" s="32">
        <v>48</v>
      </c>
      <c r="AK20" s="33">
        <f t="shared" si="10"/>
        <v>61</v>
      </c>
      <c r="AL20" s="2">
        <f t="shared" si="11"/>
        <v>3.5</v>
      </c>
      <c r="AM20" s="179"/>
      <c r="AN20" s="2"/>
      <c r="AO20" s="2">
        <v>25</v>
      </c>
      <c r="AP20" s="34">
        <f t="shared" si="12"/>
        <v>25</v>
      </c>
      <c r="AQ20" s="2">
        <f t="shared" si="13"/>
        <v>3</v>
      </c>
      <c r="AR20" s="179"/>
      <c r="AS20" s="2">
        <v>40</v>
      </c>
      <c r="AT20" s="2">
        <f t="shared" si="14"/>
        <v>5</v>
      </c>
      <c r="AU20" s="179"/>
      <c r="AV20" s="2">
        <f t="shared" si="15"/>
        <v>29</v>
      </c>
      <c r="AW20" s="35">
        <f t="shared" si="16"/>
        <v>4.1428571428571432</v>
      </c>
      <c r="AX20" s="26">
        <f t="shared" si="17"/>
        <v>562</v>
      </c>
      <c r="AY20" s="3"/>
      <c r="AZ20" s="3">
        <v>47</v>
      </c>
      <c r="BA20" s="51" t="str">
        <f t="shared" si="18"/>
        <v>BETTER</v>
      </c>
      <c r="BE20">
        <v>562</v>
      </c>
    </row>
    <row r="21" spans="1:57">
      <c r="A21" s="2">
        <v>14</v>
      </c>
      <c r="B21" s="103">
        <v>14</v>
      </c>
      <c r="C21" s="104" t="s">
        <v>133</v>
      </c>
      <c r="D21" s="104" t="s">
        <v>134</v>
      </c>
      <c r="E21" s="104" t="s">
        <v>135</v>
      </c>
      <c r="F21" s="32">
        <v>18</v>
      </c>
      <c r="G21" s="32">
        <v>75</v>
      </c>
      <c r="H21" s="2">
        <v>9</v>
      </c>
      <c r="I21" s="2">
        <v>35</v>
      </c>
      <c r="J21" s="33">
        <f t="shared" si="0"/>
        <v>137</v>
      </c>
      <c r="K21" s="2">
        <f t="shared" si="1"/>
        <v>5</v>
      </c>
      <c r="L21" s="179"/>
      <c r="M21" s="32">
        <v>16</v>
      </c>
      <c r="N21" s="32">
        <v>50</v>
      </c>
      <c r="O21" s="2">
        <v>7</v>
      </c>
      <c r="P21" s="2">
        <v>25</v>
      </c>
      <c r="Q21" s="33">
        <f t="shared" si="2"/>
        <v>98</v>
      </c>
      <c r="R21" s="2">
        <f t="shared" si="3"/>
        <v>3.5</v>
      </c>
      <c r="S21" s="179"/>
      <c r="T21" s="32">
        <v>20</v>
      </c>
      <c r="U21" s="32">
        <v>46</v>
      </c>
      <c r="V21" s="33">
        <f t="shared" si="4"/>
        <v>66</v>
      </c>
      <c r="W21" s="2">
        <f t="shared" si="5"/>
        <v>3.5</v>
      </c>
      <c r="X21" s="179"/>
      <c r="Y21" s="32">
        <v>11</v>
      </c>
      <c r="Z21" s="32">
        <v>62</v>
      </c>
      <c r="AA21" s="33">
        <f t="shared" si="6"/>
        <v>73</v>
      </c>
      <c r="AB21" s="2">
        <f t="shared" si="7"/>
        <v>4</v>
      </c>
      <c r="AC21" s="179"/>
      <c r="AD21" s="32">
        <v>15</v>
      </c>
      <c r="AE21" s="32">
        <v>50</v>
      </c>
      <c r="AF21" s="33">
        <f t="shared" si="8"/>
        <v>65</v>
      </c>
      <c r="AG21" s="2">
        <f t="shared" si="9"/>
        <v>3.5</v>
      </c>
      <c r="AH21" s="179"/>
      <c r="AI21" s="32">
        <v>9</v>
      </c>
      <c r="AJ21" s="32">
        <v>42</v>
      </c>
      <c r="AK21" s="33">
        <f t="shared" si="10"/>
        <v>51</v>
      </c>
      <c r="AL21" s="2">
        <f t="shared" si="11"/>
        <v>3</v>
      </c>
      <c r="AM21" s="179"/>
      <c r="AN21" s="2"/>
      <c r="AO21" s="2">
        <v>46</v>
      </c>
      <c r="AP21" s="34">
        <f t="shared" si="12"/>
        <v>46</v>
      </c>
      <c r="AQ21" s="2">
        <f t="shared" si="13"/>
        <v>5</v>
      </c>
      <c r="AR21" s="179"/>
      <c r="AS21" s="2">
        <v>28</v>
      </c>
      <c r="AT21" s="2">
        <f t="shared" si="14"/>
        <v>3</v>
      </c>
      <c r="AU21" s="179"/>
      <c r="AV21" s="2">
        <f t="shared" si="15"/>
        <v>27.5</v>
      </c>
      <c r="AW21" s="35">
        <f t="shared" si="16"/>
        <v>3.9285714285714284</v>
      </c>
      <c r="AX21" s="26">
        <f t="shared" si="17"/>
        <v>536</v>
      </c>
      <c r="AY21" s="3"/>
      <c r="AZ21" s="3">
        <v>53</v>
      </c>
      <c r="BA21" s="51" t="str">
        <f t="shared" si="18"/>
        <v>GOOD</v>
      </c>
      <c r="BE21">
        <v>536</v>
      </c>
    </row>
    <row r="22" spans="1:57">
      <c r="A22" s="2">
        <v>15</v>
      </c>
      <c r="B22" s="103">
        <v>15</v>
      </c>
      <c r="C22" s="104" t="s">
        <v>136</v>
      </c>
      <c r="D22" s="104" t="s">
        <v>137</v>
      </c>
      <c r="E22" s="104" t="s">
        <v>138</v>
      </c>
      <c r="F22" s="32">
        <v>0</v>
      </c>
      <c r="G22" s="32">
        <v>0</v>
      </c>
      <c r="H22" s="2">
        <v>0</v>
      </c>
      <c r="I22" s="2">
        <v>0</v>
      </c>
      <c r="J22" s="33">
        <f t="shared" si="0"/>
        <v>0</v>
      </c>
      <c r="K22" s="2" t="str">
        <f t="shared" si="1"/>
        <v>F</v>
      </c>
      <c r="L22" s="179"/>
      <c r="M22" s="32">
        <v>0</v>
      </c>
      <c r="N22" s="32">
        <v>0</v>
      </c>
      <c r="O22" s="2">
        <v>0</v>
      </c>
      <c r="P22" s="2">
        <v>0</v>
      </c>
      <c r="Q22" s="33">
        <f t="shared" si="2"/>
        <v>0</v>
      </c>
      <c r="R22" s="2" t="str">
        <f t="shared" si="3"/>
        <v>F</v>
      </c>
      <c r="S22" s="179"/>
      <c r="T22" s="32">
        <v>0</v>
      </c>
      <c r="U22" s="32">
        <v>0</v>
      </c>
      <c r="V22" s="33">
        <f t="shared" si="4"/>
        <v>0</v>
      </c>
      <c r="W22" s="2" t="str">
        <f t="shared" si="5"/>
        <v>F</v>
      </c>
      <c r="X22" s="179"/>
      <c r="Y22" s="32">
        <v>0</v>
      </c>
      <c r="Z22" s="32">
        <v>0</v>
      </c>
      <c r="AA22" s="33">
        <f t="shared" si="6"/>
        <v>0</v>
      </c>
      <c r="AB22" s="2" t="str">
        <f t="shared" si="7"/>
        <v>F</v>
      </c>
      <c r="AC22" s="179"/>
      <c r="AD22" s="32">
        <v>0</v>
      </c>
      <c r="AE22" s="32">
        <v>0</v>
      </c>
      <c r="AF22" s="33">
        <f t="shared" si="8"/>
        <v>0</v>
      </c>
      <c r="AG22" s="2" t="str">
        <f t="shared" si="9"/>
        <v>F</v>
      </c>
      <c r="AH22" s="179"/>
      <c r="AI22" s="32">
        <v>0</v>
      </c>
      <c r="AJ22" s="32">
        <v>0</v>
      </c>
      <c r="AK22" s="33">
        <f t="shared" si="10"/>
        <v>0</v>
      </c>
      <c r="AL22" s="2" t="str">
        <f t="shared" si="11"/>
        <v>F</v>
      </c>
      <c r="AM22" s="179"/>
      <c r="AN22" s="2"/>
      <c r="AO22" s="2">
        <v>0</v>
      </c>
      <c r="AP22" s="34">
        <f t="shared" si="12"/>
        <v>0</v>
      </c>
      <c r="AQ22" s="2" t="str">
        <f t="shared" si="13"/>
        <v>F</v>
      </c>
      <c r="AR22" s="179"/>
      <c r="AS22" s="2">
        <v>0</v>
      </c>
      <c r="AT22" s="2" t="str">
        <f t="shared" si="14"/>
        <v>F</v>
      </c>
      <c r="AU22" s="179"/>
      <c r="AV22" s="2" t="str">
        <f t="shared" si="15"/>
        <v>F</v>
      </c>
      <c r="AW22" s="35" t="str">
        <f t="shared" si="16"/>
        <v>F</v>
      </c>
      <c r="AX22" s="26">
        <f t="shared" si="17"/>
        <v>0</v>
      </c>
      <c r="AY22" s="3"/>
      <c r="AZ22" s="3">
        <v>36</v>
      </c>
      <c r="BA22" s="51" t="str">
        <f t="shared" si="18"/>
        <v>NEED TO PROGRESS</v>
      </c>
      <c r="BE22">
        <v>0</v>
      </c>
    </row>
    <row r="23" spans="1:57">
      <c r="A23" s="2">
        <v>16</v>
      </c>
      <c r="B23" s="103">
        <v>16</v>
      </c>
      <c r="C23" s="104" t="s">
        <v>139</v>
      </c>
      <c r="D23" s="104" t="s">
        <v>140</v>
      </c>
      <c r="E23" s="104" t="s">
        <v>141</v>
      </c>
      <c r="F23" s="32">
        <v>20</v>
      </c>
      <c r="G23" s="32">
        <v>71</v>
      </c>
      <c r="H23" s="2">
        <v>10</v>
      </c>
      <c r="I23" s="2">
        <v>39</v>
      </c>
      <c r="J23" s="33">
        <f t="shared" si="0"/>
        <v>140</v>
      </c>
      <c r="K23" s="2">
        <f t="shared" si="1"/>
        <v>5</v>
      </c>
      <c r="L23" s="179"/>
      <c r="M23" s="32">
        <v>20</v>
      </c>
      <c r="N23" s="32">
        <v>75</v>
      </c>
      <c r="O23" s="2">
        <v>9</v>
      </c>
      <c r="P23" s="2">
        <v>34</v>
      </c>
      <c r="Q23" s="33">
        <f t="shared" si="2"/>
        <v>138</v>
      </c>
      <c r="R23" s="2">
        <f t="shared" si="3"/>
        <v>5</v>
      </c>
      <c r="S23" s="179"/>
      <c r="T23" s="32">
        <v>20</v>
      </c>
      <c r="U23" s="32">
        <v>53</v>
      </c>
      <c r="V23" s="33">
        <f t="shared" si="4"/>
        <v>73</v>
      </c>
      <c r="W23" s="2">
        <f t="shared" si="5"/>
        <v>4</v>
      </c>
      <c r="X23" s="179"/>
      <c r="Y23" s="32">
        <v>16</v>
      </c>
      <c r="Z23" s="32">
        <v>53</v>
      </c>
      <c r="AA23" s="33">
        <f t="shared" si="6"/>
        <v>69</v>
      </c>
      <c r="AB23" s="2">
        <f t="shared" si="7"/>
        <v>3.5</v>
      </c>
      <c r="AC23" s="179"/>
      <c r="AD23" s="32">
        <v>19</v>
      </c>
      <c r="AE23" s="32">
        <v>56</v>
      </c>
      <c r="AF23" s="33">
        <f t="shared" si="8"/>
        <v>75</v>
      </c>
      <c r="AG23" s="2">
        <f t="shared" si="9"/>
        <v>4</v>
      </c>
      <c r="AH23" s="179"/>
      <c r="AI23" s="32">
        <v>12</v>
      </c>
      <c r="AJ23" s="32">
        <v>58</v>
      </c>
      <c r="AK23" s="33">
        <f t="shared" si="10"/>
        <v>70</v>
      </c>
      <c r="AL23" s="2">
        <f t="shared" si="11"/>
        <v>4</v>
      </c>
      <c r="AM23" s="179"/>
      <c r="AN23" s="2"/>
      <c r="AO23" s="2">
        <v>41</v>
      </c>
      <c r="AP23" s="34">
        <f t="shared" si="12"/>
        <v>41</v>
      </c>
      <c r="AQ23" s="2">
        <f t="shared" si="13"/>
        <v>5</v>
      </c>
      <c r="AR23" s="179"/>
      <c r="AS23" s="2">
        <v>40</v>
      </c>
      <c r="AT23" s="2">
        <f t="shared" si="14"/>
        <v>5</v>
      </c>
      <c r="AU23" s="179"/>
      <c r="AV23" s="2">
        <f t="shared" si="15"/>
        <v>30.5</v>
      </c>
      <c r="AW23" s="35">
        <f t="shared" si="16"/>
        <v>4.3571428571428568</v>
      </c>
      <c r="AX23" s="26">
        <f t="shared" si="17"/>
        <v>606</v>
      </c>
      <c r="AY23" s="3"/>
      <c r="AZ23" s="3">
        <v>52</v>
      </c>
      <c r="BA23" s="51" t="str">
        <f t="shared" si="18"/>
        <v>BETTER</v>
      </c>
      <c r="BE23">
        <v>606</v>
      </c>
    </row>
    <row r="24" spans="1:57">
      <c r="A24" s="2">
        <v>17</v>
      </c>
      <c r="B24" s="85">
        <v>18</v>
      </c>
      <c r="C24" s="105" t="s">
        <v>142</v>
      </c>
      <c r="D24" s="105" t="s">
        <v>143</v>
      </c>
      <c r="E24" s="105" t="s">
        <v>144</v>
      </c>
      <c r="F24" s="32">
        <v>19</v>
      </c>
      <c r="G24" s="32">
        <v>67</v>
      </c>
      <c r="H24" s="2">
        <v>8</v>
      </c>
      <c r="I24" s="2">
        <v>38</v>
      </c>
      <c r="J24" s="33">
        <f t="shared" si="0"/>
        <v>132</v>
      </c>
      <c r="K24" s="2">
        <f t="shared" si="1"/>
        <v>5</v>
      </c>
      <c r="L24" s="179"/>
      <c r="M24" s="32">
        <v>16</v>
      </c>
      <c r="N24" s="32">
        <v>60</v>
      </c>
      <c r="O24" s="2">
        <v>8</v>
      </c>
      <c r="P24" s="2">
        <v>22</v>
      </c>
      <c r="Q24" s="33">
        <f t="shared" si="2"/>
        <v>106</v>
      </c>
      <c r="R24" s="2">
        <f t="shared" si="3"/>
        <v>4</v>
      </c>
      <c r="S24" s="179"/>
      <c r="T24" s="32">
        <v>13</v>
      </c>
      <c r="U24" s="32">
        <v>45</v>
      </c>
      <c r="V24" s="33">
        <f t="shared" si="4"/>
        <v>58</v>
      </c>
      <c r="W24" s="2">
        <f t="shared" si="5"/>
        <v>3</v>
      </c>
      <c r="X24" s="179"/>
      <c r="Y24" s="32">
        <v>17</v>
      </c>
      <c r="Z24" s="32">
        <v>50</v>
      </c>
      <c r="AA24" s="33">
        <f t="shared" si="6"/>
        <v>67</v>
      </c>
      <c r="AB24" s="2">
        <f t="shared" si="7"/>
        <v>3.5</v>
      </c>
      <c r="AC24" s="179"/>
      <c r="AD24" s="32">
        <v>14</v>
      </c>
      <c r="AE24" s="32">
        <v>44</v>
      </c>
      <c r="AF24" s="33">
        <f t="shared" si="8"/>
        <v>58</v>
      </c>
      <c r="AG24" s="2">
        <f t="shared" si="9"/>
        <v>3</v>
      </c>
      <c r="AH24" s="179"/>
      <c r="AI24" s="32">
        <v>20</v>
      </c>
      <c r="AJ24" s="32">
        <v>56</v>
      </c>
      <c r="AK24" s="33">
        <f t="shared" si="10"/>
        <v>76</v>
      </c>
      <c r="AL24" s="2">
        <f t="shared" si="11"/>
        <v>4</v>
      </c>
      <c r="AM24" s="179"/>
      <c r="AN24" s="2"/>
      <c r="AO24" s="2">
        <v>36</v>
      </c>
      <c r="AP24" s="34">
        <f t="shared" si="12"/>
        <v>36</v>
      </c>
      <c r="AQ24" s="2">
        <f t="shared" si="13"/>
        <v>4</v>
      </c>
      <c r="AR24" s="179"/>
      <c r="AS24" s="2">
        <v>36</v>
      </c>
      <c r="AT24" s="2">
        <f t="shared" si="14"/>
        <v>4</v>
      </c>
      <c r="AU24" s="179"/>
      <c r="AV24" s="2">
        <f t="shared" si="15"/>
        <v>26.5</v>
      </c>
      <c r="AW24" s="35">
        <f t="shared" si="16"/>
        <v>3.7857142857142856</v>
      </c>
      <c r="AX24" s="26">
        <f t="shared" si="17"/>
        <v>533</v>
      </c>
      <c r="AY24" s="3"/>
      <c r="AZ24" s="3">
        <v>48</v>
      </c>
      <c r="BA24" s="51" t="str">
        <f t="shared" si="18"/>
        <v>GOOD</v>
      </c>
      <c r="BE24">
        <v>533</v>
      </c>
    </row>
    <row r="25" spans="1:57" ht="15.6" customHeight="1">
      <c r="A25" s="2">
        <v>18</v>
      </c>
      <c r="B25" s="85">
        <v>20</v>
      </c>
      <c r="C25" s="105" t="s">
        <v>145</v>
      </c>
      <c r="D25" s="105" t="s">
        <v>146</v>
      </c>
      <c r="E25" s="105" t="s">
        <v>147</v>
      </c>
      <c r="F25" s="32">
        <v>0</v>
      </c>
      <c r="G25" s="32">
        <v>40</v>
      </c>
      <c r="H25" s="2">
        <v>0</v>
      </c>
      <c r="I25" s="2">
        <v>25</v>
      </c>
      <c r="J25" s="33">
        <f t="shared" si="0"/>
        <v>65</v>
      </c>
      <c r="K25" s="2">
        <f t="shared" si="1"/>
        <v>2</v>
      </c>
      <c r="L25" s="179"/>
      <c r="M25" s="32">
        <v>0</v>
      </c>
      <c r="N25" s="32">
        <v>40</v>
      </c>
      <c r="O25" s="2">
        <v>0</v>
      </c>
      <c r="P25" s="2">
        <v>20</v>
      </c>
      <c r="Q25" s="33">
        <f t="shared" si="2"/>
        <v>60</v>
      </c>
      <c r="R25" s="2">
        <f t="shared" si="3"/>
        <v>2</v>
      </c>
      <c r="S25" s="179"/>
      <c r="T25" s="32">
        <v>0</v>
      </c>
      <c r="U25" s="32">
        <v>14</v>
      </c>
      <c r="V25" s="33">
        <f t="shared" si="4"/>
        <v>14</v>
      </c>
      <c r="W25" s="2" t="str">
        <f t="shared" si="5"/>
        <v>F</v>
      </c>
      <c r="X25" s="179"/>
      <c r="Y25" s="32">
        <v>0</v>
      </c>
      <c r="Z25" s="32">
        <v>0</v>
      </c>
      <c r="AA25" s="33">
        <f t="shared" si="6"/>
        <v>0</v>
      </c>
      <c r="AB25" s="2" t="str">
        <f t="shared" si="7"/>
        <v>F</v>
      </c>
      <c r="AC25" s="179"/>
      <c r="AD25" s="32">
        <v>5</v>
      </c>
      <c r="AE25" s="32">
        <v>40</v>
      </c>
      <c r="AF25" s="33">
        <f t="shared" si="8"/>
        <v>45</v>
      </c>
      <c r="AG25" s="2">
        <f t="shared" si="9"/>
        <v>2</v>
      </c>
      <c r="AH25" s="179"/>
      <c r="AI25" s="32">
        <v>0</v>
      </c>
      <c r="AJ25" s="32">
        <v>52</v>
      </c>
      <c r="AK25" s="33">
        <f t="shared" si="10"/>
        <v>52</v>
      </c>
      <c r="AL25" s="2">
        <f t="shared" si="11"/>
        <v>3</v>
      </c>
      <c r="AM25" s="179"/>
      <c r="AN25" s="2"/>
      <c r="AO25" s="2">
        <v>45</v>
      </c>
      <c r="AP25" s="34">
        <f t="shared" si="12"/>
        <v>45</v>
      </c>
      <c r="AQ25" s="2">
        <f t="shared" si="13"/>
        <v>5</v>
      </c>
      <c r="AR25" s="179"/>
      <c r="AS25" s="2">
        <v>24</v>
      </c>
      <c r="AT25" s="2">
        <f t="shared" si="14"/>
        <v>2</v>
      </c>
      <c r="AU25" s="179"/>
      <c r="AV25" s="2" t="str">
        <f t="shared" si="15"/>
        <v>F</v>
      </c>
      <c r="AW25" s="35" t="str">
        <f t="shared" si="16"/>
        <v>F</v>
      </c>
      <c r="AX25" s="26">
        <f t="shared" si="17"/>
        <v>281</v>
      </c>
      <c r="AY25" s="3"/>
      <c r="AZ25" s="3">
        <v>37</v>
      </c>
      <c r="BA25" s="51" t="str">
        <f t="shared" si="18"/>
        <v>NEED TO PROGRESS</v>
      </c>
      <c r="BE25">
        <v>281</v>
      </c>
    </row>
    <row r="26" spans="1:57" ht="15.75" thickBot="1">
      <c r="A26" s="131">
        <v>19</v>
      </c>
      <c r="B26" s="132">
        <v>21</v>
      </c>
      <c r="C26" s="133" t="s">
        <v>148</v>
      </c>
      <c r="D26" s="133" t="s">
        <v>149</v>
      </c>
      <c r="E26" s="133" t="s">
        <v>150</v>
      </c>
      <c r="F26" s="50">
        <v>20</v>
      </c>
      <c r="G26" s="50">
        <v>78</v>
      </c>
      <c r="H26" s="131">
        <v>9</v>
      </c>
      <c r="I26" s="131">
        <v>39</v>
      </c>
      <c r="J26" s="134">
        <f t="shared" si="0"/>
        <v>146</v>
      </c>
      <c r="K26" s="131">
        <f t="shared" si="1"/>
        <v>5</v>
      </c>
      <c r="L26" s="179"/>
      <c r="M26" s="50">
        <v>19</v>
      </c>
      <c r="N26" s="50">
        <v>77</v>
      </c>
      <c r="O26" s="131">
        <v>9</v>
      </c>
      <c r="P26" s="131">
        <v>31</v>
      </c>
      <c r="Q26" s="134">
        <f t="shared" si="2"/>
        <v>136</v>
      </c>
      <c r="R26" s="131">
        <f t="shared" si="3"/>
        <v>5</v>
      </c>
      <c r="S26" s="179"/>
      <c r="T26" s="50">
        <v>20</v>
      </c>
      <c r="U26" s="50">
        <v>66</v>
      </c>
      <c r="V26" s="134">
        <f t="shared" si="4"/>
        <v>86</v>
      </c>
      <c r="W26" s="131">
        <f t="shared" si="5"/>
        <v>5</v>
      </c>
      <c r="X26" s="179"/>
      <c r="Y26" s="50">
        <v>20</v>
      </c>
      <c r="Z26" s="50">
        <v>65</v>
      </c>
      <c r="AA26" s="134">
        <f t="shared" si="6"/>
        <v>85</v>
      </c>
      <c r="AB26" s="131">
        <f t="shared" si="7"/>
        <v>5</v>
      </c>
      <c r="AC26" s="179"/>
      <c r="AD26" s="50">
        <v>19</v>
      </c>
      <c r="AE26" s="50">
        <v>78</v>
      </c>
      <c r="AF26" s="134">
        <f t="shared" si="8"/>
        <v>97</v>
      </c>
      <c r="AG26" s="131">
        <f t="shared" si="9"/>
        <v>5</v>
      </c>
      <c r="AH26" s="179"/>
      <c r="AI26" s="50">
        <v>18</v>
      </c>
      <c r="AJ26" s="50">
        <v>77</v>
      </c>
      <c r="AK26" s="134">
        <f t="shared" si="10"/>
        <v>95</v>
      </c>
      <c r="AL26" s="131">
        <f t="shared" si="11"/>
        <v>5</v>
      </c>
      <c r="AM26" s="179"/>
      <c r="AN26" s="131"/>
      <c r="AO26" s="131">
        <v>49</v>
      </c>
      <c r="AP26" s="135">
        <f t="shared" si="12"/>
        <v>49</v>
      </c>
      <c r="AQ26" s="131">
        <f t="shared" si="13"/>
        <v>5</v>
      </c>
      <c r="AR26" s="179"/>
      <c r="AS26" s="131">
        <v>32</v>
      </c>
      <c r="AT26" s="131">
        <f t="shared" si="14"/>
        <v>3.5</v>
      </c>
      <c r="AU26" s="179"/>
      <c r="AV26" s="131">
        <f t="shared" si="15"/>
        <v>35</v>
      </c>
      <c r="AW26" s="136">
        <f t="shared" si="16"/>
        <v>5</v>
      </c>
      <c r="AX26" s="137">
        <f t="shared" si="17"/>
        <v>694</v>
      </c>
      <c r="AY26" s="138"/>
      <c r="AZ26" s="138">
        <v>37</v>
      </c>
      <c r="BA26" s="139" t="str">
        <f t="shared" si="18"/>
        <v>BEST</v>
      </c>
      <c r="BE26">
        <v>694</v>
      </c>
    </row>
    <row r="27" spans="1:57" s="150" customFormat="1" ht="15.75" thickTop="1">
      <c r="A27" s="140">
        <v>20</v>
      </c>
      <c r="B27" s="141">
        <v>23</v>
      </c>
      <c r="C27" s="142" t="s">
        <v>151</v>
      </c>
      <c r="D27" s="142" t="s">
        <v>152</v>
      </c>
      <c r="E27" s="142" t="s">
        <v>153</v>
      </c>
      <c r="F27" s="143">
        <v>20</v>
      </c>
      <c r="G27" s="143">
        <v>74</v>
      </c>
      <c r="H27" s="140">
        <v>10</v>
      </c>
      <c r="I27" s="140">
        <v>27</v>
      </c>
      <c r="J27" s="144">
        <f t="shared" si="0"/>
        <v>131</v>
      </c>
      <c r="K27" s="140">
        <f t="shared" si="1"/>
        <v>5</v>
      </c>
      <c r="L27" s="179"/>
      <c r="M27" s="143">
        <v>19</v>
      </c>
      <c r="N27" s="143">
        <v>42</v>
      </c>
      <c r="O27" s="140">
        <v>7</v>
      </c>
      <c r="P27" s="140">
        <v>17</v>
      </c>
      <c r="Q27" s="144">
        <f t="shared" si="2"/>
        <v>85</v>
      </c>
      <c r="R27" s="140">
        <f t="shared" si="3"/>
        <v>3</v>
      </c>
      <c r="S27" s="179"/>
      <c r="T27" s="143">
        <v>19</v>
      </c>
      <c r="U27" s="143">
        <v>60</v>
      </c>
      <c r="V27" s="144">
        <f t="shared" si="4"/>
        <v>79</v>
      </c>
      <c r="W27" s="140">
        <f t="shared" si="5"/>
        <v>4</v>
      </c>
      <c r="X27" s="179"/>
      <c r="Y27" s="143">
        <v>16</v>
      </c>
      <c r="Z27" s="143">
        <v>59</v>
      </c>
      <c r="AA27" s="144">
        <f t="shared" si="6"/>
        <v>75</v>
      </c>
      <c r="AB27" s="140">
        <f t="shared" si="7"/>
        <v>4</v>
      </c>
      <c r="AC27" s="179"/>
      <c r="AD27" s="143">
        <v>18</v>
      </c>
      <c r="AE27" s="143">
        <v>50</v>
      </c>
      <c r="AF27" s="144">
        <f t="shared" si="8"/>
        <v>68</v>
      </c>
      <c r="AG27" s="140">
        <f t="shared" si="9"/>
        <v>3.5</v>
      </c>
      <c r="AH27" s="179"/>
      <c r="AI27" s="143">
        <v>12</v>
      </c>
      <c r="AJ27" s="143">
        <v>32</v>
      </c>
      <c r="AK27" s="144">
        <f t="shared" si="10"/>
        <v>44</v>
      </c>
      <c r="AL27" s="140">
        <f t="shared" si="11"/>
        <v>2</v>
      </c>
      <c r="AM27" s="179"/>
      <c r="AN27" s="140"/>
      <c r="AO27" s="140">
        <v>43</v>
      </c>
      <c r="AP27" s="145">
        <f t="shared" si="12"/>
        <v>43</v>
      </c>
      <c r="AQ27" s="140">
        <f t="shared" si="13"/>
        <v>5</v>
      </c>
      <c r="AR27" s="179"/>
      <c r="AS27" s="140">
        <v>30</v>
      </c>
      <c r="AT27" s="140">
        <f t="shared" si="14"/>
        <v>3.5</v>
      </c>
      <c r="AU27" s="179"/>
      <c r="AV27" s="140">
        <f t="shared" si="15"/>
        <v>26.5</v>
      </c>
      <c r="AW27" s="146">
        <f t="shared" si="16"/>
        <v>3.7857142857142856</v>
      </c>
      <c r="AX27" s="147">
        <f t="shared" si="17"/>
        <v>525</v>
      </c>
      <c r="AY27" s="148"/>
      <c r="AZ27" s="148">
        <v>34</v>
      </c>
      <c r="BA27" s="149" t="str">
        <f t="shared" si="18"/>
        <v>GOOD</v>
      </c>
      <c r="BE27" s="150">
        <v>525</v>
      </c>
    </row>
    <row r="28" spans="1:57">
      <c r="A28" s="2">
        <v>21</v>
      </c>
      <c r="B28" s="85">
        <v>24</v>
      </c>
      <c r="C28" s="105" t="s">
        <v>154</v>
      </c>
      <c r="D28" s="105" t="s">
        <v>155</v>
      </c>
      <c r="E28" s="105" t="s">
        <v>156</v>
      </c>
      <c r="F28" s="32">
        <v>19</v>
      </c>
      <c r="G28" s="32">
        <v>80</v>
      </c>
      <c r="H28" s="2">
        <v>9</v>
      </c>
      <c r="I28" s="2">
        <v>39</v>
      </c>
      <c r="J28" s="33">
        <f t="shared" si="0"/>
        <v>147</v>
      </c>
      <c r="K28" s="2">
        <f t="shared" si="1"/>
        <v>5</v>
      </c>
      <c r="L28" s="179"/>
      <c r="M28" s="32">
        <v>20</v>
      </c>
      <c r="N28" s="32">
        <v>79</v>
      </c>
      <c r="O28" s="2">
        <v>10</v>
      </c>
      <c r="P28" s="2">
        <v>36</v>
      </c>
      <c r="Q28" s="33">
        <f t="shared" si="2"/>
        <v>145</v>
      </c>
      <c r="R28" s="2">
        <f t="shared" si="3"/>
        <v>5</v>
      </c>
      <c r="S28" s="179"/>
      <c r="T28" s="32">
        <v>20</v>
      </c>
      <c r="U28" s="32">
        <v>75</v>
      </c>
      <c r="V28" s="33">
        <f t="shared" si="4"/>
        <v>95</v>
      </c>
      <c r="W28" s="2">
        <f t="shared" si="5"/>
        <v>5</v>
      </c>
      <c r="X28" s="179"/>
      <c r="Y28" s="32">
        <v>20</v>
      </c>
      <c r="Z28" s="32">
        <v>76</v>
      </c>
      <c r="AA28" s="33">
        <f t="shared" si="6"/>
        <v>96</v>
      </c>
      <c r="AB28" s="2">
        <f t="shared" si="7"/>
        <v>5</v>
      </c>
      <c r="AC28" s="179"/>
      <c r="AD28" s="32">
        <v>19</v>
      </c>
      <c r="AE28" s="32">
        <v>78</v>
      </c>
      <c r="AF28" s="33">
        <f t="shared" si="8"/>
        <v>97</v>
      </c>
      <c r="AG28" s="2">
        <f t="shared" si="9"/>
        <v>5</v>
      </c>
      <c r="AH28" s="179"/>
      <c r="AI28" s="32">
        <v>19</v>
      </c>
      <c r="AJ28" s="32">
        <v>78</v>
      </c>
      <c r="AK28" s="33">
        <f t="shared" si="10"/>
        <v>97</v>
      </c>
      <c r="AL28" s="2">
        <f t="shared" si="11"/>
        <v>5</v>
      </c>
      <c r="AM28" s="179"/>
      <c r="AN28" s="2"/>
      <c r="AO28" s="2">
        <v>50</v>
      </c>
      <c r="AP28" s="34">
        <f t="shared" si="12"/>
        <v>50</v>
      </c>
      <c r="AQ28" s="2">
        <f t="shared" si="13"/>
        <v>5</v>
      </c>
      <c r="AR28" s="179"/>
      <c r="AS28" s="2">
        <v>38</v>
      </c>
      <c r="AT28" s="2">
        <f t="shared" si="14"/>
        <v>4</v>
      </c>
      <c r="AU28" s="179"/>
      <c r="AV28" s="2">
        <f t="shared" si="15"/>
        <v>35</v>
      </c>
      <c r="AW28" s="35">
        <f t="shared" si="16"/>
        <v>5</v>
      </c>
      <c r="AX28" s="26">
        <f t="shared" si="17"/>
        <v>727</v>
      </c>
      <c r="AY28" s="3"/>
      <c r="AZ28" s="3">
        <v>22</v>
      </c>
      <c r="BA28" s="51" t="str">
        <f t="shared" si="18"/>
        <v>BEST</v>
      </c>
      <c r="BE28" s="151">
        <v>727</v>
      </c>
    </row>
    <row r="29" spans="1:57">
      <c r="A29" s="2">
        <v>22</v>
      </c>
      <c r="B29" s="85">
        <v>25</v>
      </c>
      <c r="C29" s="105" t="s">
        <v>157</v>
      </c>
      <c r="D29" s="105" t="s">
        <v>158</v>
      </c>
      <c r="E29" s="105" t="s">
        <v>159</v>
      </c>
      <c r="F29" s="32">
        <v>18</v>
      </c>
      <c r="G29" s="32">
        <v>79</v>
      </c>
      <c r="H29" s="2">
        <v>9</v>
      </c>
      <c r="I29" s="2">
        <v>39</v>
      </c>
      <c r="J29" s="33">
        <f t="shared" ref="J29:J37" si="19">F29+G29+H29+I29</f>
        <v>145</v>
      </c>
      <c r="K29" s="2">
        <f t="shared" ref="K29:K37" si="20">IF(J29&lt;60,"F",IF(J29&lt;75,2,IF(J29&lt;90,3,IF(J29&lt;105,3.5,IF(J29&lt;120,4,5)))))</f>
        <v>5</v>
      </c>
      <c r="L29" s="179"/>
      <c r="M29" s="32">
        <v>20</v>
      </c>
      <c r="N29" s="32">
        <v>80</v>
      </c>
      <c r="O29" s="2">
        <v>10</v>
      </c>
      <c r="P29" s="2">
        <v>37</v>
      </c>
      <c r="Q29" s="33">
        <f t="shared" ref="Q29" si="21">M29+N29+O29+P29</f>
        <v>147</v>
      </c>
      <c r="R29" s="2">
        <f t="shared" ref="R29:R34" si="22">IF(Q29&lt;60,"F",IF(Q29&lt;75,2,IF(Q29&lt;90,3,IF(Q29&lt;105,3.5,IF(Q29&lt;120,4,5)))))</f>
        <v>5</v>
      </c>
      <c r="S29" s="179"/>
      <c r="T29" s="32">
        <v>20</v>
      </c>
      <c r="U29" s="32">
        <v>69</v>
      </c>
      <c r="V29" s="33">
        <f t="shared" ref="V29:V34" si="23">T29+U29</f>
        <v>89</v>
      </c>
      <c r="W29" s="2">
        <f t="shared" ref="W29:W34" si="24">IF(V29&lt;40,"F",IF(V29&lt;50,2,IF(V29&lt;60,3,IF(V29&lt;70,3.5,IF(V29&lt;80,4,5)))))</f>
        <v>5</v>
      </c>
      <c r="X29" s="179"/>
      <c r="Y29" s="32">
        <v>18</v>
      </c>
      <c r="Z29" s="32">
        <v>48</v>
      </c>
      <c r="AA29" s="33">
        <f t="shared" ref="AA29:AA34" si="25">Y29+Z29</f>
        <v>66</v>
      </c>
      <c r="AB29" s="2">
        <f t="shared" ref="AB29:AB34" si="26">IF(AA29&lt;40,"F",IF(AA29&lt;50,2,IF(AA29&lt;60,3,IF(AA29&lt;70,3.5,IF(AA29&lt;80,4,5)))))</f>
        <v>3.5</v>
      </c>
      <c r="AC29" s="179"/>
      <c r="AD29" s="32">
        <v>16</v>
      </c>
      <c r="AE29" s="32">
        <v>54</v>
      </c>
      <c r="AF29" s="33">
        <f t="shared" ref="AF29:AF34" si="27">AD29+AE29</f>
        <v>70</v>
      </c>
      <c r="AG29" s="2">
        <f t="shared" ref="AG29:AG34" si="28">IF(AF29&lt;40,"F",IF(AF29&lt;50,2,IF(AF29&lt;60,3,IF(AF29&lt;70,3.5,IF(AF29&lt;80,4,5)))))</f>
        <v>4</v>
      </c>
      <c r="AH29" s="179"/>
      <c r="AI29" s="32">
        <v>12</v>
      </c>
      <c r="AJ29" s="32">
        <v>71</v>
      </c>
      <c r="AK29" s="33">
        <f t="shared" ref="AK29:AK34" si="29">AI29+AJ29</f>
        <v>83</v>
      </c>
      <c r="AL29" s="2">
        <f t="shared" ref="AL29:AL34" si="30">IF(AK29&lt;40,"F",IF(AK29&lt;50,2,IF(AK29&lt;60,3,IF(AK29&lt;70,3.5,IF(AK29&lt;80,4,5)))))</f>
        <v>5</v>
      </c>
      <c r="AM29" s="179"/>
      <c r="AN29" s="2"/>
      <c r="AO29" s="2">
        <v>45</v>
      </c>
      <c r="AP29" s="34">
        <f t="shared" ref="AP29:AP34" si="31">AO29*1</f>
        <v>45</v>
      </c>
      <c r="AQ29" s="2">
        <f t="shared" ref="AQ29:AQ34" si="32">IF(AP29&lt;20,"F",IF(AP29&lt;25,2,IF(AP29&lt;30,3,IF(AP29&lt;35,3.5,IF(AP29&lt;40,4,5)))))</f>
        <v>5</v>
      </c>
      <c r="AR29" s="179"/>
      <c r="AS29" s="2">
        <v>36</v>
      </c>
      <c r="AT29" s="2">
        <f t="shared" ref="AT29:AT34" si="33">IF(AS29&lt;20,"F",IF(AS29&lt;25,2,IF(AS29&lt;30,3,IF(AS29&lt;35,3.5,IF(AS29&lt;40,4,5)))))</f>
        <v>4</v>
      </c>
      <c r="AU29" s="179"/>
      <c r="AV29" s="2">
        <f t="shared" ref="AV29:AV37" si="34">IF(K29="F","F",IF(R29="F","F",IF(W29="F","F",IF(AB29="F","F",IF(AG29="F","F",IF(AL29="F","F",IF(AQ29="F","F",SUM(K29,R29,W29,AB29,AG29,AL29,AQ29))))))))</f>
        <v>32.5</v>
      </c>
      <c r="AW29" s="35">
        <f t="shared" ref="AW29:AW37" si="35">IF(AV29="F","F", IF(AV29&gt;=35,5,IF(AV29&lt;35,AV29/7)))</f>
        <v>4.6428571428571432</v>
      </c>
      <c r="AX29" s="26">
        <f t="shared" ref="AX29:AX37" si="36">J29+Q29+V29+AA29+AF29+AK29+AP29</f>
        <v>645</v>
      </c>
      <c r="AY29" s="3"/>
      <c r="AZ29" s="3">
        <v>23</v>
      </c>
      <c r="BA29" s="51" t="str">
        <f t="shared" ref="BA29:BA37" si="37">IF(AW29="F","NEED TO PROGRESS",IF(AW29&gt;=5,"BEST",IF(AW29&gt;=4,"BETTER",IF(AW29&gt;2,"GOOD"))))</f>
        <v>BETTER</v>
      </c>
      <c r="BE29" s="151">
        <v>645</v>
      </c>
    </row>
    <row r="30" spans="1:57">
      <c r="A30" s="2">
        <v>23</v>
      </c>
      <c r="B30" s="85">
        <v>27</v>
      </c>
      <c r="C30" s="105" t="s">
        <v>160</v>
      </c>
      <c r="D30" s="105" t="s">
        <v>161</v>
      </c>
      <c r="E30" s="105" t="s">
        <v>162</v>
      </c>
      <c r="F30" s="32">
        <v>0</v>
      </c>
      <c r="G30" s="32">
        <v>78</v>
      </c>
      <c r="H30" s="2">
        <v>0</v>
      </c>
      <c r="I30" s="2">
        <v>39</v>
      </c>
      <c r="J30" s="33">
        <f t="shared" si="19"/>
        <v>117</v>
      </c>
      <c r="K30" s="2">
        <f t="shared" si="20"/>
        <v>4</v>
      </c>
      <c r="L30" s="179"/>
      <c r="M30" s="32">
        <v>0</v>
      </c>
      <c r="N30" s="32">
        <v>89</v>
      </c>
      <c r="O30" s="2">
        <v>0</v>
      </c>
      <c r="P30" s="2">
        <v>32</v>
      </c>
      <c r="Q30" s="33">
        <f t="shared" ref="Q30:Q37" si="38">M30+N30+O30+P30</f>
        <v>121</v>
      </c>
      <c r="R30" s="2">
        <f t="shared" si="22"/>
        <v>5</v>
      </c>
      <c r="S30" s="179"/>
      <c r="T30" s="32">
        <v>0</v>
      </c>
      <c r="U30" s="32">
        <v>60</v>
      </c>
      <c r="V30" s="33">
        <f t="shared" si="23"/>
        <v>60</v>
      </c>
      <c r="W30" s="2">
        <f t="shared" si="24"/>
        <v>3.5</v>
      </c>
      <c r="X30" s="179"/>
      <c r="Y30" s="32">
        <v>0</v>
      </c>
      <c r="Z30" s="32">
        <v>63</v>
      </c>
      <c r="AA30" s="33">
        <f t="shared" si="25"/>
        <v>63</v>
      </c>
      <c r="AB30" s="2">
        <f t="shared" si="26"/>
        <v>3.5</v>
      </c>
      <c r="AC30" s="179"/>
      <c r="AD30" s="32">
        <v>0</v>
      </c>
      <c r="AE30" s="32">
        <v>76</v>
      </c>
      <c r="AF30" s="33">
        <f t="shared" si="27"/>
        <v>76</v>
      </c>
      <c r="AG30" s="2">
        <f t="shared" si="28"/>
        <v>4</v>
      </c>
      <c r="AH30" s="179"/>
      <c r="AI30" s="32">
        <v>0</v>
      </c>
      <c r="AJ30" s="32">
        <v>76</v>
      </c>
      <c r="AK30" s="33">
        <f t="shared" si="29"/>
        <v>76</v>
      </c>
      <c r="AL30" s="2">
        <f t="shared" si="30"/>
        <v>4</v>
      </c>
      <c r="AM30" s="179"/>
      <c r="AN30" s="2"/>
      <c r="AO30" s="2">
        <v>42</v>
      </c>
      <c r="AP30" s="34">
        <f t="shared" si="31"/>
        <v>42</v>
      </c>
      <c r="AQ30" s="2">
        <f t="shared" si="32"/>
        <v>5</v>
      </c>
      <c r="AR30" s="179"/>
      <c r="AS30" s="2">
        <v>34</v>
      </c>
      <c r="AT30" s="2">
        <f t="shared" si="33"/>
        <v>3.5</v>
      </c>
      <c r="AU30" s="179"/>
      <c r="AV30" s="2">
        <f t="shared" si="34"/>
        <v>29</v>
      </c>
      <c r="AW30" s="35">
        <f t="shared" si="35"/>
        <v>4.1428571428571432</v>
      </c>
      <c r="AX30" s="26">
        <f t="shared" si="36"/>
        <v>555</v>
      </c>
      <c r="AY30" s="3"/>
      <c r="AZ30" s="3">
        <v>24</v>
      </c>
      <c r="BA30" s="51" t="str">
        <f t="shared" si="37"/>
        <v>BETTER</v>
      </c>
      <c r="BE30" s="151">
        <v>555</v>
      </c>
    </row>
    <row r="31" spans="1:57">
      <c r="A31" s="2">
        <v>24</v>
      </c>
      <c r="B31" s="103">
        <v>28</v>
      </c>
      <c r="C31" s="104" t="s">
        <v>163</v>
      </c>
      <c r="D31" s="104" t="s">
        <v>164</v>
      </c>
      <c r="E31" s="104" t="s">
        <v>165</v>
      </c>
      <c r="F31" s="32">
        <v>0</v>
      </c>
      <c r="G31" s="32">
        <v>19</v>
      </c>
      <c r="H31" s="2">
        <v>0</v>
      </c>
      <c r="I31" s="2">
        <v>23</v>
      </c>
      <c r="J31" s="33">
        <f t="shared" si="19"/>
        <v>42</v>
      </c>
      <c r="K31" s="2" t="str">
        <f t="shared" si="20"/>
        <v>F</v>
      </c>
      <c r="L31" s="179"/>
      <c r="M31" s="32">
        <v>0</v>
      </c>
      <c r="N31" s="32">
        <v>63</v>
      </c>
      <c r="O31" s="2">
        <v>0</v>
      </c>
      <c r="P31" s="2">
        <v>20</v>
      </c>
      <c r="Q31" s="33">
        <f t="shared" si="38"/>
        <v>83</v>
      </c>
      <c r="R31" s="2">
        <f t="shared" si="22"/>
        <v>3</v>
      </c>
      <c r="S31" s="179"/>
      <c r="T31" s="32">
        <v>0</v>
      </c>
      <c r="U31" s="32">
        <v>23</v>
      </c>
      <c r="V31" s="33">
        <f t="shared" si="23"/>
        <v>23</v>
      </c>
      <c r="W31" s="2" t="str">
        <f t="shared" si="24"/>
        <v>F</v>
      </c>
      <c r="X31" s="179"/>
      <c r="Y31" s="32">
        <v>0</v>
      </c>
      <c r="Z31" s="32">
        <v>26</v>
      </c>
      <c r="AA31" s="33">
        <f t="shared" si="25"/>
        <v>26</v>
      </c>
      <c r="AB31" s="2" t="str">
        <f t="shared" si="26"/>
        <v>F</v>
      </c>
      <c r="AC31" s="179"/>
      <c r="AD31" s="32">
        <v>0</v>
      </c>
      <c r="AE31" s="32">
        <v>25</v>
      </c>
      <c r="AF31" s="33">
        <f t="shared" si="27"/>
        <v>25</v>
      </c>
      <c r="AG31" s="2" t="str">
        <f t="shared" si="28"/>
        <v>F</v>
      </c>
      <c r="AH31" s="179"/>
      <c r="AI31" s="32">
        <v>0</v>
      </c>
      <c r="AJ31" s="32">
        <v>50</v>
      </c>
      <c r="AK31" s="33">
        <f t="shared" si="29"/>
        <v>50</v>
      </c>
      <c r="AL31" s="2">
        <f t="shared" si="30"/>
        <v>3</v>
      </c>
      <c r="AM31" s="179"/>
      <c r="AN31" s="2"/>
      <c r="AO31" s="2">
        <v>19</v>
      </c>
      <c r="AP31" s="34">
        <f t="shared" si="31"/>
        <v>19</v>
      </c>
      <c r="AQ31" s="2" t="str">
        <f t="shared" si="32"/>
        <v>F</v>
      </c>
      <c r="AR31" s="179"/>
      <c r="AS31" s="2">
        <v>32</v>
      </c>
      <c r="AT31" s="2">
        <f t="shared" si="33"/>
        <v>3.5</v>
      </c>
      <c r="AU31" s="179"/>
      <c r="AV31" s="2" t="str">
        <f t="shared" si="34"/>
        <v>F</v>
      </c>
      <c r="AW31" s="35" t="str">
        <f t="shared" si="35"/>
        <v>F</v>
      </c>
      <c r="AX31" s="26">
        <f t="shared" si="36"/>
        <v>268</v>
      </c>
      <c r="AY31" s="3"/>
      <c r="AZ31" s="3">
        <v>25</v>
      </c>
      <c r="BA31" s="51" t="str">
        <f t="shared" si="37"/>
        <v>NEED TO PROGRESS</v>
      </c>
      <c r="BE31" s="151">
        <v>268</v>
      </c>
    </row>
    <row r="32" spans="1:57">
      <c r="A32" s="2">
        <v>25</v>
      </c>
      <c r="B32" s="103">
        <v>29</v>
      </c>
      <c r="C32" s="104" t="s">
        <v>166</v>
      </c>
      <c r="D32" s="104" t="s">
        <v>167</v>
      </c>
      <c r="E32" s="104" t="s">
        <v>168</v>
      </c>
      <c r="F32" s="32">
        <v>0</v>
      </c>
      <c r="G32" s="32">
        <v>65</v>
      </c>
      <c r="H32" s="2">
        <v>0</v>
      </c>
      <c r="I32" s="2">
        <v>25</v>
      </c>
      <c r="J32" s="33">
        <f t="shared" si="19"/>
        <v>90</v>
      </c>
      <c r="K32" s="2">
        <f t="shared" si="20"/>
        <v>3.5</v>
      </c>
      <c r="L32" s="179"/>
      <c r="M32" s="32">
        <v>0</v>
      </c>
      <c r="N32" s="32">
        <v>61</v>
      </c>
      <c r="O32" s="2">
        <v>0</v>
      </c>
      <c r="P32" s="2">
        <v>28</v>
      </c>
      <c r="Q32" s="33">
        <f t="shared" si="38"/>
        <v>89</v>
      </c>
      <c r="R32" s="2">
        <f t="shared" si="22"/>
        <v>3</v>
      </c>
      <c r="S32" s="179"/>
      <c r="T32" s="32">
        <v>0</v>
      </c>
      <c r="U32" s="32">
        <v>51</v>
      </c>
      <c r="V32" s="33">
        <f t="shared" si="23"/>
        <v>51</v>
      </c>
      <c r="W32" s="2">
        <f t="shared" si="24"/>
        <v>3</v>
      </c>
      <c r="X32" s="179"/>
      <c r="Y32" s="32">
        <v>0</v>
      </c>
      <c r="Z32" s="32">
        <v>54</v>
      </c>
      <c r="AA32" s="33">
        <f t="shared" si="25"/>
        <v>54</v>
      </c>
      <c r="AB32" s="2">
        <f t="shared" si="26"/>
        <v>3</v>
      </c>
      <c r="AC32" s="179"/>
      <c r="AD32" s="32">
        <v>0</v>
      </c>
      <c r="AE32" s="32">
        <v>55</v>
      </c>
      <c r="AF32" s="33">
        <f t="shared" si="27"/>
        <v>55</v>
      </c>
      <c r="AG32" s="2">
        <f t="shared" si="28"/>
        <v>3</v>
      </c>
      <c r="AH32" s="179"/>
      <c r="AI32" s="32">
        <v>0</v>
      </c>
      <c r="AJ32" s="32">
        <v>63</v>
      </c>
      <c r="AK32" s="33">
        <f t="shared" si="29"/>
        <v>63</v>
      </c>
      <c r="AL32" s="2">
        <f t="shared" si="30"/>
        <v>3.5</v>
      </c>
      <c r="AM32" s="179"/>
      <c r="AN32" s="2"/>
      <c r="AO32" s="2">
        <v>34</v>
      </c>
      <c r="AP32" s="34">
        <f t="shared" si="31"/>
        <v>34</v>
      </c>
      <c r="AQ32" s="2">
        <f t="shared" si="32"/>
        <v>3.5</v>
      </c>
      <c r="AR32" s="179"/>
      <c r="AS32" s="2">
        <v>26</v>
      </c>
      <c r="AT32" s="2">
        <f t="shared" si="33"/>
        <v>3</v>
      </c>
      <c r="AU32" s="179"/>
      <c r="AV32" s="2">
        <f t="shared" si="34"/>
        <v>22.5</v>
      </c>
      <c r="AW32" s="35">
        <f t="shared" si="35"/>
        <v>3.2142857142857144</v>
      </c>
      <c r="AX32" s="26">
        <f t="shared" si="36"/>
        <v>436</v>
      </c>
      <c r="AY32" s="3"/>
      <c r="AZ32" s="3">
        <v>26</v>
      </c>
      <c r="BA32" s="51" t="str">
        <f t="shared" si="37"/>
        <v>GOOD</v>
      </c>
      <c r="BE32" s="151">
        <v>436</v>
      </c>
    </row>
    <row r="33" spans="1:57" s="125" customFormat="1">
      <c r="A33" s="121">
        <v>26</v>
      </c>
      <c r="B33" s="122">
        <v>30</v>
      </c>
      <c r="C33" s="123" t="s">
        <v>169</v>
      </c>
      <c r="D33" s="123" t="s">
        <v>170</v>
      </c>
      <c r="E33" s="123" t="s">
        <v>171</v>
      </c>
      <c r="F33" s="124"/>
      <c r="G33" s="124"/>
      <c r="H33" s="121"/>
      <c r="I33" s="121"/>
      <c r="J33" s="33">
        <f t="shared" si="19"/>
        <v>0</v>
      </c>
      <c r="K33" s="2" t="str">
        <f t="shared" si="20"/>
        <v>F</v>
      </c>
      <c r="L33" s="179"/>
      <c r="M33" s="124"/>
      <c r="N33" s="124"/>
      <c r="O33" s="121"/>
      <c r="P33" s="121"/>
      <c r="Q33" s="129">
        <f t="shared" si="38"/>
        <v>0</v>
      </c>
      <c r="R33" s="129" t="str">
        <f t="shared" si="22"/>
        <v>F</v>
      </c>
      <c r="S33" s="179"/>
      <c r="T33" s="124"/>
      <c r="U33" s="124"/>
      <c r="V33" s="129">
        <f t="shared" si="23"/>
        <v>0</v>
      </c>
      <c r="W33" s="129" t="str">
        <f t="shared" si="24"/>
        <v>F</v>
      </c>
      <c r="X33" s="179"/>
      <c r="Y33" s="124"/>
      <c r="Z33" s="124"/>
      <c r="AA33" s="129">
        <f t="shared" si="25"/>
        <v>0</v>
      </c>
      <c r="AB33" s="129" t="str">
        <f t="shared" si="26"/>
        <v>F</v>
      </c>
      <c r="AC33" s="179"/>
      <c r="AD33" s="124"/>
      <c r="AE33" s="124"/>
      <c r="AF33" s="129">
        <f t="shared" si="27"/>
        <v>0</v>
      </c>
      <c r="AG33" s="129" t="str">
        <f t="shared" si="28"/>
        <v>F</v>
      </c>
      <c r="AH33" s="179"/>
      <c r="AI33" s="124"/>
      <c r="AJ33" s="124"/>
      <c r="AK33" s="129">
        <f t="shared" si="29"/>
        <v>0</v>
      </c>
      <c r="AL33" s="129" t="str">
        <f t="shared" si="30"/>
        <v>F</v>
      </c>
      <c r="AM33" s="179"/>
      <c r="AN33" s="121"/>
      <c r="AO33" s="121"/>
      <c r="AP33" s="129">
        <f t="shared" si="31"/>
        <v>0</v>
      </c>
      <c r="AQ33" s="129" t="str">
        <f t="shared" si="32"/>
        <v>F</v>
      </c>
      <c r="AR33" s="179"/>
      <c r="AS33" s="129">
        <v>0</v>
      </c>
      <c r="AT33" s="129" t="str">
        <f t="shared" si="33"/>
        <v>F</v>
      </c>
      <c r="AU33" s="179"/>
      <c r="AV33" s="2" t="str">
        <f t="shared" si="34"/>
        <v>F</v>
      </c>
      <c r="AW33" s="35" t="str">
        <f t="shared" si="35"/>
        <v>F</v>
      </c>
      <c r="AX33" s="26">
        <f t="shared" si="36"/>
        <v>0</v>
      </c>
      <c r="AY33" s="3"/>
      <c r="AZ33" s="3">
        <v>27</v>
      </c>
      <c r="BA33" s="51" t="str">
        <f t="shared" si="37"/>
        <v>NEED TO PROGRESS</v>
      </c>
      <c r="BE33" s="125">
        <v>0</v>
      </c>
    </row>
    <row r="34" spans="1:57" s="125" customFormat="1">
      <c r="A34" s="121">
        <v>27</v>
      </c>
      <c r="B34" s="122">
        <v>31</v>
      </c>
      <c r="C34" s="123" t="s">
        <v>172</v>
      </c>
      <c r="D34" s="123" t="s">
        <v>173</v>
      </c>
      <c r="E34" s="123" t="s">
        <v>174</v>
      </c>
      <c r="F34" s="124"/>
      <c r="G34" s="124"/>
      <c r="H34" s="121"/>
      <c r="I34" s="121"/>
      <c r="J34" s="33">
        <f t="shared" si="19"/>
        <v>0</v>
      </c>
      <c r="K34" s="2" t="str">
        <f t="shared" si="20"/>
        <v>F</v>
      </c>
      <c r="L34" s="179"/>
      <c r="M34" s="124"/>
      <c r="N34" s="124"/>
      <c r="O34" s="121"/>
      <c r="P34" s="121"/>
      <c r="Q34" s="129">
        <f t="shared" si="38"/>
        <v>0</v>
      </c>
      <c r="R34" s="129" t="str">
        <f t="shared" si="22"/>
        <v>F</v>
      </c>
      <c r="S34" s="179"/>
      <c r="T34" s="124"/>
      <c r="U34" s="124"/>
      <c r="V34" s="129">
        <f t="shared" si="23"/>
        <v>0</v>
      </c>
      <c r="W34" s="129" t="str">
        <f t="shared" si="24"/>
        <v>F</v>
      </c>
      <c r="X34" s="179"/>
      <c r="Y34" s="124"/>
      <c r="Z34" s="124"/>
      <c r="AA34" s="129">
        <f t="shared" si="25"/>
        <v>0</v>
      </c>
      <c r="AB34" s="129" t="str">
        <f t="shared" si="26"/>
        <v>F</v>
      </c>
      <c r="AC34" s="179"/>
      <c r="AD34" s="124"/>
      <c r="AE34" s="124"/>
      <c r="AF34" s="129">
        <f t="shared" si="27"/>
        <v>0</v>
      </c>
      <c r="AG34" s="129" t="str">
        <f t="shared" si="28"/>
        <v>F</v>
      </c>
      <c r="AH34" s="179"/>
      <c r="AI34" s="124"/>
      <c r="AJ34" s="124"/>
      <c r="AK34" s="129">
        <f t="shared" si="29"/>
        <v>0</v>
      </c>
      <c r="AL34" s="129" t="str">
        <f t="shared" si="30"/>
        <v>F</v>
      </c>
      <c r="AM34" s="179"/>
      <c r="AN34" s="121"/>
      <c r="AO34" s="121"/>
      <c r="AP34" s="129">
        <f t="shared" si="31"/>
        <v>0</v>
      </c>
      <c r="AQ34" s="129" t="str">
        <f t="shared" si="32"/>
        <v>F</v>
      </c>
      <c r="AR34" s="179"/>
      <c r="AS34" s="129">
        <v>30</v>
      </c>
      <c r="AT34" s="129">
        <f t="shared" si="33"/>
        <v>3.5</v>
      </c>
      <c r="AU34" s="179"/>
      <c r="AV34" s="2" t="str">
        <f t="shared" si="34"/>
        <v>F</v>
      </c>
      <c r="AW34" s="35" t="str">
        <f t="shared" si="35"/>
        <v>F</v>
      </c>
      <c r="AX34" s="26">
        <f t="shared" si="36"/>
        <v>0</v>
      </c>
      <c r="AY34" s="3"/>
      <c r="AZ34" s="3">
        <v>28</v>
      </c>
      <c r="BA34" s="51" t="str">
        <f t="shared" si="37"/>
        <v>NEED TO PROGRESS</v>
      </c>
      <c r="BE34" s="125">
        <v>0</v>
      </c>
    </row>
    <row r="35" spans="1:57" s="125" customFormat="1">
      <c r="A35" s="121">
        <v>28</v>
      </c>
      <c r="B35" s="126">
        <v>32</v>
      </c>
      <c r="C35" s="127" t="s">
        <v>177</v>
      </c>
      <c r="D35" s="128" t="s">
        <v>182</v>
      </c>
      <c r="E35" s="123" t="s">
        <v>183</v>
      </c>
      <c r="F35" s="124"/>
      <c r="G35" s="129"/>
      <c r="H35" s="121"/>
      <c r="I35" s="129"/>
      <c r="J35" s="33">
        <f t="shared" si="19"/>
        <v>0</v>
      </c>
      <c r="K35" s="2" t="str">
        <f t="shared" si="20"/>
        <v>F</v>
      </c>
      <c r="L35" s="179"/>
      <c r="M35" s="129"/>
      <c r="N35" s="129"/>
      <c r="O35" s="129"/>
      <c r="P35" s="129"/>
      <c r="Q35" s="129">
        <f t="shared" si="38"/>
        <v>0</v>
      </c>
      <c r="R35" s="129" t="str">
        <f t="shared" si="3"/>
        <v>F</v>
      </c>
      <c r="S35" s="179"/>
      <c r="T35" s="129"/>
      <c r="U35" s="129"/>
      <c r="V35" s="129">
        <f t="shared" si="4"/>
        <v>0</v>
      </c>
      <c r="W35" s="129" t="str">
        <f t="shared" si="5"/>
        <v>F</v>
      </c>
      <c r="X35" s="179"/>
      <c r="Y35" s="129"/>
      <c r="Z35" s="129"/>
      <c r="AA35" s="129">
        <f t="shared" si="6"/>
        <v>0</v>
      </c>
      <c r="AB35" s="129" t="str">
        <f t="shared" si="7"/>
        <v>F</v>
      </c>
      <c r="AC35" s="179"/>
      <c r="AD35" s="129"/>
      <c r="AE35" s="129"/>
      <c r="AF35" s="129">
        <f t="shared" si="8"/>
        <v>0</v>
      </c>
      <c r="AG35" s="129" t="str">
        <f t="shared" si="9"/>
        <v>F</v>
      </c>
      <c r="AH35" s="179"/>
      <c r="AI35" s="129"/>
      <c r="AJ35" s="129"/>
      <c r="AK35" s="129">
        <f t="shared" si="10"/>
        <v>0</v>
      </c>
      <c r="AL35" s="129" t="str">
        <f t="shared" si="11"/>
        <v>F</v>
      </c>
      <c r="AM35" s="179"/>
      <c r="AN35" s="121"/>
      <c r="AO35" s="129"/>
      <c r="AP35" s="129">
        <f t="shared" si="12"/>
        <v>0</v>
      </c>
      <c r="AQ35" s="129" t="str">
        <f t="shared" si="13"/>
        <v>F</v>
      </c>
      <c r="AR35" s="179"/>
      <c r="AS35" s="129">
        <v>31</v>
      </c>
      <c r="AT35" s="129">
        <f t="shared" si="14"/>
        <v>3.5</v>
      </c>
      <c r="AU35" s="179"/>
      <c r="AV35" s="2" t="str">
        <f t="shared" si="34"/>
        <v>F</v>
      </c>
      <c r="AW35" s="35" t="str">
        <f t="shared" si="35"/>
        <v>F</v>
      </c>
      <c r="AX35" s="26">
        <f t="shared" si="36"/>
        <v>0</v>
      </c>
      <c r="AY35" s="3"/>
      <c r="AZ35" s="3">
        <v>29</v>
      </c>
      <c r="BA35" s="51" t="str">
        <f t="shared" si="37"/>
        <v>NEED TO PROGRESS</v>
      </c>
      <c r="BE35" s="125">
        <v>0</v>
      </c>
    </row>
    <row r="36" spans="1:57" s="125" customFormat="1">
      <c r="A36" s="121">
        <v>29</v>
      </c>
      <c r="B36" s="126">
        <v>33</v>
      </c>
      <c r="C36" s="127" t="s">
        <v>178</v>
      </c>
      <c r="D36" s="128" t="s">
        <v>184</v>
      </c>
      <c r="E36" s="123" t="s">
        <v>185</v>
      </c>
      <c r="F36" s="124"/>
      <c r="G36" s="129"/>
      <c r="H36" s="121"/>
      <c r="I36" s="129"/>
      <c r="J36" s="33">
        <f t="shared" si="19"/>
        <v>0</v>
      </c>
      <c r="K36" s="2" t="str">
        <f t="shared" si="20"/>
        <v>F</v>
      </c>
      <c r="L36" s="179"/>
      <c r="M36" s="129"/>
      <c r="N36" s="129"/>
      <c r="O36" s="129"/>
      <c r="P36" s="129"/>
      <c r="Q36" s="129">
        <f t="shared" si="38"/>
        <v>0</v>
      </c>
      <c r="R36" s="129" t="str">
        <f t="shared" ref="R36:R37" si="39">IF(Q36&lt;60,"F",IF(Q36&lt;75,2,IF(Q36&lt;90,3,IF(Q36&lt;105,3.5,IF(Q36&lt;120,4,5)))))</f>
        <v>F</v>
      </c>
      <c r="S36" s="179"/>
      <c r="T36" s="129"/>
      <c r="U36" s="129"/>
      <c r="V36" s="129">
        <f t="shared" ref="V36:V37" si="40">T36+U36</f>
        <v>0</v>
      </c>
      <c r="W36" s="129" t="str">
        <f t="shared" ref="W36:W37" si="41">IF(V36&lt;40,"F",IF(V36&lt;50,2,IF(V36&lt;60,3,IF(V36&lt;70,3.5,IF(V36&lt;80,4,5)))))</f>
        <v>F</v>
      </c>
      <c r="X36" s="179"/>
      <c r="Y36" s="129"/>
      <c r="Z36" s="129"/>
      <c r="AA36" s="129">
        <f t="shared" ref="AA36:AA37" si="42">Y36+Z36</f>
        <v>0</v>
      </c>
      <c r="AB36" s="129" t="str">
        <f t="shared" ref="AB36:AB37" si="43">IF(AA36&lt;40,"F",IF(AA36&lt;50,2,IF(AA36&lt;60,3,IF(AA36&lt;70,3.5,IF(AA36&lt;80,4,5)))))</f>
        <v>F</v>
      </c>
      <c r="AC36" s="179"/>
      <c r="AD36" s="129"/>
      <c r="AE36" s="129"/>
      <c r="AF36" s="129">
        <f t="shared" ref="AF36:AF37" si="44">AD36+AE36</f>
        <v>0</v>
      </c>
      <c r="AG36" s="129" t="str">
        <f t="shared" ref="AG36:AG37" si="45">IF(AF36&lt;40,"F",IF(AF36&lt;50,2,IF(AF36&lt;60,3,IF(AF36&lt;70,3.5,IF(AF36&lt;80,4,5)))))</f>
        <v>F</v>
      </c>
      <c r="AH36" s="179"/>
      <c r="AI36" s="129"/>
      <c r="AJ36" s="129"/>
      <c r="AK36" s="129">
        <f t="shared" ref="AK36:AK37" si="46">AI36+AJ36</f>
        <v>0</v>
      </c>
      <c r="AL36" s="129" t="str">
        <f t="shared" ref="AL36:AL37" si="47">IF(AK36&lt;40,"F",IF(AK36&lt;50,2,IF(AK36&lt;60,3,IF(AK36&lt;70,3.5,IF(AK36&lt;80,4,5)))))</f>
        <v>F</v>
      </c>
      <c r="AM36" s="179"/>
      <c r="AN36" s="121"/>
      <c r="AO36" s="129"/>
      <c r="AP36" s="129">
        <f t="shared" ref="AP36:AP37" si="48">AO36*1</f>
        <v>0</v>
      </c>
      <c r="AQ36" s="129" t="str">
        <f t="shared" ref="AQ36:AQ37" si="49">IF(AP36&lt;20,"F",IF(AP36&lt;25,2,IF(AP36&lt;30,3,IF(AP36&lt;35,3.5,IF(AP36&lt;40,4,5)))))</f>
        <v>F</v>
      </c>
      <c r="AR36" s="179"/>
      <c r="AS36" s="129">
        <v>32</v>
      </c>
      <c r="AT36" s="129">
        <f t="shared" ref="AT36:AT37" si="50">IF(AS36&lt;20,"F",IF(AS36&lt;25,2,IF(AS36&lt;30,3,IF(AS36&lt;35,3.5,IF(AS36&lt;40,4,5)))))</f>
        <v>3.5</v>
      </c>
      <c r="AU36" s="179"/>
      <c r="AV36" s="2" t="str">
        <f t="shared" si="34"/>
        <v>F</v>
      </c>
      <c r="AW36" s="35" t="str">
        <f t="shared" si="35"/>
        <v>F</v>
      </c>
      <c r="AX36" s="26">
        <f t="shared" si="36"/>
        <v>0</v>
      </c>
      <c r="AY36" s="3"/>
      <c r="AZ36" s="3">
        <v>30</v>
      </c>
      <c r="BA36" s="51" t="str">
        <f t="shared" si="37"/>
        <v>NEED TO PROGRESS</v>
      </c>
      <c r="BE36" s="125">
        <v>0</v>
      </c>
    </row>
    <row r="37" spans="1:57" s="125" customFormat="1">
      <c r="A37" s="121">
        <v>30</v>
      </c>
      <c r="B37" s="122">
        <v>34</v>
      </c>
      <c r="C37" s="130" t="s">
        <v>181</v>
      </c>
      <c r="D37" s="123" t="s">
        <v>179</v>
      </c>
      <c r="E37" s="123" t="s">
        <v>180</v>
      </c>
      <c r="F37" s="124"/>
      <c r="G37" s="129"/>
      <c r="H37" s="121"/>
      <c r="I37" s="129"/>
      <c r="J37" s="33">
        <f t="shared" si="19"/>
        <v>0</v>
      </c>
      <c r="K37" s="2" t="str">
        <f t="shared" si="20"/>
        <v>F</v>
      </c>
      <c r="L37" s="180"/>
      <c r="M37" s="129"/>
      <c r="N37" s="129"/>
      <c r="O37" s="129"/>
      <c r="P37" s="129"/>
      <c r="Q37" s="129">
        <f t="shared" si="38"/>
        <v>0</v>
      </c>
      <c r="R37" s="129" t="str">
        <f t="shared" si="39"/>
        <v>F</v>
      </c>
      <c r="S37" s="180"/>
      <c r="T37" s="129"/>
      <c r="U37" s="129"/>
      <c r="V37" s="129">
        <f t="shared" si="40"/>
        <v>0</v>
      </c>
      <c r="W37" s="129" t="str">
        <f t="shared" si="41"/>
        <v>F</v>
      </c>
      <c r="X37" s="180"/>
      <c r="Y37" s="129"/>
      <c r="Z37" s="129"/>
      <c r="AA37" s="129">
        <f t="shared" si="42"/>
        <v>0</v>
      </c>
      <c r="AB37" s="129" t="str">
        <f t="shared" si="43"/>
        <v>F</v>
      </c>
      <c r="AC37" s="180"/>
      <c r="AD37" s="129"/>
      <c r="AE37" s="129"/>
      <c r="AF37" s="129">
        <f t="shared" si="44"/>
        <v>0</v>
      </c>
      <c r="AG37" s="129" t="str">
        <f t="shared" si="45"/>
        <v>F</v>
      </c>
      <c r="AH37" s="180"/>
      <c r="AI37" s="129"/>
      <c r="AJ37" s="129"/>
      <c r="AK37" s="129">
        <f t="shared" si="46"/>
        <v>0</v>
      </c>
      <c r="AL37" s="129" t="str">
        <f t="shared" si="47"/>
        <v>F</v>
      </c>
      <c r="AM37" s="180"/>
      <c r="AN37" s="121"/>
      <c r="AO37" s="129"/>
      <c r="AP37" s="129">
        <f t="shared" si="48"/>
        <v>0</v>
      </c>
      <c r="AQ37" s="129" t="str">
        <f t="shared" si="49"/>
        <v>F</v>
      </c>
      <c r="AR37" s="180"/>
      <c r="AS37" s="129">
        <v>33</v>
      </c>
      <c r="AT37" s="129">
        <f t="shared" si="50"/>
        <v>3.5</v>
      </c>
      <c r="AU37" s="180"/>
      <c r="AV37" s="2" t="str">
        <f t="shared" si="34"/>
        <v>F</v>
      </c>
      <c r="AW37" s="35" t="str">
        <f t="shared" si="35"/>
        <v>F</v>
      </c>
      <c r="AX37" s="26">
        <f t="shared" si="36"/>
        <v>0</v>
      </c>
      <c r="AY37" s="3"/>
      <c r="AZ37" s="3">
        <v>31</v>
      </c>
      <c r="BA37" s="51" t="str">
        <f t="shared" si="37"/>
        <v>NEED TO PROGRESS</v>
      </c>
      <c r="BE37" s="125">
        <v>0</v>
      </c>
    </row>
    <row r="38" spans="1:57">
      <c r="A38" s="93"/>
      <c r="B38" s="94"/>
      <c r="C38" s="95"/>
      <c r="D38" s="96"/>
      <c r="E38" s="96"/>
      <c r="F38" s="74"/>
      <c r="G38" s="97"/>
      <c r="H38" s="93"/>
      <c r="I38" s="97"/>
      <c r="J38" s="98"/>
      <c r="K38" s="74"/>
      <c r="L38" s="98"/>
      <c r="M38" s="97"/>
      <c r="N38" s="97"/>
      <c r="O38" s="97"/>
      <c r="P38" s="97"/>
      <c r="Q38" s="97"/>
      <c r="R38" s="97"/>
      <c r="S38" s="98"/>
      <c r="T38" s="97"/>
      <c r="U38" s="97"/>
      <c r="V38" s="97"/>
      <c r="W38" s="97"/>
      <c r="X38" s="98"/>
      <c r="Y38" s="97"/>
      <c r="Z38" s="97"/>
      <c r="AA38" s="97"/>
      <c r="AB38" s="97"/>
      <c r="AC38" s="98"/>
      <c r="AD38" s="97"/>
      <c r="AE38" s="97"/>
      <c r="AF38" s="97"/>
      <c r="AG38" s="97"/>
      <c r="AH38" s="98"/>
      <c r="AI38" s="97"/>
      <c r="AJ38" s="97"/>
      <c r="AK38" s="97"/>
      <c r="AL38" s="97"/>
      <c r="AM38" s="98"/>
      <c r="AN38" s="93"/>
      <c r="AO38" s="97"/>
      <c r="AP38" s="97"/>
      <c r="AQ38" s="97"/>
      <c r="AR38" s="98"/>
      <c r="AS38" s="97"/>
      <c r="AT38" s="97"/>
      <c r="AU38" s="98"/>
      <c r="AV38" s="93"/>
      <c r="AW38" s="99"/>
      <c r="AX38" s="100"/>
      <c r="AY38" s="101"/>
      <c r="AZ38" s="101"/>
      <c r="BA38" s="102"/>
    </row>
    <row r="39" spans="1:57">
      <c r="A39" s="24">
        <v>0</v>
      </c>
      <c r="B39" s="24">
        <v>1</v>
      </c>
      <c r="C39" s="54">
        <v>2</v>
      </c>
      <c r="D39" s="54">
        <v>3</v>
      </c>
      <c r="E39" s="54">
        <v>4</v>
      </c>
      <c r="F39" s="54">
        <v>5</v>
      </c>
      <c r="G39" s="54">
        <v>6</v>
      </c>
      <c r="H39" s="54">
        <v>7</v>
      </c>
      <c r="I39" s="54">
        <v>8</v>
      </c>
      <c r="J39" s="54">
        <v>9</v>
      </c>
      <c r="K39" s="54">
        <v>10</v>
      </c>
      <c r="L39" s="54">
        <v>11</v>
      </c>
      <c r="M39" s="54">
        <v>12</v>
      </c>
      <c r="N39" s="54">
        <v>13</v>
      </c>
      <c r="O39" s="54">
        <v>14</v>
      </c>
      <c r="P39" s="54">
        <v>15</v>
      </c>
      <c r="Q39" s="54">
        <v>16</v>
      </c>
      <c r="R39" s="54">
        <v>17</v>
      </c>
      <c r="S39" s="54">
        <v>18</v>
      </c>
      <c r="T39" s="54">
        <v>19</v>
      </c>
      <c r="U39" s="54">
        <v>20</v>
      </c>
      <c r="V39" s="54">
        <v>21</v>
      </c>
      <c r="W39" s="54">
        <v>22</v>
      </c>
      <c r="X39" s="54">
        <v>23</v>
      </c>
      <c r="Y39" s="54">
        <v>24</v>
      </c>
      <c r="Z39" s="54">
        <v>25</v>
      </c>
      <c r="AA39" s="54">
        <v>26</v>
      </c>
      <c r="AB39" s="54">
        <v>27</v>
      </c>
      <c r="AC39" s="54">
        <v>28</v>
      </c>
      <c r="AD39" s="54">
        <v>29</v>
      </c>
      <c r="AE39" s="54">
        <v>30</v>
      </c>
      <c r="AF39" s="54">
        <v>31</v>
      </c>
      <c r="AG39" s="54">
        <v>32</v>
      </c>
      <c r="AH39" s="54">
        <v>33</v>
      </c>
      <c r="AI39" s="54">
        <v>34</v>
      </c>
      <c r="AJ39" s="54">
        <v>35</v>
      </c>
      <c r="AK39" s="54">
        <v>36</v>
      </c>
      <c r="AL39" s="54">
        <v>37</v>
      </c>
      <c r="AM39" s="54">
        <v>38</v>
      </c>
      <c r="AN39" s="54">
        <v>39</v>
      </c>
      <c r="AO39" s="54">
        <v>40</v>
      </c>
      <c r="AP39" s="54">
        <v>41</v>
      </c>
      <c r="AQ39" s="54">
        <v>42</v>
      </c>
      <c r="AR39" s="54">
        <v>43</v>
      </c>
      <c r="AS39" s="54">
        <v>44</v>
      </c>
      <c r="AT39" s="54">
        <v>45</v>
      </c>
      <c r="AU39" s="54">
        <v>46</v>
      </c>
      <c r="AV39" s="54">
        <v>47</v>
      </c>
      <c r="AW39" s="54">
        <v>48</v>
      </c>
      <c r="AX39" s="54">
        <v>49</v>
      </c>
      <c r="AY39" s="54">
        <v>50</v>
      </c>
      <c r="AZ39" s="54">
        <v>51</v>
      </c>
      <c r="BA39" s="54">
        <v>52</v>
      </c>
    </row>
  </sheetData>
  <mergeCells count="44">
    <mergeCell ref="BA6:BA7"/>
    <mergeCell ref="AV6:AV7"/>
    <mergeCell ref="AW6:AW7"/>
    <mergeCell ref="AX6:AX7"/>
    <mergeCell ref="AY6:AY7"/>
    <mergeCell ref="AZ6:AZ7"/>
    <mergeCell ref="F6:G6"/>
    <mergeCell ref="H6:I6"/>
    <mergeCell ref="J6:J7"/>
    <mergeCell ref="K6:K7"/>
    <mergeCell ref="L6:L7"/>
    <mergeCell ref="A6:A7"/>
    <mergeCell ref="B6:B7"/>
    <mergeCell ref="C6:C7"/>
    <mergeCell ref="D6:D7"/>
    <mergeCell ref="E6:E7"/>
    <mergeCell ref="A1:BA4"/>
    <mergeCell ref="A5:C5"/>
    <mergeCell ref="E5:G5"/>
    <mergeCell ref="H5:N5"/>
    <mergeCell ref="O5:R5"/>
    <mergeCell ref="S5:U5"/>
    <mergeCell ref="W5:AA5"/>
    <mergeCell ref="AE5:AH5"/>
    <mergeCell ref="AI5:AM5"/>
    <mergeCell ref="L8:L37"/>
    <mergeCell ref="S8:S37"/>
    <mergeCell ref="X8:X37"/>
    <mergeCell ref="AC8:AC37"/>
    <mergeCell ref="AH8:AH37"/>
    <mergeCell ref="O6:P6"/>
    <mergeCell ref="M6:N6"/>
    <mergeCell ref="AM8:AM37"/>
    <mergeCell ref="AR8:AR37"/>
    <mergeCell ref="AU8:AU37"/>
    <mergeCell ref="T6:X6"/>
    <mergeCell ref="Y6:AC6"/>
    <mergeCell ref="AD6:AH6"/>
    <mergeCell ref="AI6:AM6"/>
    <mergeCell ref="AN6:AR6"/>
    <mergeCell ref="Q6:Q7"/>
    <mergeCell ref="R6:R7"/>
    <mergeCell ref="S6:S7"/>
    <mergeCell ref="AS6:AU6"/>
  </mergeCells>
  <phoneticPr fontId="45" type="noConversion"/>
  <conditionalFormatting sqref="G8:G34 U8:U34 V8:V32 Z8:Z34 AA8:AA32 AE8:AE34 AF8:AF32 AJ8:AJ34 N8:N34 AJ8:AK32">
    <cfRule type="cellIs" dxfId="26" priority="3" operator="greaterThan">
      <formula>100</formula>
    </cfRule>
  </conditionalFormatting>
  <conditionalFormatting sqref="I8:I34 P8:P34 AO8:AO34">
    <cfRule type="cellIs" dxfId="25" priority="4" operator="greaterThan">
      <formula>50</formula>
    </cfRule>
  </conditionalFormatting>
  <conditionalFormatting sqref="M8:M34 T8:T34 Y8:Y34 AD8:AD34 F8:F38 AI8:AI34">
    <cfRule type="cellIs" dxfId="24" priority="6" operator="greaterThan">
      <formula>20</formula>
    </cfRule>
  </conditionalFormatting>
  <conditionalFormatting sqref="O8:O34 H8:H38 AN8:AN38">
    <cfRule type="cellIs" dxfId="23" priority="7" operator="greaterThan">
      <formula>10</formula>
    </cfRule>
  </conditionalFormatting>
  <conditionalFormatting sqref="J8:J38 Q8:Q32">
    <cfRule type="cellIs" dxfId="22" priority="5" operator="greaterThan">
      <formula>150</formula>
    </cfRule>
  </conditionalFormatting>
  <conditionalFormatting sqref="AP8:AP32 AS8:AS32">
    <cfRule type="cellIs" dxfId="21" priority="2" operator="greaterThan">
      <formula>50</formula>
    </cfRule>
  </conditionalFormatting>
  <conditionalFormatting sqref="AV6:AV7">
    <cfRule type="cellIs" dxfId="20" priority="8" operator="equal">
      <formula>"F"</formula>
    </cfRule>
  </conditionalFormatting>
  <conditionalFormatting sqref="AS8:AS32">
    <cfRule type="cellIs" dxfId="19" priority="1" operator="greaterThan">
      <formula>50</formula>
    </cfRule>
  </conditionalFormatting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S40"/>
  <sheetViews>
    <sheetView topLeftCell="A4" workbookViewId="0">
      <selection activeCell="BC8" sqref="BC8:BC37"/>
    </sheetView>
  </sheetViews>
  <sheetFormatPr defaultRowHeight="15"/>
  <cols>
    <col min="1" max="1" width="3" customWidth="1"/>
    <col min="2" max="2" width="5.140625" style="30" customWidth="1"/>
    <col min="3" max="3" width="24.5703125" style="31" bestFit="1" customWidth="1"/>
    <col min="4" max="4" width="20.42578125" bestFit="1" customWidth="1"/>
    <col min="5" max="5" width="19.28515625" bestFit="1" customWidth="1"/>
    <col min="6" max="9" width="2.7109375" customWidth="1"/>
    <col min="10" max="10" width="3.7109375" bestFit="1" customWidth="1"/>
    <col min="11" max="11" width="2.7109375" customWidth="1"/>
    <col min="12" max="12" width="3.5703125" customWidth="1"/>
    <col min="13" max="13" width="2.7109375" customWidth="1"/>
    <col min="14" max="14" width="2.5703125" customWidth="1"/>
    <col min="15" max="16" width="2.7109375" customWidth="1"/>
    <col min="17" max="17" width="3.7109375" bestFit="1" customWidth="1"/>
    <col min="18" max="18" width="2.7109375" customWidth="1"/>
    <col min="19" max="19" width="3.42578125" customWidth="1"/>
    <col min="20" max="28" width="2.7109375" customWidth="1"/>
    <col min="29" max="29" width="4.42578125" customWidth="1"/>
    <col min="30" max="46" width="2.7109375" customWidth="1"/>
    <col min="47" max="47" width="5.140625" bestFit="1" customWidth="1"/>
    <col min="48" max="48" width="3.85546875" bestFit="1" customWidth="1"/>
    <col min="49" max="49" width="3.42578125" bestFit="1" customWidth="1"/>
    <col min="50" max="50" width="5.42578125" bestFit="1" customWidth="1"/>
    <col min="51" max="51" width="4.140625" bestFit="1" customWidth="1"/>
    <col min="52" max="52" width="4.7109375" bestFit="1" customWidth="1"/>
    <col min="53" max="53" width="12.85546875" style="53" bestFit="1" customWidth="1"/>
  </cols>
  <sheetData>
    <row r="1" spans="1:71" ht="15.75" customHeight="1">
      <c r="A1" s="189" t="s">
        <v>175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1"/>
    </row>
    <row r="2" spans="1:71" ht="21" customHeight="1">
      <c r="A2" s="192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4"/>
    </row>
    <row r="3" spans="1:71" ht="25.5" customHeight="1">
      <c r="A3" s="192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4"/>
    </row>
    <row r="4" spans="1:71" ht="15" customHeight="1">
      <c r="A4" s="192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4"/>
    </row>
    <row r="5" spans="1:71">
      <c r="A5" s="195" t="s">
        <v>25</v>
      </c>
      <c r="B5" s="195"/>
      <c r="C5" s="195"/>
      <c r="D5" s="45" t="s">
        <v>35</v>
      </c>
      <c r="E5" s="195" t="s">
        <v>26</v>
      </c>
      <c r="F5" s="195"/>
      <c r="G5" s="195"/>
      <c r="H5" s="195" t="s">
        <v>88</v>
      </c>
      <c r="I5" s="195"/>
      <c r="J5" s="195"/>
      <c r="K5" s="195"/>
      <c r="L5" s="195"/>
      <c r="M5" s="195"/>
      <c r="N5" s="195"/>
      <c r="O5" s="195" t="s">
        <v>27</v>
      </c>
      <c r="P5" s="195"/>
      <c r="Q5" s="195"/>
      <c r="R5" s="195"/>
      <c r="S5" s="195" t="s">
        <v>44</v>
      </c>
      <c r="T5" s="195"/>
      <c r="U5" s="195"/>
      <c r="V5" s="46"/>
      <c r="W5" s="195" t="s">
        <v>28</v>
      </c>
      <c r="X5" s="195"/>
      <c r="Y5" s="195"/>
      <c r="Z5" s="195"/>
      <c r="AA5" s="195"/>
      <c r="AB5" s="45"/>
      <c r="AC5" s="45">
        <v>27</v>
      </c>
      <c r="AD5" s="46"/>
      <c r="AE5" s="195" t="s">
        <v>29</v>
      </c>
      <c r="AF5" s="195"/>
      <c r="AG5" s="195"/>
      <c r="AH5" s="195"/>
      <c r="AI5" s="196" t="s">
        <v>89</v>
      </c>
      <c r="AJ5" s="196"/>
      <c r="AK5" s="196"/>
      <c r="AL5" s="196"/>
      <c r="AM5" s="196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6"/>
      <c r="AY5" s="46"/>
      <c r="AZ5" s="46"/>
      <c r="BA5" s="44"/>
    </row>
    <row r="6" spans="1:71" s="5" customFormat="1" ht="27" customHeight="1">
      <c r="A6" s="209" t="s">
        <v>0</v>
      </c>
      <c r="B6" s="209" t="s">
        <v>1</v>
      </c>
      <c r="C6" s="210" t="s">
        <v>2</v>
      </c>
      <c r="D6" s="207" t="s">
        <v>33</v>
      </c>
      <c r="E6" s="207" t="s">
        <v>34</v>
      </c>
      <c r="F6" s="178" t="s">
        <v>37</v>
      </c>
      <c r="G6" s="178"/>
      <c r="H6" s="181" t="s">
        <v>36</v>
      </c>
      <c r="I6" s="182"/>
      <c r="J6" s="198" t="s">
        <v>3</v>
      </c>
      <c r="K6" s="185" t="s">
        <v>4</v>
      </c>
      <c r="L6" s="185" t="s">
        <v>5</v>
      </c>
      <c r="M6" s="178" t="s">
        <v>13</v>
      </c>
      <c r="N6" s="178"/>
      <c r="O6" s="178" t="s">
        <v>14</v>
      </c>
      <c r="P6" s="178"/>
      <c r="Q6" s="185" t="s">
        <v>3</v>
      </c>
      <c r="R6" s="185" t="s">
        <v>4</v>
      </c>
      <c r="S6" s="185" t="s">
        <v>5</v>
      </c>
      <c r="T6" s="181" t="s">
        <v>15</v>
      </c>
      <c r="U6" s="182"/>
      <c r="V6" s="182"/>
      <c r="W6" s="183"/>
      <c r="X6" s="185" t="s">
        <v>5</v>
      </c>
      <c r="Y6" s="181" t="s">
        <v>7</v>
      </c>
      <c r="Z6" s="182"/>
      <c r="AA6" s="182"/>
      <c r="AB6" s="183"/>
      <c r="AC6" s="185" t="s">
        <v>5</v>
      </c>
      <c r="AD6" s="181" t="s">
        <v>8</v>
      </c>
      <c r="AE6" s="182"/>
      <c r="AF6" s="182"/>
      <c r="AG6" s="183"/>
      <c r="AH6" s="185" t="s">
        <v>5</v>
      </c>
      <c r="AI6" s="181" t="s">
        <v>9</v>
      </c>
      <c r="AJ6" s="182"/>
      <c r="AK6" s="182"/>
      <c r="AL6" s="182"/>
      <c r="AM6" s="185" t="s">
        <v>5</v>
      </c>
      <c r="AN6" s="186" t="s">
        <v>54</v>
      </c>
      <c r="AO6" s="187"/>
      <c r="AP6" s="187"/>
      <c r="AQ6" s="188"/>
      <c r="AR6" s="185" t="s">
        <v>5</v>
      </c>
      <c r="AS6" s="186" t="s">
        <v>38</v>
      </c>
      <c r="AT6" s="187"/>
      <c r="AU6" s="185" t="s">
        <v>5</v>
      </c>
      <c r="AV6" s="185" t="s">
        <v>10</v>
      </c>
      <c r="AW6" s="198" t="s">
        <v>11</v>
      </c>
      <c r="AX6" s="185" t="s">
        <v>90</v>
      </c>
      <c r="AY6" s="185" t="s">
        <v>16</v>
      </c>
      <c r="AZ6" s="203" t="s">
        <v>30</v>
      </c>
      <c r="BA6" s="205" t="s">
        <v>31</v>
      </c>
    </row>
    <row r="7" spans="1:71" s="31" customFormat="1" ht="35.25" customHeight="1">
      <c r="A7" s="209"/>
      <c r="B7" s="209"/>
      <c r="C7" s="210"/>
      <c r="D7" s="208"/>
      <c r="E7" s="208"/>
      <c r="F7" s="43" t="s">
        <v>12</v>
      </c>
      <c r="G7" s="56" t="s">
        <v>6</v>
      </c>
      <c r="H7" s="43" t="s">
        <v>12</v>
      </c>
      <c r="I7" s="56" t="s">
        <v>6</v>
      </c>
      <c r="J7" s="200"/>
      <c r="K7" s="185"/>
      <c r="L7" s="185"/>
      <c r="M7" s="56" t="s">
        <v>12</v>
      </c>
      <c r="N7" s="56" t="s">
        <v>6</v>
      </c>
      <c r="O7" s="56" t="s">
        <v>12</v>
      </c>
      <c r="P7" s="56" t="s">
        <v>6</v>
      </c>
      <c r="Q7" s="185"/>
      <c r="R7" s="185"/>
      <c r="S7" s="185"/>
      <c r="T7" s="43" t="s">
        <v>12</v>
      </c>
      <c r="U7" s="56" t="s">
        <v>6</v>
      </c>
      <c r="V7" s="43" t="s">
        <v>3</v>
      </c>
      <c r="W7" s="43" t="s">
        <v>4</v>
      </c>
      <c r="X7" s="185"/>
      <c r="Y7" s="43" t="s">
        <v>12</v>
      </c>
      <c r="Z7" s="56" t="s">
        <v>6</v>
      </c>
      <c r="AA7" s="43" t="s">
        <v>3</v>
      </c>
      <c r="AB7" s="43" t="s">
        <v>4</v>
      </c>
      <c r="AC7" s="185"/>
      <c r="AD7" s="43" t="s">
        <v>12</v>
      </c>
      <c r="AE7" s="56" t="s">
        <v>6</v>
      </c>
      <c r="AF7" s="43" t="s">
        <v>3</v>
      </c>
      <c r="AG7" s="43" t="s">
        <v>4</v>
      </c>
      <c r="AH7" s="185"/>
      <c r="AI7" s="43" t="s">
        <v>12</v>
      </c>
      <c r="AJ7" s="56" t="s">
        <v>6</v>
      </c>
      <c r="AK7" s="43" t="s">
        <v>3</v>
      </c>
      <c r="AL7" s="43" t="s">
        <v>4</v>
      </c>
      <c r="AM7" s="185"/>
      <c r="AN7" s="56" t="s">
        <v>12</v>
      </c>
      <c r="AO7" s="56" t="s">
        <v>6</v>
      </c>
      <c r="AP7" s="43" t="s">
        <v>3</v>
      </c>
      <c r="AQ7" s="43" t="s">
        <v>4</v>
      </c>
      <c r="AR7" s="185"/>
      <c r="AS7" s="56" t="s">
        <v>6</v>
      </c>
      <c r="AT7" s="57" t="s">
        <v>4</v>
      </c>
      <c r="AU7" s="185"/>
      <c r="AV7" s="185"/>
      <c r="AW7" s="199"/>
      <c r="AX7" s="185"/>
      <c r="AY7" s="185"/>
      <c r="AZ7" s="202"/>
      <c r="BA7" s="206"/>
    </row>
    <row r="8" spans="1:71" ht="14.1" customHeight="1">
      <c r="A8" s="2">
        <v>1</v>
      </c>
      <c r="B8" s="103">
        <v>1</v>
      </c>
      <c r="C8" s="104" t="s">
        <v>96</v>
      </c>
      <c r="D8" s="104" t="s">
        <v>97</v>
      </c>
      <c r="E8" s="104" t="s">
        <v>98</v>
      </c>
      <c r="F8" s="32">
        <v>20</v>
      </c>
      <c r="G8" s="32">
        <v>74</v>
      </c>
      <c r="H8" s="2">
        <v>9</v>
      </c>
      <c r="I8" s="2">
        <v>36</v>
      </c>
      <c r="J8" s="33">
        <f t="shared" ref="J8:J30" si="0">F8+G8+H8+I8</f>
        <v>139</v>
      </c>
      <c r="K8" s="2">
        <f t="shared" ref="K8:K30" si="1">IF(J8&lt;60,"F",IF(J8&lt;75,2,IF(J8&lt;90,3,IF(J8&lt;105,3.5,IF(J8&lt;120,4,5)))))</f>
        <v>5</v>
      </c>
      <c r="L8" s="204">
        <f>MAX(J8:J37)</f>
        <v>149</v>
      </c>
      <c r="M8" s="32">
        <v>20</v>
      </c>
      <c r="N8" s="32">
        <v>71</v>
      </c>
      <c r="O8" s="2">
        <v>10</v>
      </c>
      <c r="P8" s="2">
        <v>32</v>
      </c>
      <c r="Q8" s="33">
        <f t="shared" ref="Q8:Q30" si="2">M8+N8+O8+P8</f>
        <v>133</v>
      </c>
      <c r="R8" s="2">
        <f t="shared" ref="R8:R30" si="3">IF(Q8&lt;60,"F",IF(Q8&lt;75,2,IF(Q8&lt;90,3,IF(Q8&lt;105,3.5,IF(Q8&lt;120,4,5)))))</f>
        <v>5</v>
      </c>
      <c r="S8" s="204">
        <f>MAX(Q8:Q37)</f>
        <v>149</v>
      </c>
      <c r="T8" s="32">
        <v>17</v>
      </c>
      <c r="U8" s="32">
        <v>75</v>
      </c>
      <c r="V8" s="33">
        <f t="shared" ref="V8:V30" si="4">T8+U8</f>
        <v>92</v>
      </c>
      <c r="W8" s="2">
        <f t="shared" ref="W8:W30" si="5">IF(V8&lt;40,"F",IF(V8&lt;50,2,IF(V8&lt;60,3,IF(V8&lt;70,3.5,IF(V8&lt;80,4,5)))))</f>
        <v>5</v>
      </c>
      <c r="X8" s="204">
        <f>MAX(V8:V37)</f>
        <v>99</v>
      </c>
      <c r="Y8" s="32">
        <v>20</v>
      </c>
      <c r="Z8" s="32">
        <v>70</v>
      </c>
      <c r="AA8" s="33">
        <f t="shared" ref="AA8:AA30" si="6">Y8+Z8</f>
        <v>90</v>
      </c>
      <c r="AB8" s="2">
        <f t="shared" ref="AB8:AB30" si="7">IF(AA8&lt;40,"F",IF(AA8&lt;50,2,IF(AA8&lt;60,3,IF(AA8&lt;70,3.5,IF(AA8&lt;80,4,5)))))</f>
        <v>5</v>
      </c>
      <c r="AC8" s="204">
        <f>MAX(AA8:AA37)</f>
        <v>98</v>
      </c>
      <c r="AD8" s="32">
        <v>20</v>
      </c>
      <c r="AE8" s="32">
        <v>73</v>
      </c>
      <c r="AF8" s="33">
        <f t="shared" ref="AF8:AF30" si="8">AD8+AE8</f>
        <v>93</v>
      </c>
      <c r="AG8" s="2">
        <f t="shared" ref="AG8:AG30" si="9">IF(AF8&lt;40,"F",IF(AF8&lt;50,2,IF(AF8&lt;60,3,IF(AF8&lt;70,3.5,IF(AF8&lt;80,4,5)))))</f>
        <v>5</v>
      </c>
      <c r="AH8" s="204">
        <f>MAX(AF8:AF37)</f>
        <v>98</v>
      </c>
      <c r="AI8" s="32">
        <v>19</v>
      </c>
      <c r="AJ8" s="32">
        <v>74</v>
      </c>
      <c r="AK8" s="33">
        <f t="shared" ref="AK8:AK30" si="10">AI8+AJ8</f>
        <v>93</v>
      </c>
      <c r="AL8" s="2">
        <f t="shared" ref="AL8:AL30" si="11">IF(AK8&lt;40,"F",IF(AK8&lt;50,2,IF(AK8&lt;60,3,IF(AK8&lt;70,3.5,IF(AK8&lt;80,4,5)))))</f>
        <v>5</v>
      </c>
      <c r="AM8" s="204">
        <f>MAX(AK8:AK37)</f>
        <v>98</v>
      </c>
      <c r="AN8" s="2"/>
      <c r="AO8" s="2">
        <v>44</v>
      </c>
      <c r="AP8" s="34">
        <f t="shared" ref="AP8:AP30" si="12">AO8*1</f>
        <v>44</v>
      </c>
      <c r="AQ8" s="2">
        <f t="shared" ref="AQ8:AQ30" si="13">IF(AP8&lt;20,"F",IF(AP8&lt;25,2,IF(AP8&lt;30,3,IF(AP8&lt;35,3.5,IF(AP8&lt;40,4,5)))))</f>
        <v>5</v>
      </c>
      <c r="AR8" s="204">
        <f>MAX(AP8:AP37)</f>
        <v>47</v>
      </c>
      <c r="AS8" s="34">
        <v>41</v>
      </c>
      <c r="AT8" s="2">
        <f t="shared" ref="AT8" si="14">IF(AS8&lt;20,"F",IF(AS8&lt;25,2,IF(AS8&lt;30,3,IF(AS8&lt;35,3.5,IF(AS8&lt;40,4,5)))))</f>
        <v>5</v>
      </c>
      <c r="AU8" s="204">
        <f>MAX(AS8:AS37)</f>
        <v>50</v>
      </c>
      <c r="AV8" s="2">
        <f t="shared" ref="AV8:AV30" si="15">IF(K8="F","F",IF(R8="F","F",IF(W8="F","F",IF(AB8="F","F",IF(AG8="F","F",IF(AL8="F","F",IF(AQ8="F","F",SUM(K8,R8,W8,AB8,AG8,AL8,AQ8))))))))</f>
        <v>35</v>
      </c>
      <c r="AW8" s="35">
        <f t="shared" ref="AW8:AW30" si="16">IF(AV8="F","F", IF(AV8&gt;=35,5,IF(AV8&lt;35,AV8/7)))</f>
        <v>5</v>
      </c>
      <c r="AX8" s="26">
        <f t="shared" ref="AX8:AX30" si="17">J8+Q8+V8+AA8+AF8+AK8+AP8</f>
        <v>684</v>
      </c>
      <c r="AY8" s="3"/>
      <c r="AZ8" s="3"/>
      <c r="BA8" s="51" t="str">
        <f t="shared" ref="BA8:BA30" si="18">IF(AW8="F","NEED TO PROGRESS",IF(AW8&gt;=5,"BEST",IF(AW8&gt;=4,"BETTER",IF(AW8&gt;2,"GOOD"))))</f>
        <v>BEST</v>
      </c>
      <c r="BC8" s="26">
        <v>684</v>
      </c>
    </row>
    <row r="9" spans="1:71" ht="14.1" customHeight="1">
      <c r="A9" s="2">
        <v>2</v>
      </c>
      <c r="B9" s="103">
        <v>2</v>
      </c>
      <c r="C9" s="104" t="s">
        <v>99</v>
      </c>
      <c r="D9" s="104" t="s">
        <v>100</v>
      </c>
      <c r="E9" s="104" t="s">
        <v>101</v>
      </c>
      <c r="F9" s="32">
        <v>20</v>
      </c>
      <c r="G9" s="32">
        <v>62</v>
      </c>
      <c r="H9" s="2">
        <v>8</v>
      </c>
      <c r="I9" s="2">
        <v>30</v>
      </c>
      <c r="J9" s="33">
        <f t="shared" si="0"/>
        <v>120</v>
      </c>
      <c r="K9" s="2">
        <f t="shared" si="1"/>
        <v>5</v>
      </c>
      <c r="L9" s="179"/>
      <c r="M9" s="32">
        <v>18</v>
      </c>
      <c r="N9" s="32">
        <v>56</v>
      </c>
      <c r="O9" s="2">
        <v>10</v>
      </c>
      <c r="P9" s="2">
        <v>25</v>
      </c>
      <c r="Q9" s="33">
        <f t="shared" si="2"/>
        <v>109</v>
      </c>
      <c r="R9" s="2">
        <f t="shared" si="3"/>
        <v>4</v>
      </c>
      <c r="S9" s="179"/>
      <c r="T9" s="32">
        <v>17</v>
      </c>
      <c r="U9" s="32">
        <v>65</v>
      </c>
      <c r="V9" s="33">
        <f t="shared" si="4"/>
        <v>82</v>
      </c>
      <c r="W9" s="2">
        <f t="shared" si="5"/>
        <v>5</v>
      </c>
      <c r="X9" s="179"/>
      <c r="Y9" s="32">
        <v>20</v>
      </c>
      <c r="Z9" s="32">
        <v>54</v>
      </c>
      <c r="AA9" s="33">
        <f t="shared" si="6"/>
        <v>74</v>
      </c>
      <c r="AB9" s="2">
        <f t="shared" si="7"/>
        <v>4</v>
      </c>
      <c r="AC9" s="179"/>
      <c r="AD9" s="32">
        <v>19</v>
      </c>
      <c r="AE9" s="32">
        <v>62</v>
      </c>
      <c r="AF9" s="33">
        <f t="shared" si="8"/>
        <v>81</v>
      </c>
      <c r="AG9" s="2">
        <f t="shared" si="9"/>
        <v>5</v>
      </c>
      <c r="AH9" s="179"/>
      <c r="AI9" s="32">
        <v>18</v>
      </c>
      <c r="AJ9" s="32">
        <v>58</v>
      </c>
      <c r="AK9" s="33">
        <f t="shared" si="10"/>
        <v>76</v>
      </c>
      <c r="AL9" s="2">
        <f t="shared" si="11"/>
        <v>4</v>
      </c>
      <c r="AM9" s="179"/>
      <c r="AN9" s="2"/>
      <c r="AO9" s="2">
        <v>39</v>
      </c>
      <c r="AP9" s="34">
        <f t="shared" si="12"/>
        <v>39</v>
      </c>
      <c r="AQ9" s="2">
        <f t="shared" si="13"/>
        <v>4</v>
      </c>
      <c r="AR9" s="179"/>
      <c r="AS9" s="34">
        <v>44</v>
      </c>
      <c r="AT9" s="2">
        <f t="shared" ref="AT9:AT37" si="19">IF(AS9&lt;20,"F",IF(AS9&lt;25,2,IF(AS9&lt;30,3,IF(AS9&lt;35,3.5,IF(AS9&lt;40,4,5)))))</f>
        <v>5</v>
      </c>
      <c r="AU9" s="179"/>
      <c r="AV9" s="2">
        <f t="shared" si="15"/>
        <v>31</v>
      </c>
      <c r="AW9" s="35">
        <f t="shared" si="16"/>
        <v>4.4285714285714288</v>
      </c>
      <c r="AX9" s="26">
        <f t="shared" si="17"/>
        <v>581</v>
      </c>
      <c r="AY9" s="3"/>
      <c r="AZ9" s="3"/>
      <c r="BA9" s="51" t="str">
        <f t="shared" si="18"/>
        <v>BETTER</v>
      </c>
      <c r="BC9">
        <v>581</v>
      </c>
    </row>
    <row r="10" spans="1:71" ht="14.1" customHeight="1">
      <c r="A10" s="2">
        <v>3</v>
      </c>
      <c r="B10" s="103">
        <v>3</v>
      </c>
      <c r="C10" s="104" t="s">
        <v>102</v>
      </c>
      <c r="D10" s="104" t="s">
        <v>103</v>
      </c>
      <c r="E10" s="104" t="s">
        <v>104</v>
      </c>
      <c r="F10" s="32">
        <v>19</v>
      </c>
      <c r="G10" s="32">
        <v>63</v>
      </c>
      <c r="H10" s="2">
        <v>7</v>
      </c>
      <c r="I10" s="2">
        <v>24</v>
      </c>
      <c r="J10" s="33">
        <f t="shared" si="0"/>
        <v>113</v>
      </c>
      <c r="K10" s="2">
        <f t="shared" si="1"/>
        <v>4</v>
      </c>
      <c r="L10" s="179"/>
      <c r="M10" s="32">
        <v>20</v>
      </c>
      <c r="N10" s="32">
        <v>34</v>
      </c>
      <c r="O10" s="2">
        <v>8</v>
      </c>
      <c r="P10" s="2">
        <v>16</v>
      </c>
      <c r="Q10" s="33">
        <f t="shared" si="2"/>
        <v>78</v>
      </c>
      <c r="R10" s="2">
        <f t="shared" si="3"/>
        <v>3</v>
      </c>
      <c r="S10" s="179"/>
      <c r="T10" s="32">
        <v>16</v>
      </c>
      <c r="U10" s="32">
        <v>58</v>
      </c>
      <c r="V10" s="33">
        <f t="shared" si="4"/>
        <v>74</v>
      </c>
      <c r="W10" s="2">
        <f t="shared" si="5"/>
        <v>4</v>
      </c>
      <c r="X10" s="179"/>
      <c r="Y10" s="32">
        <v>20</v>
      </c>
      <c r="Z10" s="32">
        <v>63</v>
      </c>
      <c r="AA10" s="33">
        <f t="shared" si="6"/>
        <v>83</v>
      </c>
      <c r="AB10" s="2">
        <f t="shared" si="7"/>
        <v>5</v>
      </c>
      <c r="AC10" s="179"/>
      <c r="AD10" s="32">
        <v>17</v>
      </c>
      <c r="AE10" s="32">
        <v>71</v>
      </c>
      <c r="AF10" s="33">
        <f t="shared" si="8"/>
        <v>88</v>
      </c>
      <c r="AG10" s="2">
        <f t="shared" si="9"/>
        <v>5</v>
      </c>
      <c r="AH10" s="179"/>
      <c r="AI10" s="32">
        <v>15</v>
      </c>
      <c r="AJ10" s="32">
        <v>67</v>
      </c>
      <c r="AK10" s="33">
        <f t="shared" si="10"/>
        <v>82</v>
      </c>
      <c r="AL10" s="2">
        <f t="shared" si="11"/>
        <v>5</v>
      </c>
      <c r="AM10" s="179"/>
      <c r="AN10" s="2"/>
      <c r="AO10" s="2">
        <v>32</v>
      </c>
      <c r="AP10" s="34">
        <f t="shared" si="12"/>
        <v>32</v>
      </c>
      <c r="AQ10" s="2">
        <f t="shared" si="13"/>
        <v>3.5</v>
      </c>
      <c r="AR10" s="179"/>
      <c r="AS10" s="34">
        <v>41</v>
      </c>
      <c r="AT10" s="2">
        <f t="shared" si="19"/>
        <v>5</v>
      </c>
      <c r="AU10" s="179"/>
      <c r="AV10" s="2">
        <f t="shared" si="15"/>
        <v>29.5</v>
      </c>
      <c r="AW10" s="35">
        <f t="shared" si="16"/>
        <v>4.2142857142857144</v>
      </c>
      <c r="AX10" s="26">
        <f t="shared" si="17"/>
        <v>550</v>
      </c>
      <c r="AY10" s="3"/>
      <c r="AZ10" s="3"/>
      <c r="BA10" s="51" t="str">
        <f t="shared" si="18"/>
        <v>BETTER</v>
      </c>
      <c r="BC10">
        <v>550</v>
      </c>
    </row>
    <row r="11" spans="1:71" ht="14.1" customHeight="1">
      <c r="A11" s="2">
        <v>4</v>
      </c>
      <c r="B11" s="103">
        <v>4</v>
      </c>
      <c r="C11" s="104" t="s">
        <v>105</v>
      </c>
      <c r="D11" s="104" t="s">
        <v>106</v>
      </c>
      <c r="E11" s="104" t="s">
        <v>107</v>
      </c>
      <c r="F11" s="32">
        <v>19</v>
      </c>
      <c r="G11" s="32">
        <v>68</v>
      </c>
      <c r="H11" s="2">
        <v>10</v>
      </c>
      <c r="I11" s="2">
        <v>23</v>
      </c>
      <c r="J11" s="33">
        <f t="shared" si="0"/>
        <v>120</v>
      </c>
      <c r="K11" s="2">
        <f t="shared" si="1"/>
        <v>5</v>
      </c>
      <c r="L11" s="179"/>
      <c r="M11" s="32">
        <v>16</v>
      </c>
      <c r="N11" s="32">
        <v>56</v>
      </c>
      <c r="O11" s="2">
        <v>9</v>
      </c>
      <c r="P11" s="2">
        <v>21</v>
      </c>
      <c r="Q11" s="33">
        <f t="shared" si="2"/>
        <v>102</v>
      </c>
      <c r="R11" s="2">
        <f t="shared" si="3"/>
        <v>3.5</v>
      </c>
      <c r="S11" s="179"/>
      <c r="T11" s="32">
        <v>20</v>
      </c>
      <c r="U11" s="32">
        <v>65</v>
      </c>
      <c r="V11" s="33">
        <f t="shared" si="4"/>
        <v>85</v>
      </c>
      <c r="W11" s="2">
        <f t="shared" si="5"/>
        <v>5</v>
      </c>
      <c r="X11" s="179"/>
      <c r="Y11" s="32">
        <v>19</v>
      </c>
      <c r="Z11" s="32">
        <v>49</v>
      </c>
      <c r="AA11" s="33">
        <f t="shared" si="6"/>
        <v>68</v>
      </c>
      <c r="AB11" s="2">
        <f t="shared" si="7"/>
        <v>3.5</v>
      </c>
      <c r="AC11" s="179"/>
      <c r="AD11" s="32">
        <v>16</v>
      </c>
      <c r="AE11" s="32">
        <v>54</v>
      </c>
      <c r="AF11" s="33">
        <f t="shared" si="8"/>
        <v>70</v>
      </c>
      <c r="AG11" s="2">
        <f t="shared" si="9"/>
        <v>4</v>
      </c>
      <c r="AH11" s="179"/>
      <c r="AI11" s="32">
        <v>17</v>
      </c>
      <c r="AJ11" s="32">
        <v>73</v>
      </c>
      <c r="AK11" s="33">
        <f t="shared" si="10"/>
        <v>90</v>
      </c>
      <c r="AL11" s="2">
        <f t="shared" si="11"/>
        <v>5</v>
      </c>
      <c r="AM11" s="179"/>
      <c r="AN11" s="2"/>
      <c r="AO11" s="2">
        <v>42</v>
      </c>
      <c r="AP11" s="34">
        <f t="shared" si="12"/>
        <v>42</v>
      </c>
      <c r="AQ11" s="2">
        <f t="shared" si="13"/>
        <v>5</v>
      </c>
      <c r="AR11" s="179"/>
      <c r="AS11" s="34">
        <v>41</v>
      </c>
      <c r="AT11" s="2">
        <f t="shared" si="19"/>
        <v>5</v>
      </c>
      <c r="AU11" s="179"/>
      <c r="AV11" s="2">
        <f t="shared" si="15"/>
        <v>31</v>
      </c>
      <c r="AW11" s="35">
        <f t="shared" si="16"/>
        <v>4.4285714285714288</v>
      </c>
      <c r="AX11" s="26">
        <f t="shared" si="17"/>
        <v>577</v>
      </c>
      <c r="AY11" s="3"/>
      <c r="AZ11" s="3"/>
      <c r="BA11" s="51" t="str">
        <f t="shared" si="18"/>
        <v>BETTER</v>
      </c>
      <c r="BC11">
        <v>577</v>
      </c>
    </row>
    <row r="12" spans="1:71">
      <c r="A12" s="2">
        <v>5</v>
      </c>
      <c r="B12" s="103">
        <v>5</v>
      </c>
      <c r="C12" s="104" t="s">
        <v>108</v>
      </c>
      <c r="D12" s="104" t="s">
        <v>109</v>
      </c>
      <c r="E12" s="104" t="s">
        <v>110</v>
      </c>
      <c r="F12" s="32">
        <v>20</v>
      </c>
      <c r="G12" s="32">
        <v>70</v>
      </c>
      <c r="H12" s="2">
        <v>10</v>
      </c>
      <c r="I12" s="2">
        <v>34</v>
      </c>
      <c r="J12" s="33">
        <f t="shared" si="0"/>
        <v>134</v>
      </c>
      <c r="K12" s="2">
        <f t="shared" si="1"/>
        <v>5</v>
      </c>
      <c r="L12" s="179"/>
      <c r="M12" s="32">
        <v>20</v>
      </c>
      <c r="N12" s="32">
        <v>72</v>
      </c>
      <c r="O12" s="2">
        <v>10</v>
      </c>
      <c r="P12" s="2">
        <v>34</v>
      </c>
      <c r="Q12" s="33">
        <f t="shared" si="2"/>
        <v>136</v>
      </c>
      <c r="R12" s="2">
        <f t="shared" si="3"/>
        <v>5</v>
      </c>
      <c r="S12" s="179"/>
      <c r="T12" s="32">
        <v>20</v>
      </c>
      <c r="U12" s="32">
        <v>70</v>
      </c>
      <c r="V12" s="33">
        <f t="shared" si="4"/>
        <v>90</v>
      </c>
      <c r="W12" s="2">
        <f t="shared" si="5"/>
        <v>5</v>
      </c>
      <c r="X12" s="179"/>
      <c r="Y12" s="32">
        <v>20</v>
      </c>
      <c r="Z12" s="32">
        <v>58</v>
      </c>
      <c r="AA12" s="33">
        <f t="shared" si="6"/>
        <v>78</v>
      </c>
      <c r="AB12" s="2">
        <f t="shared" si="7"/>
        <v>4</v>
      </c>
      <c r="AC12" s="179"/>
      <c r="AD12" s="32">
        <v>19</v>
      </c>
      <c r="AE12" s="32">
        <v>69</v>
      </c>
      <c r="AF12" s="33">
        <f t="shared" si="8"/>
        <v>88</v>
      </c>
      <c r="AG12" s="2">
        <f t="shared" si="9"/>
        <v>5</v>
      </c>
      <c r="AH12" s="179"/>
      <c r="AI12" s="32">
        <v>17</v>
      </c>
      <c r="AJ12" s="32">
        <v>67</v>
      </c>
      <c r="AK12" s="33">
        <f t="shared" si="10"/>
        <v>84</v>
      </c>
      <c r="AL12" s="2">
        <f t="shared" si="11"/>
        <v>5</v>
      </c>
      <c r="AM12" s="179"/>
      <c r="AN12" s="2"/>
      <c r="AO12" s="2">
        <v>44</v>
      </c>
      <c r="AP12" s="34">
        <f t="shared" si="12"/>
        <v>44</v>
      </c>
      <c r="AQ12" s="2">
        <f t="shared" si="13"/>
        <v>5</v>
      </c>
      <c r="AR12" s="179"/>
      <c r="AS12" s="34">
        <v>35</v>
      </c>
      <c r="AT12" s="2">
        <f t="shared" si="19"/>
        <v>4</v>
      </c>
      <c r="AU12" s="179"/>
      <c r="AV12" s="2">
        <f t="shared" si="15"/>
        <v>34</v>
      </c>
      <c r="AW12" s="35">
        <f t="shared" si="16"/>
        <v>4.8571428571428568</v>
      </c>
      <c r="AX12" s="26">
        <f t="shared" si="17"/>
        <v>654</v>
      </c>
      <c r="AY12" s="3"/>
      <c r="AZ12" s="3"/>
      <c r="BA12" s="51" t="str">
        <f t="shared" si="18"/>
        <v>BETTER</v>
      </c>
      <c r="BC12">
        <v>654</v>
      </c>
    </row>
    <row r="13" spans="1:71">
      <c r="A13" s="2">
        <v>6</v>
      </c>
      <c r="B13" s="103">
        <v>6</v>
      </c>
      <c r="C13" s="104" t="s">
        <v>111</v>
      </c>
      <c r="D13" s="104" t="s">
        <v>112</v>
      </c>
      <c r="E13" s="104" t="s">
        <v>113</v>
      </c>
      <c r="F13" s="32">
        <v>20</v>
      </c>
      <c r="G13" s="32">
        <v>80</v>
      </c>
      <c r="H13" s="2">
        <v>10</v>
      </c>
      <c r="I13" s="2">
        <v>36</v>
      </c>
      <c r="J13" s="33">
        <f t="shared" si="0"/>
        <v>146</v>
      </c>
      <c r="K13" s="2">
        <f t="shared" si="1"/>
        <v>5</v>
      </c>
      <c r="L13" s="179"/>
      <c r="M13" s="32">
        <v>20</v>
      </c>
      <c r="N13" s="32">
        <v>72</v>
      </c>
      <c r="O13" s="2">
        <v>10</v>
      </c>
      <c r="P13" s="2">
        <v>35</v>
      </c>
      <c r="Q13" s="33">
        <f t="shared" si="2"/>
        <v>137</v>
      </c>
      <c r="R13" s="2">
        <f t="shared" si="3"/>
        <v>5</v>
      </c>
      <c r="S13" s="179"/>
      <c r="T13" s="32">
        <v>20</v>
      </c>
      <c r="U13" s="32">
        <v>70</v>
      </c>
      <c r="V13" s="33">
        <f t="shared" si="4"/>
        <v>90</v>
      </c>
      <c r="W13" s="2">
        <f t="shared" si="5"/>
        <v>5</v>
      </c>
      <c r="X13" s="179"/>
      <c r="Y13" s="32">
        <v>20</v>
      </c>
      <c r="Z13" s="32">
        <v>78</v>
      </c>
      <c r="AA13" s="33">
        <f t="shared" si="6"/>
        <v>98</v>
      </c>
      <c r="AB13" s="2">
        <f t="shared" si="7"/>
        <v>5</v>
      </c>
      <c r="AC13" s="179"/>
      <c r="AD13" s="32">
        <v>20</v>
      </c>
      <c r="AE13" s="32">
        <v>76</v>
      </c>
      <c r="AF13" s="33">
        <f t="shared" si="8"/>
        <v>96</v>
      </c>
      <c r="AG13" s="2">
        <f t="shared" si="9"/>
        <v>5</v>
      </c>
      <c r="AH13" s="179"/>
      <c r="AI13" s="32">
        <v>19</v>
      </c>
      <c r="AJ13" s="32">
        <v>78</v>
      </c>
      <c r="AK13" s="33">
        <f t="shared" si="10"/>
        <v>97</v>
      </c>
      <c r="AL13" s="2">
        <f t="shared" si="11"/>
        <v>5</v>
      </c>
      <c r="AM13" s="179"/>
      <c r="AN13" s="2"/>
      <c r="AO13" s="2">
        <v>44</v>
      </c>
      <c r="AP13" s="34">
        <f t="shared" si="12"/>
        <v>44</v>
      </c>
      <c r="AQ13" s="2">
        <f t="shared" si="13"/>
        <v>5</v>
      </c>
      <c r="AR13" s="179"/>
      <c r="AS13" s="34">
        <v>47</v>
      </c>
      <c r="AT13" s="2">
        <f t="shared" si="19"/>
        <v>5</v>
      </c>
      <c r="AU13" s="179"/>
      <c r="AV13" s="2">
        <f t="shared" si="15"/>
        <v>35</v>
      </c>
      <c r="AW13" s="35">
        <f t="shared" si="16"/>
        <v>5</v>
      </c>
      <c r="AX13" s="26">
        <f t="shared" si="17"/>
        <v>708</v>
      </c>
      <c r="AY13" s="3"/>
      <c r="AZ13" s="3"/>
      <c r="BA13" s="51" t="str">
        <f t="shared" si="18"/>
        <v>BEST</v>
      </c>
      <c r="BB13" s="1"/>
      <c r="BC13" s="1">
        <v>708</v>
      </c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</row>
    <row r="14" spans="1:71">
      <c r="A14" s="2">
        <v>7</v>
      </c>
      <c r="B14" s="103">
        <v>7</v>
      </c>
      <c r="C14" s="104" t="s">
        <v>114</v>
      </c>
      <c r="D14" s="104" t="s">
        <v>109</v>
      </c>
      <c r="E14" s="104" t="s">
        <v>110</v>
      </c>
      <c r="F14" s="32">
        <v>20</v>
      </c>
      <c r="G14" s="32">
        <v>74</v>
      </c>
      <c r="H14" s="2">
        <v>10</v>
      </c>
      <c r="I14" s="2">
        <v>34</v>
      </c>
      <c r="J14" s="33">
        <f t="shared" si="0"/>
        <v>138</v>
      </c>
      <c r="K14" s="2">
        <f t="shared" si="1"/>
        <v>5</v>
      </c>
      <c r="L14" s="179"/>
      <c r="M14" s="32">
        <v>20</v>
      </c>
      <c r="N14" s="32">
        <v>79</v>
      </c>
      <c r="O14" s="2">
        <v>10</v>
      </c>
      <c r="P14" s="2">
        <v>39</v>
      </c>
      <c r="Q14" s="33">
        <f t="shared" si="2"/>
        <v>148</v>
      </c>
      <c r="R14" s="2">
        <f t="shared" si="3"/>
        <v>5</v>
      </c>
      <c r="S14" s="179"/>
      <c r="T14" s="32">
        <v>20</v>
      </c>
      <c r="U14" s="32">
        <v>69</v>
      </c>
      <c r="V14" s="33">
        <f t="shared" si="4"/>
        <v>89</v>
      </c>
      <c r="W14" s="2">
        <f t="shared" si="5"/>
        <v>5</v>
      </c>
      <c r="X14" s="179"/>
      <c r="Y14" s="32">
        <v>20</v>
      </c>
      <c r="Z14" s="32">
        <v>71</v>
      </c>
      <c r="AA14" s="33">
        <f t="shared" si="6"/>
        <v>91</v>
      </c>
      <c r="AB14" s="2">
        <f t="shared" si="7"/>
        <v>5</v>
      </c>
      <c r="AC14" s="179"/>
      <c r="AD14" s="32">
        <v>20</v>
      </c>
      <c r="AE14" s="32">
        <v>74</v>
      </c>
      <c r="AF14" s="33">
        <f t="shared" si="8"/>
        <v>94</v>
      </c>
      <c r="AG14" s="2">
        <f t="shared" si="9"/>
        <v>5</v>
      </c>
      <c r="AH14" s="179"/>
      <c r="AI14" s="32">
        <v>19</v>
      </c>
      <c r="AJ14" s="32">
        <v>78</v>
      </c>
      <c r="AK14" s="33">
        <f t="shared" si="10"/>
        <v>97</v>
      </c>
      <c r="AL14" s="2">
        <f t="shared" si="11"/>
        <v>5</v>
      </c>
      <c r="AM14" s="179"/>
      <c r="AN14" s="2"/>
      <c r="AO14" s="2">
        <v>43</v>
      </c>
      <c r="AP14" s="34">
        <f t="shared" si="12"/>
        <v>43</v>
      </c>
      <c r="AQ14" s="2">
        <f t="shared" si="13"/>
        <v>5</v>
      </c>
      <c r="AR14" s="179"/>
      <c r="AS14" s="34">
        <v>42</v>
      </c>
      <c r="AT14" s="2">
        <f t="shared" si="19"/>
        <v>5</v>
      </c>
      <c r="AU14" s="179"/>
      <c r="AV14" s="2">
        <f t="shared" si="15"/>
        <v>35</v>
      </c>
      <c r="AW14" s="35">
        <f t="shared" si="16"/>
        <v>5</v>
      </c>
      <c r="AX14" s="26">
        <f t="shared" si="17"/>
        <v>700</v>
      </c>
      <c r="AY14" s="3"/>
      <c r="AZ14" s="3"/>
      <c r="BA14" s="51" t="str">
        <f t="shared" si="18"/>
        <v>BEST</v>
      </c>
      <c r="BC14">
        <v>700</v>
      </c>
    </row>
    <row r="15" spans="1:71">
      <c r="A15" s="2">
        <v>8</v>
      </c>
      <c r="B15" s="103">
        <v>8</v>
      </c>
      <c r="C15" s="104" t="s">
        <v>115</v>
      </c>
      <c r="D15" s="104" t="s">
        <v>116</v>
      </c>
      <c r="E15" s="104" t="s">
        <v>117</v>
      </c>
      <c r="F15" s="32">
        <v>20</v>
      </c>
      <c r="G15" s="32">
        <v>44</v>
      </c>
      <c r="H15" s="2">
        <v>10</v>
      </c>
      <c r="I15" s="2">
        <v>16</v>
      </c>
      <c r="J15" s="33">
        <f t="shared" si="0"/>
        <v>90</v>
      </c>
      <c r="K15" s="2">
        <f t="shared" si="1"/>
        <v>3.5</v>
      </c>
      <c r="L15" s="179"/>
      <c r="M15" s="32">
        <v>15</v>
      </c>
      <c r="N15" s="32">
        <v>32</v>
      </c>
      <c r="O15" s="2">
        <v>9</v>
      </c>
      <c r="P15" s="2">
        <v>16</v>
      </c>
      <c r="Q15" s="33">
        <f t="shared" si="2"/>
        <v>72</v>
      </c>
      <c r="R15" s="2">
        <f t="shared" si="3"/>
        <v>2</v>
      </c>
      <c r="S15" s="179"/>
      <c r="T15" s="32">
        <v>18</v>
      </c>
      <c r="U15" s="32">
        <v>67</v>
      </c>
      <c r="V15" s="33">
        <f t="shared" si="4"/>
        <v>85</v>
      </c>
      <c r="W15" s="2">
        <f t="shared" si="5"/>
        <v>5</v>
      </c>
      <c r="X15" s="179"/>
      <c r="Y15" s="32">
        <v>19</v>
      </c>
      <c r="Z15" s="32">
        <v>16</v>
      </c>
      <c r="AA15" s="33">
        <f t="shared" si="6"/>
        <v>35</v>
      </c>
      <c r="AB15" s="2" t="str">
        <f t="shared" si="7"/>
        <v>F</v>
      </c>
      <c r="AC15" s="179"/>
      <c r="AD15" s="32">
        <v>19</v>
      </c>
      <c r="AE15" s="32">
        <v>70</v>
      </c>
      <c r="AF15" s="33">
        <f t="shared" si="8"/>
        <v>89</v>
      </c>
      <c r="AG15" s="2">
        <f t="shared" si="9"/>
        <v>5</v>
      </c>
      <c r="AH15" s="179"/>
      <c r="AI15" s="32">
        <v>13</v>
      </c>
      <c r="AJ15" s="32">
        <v>47</v>
      </c>
      <c r="AK15" s="33">
        <f t="shared" si="10"/>
        <v>60</v>
      </c>
      <c r="AL15" s="2">
        <f t="shared" si="11"/>
        <v>3.5</v>
      </c>
      <c r="AM15" s="179"/>
      <c r="AN15" s="2"/>
      <c r="AO15" s="2">
        <v>46</v>
      </c>
      <c r="AP15" s="34">
        <f t="shared" si="12"/>
        <v>46</v>
      </c>
      <c r="AQ15" s="2">
        <f t="shared" si="13"/>
        <v>5</v>
      </c>
      <c r="AR15" s="179"/>
      <c r="AS15" s="34">
        <v>36</v>
      </c>
      <c r="AT15" s="2">
        <f t="shared" si="19"/>
        <v>4</v>
      </c>
      <c r="AU15" s="179"/>
      <c r="AV15" s="2" t="str">
        <f t="shared" si="15"/>
        <v>F</v>
      </c>
      <c r="AW15" s="35" t="str">
        <f t="shared" si="16"/>
        <v>F</v>
      </c>
      <c r="AX15" s="26">
        <f t="shared" si="17"/>
        <v>477</v>
      </c>
      <c r="AY15" s="3"/>
      <c r="AZ15" s="3"/>
      <c r="BA15" s="51" t="str">
        <f t="shared" si="18"/>
        <v>NEED TO PROGRESS</v>
      </c>
      <c r="BC15">
        <v>477</v>
      </c>
    </row>
    <row r="16" spans="1:71">
      <c r="A16" s="2">
        <v>9</v>
      </c>
      <c r="B16" s="103">
        <v>9</v>
      </c>
      <c r="C16" s="104" t="s">
        <v>118</v>
      </c>
      <c r="D16" s="104" t="s">
        <v>119</v>
      </c>
      <c r="E16" s="104" t="s">
        <v>120</v>
      </c>
      <c r="F16" s="32">
        <v>20</v>
      </c>
      <c r="G16" s="32">
        <v>79</v>
      </c>
      <c r="H16" s="2">
        <v>10</v>
      </c>
      <c r="I16" s="2">
        <v>38</v>
      </c>
      <c r="J16" s="33">
        <f t="shared" si="0"/>
        <v>147</v>
      </c>
      <c r="K16" s="2">
        <f t="shared" si="1"/>
        <v>5</v>
      </c>
      <c r="L16" s="179"/>
      <c r="M16" s="32">
        <v>20</v>
      </c>
      <c r="N16" s="32">
        <v>77</v>
      </c>
      <c r="O16" s="2">
        <v>10</v>
      </c>
      <c r="P16" s="2">
        <v>39</v>
      </c>
      <c r="Q16" s="33">
        <f t="shared" si="2"/>
        <v>146</v>
      </c>
      <c r="R16" s="2">
        <f t="shared" si="3"/>
        <v>5</v>
      </c>
      <c r="S16" s="179"/>
      <c r="T16" s="32">
        <v>19</v>
      </c>
      <c r="U16" s="32">
        <v>58</v>
      </c>
      <c r="V16" s="33">
        <f t="shared" si="4"/>
        <v>77</v>
      </c>
      <c r="W16" s="2">
        <f t="shared" si="5"/>
        <v>4</v>
      </c>
      <c r="X16" s="179"/>
      <c r="Y16" s="32">
        <v>20</v>
      </c>
      <c r="Z16" s="32">
        <v>60</v>
      </c>
      <c r="AA16" s="33">
        <f t="shared" si="6"/>
        <v>80</v>
      </c>
      <c r="AB16" s="2">
        <f t="shared" si="7"/>
        <v>5</v>
      </c>
      <c r="AC16" s="179"/>
      <c r="AD16" s="32">
        <v>20</v>
      </c>
      <c r="AE16" s="32">
        <v>78</v>
      </c>
      <c r="AF16" s="33">
        <f t="shared" si="8"/>
        <v>98</v>
      </c>
      <c r="AG16" s="2">
        <f t="shared" si="9"/>
        <v>5</v>
      </c>
      <c r="AH16" s="179"/>
      <c r="AI16" s="32">
        <v>20</v>
      </c>
      <c r="AJ16" s="32">
        <v>77</v>
      </c>
      <c r="AK16" s="33">
        <f t="shared" si="10"/>
        <v>97</v>
      </c>
      <c r="AL16" s="2">
        <f t="shared" si="11"/>
        <v>5</v>
      </c>
      <c r="AM16" s="179"/>
      <c r="AN16" s="2"/>
      <c r="AO16" s="2">
        <v>44</v>
      </c>
      <c r="AP16" s="34">
        <f t="shared" si="12"/>
        <v>44</v>
      </c>
      <c r="AQ16" s="2">
        <f t="shared" si="13"/>
        <v>5</v>
      </c>
      <c r="AR16" s="179"/>
      <c r="AS16" s="34">
        <v>47</v>
      </c>
      <c r="AT16" s="2">
        <f t="shared" si="19"/>
        <v>5</v>
      </c>
      <c r="AU16" s="179"/>
      <c r="AV16" s="2">
        <f t="shared" si="15"/>
        <v>34</v>
      </c>
      <c r="AW16" s="35">
        <f t="shared" si="16"/>
        <v>4.8571428571428568</v>
      </c>
      <c r="AX16" s="26">
        <f t="shared" si="17"/>
        <v>689</v>
      </c>
      <c r="AY16" s="55"/>
      <c r="AZ16" s="3"/>
      <c r="BA16" s="51" t="str">
        <f t="shared" si="18"/>
        <v>BETTER</v>
      </c>
      <c r="BC16">
        <v>689</v>
      </c>
    </row>
    <row r="17" spans="1:55">
      <c r="A17" s="2">
        <v>10</v>
      </c>
      <c r="B17" s="103">
        <v>10</v>
      </c>
      <c r="C17" s="104" t="s">
        <v>121</v>
      </c>
      <c r="D17" s="104" t="s">
        <v>122</v>
      </c>
      <c r="E17" s="104" t="s">
        <v>123</v>
      </c>
      <c r="F17" s="32">
        <v>19</v>
      </c>
      <c r="G17" s="32">
        <v>62</v>
      </c>
      <c r="H17" s="2">
        <v>8</v>
      </c>
      <c r="I17" s="2">
        <v>22</v>
      </c>
      <c r="J17" s="33">
        <f t="shared" si="0"/>
        <v>111</v>
      </c>
      <c r="K17" s="2">
        <f t="shared" si="1"/>
        <v>4</v>
      </c>
      <c r="L17" s="179"/>
      <c r="M17" s="32">
        <v>20</v>
      </c>
      <c r="N17" s="32">
        <v>57</v>
      </c>
      <c r="O17" s="2">
        <v>9</v>
      </c>
      <c r="P17" s="2">
        <v>21</v>
      </c>
      <c r="Q17" s="33">
        <f t="shared" si="2"/>
        <v>107</v>
      </c>
      <c r="R17" s="2">
        <f t="shared" si="3"/>
        <v>4</v>
      </c>
      <c r="S17" s="179"/>
      <c r="T17" s="32">
        <v>15</v>
      </c>
      <c r="U17" s="32">
        <v>65</v>
      </c>
      <c r="V17" s="33">
        <f t="shared" si="4"/>
        <v>80</v>
      </c>
      <c r="W17" s="2">
        <f t="shared" si="5"/>
        <v>5</v>
      </c>
      <c r="X17" s="179"/>
      <c r="Y17" s="32">
        <v>18</v>
      </c>
      <c r="Z17" s="32">
        <v>35</v>
      </c>
      <c r="AA17" s="33">
        <f t="shared" si="6"/>
        <v>53</v>
      </c>
      <c r="AB17" s="2">
        <f t="shared" si="7"/>
        <v>3</v>
      </c>
      <c r="AC17" s="179"/>
      <c r="AD17" s="32">
        <v>16</v>
      </c>
      <c r="AE17" s="32">
        <v>51</v>
      </c>
      <c r="AF17" s="33">
        <f t="shared" si="8"/>
        <v>67</v>
      </c>
      <c r="AG17" s="2">
        <f t="shared" si="9"/>
        <v>3.5</v>
      </c>
      <c r="AH17" s="179"/>
      <c r="AI17" s="32">
        <v>17</v>
      </c>
      <c r="AJ17" s="32">
        <v>70</v>
      </c>
      <c r="AK17" s="33">
        <f t="shared" si="10"/>
        <v>87</v>
      </c>
      <c r="AL17" s="2">
        <f t="shared" si="11"/>
        <v>5</v>
      </c>
      <c r="AM17" s="179"/>
      <c r="AN17" s="2"/>
      <c r="AO17" s="2">
        <v>39</v>
      </c>
      <c r="AP17" s="34">
        <f t="shared" si="12"/>
        <v>39</v>
      </c>
      <c r="AQ17" s="2">
        <f t="shared" si="13"/>
        <v>4</v>
      </c>
      <c r="AR17" s="179"/>
      <c r="AS17" s="34">
        <v>42</v>
      </c>
      <c r="AT17" s="2">
        <f t="shared" si="19"/>
        <v>5</v>
      </c>
      <c r="AU17" s="179"/>
      <c r="AV17" s="2">
        <f t="shared" si="15"/>
        <v>28.5</v>
      </c>
      <c r="AW17" s="35">
        <f t="shared" si="16"/>
        <v>4.0714285714285712</v>
      </c>
      <c r="AX17" s="26">
        <f t="shared" si="17"/>
        <v>544</v>
      </c>
      <c r="AY17" s="3"/>
      <c r="AZ17" s="3"/>
      <c r="BA17" s="51" t="str">
        <f t="shared" si="18"/>
        <v>BETTER</v>
      </c>
      <c r="BC17">
        <v>544</v>
      </c>
    </row>
    <row r="18" spans="1:55">
      <c r="A18" s="2">
        <v>11</v>
      </c>
      <c r="B18" s="103">
        <v>11</v>
      </c>
      <c r="C18" s="104" t="s">
        <v>124</v>
      </c>
      <c r="D18" s="104" t="s">
        <v>125</v>
      </c>
      <c r="E18" s="104" t="s">
        <v>126</v>
      </c>
      <c r="F18" s="32">
        <v>20</v>
      </c>
      <c r="G18" s="32">
        <v>80</v>
      </c>
      <c r="H18" s="2">
        <v>10</v>
      </c>
      <c r="I18" s="2">
        <v>39</v>
      </c>
      <c r="J18" s="33">
        <f t="shared" si="0"/>
        <v>149</v>
      </c>
      <c r="K18" s="2">
        <f t="shared" si="1"/>
        <v>5</v>
      </c>
      <c r="L18" s="179"/>
      <c r="M18" s="32">
        <v>20</v>
      </c>
      <c r="N18" s="32">
        <v>79</v>
      </c>
      <c r="O18" s="2">
        <v>10</v>
      </c>
      <c r="P18" s="2">
        <v>38</v>
      </c>
      <c r="Q18" s="33">
        <f t="shared" si="2"/>
        <v>147</v>
      </c>
      <c r="R18" s="2">
        <f t="shared" si="3"/>
        <v>5</v>
      </c>
      <c r="S18" s="179"/>
      <c r="T18" s="32">
        <v>18</v>
      </c>
      <c r="U18" s="32">
        <v>65</v>
      </c>
      <c r="V18" s="33">
        <f t="shared" si="4"/>
        <v>83</v>
      </c>
      <c r="W18" s="2">
        <f t="shared" si="5"/>
        <v>5</v>
      </c>
      <c r="X18" s="179"/>
      <c r="Y18" s="32">
        <v>20</v>
      </c>
      <c r="Z18" s="32">
        <v>65</v>
      </c>
      <c r="AA18" s="33">
        <f t="shared" si="6"/>
        <v>85</v>
      </c>
      <c r="AB18" s="2">
        <f t="shared" si="7"/>
        <v>5</v>
      </c>
      <c r="AC18" s="179"/>
      <c r="AD18" s="32">
        <v>20</v>
      </c>
      <c r="AE18" s="32">
        <v>78</v>
      </c>
      <c r="AF18" s="33">
        <f t="shared" si="8"/>
        <v>98</v>
      </c>
      <c r="AG18" s="2">
        <f t="shared" si="9"/>
        <v>5</v>
      </c>
      <c r="AH18" s="179"/>
      <c r="AI18" s="32">
        <v>19</v>
      </c>
      <c r="AJ18" s="32">
        <v>77</v>
      </c>
      <c r="AK18" s="33">
        <f t="shared" si="10"/>
        <v>96</v>
      </c>
      <c r="AL18" s="2">
        <f t="shared" si="11"/>
        <v>5</v>
      </c>
      <c r="AM18" s="179"/>
      <c r="AN18" s="2"/>
      <c r="AO18" s="2">
        <v>46</v>
      </c>
      <c r="AP18" s="34">
        <f t="shared" si="12"/>
        <v>46</v>
      </c>
      <c r="AQ18" s="2">
        <f t="shared" si="13"/>
        <v>5</v>
      </c>
      <c r="AR18" s="179"/>
      <c r="AS18" s="34">
        <v>50</v>
      </c>
      <c r="AT18" s="2">
        <f t="shared" si="19"/>
        <v>5</v>
      </c>
      <c r="AU18" s="179"/>
      <c r="AV18" s="2">
        <f t="shared" si="15"/>
        <v>35</v>
      </c>
      <c r="AW18" s="35">
        <f t="shared" si="16"/>
        <v>5</v>
      </c>
      <c r="AX18" s="26">
        <f t="shared" si="17"/>
        <v>704</v>
      </c>
      <c r="AY18" s="3"/>
      <c r="AZ18" s="3"/>
      <c r="BA18" s="51" t="str">
        <f t="shared" si="18"/>
        <v>BEST</v>
      </c>
      <c r="BC18">
        <v>704</v>
      </c>
    </row>
    <row r="19" spans="1:55">
      <c r="A19" s="2">
        <v>12</v>
      </c>
      <c r="B19" s="103">
        <v>12</v>
      </c>
      <c r="C19" s="104" t="s">
        <v>127</v>
      </c>
      <c r="D19" s="104" t="s">
        <v>128</v>
      </c>
      <c r="E19" s="104" t="s">
        <v>129</v>
      </c>
      <c r="F19" s="32">
        <v>20</v>
      </c>
      <c r="G19" s="32">
        <v>76</v>
      </c>
      <c r="H19" s="2">
        <v>10</v>
      </c>
      <c r="I19" s="2">
        <v>27</v>
      </c>
      <c r="J19" s="33">
        <f t="shared" si="0"/>
        <v>133</v>
      </c>
      <c r="K19" s="2">
        <f t="shared" si="1"/>
        <v>5</v>
      </c>
      <c r="L19" s="179"/>
      <c r="M19" s="32">
        <v>19</v>
      </c>
      <c r="N19" s="32">
        <v>56</v>
      </c>
      <c r="O19" s="2">
        <v>10</v>
      </c>
      <c r="P19" s="2">
        <v>35</v>
      </c>
      <c r="Q19" s="33">
        <f t="shared" si="2"/>
        <v>120</v>
      </c>
      <c r="R19" s="2">
        <f t="shared" si="3"/>
        <v>5</v>
      </c>
      <c r="S19" s="179"/>
      <c r="T19" s="32">
        <v>16</v>
      </c>
      <c r="U19" s="32">
        <v>67</v>
      </c>
      <c r="V19" s="33">
        <f t="shared" si="4"/>
        <v>83</v>
      </c>
      <c r="W19" s="2">
        <f t="shared" si="5"/>
        <v>5</v>
      </c>
      <c r="X19" s="179"/>
      <c r="Y19" s="32">
        <v>20</v>
      </c>
      <c r="Z19" s="32">
        <v>59</v>
      </c>
      <c r="AA19" s="33">
        <f t="shared" si="6"/>
        <v>79</v>
      </c>
      <c r="AB19" s="2">
        <f t="shared" si="7"/>
        <v>4</v>
      </c>
      <c r="AC19" s="179"/>
      <c r="AD19" s="32">
        <v>19</v>
      </c>
      <c r="AE19" s="32">
        <v>64</v>
      </c>
      <c r="AF19" s="33">
        <f t="shared" si="8"/>
        <v>83</v>
      </c>
      <c r="AG19" s="2">
        <f t="shared" si="9"/>
        <v>5</v>
      </c>
      <c r="AH19" s="179"/>
      <c r="AI19" s="32">
        <v>19</v>
      </c>
      <c r="AJ19" s="32">
        <v>75</v>
      </c>
      <c r="AK19" s="33">
        <f t="shared" si="10"/>
        <v>94</v>
      </c>
      <c r="AL19" s="2">
        <f t="shared" si="11"/>
        <v>5</v>
      </c>
      <c r="AM19" s="179"/>
      <c r="AN19" s="2"/>
      <c r="AO19" s="2">
        <v>46</v>
      </c>
      <c r="AP19" s="34">
        <f t="shared" si="12"/>
        <v>46</v>
      </c>
      <c r="AQ19" s="2">
        <f t="shared" si="13"/>
        <v>5</v>
      </c>
      <c r="AR19" s="179"/>
      <c r="AS19" s="34">
        <v>33</v>
      </c>
      <c r="AT19" s="2">
        <f t="shared" si="19"/>
        <v>3.5</v>
      </c>
      <c r="AU19" s="179"/>
      <c r="AV19" s="2">
        <f t="shared" si="15"/>
        <v>34</v>
      </c>
      <c r="AW19" s="35">
        <f t="shared" si="16"/>
        <v>4.8571428571428568</v>
      </c>
      <c r="AX19" s="26">
        <f t="shared" si="17"/>
        <v>638</v>
      </c>
      <c r="AY19" s="3"/>
      <c r="AZ19" s="3"/>
      <c r="BA19" s="51" t="str">
        <f t="shared" si="18"/>
        <v>BETTER</v>
      </c>
      <c r="BC19">
        <v>638</v>
      </c>
    </row>
    <row r="20" spans="1:55">
      <c r="A20" s="2">
        <v>13</v>
      </c>
      <c r="B20" s="103">
        <v>13</v>
      </c>
      <c r="C20" s="104" t="s">
        <v>130</v>
      </c>
      <c r="D20" s="104" t="s">
        <v>131</v>
      </c>
      <c r="E20" s="104" t="s">
        <v>132</v>
      </c>
      <c r="F20" s="32">
        <v>19</v>
      </c>
      <c r="G20" s="32">
        <v>60</v>
      </c>
      <c r="H20" s="2">
        <v>10</v>
      </c>
      <c r="I20" s="2">
        <v>23</v>
      </c>
      <c r="J20" s="33">
        <f t="shared" si="0"/>
        <v>112</v>
      </c>
      <c r="K20" s="2">
        <f t="shared" si="1"/>
        <v>4</v>
      </c>
      <c r="L20" s="179"/>
      <c r="M20" s="32">
        <v>14</v>
      </c>
      <c r="N20" s="32">
        <v>42</v>
      </c>
      <c r="O20" s="2">
        <v>8</v>
      </c>
      <c r="P20" s="2">
        <v>22</v>
      </c>
      <c r="Q20" s="33">
        <f t="shared" si="2"/>
        <v>86</v>
      </c>
      <c r="R20" s="2">
        <f t="shared" si="3"/>
        <v>3</v>
      </c>
      <c r="S20" s="179"/>
      <c r="T20" s="32">
        <v>20</v>
      </c>
      <c r="U20" s="32">
        <v>51</v>
      </c>
      <c r="V20" s="33">
        <f t="shared" si="4"/>
        <v>71</v>
      </c>
      <c r="W20" s="2">
        <f t="shared" si="5"/>
        <v>4</v>
      </c>
      <c r="X20" s="179"/>
      <c r="Y20" s="32">
        <v>19</v>
      </c>
      <c r="Z20" s="32">
        <v>42</v>
      </c>
      <c r="AA20" s="33">
        <f t="shared" si="6"/>
        <v>61</v>
      </c>
      <c r="AB20" s="2">
        <f t="shared" si="7"/>
        <v>3.5</v>
      </c>
      <c r="AC20" s="179"/>
      <c r="AD20" s="32">
        <v>18</v>
      </c>
      <c r="AE20" s="32">
        <v>64</v>
      </c>
      <c r="AF20" s="33">
        <f t="shared" si="8"/>
        <v>82</v>
      </c>
      <c r="AG20" s="2">
        <f t="shared" si="9"/>
        <v>5</v>
      </c>
      <c r="AH20" s="179"/>
      <c r="AI20" s="32">
        <v>14</v>
      </c>
      <c r="AJ20" s="32">
        <v>42</v>
      </c>
      <c r="AK20" s="33">
        <f t="shared" si="10"/>
        <v>56</v>
      </c>
      <c r="AL20" s="2">
        <f t="shared" si="11"/>
        <v>3</v>
      </c>
      <c r="AM20" s="179"/>
      <c r="AN20" s="2"/>
      <c r="AO20" s="2">
        <v>32</v>
      </c>
      <c r="AP20" s="34">
        <f t="shared" si="12"/>
        <v>32</v>
      </c>
      <c r="AQ20" s="2">
        <f t="shared" si="13"/>
        <v>3.5</v>
      </c>
      <c r="AR20" s="179"/>
      <c r="AS20" s="34">
        <v>49</v>
      </c>
      <c r="AT20" s="2">
        <f t="shared" si="19"/>
        <v>5</v>
      </c>
      <c r="AU20" s="179"/>
      <c r="AV20" s="2">
        <f t="shared" si="15"/>
        <v>26</v>
      </c>
      <c r="AW20" s="35">
        <f t="shared" si="16"/>
        <v>3.7142857142857144</v>
      </c>
      <c r="AX20" s="26">
        <f t="shared" si="17"/>
        <v>500</v>
      </c>
      <c r="AY20" s="3"/>
      <c r="AZ20" s="3"/>
      <c r="BA20" s="51" t="str">
        <f t="shared" si="18"/>
        <v>GOOD</v>
      </c>
      <c r="BC20">
        <v>500</v>
      </c>
    </row>
    <row r="21" spans="1:55">
      <c r="A21" s="2">
        <v>14</v>
      </c>
      <c r="B21" s="103">
        <v>14</v>
      </c>
      <c r="C21" s="104" t="s">
        <v>133</v>
      </c>
      <c r="D21" s="104" t="s">
        <v>134</v>
      </c>
      <c r="E21" s="104" t="s">
        <v>135</v>
      </c>
      <c r="F21" s="32">
        <v>20</v>
      </c>
      <c r="G21" s="32">
        <v>71</v>
      </c>
      <c r="H21" s="2">
        <v>10</v>
      </c>
      <c r="I21" s="2">
        <v>30</v>
      </c>
      <c r="J21" s="33">
        <f t="shared" si="0"/>
        <v>131</v>
      </c>
      <c r="K21" s="2">
        <f t="shared" si="1"/>
        <v>5</v>
      </c>
      <c r="L21" s="179"/>
      <c r="M21" s="32">
        <v>20</v>
      </c>
      <c r="N21" s="32">
        <v>48</v>
      </c>
      <c r="O21" s="2">
        <v>10</v>
      </c>
      <c r="P21" s="2">
        <v>26</v>
      </c>
      <c r="Q21" s="33">
        <f t="shared" si="2"/>
        <v>104</v>
      </c>
      <c r="R21" s="2">
        <f t="shared" si="3"/>
        <v>3.5</v>
      </c>
      <c r="S21" s="179"/>
      <c r="T21" s="32">
        <v>17</v>
      </c>
      <c r="U21" s="32">
        <v>66</v>
      </c>
      <c r="V21" s="33">
        <f t="shared" si="4"/>
        <v>83</v>
      </c>
      <c r="W21" s="2">
        <f t="shared" si="5"/>
        <v>5</v>
      </c>
      <c r="X21" s="179"/>
      <c r="Y21" s="32">
        <v>19</v>
      </c>
      <c r="Z21" s="32">
        <v>49</v>
      </c>
      <c r="AA21" s="33">
        <f t="shared" si="6"/>
        <v>68</v>
      </c>
      <c r="AB21" s="2">
        <f t="shared" si="7"/>
        <v>3.5</v>
      </c>
      <c r="AC21" s="179"/>
      <c r="AD21" s="32">
        <v>19</v>
      </c>
      <c r="AE21" s="32">
        <v>62</v>
      </c>
      <c r="AF21" s="33">
        <f t="shared" si="8"/>
        <v>81</v>
      </c>
      <c r="AG21" s="2">
        <f t="shared" si="9"/>
        <v>5</v>
      </c>
      <c r="AH21" s="179"/>
      <c r="AI21" s="32">
        <v>19</v>
      </c>
      <c r="AJ21" s="32">
        <v>73</v>
      </c>
      <c r="AK21" s="33">
        <f t="shared" si="10"/>
        <v>92</v>
      </c>
      <c r="AL21" s="2">
        <f t="shared" si="11"/>
        <v>5</v>
      </c>
      <c r="AM21" s="179"/>
      <c r="AN21" s="2"/>
      <c r="AO21" s="2">
        <v>45</v>
      </c>
      <c r="AP21" s="34">
        <f t="shared" si="12"/>
        <v>45</v>
      </c>
      <c r="AQ21" s="2">
        <f t="shared" si="13"/>
        <v>5</v>
      </c>
      <c r="AR21" s="179"/>
      <c r="AS21" s="34">
        <v>35</v>
      </c>
      <c r="AT21" s="2">
        <f t="shared" si="19"/>
        <v>4</v>
      </c>
      <c r="AU21" s="179"/>
      <c r="AV21" s="2">
        <f t="shared" si="15"/>
        <v>32</v>
      </c>
      <c r="AW21" s="35">
        <f t="shared" si="16"/>
        <v>4.5714285714285712</v>
      </c>
      <c r="AX21" s="26">
        <f t="shared" si="17"/>
        <v>604</v>
      </c>
      <c r="AY21" s="3"/>
      <c r="AZ21" s="3"/>
      <c r="BA21" s="51" t="str">
        <f t="shared" si="18"/>
        <v>BETTER</v>
      </c>
      <c r="BC21">
        <v>604</v>
      </c>
    </row>
    <row r="22" spans="1:55">
      <c r="A22" s="2">
        <v>15</v>
      </c>
      <c r="B22" s="103">
        <v>15</v>
      </c>
      <c r="C22" s="104" t="s">
        <v>136</v>
      </c>
      <c r="D22" s="104" t="s">
        <v>137</v>
      </c>
      <c r="E22" s="104" t="s">
        <v>138</v>
      </c>
      <c r="F22" s="32">
        <v>5</v>
      </c>
      <c r="G22" s="32">
        <v>0</v>
      </c>
      <c r="H22" s="2">
        <v>0</v>
      </c>
      <c r="I22" s="2">
        <v>0</v>
      </c>
      <c r="J22" s="33">
        <f t="shared" si="0"/>
        <v>5</v>
      </c>
      <c r="K22" s="2" t="str">
        <f t="shared" si="1"/>
        <v>F</v>
      </c>
      <c r="L22" s="179"/>
      <c r="M22" s="32">
        <v>0</v>
      </c>
      <c r="N22" s="32">
        <v>0</v>
      </c>
      <c r="O22" s="2">
        <v>0</v>
      </c>
      <c r="P22" s="2">
        <v>0</v>
      </c>
      <c r="Q22" s="33">
        <f t="shared" si="2"/>
        <v>0</v>
      </c>
      <c r="R22" s="2" t="str">
        <f t="shared" si="3"/>
        <v>F</v>
      </c>
      <c r="S22" s="179"/>
      <c r="T22" s="32">
        <v>0</v>
      </c>
      <c r="U22" s="32">
        <v>0</v>
      </c>
      <c r="V22" s="33">
        <f t="shared" si="4"/>
        <v>0</v>
      </c>
      <c r="W22" s="2" t="str">
        <f t="shared" si="5"/>
        <v>F</v>
      </c>
      <c r="X22" s="179"/>
      <c r="Y22" s="32">
        <v>5</v>
      </c>
      <c r="Z22" s="32">
        <v>0</v>
      </c>
      <c r="AA22" s="33">
        <f t="shared" si="6"/>
        <v>5</v>
      </c>
      <c r="AB22" s="2" t="str">
        <f t="shared" si="7"/>
        <v>F</v>
      </c>
      <c r="AC22" s="179"/>
      <c r="AD22" s="32">
        <v>5</v>
      </c>
      <c r="AE22" s="32">
        <v>0</v>
      </c>
      <c r="AF22" s="33">
        <f t="shared" si="8"/>
        <v>5</v>
      </c>
      <c r="AG22" s="2" t="str">
        <f t="shared" si="9"/>
        <v>F</v>
      </c>
      <c r="AH22" s="179"/>
      <c r="AI22" s="32">
        <v>0</v>
      </c>
      <c r="AJ22" s="32">
        <v>0</v>
      </c>
      <c r="AK22" s="33">
        <f t="shared" si="10"/>
        <v>0</v>
      </c>
      <c r="AL22" s="2" t="str">
        <f t="shared" si="11"/>
        <v>F</v>
      </c>
      <c r="AM22" s="179"/>
      <c r="AN22" s="2"/>
      <c r="AO22" s="2">
        <v>0</v>
      </c>
      <c r="AP22" s="34">
        <f t="shared" si="12"/>
        <v>0</v>
      </c>
      <c r="AQ22" s="2" t="str">
        <f t="shared" si="13"/>
        <v>F</v>
      </c>
      <c r="AR22" s="179"/>
      <c r="AS22" s="34">
        <v>0</v>
      </c>
      <c r="AT22" s="2" t="str">
        <f t="shared" si="19"/>
        <v>F</v>
      </c>
      <c r="AU22" s="179"/>
      <c r="AV22" s="2" t="str">
        <f t="shared" si="15"/>
        <v>F</v>
      </c>
      <c r="AW22" s="35" t="str">
        <f t="shared" si="16"/>
        <v>F</v>
      </c>
      <c r="AX22" s="26">
        <f t="shared" si="17"/>
        <v>15</v>
      </c>
      <c r="AY22" s="3"/>
      <c r="AZ22" s="3"/>
      <c r="BA22" s="51" t="str">
        <f t="shared" si="18"/>
        <v>NEED TO PROGRESS</v>
      </c>
      <c r="BC22">
        <v>15</v>
      </c>
    </row>
    <row r="23" spans="1:55">
      <c r="A23" s="2">
        <v>16</v>
      </c>
      <c r="B23" s="103">
        <v>16</v>
      </c>
      <c r="C23" s="104" t="s">
        <v>139</v>
      </c>
      <c r="D23" s="104" t="s">
        <v>140</v>
      </c>
      <c r="E23" s="104" t="s">
        <v>141</v>
      </c>
      <c r="F23" s="32">
        <v>20</v>
      </c>
      <c r="G23" s="32">
        <v>78</v>
      </c>
      <c r="H23" s="2">
        <v>10</v>
      </c>
      <c r="I23" s="2">
        <v>35</v>
      </c>
      <c r="J23" s="33">
        <f t="shared" si="0"/>
        <v>143</v>
      </c>
      <c r="K23" s="2">
        <f t="shared" si="1"/>
        <v>5</v>
      </c>
      <c r="L23" s="179"/>
      <c r="M23" s="32">
        <v>20</v>
      </c>
      <c r="N23" s="32">
        <v>80</v>
      </c>
      <c r="O23" s="2">
        <v>10</v>
      </c>
      <c r="P23" s="2">
        <v>39</v>
      </c>
      <c r="Q23" s="33">
        <f t="shared" si="2"/>
        <v>149</v>
      </c>
      <c r="R23" s="2">
        <f t="shared" si="3"/>
        <v>5</v>
      </c>
      <c r="S23" s="179"/>
      <c r="T23" s="32">
        <v>18</v>
      </c>
      <c r="U23" s="32">
        <v>58</v>
      </c>
      <c r="V23" s="33">
        <f t="shared" si="4"/>
        <v>76</v>
      </c>
      <c r="W23" s="2">
        <f t="shared" si="5"/>
        <v>4</v>
      </c>
      <c r="X23" s="179"/>
      <c r="Y23" s="32">
        <v>20</v>
      </c>
      <c r="Z23" s="32">
        <v>53</v>
      </c>
      <c r="AA23" s="33">
        <f t="shared" si="6"/>
        <v>73</v>
      </c>
      <c r="AB23" s="2">
        <f t="shared" si="7"/>
        <v>4</v>
      </c>
      <c r="AC23" s="179"/>
      <c r="AD23" s="32">
        <v>19</v>
      </c>
      <c r="AE23" s="32">
        <v>75</v>
      </c>
      <c r="AF23" s="33">
        <f t="shared" si="8"/>
        <v>94</v>
      </c>
      <c r="AG23" s="2">
        <f t="shared" si="9"/>
        <v>5</v>
      </c>
      <c r="AH23" s="179"/>
      <c r="AI23" s="32">
        <v>19</v>
      </c>
      <c r="AJ23" s="32">
        <v>54</v>
      </c>
      <c r="AK23" s="33">
        <f t="shared" si="10"/>
        <v>73</v>
      </c>
      <c r="AL23" s="2">
        <f t="shared" si="11"/>
        <v>4</v>
      </c>
      <c r="AM23" s="179"/>
      <c r="AN23" s="2"/>
      <c r="AO23" s="2">
        <v>46</v>
      </c>
      <c r="AP23" s="34">
        <f t="shared" si="12"/>
        <v>46</v>
      </c>
      <c r="AQ23" s="2">
        <f t="shared" si="13"/>
        <v>5</v>
      </c>
      <c r="AR23" s="179"/>
      <c r="AS23" s="34">
        <v>47</v>
      </c>
      <c r="AT23" s="2">
        <f t="shared" si="19"/>
        <v>5</v>
      </c>
      <c r="AU23" s="179"/>
      <c r="AV23" s="2">
        <f t="shared" si="15"/>
        <v>32</v>
      </c>
      <c r="AW23" s="35">
        <f t="shared" si="16"/>
        <v>4.5714285714285712</v>
      </c>
      <c r="AX23" s="26">
        <f t="shared" si="17"/>
        <v>654</v>
      </c>
      <c r="AY23" s="3"/>
      <c r="AZ23" s="3"/>
      <c r="BA23" s="51" t="str">
        <f t="shared" si="18"/>
        <v>BETTER</v>
      </c>
      <c r="BC23">
        <v>654</v>
      </c>
    </row>
    <row r="24" spans="1:55">
      <c r="A24" s="2">
        <v>17</v>
      </c>
      <c r="B24" s="85">
        <v>18</v>
      </c>
      <c r="C24" s="105" t="s">
        <v>142</v>
      </c>
      <c r="D24" s="105" t="s">
        <v>143</v>
      </c>
      <c r="E24" s="105" t="s">
        <v>144</v>
      </c>
      <c r="F24" s="32">
        <v>20</v>
      </c>
      <c r="G24" s="32">
        <v>66</v>
      </c>
      <c r="H24" s="2">
        <v>9</v>
      </c>
      <c r="I24" s="2">
        <v>26</v>
      </c>
      <c r="J24" s="33">
        <f t="shared" si="0"/>
        <v>121</v>
      </c>
      <c r="K24" s="2">
        <f t="shared" si="1"/>
        <v>5</v>
      </c>
      <c r="L24" s="179"/>
      <c r="M24" s="32">
        <v>20</v>
      </c>
      <c r="N24" s="32">
        <v>55</v>
      </c>
      <c r="O24" s="2">
        <v>10</v>
      </c>
      <c r="P24" s="2">
        <v>20</v>
      </c>
      <c r="Q24" s="33">
        <f t="shared" si="2"/>
        <v>105</v>
      </c>
      <c r="R24" s="2">
        <f t="shared" si="3"/>
        <v>4</v>
      </c>
      <c r="S24" s="179"/>
      <c r="T24" s="32">
        <v>19</v>
      </c>
      <c r="U24" s="32">
        <v>61</v>
      </c>
      <c r="V24" s="33">
        <f t="shared" si="4"/>
        <v>80</v>
      </c>
      <c r="W24" s="2">
        <f t="shared" si="5"/>
        <v>5</v>
      </c>
      <c r="X24" s="179"/>
      <c r="Y24" s="32">
        <v>20</v>
      </c>
      <c r="Z24" s="32">
        <v>55</v>
      </c>
      <c r="AA24" s="33">
        <f t="shared" si="6"/>
        <v>75</v>
      </c>
      <c r="AB24" s="2">
        <f t="shared" si="7"/>
        <v>4</v>
      </c>
      <c r="AC24" s="179"/>
      <c r="AD24" s="32">
        <v>20</v>
      </c>
      <c r="AE24" s="32">
        <v>54</v>
      </c>
      <c r="AF24" s="33">
        <f t="shared" si="8"/>
        <v>74</v>
      </c>
      <c r="AG24" s="2">
        <f t="shared" si="9"/>
        <v>4</v>
      </c>
      <c r="AH24" s="179"/>
      <c r="AI24" s="32">
        <v>20</v>
      </c>
      <c r="AJ24" s="32">
        <v>64</v>
      </c>
      <c r="AK24" s="33">
        <f t="shared" si="10"/>
        <v>84</v>
      </c>
      <c r="AL24" s="2">
        <f t="shared" si="11"/>
        <v>5</v>
      </c>
      <c r="AM24" s="179"/>
      <c r="AN24" s="2"/>
      <c r="AO24" s="2">
        <v>38</v>
      </c>
      <c r="AP24" s="34">
        <f t="shared" si="12"/>
        <v>38</v>
      </c>
      <c r="AQ24" s="2">
        <f t="shared" si="13"/>
        <v>4</v>
      </c>
      <c r="AR24" s="179"/>
      <c r="AS24" s="34">
        <v>45</v>
      </c>
      <c r="AT24" s="2">
        <f t="shared" si="19"/>
        <v>5</v>
      </c>
      <c r="AU24" s="179"/>
      <c r="AV24" s="2">
        <f t="shared" si="15"/>
        <v>31</v>
      </c>
      <c r="AW24" s="35">
        <f t="shared" si="16"/>
        <v>4.4285714285714288</v>
      </c>
      <c r="AX24" s="26">
        <f t="shared" si="17"/>
        <v>577</v>
      </c>
      <c r="AY24" s="3"/>
      <c r="AZ24" s="3"/>
      <c r="BA24" s="51" t="str">
        <f t="shared" si="18"/>
        <v>BETTER</v>
      </c>
      <c r="BC24">
        <v>577</v>
      </c>
    </row>
    <row r="25" spans="1:55">
      <c r="A25" s="2">
        <v>18</v>
      </c>
      <c r="B25" s="85">
        <v>20</v>
      </c>
      <c r="C25" s="105" t="s">
        <v>145</v>
      </c>
      <c r="D25" s="105" t="s">
        <v>146</v>
      </c>
      <c r="E25" s="105" t="s">
        <v>147</v>
      </c>
      <c r="F25" s="32">
        <v>20</v>
      </c>
      <c r="G25" s="32">
        <v>57</v>
      </c>
      <c r="H25" s="2">
        <v>10</v>
      </c>
      <c r="I25" s="2">
        <v>20</v>
      </c>
      <c r="J25" s="33">
        <f t="shared" si="0"/>
        <v>107</v>
      </c>
      <c r="K25" s="2">
        <f t="shared" si="1"/>
        <v>4</v>
      </c>
      <c r="L25" s="179"/>
      <c r="M25" s="32">
        <v>19</v>
      </c>
      <c r="N25" s="32">
        <v>32</v>
      </c>
      <c r="O25" s="2">
        <v>8</v>
      </c>
      <c r="P25" s="2">
        <v>17</v>
      </c>
      <c r="Q25" s="33">
        <f t="shared" si="2"/>
        <v>76</v>
      </c>
      <c r="R25" s="2">
        <f t="shared" si="3"/>
        <v>3</v>
      </c>
      <c r="S25" s="179"/>
      <c r="T25" s="32">
        <v>19</v>
      </c>
      <c r="U25" s="32">
        <v>56</v>
      </c>
      <c r="V25" s="33">
        <f t="shared" si="4"/>
        <v>75</v>
      </c>
      <c r="W25" s="2">
        <f t="shared" si="5"/>
        <v>4</v>
      </c>
      <c r="X25" s="179"/>
      <c r="Y25" s="32">
        <v>18</v>
      </c>
      <c r="Z25" s="32">
        <v>0</v>
      </c>
      <c r="AA25" s="33">
        <f t="shared" si="6"/>
        <v>18</v>
      </c>
      <c r="AB25" s="2" t="str">
        <f t="shared" si="7"/>
        <v>F</v>
      </c>
      <c r="AC25" s="179"/>
      <c r="AD25" s="32">
        <v>15</v>
      </c>
      <c r="AE25" s="32">
        <v>39</v>
      </c>
      <c r="AF25" s="33">
        <f t="shared" si="8"/>
        <v>54</v>
      </c>
      <c r="AG25" s="2">
        <f t="shared" si="9"/>
        <v>3</v>
      </c>
      <c r="AH25" s="179"/>
      <c r="AI25" s="32">
        <v>14</v>
      </c>
      <c r="AJ25" s="32">
        <v>54</v>
      </c>
      <c r="AK25" s="33">
        <f t="shared" si="10"/>
        <v>68</v>
      </c>
      <c r="AL25" s="2">
        <f t="shared" si="11"/>
        <v>3.5</v>
      </c>
      <c r="AM25" s="179"/>
      <c r="AN25" s="2"/>
      <c r="AO25" s="2">
        <v>40</v>
      </c>
      <c r="AP25" s="34">
        <f t="shared" si="12"/>
        <v>40</v>
      </c>
      <c r="AQ25" s="2">
        <f t="shared" si="13"/>
        <v>5</v>
      </c>
      <c r="AR25" s="179"/>
      <c r="AS25" s="34">
        <v>20</v>
      </c>
      <c r="AT25" s="2">
        <f t="shared" si="19"/>
        <v>2</v>
      </c>
      <c r="AU25" s="179"/>
      <c r="AV25" s="2" t="str">
        <f t="shared" si="15"/>
        <v>F</v>
      </c>
      <c r="AW25" s="35" t="str">
        <f t="shared" si="16"/>
        <v>F</v>
      </c>
      <c r="AX25" s="26">
        <f t="shared" si="17"/>
        <v>438</v>
      </c>
      <c r="AY25" s="3"/>
      <c r="AZ25" s="3"/>
      <c r="BA25" s="51" t="str">
        <f t="shared" si="18"/>
        <v>NEED TO PROGRESS</v>
      </c>
      <c r="BC25">
        <v>438</v>
      </c>
    </row>
    <row r="26" spans="1:55" ht="15.6" customHeight="1" thickBot="1">
      <c r="A26" s="131">
        <v>19</v>
      </c>
      <c r="B26" s="132">
        <v>21</v>
      </c>
      <c r="C26" s="133" t="s">
        <v>148</v>
      </c>
      <c r="D26" s="133" t="s">
        <v>149</v>
      </c>
      <c r="E26" s="133" t="s">
        <v>150</v>
      </c>
      <c r="F26" s="50">
        <v>20</v>
      </c>
      <c r="G26" s="50">
        <v>77</v>
      </c>
      <c r="H26" s="131">
        <v>10</v>
      </c>
      <c r="I26" s="131">
        <v>37</v>
      </c>
      <c r="J26" s="134">
        <f t="shared" si="0"/>
        <v>144</v>
      </c>
      <c r="K26" s="131">
        <f t="shared" si="1"/>
        <v>5</v>
      </c>
      <c r="L26" s="179"/>
      <c r="M26" s="50">
        <v>20</v>
      </c>
      <c r="N26" s="50">
        <v>77</v>
      </c>
      <c r="O26" s="131">
        <v>10</v>
      </c>
      <c r="P26" s="131">
        <v>34</v>
      </c>
      <c r="Q26" s="134">
        <f t="shared" si="2"/>
        <v>141</v>
      </c>
      <c r="R26" s="131">
        <f t="shared" si="3"/>
        <v>5</v>
      </c>
      <c r="S26" s="179"/>
      <c r="T26" s="50">
        <v>20</v>
      </c>
      <c r="U26" s="50">
        <v>66</v>
      </c>
      <c r="V26" s="134">
        <f t="shared" si="4"/>
        <v>86</v>
      </c>
      <c r="W26" s="131">
        <f t="shared" si="5"/>
        <v>5</v>
      </c>
      <c r="X26" s="179"/>
      <c r="Y26" s="50">
        <v>20</v>
      </c>
      <c r="Z26" s="50">
        <v>62</v>
      </c>
      <c r="AA26" s="134">
        <f t="shared" si="6"/>
        <v>82</v>
      </c>
      <c r="AB26" s="131">
        <f t="shared" si="7"/>
        <v>5</v>
      </c>
      <c r="AC26" s="179"/>
      <c r="AD26" s="50">
        <v>20</v>
      </c>
      <c r="AE26" s="50">
        <v>70</v>
      </c>
      <c r="AF26" s="134">
        <f t="shared" si="8"/>
        <v>90</v>
      </c>
      <c r="AG26" s="131">
        <f t="shared" si="9"/>
        <v>5</v>
      </c>
      <c r="AH26" s="179"/>
      <c r="AI26" s="50">
        <v>20</v>
      </c>
      <c r="AJ26" s="50">
        <v>76</v>
      </c>
      <c r="AK26" s="134">
        <f t="shared" si="10"/>
        <v>96</v>
      </c>
      <c r="AL26" s="131">
        <f t="shared" si="11"/>
        <v>5</v>
      </c>
      <c r="AM26" s="179"/>
      <c r="AN26" s="131"/>
      <c r="AO26" s="131">
        <v>46</v>
      </c>
      <c r="AP26" s="135">
        <f t="shared" si="12"/>
        <v>46</v>
      </c>
      <c r="AQ26" s="131">
        <f t="shared" si="13"/>
        <v>5</v>
      </c>
      <c r="AR26" s="179"/>
      <c r="AS26" s="135">
        <v>44</v>
      </c>
      <c r="AT26" s="131">
        <f t="shared" si="19"/>
        <v>5</v>
      </c>
      <c r="AU26" s="179"/>
      <c r="AV26" s="131">
        <f t="shared" si="15"/>
        <v>35</v>
      </c>
      <c r="AW26" s="136">
        <f t="shared" si="16"/>
        <v>5</v>
      </c>
      <c r="AX26" s="137">
        <f t="shared" si="17"/>
        <v>685</v>
      </c>
      <c r="AY26" s="138"/>
      <c r="AZ26" s="138"/>
      <c r="BA26" s="139" t="str">
        <f t="shared" si="18"/>
        <v>BEST</v>
      </c>
      <c r="BC26">
        <v>685</v>
      </c>
    </row>
    <row r="27" spans="1:55" s="150" customFormat="1" ht="15" customHeight="1" thickTop="1">
      <c r="A27" s="140">
        <v>20</v>
      </c>
      <c r="B27" s="141">
        <v>23</v>
      </c>
      <c r="C27" s="142" t="s">
        <v>151</v>
      </c>
      <c r="D27" s="142" t="s">
        <v>152</v>
      </c>
      <c r="E27" s="142" t="s">
        <v>153</v>
      </c>
      <c r="F27" s="143">
        <v>20</v>
      </c>
      <c r="G27" s="143">
        <v>66</v>
      </c>
      <c r="H27" s="140">
        <v>9</v>
      </c>
      <c r="I27" s="140">
        <v>28</v>
      </c>
      <c r="J27" s="144">
        <f t="shared" si="0"/>
        <v>123</v>
      </c>
      <c r="K27" s="140">
        <f t="shared" si="1"/>
        <v>5</v>
      </c>
      <c r="L27" s="179"/>
      <c r="M27" s="143">
        <v>20</v>
      </c>
      <c r="N27" s="143">
        <v>66</v>
      </c>
      <c r="O27" s="140">
        <v>10</v>
      </c>
      <c r="P27" s="140">
        <v>30</v>
      </c>
      <c r="Q27" s="144">
        <f t="shared" si="2"/>
        <v>126</v>
      </c>
      <c r="R27" s="140">
        <f t="shared" si="3"/>
        <v>5</v>
      </c>
      <c r="S27" s="179"/>
      <c r="T27" s="143">
        <v>18</v>
      </c>
      <c r="U27" s="143">
        <v>59</v>
      </c>
      <c r="V27" s="144">
        <f t="shared" si="4"/>
        <v>77</v>
      </c>
      <c r="W27" s="140">
        <f t="shared" si="5"/>
        <v>4</v>
      </c>
      <c r="X27" s="179"/>
      <c r="Y27" s="143">
        <v>19</v>
      </c>
      <c r="Z27" s="143">
        <v>45</v>
      </c>
      <c r="AA27" s="144">
        <f t="shared" si="6"/>
        <v>64</v>
      </c>
      <c r="AB27" s="140">
        <f t="shared" si="7"/>
        <v>3.5</v>
      </c>
      <c r="AC27" s="179"/>
      <c r="AD27" s="143">
        <v>19</v>
      </c>
      <c r="AE27" s="143">
        <v>54</v>
      </c>
      <c r="AF27" s="144">
        <f t="shared" si="8"/>
        <v>73</v>
      </c>
      <c r="AG27" s="140">
        <f t="shared" si="9"/>
        <v>4</v>
      </c>
      <c r="AH27" s="179"/>
      <c r="AI27" s="143">
        <v>19</v>
      </c>
      <c r="AJ27" s="143">
        <v>56</v>
      </c>
      <c r="AK27" s="144">
        <f t="shared" si="10"/>
        <v>75</v>
      </c>
      <c r="AL27" s="140">
        <f t="shared" si="11"/>
        <v>4</v>
      </c>
      <c r="AM27" s="179"/>
      <c r="AN27" s="140"/>
      <c r="AO27" s="140">
        <v>46</v>
      </c>
      <c r="AP27" s="145">
        <f t="shared" si="12"/>
        <v>46</v>
      </c>
      <c r="AQ27" s="140">
        <f t="shared" si="13"/>
        <v>5</v>
      </c>
      <c r="AR27" s="179"/>
      <c r="AS27" s="145">
        <v>36</v>
      </c>
      <c r="AT27" s="140">
        <f t="shared" si="19"/>
        <v>4</v>
      </c>
      <c r="AU27" s="179"/>
      <c r="AV27" s="140">
        <f t="shared" si="15"/>
        <v>30.5</v>
      </c>
      <c r="AW27" s="146">
        <f t="shared" si="16"/>
        <v>4.3571428571428568</v>
      </c>
      <c r="AX27" s="147">
        <f t="shared" si="17"/>
        <v>584</v>
      </c>
      <c r="AY27" s="148"/>
      <c r="AZ27" s="148"/>
      <c r="BA27" s="149" t="str">
        <f t="shared" si="18"/>
        <v>BETTER</v>
      </c>
      <c r="BC27" s="150">
        <v>584</v>
      </c>
    </row>
    <row r="28" spans="1:55">
      <c r="A28" s="2">
        <v>21</v>
      </c>
      <c r="B28" s="85">
        <v>24</v>
      </c>
      <c r="C28" s="105" t="s">
        <v>154</v>
      </c>
      <c r="D28" s="105" t="s">
        <v>155</v>
      </c>
      <c r="E28" s="105" t="s">
        <v>156</v>
      </c>
      <c r="F28" s="32">
        <v>20</v>
      </c>
      <c r="G28" s="32">
        <v>78</v>
      </c>
      <c r="H28" s="2">
        <v>10</v>
      </c>
      <c r="I28" s="2">
        <v>37</v>
      </c>
      <c r="J28" s="33">
        <f t="shared" si="0"/>
        <v>145</v>
      </c>
      <c r="K28" s="2">
        <f t="shared" si="1"/>
        <v>5</v>
      </c>
      <c r="L28" s="179"/>
      <c r="M28" s="32">
        <v>20</v>
      </c>
      <c r="N28" s="32">
        <v>77</v>
      </c>
      <c r="O28" s="2">
        <v>10</v>
      </c>
      <c r="P28" s="2">
        <v>38</v>
      </c>
      <c r="Q28" s="33">
        <f t="shared" si="2"/>
        <v>145</v>
      </c>
      <c r="R28" s="2">
        <f t="shared" si="3"/>
        <v>5</v>
      </c>
      <c r="S28" s="179"/>
      <c r="T28" s="32">
        <v>20</v>
      </c>
      <c r="U28" s="32">
        <v>79</v>
      </c>
      <c r="V28" s="33">
        <f t="shared" si="4"/>
        <v>99</v>
      </c>
      <c r="W28" s="2">
        <f t="shared" si="5"/>
        <v>5</v>
      </c>
      <c r="X28" s="179"/>
      <c r="Y28" s="32">
        <v>20</v>
      </c>
      <c r="Z28" s="32">
        <v>70</v>
      </c>
      <c r="AA28" s="33">
        <f t="shared" si="6"/>
        <v>90</v>
      </c>
      <c r="AB28" s="2">
        <f t="shared" si="7"/>
        <v>5</v>
      </c>
      <c r="AC28" s="179"/>
      <c r="AD28" s="32">
        <v>20</v>
      </c>
      <c r="AE28" s="32">
        <v>77</v>
      </c>
      <c r="AF28" s="33">
        <f t="shared" si="8"/>
        <v>97</v>
      </c>
      <c r="AG28" s="2">
        <f t="shared" si="9"/>
        <v>5</v>
      </c>
      <c r="AH28" s="179"/>
      <c r="AI28" s="32">
        <v>20</v>
      </c>
      <c r="AJ28" s="32">
        <v>78</v>
      </c>
      <c r="AK28" s="33">
        <f t="shared" si="10"/>
        <v>98</v>
      </c>
      <c r="AL28" s="2">
        <f t="shared" si="11"/>
        <v>5</v>
      </c>
      <c r="AM28" s="179"/>
      <c r="AN28" s="2"/>
      <c r="AO28" s="2">
        <v>47</v>
      </c>
      <c r="AP28" s="34">
        <f t="shared" si="12"/>
        <v>47</v>
      </c>
      <c r="AQ28" s="2">
        <f t="shared" si="13"/>
        <v>5</v>
      </c>
      <c r="AR28" s="179"/>
      <c r="AS28" s="34">
        <v>43</v>
      </c>
      <c r="AT28" s="2">
        <f t="shared" si="19"/>
        <v>5</v>
      </c>
      <c r="AU28" s="179"/>
      <c r="AV28" s="2">
        <f t="shared" si="15"/>
        <v>35</v>
      </c>
      <c r="AW28" s="35">
        <f t="shared" si="16"/>
        <v>5</v>
      </c>
      <c r="AX28" s="26">
        <f t="shared" si="17"/>
        <v>721</v>
      </c>
      <c r="AY28" s="3"/>
      <c r="AZ28" s="3"/>
      <c r="BA28" s="51" t="str">
        <f t="shared" si="18"/>
        <v>BEST</v>
      </c>
      <c r="BC28" s="151">
        <v>721</v>
      </c>
    </row>
    <row r="29" spans="1:55">
      <c r="A29" s="2">
        <v>22</v>
      </c>
      <c r="B29" s="85">
        <v>25</v>
      </c>
      <c r="C29" s="105" t="s">
        <v>157</v>
      </c>
      <c r="D29" s="105" t="s">
        <v>158</v>
      </c>
      <c r="E29" s="105" t="s">
        <v>159</v>
      </c>
      <c r="F29" s="32">
        <v>20</v>
      </c>
      <c r="G29" s="32">
        <v>71</v>
      </c>
      <c r="H29" s="2">
        <v>10</v>
      </c>
      <c r="I29" s="2">
        <v>38</v>
      </c>
      <c r="J29" s="33">
        <f t="shared" si="0"/>
        <v>139</v>
      </c>
      <c r="K29" s="2">
        <f t="shared" si="1"/>
        <v>5</v>
      </c>
      <c r="L29" s="179"/>
      <c r="M29" s="32">
        <v>20</v>
      </c>
      <c r="N29" s="32">
        <v>74</v>
      </c>
      <c r="O29" s="2">
        <v>10</v>
      </c>
      <c r="P29" s="2">
        <v>37</v>
      </c>
      <c r="Q29" s="33">
        <f t="shared" si="2"/>
        <v>141</v>
      </c>
      <c r="R29" s="2">
        <f t="shared" si="3"/>
        <v>5</v>
      </c>
      <c r="S29" s="179"/>
      <c r="T29" s="32">
        <v>20</v>
      </c>
      <c r="U29" s="32">
        <v>61</v>
      </c>
      <c r="V29" s="33">
        <f t="shared" si="4"/>
        <v>81</v>
      </c>
      <c r="W29" s="2">
        <f t="shared" si="5"/>
        <v>5</v>
      </c>
      <c r="X29" s="179"/>
      <c r="Y29" s="32">
        <v>19</v>
      </c>
      <c r="Z29" s="32">
        <v>62</v>
      </c>
      <c r="AA29" s="33">
        <f t="shared" si="6"/>
        <v>81</v>
      </c>
      <c r="AB29" s="2">
        <f t="shared" si="7"/>
        <v>5</v>
      </c>
      <c r="AC29" s="179"/>
      <c r="AD29" s="32">
        <v>20</v>
      </c>
      <c r="AE29" s="32">
        <v>66</v>
      </c>
      <c r="AF29" s="33">
        <f t="shared" si="8"/>
        <v>86</v>
      </c>
      <c r="AG29" s="2">
        <f t="shared" si="9"/>
        <v>5</v>
      </c>
      <c r="AH29" s="179"/>
      <c r="AI29" s="32">
        <v>19</v>
      </c>
      <c r="AJ29" s="32">
        <v>78</v>
      </c>
      <c r="AK29" s="33">
        <f t="shared" si="10"/>
        <v>97</v>
      </c>
      <c r="AL29" s="2">
        <f t="shared" si="11"/>
        <v>5</v>
      </c>
      <c r="AM29" s="179"/>
      <c r="AN29" s="2"/>
      <c r="AO29" s="2">
        <v>45</v>
      </c>
      <c r="AP29" s="34">
        <f t="shared" si="12"/>
        <v>45</v>
      </c>
      <c r="AQ29" s="2">
        <f t="shared" si="13"/>
        <v>5</v>
      </c>
      <c r="AR29" s="179"/>
      <c r="AS29" s="34">
        <v>47</v>
      </c>
      <c r="AT29" s="2">
        <f t="shared" si="19"/>
        <v>5</v>
      </c>
      <c r="AU29" s="179"/>
      <c r="AV29" s="2">
        <f t="shared" si="15"/>
        <v>35</v>
      </c>
      <c r="AW29" s="35">
        <f t="shared" si="16"/>
        <v>5</v>
      </c>
      <c r="AX29" s="26">
        <f t="shared" si="17"/>
        <v>670</v>
      </c>
      <c r="AY29" s="3"/>
      <c r="AZ29" s="3"/>
      <c r="BA29" s="51" t="str">
        <f t="shared" si="18"/>
        <v>BEST</v>
      </c>
      <c r="BC29" s="151">
        <v>670</v>
      </c>
    </row>
    <row r="30" spans="1:55">
      <c r="A30" s="2">
        <v>23</v>
      </c>
      <c r="B30" s="85">
        <v>27</v>
      </c>
      <c r="C30" s="105" t="s">
        <v>160</v>
      </c>
      <c r="D30" s="105" t="s">
        <v>161</v>
      </c>
      <c r="E30" s="105" t="s">
        <v>162</v>
      </c>
      <c r="F30" s="32">
        <v>19</v>
      </c>
      <c r="G30" s="32">
        <v>68</v>
      </c>
      <c r="H30" s="2">
        <v>10</v>
      </c>
      <c r="I30" s="2">
        <v>20</v>
      </c>
      <c r="J30" s="33">
        <f t="shared" si="0"/>
        <v>117</v>
      </c>
      <c r="K30" s="2">
        <f t="shared" si="1"/>
        <v>4</v>
      </c>
      <c r="L30" s="179"/>
      <c r="M30" s="32">
        <v>20</v>
      </c>
      <c r="N30" s="32">
        <v>79</v>
      </c>
      <c r="O30" s="2">
        <v>10</v>
      </c>
      <c r="P30" s="2">
        <v>38</v>
      </c>
      <c r="Q30" s="33">
        <f t="shared" si="2"/>
        <v>147</v>
      </c>
      <c r="R30" s="2">
        <f t="shared" si="3"/>
        <v>5</v>
      </c>
      <c r="S30" s="179"/>
      <c r="T30" s="32">
        <v>19</v>
      </c>
      <c r="U30" s="32">
        <v>62</v>
      </c>
      <c r="V30" s="33">
        <f t="shared" si="4"/>
        <v>81</v>
      </c>
      <c r="W30" s="2">
        <f t="shared" si="5"/>
        <v>5</v>
      </c>
      <c r="X30" s="179"/>
      <c r="Y30" s="32">
        <v>19</v>
      </c>
      <c r="Z30" s="32">
        <v>61</v>
      </c>
      <c r="AA30" s="33">
        <f t="shared" si="6"/>
        <v>80</v>
      </c>
      <c r="AB30" s="2">
        <f t="shared" si="7"/>
        <v>5</v>
      </c>
      <c r="AC30" s="179"/>
      <c r="AD30" s="32">
        <v>18</v>
      </c>
      <c r="AE30" s="32">
        <v>70</v>
      </c>
      <c r="AF30" s="33">
        <f t="shared" si="8"/>
        <v>88</v>
      </c>
      <c r="AG30" s="2">
        <f t="shared" si="9"/>
        <v>5</v>
      </c>
      <c r="AH30" s="179"/>
      <c r="AI30" s="32">
        <v>17</v>
      </c>
      <c r="AJ30" s="32">
        <v>69</v>
      </c>
      <c r="AK30" s="33">
        <f t="shared" si="10"/>
        <v>86</v>
      </c>
      <c r="AL30" s="2">
        <f t="shared" si="11"/>
        <v>5</v>
      </c>
      <c r="AM30" s="179"/>
      <c r="AN30" s="2"/>
      <c r="AO30" s="2">
        <v>43</v>
      </c>
      <c r="AP30" s="34">
        <f t="shared" si="12"/>
        <v>43</v>
      </c>
      <c r="AQ30" s="2">
        <f t="shared" si="13"/>
        <v>5</v>
      </c>
      <c r="AR30" s="179"/>
      <c r="AS30" s="34">
        <v>39</v>
      </c>
      <c r="AT30" s="2">
        <f t="shared" si="19"/>
        <v>4</v>
      </c>
      <c r="AU30" s="179"/>
      <c r="AV30" s="2">
        <f t="shared" si="15"/>
        <v>34</v>
      </c>
      <c r="AW30" s="35">
        <f t="shared" si="16"/>
        <v>4.8571428571428568</v>
      </c>
      <c r="AX30" s="26">
        <f t="shared" si="17"/>
        <v>642</v>
      </c>
      <c r="AY30" s="3"/>
      <c r="AZ30" s="3"/>
      <c r="BA30" s="51" t="str">
        <f t="shared" si="18"/>
        <v>BETTER</v>
      </c>
      <c r="BC30" s="151">
        <v>642</v>
      </c>
    </row>
    <row r="31" spans="1:55">
      <c r="A31" s="2">
        <v>24</v>
      </c>
      <c r="B31" s="103">
        <v>28</v>
      </c>
      <c r="C31" s="104" t="s">
        <v>163</v>
      </c>
      <c r="D31" s="104" t="s">
        <v>164</v>
      </c>
      <c r="E31" s="104" t="s">
        <v>165</v>
      </c>
      <c r="F31" s="32">
        <v>17</v>
      </c>
      <c r="G31" s="32">
        <v>64</v>
      </c>
      <c r="H31" s="2">
        <v>10</v>
      </c>
      <c r="I31" s="2">
        <v>16</v>
      </c>
      <c r="J31" s="33">
        <f t="shared" ref="J31:J37" si="20">F31+G31+H31+I31</f>
        <v>107</v>
      </c>
      <c r="K31" s="2">
        <f t="shared" ref="K31:K37" si="21">IF(J31&lt;60,"F",IF(J31&lt;75,2,IF(J31&lt;90,3,IF(J31&lt;105,3.5,IF(J31&lt;120,4,5)))))</f>
        <v>4</v>
      </c>
      <c r="L31" s="179"/>
      <c r="M31" s="32">
        <v>17</v>
      </c>
      <c r="N31" s="32">
        <v>34</v>
      </c>
      <c r="O31" s="2">
        <v>9</v>
      </c>
      <c r="P31" s="2">
        <v>16</v>
      </c>
      <c r="Q31" s="33">
        <f t="shared" ref="Q31:Q37" si="22">M31+N31+O31+P31</f>
        <v>76</v>
      </c>
      <c r="R31" s="2">
        <f t="shared" ref="R31:R37" si="23">IF(Q31&lt;60,"F",IF(Q31&lt;75,2,IF(Q31&lt;90,3,IF(Q31&lt;105,3.5,IF(Q31&lt;120,4,5)))))</f>
        <v>3</v>
      </c>
      <c r="S31" s="179"/>
      <c r="T31" s="32">
        <v>16</v>
      </c>
      <c r="U31" s="32">
        <v>39</v>
      </c>
      <c r="V31" s="33">
        <f t="shared" ref="V31:V37" si="24">T31+U31</f>
        <v>55</v>
      </c>
      <c r="W31" s="2">
        <f t="shared" ref="W31:W37" si="25">IF(V31&lt;40,"F",IF(V31&lt;50,2,IF(V31&lt;60,3,IF(V31&lt;70,3.5,IF(V31&lt;80,4,5)))))</f>
        <v>3</v>
      </c>
      <c r="X31" s="179"/>
      <c r="Y31" s="32">
        <v>18</v>
      </c>
      <c r="Z31" s="32">
        <v>14</v>
      </c>
      <c r="AA31" s="33">
        <f t="shared" ref="AA31:AA37" si="26">Y31+Z31</f>
        <v>32</v>
      </c>
      <c r="AB31" s="2" t="str">
        <f t="shared" ref="AB31:AB37" si="27">IF(AA31&lt;40,"F",IF(AA31&lt;50,2,IF(AA31&lt;60,3,IF(AA31&lt;70,3.5,IF(AA31&lt;80,4,5)))))</f>
        <v>F</v>
      </c>
      <c r="AC31" s="179"/>
      <c r="AD31" s="32">
        <v>1</v>
      </c>
      <c r="AE31" s="32">
        <v>50</v>
      </c>
      <c r="AF31" s="33">
        <f t="shared" ref="AF31:AF37" si="28">AD31+AE31</f>
        <v>51</v>
      </c>
      <c r="AG31" s="2">
        <f t="shared" ref="AG31:AG37" si="29">IF(AF31&lt;40,"F",IF(AF31&lt;50,2,IF(AF31&lt;60,3,IF(AF31&lt;70,3.5,IF(AF31&lt;80,4,5)))))</f>
        <v>3</v>
      </c>
      <c r="AH31" s="179"/>
      <c r="AI31" s="32">
        <v>19</v>
      </c>
      <c r="AJ31" s="32">
        <v>65</v>
      </c>
      <c r="AK31" s="33">
        <f t="shared" ref="AK31:AK37" si="30">AI31+AJ31</f>
        <v>84</v>
      </c>
      <c r="AL31" s="2">
        <f t="shared" ref="AL31:AL37" si="31">IF(AK31&lt;40,"F",IF(AK31&lt;50,2,IF(AK31&lt;60,3,IF(AK31&lt;70,3.5,IF(AK31&lt;80,4,5)))))</f>
        <v>5</v>
      </c>
      <c r="AM31" s="179"/>
      <c r="AN31" s="2"/>
      <c r="AO31" s="2">
        <v>33</v>
      </c>
      <c r="AP31" s="34">
        <f t="shared" ref="AP31:AP37" si="32">AO31*1</f>
        <v>33</v>
      </c>
      <c r="AQ31" s="2">
        <f t="shared" ref="AQ31:AQ37" si="33">IF(AP31&lt;20,"F",IF(AP31&lt;25,2,IF(AP31&lt;30,3,IF(AP31&lt;35,3.5,IF(AP31&lt;40,4,5)))))</f>
        <v>3.5</v>
      </c>
      <c r="AR31" s="179"/>
      <c r="AS31" s="34">
        <v>20</v>
      </c>
      <c r="AT31" s="2">
        <f t="shared" si="19"/>
        <v>2</v>
      </c>
      <c r="AU31" s="179"/>
      <c r="AV31" s="2" t="str">
        <f t="shared" ref="AV31:AV37" si="34">IF(K31="F","F",IF(R31="F","F",IF(W31="F","F",IF(AB31="F","F",IF(AG31="F","F",IF(AL31="F","F",IF(AQ31="F","F",SUM(K31,R31,W31,AB31,AG31,AL31,AQ31))))))))</f>
        <v>F</v>
      </c>
      <c r="AW31" s="35" t="str">
        <f t="shared" ref="AW31:AW37" si="35">IF(AV31="F","F", IF(AV31&gt;=35,5,IF(AV31&lt;35,AV31/7)))</f>
        <v>F</v>
      </c>
      <c r="AX31" s="26">
        <f t="shared" ref="AX31:AX37" si="36">J31+Q31+V31+AA31+AF31+AK31+AP31</f>
        <v>438</v>
      </c>
      <c r="AY31" s="3"/>
      <c r="AZ31" s="3"/>
      <c r="BA31" s="51" t="str">
        <f t="shared" ref="BA31:BA37" si="37">IF(AW31="F","NEED TO PROGRESS",IF(AW31&gt;=5,"BEST",IF(AW31&gt;=4,"BETTER",IF(AW31&gt;2,"GOOD"))))</f>
        <v>NEED TO PROGRESS</v>
      </c>
      <c r="BC31" s="151">
        <v>438</v>
      </c>
    </row>
    <row r="32" spans="1:55">
      <c r="A32" s="2">
        <v>25</v>
      </c>
      <c r="B32" s="103">
        <v>29</v>
      </c>
      <c r="C32" s="104" t="s">
        <v>166</v>
      </c>
      <c r="D32" s="104" t="s">
        <v>167</v>
      </c>
      <c r="E32" s="104" t="s">
        <v>168</v>
      </c>
      <c r="F32" s="32">
        <v>5</v>
      </c>
      <c r="G32" s="32">
        <v>79</v>
      </c>
      <c r="H32" s="2">
        <v>0</v>
      </c>
      <c r="I32" s="2">
        <v>36</v>
      </c>
      <c r="J32" s="33">
        <f t="shared" si="20"/>
        <v>120</v>
      </c>
      <c r="K32" s="2">
        <f t="shared" si="21"/>
        <v>5</v>
      </c>
      <c r="L32" s="179"/>
      <c r="M32" s="32">
        <v>20</v>
      </c>
      <c r="N32" s="32">
        <v>64</v>
      </c>
      <c r="O32" s="2">
        <v>10</v>
      </c>
      <c r="P32" s="2">
        <v>35</v>
      </c>
      <c r="Q32" s="33">
        <f t="shared" si="22"/>
        <v>129</v>
      </c>
      <c r="R32" s="2">
        <f t="shared" si="23"/>
        <v>5</v>
      </c>
      <c r="S32" s="179"/>
      <c r="T32" s="32">
        <v>19</v>
      </c>
      <c r="U32" s="32">
        <v>71</v>
      </c>
      <c r="V32" s="33">
        <f t="shared" si="24"/>
        <v>90</v>
      </c>
      <c r="W32" s="2">
        <f t="shared" si="25"/>
        <v>5</v>
      </c>
      <c r="X32" s="179"/>
      <c r="Y32" s="32">
        <v>20</v>
      </c>
      <c r="Z32" s="32">
        <v>65</v>
      </c>
      <c r="AA32" s="33">
        <f t="shared" si="26"/>
        <v>85</v>
      </c>
      <c r="AB32" s="2">
        <f t="shared" si="27"/>
        <v>5</v>
      </c>
      <c r="AC32" s="179"/>
      <c r="AD32" s="32">
        <v>18</v>
      </c>
      <c r="AE32" s="32">
        <v>79</v>
      </c>
      <c r="AF32" s="33">
        <f t="shared" si="28"/>
        <v>97</v>
      </c>
      <c r="AG32" s="2">
        <f t="shared" si="29"/>
        <v>5</v>
      </c>
      <c r="AH32" s="179"/>
      <c r="AI32" s="32">
        <v>19</v>
      </c>
      <c r="AJ32" s="32">
        <v>70</v>
      </c>
      <c r="AK32" s="33">
        <f t="shared" si="30"/>
        <v>89</v>
      </c>
      <c r="AL32" s="2">
        <f t="shared" si="31"/>
        <v>5</v>
      </c>
      <c r="AM32" s="179"/>
      <c r="AN32" s="2"/>
      <c r="AO32" s="2">
        <v>45</v>
      </c>
      <c r="AP32" s="34">
        <f t="shared" si="32"/>
        <v>45</v>
      </c>
      <c r="AQ32" s="2">
        <f t="shared" si="33"/>
        <v>5</v>
      </c>
      <c r="AR32" s="179"/>
      <c r="AS32" s="34">
        <v>40</v>
      </c>
      <c r="AT32" s="2">
        <f t="shared" si="19"/>
        <v>5</v>
      </c>
      <c r="AU32" s="179"/>
      <c r="AV32" s="2">
        <f t="shared" si="34"/>
        <v>35</v>
      </c>
      <c r="AW32" s="35">
        <f t="shared" si="35"/>
        <v>5</v>
      </c>
      <c r="AX32" s="26">
        <f t="shared" si="36"/>
        <v>655</v>
      </c>
      <c r="AY32" s="3"/>
      <c r="AZ32" s="3"/>
      <c r="BA32" s="51" t="str">
        <f t="shared" si="37"/>
        <v>BEST</v>
      </c>
      <c r="BC32" s="151">
        <v>655</v>
      </c>
    </row>
    <row r="33" spans="1:55">
      <c r="A33" s="2">
        <v>26</v>
      </c>
      <c r="B33" s="103">
        <v>30</v>
      </c>
      <c r="C33" s="104" t="s">
        <v>169</v>
      </c>
      <c r="D33" s="104" t="s">
        <v>170</v>
      </c>
      <c r="E33" s="104" t="s">
        <v>171</v>
      </c>
      <c r="F33" s="32">
        <v>5</v>
      </c>
      <c r="G33" s="32">
        <v>0</v>
      </c>
      <c r="H33" s="2">
        <v>0</v>
      </c>
      <c r="I33" s="2">
        <v>0</v>
      </c>
      <c r="J33" s="33">
        <f t="shared" si="20"/>
        <v>5</v>
      </c>
      <c r="K33" s="2" t="str">
        <f t="shared" si="21"/>
        <v>F</v>
      </c>
      <c r="L33" s="179"/>
      <c r="M33" s="32">
        <v>0</v>
      </c>
      <c r="N33" s="32">
        <v>0</v>
      </c>
      <c r="O33" s="2">
        <v>0</v>
      </c>
      <c r="P33" s="2">
        <v>0</v>
      </c>
      <c r="Q33" s="33">
        <f t="shared" si="22"/>
        <v>0</v>
      </c>
      <c r="R33" s="2" t="str">
        <f t="shared" si="23"/>
        <v>F</v>
      </c>
      <c r="S33" s="179"/>
      <c r="T33" s="32">
        <v>0</v>
      </c>
      <c r="U33" s="32">
        <v>0</v>
      </c>
      <c r="V33" s="33">
        <f t="shared" si="24"/>
        <v>0</v>
      </c>
      <c r="W33" s="2" t="str">
        <f t="shared" si="25"/>
        <v>F</v>
      </c>
      <c r="X33" s="179"/>
      <c r="Y33" s="32">
        <v>4</v>
      </c>
      <c r="Z33" s="32">
        <v>0</v>
      </c>
      <c r="AA33" s="33">
        <f t="shared" si="26"/>
        <v>4</v>
      </c>
      <c r="AB33" s="2" t="str">
        <f t="shared" si="27"/>
        <v>F</v>
      </c>
      <c r="AC33" s="179"/>
      <c r="AD33" s="32">
        <v>4</v>
      </c>
      <c r="AE33" s="32">
        <v>0</v>
      </c>
      <c r="AF33" s="33">
        <f t="shared" si="28"/>
        <v>4</v>
      </c>
      <c r="AG33" s="2" t="str">
        <f t="shared" si="29"/>
        <v>F</v>
      </c>
      <c r="AH33" s="179"/>
      <c r="AI33" s="32">
        <v>4</v>
      </c>
      <c r="AJ33" s="32">
        <v>0</v>
      </c>
      <c r="AK33" s="33">
        <f t="shared" si="30"/>
        <v>4</v>
      </c>
      <c r="AL33" s="2" t="str">
        <f t="shared" si="31"/>
        <v>F</v>
      </c>
      <c r="AM33" s="179"/>
      <c r="AN33" s="2"/>
      <c r="AO33" s="2">
        <v>0</v>
      </c>
      <c r="AP33" s="34">
        <f t="shared" si="32"/>
        <v>0</v>
      </c>
      <c r="AQ33" s="2" t="str">
        <f t="shared" si="33"/>
        <v>F</v>
      </c>
      <c r="AR33" s="179"/>
      <c r="AS33" s="34">
        <v>0</v>
      </c>
      <c r="AT33" s="2" t="str">
        <f t="shared" si="19"/>
        <v>F</v>
      </c>
      <c r="AU33" s="179"/>
      <c r="AV33" s="2" t="str">
        <f t="shared" si="34"/>
        <v>F</v>
      </c>
      <c r="AW33" s="35" t="str">
        <f t="shared" si="35"/>
        <v>F</v>
      </c>
      <c r="AX33" s="26">
        <f t="shared" si="36"/>
        <v>17</v>
      </c>
      <c r="AY33" s="3"/>
      <c r="AZ33" s="3"/>
      <c r="BA33" s="51" t="str">
        <f t="shared" si="37"/>
        <v>NEED TO PROGRESS</v>
      </c>
      <c r="BC33" s="151">
        <v>17</v>
      </c>
    </row>
    <row r="34" spans="1:55">
      <c r="A34" s="2">
        <v>27</v>
      </c>
      <c r="B34" s="103">
        <v>31</v>
      </c>
      <c r="C34" s="104" t="s">
        <v>172</v>
      </c>
      <c r="D34" s="104" t="s">
        <v>173</v>
      </c>
      <c r="E34" s="104" t="s">
        <v>174</v>
      </c>
      <c r="F34" s="32">
        <v>20</v>
      </c>
      <c r="G34" s="32">
        <v>76</v>
      </c>
      <c r="H34" s="2">
        <v>9</v>
      </c>
      <c r="I34" s="2">
        <v>28</v>
      </c>
      <c r="J34" s="33">
        <f t="shared" si="20"/>
        <v>133</v>
      </c>
      <c r="K34" s="2">
        <f t="shared" si="21"/>
        <v>5</v>
      </c>
      <c r="L34" s="179"/>
      <c r="M34" s="32">
        <v>20</v>
      </c>
      <c r="N34" s="32">
        <v>72</v>
      </c>
      <c r="O34" s="2">
        <v>10</v>
      </c>
      <c r="P34" s="2">
        <v>31</v>
      </c>
      <c r="Q34" s="33">
        <f t="shared" si="22"/>
        <v>133</v>
      </c>
      <c r="R34" s="2">
        <f t="shared" si="23"/>
        <v>5</v>
      </c>
      <c r="S34" s="179"/>
      <c r="T34" s="32">
        <v>13</v>
      </c>
      <c r="U34" s="58">
        <v>71</v>
      </c>
      <c r="V34" s="33">
        <f t="shared" si="24"/>
        <v>84</v>
      </c>
      <c r="W34" s="2">
        <f t="shared" si="25"/>
        <v>5</v>
      </c>
      <c r="X34" s="179"/>
      <c r="Y34" s="32">
        <v>19</v>
      </c>
      <c r="Z34" s="32">
        <v>52</v>
      </c>
      <c r="AA34" s="33">
        <f t="shared" si="26"/>
        <v>71</v>
      </c>
      <c r="AB34" s="2">
        <f t="shared" si="27"/>
        <v>4</v>
      </c>
      <c r="AC34" s="179"/>
      <c r="AD34" s="32">
        <v>17</v>
      </c>
      <c r="AE34" s="32">
        <v>58</v>
      </c>
      <c r="AF34" s="33">
        <f t="shared" si="28"/>
        <v>75</v>
      </c>
      <c r="AG34" s="2">
        <f t="shared" si="29"/>
        <v>4</v>
      </c>
      <c r="AH34" s="179"/>
      <c r="AI34" s="32">
        <v>7</v>
      </c>
      <c r="AJ34" s="32">
        <v>64</v>
      </c>
      <c r="AK34" s="33">
        <f t="shared" si="30"/>
        <v>71</v>
      </c>
      <c r="AL34" s="2">
        <f t="shared" si="31"/>
        <v>4</v>
      </c>
      <c r="AM34" s="179"/>
      <c r="AN34" s="2"/>
      <c r="AO34" s="2">
        <v>44</v>
      </c>
      <c r="AP34" s="34">
        <f t="shared" si="32"/>
        <v>44</v>
      </c>
      <c r="AQ34" s="2">
        <f t="shared" si="33"/>
        <v>5</v>
      </c>
      <c r="AR34" s="179"/>
      <c r="AS34" s="34">
        <v>45</v>
      </c>
      <c r="AT34" s="2">
        <f t="shared" si="19"/>
        <v>5</v>
      </c>
      <c r="AU34" s="179"/>
      <c r="AV34" s="2">
        <f t="shared" si="34"/>
        <v>32</v>
      </c>
      <c r="AW34" s="35">
        <f t="shared" si="35"/>
        <v>4.5714285714285712</v>
      </c>
      <c r="AX34" s="26">
        <f t="shared" si="36"/>
        <v>611</v>
      </c>
      <c r="AY34" s="3"/>
      <c r="AZ34" s="3"/>
      <c r="BA34" s="51" t="str">
        <f t="shared" si="37"/>
        <v>BETTER</v>
      </c>
      <c r="BC34" s="151">
        <v>611</v>
      </c>
    </row>
    <row r="35" spans="1:55">
      <c r="A35" s="2">
        <v>28</v>
      </c>
      <c r="B35" s="116">
        <v>32</v>
      </c>
      <c r="C35" s="117" t="s">
        <v>177</v>
      </c>
      <c r="D35" s="118" t="s">
        <v>182</v>
      </c>
      <c r="E35" s="104" t="s">
        <v>183</v>
      </c>
      <c r="F35" s="32">
        <v>0</v>
      </c>
      <c r="G35" s="32">
        <v>65</v>
      </c>
      <c r="H35" s="2">
        <v>0</v>
      </c>
      <c r="I35" s="2">
        <v>44</v>
      </c>
      <c r="J35" s="33">
        <f t="shared" si="20"/>
        <v>109</v>
      </c>
      <c r="K35" s="2">
        <f t="shared" si="21"/>
        <v>4</v>
      </c>
      <c r="L35" s="179"/>
      <c r="M35" s="32">
        <v>0</v>
      </c>
      <c r="N35" s="32">
        <v>37</v>
      </c>
      <c r="O35" s="2">
        <v>0</v>
      </c>
      <c r="P35" s="2">
        <v>31</v>
      </c>
      <c r="Q35" s="33">
        <f t="shared" si="22"/>
        <v>68</v>
      </c>
      <c r="R35" s="2">
        <f t="shared" si="23"/>
        <v>2</v>
      </c>
      <c r="S35" s="179"/>
      <c r="T35" s="32">
        <v>0</v>
      </c>
      <c r="U35" s="58">
        <v>70</v>
      </c>
      <c r="V35" s="33">
        <f t="shared" si="24"/>
        <v>70</v>
      </c>
      <c r="W35" s="2">
        <f t="shared" si="25"/>
        <v>4</v>
      </c>
      <c r="X35" s="179"/>
      <c r="Y35" s="32">
        <v>0</v>
      </c>
      <c r="Z35" s="32">
        <v>21</v>
      </c>
      <c r="AA35" s="33">
        <f t="shared" si="26"/>
        <v>21</v>
      </c>
      <c r="AB35" s="2" t="str">
        <f t="shared" si="27"/>
        <v>F</v>
      </c>
      <c r="AC35" s="179"/>
      <c r="AD35" s="32">
        <v>0</v>
      </c>
      <c r="AE35" s="32">
        <v>49</v>
      </c>
      <c r="AF35" s="33">
        <f t="shared" si="28"/>
        <v>49</v>
      </c>
      <c r="AG35" s="2">
        <f t="shared" si="29"/>
        <v>2</v>
      </c>
      <c r="AH35" s="179"/>
      <c r="AI35" s="32">
        <v>0</v>
      </c>
      <c r="AJ35" s="32">
        <v>54</v>
      </c>
      <c r="AK35" s="33">
        <f t="shared" si="30"/>
        <v>54</v>
      </c>
      <c r="AL35" s="2">
        <f t="shared" si="31"/>
        <v>3</v>
      </c>
      <c r="AM35" s="179"/>
      <c r="AN35" s="2"/>
      <c r="AO35" s="2">
        <v>31</v>
      </c>
      <c r="AP35" s="34">
        <f t="shared" si="32"/>
        <v>31</v>
      </c>
      <c r="AQ35" s="2">
        <f t="shared" si="33"/>
        <v>3.5</v>
      </c>
      <c r="AR35" s="179"/>
      <c r="AS35" s="34">
        <v>34</v>
      </c>
      <c r="AT35" s="2">
        <f t="shared" si="19"/>
        <v>3.5</v>
      </c>
      <c r="AU35" s="179"/>
      <c r="AV35" s="2" t="str">
        <f t="shared" si="34"/>
        <v>F</v>
      </c>
      <c r="AW35" s="35" t="str">
        <f t="shared" si="35"/>
        <v>F</v>
      </c>
      <c r="AX35" s="26">
        <f t="shared" si="36"/>
        <v>402</v>
      </c>
      <c r="AY35" s="3"/>
      <c r="AZ35" s="3"/>
      <c r="BA35" s="51" t="str">
        <f t="shared" si="37"/>
        <v>NEED TO PROGRESS</v>
      </c>
      <c r="BC35" s="151">
        <v>402</v>
      </c>
    </row>
    <row r="36" spans="1:55">
      <c r="A36" s="2">
        <v>29</v>
      </c>
      <c r="B36" s="116">
        <v>33</v>
      </c>
      <c r="C36" s="117" t="s">
        <v>178</v>
      </c>
      <c r="D36" s="118" t="s">
        <v>184</v>
      </c>
      <c r="E36" s="104" t="s">
        <v>185</v>
      </c>
      <c r="F36" s="32">
        <v>0</v>
      </c>
      <c r="G36" s="32">
        <v>57</v>
      </c>
      <c r="H36" s="2">
        <v>0</v>
      </c>
      <c r="I36" s="2">
        <v>30</v>
      </c>
      <c r="J36" s="33">
        <f t="shared" si="20"/>
        <v>87</v>
      </c>
      <c r="K36" s="2">
        <f t="shared" si="21"/>
        <v>3</v>
      </c>
      <c r="L36" s="179"/>
      <c r="M36" s="32">
        <v>0</v>
      </c>
      <c r="N36" s="32">
        <v>32</v>
      </c>
      <c r="O36" s="2">
        <v>0</v>
      </c>
      <c r="P36" s="2">
        <v>0</v>
      </c>
      <c r="Q36" s="33">
        <f t="shared" si="22"/>
        <v>32</v>
      </c>
      <c r="R36" s="2" t="str">
        <f t="shared" si="23"/>
        <v>F</v>
      </c>
      <c r="S36" s="179"/>
      <c r="T36" s="32">
        <v>0</v>
      </c>
      <c r="U36" s="58">
        <v>48</v>
      </c>
      <c r="V36" s="33">
        <f t="shared" si="24"/>
        <v>48</v>
      </c>
      <c r="W36" s="2">
        <f t="shared" si="25"/>
        <v>2</v>
      </c>
      <c r="X36" s="179"/>
      <c r="Y36" s="32">
        <v>0</v>
      </c>
      <c r="Z36" s="32">
        <v>35</v>
      </c>
      <c r="AA36" s="33">
        <f t="shared" si="26"/>
        <v>35</v>
      </c>
      <c r="AB36" s="2" t="str">
        <f t="shared" si="27"/>
        <v>F</v>
      </c>
      <c r="AC36" s="179"/>
      <c r="AD36" s="32">
        <v>0</v>
      </c>
      <c r="AE36" s="32">
        <v>40</v>
      </c>
      <c r="AF36" s="33">
        <f t="shared" si="28"/>
        <v>40</v>
      </c>
      <c r="AG36" s="2">
        <f t="shared" si="29"/>
        <v>2</v>
      </c>
      <c r="AH36" s="179"/>
      <c r="AI36" s="32">
        <v>0</v>
      </c>
      <c r="AJ36" s="32">
        <v>50</v>
      </c>
      <c r="AK36" s="33">
        <f t="shared" si="30"/>
        <v>50</v>
      </c>
      <c r="AL36" s="2">
        <f t="shared" si="31"/>
        <v>3</v>
      </c>
      <c r="AM36" s="179"/>
      <c r="AN36" s="2"/>
      <c r="AO36" s="2">
        <v>33</v>
      </c>
      <c r="AP36" s="34">
        <f t="shared" si="32"/>
        <v>33</v>
      </c>
      <c r="AQ36" s="2">
        <f t="shared" si="33"/>
        <v>3.5</v>
      </c>
      <c r="AR36" s="179"/>
      <c r="AS36" s="34">
        <v>44</v>
      </c>
      <c r="AT36" s="2">
        <f t="shared" si="19"/>
        <v>5</v>
      </c>
      <c r="AU36" s="179"/>
      <c r="AV36" s="2" t="str">
        <f t="shared" si="34"/>
        <v>F</v>
      </c>
      <c r="AW36" s="35" t="str">
        <f t="shared" si="35"/>
        <v>F</v>
      </c>
      <c r="AX36" s="26">
        <f t="shared" si="36"/>
        <v>325</v>
      </c>
      <c r="AY36" s="3"/>
      <c r="AZ36" s="3"/>
      <c r="BA36" s="51" t="str">
        <f t="shared" si="37"/>
        <v>NEED TO PROGRESS</v>
      </c>
      <c r="BC36" s="151">
        <v>325</v>
      </c>
    </row>
    <row r="37" spans="1:55">
      <c r="A37" s="2">
        <v>30</v>
      </c>
      <c r="B37" s="103">
        <v>34</v>
      </c>
      <c r="C37" s="119" t="s">
        <v>181</v>
      </c>
      <c r="D37" s="120" t="s">
        <v>179</v>
      </c>
      <c r="E37" s="120" t="s">
        <v>180</v>
      </c>
      <c r="F37" s="32">
        <v>0</v>
      </c>
      <c r="G37" s="32">
        <v>0</v>
      </c>
      <c r="H37" s="2">
        <v>0</v>
      </c>
      <c r="I37" s="2">
        <v>0</v>
      </c>
      <c r="J37" s="33">
        <f t="shared" si="20"/>
        <v>0</v>
      </c>
      <c r="K37" s="2" t="str">
        <f t="shared" si="21"/>
        <v>F</v>
      </c>
      <c r="L37" s="180"/>
      <c r="M37" s="32">
        <v>0</v>
      </c>
      <c r="N37" s="32"/>
      <c r="O37" s="2">
        <v>0</v>
      </c>
      <c r="P37" s="2">
        <v>0</v>
      </c>
      <c r="Q37" s="33">
        <f t="shared" si="22"/>
        <v>0</v>
      </c>
      <c r="R37" s="2" t="str">
        <f t="shared" si="23"/>
        <v>F</v>
      </c>
      <c r="S37" s="180"/>
      <c r="T37" s="32">
        <v>0</v>
      </c>
      <c r="U37" s="58">
        <v>0</v>
      </c>
      <c r="V37" s="33">
        <f t="shared" si="24"/>
        <v>0</v>
      </c>
      <c r="W37" s="2" t="str">
        <f t="shared" si="25"/>
        <v>F</v>
      </c>
      <c r="X37" s="180"/>
      <c r="Y37" s="32">
        <v>0</v>
      </c>
      <c r="Z37" s="32">
        <v>0</v>
      </c>
      <c r="AA37" s="33">
        <f t="shared" si="26"/>
        <v>0</v>
      </c>
      <c r="AB37" s="2" t="str">
        <f t="shared" si="27"/>
        <v>F</v>
      </c>
      <c r="AC37" s="180"/>
      <c r="AD37" s="32">
        <v>0</v>
      </c>
      <c r="AE37" s="32">
        <v>0</v>
      </c>
      <c r="AF37" s="33">
        <f t="shared" si="28"/>
        <v>0</v>
      </c>
      <c r="AG37" s="2" t="str">
        <f t="shared" si="29"/>
        <v>F</v>
      </c>
      <c r="AH37" s="180"/>
      <c r="AI37" s="32">
        <v>0</v>
      </c>
      <c r="AJ37" s="32">
        <v>0</v>
      </c>
      <c r="AK37" s="33">
        <f t="shared" si="30"/>
        <v>0</v>
      </c>
      <c r="AL37" s="2" t="str">
        <f t="shared" si="31"/>
        <v>F</v>
      </c>
      <c r="AM37" s="180"/>
      <c r="AN37" s="2"/>
      <c r="AO37" s="2">
        <v>0</v>
      </c>
      <c r="AP37" s="34">
        <f t="shared" si="32"/>
        <v>0</v>
      </c>
      <c r="AQ37" s="2" t="str">
        <f t="shared" si="33"/>
        <v>F</v>
      </c>
      <c r="AR37" s="180"/>
      <c r="AS37" s="34">
        <v>0</v>
      </c>
      <c r="AT37" s="2" t="str">
        <f t="shared" si="19"/>
        <v>F</v>
      </c>
      <c r="AU37" s="180"/>
      <c r="AV37" s="2" t="str">
        <f t="shared" si="34"/>
        <v>F</v>
      </c>
      <c r="AW37" s="35" t="str">
        <f t="shared" si="35"/>
        <v>F</v>
      </c>
      <c r="AX37" s="26">
        <f t="shared" si="36"/>
        <v>0</v>
      </c>
      <c r="AY37" s="3"/>
      <c r="AZ37" s="3"/>
      <c r="BA37" s="51" t="str">
        <f t="shared" si="37"/>
        <v>NEED TO PROGRESS</v>
      </c>
      <c r="BC37" s="151">
        <v>0</v>
      </c>
    </row>
    <row r="40" spans="1:55">
      <c r="A40" s="24">
        <v>0</v>
      </c>
      <c r="B40" s="24">
        <v>1</v>
      </c>
      <c r="C40" s="54">
        <v>2</v>
      </c>
      <c r="D40" s="54">
        <v>3</v>
      </c>
      <c r="E40" s="54">
        <v>4</v>
      </c>
      <c r="F40" s="54">
        <v>5</v>
      </c>
      <c r="G40" s="54">
        <v>6</v>
      </c>
      <c r="H40" s="54">
        <v>7</v>
      </c>
      <c r="I40" s="54">
        <v>8</v>
      </c>
      <c r="J40" s="54">
        <v>9</v>
      </c>
      <c r="K40" s="54">
        <v>10</v>
      </c>
      <c r="L40" s="54">
        <v>11</v>
      </c>
      <c r="M40" s="54">
        <v>12</v>
      </c>
      <c r="N40" s="54">
        <v>13</v>
      </c>
      <c r="O40" s="54">
        <v>14</v>
      </c>
      <c r="P40" s="54">
        <v>15</v>
      </c>
      <c r="Q40" s="54">
        <v>16</v>
      </c>
      <c r="R40" s="54">
        <v>17</v>
      </c>
      <c r="S40" s="54">
        <v>18</v>
      </c>
      <c r="T40" s="54">
        <v>19</v>
      </c>
      <c r="U40" s="54">
        <v>20</v>
      </c>
      <c r="V40" s="54">
        <v>21</v>
      </c>
      <c r="W40" s="54">
        <v>22</v>
      </c>
      <c r="X40" s="54">
        <v>23</v>
      </c>
      <c r="Y40" s="54">
        <v>24</v>
      </c>
      <c r="Z40" s="54">
        <v>25</v>
      </c>
      <c r="AA40" s="54">
        <v>26</v>
      </c>
      <c r="AB40" s="54">
        <v>27</v>
      </c>
      <c r="AC40" s="54">
        <v>28</v>
      </c>
      <c r="AD40" s="54">
        <v>29</v>
      </c>
      <c r="AE40" s="54">
        <v>30</v>
      </c>
      <c r="AF40" s="54">
        <v>31</v>
      </c>
      <c r="AG40" s="54">
        <v>32</v>
      </c>
      <c r="AH40" s="54">
        <v>33</v>
      </c>
      <c r="AI40" s="54">
        <v>34</v>
      </c>
      <c r="AJ40" s="54">
        <v>35</v>
      </c>
      <c r="AK40" s="54">
        <v>36</v>
      </c>
      <c r="AL40" s="54">
        <v>37</v>
      </c>
      <c r="AM40" s="54">
        <v>38</v>
      </c>
      <c r="AN40" s="54">
        <v>39</v>
      </c>
      <c r="AO40" s="54">
        <v>40</v>
      </c>
      <c r="AP40" s="54">
        <v>41</v>
      </c>
      <c r="AQ40" s="54">
        <v>42</v>
      </c>
      <c r="AR40" s="54">
        <v>43</v>
      </c>
      <c r="AS40" s="54">
        <v>44</v>
      </c>
      <c r="AT40" s="54">
        <v>45</v>
      </c>
      <c r="AU40" s="54">
        <v>46</v>
      </c>
      <c r="AV40" s="54">
        <v>47</v>
      </c>
      <c r="AW40" s="54">
        <v>48</v>
      </c>
      <c r="AX40" s="54">
        <v>49</v>
      </c>
      <c r="AY40" s="54">
        <v>50</v>
      </c>
      <c r="AZ40" s="54">
        <v>51</v>
      </c>
      <c r="BA40" s="54">
        <v>52</v>
      </c>
    </row>
  </sheetData>
  <mergeCells count="50">
    <mergeCell ref="BA6:BA7"/>
    <mergeCell ref="AV6:AV7"/>
    <mergeCell ref="AW6:AW7"/>
    <mergeCell ref="AX6:AX7"/>
    <mergeCell ref="A1:BA4"/>
    <mergeCell ref="A5:C5"/>
    <mergeCell ref="E5:G5"/>
    <mergeCell ref="D6:D7"/>
    <mergeCell ref="E6:E7"/>
    <mergeCell ref="A6:A7"/>
    <mergeCell ref="AY6:AY7"/>
    <mergeCell ref="L6:L7"/>
    <mergeCell ref="AU6:AU7"/>
    <mergeCell ref="AZ6:AZ7"/>
    <mergeCell ref="B6:B7"/>
    <mergeCell ref="C6:C7"/>
    <mergeCell ref="AC6:AC7"/>
    <mergeCell ref="AM6:AM7"/>
    <mergeCell ref="AH6:AH7"/>
    <mergeCell ref="X6:X7"/>
    <mergeCell ref="Y6:AB6"/>
    <mergeCell ref="AD6:AG6"/>
    <mergeCell ref="AI6:AL6"/>
    <mergeCell ref="X8:X37"/>
    <mergeCell ref="O6:P6"/>
    <mergeCell ref="Q6:Q7"/>
    <mergeCell ref="R6:R7"/>
    <mergeCell ref="S6:S7"/>
    <mergeCell ref="T6:W6"/>
    <mergeCell ref="F6:G6"/>
    <mergeCell ref="H6:I6"/>
    <mergeCell ref="J6:J7"/>
    <mergeCell ref="K6:K7"/>
    <mergeCell ref="M6:N6"/>
    <mergeCell ref="AU8:AU37"/>
    <mergeCell ref="AI5:AM5"/>
    <mergeCell ref="H5:N5"/>
    <mergeCell ref="O5:R5"/>
    <mergeCell ref="S5:U5"/>
    <mergeCell ref="W5:AA5"/>
    <mergeCell ref="AE5:AH5"/>
    <mergeCell ref="AN6:AQ6"/>
    <mergeCell ref="AR6:AR7"/>
    <mergeCell ref="AS6:AT6"/>
    <mergeCell ref="AC8:AC37"/>
    <mergeCell ref="AH8:AH37"/>
    <mergeCell ref="AM8:AM37"/>
    <mergeCell ref="AR8:AR37"/>
    <mergeCell ref="L8:L37"/>
    <mergeCell ref="S8:S37"/>
  </mergeCells>
  <conditionalFormatting sqref="F8:F37 M8:M37 T8:T37 Y8:Y37 AD8:AD37 AI8:AI37">
    <cfRule type="cellIs" dxfId="18" priority="5" operator="greaterThan">
      <formula>20</formula>
    </cfRule>
  </conditionalFormatting>
  <conditionalFormatting sqref="G8:G37 N8:N37 U8:V37 Z8:AA37 AE8:AF37 AJ8:AK37">
    <cfRule type="cellIs" dxfId="17" priority="2" operator="greaterThan">
      <formula>100</formula>
    </cfRule>
  </conditionalFormatting>
  <conditionalFormatting sqref="H8:H37 O8:O37 AN8:AN37">
    <cfRule type="cellIs" dxfId="16" priority="6" operator="greaterThan">
      <formula>10</formula>
    </cfRule>
  </conditionalFormatting>
  <conditionalFormatting sqref="I8:I37 P8:P37 AO8:AO37">
    <cfRule type="cellIs" dxfId="15" priority="3" operator="greaterThan">
      <formula>50</formula>
    </cfRule>
  </conditionalFormatting>
  <conditionalFormatting sqref="J8:J37 Q8:Q37">
    <cfRule type="cellIs" dxfId="14" priority="4" operator="greaterThan">
      <formula>150</formula>
    </cfRule>
  </conditionalFormatting>
  <conditionalFormatting sqref="AP8:AP37 AS8:AS37">
    <cfRule type="cellIs" dxfId="13" priority="1" operator="greaterThan">
      <formula>50</formula>
    </cfRule>
  </conditionalFormatting>
  <conditionalFormatting sqref="AV6:AV7">
    <cfRule type="cellIs" dxfId="12" priority="7" operator="equal">
      <formula>"F"</formula>
    </cfRule>
  </conditionalFormatting>
  <pageMargins left="0" right="0" top="0" bottom="0" header="0.31496062992125984" footer="0"/>
  <pageSetup paperSize="5" scale="9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K40"/>
  <sheetViews>
    <sheetView zoomScale="85" zoomScaleNormal="85" workbookViewId="0">
      <selection activeCell="AY35" sqref="AY35"/>
    </sheetView>
  </sheetViews>
  <sheetFormatPr defaultRowHeight="15"/>
  <cols>
    <col min="1" max="1" width="3.42578125" bestFit="1" customWidth="1"/>
    <col min="2" max="2" width="5.5703125" style="30" bestFit="1" customWidth="1"/>
    <col min="3" max="3" width="25.5703125" style="31" bestFit="1" customWidth="1"/>
    <col min="4" max="4" width="24.140625" hidden="1" customWidth="1"/>
    <col min="5" max="5" width="22.85546875" hidden="1" customWidth="1"/>
    <col min="6" max="8" width="4.7109375" customWidth="1"/>
    <col min="9" max="9" width="5.28515625" customWidth="1"/>
    <col min="10" max="15" width="4.7109375" customWidth="1"/>
    <col min="16" max="16" width="5.5703125" customWidth="1"/>
    <col min="17" max="48" width="4.7109375" customWidth="1"/>
    <col min="49" max="49" width="4.85546875" bestFit="1" customWidth="1"/>
    <col min="50" max="50" width="6.85546875" customWidth="1"/>
    <col min="51" max="51" width="8.5703125" bestFit="1" customWidth="1"/>
    <col min="52" max="52" width="8.140625" customWidth="1"/>
    <col min="53" max="53" width="17.5703125" bestFit="1" customWidth="1"/>
    <col min="54" max="55" width="4.7109375" customWidth="1"/>
    <col min="56" max="58" width="5.140625" bestFit="1" customWidth="1"/>
  </cols>
  <sheetData>
    <row r="1" spans="1:63" ht="15.75" customHeight="1">
      <c r="A1" s="189" t="s">
        <v>95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1"/>
    </row>
    <row r="2" spans="1:63" ht="21" customHeight="1">
      <c r="A2" s="192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4"/>
    </row>
    <row r="3" spans="1:63" ht="15" customHeight="1">
      <c r="A3" s="192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4"/>
    </row>
    <row r="4" spans="1:63" ht="16.5" customHeight="1">
      <c r="A4" s="192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4"/>
    </row>
    <row r="5" spans="1:63" ht="15" customHeight="1">
      <c r="A5" s="195" t="s">
        <v>25</v>
      </c>
      <c r="B5" s="195"/>
      <c r="C5" s="195"/>
      <c r="D5" s="45" t="s">
        <v>35</v>
      </c>
      <c r="E5" s="195" t="s">
        <v>26</v>
      </c>
      <c r="F5" s="195"/>
      <c r="G5" s="195"/>
      <c r="H5" s="195" t="s">
        <v>88</v>
      </c>
      <c r="I5" s="195"/>
      <c r="J5" s="195"/>
      <c r="K5" s="195"/>
      <c r="L5" s="195"/>
      <c r="M5" s="195"/>
      <c r="N5" s="195"/>
      <c r="O5" s="195" t="s">
        <v>27</v>
      </c>
      <c r="P5" s="195"/>
      <c r="Q5" s="195"/>
      <c r="R5" s="195"/>
      <c r="S5" s="195" t="s">
        <v>44</v>
      </c>
      <c r="T5" s="195"/>
      <c r="U5" s="195"/>
      <c r="V5" s="46"/>
      <c r="W5" s="195" t="s">
        <v>28</v>
      </c>
      <c r="X5" s="195"/>
      <c r="Y5" s="195"/>
      <c r="Z5" s="195"/>
      <c r="AA5" s="195"/>
      <c r="AB5" s="45"/>
      <c r="AC5" s="45">
        <v>27</v>
      </c>
      <c r="AD5" s="46"/>
      <c r="AE5" s="195" t="s">
        <v>29</v>
      </c>
      <c r="AF5" s="195"/>
      <c r="AG5" s="195"/>
      <c r="AH5" s="195"/>
      <c r="AI5" s="196" t="s">
        <v>93</v>
      </c>
      <c r="AJ5" s="196"/>
      <c r="AK5" s="196"/>
      <c r="AL5" s="196"/>
      <c r="AM5" s="196"/>
      <c r="AN5" s="220"/>
      <c r="AO5" s="221"/>
      <c r="AP5" s="221"/>
      <c r="AQ5" s="221"/>
      <c r="AR5" s="221"/>
      <c r="AS5" s="221"/>
      <c r="AT5" s="221"/>
      <c r="AU5" s="221"/>
      <c r="AV5" s="221"/>
      <c r="AW5" s="221"/>
      <c r="AX5" s="221"/>
      <c r="AY5" s="221"/>
      <c r="AZ5" s="221"/>
      <c r="BA5" s="222"/>
    </row>
    <row r="6" spans="1:63" s="65" customFormat="1" ht="18" customHeight="1">
      <c r="A6" s="209" t="s">
        <v>0</v>
      </c>
      <c r="B6" s="209" t="s">
        <v>1</v>
      </c>
      <c r="C6" s="209" t="s">
        <v>2</v>
      </c>
      <c r="D6" s="223" t="s">
        <v>33</v>
      </c>
      <c r="E6" s="223" t="s">
        <v>34</v>
      </c>
      <c r="F6" s="210" t="s">
        <v>37</v>
      </c>
      <c r="G6" s="210"/>
      <c r="H6" s="214" t="s">
        <v>36</v>
      </c>
      <c r="I6" s="215"/>
      <c r="J6" s="198" t="s">
        <v>3</v>
      </c>
      <c r="K6" s="185" t="s">
        <v>4</v>
      </c>
      <c r="L6" s="185" t="s">
        <v>5</v>
      </c>
      <c r="M6" s="210" t="s">
        <v>13</v>
      </c>
      <c r="N6" s="210"/>
      <c r="O6" s="210" t="s">
        <v>14</v>
      </c>
      <c r="P6" s="210"/>
      <c r="Q6" s="185" t="s">
        <v>3</v>
      </c>
      <c r="R6" s="185" t="s">
        <v>4</v>
      </c>
      <c r="S6" s="185" t="s">
        <v>5</v>
      </c>
      <c r="T6" s="214" t="s">
        <v>15</v>
      </c>
      <c r="U6" s="215"/>
      <c r="V6" s="215"/>
      <c r="W6" s="216"/>
      <c r="X6" s="185" t="s">
        <v>5</v>
      </c>
      <c r="Y6" s="214" t="s">
        <v>7</v>
      </c>
      <c r="Z6" s="215"/>
      <c r="AA6" s="215"/>
      <c r="AB6" s="216"/>
      <c r="AC6" s="185" t="s">
        <v>5</v>
      </c>
      <c r="AD6" s="214" t="s">
        <v>8</v>
      </c>
      <c r="AE6" s="215"/>
      <c r="AF6" s="215"/>
      <c r="AG6" s="216"/>
      <c r="AH6" s="185" t="s">
        <v>5</v>
      </c>
      <c r="AI6" s="214" t="s">
        <v>9</v>
      </c>
      <c r="AJ6" s="215"/>
      <c r="AK6" s="215"/>
      <c r="AL6" s="215"/>
      <c r="AM6" s="185" t="s">
        <v>5</v>
      </c>
      <c r="AN6" s="217" t="s">
        <v>54</v>
      </c>
      <c r="AO6" s="218"/>
      <c r="AP6" s="218"/>
      <c r="AQ6" s="219"/>
      <c r="AR6" s="185" t="s">
        <v>5</v>
      </c>
      <c r="AS6" s="217" t="s">
        <v>38</v>
      </c>
      <c r="AT6" s="218"/>
      <c r="AU6" s="185" t="s">
        <v>5</v>
      </c>
      <c r="AV6" s="197" t="s">
        <v>10</v>
      </c>
      <c r="AW6" s="207" t="s">
        <v>11</v>
      </c>
      <c r="AX6" s="197" t="s">
        <v>90</v>
      </c>
      <c r="AY6" s="197" t="s">
        <v>16</v>
      </c>
      <c r="AZ6" s="225" t="s">
        <v>30</v>
      </c>
      <c r="BA6" s="211" t="s">
        <v>31</v>
      </c>
      <c r="BB6" s="213" t="s">
        <v>80</v>
      </c>
      <c r="BC6" s="213"/>
      <c r="BD6" s="213"/>
      <c r="BE6" s="213"/>
      <c r="BF6" s="213"/>
    </row>
    <row r="7" spans="1:63" s="31" customFormat="1" ht="18" customHeight="1">
      <c r="A7" s="209"/>
      <c r="B7" s="209"/>
      <c r="C7" s="209"/>
      <c r="D7" s="224"/>
      <c r="E7" s="224"/>
      <c r="F7" s="43" t="s">
        <v>12</v>
      </c>
      <c r="G7" s="56" t="s">
        <v>6</v>
      </c>
      <c r="H7" s="43" t="s">
        <v>12</v>
      </c>
      <c r="I7" s="56" t="s">
        <v>6</v>
      </c>
      <c r="J7" s="226"/>
      <c r="K7" s="185"/>
      <c r="L7" s="185"/>
      <c r="M7" s="56" t="s">
        <v>12</v>
      </c>
      <c r="N7" s="56" t="s">
        <v>6</v>
      </c>
      <c r="O7" s="56" t="s">
        <v>12</v>
      </c>
      <c r="P7" s="56" t="s">
        <v>6</v>
      </c>
      <c r="Q7" s="185"/>
      <c r="R7" s="185"/>
      <c r="S7" s="185"/>
      <c r="T7" s="43" t="s">
        <v>12</v>
      </c>
      <c r="U7" s="56" t="s">
        <v>6</v>
      </c>
      <c r="V7" s="43" t="s">
        <v>3</v>
      </c>
      <c r="W7" s="43" t="s">
        <v>4</v>
      </c>
      <c r="X7" s="185"/>
      <c r="Y7" s="43" t="s">
        <v>12</v>
      </c>
      <c r="Z7" s="56" t="s">
        <v>6</v>
      </c>
      <c r="AA7" s="43" t="s">
        <v>3</v>
      </c>
      <c r="AB7" s="43" t="s">
        <v>4</v>
      </c>
      <c r="AC7" s="185"/>
      <c r="AD7" s="43" t="s">
        <v>12</v>
      </c>
      <c r="AE7" s="56" t="s">
        <v>6</v>
      </c>
      <c r="AF7" s="43" t="s">
        <v>3</v>
      </c>
      <c r="AG7" s="43" t="s">
        <v>4</v>
      </c>
      <c r="AH7" s="185"/>
      <c r="AI7" s="43" t="s">
        <v>12</v>
      </c>
      <c r="AJ7" s="56" t="s">
        <v>6</v>
      </c>
      <c r="AK7" s="43" t="s">
        <v>3</v>
      </c>
      <c r="AL7" s="43" t="s">
        <v>4</v>
      </c>
      <c r="AM7" s="185"/>
      <c r="AN7" s="56" t="s">
        <v>12</v>
      </c>
      <c r="AO7" s="56" t="s">
        <v>6</v>
      </c>
      <c r="AP7" s="43" t="s">
        <v>3</v>
      </c>
      <c r="AQ7" s="43" t="s">
        <v>4</v>
      </c>
      <c r="AR7" s="185"/>
      <c r="AS7" s="56" t="s">
        <v>6</v>
      </c>
      <c r="AT7" s="57" t="s">
        <v>4</v>
      </c>
      <c r="AU7" s="185"/>
      <c r="AV7" s="197"/>
      <c r="AW7" s="208"/>
      <c r="AX7" s="197"/>
      <c r="AY7" s="197"/>
      <c r="AZ7" s="212"/>
      <c r="BA7" s="212"/>
      <c r="BB7" s="66" t="s">
        <v>82</v>
      </c>
      <c r="BC7" s="66" t="s">
        <v>83</v>
      </c>
      <c r="BD7" s="66" t="s">
        <v>84</v>
      </c>
      <c r="BE7" s="67" t="s">
        <v>85</v>
      </c>
      <c r="BF7" s="67" t="s">
        <v>81</v>
      </c>
    </row>
    <row r="8" spans="1:63" ht="18" customHeight="1">
      <c r="A8" s="32">
        <v>1</v>
      </c>
      <c r="B8" s="72">
        <v>1</v>
      </c>
      <c r="C8" s="107" t="s">
        <v>96</v>
      </c>
      <c r="D8" s="107" t="s">
        <v>97</v>
      </c>
      <c r="E8" s="73" t="s">
        <v>98</v>
      </c>
      <c r="F8" s="59">
        <v>20</v>
      </c>
      <c r="G8" s="59">
        <v>74</v>
      </c>
      <c r="H8" s="59">
        <v>10</v>
      </c>
      <c r="I8" s="59">
        <v>37</v>
      </c>
      <c r="J8" s="60">
        <f t="shared" ref="J8:J33" si="0">F8+G8+H8+I8</f>
        <v>141</v>
      </c>
      <c r="K8" s="59">
        <f t="shared" ref="K8:K37" si="1">IF(J8&lt;60,"F",IF(J8&lt;75,2,IF(J8&lt;90,3,IF(J8&lt;105,3.5,IF(J8&lt;120,4,5)))))</f>
        <v>5</v>
      </c>
      <c r="L8" s="227">
        <f>MAX(J8:J37)</f>
        <v>148</v>
      </c>
      <c r="M8" s="59">
        <v>17</v>
      </c>
      <c r="N8" s="59">
        <v>65</v>
      </c>
      <c r="O8" s="59">
        <v>10</v>
      </c>
      <c r="P8" s="59">
        <v>34</v>
      </c>
      <c r="Q8" s="60">
        <f t="shared" ref="Q8:Q32" si="2">M8+N8+O8+P8</f>
        <v>126</v>
      </c>
      <c r="R8" s="59">
        <f t="shared" ref="R8:R32" si="3">IF(Q8&lt;60,"F",IF(Q8&lt;75,2,IF(Q8&lt;90,3,IF(Q8&lt;105,3.5,IF(Q8&lt;120,4,5)))))</f>
        <v>5</v>
      </c>
      <c r="S8" s="227">
        <f>MAX(Q8:Q37)</f>
        <v>146</v>
      </c>
      <c r="T8" s="60">
        <v>19</v>
      </c>
      <c r="U8" s="59">
        <v>66</v>
      </c>
      <c r="V8" s="60">
        <f t="shared" ref="V8:V32" si="4">T8+U8</f>
        <v>85</v>
      </c>
      <c r="W8" s="59">
        <f t="shared" ref="W8:W32" si="5">IF(V8&lt;40,"F",IF(V8&lt;50,2,IF(V8&lt;60,3,IF(V8&lt;70,3.5,IF(V8&lt;80,4,5)))))</f>
        <v>5</v>
      </c>
      <c r="X8" s="227">
        <f>MAX(V8:V37)</f>
        <v>96</v>
      </c>
      <c r="Y8" s="59">
        <v>20</v>
      </c>
      <c r="Z8" s="59">
        <v>73</v>
      </c>
      <c r="AA8" s="60">
        <f t="shared" ref="AA8:AA32" si="6">Y8+Z8</f>
        <v>93</v>
      </c>
      <c r="AB8" s="59">
        <f t="shared" ref="AB8:AB32" si="7">IF(AA8&lt;40,"F",IF(AA8&lt;50,2,IF(AA8&lt;60,3,IF(AA8&lt;70,3.5,IF(AA8&lt;80,4,5)))))</f>
        <v>5</v>
      </c>
      <c r="AC8" s="227">
        <f>MAX(AA8:AA37)</f>
        <v>99</v>
      </c>
      <c r="AD8" s="109">
        <v>19</v>
      </c>
      <c r="AE8" s="59">
        <v>73</v>
      </c>
      <c r="AF8" s="60">
        <f t="shared" ref="AF8:AF32" si="8">AD8+AE8</f>
        <v>92</v>
      </c>
      <c r="AG8" s="59">
        <f t="shared" ref="AG8:AG32" si="9">IF(AF8&lt;40,"F",IF(AF8&lt;50,2,IF(AF8&lt;60,3,IF(AF8&lt;70,3.5,IF(AF8&lt;80,4,5)))))</f>
        <v>5</v>
      </c>
      <c r="AH8" s="227">
        <f>MAX(AF8:AF37)</f>
        <v>99</v>
      </c>
      <c r="AI8" s="59">
        <v>19</v>
      </c>
      <c r="AJ8" s="59">
        <v>76</v>
      </c>
      <c r="AK8" s="60">
        <f t="shared" ref="AK8:AK32" si="10">AI8+AJ8</f>
        <v>95</v>
      </c>
      <c r="AL8" s="59">
        <f t="shared" ref="AL8:AL32" si="11">IF(AK8&lt;40,"F",IF(AK8&lt;50,2,IF(AK8&lt;60,3,IF(AK8&lt;70,3.5,IF(AK8&lt;80,4,5)))))</f>
        <v>5</v>
      </c>
      <c r="AM8" s="227">
        <f>MAX(AK8:AK37)</f>
        <v>99</v>
      </c>
      <c r="AN8" s="59">
        <v>0</v>
      </c>
      <c r="AO8" s="59">
        <v>43</v>
      </c>
      <c r="AP8" s="60">
        <f t="shared" ref="AP8:AP32" si="12">AO8*1</f>
        <v>43</v>
      </c>
      <c r="AQ8" s="59">
        <f t="shared" ref="AQ8:AQ32" si="13">IF(AP8&lt;20,"F",IF(AP8&lt;25,2,IF(AP8&lt;30,3,IF(AP8&lt;35,3.5,IF(AP8&lt;40,4,5)))))</f>
        <v>5</v>
      </c>
      <c r="AR8" s="227">
        <f>MAX(AP8:AP37)</f>
        <v>50</v>
      </c>
      <c r="AS8" s="60">
        <v>47</v>
      </c>
      <c r="AT8" s="59">
        <f t="shared" ref="AT8:AT37" si="14">IF(AS8&lt;20,"F",IF(AS8&lt;25,2,IF(AS8&lt;30,3,IF(AS8&lt;35,3.5,IF(AS8&lt;40,4,5)))))</f>
        <v>5</v>
      </c>
      <c r="AU8" s="227">
        <f>MAX(AS8:AS37)</f>
        <v>50</v>
      </c>
      <c r="AV8" s="59">
        <f t="shared" ref="AV8:AV32" si="15">IF(K8="F","F",IF(R8="F","F",IF(W8="F","F",IF(AB8="F","F",IF(AG8="F","F",IF(AL8="F","F",IF(AQ8="F","F",SUM(K8,R8,W8,AB8,AG8,AL8,AQ8))))))))</f>
        <v>35</v>
      </c>
      <c r="AW8" s="61">
        <f t="shared" ref="AW8:AW32" si="16">IF(AV8="F","F", IF(AV8&gt;=35,5,IF(AV8&lt;35,AV8/7)))</f>
        <v>5</v>
      </c>
      <c r="AX8" s="60">
        <f t="shared" ref="AX8:AX32" si="17">J8+Q8+V8+AA8+AF8+AK8+AP8</f>
        <v>675</v>
      </c>
      <c r="AY8" s="62">
        <v>8</v>
      </c>
      <c r="AZ8" s="62"/>
      <c r="BA8" s="64" t="str">
        <f t="shared" ref="BA8:BA32" si="18">IF(AW8="F","NEED TO PROGRESS",IF(AW8&gt;=5,"BEST",IF(AW8&gt;=4,"BETTER",IF(AW8&gt;2,"GOOD"))))</f>
        <v>BEST</v>
      </c>
      <c r="BB8" s="152">
        <v>654</v>
      </c>
      <c r="BC8" s="153">
        <v>684</v>
      </c>
      <c r="BD8" s="154">
        <v>675</v>
      </c>
      <c r="BE8" s="154">
        <f t="shared" ref="BE8:BE32" si="19">SUM(BB8:BD8)/3</f>
        <v>671</v>
      </c>
      <c r="BF8" s="155"/>
    </row>
    <row r="9" spans="1:63" ht="18" customHeight="1">
      <c r="A9" s="32">
        <v>2</v>
      </c>
      <c r="B9" s="72">
        <v>2</v>
      </c>
      <c r="C9" s="107" t="s">
        <v>99</v>
      </c>
      <c r="D9" s="107" t="s">
        <v>100</v>
      </c>
      <c r="E9" s="73" t="s">
        <v>101</v>
      </c>
      <c r="F9" s="59">
        <v>20</v>
      </c>
      <c r="G9" s="59">
        <v>57</v>
      </c>
      <c r="H9" s="59">
        <v>10</v>
      </c>
      <c r="I9" s="59">
        <v>27</v>
      </c>
      <c r="J9" s="60">
        <f t="shared" si="0"/>
        <v>114</v>
      </c>
      <c r="K9" s="59">
        <f t="shared" si="1"/>
        <v>4</v>
      </c>
      <c r="L9" s="228"/>
      <c r="M9" s="59">
        <v>17</v>
      </c>
      <c r="N9" s="59">
        <v>64</v>
      </c>
      <c r="O9" s="59">
        <v>9</v>
      </c>
      <c r="P9" s="59">
        <v>34</v>
      </c>
      <c r="Q9" s="60">
        <f t="shared" si="2"/>
        <v>124</v>
      </c>
      <c r="R9" s="59">
        <f t="shared" si="3"/>
        <v>5</v>
      </c>
      <c r="S9" s="228"/>
      <c r="T9" s="59">
        <v>19</v>
      </c>
      <c r="U9" s="59">
        <v>65</v>
      </c>
      <c r="V9" s="60">
        <f t="shared" si="4"/>
        <v>84</v>
      </c>
      <c r="W9" s="59">
        <f t="shared" si="5"/>
        <v>5</v>
      </c>
      <c r="X9" s="228"/>
      <c r="Y9" s="59">
        <v>17</v>
      </c>
      <c r="Z9" s="59">
        <v>49</v>
      </c>
      <c r="AA9" s="60">
        <f t="shared" si="6"/>
        <v>66</v>
      </c>
      <c r="AB9" s="59">
        <f t="shared" si="7"/>
        <v>3.5</v>
      </c>
      <c r="AC9" s="228"/>
      <c r="AD9" s="109">
        <v>17</v>
      </c>
      <c r="AE9" s="59">
        <v>63</v>
      </c>
      <c r="AF9" s="60">
        <f t="shared" si="8"/>
        <v>80</v>
      </c>
      <c r="AG9" s="59">
        <f t="shared" si="9"/>
        <v>5</v>
      </c>
      <c r="AH9" s="228"/>
      <c r="AI9" s="59">
        <v>17</v>
      </c>
      <c r="AJ9" s="59">
        <v>68</v>
      </c>
      <c r="AK9" s="60">
        <f t="shared" si="10"/>
        <v>85</v>
      </c>
      <c r="AL9" s="59">
        <f t="shared" si="11"/>
        <v>5</v>
      </c>
      <c r="AM9" s="228"/>
      <c r="AN9" s="59">
        <v>0</v>
      </c>
      <c r="AO9" s="59">
        <v>42</v>
      </c>
      <c r="AP9" s="60">
        <f t="shared" si="12"/>
        <v>42</v>
      </c>
      <c r="AQ9" s="59">
        <f t="shared" si="13"/>
        <v>5</v>
      </c>
      <c r="AR9" s="228"/>
      <c r="AS9" s="60">
        <v>50</v>
      </c>
      <c r="AT9" s="59">
        <f t="shared" si="14"/>
        <v>5</v>
      </c>
      <c r="AU9" s="228"/>
      <c r="AV9" s="59">
        <f t="shared" si="15"/>
        <v>32.5</v>
      </c>
      <c r="AW9" s="61">
        <f t="shared" si="16"/>
        <v>4.6428571428571432</v>
      </c>
      <c r="AX9" s="60">
        <f t="shared" si="17"/>
        <v>595</v>
      </c>
      <c r="AY9" s="62">
        <v>16</v>
      </c>
      <c r="AZ9" s="62"/>
      <c r="BA9" s="64" t="str">
        <f t="shared" si="18"/>
        <v>BETTER</v>
      </c>
      <c r="BB9" s="152">
        <v>548</v>
      </c>
      <c r="BC9" s="152">
        <v>581</v>
      </c>
      <c r="BD9" s="154">
        <v>595</v>
      </c>
      <c r="BE9" s="154">
        <f t="shared" si="19"/>
        <v>574.66666666666663</v>
      </c>
      <c r="BF9" s="155"/>
    </row>
    <row r="10" spans="1:63" ht="18" customHeight="1">
      <c r="A10" s="32">
        <v>3</v>
      </c>
      <c r="B10" s="72">
        <v>3</v>
      </c>
      <c r="C10" s="107" t="s">
        <v>102</v>
      </c>
      <c r="D10" s="107" t="s">
        <v>103</v>
      </c>
      <c r="E10" s="73" t="s">
        <v>104</v>
      </c>
      <c r="F10" s="59">
        <v>20</v>
      </c>
      <c r="G10" s="59">
        <v>61</v>
      </c>
      <c r="H10" s="59">
        <v>10</v>
      </c>
      <c r="I10" s="59">
        <v>22</v>
      </c>
      <c r="J10" s="60">
        <f t="shared" si="0"/>
        <v>113</v>
      </c>
      <c r="K10" s="59">
        <f t="shared" si="1"/>
        <v>4</v>
      </c>
      <c r="L10" s="228"/>
      <c r="M10" s="59">
        <v>17</v>
      </c>
      <c r="N10" s="59">
        <v>46</v>
      </c>
      <c r="O10" s="59">
        <v>10</v>
      </c>
      <c r="P10" s="59">
        <v>24</v>
      </c>
      <c r="Q10" s="60">
        <f t="shared" si="2"/>
        <v>97</v>
      </c>
      <c r="R10" s="59">
        <f t="shared" si="3"/>
        <v>3.5</v>
      </c>
      <c r="S10" s="228"/>
      <c r="T10" s="59">
        <v>19</v>
      </c>
      <c r="U10" s="59">
        <v>48</v>
      </c>
      <c r="V10" s="60">
        <f t="shared" si="4"/>
        <v>67</v>
      </c>
      <c r="W10" s="59">
        <f t="shared" si="5"/>
        <v>3.5</v>
      </c>
      <c r="X10" s="228"/>
      <c r="Y10" s="59">
        <v>19</v>
      </c>
      <c r="Z10" s="59">
        <v>77</v>
      </c>
      <c r="AA10" s="60">
        <f t="shared" si="6"/>
        <v>96</v>
      </c>
      <c r="AB10" s="59">
        <f t="shared" si="7"/>
        <v>5</v>
      </c>
      <c r="AC10" s="228"/>
      <c r="AD10" s="109">
        <v>19</v>
      </c>
      <c r="AE10" s="59">
        <v>76</v>
      </c>
      <c r="AF10" s="60">
        <f t="shared" si="8"/>
        <v>95</v>
      </c>
      <c r="AG10" s="59">
        <f t="shared" si="9"/>
        <v>5</v>
      </c>
      <c r="AH10" s="228"/>
      <c r="AI10" s="59">
        <v>19</v>
      </c>
      <c r="AJ10" s="59">
        <v>77</v>
      </c>
      <c r="AK10" s="60">
        <f t="shared" si="10"/>
        <v>96</v>
      </c>
      <c r="AL10" s="59">
        <f t="shared" si="11"/>
        <v>5</v>
      </c>
      <c r="AM10" s="228"/>
      <c r="AN10" s="59">
        <v>0</v>
      </c>
      <c r="AO10" s="59">
        <v>44</v>
      </c>
      <c r="AP10" s="60">
        <f t="shared" si="12"/>
        <v>44</v>
      </c>
      <c r="AQ10" s="59">
        <f t="shared" si="13"/>
        <v>5</v>
      </c>
      <c r="AR10" s="228"/>
      <c r="AS10" s="60">
        <v>49</v>
      </c>
      <c r="AT10" s="59">
        <f t="shared" si="14"/>
        <v>5</v>
      </c>
      <c r="AU10" s="228"/>
      <c r="AV10" s="59">
        <f t="shared" si="15"/>
        <v>31</v>
      </c>
      <c r="AW10" s="61">
        <f t="shared" si="16"/>
        <v>4.4285714285714288</v>
      </c>
      <c r="AX10" s="60">
        <f t="shared" si="17"/>
        <v>608</v>
      </c>
      <c r="AY10" s="62">
        <v>19</v>
      </c>
      <c r="AZ10" s="62"/>
      <c r="BA10" s="64" t="str">
        <f t="shared" si="18"/>
        <v>BETTER</v>
      </c>
      <c r="BB10" s="152">
        <v>493</v>
      </c>
      <c r="BC10" s="152">
        <v>550</v>
      </c>
      <c r="BD10" s="154">
        <v>608</v>
      </c>
      <c r="BE10" s="154">
        <f t="shared" si="19"/>
        <v>550.33333333333337</v>
      </c>
      <c r="BF10" s="155"/>
    </row>
    <row r="11" spans="1:63" ht="18" customHeight="1">
      <c r="A11" s="32">
        <v>4</v>
      </c>
      <c r="B11" s="72">
        <v>4</v>
      </c>
      <c r="C11" s="107" t="s">
        <v>105</v>
      </c>
      <c r="D11" s="107" t="s">
        <v>106</v>
      </c>
      <c r="E11" s="73" t="s">
        <v>107</v>
      </c>
      <c r="F11" s="59">
        <v>20</v>
      </c>
      <c r="G11" s="59">
        <v>68</v>
      </c>
      <c r="H11" s="59">
        <v>10</v>
      </c>
      <c r="I11" s="59">
        <v>29</v>
      </c>
      <c r="J11" s="60">
        <f t="shared" si="0"/>
        <v>127</v>
      </c>
      <c r="K11" s="59">
        <f t="shared" si="1"/>
        <v>5</v>
      </c>
      <c r="L11" s="228"/>
      <c r="M11" s="59">
        <v>14</v>
      </c>
      <c r="N11" s="59">
        <v>61</v>
      </c>
      <c r="O11" s="59">
        <v>8</v>
      </c>
      <c r="P11" s="59">
        <v>19</v>
      </c>
      <c r="Q11" s="60">
        <f t="shared" si="2"/>
        <v>102</v>
      </c>
      <c r="R11" s="59">
        <f t="shared" si="3"/>
        <v>3.5</v>
      </c>
      <c r="S11" s="228"/>
      <c r="T11" s="59">
        <v>14</v>
      </c>
      <c r="U11" s="59">
        <v>42</v>
      </c>
      <c r="V11" s="60">
        <f t="shared" si="4"/>
        <v>56</v>
      </c>
      <c r="W11" s="59">
        <f t="shared" si="5"/>
        <v>3</v>
      </c>
      <c r="X11" s="228"/>
      <c r="Y11" s="59">
        <v>20</v>
      </c>
      <c r="Z11" s="59">
        <v>48</v>
      </c>
      <c r="AA11" s="60">
        <f t="shared" si="6"/>
        <v>68</v>
      </c>
      <c r="AB11" s="59">
        <f t="shared" si="7"/>
        <v>3.5</v>
      </c>
      <c r="AC11" s="228"/>
      <c r="AD11" s="109">
        <v>17</v>
      </c>
      <c r="AE11" s="59">
        <v>45</v>
      </c>
      <c r="AF11" s="60">
        <f t="shared" si="8"/>
        <v>62</v>
      </c>
      <c r="AG11" s="59">
        <f t="shared" si="9"/>
        <v>3.5</v>
      </c>
      <c r="AH11" s="228"/>
      <c r="AI11" s="59">
        <v>19</v>
      </c>
      <c r="AJ11" s="59">
        <v>76</v>
      </c>
      <c r="AK11" s="60">
        <f t="shared" si="10"/>
        <v>95</v>
      </c>
      <c r="AL11" s="59">
        <f t="shared" si="11"/>
        <v>5</v>
      </c>
      <c r="AM11" s="228"/>
      <c r="AN11" s="59">
        <v>0</v>
      </c>
      <c r="AO11" s="59">
        <v>37</v>
      </c>
      <c r="AP11" s="60">
        <f t="shared" si="12"/>
        <v>37</v>
      </c>
      <c r="AQ11" s="59">
        <f t="shared" si="13"/>
        <v>4</v>
      </c>
      <c r="AR11" s="228"/>
      <c r="AS11" s="60">
        <v>49</v>
      </c>
      <c r="AT11" s="59">
        <f t="shared" si="14"/>
        <v>5</v>
      </c>
      <c r="AU11" s="228"/>
      <c r="AV11" s="59">
        <f t="shared" si="15"/>
        <v>27.5</v>
      </c>
      <c r="AW11" s="61">
        <f t="shared" si="16"/>
        <v>3.9285714285714284</v>
      </c>
      <c r="AX11" s="60">
        <f t="shared" si="17"/>
        <v>547</v>
      </c>
      <c r="AY11" s="62">
        <v>21</v>
      </c>
      <c r="AZ11" s="62"/>
      <c r="BA11" s="64" t="str">
        <f t="shared" si="18"/>
        <v>GOOD</v>
      </c>
      <c r="BB11" s="152">
        <v>474</v>
      </c>
      <c r="BC11" s="152">
        <v>577</v>
      </c>
      <c r="BD11" s="154">
        <v>547</v>
      </c>
      <c r="BE11" s="154">
        <f t="shared" si="19"/>
        <v>532.66666666666663</v>
      </c>
      <c r="BF11" s="155"/>
    </row>
    <row r="12" spans="1:63" ht="18" customHeight="1">
      <c r="A12" s="32">
        <v>5</v>
      </c>
      <c r="B12" s="72">
        <v>5</v>
      </c>
      <c r="C12" s="107" t="s">
        <v>108</v>
      </c>
      <c r="D12" s="107" t="s">
        <v>109</v>
      </c>
      <c r="E12" s="73" t="s">
        <v>110</v>
      </c>
      <c r="F12" s="59">
        <v>20</v>
      </c>
      <c r="G12" s="59">
        <v>76</v>
      </c>
      <c r="H12" s="59">
        <v>10</v>
      </c>
      <c r="I12" s="59">
        <v>38</v>
      </c>
      <c r="J12" s="60">
        <f t="shared" si="0"/>
        <v>144</v>
      </c>
      <c r="K12" s="59">
        <f t="shared" si="1"/>
        <v>5</v>
      </c>
      <c r="L12" s="228"/>
      <c r="M12" s="59">
        <v>19</v>
      </c>
      <c r="N12" s="59">
        <v>76</v>
      </c>
      <c r="O12" s="59">
        <v>10</v>
      </c>
      <c r="P12" s="59">
        <v>38</v>
      </c>
      <c r="Q12" s="60">
        <f t="shared" si="2"/>
        <v>143</v>
      </c>
      <c r="R12" s="59">
        <f t="shared" si="3"/>
        <v>5</v>
      </c>
      <c r="S12" s="228"/>
      <c r="T12" s="59">
        <v>19</v>
      </c>
      <c r="U12" s="59">
        <v>70</v>
      </c>
      <c r="V12" s="60">
        <f t="shared" si="4"/>
        <v>89</v>
      </c>
      <c r="W12" s="59">
        <f t="shared" si="5"/>
        <v>5</v>
      </c>
      <c r="X12" s="228"/>
      <c r="Y12" s="59">
        <v>19</v>
      </c>
      <c r="Z12" s="59">
        <v>65</v>
      </c>
      <c r="AA12" s="60">
        <f t="shared" si="6"/>
        <v>84</v>
      </c>
      <c r="AB12" s="59">
        <f t="shared" si="7"/>
        <v>5</v>
      </c>
      <c r="AC12" s="228"/>
      <c r="AD12" s="109">
        <v>20</v>
      </c>
      <c r="AE12" s="59">
        <v>79</v>
      </c>
      <c r="AF12" s="60">
        <f t="shared" si="8"/>
        <v>99</v>
      </c>
      <c r="AG12" s="59">
        <f t="shared" si="9"/>
        <v>5</v>
      </c>
      <c r="AH12" s="228"/>
      <c r="AI12" s="59">
        <v>19</v>
      </c>
      <c r="AJ12" s="59">
        <v>78</v>
      </c>
      <c r="AK12" s="60">
        <f t="shared" si="10"/>
        <v>97</v>
      </c>
      <c r="AL12" s="59">
        <f t="shared" si="11"/>
        <v>5</v>
      </c>
      <c r="AM12" s="228"/>
      <c r="AN12" s="59">
        <v>0</v>
      </c>
      <c r="AO12" s="59">
        <v>35</v>
      </c>
      <c r="AP12" s="60">
        <f t="shared" si="12"/>
        <v>35</v>
      </c>
      <c r="AQ12" s="59">
        <f t="shared" si="13"/>
        <v>4</v>
      </c>
      <c r="AR12" s="228"/>
      <c r="AS12" s="60">
        <v>50</v>
      </c>
      <c r="AT12" s="59">
        <f t="shared" si="14"/>
        <v>5</v>
      </c>
      <c r="AU12" s="228"/>
      <c r="AV12" s="59">
        <f t="shared" si="15"/>
        <v>34</v>
      </c>
      <c r="AW12" s="61">
        <f t="shared" si="16"/>
        <v>4.8571428571428568</v>
      </c>
      <c r="AX12" s="60">
        <f t="shared" si="17"/>
        <v>691</v>
      </c>
      <c r="AY12" s="62">
        <v>9</v>
      </c>
      <c r="AZ12" s="62"/>
      <c r="BA12" s="64" t="str">
        <f t="shared" si="18"/>
        <v>BETTER</v>
      </c>
      <c r="BB12" s="152">
        <v>657</v>
      </c>
      <c r="BC12" s="152">
        <v>654</v>
      </c>
      <c r="BD12" s="154">
        <v>691</v>
      </c>
      <c r="BE12" s="154">
        <f t="shared" si="19"/>
        <v>667.33333333333337</v>
      </c>
      <c r="BF12" s="155"/>
    </row>
    <row r="13" spans="1:63" ht="18" customHeight="1">
      <c r="A13" s="32">
        <v>6</v>
      </c>
      <c r="B13" s="72">
        <v>6</v>
      </c>
      <c r="C13" s="107" t="s">
        <v>111</v>
      </c>
      <c r="D13" s="107" t="s">
        <v>112</v>
      </c>
      <c r="E13" s="73" t="s">
        <v>113</v>
      </c>
      <c r="F13" s="59">
        <v>20</v>
      </c>
      <c r="G13" s="59">
        <v>79</v>
      </c>
      <c r="H13" s="59">
        <v>10</v>
      </c>
      <c r="I13" s="59">
        <v>38</v>
      </c>
      <c r="J13" s="60">
        <f t="shared" si="0"/>
        <v>147</v>
      </c>
      <c r="K13" s="59">
        <f t="shared" si="1"/>
        <v>5</v>
      </c>
      <c r="L13" s="228"/>
      <c r="M13" s="59">
        <v>19</v>
      </c>
      <c r="N13" s="59">
        <v>77</v>
      </c>
      <c r="O13" s="59">
        <v>10</v>
      </c>
      <c r="P13" s="59">
        <v>38</v>
      </c>
      <c r="Q13" s="60">
        <f t="shared" si="2"/>
        <v>144</v>
      </c>
      <c r="R13" s="59">
        <f t="shared" si="3"/>
        <v>5</v>
      </c>
      <c r="S13" s="228"/>
      <c r="T13" s="59">
        <v>20</v>
      </c>
      <c r="U13" s="59">
        <v>74</v>
      </c>
      <c r="V13" s="60">
        <f t="shared" si="4"/>
        <v>94</v>
      </c>
      <c r="W13" s="59">
        <f t="shared" si="5"/>
        <v>5</v>
      </c>
      <c r="X13" s="228"/>
      <c r="Y13" s="59">
        <v>20</v>
      </c>
      <c r="Z13" s="59">
        <v>78</v>
      </c>
      <c r="AA13" s="60">
        <f t="shared" si="6"/>
        <v>98</v>
      </c>
      <c r="AB13" s="59">
        <f t="shared" si="7"/>
        <v>5</v>
      </c>
      <c r="AC13" s="228"/>
      <c r="AD13" s="109">
        <v>20</v>
      </c>
      <c r="AE13" s="59">
        <v>77</v>
      </c>
      <c r="AF13" s="60">
        <f t="shared" si="8"/>
        <v>97</v>
      </c>
      <c r="AG13" s="59">
        <f t="shared" si="9"/>
        <v>5</v>
      </c>
      <c r="AH13" s="228"/>
      <c r="AI13" s="59">
        <v>19</v>
      </c>
      <c r="AJ13" s="59">
        <v>78</v>
      </c>
      <c r="AK13" s="60">
        <f t="shared" si="10"/>
        <v>97</v>
      </c>
      <c r="AL13" s="59">
        <f t="shared" si="11"/>
        <v>5</v>
      </c>
      <c r="AM13" s="228"/>
      <c r="AN13" s="59">
        <v>0</v>
      </c>
      <c r="AO13" s="59">
        <v>47</v>
      </c>
      <c r="AP13" s="60">
        <f t="shared" si="12"/>
        <v>47</v>
      </c>
      <c r="AQ13" s="59">
        <f t="shared" si="13"/>
        <v>5</v>
      </c>
      <c r="AR13" s="228"/>
      <c r="AS13" s="60">
        <v>50</v>
      </c>
      <c r="AT13" s="59">
        <f t="shared" si="14"/>
        <v>5</v>
      </c>
      <c r="AU13" s="228"/>
      <c r="AV13" s="59">
        <f t="shared" si="15"/>
        <v>35</v>
      </c>
      <c r="AW13" s="61">
        <f t="shared" si="16"/>
        <v>5</v>
      </c>
      <c r="AX13" s="60">
        <f t="shared" si="17"/>
        <v>724</v>
      </c>
      <c r="AY13" s="62">
        <v>2</v>
      </c>
      <c r="AZ13" s="62"/>
      <c r="BA13" s="64" t="str">
        <f t="shared" si="18"/>
        <v>BEST</v>
      </c>
      <c r="BB13" s="152">
        <v>681</v>
      </c>
      <c r="BC13" s="156">
        <v>708</v>
      </c>
      <c r="BD13" s="154">
        <v>724</v>
      </c>
      <c r="BE13" s="154">
        <f t="shared" si="19"/>
        <v>704.33333333333337</v>
      </c>
      <c r="BF13" s="155"/>
      <c r="BG13" s="1"/>
      <c r="BH13" s="1"/>
      <c r="BI13" s="1"/>
      <c r="BJ13" s="1"/>
      <c r="BK13" s="1"/>
    </row>
    <row r="14" spans="1:63" ht="18" customHeight="1">
      <c r="A14" s="32">
        <v>7</v>
      </c>
      <c r="B14" s="72">
        <v>7</v>
      </c>
      <c r="C14" s="107" t="s">
        <v>114</v>
      </c>
      <c r="D14" s="107" t="s">
        <v>109</v>
      </c>
      <c r="E14" s="73" t="s">
        <v>110</v>
      </c>
      <c r="F14" s="59">
        <v>20</v>
      </c>
      <c r="G14" s="59">
        <v>78</v>
      </c>
      <c r="H14" s="59">
        <v>10</v>
      </c>
      <c r="I14" s="59">
        <v>39</v>
      </c>
      <c r="J14" s="60">
        <f t="shared" si="0"/>
        <v>147</v>
      </c>
      <c r="K14" s="59">
        <f t="shared" si="1"/>
        <v>5</v>
      </c>
      <c r="L14" s="228"/>
      <c r="M14" s="59">
        <v>20</v>
      </c>
      <c r="N14" s="59">
        <v>78</v>
      </c>
      <c r="O14" s="59">
        <v>10</v>
      </c>
      <c r="P14" s="59">
        <v>38</v>
      </c>
      <c r="Q14" s="60">
        <f t="shared" si="2"/>
        <v>146</v>
      </c>
      <c r="R14" s="59">
        <f t="shared" si="3"/>
        <v>5</v>
      </c>
      <c r="S14" s="228"/>
      <c r="T14" s="59">
        <v>20</v>
      </c>
      <c r="U14" s="59">
        <v>76</v>
      </c>
      <c r="V14" s="60">
        <f t="shared" si="4"/>
        <v>96</v>
      </c>
      <c r="W14" s="59">
        <f t="shared" si="5"/>
        <v>5</v>
      </c>
      <c r="X14" s="228"/>
      <c r="Y14" s="59">
        <v>20</v>
      </c>
      <c r="Z14" s="59">
        <v>73</v>
      </c>
      <c r="AA14" s="60">
        <f t="shared" si="6"/>
        <v>93</v>
      </c>
      <c r="AB14" s="59">
        <f t="shared" si="7"/>
        <v>5</v>
      </c>
      <c r="AC14" s="228"/>
      <c r="AD14" s="109">
        <v>19</v>
      </c>
      <c r="AE14" s="59">
        <v>72</v>
      </c>
      <c r="AF14" s="60">
        <f t="shared" si="8"/>
        <v>91</v>
      </c>
      <c r="AG14" s="59">
        <f t="shared" si="9"/>
        <v>5</v>
      </c>
      <c r="AH14" s="228"/>
      <c r="AI14" s="59">
        <v>19</v>
      </c>
      <c r="AJ14" s="59">
        <v>76</v>
      </c>
      <c r="AK14" s="60">
        <f t="shared" si="10"/>
        <v>95</v>
      </c>
      <c r="AL14" s="59">
        <f t="shared" si="11"/>
        <v>5</v>
      </c>
      <c r="AM14" s="228"/>
      <c r="AN14" s="59">
        <v>0</v>
      </c>
      <c r="AO14" s="59">
        <v>32</v>
      </c>
      <c r="AP14" s="60">
        <f t="shared" si="12"/>
        <v>32</v>
      </c>
      <c r="AQ14" s="59">
        <f t="shared" si="13"/>
        <v>3.5</v>
      </c>
      <c r="AR14" s="228"/>
      <c r="AS14" s="60">
        <v>50</v>
      </c>
      <c r="AT14" s="59">
        <f t="shared" si="14"/>
        <v>5</v>
      </c>
      <c r="AU14" s="228"/>
      <c r="AV14" s="59">
        <f t="shared" si="15"/>
        <v>33.5</v>
      </c>
      <c r="AW14" s="61">
        <f t="shared" si="16"/>
        <v>4.7857142857142856</v>
      </c>
      <c r="AX14" s="60">
        <f t="shared" si="17"/>
        <v>700</v>
      </c>
      <c r="AY14" s="62">
        <v>4</v>
      </c>
      <c r="AZ14" s="62"/>
      <c r="BA14" s="64" t="str">
        <f t="shared" si="18"/>
        <v>BETTER</v>
      </c>
      <c r="BB14" s="152">
        <v>703</v>
      </c>
      <c r="BC14" s="152">
        <v>700</v>
      </c>
      <c r="BD14" s="154">
        <v>700</v>
      </c>
      <c r="BE14" s="154">
        <f t="shared" si="19"/>
        <v>701</v>
      </c>
      <c r="BF14" s="155"/>
    </row>
    <row r="15" spans="1:63" ht="18" customHeight="1">
      <c r="A15" s="32">
        <v>8</v>
      </c>
      <c r="B15" s="72">
        <v>8</v>
      </c>
      <c r="C15" s="107" t="s">
        <v>115</v>
      </c>
      <c r="D15" s="107" t="s">
        <v>116</v>
      </c>
      <c r="E15" s="73" t="s">
        <v>117</v>
      </c>
      <c r="F15" s="59">
        <v>16</v>
      </c>
      <c r="G15" s="59">
        <v>47</v>
      </c>
      <c r="H15" s="59">
        <v>10</v>
      </c>
      <c r="I15" s="59">
        <v>20</v>
      </c>
      <c r="J15" s="60">
        <f t="shared" si="0"/>
        <v>93</v>
      </c>
      <c r="K15" s="59">
        <f t="shared" si="1"/>
        <v>3.5</v>
      </c>
      <c r="L15" s="228"/>
      <c r="M15" s="59">
        <v>11</v>
      </c>
      <c r="N15" s="59">
        <v>36</v>
      </c>
      <c r="O15" s="59">
        <v>8</v>
      </c>
      <c r="P15" s="59">
        <v>20</v>
      </c>
      <c r="Q15" s="60">
        <f t="shared" si="2"/>
        <v>75</v>
      </c>
      <c r="R15" s="59">
        <f t="shared" si="3"/>
        <v>3</v>
      </c>
      <c r="S15" s="228"/>
      <c r="T15" s="59">
        <v>0</v>
      </c>
      <c r="U15" s="59">
        <v>45</v>
      </c>
      <c r="V15" s="60">
        <f t="shared" si="4"/>
        <v>45</v>
      </c>
      <c r="W15" s="59">
        <f t="shared" si="5"/>
        <v>2</v>
      </c>
      <c r="X15" s="228"/>
      <c r="Y15" s="59">
        <v>16</v>
      </c>
      <c r="Z15" s="59">
        <v>32</v>
      </c>
      <c r="AA15" s="60">
        <f t="shared" si="6"/>
        <v>48</v>
      </c>
      <c r="AB15" s="59">
        <f t="shared" si="7"/>
        <v>2</v>
      </c>
      <c r="AC15" s="228"/>
      <c r="AD15" s="109">
        <v>9</v>
      </c>
      <c r="AE15" s="59">
        <v>32</v>
      </c>
      <c r="AF15" s="60">
        <f t="shared" si="8"/>
        <v>41</v>
      </c>
      <c r="AG15" s="59">
        <f t="shared" si="9"/>
        <v>2</v>
      </c>
      <c r="AH15" s="228"/>
      <c r="AI15" s="59">
        <v>19</v>
      </c>
      <c r="AJ15" s="59">
        <v>58</v>
      </c>
      <c r="AK15" s="60">
        <f t="shared" si="10"/>
        <v>77</v>
      </c>
      <c r="AL15" s="59">
        <f t="shared" si="11"/>
        <v>4</v>
      </c>
      <c r="AM15" s="228"/>
      <c r="AN15" s="59">
        <v>0</v>
      </c>
      <c r="AO15" s="59">
        <v>36</v>
      </c>
      <c r="AP15" s="60">
        <f t="shared" si="12"/>
        <v>36</v>
      </c>
      <c r="AQ15" s="59">
        <f t="shared" si="13"/>
        <v>4</v>
      </c>
      <c r="AR15" s="228"/>
      <c r="AS15" s="60">
        <v>38</v>
      </c>
      <c r="AT15" s="59">
        <f t="shared" si="14"/>
        <v>4</v>
      </c>
      <c r="AU15" s="228"/>
      <c r="AV15" s="59">
        <f t="shared" si="15"/>
        <v>20.5</v>
      </c>
      <c r="AW15" s="61">
        <f t="shared" si="16"/>
        <v>2.9285714285714284</v>
      </c>
      <c r="AX15" s="60">
        <f t="shared" si="17"/>
        <v>415</v>
      </c>
      <c r="AY15" s="62">
        <v>22</v>
      </c>
      <c r="AZ15" s="62"/>
      <c r="BA15" s="64" t="str">
        <f t="shared" si="18"/>
        <v>GOOD</v>
      </c>
      <c r="BB15" s="152">
        <v>419</v>
      </c>
      <c r="BC15" s="152">
        <v>477</v>
      </c>
      <c r="BD15" s="154">
        <v>415</v>
      </c>
      <c r="BE15" s="154">
        <f t="shared" si="19"/>
        <v>437</v>
      </c>
      <c r="BF15" s="155"/>
    </row>
    <row r="16" spans="1:63" ht="18" customHeight="1">
      <c r="A16" s="32">
        <v>9</v>
      </c>
      <c r="B16" s="72">
        <v>9</v>
      </c>
      <c r="C16" s="107" t="s">
        <v>118</v>
      </c>
      <c r="D16" s="107" t="s">
        <v>119</v>
      </c>
      <c r="E16" s="73" t="s">
        <v>120</v>
      </c>
      <c r="F16" s="59">
        <v>20</v>
      </c>
      <c r="G16" s="59">
        <v>79</v>
      </c>
      <c r="H16" s="59">
        <v>10</v>
      </c>
      <c r="I16" s="59">
        <v>39</v>
      </c>
      <c r="J16" s="60">
        <f t="shared" si="0"/>
        <v>148</v>
      </c>
      <c r="K16" s="59">
        <f t="shared" si="1"/>
        <v>5</v>
      </c>
      <c r="L16" s="228"/>
      <c r="M16" s="59">
        <v>20</v>
      </c>
      <c r="N16" s="59">
        <v>77</v>
      </c>
      <c r="O16" s="59">
        <v>10</v>
      </c>
      <c r="P16" s="59">
        <v>38</v>
      </c>
      <c r="Q16" s="60">
        <f t="shared" si="2"/>
        <v>145</v>
      </c>
      <c r="R16" s="59">
        <f t="shared" si="3"/>
        <v>5</v>
      </c>
      <c r="S16" s="228"/>
      <c r="T16" s="59">
        <v>13</v>
      </c>
      <c r="U16" s="59">
        <v>74</v>
      </c>
      <c r="V16" s="60">
        <f t="shared" si="4"/>
        <v>87</v>
      </c>
      <c r="W16" s="59">
        <f t="shared" si="5"/>
        <v>5</v>
      </c>
      <c r="X16" s="228"/>
      <c r="Y16" s="59">
        <v>20</v>
      </c>
      <c r="Z16" s="59">
        <v>78</v>
      </c>
      <c r="AA16" s="60">
        <f t="shared" si="6"/>
        <v>98</v>
      </c>
      <c r="AB16" s="59">
        <f t="shared" si="7"/>
        <v>5</v>
      </c>
      <c r="AC16" s="228"/>
      <c r="AD16" s="109">
        <v>20</v>
      </c>
      <c r="AE16" s="59">
        <v>79</v>
      </c>
      <c r="AF16" s="60">
        <f t="shared" si="8"/>
        <v>99</v>
      </c>
      <c r="AG16" s="59">
        <f t="shared" si="9"/>
        <v>5</v>
      </c>
      <c r="AH16" s="228"/>
      <c r="AI16" s="59">
        <v>20</v>
      </c>
      <c r="AJ16" s="59">
        <v>78</v>
      </c>
      <c r="AK16" s="60">
        <f t="shared" si="10"/>
        <v>98</v>
      </c>
      <c r="AL16" s="59">
        <f t="shared" si="11"/>
        <v>5</v>
      </c>
      <c r="AM16" s="228"/>
      <c r="AN16" s="59">
        <v>0</v>
      </c>
      <c r="AO16" s="59">
        <v>50</v>
      </c>
      <c r="AP16" s="60">
        <f t="shared" si="12"/>
        <v>50</v>
      </c>
      <c r="AQ16" s="59">
        <f t="shared" si="13"/>
        <v>5</v>
      </c>
      <c r="AR16" s="228"/>
      <c r="AS16" s="60">
        <v>50</v>
      </c>
      <c r="AT16" s="59">
        <f t="shared" si="14"/>
        <v>5</v>
      </c>
      <c r="AU16" s="228"/>
      <c r="AV16" s="59">
        <f t="shared" si="15"/>
        <v>35</v>
      </c>
      <c r="AW16" s="61">
        <f t="shared" si="16"/>
        <v>5</v>
      </c>
      <c r="AX16" s="60">
        <f t="shared" si="17"/>
        <v>725</v>
      </c>
      <c r="AY16" s="63">
        <v>6</v>
      </c>
      <c r="AZ16" s="62"/>
      <c r="BA16" s="64" t="str">
        <f t="shared" si="18"/>
        <v>BEST</v>
      </c>
      <c r="BB16" s="152">
        <v>659</v>
      </c>
      <c r="BC16" s="152">
        <v>689</v>
      </c>
      <c r="BD16" s="154">
        <v>725</v>
      </c>
      <c r="BE16" s="154">
        <f t="shared" si="19"/>
        <v>691</v>
      </c>
      <c r="BF16" s="155"/>
    </row>
    <row r="17" spans="1:58" ht="18" customHeight="1">
      <c r="A17" s="32">
        <v>10</v>
      </c>
      <c r="B17" s="72">
        <v>10</v>
      </c>
      <c r="C17" s="107" t="s">
        <v>121</v>
      </c>
      <c r="D17" s="107" t="s">
        <v>122</v>
      </c>
      <c r="E17" s="73" t="s">
        <v>123</v>
      </c>
      <c r="F17" s="59">
        <v>19</v>
      </c>
      <c r="G17" s="59">
        <v>54</v>
      </c>
      <c r="H17" s="59">
        <v>10</v>
      </c>
      <c r="I17" s="59">
        <v>35</v>
      </c>
      <c r="J17" s="60">
        <f t="shared" si="0"/>
        <v>118</v>
      </c>
      <c r="K17" s="59">
        <f t="shared" si="1"/>
        <v>4</v>
      </c>
      <c r="L17" s="228"/>
      <c r="M17" s="59">
        <v>19</v>
      </c>
      <c r="N17" s="59">
        <v>62</v>
      </c>
      <c r="O17" s="59">
        <v>10</v>
      </c>
      <c r="P17" s="59">
        <v>37</v>
      </c>
      <c r="Q17" s="60">
        <f t="shared" si="2"/>
        <v>128</v>
      </c>
      <c r="R17" s="59">
        <f t="shared" si="3"/>
        <v>5</v>
      </c>
      <c r="S17" s="228"/>
      <c r="T17" s="59">
        <v>19</v>
      </c>
      <c r="U17" s="59">
        <v>56</v>
      </c>
      <c r="V17" s="60">
        <f t="shared" si="4"/>
        <v>75</v>
      </c>
      <c r="W17" s="59">
        <f t="shared" si="5"/>
        <v>4</v>
      </c>
      <c r="X17" s="228"/>
      <c r="Y17" s="59">
        <v>18</v>
      </c>
      <c r="Z17" s="59">
        <v>62</v>
      </c>
      <c r="AA17" s="60">
        <f t="shared" si="6"/>
        <v>80</v>
      </c>
      <c r="AB17" s="59">
        <f t="shared" si="7"/>
        <v>5</v>
      </c>
      <c r="AC17" s="228"/>
      <c r="AD17" s="109">
        <v>17</v>
      </c>
      <c r="AE17" s="59">
        <v>38</v>
      </c>
      <c r="AF17" s="60">
        <f t="shared" si="8"/>
        <v>55</v>
      </c>
      <c r="AG17" s="59">
        <f t="shared" si="9"/>
        <v>3</v>
      </c>
      <c r="AH17" s="228"/>
      <c r="AI17" s="59">
        <v>19</v>
      </c>
      <c r="AJ17" s="59">
        <v>74</v>
      </c>
      <c r="AK17" s="60">
        <f t="shared" si="10"/>
        <v>93</v>
      </c>
      <c r="AL17" s="59">
        <f t="shared" si="11"/>
        <v>5</v>
      </c>
      <c r="AM17" s="228"/>
      <c r="AN17" s="59">
        <v>0</v>
      </c>
      <c r="AO17" s="59">
        <v>43</v>
      </c>
      <c r="AP17" s="60">
        <f t="shared" si="12"/>
        <v>43</v>
      </c>
      <c r="AQ17" s="59">
        <f t="shared" si="13"/>
        <v>5</v>
      </c>
      <c r="AR17" s="228"/>
      <c r="AS17" s="60">
        <v>38</v>
      </c>
      <c r="AT17" s="59">
        <f t="shared" si="14"/>
        <v>4</v>
      </c>
      <c r="AU17" s="228"/>
      <c r="AV17" s="59">
        <f t="shared" si="15"/>
        <v>31</v>
      </c>
      <c r="AW17" s="61">
        <f t="shared" si="16"/>
        <v>4.4285714285714288</v>
      </c>
      <c r="AX17" s="60">
        <f t="shared" si="17"/>
        <v>592</v>
      </c>
      <c r="AY17" s="62">
        <v>18</v>
      </c>
      <c r="AZ17" s="62"/>
      <c r="BA17" s="64" t="str">
        <f t="shared" si="18"/>
        <v>BETTER</v>
      </c>
      <c r="BB17" s="152">
        <v>556</v>
      </c>
      <c r="BC17" s="152">
        <v>544</v>
      </c>
      <c r="BD17" s="154">
        <v>592</v>
      </c>
      <c r="BE17" s="154">
        <f t="shared" si="19"/>
        <v>564</v>
      </c>
      <c r="BF17" s="155"/>
    </row>
    <row r="18" spans="1:58" ht="18" customHeight="1">
      <c r="A18" s="32">
        <v>11</v>
      </c>
      <c r="B18" s="72">
        <v>11</v>
      </c>
      <c r="C18" s="107" t="s">
        <v>124</v>
      </c>
      <c r="D18" s="107" t="s">
        <v>125</v>
      </c>
      <c r="E18" s="73" t="s">
        <v>126</v>
      </c>
      <c r="F18" s="59">
        <v>20</v>
      </c>
      <c r="G18" s="59">
        <v>78</v>
      </c>
      <c r="H18" s="59">
        <v>10</v>
      </c>
      <c r="I18" s="59">
        <v>39</v>
      </c>
      <c r="J18" s="60">
        <f t="shared" si="0"/>
        <v>147</v>
      </c>
      <c r="K18" s="59">
        <f t="shared" si="1"/>
        <v>5</v>
      </c>
      <c r="L18" s="228"/>
      <c r="M18" s="59">
        <v>20</v>
      </c>
      <c r="N18" s="59">
        <v>78</v>
      </c>
      <c r="O18" s="59">
        <v>10</v>
      </c>
      <c r="P18" s="59">
        <v>38</v>
      </c>
      <c r="Q18" s="60">
        <f t="shared" si="2"/>
        <v>146</v>
      </c>
      <c r="R18" s="59">
        <f t="shared" si="3"/>
        <v>5</v>
      </c>
      <c r="S18" s="228"/>
      <c r="T18" s="59">
        <v>20</v>
      </c>
      <c r="U18" s="59">
        <v>72</v>
      </c>
      <c r="V18" s="60">
        <f t="shared" si="4"/>
        <v>92</v>
      </c>
      <c r="W18" s="59">
        <f t="shared" si="5"/>
        <v>5</v>
      </c>
      <c r="X18" s="228"/>
      <c r="Y18" s="59">
        <v>20</v>
      </c>
      <c r="Z18" s="59">
        <v>78</v>
      </c>
      <c r="AA18" s="60">
        <f t="shared" si="6"/>
        <v>98</v>
      </c>
      <c r="AB18" s="59">
        <f t="shared" si="7"/>
        <v>5</v>
      </c>
      <c r="AC18" s="228"/>
      <c r="AD18" s="109">
        <v>20</v>
      </c>
      <c r="AE18" s="59">
        <v>78</v>
      </c>
      <c r="AF18" s="60">
        <f t="shared" si="8"/>
        <v>98</v>
      </c>
      <c r="AG18" s="59">
        <f t="shared" si="9"/>
        <v>5</v>
      </c>
      <c r="AH18" s="228"/>
      <c r="AI18" s="59">
        <v>19</v>
      </c>
      <c r="AJ18" s="59">
        <v>78</v>
      </c>
      <c r="AK18" s="60">
        <f t="shared" si="10"/>
        <v>97</v>
      </c>
      <c r="AL18" s="59">
        <f t="shared" si="11"/>
        <v>5</v>
      </c>
      <c r="AM18" s="228"/>
      <c r="AN18" s="59">
        <v>0</v>
      </c>
      <c r="AO18" s="59">
        <v>45</v>
      </c>
      <c r="AP18" s="60">
        <f t="shared" si="12"/>
        <v>45</v>
      </c>
      <c r="AQ18" s="59">
        <f t="shared" si="13"/>
        <v>5</v>
      </c>
      <c r="AR18" s="228"/>
      <c r="AS18" s="60">
        <v>50</v>
      </c>
      <c r="AT18" s="59">
        <f t="shared" si="14"/>
        <v>5</v>
      </c>
      <c r="AU18" s="228"/>
      <c r="AV18" s="59">
        <f t="shared" si="15"/>
        <v>35</v>
      </c>
      <c r="AW18" s="61">
        <f t="shared" si="16"/>
        <v>5</v>
      </c>
      <c r="AX18" s="60">
        <f t="shared" si="17"/>
        <v>723</v>
      </c>
      <c r="AY18" s="62">
        <v>3</v>
      </c>
      <c r="AZ18" s="62"/>
      <c r="BA18" s="64" t="str">
        <f t="shared" si="18"/>
        <v>BEST</v>
      </c>
      <c r="BB18" s="152">
        <v>681</v>
      </c>
      <c r="BC18" s="152">
        <v>704</v>
      </c>
      <c r="BD18" s="154">
        <v>723</v>
      </c>
      <c r="BE18" s="154">
        <f t="shared" si="19"/>
        <v>702.66666666666663</v>
      </c>
      <c r="BF18" s="155"/>
    </row>
    <row r="19" spans="1:58" ht="18" customHeight="1">
      <c r="A19" s="32">
        <v>12</v>
      </c>
      <c r="B19" s="72">
        <v>12</v>
      </c>
      <c r="C19" s="107" t="s">
        <v>127</v>
      </c>
      <c r="D19" s="107" t="s">
        <v>128</v>
      </c>
      <c r="E19" s="73" t="s">
        <v>129</v>
      </c>
      <c r="F19" s="59">
        <v>19</v>
      </c>
      <c r="G19" s="59">
        <v>74</v>
      </c>
      <c r="H19" s="59">
        <v>10</v>
      </c>
      <c r="I19" s="59">
        <v>38</v>
      </c>
      <c r="J19" s="60">
        <f t="shared" si="0"/>
        <v>141</v>
      </c>
      <c r="K19" s="59">
        <f t="shared" si="1"/>
        <v>5</v>
      </c>
      <c r="L19" s="228"/>
      <c r="M19" s="59">
        <v>18</v>
      </c>
      <c r="N19" s="59">
        <v>62</v>
      </c>
      <c r="O19" s="59">
        <v>10</v>
      </c>
      <c r="P19" s="59">
        <v>37</v>
      </c>
      <c r="Q19" s="60">
        <f t="shared" si="2"/>
        <v>127</v>
      </c>
      <c r="R19" s="59">
        <f t="shared" si="3"/>
        <v>5</v>
      </c>
      <c r="S19" s="228"/>
      <c r="T19" s="59">
        <v>20</v>
      </c>
      <c r="U19" s="59">
        <v>66</v>
      </c>
      <c r="V19" s="60">
        <f t="shared" si="4"/>
        <v>86</v>
      </c>
      <c r="W19" s="59">
        <f t="shared" si="5"/>
        <v>5</v>
      </c>
      <c r="X19" s="228"/>
      <c r="Y19" s="59">
        <v>20</v>
      </c>
      <c r="Z19" s="59">
        <v>48</v>
      </c>
      <c r="AA19" s="60">
        <f t="shared" si="6"/>
        <v>68</v>
      </c>
      <c r="AB19" s="59">
        <f t="shared" si="7"/>
        <v>3.5</v>
      </c>
      <c r="AC19" s="228"/>
      <c r="AD19" s="109">
        <v>20</v>
      </c>
      <c r="AE19" s="59">
        <v>70</v>
      </c>
      <c r="AF19" s="60">
        <f t="shared" si="8"/>
        <v>90</v>
      </c>
      <c r="AG19" s="59">
        <f t="shared" si="9"/>
        <v>5</v>
      </c>
      <c r="AH19" s="228"/>
      <c r="AI19" s="59">
        <v>19</v>
      </c>
      <c r="AJ19" s="59">
        <v>75</v>
      </c>
      <c r="AK19" s="60">
        <f t="shared" si="10"/>
        <v>94</v>
      </c>
      <c r="AL19" s="59">
        <f t="shared" si="11"/>
        <v>5</v>
      </c>
      <c r="AM19" s="228"/>
      <c r="AN19" s="59">
        <v>0</v>
      </c>
      <c r="AO19" s="59">
        <v>49</v>
      </c>
      <c r="AP19" s="60">
        <f t="shared" si="12"/>
        <v>49</v>
      </c>
      <c r="AQ19" s="59">
        <f t="shared" si="13"/>
        <v>5</v>
      </c>
      <c r="AR19" s="228"/>
      <c r="AS19" s="60">
        <v>43</v>
      </c>
      <c r="AT19" s="59">
        <f t="shared" si="14"/>
        <v>5</v>
      </c>
      <c r="AU19" s="228"/>
      <c r="AV19" s="59">
        <f t="shared" si="15"/>
        <v>33.5</v>
      </c>
      <c r="AW19" s="61">
        <f t="shared" si="16"/>
        <v>4.7857142857142856</v>
      </c>
      <c r="AX19" s="60">
        <f t="shared" si="17"/>
        <v>655</v>
      </c>
      <c r="AY19" s="62">
        <v>12</v>
      </c>
      <c r="AZ19" s="62"/>
      <c r="BA19" s="64" t="str">
        <f t="shared" si="18"/>
        <v>BETTER</v>
      </c>
      <c r="BB19" s="152">
        <v>557</v>
      </c>
      <c r="BC19" s="152">
        <v>638</v>
      </c>
      <c r="BD19" s="154">
        <v>655</v>
      </c>
      <c r="BE19" s="154">
        <f t="shared" si="19"/>
        <v>616.66666666666663</v>
      </c>
      <c r="BF19" s="155"/>
    </row>
    <row r="20" spans="1:58" ht="18" customHeight="1">
      <c r="A20" s="32">
        <v>13</v>
      </c>
      <c r="B20" s="72">
        <v>13</v>
      </c>
      <c r="C20" s="107" t="s">
        <v>130</v>
      </c>
      <c r="D20" s="107" t="s">
        <v>131</v>
      </c>
      <c r="E20" s="73" t="s">
        <v>132</v>
      </c>
      <c r="F20" s="59">
        <v>20</v>
      </c>
      <c r="G20" s="59">
        <v>65</v>
      </c>
      <c r="H20" s="59">
        <v>10</v>
      </c>
      <c r="I20" s="59">
        <v>30</v>
      </c>
      <c r="J20" s="60">
        <f t="shared" si="0"/>
        <v>125</v>
      </c>
      <c r="K20" s="59">
        <f t="shared" si="1"/>
        <v>5</v>
      </c>
      <c r="L20" s="228"/>
      <c r="M20" s="59">
        <v>15</v>
      </c>
      <c r="N20" s="59">
        <v>59</v>
      </c>
      <c r="O20" s="59">
        <v>10</v>
      </c>
      <c r="P20" s="59">
        <v>28</v>
      </c>
      <c r="Q20" s="60">
        <f t="shared" si="2"/>
        <v>112</v>
      </c>
      <c r="R20" s="59">
        <f t="shared" si="3"/>
        <v>4</v>
      </c>
      <c r="S20" s="228"/>
      <c r="T20" s="59">
        <v>16</v>
      </c>
      <c r="U20" s="59">
        <v>57</v>
      </c>
      <c r="V20" s="60">
        <f t="shared" si="4"/>
        <v>73</v>
      </c>
      <c r="W20" s="59">
        <f t="shared" si="5"/>
        <v>4</v>
      </c>
      <c r="X20" s="228"/>
      <c r="Y20" s="59">
        <v>20</v>
      </c>
      <c r="Z20" s="59">
        <v>50</v>
      </c>
      <c r="AA20" s="60">
        <f t="shared" si="6"/>
        <v>70</v>
      </c>
      <c r="AB20" s="59">
        <f t="shared" si="7"/>
        <v>4</v>
      </c>
      <c r="AC20" s="228"/>
      <c r="AD20" s="109">
        <v>17</v>
      </c>
      <c r="AE20" s="59">
        <v>54</v>
      </c>
      <c r="AF20" s="60">
        <f t="shared" si="8"/>
        <v>71</v>
      </c>
      <c r="AG20" s="59">
        <f t="shared" si="9"/>
        <v>4</v>
      </c>
      <c r="AH20" s="228"/>
      <c r="AI20" s="59">
        <v>19</v>
      </c>
      <c r="AJ20" s="59">
        <v>64</v>
      </c>
      <c r="AK20" s="60">
        <f t="shared" si="10"/>
        <v>83</v>
      </c>
      <c r="AL20" s="59">
        <f t="shared" si="11"/>
        <v>5</v>
      </c>
      <c r="AM20" s="228"/>
      <c r="AN20" s="59">
        <v>0</v>
      </c>
      <c r="AO20" s="59">
        <v>35</v>
      </c>
      <c r="AP20" s="60">
        <f t="shared" si="12"/>
        <v>35</v>
      </c>
      <c r="AQ20" s="59">
        <f t="shared" si="13"/>
        <v>4</v>
      </c>
      <c r="AR20" s="228"/>
      <c r="AS20" s="60">
        <v>50</v>
      </c>
      <c r="AT20" s="59">
        <f t="shared" si="14"/>
        <v>5</v>
      </c>
      <c r="AU20" s="228"/>
      <c r="AV20" s="59">
        <f t="shared" si="15"/>
        <v>30</v>
      </c>
      <c r="AW20" s="61">
        <f t="shared" si="16"/>
        <v>4.2857142857142856</v>
      </c>
      <c r="AX20" s="60">
        <f t="shared" si="17"/>
        <v>569</v>
      </c>
      <c r="AY20" s="62">
        <v>20</v>
      </c>
      <c r="AZ20" s="62"/>
      <c r="BA20" s="64" t="str">
        <f t="shared" si="18"/>
        <v>BETTER</v>
      </c>
      <c r="BB20" s="152">
        <v>562</v>
      </c>
      <c r="BC20" s="152">
        <v>500</v>
      </c>
      <c r="BD20" s="154">
        <v>569</v>
      </c>
      <c r="BE20" s="154">
        <f t="shared" si="19"/>
        <v>543.66666666666663</v>
      </c>
      <c r="BF20" s="155"/>
    </row>
    <row r="21" spans="1:58" ht="18" customHeight="1">
      <c r="A21" s="32">
        <v>14</v>
      </c>
      <c r="B21" s="72">
        <v>14</v>
      </c>
      <c r="C21" s="107" t="s">
        <v>133</v>
      </c>
      <c r="D21" s="107" t="s">
        <v>134</v>
      </c>
      <c r="E21" s="73" t="s">
        <v>135</v>
      </c>
      <c r="F21" s="59">
        <v>20</v>
      </c>
      <c r="G21" s="59">
        <v>73</v>
      </c>
      <c r="H21" s="59">
        <v>10</v>
      </c>
      <c r="I21" s="59">
        <v>30</v>
      </c>
      <c r="J21" s="60">
        <f t="shared" si="0"/>
        <v>133</v>
      </c>
      <c r="K21" s="59">
        <f t="shared" si="1"/>
        <v>5</v>
      </c>
      <c r="L21" s="228"/>
      <c r="M21" s="59">
        <v>16</v>
      </c>
      <c r="N21" s="59">
        <v>62</v>
      </c>
      <c r="O21" s="59">
        <v>10</v>
      </c>
      <c r="P21" s="59">
        <v>38</v>
      </c>
      <c r="Q21" s="60">
        <f t="shared" si="2"/>
        <v>126</v>
      </c>
      <c r="R21" s="59">
        <f t="shared" si="3"/>
        <v>5</v>
      </c>
      <c r="S21" s="228"/>
      <c r="T21" s="59">
        <v>17</v>
      </c>
      <c r="U21" s="59">
        <v>61</v>
      </c>
      <c r="V21" s="60">
        <f t="shared" si="4"/>
        <v>78</v>
      </c>
      <c r="W21" s="59">
        <f t="shared" si="5"/>
        <v>4</v>
      </c>
      <c r="X21" s="228"/>
      <c r="Y21" s="59">
        <v>20</v>
      </c>
      <c r="Z21" s="59">
        <v>45</v>
      </c>
      <c r="AA21" s="60">
        <f t="shared" si="6"/>
        <v>65</v>
      </c>
      <c r="AB21" s="59">
        <f t="shared" si="7"/>
        <v>3.5</v>
      </c>
      <c r="AC21" s="228"/>
      <c r="AD21" s="109">
        <v>20</v>
      </c>
      <c r="AE21" s="59">
        <v>72</v>
      </c>
      <c r="AF21" s="60">
        <f t="shared" si="8"/>
        <v>92</v>
      </c>
      <c r="AG21" s="59">
        <f t="shared" si="9"/>
        <v>5</v>
      </c>
      <c r="AH21" s="228"/>
      <c r="AI21" s="59">
        <v>19</v>
      </c>
      <c r="AJ21" s="59">
        <v>76</v>
      </c>
      <c r="AK21" s="60">
        <f t="shared" si="10"/>
        <v>95</v>
      </c>
      <c r="AL21" s="59">
        <f t="shared" si="11"/>
        <v>5</v>
      </c>
      <c r="AM21" s="228"/>
      <c r="AN21" s="59">
        <v>0</v>
      </c>
      <c r="AO21" s="59">
        <v>36</v>
      </c>
      <c r="AP21" s="60">
        <f t="shared" si="12"/>
        <v>36</v>
      </c>
      <c r="AQ21" s="59">
        <f t="shared" si="13"/>
        <v>4</v>
      </c>
      <c r="AR21" s="228"/>
      <c r="AS21" s="60">
        <v>0</v>
      </c>
      <c r="AT21" s="59" t="str">
        <f t="shared" si="14"/>
        <v>F</v>
      </c>
      <c r="AU21" s="228"/>
      <c r="AV21" s="59">
        <f t="shared" si="15"/>
        <v>31.5</v>
      </c>
      <c r="AW21" s="61">
        <f t="shared" si="16"/>
        <v>4.5</v>
      </c>
      <c r="AX21" s="60">
        <f t="shared" si="17"/>
        <v>625</v>
      </c>
      <c r="AY21" s="62">
        <v>15</v>
      </c>
      <c r="AZ21" s="62"/>
      <c r="BA21" s="64" t="str">
        <f t="shared" si="18"/>
        <v>BETTER</v>
      </c>
      <c r="BB21" s="152">
        <v>536</v>
      </c>
      <c r="BC21" s="152">
        <v>604</v>
      </c>
      <c r="BD21" s="154">
        <v>625</v>
      </c>
      <c r="BE21" s="154">
        <f t="shared" si="19"/>
        <v>588.33333333333337</v>
      </c>
      <c r="BF21" s="155"/>
    </row>
    <row r="22" spans="1:58" ht="18" customHeight="1">
      <c r="A22" s="32">
        <v>15</v>
      </c>
      <c r="B22" s="72">
        <v>15</v>
      </c>
      <c r="C22" s="107" t="s">
        <v>136</v>
      </c>
      <c r="D22" s="107" t="s">
        <v>137</v>
      </c>
      <c r="E22" s="73" t="s">
        <v>138</v>
      </c>
      <c r="F22" s="59">
        <v>0</v>
      </c>
      <c r="G22" s="59">
        <v>0</v>
      </c>
      <c r="H22" s="59">
        <v>0</v>
      </c>
      <c r="I22" s="59">
        <v>0</v>
      </c>
      <c r="J22" s="60">
        <f t="shared" si="0"/>
        <v>0</v>
      </c>
      <c r="K22" s="59" t="str">
        <f t="shared" si="1"/>
        <v>F</v>
      </c>
      <c r="L22" s="228"/>
      <c r="M22" s="59">
        <v>0</v>
      </c>
      <c r="N22" s="59">
        <v>0</v>
      </c>
      <c r="O22" s="59">
        <v>0</v>
      </c>
      <c r="P22" s="59">
        <v>0</v>
      </c>
      <c r="Q22" s="60">
        <f t="shared" si="2"/>
        <v>0</v>
      </c>
      <c r="R22" s="59" t="str">
        <f t="shared" si="3"/>
        <v>F</v>
      </c>
      <c r="S22" s="228"/>
      <c r="T22" s="59">
        <v>0</v>
      </c>
      <c r="U22" s="59">
        <v>0</v>
      </c>
      <c r="V22" s="60">
        <f t="shared" si="4"/>
        <v>0</v>
      </c>
      <c r="W22" s="59" t="str">
        <f t="shared" si="5"/>
        <v>F</v>
      </c>
      <c r="X22" s="228"/>
      <c r="Y22" s="59">
        <v>0</v>
      </c>
      <c r="Z22" s="59">
        <v>0</v>
      </c>
      <c r="AA22" s="60">
        <f t="shared" si="6"/>
        <v>0</v>
      </c>
      <c r="AB22" s="59" t="str">
        <f t="shared" si="7"/>
        <v>F</v>
      </c>
      <c r="AC22" s="228"/>
      <c r="AD22" s="109">
        <v>0</v>
      </c>
      <c r="AE22" s="59">
        <v>0</v>
      </c>
      <c r="AF22" s="60">
        <f t="shared" si="8"/>
        <v>0</v>
      </c>
      <c r="AG22" s="59" t="str">
        <f t="shared" si="9"/>
        <v>F</v>
      </c>
      <c r="AH22" s="228"/>
      <c r="AI22" s="59">
        <v>0</v>
      </c>
      <c r="AJ22" s="59">
        <v>0</v>
      </c>
      <c r="AK22" s="60">
        <f t="shared" si="10"/>
        <v>0</v>
      </c>
      <c r="AL22" s="59" t="str">
        <f t="shared" si="11"/>
        <v>F</v>
      </c>
      <c r="AM22" s="228"/>
      <c r="AN22" s="59">
        <v>0</v>
      </c>
      <c r="AO22" s="59">
        <v>0</v>
      </c>
      <c r="AP22" s="60">
        <f t="shared" si="12"/>
        <v>0</v>
      </c>
      <c r="AQ22" s="59" t="str">
        <f t="shared" si="13"/>
        <v>F</v>
      </c>
      <c r="AR22" s="228"/>
      <c r="AS22" s="60">
        <v>0</v>
      </c>
      <c r="AT22" s="59" t="str">
        <f t="shared" si="14"/>
        <v>F</v>
      </c>
      <c r="AU22" s="228"/>
      <c r="AV22" s="59" t="str">
        <f t="shared" si="15"/>
        <v>F</v>
      </c>
      <c r="AW22" s="61" t="str">
        <f t="shared" si="16"/>
        <v>F</v>
      </c>
      <c r="AX22" s="60">
        <f t="shared" si="17"/>
        <v>0</v>
      </c>
      <c r="AY22" s="62"/>
      <c r="AZ22" s="62"/>
      <c r="BA22" s="64" t="str">
        <f t="shared" si="18"/>
        <v>NEED TO PROGRESS</v>
      </c>
      <c r="BB22" s="152">
        <v>0</v>
      </c>
      <c r="BC22" s="152">
        <v>15</v>
      </c>
      <c r="BD22" s="154">
        <v>0</v>
      </c>
      <c r="BE22" s="154">
        <f t="shared" si="19"/>
        <v>5</v>
      </c>
      <c r="BF22" s="155"/>
    </row>
    <row r="23" spans="1:58" ht="18" customHeight="1">
      <c r="A23" s="32">
        <v>16</v>
      </c>
      <c r="B23" s="72">
        <v>16</v>
      </c>
      <c r="C23" s="107" t="s">
        <v>139</v>
      </c>
      <c r="D23" s="107" t="s">
        <v>140</v>
      </c>
      <c r="E23" s="73" t="s">
        <v>141</v>
      </c>
      <c r="F23" s="59">
        <v>20</v>
      </c>
      <c r="G23" s="59">
        <v>78</v>
      </c>
      <c r="H23" s="59">
        <v>10</v>
      </c>
      <c r="I23" s="59">
        <v>37</v>
      </c>
      <c r="J23" s="60">
        <f t="shared" si="0"/>
        <v>145</v>
      </c>
      <c r="K23" s="59">
        <f t="shared" si="1"/>
        <v>5</v>
      </c>
      <c r="L23" s="228"/>
      <c r="M23" s="59">
        <v>20</v>
      </c>
      <c r="N23" s="59">
        <v>78</v>
      </c>
      <c r="O23" s="59">
        <v>10</v>
      </c>
      <c r="P23" s="59">
        <v>38</v>
      </c>
      <c r="Q23" s="60">
        <f t="shared" si="2"/>
        <v>146</v>
      </c>
      <c r="R23" s="59">
        <f t="shared" si="3"/>
        <v>5</v>
      </c>
      <c r="S23" s="228"/>
      <c r="T23" s="59">
        <v>19</v>
      </c>
      <c r="U23" s="59">
        <v>74</v>
      </c>
      <c r="V23" s="60">
        <f t="shared" si="4"/>
        <v>93</v>
      </c>
      <c r="W23" s="59">
        <f t="shared" si="5"/>
        <v>5</v>
      </c>
      <c r="X23" s="228"/>
      <c r="Y23" s="59">
        <v>20</v>
      </c>
      <c r="Z23" s="59">
        <v>71</v>
      </c>
      <c r="AA23" s="60">
        <f t="shared" si="6"/>
        <v>91</v>
      </c>
      <c r="AB23" s="59">
        <f t="shared" si="7"/>
        <v>5</v>
      </c>
      <c r="AC23" s="228"/>
      <c r="AD23" s="109">
        <v>20</v>
      </c>
      <c r="AE23" s="59">
        <v>54</v>
      </c>
      <c r="AF23" s="60">
        <f t="shared" si="8"/>
        <v>74</v>
      </c>
      <c r="AG23" s="59">
        <f t="shared" si="9"/>
        <v>4</v>
      </c>
      <c r="AH23" s="228"/>
      <c r="AI23" s="59">
        <v>20</v>
      </c>
      <c r="AJ23" s="59">
        <v>79</v>
      </c>
      <c r="AK23" s="60">
        <f t="shared" si="10"/>
        <v>99</v>
      </c>
      <c r="AL23" s="59">
        <f t="shared" si="11"/>
        <v>5</v>
      </c>
      <c r="AM23" s="228"/>
      <c r="AN23" s="59">
        <v>0</v>
      </c>
      <c r="AO23" s="59">
        <v>48</v>
      </c>
      <c r="AP23" s="60">
        <f t="shared" si="12"/>
        <v>48</v>
      </c>
      <c r="AQ23" s="59">
        <f t="shared" si="13"/>
        <v>5</v>
      </c>
      <c r="AR23" s="228"/>
      <c r="AS23" s="60">
        <v>50</v>
      </c>
      <c r="AT23" s="59">
        <f t="shared" si="14"/>
        <v>5</v>
      </c>
      <c r="AU23" s="228"/>
      <c r="AV23" s="59">
        <f t="shared" si="15"/>
        <v>34</v>
      </c>
      <c r="AW23" s="61">
        <f t="shared" si="16"/>
        <v>4.8571428571428568</v>
      </c>
      <c r="AX23" s="60">
        <f t="shared" si="17"/>
        <v>696</v>
      </c>
      <c r="AY23" s="62">
        <v>10</v>
      </c>
      <c r="AZ23" s="62"/>
      <c r="BA23" s="64" t="str">
        <f t="shared" si="18"/>
        <v>BETTER</v>
      </c>
      <c r="BB23" s="152">
        <v>606</v>
      </c>
      <c r="BC23" s="152">
        <v>654</v>
      </c>
      <c r="BD23" s="154">
        <v>696</v>
      </c>
      <c r="BE23" s="154">
        <f t="shared" si="19"/>
        <v>652</v>
      </c>
      <c r="BF23" s="155"/>
    </row>
    <row r="24" spans="1:58" s="92" customFormat="1" ht="18" customHeight="1">
      <c r="A24" s="32">
        <v>17</v>
      </c>
      <c r="B24" s="90">
        <v>18</v>
      </c>
      <c r="C24" s="108" t="s">
        <v>142</v>
      </c>
      <c r="D24" s="108" t="s">
        <v>143</v>
      </c>
      <c r="E24" s="91" t="s">
        <v>144</v>
      </c>
      <c r="F24" s="85">
        <v>20</v>
      </c>
      <c r="G24" s="85">
        <v>66</v>
      </c>
      <c r="H24" s="85">
        <v>10</v>
      </c>
      <c r="I24" s="85">
        <v>28</v>
      </c>
      <c r="J24" s="86">
        <f t="shared" si="0"/>
        <v>124</v>
      </c>
      <c r="K24" s="85">
        <f t="shared" si="1"/>
        <v>5</v>
      </c>
      <c r="L24" s="228"/>
      <c r="M24" s="85">
        <v>14</v>
      </c>
      <c r="N24" s="85">
        <v>59</v>
      </c>
      <c r="O24" s="85">
        <v>10</v>
      </c>
      <c r="P24" s="85">
        <v>35</v>
      </c>
      <c r="Q24" s="86">
        <f t="shared" si="2"/>
        <v>118</v>
      </c>
      <c r="R24" s="85">
        <f t="shared" si="3"/>
        <v>4</v>
      </c>
      <c r="S24" s="228"/>
      <c r="T24" s="85">
        <v>17</v>
      </c>
      <c r="U24" s="85">
        <v>66</v>
      </c>
      <c r="V24" s="86">
        <f t="shared" si="4"/>
        <v>83</v>
      </c>
      <c r="W24" s="85">
        <f t="shared" si="5"/>
        <v>5</v>
      </c>
      <c r="X24" s="228"/>
      <c r="Y24" s="85">
        <v>18</v>
      </c>
      <c r="Z24" s="85">
        <v>62</v>
      </c>
      <c r="AA24" s="86">
        <f t="shared" si="6"/>
        <v>80</v>
      </c>
      <c r="AB24" s="85">
        <f t="shared" si="7"/>
        <v>5</v>
      </c>
      <c r="AC24" s="228"/>
      <c r="AD24" s="110">
        <v>20</v>
      </c>
      <c r="AE24" s="85">
        <v>62</v>
      </c>
      <c r="AF24" s="86">
        <f t="shared" si="8"/>
        <v>82</v>
      </c>
      <c r="AG24" s="85">
        <f t="shared" si="9"/>
        <v>5</v>
      </c>
      <c r="AH24" s="228"/>
      <c r="AI24" s="85">
        <v>19</v>
      </c>
      <c r="AJ24" s="85">
        <v>69</v>
      </c>
      <c r="AK24" s="86">
        <f t="shared" si="10"/>
        <v>88</v>
      </c>
      <c r="AL24" s="85">
        <f t="shared" si="11"/>
        <v>5</v>
      </c>
      <c r="AM24" s="228"/>
      <c r="AN24" s="85">
        <v>0</v>
      </c>
      <c r="AO24" s="85">
        <v>36</v>
      </c>
      <c r="AP24" s="86">
        <f t="shared" si="12"/>
        <v>36</v>
      </c>
      <c r="AQ24" s="85">
        <f t="shared" si="13"/>
        <v>4</v>
      </c>
      <c r="AR24" s="228"/>
      <c r="AS24" s="86">
        <v>50</v>
      </c>
      <c r="AT24" s="85">
        <f t="shared" si="14"/>
        <v>5</v>
      </c>
      <c r="AU24" s="228"/>
      <c r="AV24" s="85">
        <f t="shared" si="15"/>
        <v>33</v>
      </c>
      <c r="AW24" s="87">
        <f t="shared" si="16"/>
        <v>4.7142857142857144</v>
      </c>
      <c r="AX24" s="86">
        <f t="shared" si="17"/>
        <v>611</v>
      </c>
      <c r="AY24" s="88">
        <v>17</v>
      </c>
      <c r="AZ24" s="88"/>
      <c r="BA24" s="89" t="str">
        <f t="shared" si="18"/>
        <v>BETTER</v>
      </c>
      <c r="BB24" s="152">
        <v>533</v>
      </c>
      <c r="BC24" s="152">
        <v>577</v>
      </c>
      <c r="BD24" s="154">
        <v>611</v>
      </c>
      <c r="BE24" s="157">
        <f t="shared" si="19"/>
        <v>573.66666666666663</v>
      </c>
      <c r="BF24" s="158"/>
    </row>
    <row r="25" spans="1:58" s="92" customFormat="1" ht="18" customHeight="1">
      <c r="A25" s="32">
        <v>18</v>
      </c>
      <c r="B25" s="90">
        <v>20</v>
      </c>
      <c r="C25" s="108" t="s">
        <v>145</v>
      </c>
      <c r="D25" s="108" t="s">
        <v>146</v>
      </c>
      <c r="E25" s="91" t="s">
        <v>147</v>
      </c>
      <c r="F25" s="85">
        <v>20</v>
      </c>
      <c r="G25" s="85">
        <v>41</v>
      </c>
      <c r="H25" s="85">
        <v>10</v>
      </c>
      <c r="I25" s="85">
        <v>16</v>
      </c>
      <c r="J25" s="86">
        <f t="shared" si="0"/>
        <v>87</v>
      </c>
      <c r="K25" s="85">
        <f t="shared" si="1"/>
        <v>3</v>
      </c>
      <c r="L25" s="228"/>
      <c r="M25" s="85">
        <v>13</v>
      </c>
      <c r="N25" s="85">
        <v>44</v>
      </c>
      <c r="O25" s="85">
        <v>10</v>
      </c>
      <c r="P25" s="85">
        <v>21</v>
      </c>
      <c r="Q25" s="86">
        <f t="shared" si="2"/>
        <v>88</v>
      </c>
      <c r="R25" s="85">
        <f t="shared" si="3"/>
        <v>3</v>
      </c>
      <c r="S25" s="228"/>
      <c r="T25" s="85">
        <v>13</v>
      </c>
      <c r="U25" s="85">
        <v>38</v>
      </c>
      <c r="V25" s="86">
        <f t="shared" si="4"/>
        <v>51</v>
      </c>
      <c r="W25" s="85">
        <f t="shared" si="5"/>
        <v>3</v>
      </c>
      <c r="X25" s="228"/>
      <c r="Y25" s="85">
        <v>0</v>
      </c>
      <c r="Z25" s="85">
        <v>51</v>
      </c>
      <c r="AA25" s="86">
        <f t="shared" si="6"/>
        <v>51</v>
      </c>
      <c r="AB25" s="85">
        <f t="shared" si="7"/>
        <v>3</v>
      </c>
      <c r="AC25" s="228"/>
      <c r="AD25" s="110">
        <v>5</v>
      </c>
      <c r="AE25" s="85">
        <v>42</v>
      </c>
      <c r="AF25" s="86">
        <f t="shared" si="8"/>
        <v>47</v>
      </c>
      <c r="AG25" s="85">
        <f t="shared" si="9"/>
        <v>2</v>
      </c>
      <c r="AH25" s="228"/>
      <c r="AI25" s="85">
        <v>19</v>
      </c>
      <c r="AJ25" s="85">
        <v>75</v>
      </c>
      <c r="AK25" s="86">
        <f t="shared" si="10"/>
        <v>94</v>
      </c>
      <c r="AL25" s="85">
        <f t="shared" si="11"/>
        <v>5</v>
      </c>
      <c r="AM25" s="228"/>
      <c r="AN25" s="85">
        <v>0</v>
      </c>
      <c r="AO25" s="85">
        <v>45</v>
      </c>
      <c r="AP25" s="86">
        <f t="shared" si="12"/>
        <v>45</v>
      </c>
      <c r="AQ25" s="85">
        <f t="shared" si="13"/>
        <v>5</v>
      </c>
      <c r="AR25" s="228"/>
      <c r="AS25" s="86">
        <v>46</v>
      </c>
      <c r="AT25" s="85">
        <f t="shared" si="14"/>
        <v>5</v>
      </c>
      <c r="AU25" s="228"/>
      <c r="AV25" s="85">
        <f t="shared" si="15"/>
        <v>24</v>
      </c>
      <c r="AW25" s="87">
        <f t="shared" si="16"/>
        <v>3.4285714285714284</v>
      </c>
      <c r="AX25" s="86">
        <f t="shared" si="17"/>
        <v>463</v>
      </c>
      <c r="AY25" s="88">
        <v>23</v>
      </c>
      <c r="AZ25" s="88"/>
      <c r="BA25" s="89" t="str">
        <f t="shared" si="18"/>
        <v>GOOD</v>
      </c>
      <c r="BB25" s="152">
        <v>281</v>
      </c>
      <c r="BC25" s="152">
        <v>438</v>
      </c>
      <c r="BD25" s="154">
        <v>463</v>
      </c>
      <c r="BE25" s="157">
        <f t="shared" si="19"/>
        <v>394</v>
      </c>
      <c r="BF25" s="158"/>
    </row>
    <row r="26" spans="1:58" s="92" customFormat="1" ht="18" customHeight="1">
      <c r="A26" s="32">
        <v>19</v>
      </c>
      <c r="B26" s="90">
        <v>21</v>
      </c>
      <c r="C26" s="108" t="s">
        <v>148</v>
      </c>
      <c r="D26" s="108" t="s">
        <v>149</v>
      </c>
      <c r="E26" s="91" t="s">
        <v>150</v>
      </c>
      <c r="F26" s="85">
        <v>20</v>
      </c>
      <c r="G26" s="85">
        <v>79</v>
      </c>
      <c r="H26" s="85">
        <v>10</v>
      </c>
      <c r="I26" s="85">
        <v>39</v>
      </c>
      <c r="J26" s="86">
        <f t="shared" si="0"/>
        <v>148</v>
      </c>
      <c r="K26" s="85">
        <f t="shared" si="1"/>
        <v>5</v>
      </c>
      <c r="L26" s="228"/>
      <c r="M26" s="85">
        <v>19</v>
      </c>
      <c r="N26" s="85">
        <v>72</v>
      </c>
      <c r="O26" s="85">
        <v>10</v>
      </c>
      <c r="P26" s="85">
        <v>38</v>
      </c>
      <c r="Q26" s="86">
        <f t="shared" si="2"/>
        <v>139</v>
      </c>
      <c r="R26" s="85">
        <f t="shared" si="3"/>
        <v>5</v>
      </c>
      <c r="S26" s="228"/>
      <c r="T26" s="85">
        <v>20</v>
      </c>
      <c r="U26" s="85">
        <v>72</v>
      </c>
      <c r="V26" s="86">
        <f t="shared" si="4"/>
        <v>92</v>
      </c>
      <c r="W26" s="85">
        <f t="shared" si="5"/>
        <v>5</v>
      </c>
      <c r="X26" s="228"/>
      <c r="Y26" s="85">
        <v>20</v>
      </c>
      <c r="Z26" s="85">
        <v>75</v>
      </c>
      <c r="AA26" s="86">
        <f t="shared" si="6"/>
        <v>95</v>
      </c>
      <c r="AB26" s="85">
        <f t="shared" si="7"/>
        <v>5</v>
      </c>
      <c r="AC26" s="228"/>
      <c r="AD26" s="110">
        <v>20</v>
      </c>
      <c r="AE26" s="85">
        <v>74</v>
      </c>
      <c r="AF26" s="86">
        <f t="shared" si="8"/>
        <v>94</v>
      </c>
      <c r="AG26" s="85">
        <f t="shared" si="9"/>
        <v>5</v>
      </c>
      <c r="AH26" s="228"/>
      <c r="AI26" s="85">
        <v>19</v>
      </c>
      <c r="AJ26" s="85">
        <v>78</v>
      </c>
      <c r="AK26" s="86">
        <f t="shared" si="10"/>
        <v>97</v>
      </c>
      <c r="AL26" s="85">
        <f t="shared" si="11"/>
        <v>5</v>
      </c>
      <c r="AM26" s="228"/>
      <c r="AN26" s="85">
        <v>0</v>
      </c>
      <c r="AO26" s="85">
        <v>45</v>
      </c>
      <c r="AP26" s="86">
        <f t="shared" si="12"/>
        <v>45</v>
      </c>
      <c r="AQ26" s="85">
        <f t="shared" si="13"/>
        <v>5</v>
      </c>
      <c r="AR26" s="228"/>
      <c r="AS26" s="86">
        <v>50</v>
      </c>
      <c r="AT26" s="85">
        <f t="shared" si="14"/>
        <v>5</v>
      </c>
      <c r="AU26" s="228"/>
      <c r="AV26" s="85">
        <f t="shared" si="15"/>
        <v>35</v>
      </c>
      <c r="AW26" s="87">
        <f t="shared" si="16"/>
        <v>5</v>
      </c>
      <c r="AX26" s="86">
        <f t="shared" si="17"/>
        <v>710</v>
      </c>
      <c r="AY26" s="88">
        <v>5</v>
      </c>
      <c r="AZ26" s="88"/>
      <c r="BA26" s="89" t="str">
        <f t="shared" si="18"/>
        <v>BEST</v>
      </c>
      <c r="BB26" s="152">
        <v>694</v>
      </c>
      <c r="BC26" s="152">
        <v>685</v>
      </c>
      <c r="BD26" s="154">
        <v>710</v>
      </c>
      <c r="BE26" s="157">
        <f t="shared" si="19"/>
        <v>696.33333333333337</v>
      </c>
      <c r="BF26" s="158"/>
    </row>
    <row r="27" spans="1:58" s="92" customFormat="1" ht="18" customHeight="1">
      <c r="A27" s="32">
        <v>20</v>
      </c>
      <c r="B27" s="90">
        <v>23</v>
      </c>
      <c r="C27" s="108" t="s">
        <v>151</v>
      </c>
      <c r="D27" s="108" t="s">
        <v>152</v>
      </c>
      <c r="E27" s="91" t="s">
        <v>153</v>
      </c>
      <c r="F27" s="85">
        <v>20</v>
      </c>
      <c r="G27" s="85">
        <v>77</v>
      </c>
      <c r="H27" s="85">
        <v>10</v>
      </c>
      <c r="I27" s="85">
        <v>36</v>
      </c>
      <c r="J27" s="86">
        <f t="shared" si="0"/>
        <v>143</v>
      </c>
      <c r="K27" s="85">
        <f t="shared" si="1"/>
        <v>5</v>
      </c>
      <c r="L27" s="228"/>
      <c r="M27" s="85">
        <v>17</v>
      </c>
      <c r="N27" s="85">
        <v>74</v>
      </c>
      <c r="O27" s="85">
        <v>10</v>
      </c>
      <c r="P27" s="85">
        <v>36</v>
      </c>
      <c r="Q27" s="86">
        <f t="shared" si="2"/>
        <v>137</v>
      </c>
      <c r="R27" s="85">
        <f t="shared" si="3"/>
        <v>5</v>
      </c>
      <c r="S27" s="228"/>
      <c r="T27" s="85">
        <v>17</v>
      </c>
      <c r="U27" s="85">
        <v>69</v>
      </c>
      <c r="V27" s="86">
        <f t="shared" si="4"/>
        <v>86</v>
      </c>
      <c r="W27" s="85">
        <f t="shared" si="5"/>
        <v>5</v>
      </c>
      <c r="X27" s="228"/>
      <c r="Y27" s="85">
        <v>20</v>
      </c>
      <c r="Z27" s="85">
        <v>62</v>
      </c>
      <c r="AA27" s="86">
        <f t="shared" si="6"/>
        <v>82</v>
      </c>
      <c r="AB27" s="85">
        <f t="shared" si="7"/>
        <v>5</v>
      </c>
      <c r="AC27" s="228"/>
      <c r="AD27" s="110">
        <v>20</v>
      </c>
      <c r="AE27" s="85">
        <v>71</v>
      </c>
      <c r="AF27" s="86">
        <f t="shared" si="8"/>
        <v>91</v>
      </c>
      <c r="AG27" s="85">
        <f t="shared" si="9"/>
        <v>5</v>
      </c>
      <c r="AH27" s="228"/>
      <c r="AI27" s="85">
        <v>19</v>
      </c>
      <c r="AJ27" s="85">
        <v>78</v>
      </c>
      <c r="AK27" s="86">
        <f t="shared" si="10"/>
        <v>97</v>
      </c>
      <c r="AL27" s="85">
        <f t="shared" si="11"/>
        <v>5</v>
      </c>
      <c r="AM27" s="228"/>
      <c r="AN27" s="85">
        <v>0</v>
      </c>
      <c r="AO27" s="85">
        <v>46</v>
      </c>
      <c r="AP27" s="86">
        <f t="shared" si="12"/>
        <v>46</v>
      </c>
      <c r="AQ27" s="85">
        <f t="shared" si="13"/>
        <v>5</v>
      </c>
      <c r="AR27" s="228"/>
      <c r="AS27" s="86">
        <v>49</v>
      </c>
      <c r="AT27" s="85">
        <f t="shared" si="14"/>
        <v>5</v>
      </c>
      <c r="AU27" s="228"/>
      <c r="AV27" s="85">
        <f t="shared" si="15"/>
        <v>35</v>
      </c>
      <c r="AW27" s="87">
        <f t="shared" si="16"/>
        <v>5</v>
      </c>
      <c r="AX27" s="86">
        <f t="shared" si="17"/>
        <v>682</v>
      </c>
      <c r="AY27" s="88">
        <v>13</v>
      </c>
      <c r="AZ27" s="88"/>
      <c r="BA27" s="89" t="str">
        <f t="shared" si="18"/>
        <v>BEST</v>
      </c>
      <c r="BB27" s="152">
        <v>525</v>
      </c>
      <c r="BC27" s="152">
        <v>584</v>
      </c>
      <c r="BD27" s="154">
        <v>682</v>
      </c>
      <c r="BE27" s="157">
        <f t="shared" si="19"/>
        <v>597</v>
      </c>
      <c r="BF27" s="158"/>
    </row>
    <row r="28" spans="1:58" s="92" customFormat="1" ht="18" customHeight="1">
      <c r="A28" s="32">
        <v>21</v>
      </c>
      <c r="B28" s="90">
        <v>24</v>
      </c>
      <c r="C28" s="108" t="s">
        <v>154</v>
      </c>
      <c r="D28" s="108" t="s">
        <v>155</v>
      </c>
      <c r="E28" s="91" t="s">
        <v>156</v>
      </c>
      <c r="F28" s="85">
        <v>20</v>
      </c>
      <c r="G28" s="85">
        <v>79</v>
      </c>
      <c r="H28" s="85">
        <v>10</v>
      </c>
      <c r="I28" s="85">
        <v>39</v>
      </c>
      <c r="J28" s="86">
        <f t="shared" si="0"/>
        <v>148</v>
      </c>
      <c r="K28" s="85">
        <f t="shared" si="1"/>
        <v>5</v>
      </c>
      <c r="L28" s="228"/>
      <c r="M28" s="85">
        <v>19</v>
      </c>
      <c r="N28" s="85">
        <v>76</v>
      </c>
      <c r="O28" s="85">
        <v>10</v>
      </c>
      <c r="P28" s="85">
        <v>38</v>
      </c>
      <c r="Q28" s="86">
        <f t="shared" si="2"/>
        <v>143</v>
      </c>
      <c r="R28" s="85">
        <f t="shared" si="3"/>
        <v>5</v>
      </c>
      <c r="S28" s="228"/>
      <c r="T28" s="85">
        <v>20</v>
      </c>
      <c r="U28" s="85">
        <v>76</v>
      </c>
      <c r="V28" s="86">
        <f t="shared" si="4"/>
        <v>96</v>
      </c>
      <c r="W28" s="85">
        <f t="shared" si="5"/>
        <v>5</v>
      </c>
      <c r="X28" s="228"/>
      <c r="Y28" s="85">
        <v>20</v>
      </c>
      <c r="Z28" s="85">
        <v>78</v>
      </c>
      <c r="AA28" s="86">
        <f t="shared" si="6"/>
        <v>98</v>
      </c>
      <c r="AB28" s="85">
        <f t="shared" si="7"/>
        <v>5</v>
      </c>
      <c r="AC28" s="228"/>
      <c r="AD28" s="110">
        <v>20</v>
      </c>
      <c r="AE28" s="85">
        <v>78</v>
      </c>
      <c r="AF28" s="86">
        <f t="shared" si="8"/>
        <v>98</v>
      </c>
      <c r="AG28" s="85">
        <f t="shared" si="9"/>
        <v>5</v>
      </c>
      <c r="AH28" s="228"/>
      <c r="AI28" s="85">
        <v>19</v>
      </c>
      <c r="AJ28" s="85">
        <v>77</v>
      </c>
      <c r="AK28" s="86">
        <f t="shared" si="10"/>
        <v>96</v>
      </c>
      <c r="AL28" s="85">
        <f t="shared" si="11"/>
        <v>5</v>
      </c>
      <c r="AM28" s="228"/>
      <c r="AN28" s="85">
        <v>0</v>
      </c>
      <c r="AO28" s="85">
        <v>48</v>
      </c>
      <c r="AP28" s="86">
        <f t="shared" si="12"/>
        <v>48</v>
      </c>
      <c r="AQ28" s="85">
        <f t="shared" si="13"/>
        <v>5</v>
      </c>
      <c r="AR28" s="228"/>
      <c r="AS28" s="86">
        <v>49</v>
      </c>
      <c r="AT28" s="85">
        <f t="shared" si="14"/>
        <v>5</v>
      </c>
      <c r="AU28" s="228"/>
      <c r="AV28" s="85">
        <f t="shared" si="15"/>
        <v>35</v>
      </c>
      <c r="AW28" s="87">
        <f t="shared" si="16"/>
        <v>5</v>
      </c>
      <c r="AX28" s="86">
        <f t="shared" si="17"/>
        <v>727</v>
      </c>
      <c r="AY28" s="88">
        <v>1</v>
      </c>
      <c r="AZ28" s="88"/>
      <c r="BA28" s="89" t="str">
        <f t="shared" si="18"/>
        <v>BEST</v>
      </c>
      <c r="BB28" s="152">
        <v>727</v>
      </c>
      <c r="BC28" s="152">
        <v>721</v>
      </c>
      <c r="BD28" s="154">
        <v>727</v>
      </c>
      <c r="BE28" s="157">
        <f t="shared" si="19"/>
        <v>725</v>
      </c>
      <c r="BF28" s="158"/>
    </row>
    <row r="29" spans="1:58" s="92" customFormat="1" ht="18" customHeight="1">
      <c r="A29" s="32">
        <v>22</v>
      </c>
      <c r="B29" s="90">
        <v>25</v>
      </c>
      <c r="C29" s="108" t="s">
        <v>157</v>
      </c>
      <c r="D29" s="108" t="s">
        <v>158</v>
      </c>
      <c r="E29" s="91" t="s">
        <v>159</v>
      </c>
      <c r="F29" s="85">
        <v>20</v>
      </c>
      <c r="G29" s="85">
        <v>79</v>
      </c>
      <c r="H29" s="85">
        <v>10</v>
      </c>
      <c r="I29" s="85">
        <v>39</v>
      </c>
      <c r="J29" s="86">
        <f t="shared" si="0"/>
        <v>148</v>
      </c>
      <c r="K29" s="85">
        <f t="shared" si="1"/>
        <v>5</v>
      </c>
      <c r="L29" s="228"/>
      <c r="M29" s="85">
        <v>19</v>
      </c>
      <c r="N29" s="85">
        <v>77</v>
      </c>
      <c r="O29" s="85">
        <v>10</v>
      </c>
      <c r="P29" s="85">
        <v>38</v>
      </c>
      <c r="Q29" s="86">
        <f t="shared" si="2"/>
        <v>144</v>
      </c>
      <c r="R29" s="85">
        <f t="shared" si="3"/>
        <v>5</v>
      </c>
      <c r="S29" s="228"/>
      <c r="T29" s="85">
        <v>20</v>
      </c>
      <c r="U29" s="85">
        <v>66</v>
      </c>
      <c r="V29" s="86">
        <f t="shared" si="4"/>
        <v>86</v>
      </c>
      <c r="W29" s="85">
        <f t="shared" si="5"/>
        <v>5</v>
      </c>
      <c r="X29" s="228"/>
      <c r="Y29" s="85">
        <v>20</v>
      </c>
      <c r="Z29" s="85">
        <v>79</v>
      </c>
      <c r="AA29" s="86">
        <f t="shared" si="6"/>
        <v>99</v>
      </c>
      <c r="AB29" s="85">
        <f t="shared" si="7"/>
        <v>5</v>
      </c>
      <c r="AC29" s="228"/>
      <c r="AD29" s="110">
        <v>19</v>
      </c>
      <c r="AE29" s="85">
        <v>70</v>
      </c>
      <c r="AF29" s="86">
        <f t="shared" si="8"/>
        <v>89</v>
      </c>
      <c r="AG29" s="85">
        <f t="shared" si="9"/>
        <v>5</v>
      </c>
      <c r="AH29" s="228"/>
      <c r="AI29" s="85">
        <v>20</v>
      </c>
      <c r="AJ29" s="85">
        <v>79</v>
      </c>
      <c r="AK29" s="86">
        <f t="shared" si="10"/>
        <v>99</v>
      </c>
      <c r="AL29" s="85">
        <f t="shared" si="11"/>
        <v>5</v>
      </c>
      <c r="AM29" s="228"/>
      <c r="AN29" s="85">
        <v>0</v>
      </c>
      <c r="AO29" s="85">
        <v>43</v>
      </c>
      <c r="AP29" s="86">
        <f t="shared" si="12"/>
        <v>43</v>
      </c>
      <c r="AQ29" s="85">
        <f t="shared" si="13"/>
        <v>5</v>
      </c>
      <c r="AR29" s="228"/>
      <c r="AS29" s="86">
        <v>49</v>
      </c>
      <c r="AT29" s="85">
        <f t="shared" si="14"/>
        <v>5</v>
      </c>
      <c r="AU29" s="228"/>
      <c r="AV29" s="85">
        <f t="shared" si="15"/>
        <v>35</v>
      </c>
      <c r="AW29" s="87">
        <f t="shared" si="16"/>
        <v>5</v>
      </c>
      <c r="AX29" s="86">
        <f t="shared" si="17"/>
        <v>708</v>
      </c>
      <c r="AY29" s="88">
        <v>7</v>
      </c>
      <c r="AZ29" s="88"/>
      <c r="BA29" s="89" t="str">
        <f t="shared" si="18"/>
        <v>BEST</v>
      </c>
      <c r="BB29" s="152">
        <v>645</v>
      </c>
      <c r="BC29" s="152">
        <v>670</v>
      </c>
      <c r="BD29" s="154">
        <v>708</v>
      </c>
      <c r="BE29" s="157">
        <f t="shared" si="19"/>
        <v>674.33333333333337</v>
      </c>
      <c r="BF29" s="158"/>
    </row>
    <row r="30" spans="1:58" s="92" customFormat="1" ht="18" customHeight="1">
      <c r="A30" s="32">
        <v>23</v>
      </c>
      <c r="B30" s="90">
        <v>27</v>
      </c>
      <c r="C30" s="108" t="s">
        <v>160</v>
      </c>
      <c r="D30" s="108" t="s">
        <v>161</v>
      </c>
      <c r="E30" s="91" t="s">
        <v>162</v>
      </c>
      <c r="F30" s="85">
        <v>20</v>
      </c>
      <c r="G30" s="85">
        <v>62</v>
      </c>
      <c r="H30" s="85">
        <v>10</v>
      </c>
      <c r="I30" s="85">
        <v>34</v>
      </c>
      <c r="J30" s="86">
        <f t="shared" si="0"/>
        <v>126</v>
      </c>
      <c r="K30" s="85">
        <f t="shared" si="1"/>
        <v>5</v>
      </c>
      <c r="L30" s="228"/>
      <c r="M30" s="85">
        <v>19</v>
      </c>
      <c r="N30" s="85">
        <v>78</v>
      </c>
      <c r="O30" s="85">
        <v>10</v>
      </c>
      <c r="P30" s="85">
        <v>38</v>
      </c>
      <c r="Q30" s="86">
        <f t="shared" si="2"/>
        <v>145</v>
      </c>
      <c r="R30" s="85">
        <f t="shared" si="3"/>
        <v>5</v>
      </c>
      <c r="S30" s="228"/>
      <c r="T30" s="85">
        <v>20</v>
      </c>
      <c r="U30" s="85">
        <v>61</v>
      </c>
      <c r="V30" s="86">
        <f t="shared" si="4"/>
        <v>81</v>
      </c>
      <c r="W30" s="85">
        <f t="shared" si="5"/>
        <v>5</v>
      </c>
      <c r="X30" s="228"/>
      <c r="Y30" s="85">
        <v>20</v>
      </c>
      <c r="Z30" s="85">
        <v>66</v>
      </c>
      <c r="AA30" s="86">
        <f t="shared" si="6"/>
        <v>86</v>
      </c>
      <c r="AB30" s="85">
        <f t="shared" si="7"/>
        <v>5</v>
      </c>
      <c r="AC30" s="228"/>
      <c r="AD30" s="110">
        <v>19</v>
      </c>
      <c r="AE30" s="85">
        <v>73</v>
      </c>
      <c r="AF30" s="86">
        <f t="shared" si="8"/>
        <v>92</v>
      </c>
      <c r="AG30" s="85">
        <f t="shared" si="9"/>
        <v>5</v>
      </c>
      <c r="AH30" s="228"/>
      <c r="AI30" s="85">
        <v>19</v>
      </c>
      <c r="AJ30" s="85">
        <v>75</v>
      </c>
      <c r="AK30" s="86">
        <f t="shared" si="10"/>
        <v>94</v>
      </c>
      <c r="AL30" s="85">
        <f t="shared" si="11"/>
        <v>5</v>
      </c>
      <c r="AM30" s="228"/>
      <c r="AN30" s="85">
        <v>0</v>
      </c>
      <c r="AO30" s="85">
        <v>40</v>
      </c>
      <c r="AP30" s="86">
        <f t="shared" si="12"/>
        <v>40</v>
      </c>
      <c r="AQ30" s="85">
        <f t="shared" si="13"/>
        <v>5</v>
      </c>
      <c r="AR30" s="228"/>
      <c r="AS30" s="86">
        <v>49</v>
      </c>
      <c r="AT30" s="85">
        <f t="shared" si="14"/>
        <v>5</v>
      </c>
      <c r="AU30" s="228"/>
      <c r="AV30" s="85">
        <f t="shared" si="15"/>
        <v>35</v>
      </c>
      <c r="AW30" s="87">
        <f t="shared" si="16"/>
        <v>5</v>
      </c>
      <c r="AX30" s="86">
        <f t="shared" si="17"/>
        <v>664</v>
      </c>
      <c r="AY30" s="88">
        <v>11</v>
      </c>
      <c r="AZ30" s="88"/>
      <c r="BA30" s="89" t="str">
        <f t="shared" si="18"/>
        <v>BEST</v>
      </c>
      <c r="BB30" s="152">
        <v>555</v>
      </c>
      <c r="BC30" s="152">
        <v>642</v>
      </c>
      <c r="BD30" s="154">
        <v>664</v>
      </c>
      <c r="BE30" s="157">
        <f t="shared" si="19"/>
        <v>620.33333333333337</v>
      </c>
      <c r="BF30" s="158"/>
    </row>
    <row r="31" spans="1:58" ht="18" customHeight="1">
      <c r="A31" s="32">
        <v>24</v>
      </c>
      <c r="B31" s="72">
        <v>28</v>
      </c>
      <c r="C31" s="107" t="s">
        <v>163</v>
      </c>
      <c r="D31" s="107" t="s">
        <v>164</v>
      </c>
      <c r="E31" s="73" t="s">
        <v>165</v>
      </c>
      <c r="F31" s="59">
        <v>18</v>
      </c>
      <c r="G31" s="59">
        <v>44</v>
      </c>
      <c r="H31" s="59">
        <v>10</v>
      </c>
      <c r="I31" s="59">
        <v>20</v>
      </c>
      <c r="J31" s="60">
        <f t="shared" si="0"/>
        <v>92</v>
      </c>
      <c r="K31" s="59">
        <f t="shared" si="1"/>
        <v>3.5</v>
      </c>
      <c r="L31" s="228"/>
      <c r="M31" s="59">
        <v>15</v>
      </c>
      <c r="N31" s="59">
        <v>35</v>
      </c>
      <c r="O31" s="59">
        <v>9</v>
      </c>
      <c r="P31" s="59">
        <v>25</v>
      </c>
      <c r="Q31" s="60">
        <f t="shared" si="2"/>
        <v>84</v>
      </c>
      <c r="R31" s="59">
        <f t="shared" si="3"/>
        <v>3</v>
      </c>
      <c r="S31" s="228"/>
      <c r="T31" s="59">
        <v>14</v>
      </c>
      <c r="U31" s="59">
        <v>36</v>
      </c>
      <c r="V31" s="60">
        <f t="shared" si="4"/>
        <v>50</v>
      </c>
      <c r="W31" s="59">
        <f t="shared" si="5"/>
        <v>3</v>
      </c>
      <c r="X31" s="228"/>
      <c r="Y31" s="59">
        <v>17</v>
      </c>
      <c r="Z31" s="59">
        <v>40</v>
      </c>
      <c r="AA31" s="60">
        <f t="shared" si="6"/>
        <v>57</v>
      </c>
      <c r="AB31" s="59">
        <f t="shared" si="7"/>
        <v>3</v>
      </c>
      <c r="AC31" s="228"/>
      <c r="AD31" s="109">
        <v>13</v>
      </c>
      <c r="AE31" s="59">
        <v>34</v>
      </c>
      <c r="AF31" s="60">
        <f t="shared" si="8"/>
        <v>47</v>
      </c>
      <c r="AG31" s="59">
        <f t="shared" si="9"/>
        <v>2</v>
      </c>
      <c r="AH31" s="228"/>
      <c r="AI31" s="59">
        <v>20</v>
      </c>
      <c r="AJ31" s="59">
        <v>75</v>
      </c>
      <c r="AK31" s="60">
        <f t="shared" si="10"/>
        <v>95</v>
      </c>
      <c r="AL31" s="59">
        <f t="shared" si="11"/>
        <v>5</v>
      </c>
      <c r="AM31" s="228"/>
      <c r="AN31" s="59">
        <v>0</v>
      </c>
      <c r="AO31" s="59">
        <v>30</v>
      </c>
      <c r="AP31" s="60">
        <f t="shared" si="12"/>
        <v>30</v>
      </c>
      <c r="AQ31" s="59">
        <f t="shared" si="13"/>
        <v>3.5</v>
      </c>
      <c r="AR31" s="228"/>
      <c r="AS31" s="60">
        <v>46</v>
      </c>
      <c r="AT31" s="59">
        <f t="shared" si="14"/>
        <v>5</v>
      </c>
      <c r="AU31" s="228"/>
      <c r="AV31" s="59">
        <f t="shared" si="15"/>
        <v>23</v>
      </c>
      <c r="AW31" s="61">
        <f t="shared" si="16"/>
        <v>3.2857142857142856</v>
      </c>
      <c r="AX31" s="60">
        <f t="shared" si="17"/>
        <v>455</v>
      </c>
      <c r="AY31" s="62">
        <v>24</v>
      </c>
      <c r="AZ31" s="62"/>
      <c r="BA31" s="64" t="str">
        <f t="shared" si="18"/>
        <v>GOOD</v>
      </c>
      <c r="BB31" s="152">
        <v>268</v>
      </c>
      <c r="BC31" s="152">
        <v>438</v>
      </c>
      <c r="BD31" s="154">
        <v>455</v>
      </c>
      <c r="BE31" s="154">
        <f t="shared" si="19"/>
        <v>387</v>
      </c>
      <c r="BF31" s="155"/>
    </row>
    <row r="32" spans="1:58" ht="18" customHeight="1">
      <c r="A32" s="32">
        <v>25</v>
      </c>
      <c r="B32" s="72">
        <v>29</v>
      </c>
      <c r="C32" s="107" t="s">
        <v>166</v>
      </c>
      <c r="D32" s="107" t="s">
        <v>167</v>
      </c>
      <c r="E32" s="73" t="s">
        <v>168</v>
      </c>
      <c r="F32" s="59">
        <v>20</v>
      </c>
      <c r="G32" s="59">
        <v>72</v>
      </c>
      <c r="H32" s="59">
        <v>10</v>
      </c>
      <c r="I32" s="59">
        <v>38</v>
      </c>
      <c r="J32" s="60">
        <f t="shared" si="0"/>
        <v>140</v>
      </c>
      <c r="K32" s="59">
        <f t="shared" si="1"/>
        <v>5</v>
      </c>
      <c r="L32" s="228"/>
      <c r="M32" s="59">
        <v>20</v>
      </c>
      <c r="N32" s="59">
        <v>70</v>
      </c>
      <c r="O32" s="59">
        <v>10</v>
      </c>
      <c r="P32" s="59">
        <v>30</v>
      </c>
      <c r="Q32" s="60">
        <f t="shared" si="2"/>
        <v>130</v>
      </c>
      <c r="R32" s="59">
        <f t="shared" si="3"/>
        <v>5</v>
      </c>
      <c r="S32" s="228"/>
      <c r="T32" s="59">
        <v>20</v>
      </c>
      <c r="U32" s="59">
        <v>75</v>
      </c>
      <c r="V32" s="60">
        <f t="shared" si="4"/>
        <v>95</v>
      </c>
      <c r="W32" s="59">
        <f t="shared" si="5"/>
        <v>5</v>
      </c>
      <c r="X32" s="228"/>
      <c r="Y32" s="59">
        <v>20</v>
      </c>
      <c r="Z32" s="59">
        <v>78</v>
      </c>
      <c r="AA32" s="60">
        <f t="shared" si="6"/>
        <v>98</v>
      </c>
      <c r="AB32" s="59">
        <f t="shared" si="7"/>
        <v>5</v>
      </c>
      <c r="AC32" s="228"/>
      <c r="AD32" s="109">
        <v>20</v>
      </c>
      <c r="AE32" s="59">
        <v>77</v>
      </c>
      <c r="AF32" s="60">
        <f t="shared" si="8"/>
        <v>97</v>
      </c>
      <c r="AG32" s="59">
        <f t="shared" si="9"/>
        <v>5</v>
      </c>
      <c r="AH32" s="228"/>
      <c r="AI32" s="59">
        <v>20</v>
      </c>
      <c r="AJ32" s="59">
        <v>78</v>
      </c>
      <c r="AK32" s="60">
        <f t="shared" si="10"/>
        <v>98</v>
      </c>
      <c r="AL32" s="59">
        <f t="shared" si="11"/>
        <v>5</v>
      </c>
      <c r="AM32" s="228"/>
      <c r="AN32" s="59">
        <v>0</v>
      </c>
      <c r="AO32" s="59">
        <v>41</v>
      </c>
      <c r="AP32" s="60">
        <f t="shared" si="12"/>
        <v>41</v>
      </c>
      <c r="AQ32" s="59">
        <f t="shared" si="13"/>
        <v>5</v>
      </c>
      <c r="AR32" s="228"/>
      <c r="AS32" s="60">
        <v>49</v>
      </c>
      <c r="AT32" s="59">
        <f t="shared" si="14"/>
        <v>5</v>
      </c>
      <c r="AU32" s="228"/>
      <c r="AV32" s="59">
        <f t="shared" si="15"/>
        <v>35</v>
      </c>
      <c r="AW32" s="61">
        <f t="shared" si="16"/>
        <v>5</v>
      </c>
      <c r="AX32" s="60">
        <f t="shared" si="17"/>
        <v>699</v>
      </c>
      <c r="AY32" s="62">
        <v>14</v>
      </c>
      <c r="AZ32" s="62"/>
      <c r="BA32" s="64" t="str">
        <f t="shared" si="18"/>
        <v>BEST</v>
      </c>
      <c r="BB32" s="152">
        <v>436</v>
      </c>
      <c r="BC32" s="152">
        <v>655</v>
      </c>
      <c r="BD32" s="154">
        <v>699</v>
      </c>
      <c r="BE32" s="154">
        <f t="shared" si="19"/>
        <v>596.66666666666663</v>
      </c>
      <c r="BF32" s="155"/>
    </row>
    <row r="33" spans="1:58" ht="18" customHeight="1">
      <c r="A33" s="32">
        <v>26</v>
      </c>
      <c r="B33" s="72">
        <v>30</v>
      </c>
      <c r="C33" s="107" t="s">
        <v>169</v>
      </c>
      <c r="D33" s="107" t="s">
        <v>170</v>
      </c>
      <c r="E33" s="73" t="s">
        <v>171</v>
      </c>
      <c r="F33" s="59">
        <v>0</v>
      </c>
      <c r="G33" s="59">
        <v>0</v>
      </c>
      <c r="H33" s="59">
        <v>0</v>
      </c>
      <c r="I33" s="59">
        <v>0</v>
      </c>
      <c r="J33" s="60">
        <f t="shared" si="0"/>
        <v>0</v>
      </c>
      <c r="K33" s="85" t="str">
        <f t="shared" si="1"/>
        <v>F</v>
      </c>
      <c r="L33" s="228"/>
      <c r="M33" s="59">
        <v>0</v>
      </c>
      <c r="N33" s="59">
        <v>0</v>
      </c>
      <c r="O33" s="59">
        <v>0</v>
      </c>
      <c r="P33" s="59">
        <v>0</v>
      </c>
      <c r="Q33" s="60">
        <f t="shared" ref="Q33:Q37" si="20">M33+N33+O33+P33</f>
        <v>0</v>
      </c>
      <c r="R33" s="59" t="str">
        <f t="shared" ref="R33:R37" si="21">IF(Q33&lt;60,"F",IF(Q33&lt;75,2,IF(Q33&lt;90,3,IF(Q33&lt;105,3.5,IF(Q33&lt;120,4,5)))))</f>
        <v>F</v>
      </c>
      <c r="S33" s="228"/>
      <c r="T33" s="59">
        <v>0</v>
      </c>
      <c r="U33" s="59">
        <v>0</v>
      </c>
      <c r="V33" s="60">
        <f t="shared" ref="V33:V37" si="22">T33+U33</f>
        <v>0</v>
      </c>
      <c r="W33" s="59" t="str">
        <f t="shared" ref="W33:W37" si="23">IF(V33&lt;40,"F",IF(V33&lt;50,2,IF(V33&lt;60,3,IF(V33&lt;70,3.5,IF(V33&lt;80,4,5)))))</f>
        <v>F</v>
      </c>
      <c r="X33" s="228"/>
      <c r="Y33" s="59">
        <v>0</v>
      </c>
      <c r="Z33" s="59">
        <v>0</v>
      </c>
      <c r="AA33" s="60">
        <f t="shared" ref="AA33:AA37" si="24">Y33+Z33</f>
        <v>0</v>
      </c>
      <c r="AB33" s="59" t="str">
        <f t="shared" ref="AB33:AB37" si="25">IF(AA33&lt;40,"F",IF(AA33&lt;50,2,IF(AA33&lt;60,3,IF(AA33&lt;70,3.5,IF(AA33&lt;80,4,5)))))</f>
        <v>F</v>
      </c>
      <c r="AC33" s="228"/>
      <c r="AD33" s="109">
        <v>0</v>
      </c>
      <c r="AE33" s="59">
        <v>0</v>
      </c>
      <c r="AF33" s="60">
        <f t="shared" ref="AF33:AF37" si="26">AD33+AE33</f>
        <v>0</v>
      </c>
      <c r="AG33" s="59" t="str">
        <f t="shared" ref="AG33:AG37" si="27">IF(AF33&lt;40,"F",IF(AF33&lt;50,2,IF(AF33&lt;60,3,IF(AF33&lt;70,3.5,IF(AF33&lt;80,4,5)))))</f>
        <v>F</v>
      </c>
      <c r="AH33" s="228"/>
      <c r="AI33" s="59">
        <v>0</v>
      </c>
      <c r="AJ33" s="59">
        <v>0</v>
      </c>
      <c r="AK33" s="60">
        <f t="shared" ref="AK33:AK37" si="28">AI33+AJ33</f>
        <v>0</v>
      </c>
      <c r="AL33" s="59" t="str">
        <f t="shared" ref="AL33:AL37" si="29">IF(AK33&lt;40,"F",IF(AK33&lt;50,2,IF(AK33&lt;60,3,IF(AK33&lt;70,3.5,IF(AK33&lt;80,4,5)))))</f>
        <v>F</v>
      </c>
      <c r="AM33" s="228"/>
      <c r="AN33" s="59">
        <v>1</v>
      </c>
      <c r="AO33" s="59">
        <v>0</v>
      </c>
      <c r="AP33" s="60">
        <f t="shared" ref="AP33:AP37" si="30">AO33*1</f>
        <v>0</v>
      </c>
      <c r="AQ33" s="59" t="str">
        <f t="shared" ref="AQ33:AQ37" si="31">IF(AP33&lt;20,"F",IF(AP33&lt;25,2,IF(AP33&lt;30,3,IF(AP33&lt;35,3.5,IF(AP33&lt;40,4,5)))))</f>
        <v>F</v>
      </c>
      <c r="AR33" s="228"/>
      <c r="AS33" s="60">
        <v>0</v>
      </c>
      <c r="AT33" s="59" t="str">
        <f t="shared" si="14"/>
        <v>F</v>
      </c>
      <c r="AU33" s="228"/>
      <c r="AV33" s="59" t="str">
        <f t="shared" ref="AV33:AV37" si="32">IF(K33="F","F",IF(R33="F","F",IF(W33="F","F",IF(AB33="F","F",IF(AG33="F","F",IF(AL33="F","F",IF(AQ33="F","F",SUM(K33,R33,W33,AB33,AG33,AL33,AQ33))))))))</f>
        <v>F</v>
      </c>
      <c r="AW33" s="61" t="str">
        <f t="shared" ref="AW33:AW37" si="33">IF(AV33="F","F", IF(AV33&gt;=35,5,IF(AV33&lt;35,AV33/7)))</f>
        <v>F</v>
      </c>
      <c r="AX33" s="60">
        <f t="shared" ref="AX33:AX37" si="34">J33+Q33+V33+AA33+AF33+AK33+AP33</f>
        <v>0</v>
      </c>
      <c r="AY33" s="62">
        <v>0</v>
      </c>
      <c r="AZ33" s="62"/>
      <c r="BA33" s="64" t="str">
        <f t="shared" ref="BA33:BA37" si="35">IF(AW33="F","NEED TO PROGRESS",IF(AW33&gt;=5,"BEST",IF(AW33&gt;=4,"BETTER",IF(AW33&gt;2,"GOOD"))))</f>
        <v>NEED TO PROGRESS</v>
      </c>
      <c r="BB33" s="152">
        <v>0</v>
      </c>
      <c r="BC33" s="152">
        <v>17</v>
      </c>
      <c r="BD33" s="154">
        <v>0</v>
      </c>
      <c r="BE33" s="154">
        <f t="shared" ref="BE33" si="36">SUM(BB33:BD33)/3</f>
        <v>5.666666666666667</v>
      </c>
      <c r="BF33" s="155"/>
    </row>
    <row r="34" spans="1:58" ht="18" customHeight="1">
      <c r="A34" s="32">
        <v>27</v>
      </c>
      <c r="B34" s="72">
        <v>31</v>
      </c>
      <c r="C34" s="115" t="s">
        <v>172</v>
      </c>
      <c r="D34" s="107" t="s">
        <v>173</v>
      </c>
      <c r="E34" s="73" t="s">
        <v>174</v>
      </c>
      <c r="F34" s="59">
        <v>20</v>
      </c>
      <c r="G34" s="59">
        <v>78</v>
      </c>
      <c r="H34" s="59">
        <v>10</v>
      </c>
      <c r="I34" s="59">
        <v>38</v>
      </c>
      <c r="J34" s="60">
        <f t="shared" ref="J34:J37" si="37">F34+G34+H34+I34</f>
        <v>146</v>
      </c>
      <c r="K34" s="85">
        <f t="shared" si="1"/>
        <v>5</v>
      </c>
      <c r="L34" s="228"/>
      <c r="M34" s="59">
        <v>19</v>
      </c>
      <c r="N34" s="59">
        <v>69</v>
      </c>
      <c r="O34" s="59">
        <v>10</v>
      </c>
      <c r="P34" s="59">
        <v>38</v>
      </c>
      <c r="Q34" s="60">
        <f t="shared" si="20"/>
        <v>136</v>
      </c>
      <c r="R34" s="59">
        <f t="shared" si="21"/>
        <v>5</v>
      </c>
      <c r="S34" s="228"/>
      <c r="T34" s="59">
        <v>19</v>
      </c>
      <c r="U34" s="59">
        <v>66</v>
      </c>
      <c r="V34" s="60">
        <f t="shared" si="22"/>
        <v>85</v>
      </c>
      <c r="W34" s="59">
        <f t="shared" si="23"/>
        <v>5</v>
      </c>
      <c r="X34" s="228"/>
      <c r="Y34" s="59">
        <v>19</v>
      </c>
      <c r="Z34" s="59">
        <v>67</v>
      </c>
      <c r="AA34" s="60">
        <f t="shared" si="24"/>
        <v>86</v>
      </c>
      <c r="AB34" s="59">
        <f t="shared" si="25"/>
        <v>5</v>
      </c>
      <c r="AC34" s="228"/>
      <c r="AD34" s="109">
        <v>19</v>
      </c>
      <c r="AE34" s="59">
        <v>72</v>
      </c>
      <c r="AF34" s="60">
        <f t="shared" si="26"/>
        <v>91</v>
      </c>
      <c r="AG34" s="59">
        <f t="shared" si="27"/>
        <v>5</v>
      </c>
      <c r="AH34" s="228"/>
      <c r="AI34" s="59">
        <v>19</v>
      </c>
      <c r="AJ34" s="59">
        <v>76</v>
      </c>
      <c r="AK34" s="60">
        <f t="shared" si="28"/>
        <v>95</v>
      </c>
      <c r="AL34" s="59">
        <f t="shared" si="29"/>
        <v>5</v>
      </c>
      <c r="AM34" s="228"/>
      <c r="AN34" s="59">
        <v>2</v>
      </c>
      <c r="AO34" s="59">
        <v>46</v>
      </c>
      <c r="AP34" s="60">
        <f t="shared" si="30"/>
        <v>46</v>
      </c>
      <c r="AQ34" s="59">
        <f t="shared" si="31"/>
        <v>5</v>
      </c>
      <c r="AR34" s="228"/>
      <c r="AS34" s="60">
        <v>47</v>
      </c>
      <c r="AT34" s="59">
        <f t="shared" si="14"/>
        <v>5</v>
      </c>
      <c r="AU34" s="228"/>
      <c r="AV34" s="59">
        <f t="shared" si="32"/>
        <v>35</v>
      </c>
      <c r="AW34" s="61">
        <f t="shared" si="33"/>
        <v>5</v>
      </c>
      <c r="AX34" s="60">
        <f t="shared" si="34"/>
        <v>685</v>
      </c>
      <c r="AY34" s="62">
        <v>25</v>
      </c>
      <c r="AZ34" s="62"/>
      <c r="BA34" s="64" t="str">
        <f t="shared" si="35"/>
        <v>BEST</v>
      </c>
      <c r="BB34" s="152">
        <v>0</v>
      </c>
      <c r="BC34" s="152">
        <v>611</v>
      </c>
      <c r="BD34" s="154">
        <v>685</v>
      </c>
      <c r="BE34" s="154">
        <f>SUM(BC34:BD34)/2</f>
        <v>648</v>
      </c>
      <c r="BF34" s="155"/>
    </row>
    <row r="35" spans="1:58" ht="18" customHeight="1">
      <c r="A35" s="32">
        <v>28</v>
      </c>
      <c r="B35" s="111">
        <v>32</v>
      </c>
      <c r="C35" s="114" t="s">
        <v>177</v>
      </c>
      <c r="D35" s="112" t="s">
        <v>182</v>
      </c>
      <c r="E35" s="73" t="s">
        <v>183</v>
      </c>
      <c r="F35" s="59">
        <v>20</v>
      </c>
      <c r="G35" s="59">
        <v>79</v>
      </c>
      <c r="H35" s="59">
        <v>10</v>
      </c>
      <c r="I35" s="59">
        <v>0</v>
      </c>
      <c r="J35" s="60">
        <f t="shared" si="37"/>
        <v>109</v>
      </c>
      <c r="K35" s="85">
        <f t="shared" si="1"/>
        <v>4</v>
      </c>
      <c r="L35" s="228"/>
      <c r="M35" s="59">
        <v>20</v>
      </c>
      <c r="N35" s="59">
        <v>0</v>
      </c>
      <c r="O35" s="59">
        <v>9</v>
      </c>
      <c r="P35" s="59">
        <v>0</v>
      </c>
      <c r="Q35" s="60">
        <f t="shared" si="20"/>
        <v>29</v>
      </c>
      <c r="R35" s="59" t="str">
        <f t="shared" si="21"/>
        <v>F</v>
      </c>
      <c r="S35" s="228"/>
      <c r="T35" s="59">
        <v>20</v>
      </c>
      <c r="U35" s="59">
        <v>74</v>
      </c>
      <c r="V35" s="60">
        <f t="shared" si="22"/>
        <v>94</v>
      </c>
      <c r="W35" s="59">
        <f t="shared" si="23"/>
        <v>5</v>
      </c>
      <c r="X35" s="228"/>
      <c r="Y35" s="59">
        <v>20</v>
      </c>
      <c r="Z35" s="59">
        <v>0</v>
      </c>
      <c r="AA35" s="60">
        <f t="shared" si="24"/>
        <v>20</v>
      </c>
      <c r="AB35" s="59" t="str">
        <f t="shared" si="25"/>
        <v>F</v>
      </c>
      <c r="AC35" s="228"/>
      <c r="AD35" s="109">
        <v>20</v>
      </c>
      <c r="AE35" s="59">
        <v>0</v>
      </c>
      <c r="AF35" s="60">
        <f t="shared" si="26"/>
        <v>20</v>
      </c>
      <c r="AG35" s="59" t="str">
        <f t="shared" si="27"/>
        <v>F</v>
      </c>
      <c r="AH35" s="228"/>
      <c r="AI35" s="59">
        <v>20</v>
      </c>
      <c r="AJ35" s="59">
        <v>0</v>
      </c>
      <c r="AK35" s="60">
        <f t="shared" si="28"/>
        <v>20</v>
      </c>
      <c r="AL35" s="59" t="str">
        <f t="shared" si="29"/>
        <v>F</v>
      </c>
      <c r="AM35" s="228"/>
      <c r="AN35" s="59">
        <v>3</v>
      </c>
      <c r="AO35" s="59">
        <v>0</v>
      </c>
      <c r="AP35" s="60">
        <f t="shared" si="30"/>
        <v>0</v>
      </c>
      <c r="AQ35" s="59" t="str">
        <f t="shared" si="31"/>
        <v>F</v>
      </c>
      <c r="AR35" s="228"/>
      <c r="AS35" s="60">
        <v>0</v>
      </c>
      <c r="AT35" s="59" t="str">
        <f t="shared" si="14"/>
        <v>F</v>
      </c>
      <c r="AU35" s="228"/>
      <c r="AV35" s="59" t="str">
        <f t="shared" si="32"/>
        <v>F</v>
      </c>
      <c r="AW35" s="61" t="str">
        <f t="shared" si="33"/>
        <v>F</v>
      </c>
      <c r="AX35" s="60">
        <f t="shared" si="34"/>
        <v>292</v>
      </c>
      <c r="AY35" s="62">
        <v>28</v>
      </c>
      <c r="AZ35" s="62"/>
      <c r="BA35" s="64" t="str">
        <f t="shared" si="35"/>
        <v>NEED TO PROGRESS</v>
      </c>
      <c r="BB35" s="152">
        <v>0</v>
      </c>
      <c r="BC35" s="152">
        <v>402</v>
      </c>
      <c r="BD35" s="154">
        <v>292</v>
      </c>
      <c r="BE35" s="154">
        <f t="shared" ref="BE35:BE36" si="38">SUM(BC35:BD35)/2</f>
        <v>347</v>
      </c>
      <c r="BF35" s="155"/>
    </row>
    <row r="36" spans="1:58" ht="18" customHeight="1">
      <c r="A36" s="32">
        <v>29</v>
      </c>
      <c r="B36" s="111">
        <v>33</v>
      </c>
      <c r="C36" s="114" t="s">
        <v>178</v>
      </c>
      <c r="D36" s="112" t="s">
        <v>184</v>
      </c>
      <c r="E36" s="73" t="s">
        <v>185</v>
      </c>
      <c r="F36" s="59">
        <v>20</v>
      </c>
      <c r="G36" s="59">
        <v>77</v>
      </c>
      <c r="H36" s="59">
        <v>10</v>
      </c>
      <c r="I36" s="59">
        <v>26</v>
      </c>
      <c r="J36" s="60">
        <f t="shared" si="37"/>
        <v>133</v>
      </c>
      <c r="K36" s="85">
        <f t="shared" si="1"/>
        <v>5</v>
      </c>
      <c r="L36" s="228"/>
      <c r="M36" s="59">
        <v>20</v>
      </c>
      <c r="N36" s="59">
        <v>65</v>
      </c>
      <c r="O36" s="59">
        <v>10</v>
      </c>
      <c r="P36" s="59">
        <v>38</v>
      </c>
      <c r="Q36" s="60">
        <f t="shared" si="20"/>
        <v>133</v>
      </c>
      <c r="R36" s="59">
        <f t="shared" si="21"/>
        <v>5</v>
      </c>
      <c r="S36" s="228"/>
      <c r="T36" s="59">
        <v>17</v>
      </c>
      <c r="U36" s="59">
        <v>50</v>
      </c>
      <c r="V36" s="60">
        <f t="shared" si="22"/>
        <v>67</v>
      </c>
      <c r="W36" s="59">
        <f t="shared" si="23"/>
        <v>3.5</v>
      </c>
      <c r="X36" s="228"/>
      <c r="Y36" s="59">
        <v>19</v>
      </c>
      <c r="Z36" s="59">
        <v>56</v>
      </c>
      <c r="AA36" s="60">
        <f t="shared" si="24"/>
        <v>75</v>
      </c>
      <c r="AB36" s="59">
        <f t="shared" si="25"/>
        <v>4</v>
      </c>
      <c r="AC36" s="228"/>
      <c r="AD36" s="109">
        <v>19</v>
      </c>
      <c r="AE36" s="59">
        <v>49</v>
      </c>
      <c r="AF36" s="60">
        <f t="shared" si="26"/>
        <v>68</v>
      </c>
      <c r="AG36" s="59">
        <f t="shared" si="27"/>
        <v>3.5</v>
      </c>
      <c r="AH36" s="228"/>
      <c r="AI36" s="59">
        <v>18</v>
      </c>
      <c r="AJ36" s="59">
        <v>70</v>
      </c>
      <c r="AK36" s="60">
        <f t="shared" si="28"/>
        <v>88</v>
      </c>
      <c r="AL36" s="59">
        <f t="shared" si="29"/>
        <v>5</v>
      </c>
      <c r="AM36" s="228"/>
      <c r="AN36" s="59">
        <v>4</v>
      </c>
      <c r="AO36" s="59">
        <v>40</v>
      </c>
      <c r="AP36" s="60">
        <f t="shared" si="30"/>
        <v>40</v>
      </c>
      <c r="AQ36" s="59">
        <f t="shared" si="31"/>
        <v>5</v>
      </c>
      <c r="AR36" s="228"/>
      <c r="AS36" s="60">
        <v>50</v>
      </c>
      <c r="AT36" s="59">
        <f t="shared" si="14"/>
        <v>5</v>
      </c>
      <c r="AU36" s="228"/>
      <c r="AV36" s="59">
        <f t="shared" si="32"/>
        <v>31</v>
      </c>
      <c r="AW36" s="61">
        <f t="shared" si="33"/>
        <v>4.4285714285714288</v>
      </c>
      <c r="AX36" s="60">
        <f t="shared" si="34"/>
        <v>604</v>
      </c>
      <c r="AY36" s="62">
        <v>27</v>
      </c>
      <c r="AZ36" s="62"/>
      <c r="BA36" s="64" t="str">
        <f t="shared" si="35"/>
        <v>BETTER</v>
      </c>
      <c r="BB36" s="152">
        <v>0</v>
      </c>
      <c r="BC36" s="152">
        <v>325</v>
      </c>
      <c r="BD36" s="154">
        <v>604</v>
      </c>
      <c r="BE36" s="154">
        <f t="shared" si="38"/>
        <v>464.5</v>
      </c>
      <c r="BF36" s="155"/>
    </row>
    <row r="37" spans="1:58" ht="18" customHeight="1">
      <c r="A37" s="32">
        <v>30</v>
      </c>
      <c r="B37" s="72">
        <v>34</v>
      </c>
      <c r="C37" s="113" t="s">
        <v>181</v>
      </c>
      <c r="D37" s="106" t="s">
        <v>179</v>
      </c>
      <c r="E37" s="106" t="s">
        <v>180</v>
      </c>
      <c r="F37" s="59">
        <v>20</v>
      </c>
      <c r="G37" s="59">
        <v>64</v>
      </c>
      <c r="H37" s="59">
        <v>10</v>
      </c>
      <c r="I37" s="59">
        <v>30</v>
      </c>
      <c r="J37" s="60">
        <f t="shared" si="37"/>
        <v>124</v>
      </c>
      <c r="K37" s="85">
        <f t="shared" si="1"/>
        <v>5</v>
      </c>
      <c r="L37" s="229"/>
      <c r="M37" s="59">
        <v>18</v>
      </c>
      <c r="N37" s="59">
        <v>59</v>
      </c>
      <c r="O37" s="59">
        <v>10</v>
      </c>
      <c r="P37" s="59">
        <v>35</v>
      </c>
      <c r="Q37" s="60">
        <f t="shared" si="20"/>
        <v>122</v>
      </c>
      <c r="R37" s="59">
        <f t="shared" si="21"/>
        <v>5</v>
      </c>
      <c r="S37" s="229"/>
      <c r="T37" s="59">
        <v>19</v>
      </c>
      <c r="U37" s="59">
        <v>69</v>
      </c>
      <c r="V37" s="60">
        <f t="shared" si="22"/>
        <v>88</v>
      </c>
      <c r="W37" s="59">
        <f t="shared" si="23"/>
        <v>5</v>
      </c>
      <c r="X37" s="229"/>
      <c r="Y37" s="59">
        <v>20</v>
      </c>
      <c r="Z37" s="59">
        <v>61</v>
      </c>
      <c r="AA37" s="60">
        <f t="shared" si="24"/>
        <v>81</v>
      </c>
      <c r="AB37" s="59">
        <f t="shared" si="25"/>
        <v>5</v>
      </c>
      <c r="AC37" s="229"/>
      <c r="AD37" s="109">
        <v>19</v>
      </c>
      <c r="AE37" s="59">
        <v>74</v>
      </c>
      <c r="AF37" s="60">
        <f t="shared" si="26"/>
        <v>93</v>
      </c>
      <c r="AG37" s="59">
        <f t="shared" si="27"/>
        <v>5</v>
      </c>
      <c r="AH37" s="229"/>
      <c r="AI37" s="59">
        <v>19</v>
      </c>
      <c r="AJ37" s="59">
        <v>71</v>
      </c>
      <c r="AK37" s="60">
        <f t="shared" si="28"/>
        <v>90</v>
      </c>
      <c r="AL37" s="59">
        <f t="shared" si="29"/>
        <v>5</v>
      </c>
      <c r="AM37" s="229"/>
      <c r="AN37" s="59">
        <v>5</v>
      </c>
      <c r="AO37" s="59">
        <v>46</v>
      </c>
      <c r="AP37" s="60">
        <f t="shared" si="30"/>
        <v>46</v>
      </c>
      <c r="AQ37" s="59">
        <f t="shared" si="31"/>
        <v>5</v>
      </c>
      <c r="AR37" s="229"/>
      <c r="AS37" s="60">
        <v>49</v>
      </c>
      <c r="AT37" s="59">
        <f t="shared" si="14"/>
        <v>5</v>
      </c>
      <c r="AU37" s="229"/>
      <c r="AV37" s="59">
        <f t="shared" si="32"/>
        <v>35</v>
      </c>
      <c r="AW37" s="61">
        <f t="shared" si="33"/>
        <v>5</v>
      </c>
      <c r="AX37" s="60">
        <f t="shared" si="34"/>
        <v>644</v>
      </c>
      <c r="AY37" s="62">
        <v>26</v>
      </c>
      <c r="AZ37" s="62"/>
      <c r="BA37" s="64" t="str">
        <f t="shared" si="35"/>
        <v>BEST</v>
      </c>
      <c r="BB37" s="152">
        <v>0</v>
      </c>
      <c r="BC37" s="152">
        <v>0</v>
      </c>
      <c r="BD37" s="154">
        <v>644</v>
      </c>
      <c r="BE37" s="154">
        <v>644</v>
      </c>
      <c r="BF37" s="155"/>
    </row>
    <row r="38" spans="1:58" ht="18" customHeight="1">
      <c r="A38" s="74"/>
      <c r="B38" s="75"/>
      <c r="C38" s="76"/>
      <c r="D38" s="76"/>
      <c r="E38" s="76"/>
      <c r="F38" s="77"/>
      <c r="G38" s="77"/>
      <c r="H38" s="77"/>
      <c r="I38" s="77"/>
      <c r="J38" s="78"/>
      <c r="K38" s="77"/>
      <c r="L38" s="78"/>
      <c r="M38" s="77"/>
      <c r="N38" s="77"/>
      <c r="O38" s="77"/>
      <c r="P38" s="77"/>
      <c r="Q38" s="78"/>
      <c r="R38" s="77"/>
      <c r="S38" s="78"/>
      <c r="T38" s="77"/>
      <c r="U38" s="77"/>
      <c r="V38" s="78"/>
      <c r="W38" s="77"/>
      <c r="X38" s="78"/>
      <c r="Y38" s="77"/>
      <c r="Z38" s="77"/>
      <c r="AA38" s="78"/>
      <c r="AB38" s="77"/>
      <c r="AC38" s="78"/>
      <c r="AD38" s="77"/>
      <c r="AE38" s="77"/>
      <c r="AF38" s="78"/>
      <c r="AG38" s="77"/>
      <c r="AH38" s="78"/>
      <c r="AI38" s="77"/>
      <c r="AJ38" s="77"/>
      <c r="AK38" s="78"/>
      <c r="AL38" s="77"/>
      <c r="AM38" s="78"/>
      <c r="AN38" s="77"/>
      <c r="AO38" s="77"/>
      <c r="AP38" s="78"/>
      <c r="AQ38" s="77"/>
      <c r="AR38" s="78"/>
      <c r="AS38" s="78"/>
      <c r="AT38" s="77"/>
      <c r="AU38" s="78"/>
      <c r="AV38" s="77"/>
      <c r="AW38" s="79"/>
      <c r="AX38" s="78"/>
      <c r="AY38" s="80"/>
      <c r="AZ38" s="80"/>
      <c r="BA38" s="81"/>
      <c r="BB38" s="82"/>
      <c r="BC38" s="83"/>
      <c r="BD38" s="83"/>
      <c r="BE38" s="83"/>
      <c r="BF38" s="84"/>
    </row>
    <row r="39" spans="1:58" ht="18" customHeight="1">
      <c r="A39" s="74"/>
      <c r="B39" s="75"/>
      <c r="C39" s="76"/>
      <c r="D39" s="76"/>
      <c r="E39" s="76"/>
      <c r="F39" s="77"/>
      <c r="G39" s="77"/>
      <c r="H39" s="77"/>
      <c r="I39" s="77"/>
      <c r="J39" s="78"/>
      <c r="K39" s="77"/>
      <c r="L39" s="78"/>
      <c r="M39" s="77"/>
      <c r="N39" s="77"/>
      <c r="O39" s="77"/>
      <c r="P39" s="77"/>
      <c r="Q39" s="78"/>
      <c r="R39" s="77"/>
      <c r="S39" s="78"/>
      <c r="T39" s="77"/>
      <c r="U39" s="77"/>
      <c r="V39" s="78"/>
      <c r="W39" s="77"/>
      <c r="X39" s="78"/>
      <c r="Y39" s="77"/>
      <c r="Z39" s="77"/>
      <c r="AA39" s="78"/>
      <c r="AB39" s="77"/>
      <c r="AC39" s="78"/>
      <c r="AD39" s="77"/>
      <c r="AE39" s="77"/>
      <c r="AF39" s="78"/>
      <c r="AG39" s="77"/>
      <c r="AH39" s="78"/>
      <c r="AI39" s="77"/>
      <c r="AJ39" s="77"/>
      <c r="AK39" s="78"/>
      <c r="AL39" s="77"/>
      <c r="AM39" s="78"/>
      <c r="AN39" s="77"/>
      <c r="AO39" s="77"/>
      <c r="AP39" s="78"/>
      <c r="AQ39" s="77"/>
      <c r="AR39" s="78"/>
      <c r="AS39" s="78"/>
      <c r="AT39" s="77"/>
      <c r="AU39" s="78"/>
      <c r="AV39" s="77"/>
      <c r="AW39" s="79"/>
      <c r="AX39" s="78"/>
      <c r="AY39" s="80"/>
      <c r="AZ39" s="80"/>
      <c r="BA39" s="81"/>
      <c r="BB39" s="82"/>
      <c r="BC39" s="83"/>
      <c r="BD39" s="83"/>
      <c r="BE39" s="83"/>
      <c r="BF39" s="84"/>
    </row>
    <row r="40" spans="1:58" s="52" customFormat="1" ht="11.25">
      <c r="A40" s="69">
        <v>0</v>
      </c>
      <c r="B40" s="70">
        <v>1</v>
      </c>
      <c r="C40" s="52">
        <v>2</v>
      </c>
      <c r="D40" s="52">
        <v>3</v>
      </c>
      <c r="E40" s="70">
        <v>4</v>
      </c>
      <c r="F40" s="52">
        <v>5</v>
      </c>
      <c r="G40" s="52">
        <v>6</v>
      </c>
      <c r="H40" s="70">
        <v>7</v>
      </c>
      <c r="I40" s="52">
        <v>8</v>
      </c>
      <c r="J40" s="52">
        <v>9</v>
      </c>
      <c r="K40" s="70">
        <v>10</v>
      </c>
      <c r="L40" s="52">
        <v>11</v>
      </c>
      <c r="M40" s="52">
        <v>12</v>
      </c>
      <c r="N40" s="70">
        <v>13</v>
      </c>
      <c r="O40" s="52">
        <v>14</v>
      </c>
      <c r="P40" s="52">
        <v>15</v>
      </c>
      <c r="Q40" s="70">
        <v>16</v>
      </c>
      <c r="R40" s="52">
        <v>17</v>
      </c>
      <c r="S40" s="52">
        <v>18</v>
      </c>
      <c r="T40" s="70">
        <v>19</v>
      </c>
      <c r="U40" s="52">
        <v>20</v>
      </c>
      <c r="V40" s="52">
        <v>21</v>
      </c>
      <c r="W40" s="70">
        <v>22</v>
      </c>
      <c r="X40" s="52">
        <v>23</v>
      </c>
      <c r="Y40" s="52">
        <v>24</v>
      </c>
      <c r="Z40" s="70">
        <v>25</v>
      </c>
      <c r="AA40" s="52">
        <v>26</v>
      </c>
      <c r="AB40" s="52">
        <v>27</v>
      </c>
      <c r="AC40" s="70">
        <v>28</v>
      </c>
      <c r="AD40" s="52">
        <v>29</v>
      </c>
      <c r="AE40" s="52">
        <v>30</v>
      </c>
      <c r="AF40" s="70">
        <v>31</v>
      </c>
      <c r="AG40" s="52">
        <v>32</v>
      </c>
      <c r="AH40" s="52">
        <v>33</v>
      </c>
      <c r="AI40" s="70">
        <v>34</v>
      </c>
      <c r="AJ40" s="52">
        <v>35</v>
      </c>
      <c r="AK40" s="52">
        <v>36</v>
      </c>
      <c r="AL40" s="70">
        <v>37</v>
      </c>
      <c r="AM40" s="52">
        <v>38</v>
      </c>
      <c r="AN40" s="52">
        <v>39</v>
      </c>
      <c r="AO40" s="70">
        <v>40</v>
      </c>
      <c r="AP40" s="52">
        <v>41</v>
      </c>
      <c r="AQ40" s="52">
        <v>42</v>
      </c>
      <c r="AR40" s="70">
        <v>43</v>
      </c>
      <c r="AS40" s="52">
        <v>44</v>
      </c>
      <c r="AT40" s="52">
        <v>45</v>
      </c>
      <c r="AU40" s="70">
        <v>46</v>
      </c>
      <c r="AV40" s="52">
        <v>47</v>
      </c>
      <c r="AW40" s="52">
        <v>48</v>
      </c>
      <c r="AX40" s="70">
        <v>49</v>
      </c>
      <c r="AY40" s="52">
        <v>50</v>
      </c>
      <c r="AZ40" s="52">
        <v>51</v>
      </c>
      <c r="BA40" s="70">
        <v>52</v>
      </c>
      <c r="BB40" s="52">
        <v>53</v>
      </c>
      <c r="BC40" s="52">
        <v>54</v>
      </c>
      <c r="BD40" s="70">
        <v>55</v>
      </c>
      <c r="BE40" s="52">
        <v>56</v>
      </c>
      <c r="BF40" s="52">
        <v>57</v>
      </c>
    </row>
  </sheetData>
  <mergeCells count="52">
    <mergeCell ref="O5:R5"/>
    <mergeCell ref="S5:U5"/>
    <mergeCell ref="O6:P6"/>
    <mergeCell ref="Q6:Q7"/>
    <mergeCell ref="R6:R7"/>
    <mergeCell ref="S6:S7"/>
    <mergeCell ref="T6:W6"/>
    <mergeCell ref="AM8:AM37"/>
    <mergeCell ref="AR8:AR37"/>
    <mergeCell ref="AU8:AU37"/>
    <mergeCell ref="L8:L37"/>
    <mergeCell ref="S8:S37"/>
    <mergeCell ref="X8:X37"/>
    <mergeCell ref="AC8:AC37"/>
    <mergeCell ref="AH8:AH37"/>
    <mergeCell ref="F6:G6"/>
    <mergeCell ref="H6:I6"/>
    <mergeCell ref="J6:J7"/>
    <mergeCell ref="K6:K7"/>
    <mergeCell ref="M6:N6"/>
    <mergeCell ref="A1:BA4"/>
    <mergeCell ref="A6:A7"/>
    <mergeCell ref="B6:B7"/>
    <mergeCell ref="C6:C7"/>
    <mergeCell ref="D6:D7"/>
    <mergeCell ref="E6:E7"/>
    <mergeCell ref="L6:L7"/>
    <mergeCell ref="AC6:AC7"/>
    <mergeCell ref="AH6:AH7"/>
    <mergeCell ref="AM6:AM7"/>
    <mergeCell ref="AU6:AU7"/>
    <mergeCell ref="AY6:AY7"/>
    <mergeCell ref="AZ6:AZ7"/>
    <mergeCell ref="A5:C5"/>
    <mergeCell ref="E5:G5"/>
    <mergeCell ref="H5:N5"/>
    <mergeCell ref="BA6:BA7"/>
    <mergeCell ref="BB6:BF6"/>
    <mergeCell ref="W5:AA5"/>
    <mergeCell ref="AE5:AH5"/>
    <mergeCell ref="AI5:AM5"/>
    <mergeCell ref="X6:X7"/>
    <mergeCell ref="Y6:AB6"/>
    <mergeCell ref="AD6:AG6"/>
    <mergeCell ref="AI6:AL6"/>
    <mergeCell ref="AN6:AQ6"/>
    <mergeCell ref="AR6:AR7"/>
    <mergeCell ref="AS6:AT6"/>
    <mergeCell ref="AV6:AV7"/>
    <mergeCell ref="AW6:AW7"/>
    <mergeCell ref="AX6:AX7"/>
    <mergeCell ref="AN5:BA5"/>
  </mergeCells>
  <conditionalFormatting sqref="M8:M39 T8:T39 Y8:Y39 AD8:AD39 AI8:AI39 F8:F39">
    <cfRule type="cellIs" dxfId="11" priority="5" operator="greaterThan">
      <formula>20</formula>
    </cfRule>
  </conditionalFormatting>
  <conditionalFormatting sqref="N8:N39 G8:G39 U8:V39 Z8:AA39 AE8:AF39 AJ8:AK39">
    <cfRule type="cellIs" dxfId="10" priority="2" operator="greaterThan">
      <formula>100</formula>
    </cfRule>
  </conditionalFormatting>
  <conditionalFormatting sqref="O8:O39 H8:H39 AN8:AN39">
    <cfRule type="cellIs" dxfId="9" priority="6" operator="greaterThan">
      <formula>10</formula>
    </cfRule>
  </conditionalFormatting>
  <conditionalFormatting sqref="P8:P39 I8:I39 AO8:AO39">
    <cfRule type="cellIs" dxfId="8" priority="3" operator="greaterThan">
      <formula>50</formula>
    </cfRule>
  </conditionalFormatting>
  <conditionalFormatting sqref="J8:J39 Q8:Q39">
    <cfRule type="cellIs" dxfId="7" priority="4" operator="greaterThan">
      <formula>150</formula>
    </cfRule>
  </conditionalFormatting>
  <conditionalFormatting sqref="AS8:AS39 AP8:AP39">
    <cfRule type="cellIs" dxfId="6" priority="1" operator="greaterThan">
      <formula>50</formula>
    </cfRule>
  </conditionalFormatting>
  <conditionalFormatting sqref="AV6:AV7">
    <cfRule type="cellIs" dxfId="5" priority="7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9" scale="82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B1:L39"/>
  <sheetViews>
    <sheetView topLeftCell="A13" workbookViewId="0">
      <selection activeCell="I9" sqref="I9:L9"/>
    </sheetView>
  </sheetViews>
  <sheetFormatPr defaultRowHeight="15"/>
  <cols>
    <col min="1" max="1" width="5" customWidth="1"/>
    <col min="2" max="2" width="20.28515625" customWidth="1"/>
    <col min="5" max="5" width="10" customWidth="1"/>
    <col min="6" max="6" width="6.85546875" customWidth="1"/>
    <col min="7" max="7" width="6.140625" customWidth="1"/>
    <col min="8" max="8" width="6.28515625" customWidth="1"/>
    <col min="9" max="9" width="6.85546875" customWidth="1"/>
    <col min="10" max="11" width="6.28515625" customWidth="1"/>
    <col min="12" max="12" width="8.85546875" customWidth="1"/>
  </cols>
  <sheetData>
    <row r="1" spans="2:12">
      <c r="B1" s="256" t="s">
        <v>45</v>
      </c>
      <c r="C1" s="257"/>
      <c r="D1" s="257"/>
      <c r="E1" s="257"/>
      <c r="F1" s="257"/>
      <c r="G1" s="257"/>
      <c r="H1" s="257"/>
      <c r="I1" s="257"/>
      <c r="J1" s="257"/>
      <c r="K1" s="258"/>
      <c r="L1" s="259"/>
    </row>
    <row r="2" spans="2:12">
      <c r="B2" s="260"/>
      <c r="C2" s="261"/>
      <c r="D2" s="261"/>
      <c r="E2" s="261"/>
      <c r="F2" s="261"/>
      <c r="G2" s="261"/>
      <c r="H2" s="261"/>
      <c r="I2" s="261"/>
      <c r="J2" s="261"/>
      <c r="K2" s="262"/>
      <c r="L2" s="263"/>
    </row>
    <row r="3" spans="2:12">
      <c r="B3" s="260"/>
      <c r="C3" s="261"/>
      <c r="D3" s="261"/>
      <c r="E3" s="261"/>
      <c r="F3" s="261"/>
      <c r="G3" s="261"/>
      <c r="H3" s="261"/>
      <c r="I3" s="261"/>
      <c r="J3" s="261"/>
      <c r="K3" s="262"/>
      <c r="L3" s="263"/>
    </row>
    <row r="4" spans="2:12" ht="23.1" customHeight="1">
      <c r="B4" s="260"/>
      <c r="C4" s="261"/>
      <c r="D4" s="261"/>
      <c r="E4" s="261"/>
      <c r="F4" s="261"/>
      <c r="G4" s="261"/>
      <c r="H4" s="261"/>
      <c r="I4" s="261"/>
      <c r="J4" s="261"/>
      <c r="K4" s="262"/>
      <c r="L4" s="263"/>
    </row>
    <row r="5" spans="2:12" ht="24" customHeight="1">
      <c r="B5" s="264"/>
      <c r="C5" s="265"/>
      <c r="D5" s="265"/>
      <c r="E5" s="265"/>
      <c r="F5" s="265"/>
      <c r="G5" s="265"/>
      <c r="H5" s="265"/>
      <c r="I5" s="265"/>
      <c r="J5" s="265"/>
      <c r="K5" s="266"/>
      <c r="L5" s="267"/>
    </row>
    <row r="6" spans="2:12" ht="15.75">
      <c r="B6" s="27" t="s">
        <v>17</v>
      </c>
      <c r="C6" s="268" t="str">
        <f>IFERROR(VLOOKUP(I8,'2nd_Semeter'!B$6:AZ$30,2,0),"ENTER RIGHT ROLL")</f>
        <v xml:space="preserve">Amir Hamza </v>
      </c>
      <c r="D6" s="268"/>
      <c r="E6" s="268"/>
      <c r="F6" s="6"/>
      <c r="G6" s="269" t="s">
        <v>46</v>
      </c>
      <c r="H6" s="269"/>
      <c r="I6" s="270" t="s">
        <v>35</v>
      </c>
      <c r="J6" s="271"/>
      <c r="K6" s="271"/>
      <c r="L6" s="272"/>
    </row>
    <row r="7" spans="2:12" ht="16.5">
      <c r="B7" s="28" t="s">
        <v>18</v>
      </c>
      <c r="C7" s="273" t="str">
        <f>IFERROR(VLOOKUP(I8,'2nd_Semeter'!B$6:AZ$30,3,0),"")</f>
        <v>Muhammad Aminur Rahman</v>
      </c>
      <c r="D7" s="273"/>
      <c r="E7" s="273"/>
      <c r="F7" s="7"/>
      <c r="G7" s="274" t="s">
        <v>32</v>
      </c>
      <c r="H7" s="274"/>
      <c r="I7" s="275" t="e">
        <f>'2nd_Semeter'!#REF!</f>
        <v>#REF!</v>
      </c>
      <c r="J7" s="275"/>
      <c r="K7" s="275"/>
      <c r="L7" s="276"/>
    </row>
    <row r="8" spans="2:12" ht="16.5">
      <c r="B8" s="29" t="s">
        <v>47</v>
      </c>
      <c r="C8" s="273" t="str">
        <f>IFERROR(VLOOKUP(I8,'2nd_Semeter'!B$6:AZ$30,4,0),"")</f>
        <v xml:space="preserve">Mst. Shirin Akter </v>
      </c>
      <c r="D8" s="273"/>
      <c r="E8" s="273"/>
      <c r="F8" s="8"/>
      <c r="G8" s="277" t="s">
        <v>1</v>
      </c>
      <c r="H8" s="277"/>
      <c r="I8" s="278">
        <v>21</v>
      </c>
      <c r="J8" s="278"/>
      <c r="K8" s="278"/>
      <c r="L8" s="279"/>
    </row>
    <row r="9" spans="2:12">
      <c r="B9" s="28" t="s">
        <v>48</v>
      </c>
      <c r="C9" s="273" t="e">
        <f>'2nd_Semeter'!#REF!</f>
        <v>#REF!</v>
      </c>
      <c r="D9" s="273"/>
      <c r="E9" s="273"/>
      <c r="F9" s="280" t="s">
        <v>28</v>
      </c>
      <c r="G9" s="280"/>
      <c r="H9" s="280"/>
      <c r="I9" s="275" t="e">
        <f>'2nd_Semeter'!#REF!</f>
        <v>#REF!</v>
      </c>
      <c r="J9" s="275"/>
      <c r="K9" s="275"/>
      <c r="L9" s="276"/>
    </row>
    <row r="10" spans="2:12" ht="16.5">
      <c r="B10" s="28" t="s">
        <v>49</v>
      </c>
      <c r="C10" s="285" t="e">
        <f>'2nd_Semeter'!#REF!</f>
        <v>#REF!</v>
      </c>
      <c r="D10" s="285"/>
      <c r="E10" s="285"/>
      <c r="F10" s="9"/>
      <c r="G10" s="9"/>
      <c r="H10" s="9"/>
      <c r="I10" s="9"/>
      <c r="J10" s="9"/>
      <c r="K10" s="9"/>
      <c r="L10" s="10"/>
    </row>
    <row r="11" spans="2:12" ht="5.25" customHeight="1">
      <c r="B11" s="232"/>
      <c r="C11" s="233"/>
      <c r="D11" s="233"/>
      <c r="E11" s="233"/>
      <c r="F11" s="233"/>
      <c r="G11" s="233"/>
      <c r="H11" s="233"/>
      <c r="I11" s="233"/>
      <c r="J11" s="233"/>
      <c r="K11" s="233"/>
      <c r="L11" s="234"/>
    </row>
    <row r="12" spans="2:12" ht="15" customHeight="1">
      <c r="B12" s="244" t="s">
        <v>19</v>
      </c>
      <c r="C12" s="244"/>
      <c r="D12" s="244"/>
      <c r="E12" s="281" t="s">
        <v>20</v>
      </c>
      <c r="F12" s="281" t="s">
        <v>21</v>
      </c>
      <c r="G12" s="283" t="s">
        <v>42</v>
      </c>
      <c r="H12" s="281" t="s">
        <v>22</v>
      </c>
      <c r="I12" s="281" t="s">
        <v>23</v>
      </c>
      <c r="J12" s="244" t="s">
        <v>4</v>
      </c>
      <c r="K12" s="288" t="s">
        <v>41</v>
      </c>
      <c r="L12" s="286" t="s">
        <v>11</v>
      </c>
    </row>
    <row r="13" spans="2:12" ht="15" customHeight="1">
      <c r="B13" s="245"/>
      <c r="C13" s="245"/>
      <c r="D13" s="245"/>
      <c r="E13" s="282"/>
      <c r="F13" s="282"/>
      <c r="G13" s="284"/>
      <c r="H13" s="282"/>
      <c r="I13" s="282"/>
      <c r="J13" s="245"/>
      <c r="K13" s="289"/>
      <c r="L13" s="287"/>
    </row>
    <row r="14" spans="2:12" ht="15" customHeight="1">
      <c r="B14" s="245"/>
      <c r="C14" s="245"/>
      <c r="D14" s="245"/>
      <c r="E14" s="282"/>
      <c r="F14" s="282"/>
      <c r="G14" s="284"/>
      <c r="H14" s="282"/>
      <c r="I14" s="282"/>
      <c r="J14" s="245"/>
      <c r="K14" s="289"/>
      <c r="L14" s="287"/>
    </row>
    <row r="15" spans="2:12" ht="15" customHeight="1">
      <c r="B15" s="245"/>
      <c r="C15" s="245"/>
      <c r="D15" s="245"/>
      <c r="E15" s="282"/>
      <c r="F15" s="282"/>
      <c r="G15" s="284"/>
      <c r="H15" s="282"/>
      <c r="I15" s="282"/>
      <c r="J15" s="245"/>
      <c r="K15" s="289"/>
      <c r="L15" s="287"/>
    </row>
    <row r="16" spans="2:12" ht="15" customHeight="1">
      <c r="B16" s="245"/>
      <c r="C16" s="245"/>
      <c r="D16" s="245"/>
      <c r="E16" s="282"/>
      <c r="F16" s="282"/>
      <c r="G16" s="284"/>
      <c r="H16" s="282"/>
      <c r="I16" s="282"/>
      <c r="J16" s="245"/>
      <c r="K16" s="289"/>
      <c r="L16" s="287"/>
    </row>
    <row r="17" spans="2:12" ht="15" customHeight="1">
      <c r="B17" s="245"/>
      <c r="C17" s="245"/>
      <c r="D17" s="245"/>
      <c r="E17" s="282"/>
      <c r="F17" s="282"/>
      <c r="G17" s="284"/>
      <c r="H17" s="282"/>
      <c r="I17" s="282"/>
      <c r="J17" s="245"/>
      <c r="K17" s="289"/>
      <c r="L17" s="287"/>
    </row>
    <row r="18" spans="2:12" ht="15" customHeight="1">
      <c r="B18" s="245"/>
      <c r="C18" s="245"/>
      <c r="D18" s="245"/>
      <c r="E18" s="282"/>
      <c r="F18" s="282"/>
      <c r="G18" s="284"/>
      <c r="H18" s="282"/>
      <c r="I18" s="282"/>
      <c r="J18" s="245"/>
      <c r="K18" s="289"/>
      <c r="L18" s="287"/>
    </row>
    <row r="19" spans="2:12" ht="15" customHeight="1">
      <c r="B19" s="245"/>
      <c r="C19" s="245"/>
      <c r="D19" s="245"/>
      <c r="E19" s="282"/>
      <c r="F19" s="282"/>
      <c r="G19" s="284"/>
      <c r="H19" s="282"/>
      <c r="I19" s="282"/>
      <c r="J19" s="245"/>
      <c r="K19" s="289"/>
      <c r="L19" s="287"/>
    </row>
    <row r="20" spans="2:12" ht="33.75" customHeight="1">
      <c r="B20" s="236" t="s">
        <v>40</v>
      </c>
      <c r="C20" s="236"/>
      <c r="D20" s="236"/>
      <c r="E20" s="21">
        <v>100</v>
      </c>
      <c r="F20" s="25">
        <f>IFERROR(VLOOKUP(I$8,'2nd_Semeter'!B$6:AZ$30,5,0),"")</f>
        <v>20</v>
      </c>
      <c r="G20" s="25">
        <f>IFERROR(VLOOKUP(I$8,'2nd_Semeter'!B$6:AZ$30,7,0),"")</f>
        <v>10</v>
      </c>
      <c r="H20" s="237">
        <f>IFERROR(VLOOKUP(I$8,'2nd_Semeter'!B$6:AZ$30,11,0),"")</f>
        <v>0</v>
      </c>
      <c r="I20" s="237" t="e">
        <f>'2nd_Semeter'!#REF!</f>
        <v>#REF!</v>
      </c>
      <c r="J20" s="236">
        <f>IFERROR(VLOOKUP(I$8,'2nd_Semeter'!B$6:AZ$30,12,0),"")</f>
        <v>20</v>
      </c>
      <c r="K20" s="230" t="str">
        <f>IF(J20="F","F",IF(J20&lt;2.5,"D",IF(J20&lt;3,"C",IF(J20&lt;3.5,"B",IF(J20&lt;4,"A-",IF(J20&lt;5,"A","A+"))))))</f>
        <v>A+</v>
      </c>
      <c r="L20" s="251" t="str">
        <f>IFERROR(VLOOKUP(I$8,'2nd_Semeter'!B$6:AZ$30,57,0),"")</f>
        <v/>
      </c>
    </row>
    <row r="21" spans="2:12" ht="33.75" customHeight="1">
      <c r="B21" s="236" t="s">
        <v>39</v>
      </c>
      <c r="C21" s="236"/>
      <c r="D21" s="236"/>
      <c r="E21" s="21">
        <v>50</v>
      </c>
      <c r="F21" s="25">
        <f>IFERROR(VLOOKUP(I$8,'2nd_Semeter'!B$6:AZ$30,8,0),"")</f>
        <v>37</v>
      </c>
      <c r="G21" s="25">
        <f>IFERROR(VLOOKUP(I$8,'2nd_Semeter'!B$6:AZ$30,10,0),"")</f>
        <v>5</v>
      </c>
      <c r="H21" s="237" t="str">
        <f>IFERROR(VLOOKUP(J$8,'2nd_Semeter'!C$6:BA$30,7,0),"")</f>
        <v/>
      </c>
      <c r="I21" s="237"/>
      <c r="J21" s="236" t="str">
        <f>IFERROR(VLOOKUP(L$8,'2nd_Semeter'!E$6:BC$30,7,0),"")</f>
        <v/>
      </c>
      <c r="K21" s="231"/>
      <c r="L21" s="251"/>
    </row>
    <row r="22" spans="2:12" ht="31.5" customHeight="1">
      <c r="B22" s="236" t="s">
        <v>13</v>
      </c>
      <c r="C22" s="236"/>
      <c r="D22" s="236"/>
      <c r="E22" s="21">
        <v>100</v>
      </c>
      <c r="F22" s="25">
        <f>IFERROR(VLOOKUP(I$8,'2nd_Semeter'!B$6:AZ$30,14,0),"")</f>
        <v>10</v>
      </c>
      <c r="G22" s="25">
        <f>IFERROR(VLOOKUP(I$8,'2nd_Semeter'!B$6:AZ$30,16,0),"")</f>
        <v>141</v>
      </c>
      <c r="H22" s="237">
        <f>IFERROR(VLOOKUP(I$8,'2nd_Semeter'!B$6:AZ$30,20,0),"")</f>
        <v>66</v>
      </c>
      <c r="I22" s="237" t="e">
        <f>'2nd_Semeter'!#REF!</f>
        <v>#REF!</v>
      </c>
      <c r="J22" s="236">
        <f>IFERROR(VLOOKUP(I$8,'2nd_Semeter'!B$6:AZ$30,21,0),"")</f>
        <v>86</v>
      </c>
      <c r="K22" s="230" t="str">
        <f>IF(J22="F","F",IF(J22&lt;2.5,"D",IF(J22&lt;3,"C",IF(J22&lt;3.5,"B",IF(J22&lt;4,"A-",IF(J22&lt;5,"A","A+"))))))</f>
        <v>A+</v>
      </c>
      <c r="L22" s="251"/>
    </row>
    <row r="23" spans="2:12" ht="30.75" customHeight="1">
      <c r="B23" s="236" t="s">
        <v>14</v>
      </c>
      <c r="C23" s="236"/>
      <c r="D23" s="236"/>
      <c r="E23" s="21">
        <v>50</v>
      </c>
      <c r="F23" s="25">
        <f>IFERROR(VLOOKUP(I$8,'2nd_Semeter'!B$6:AZ$30,17,0),"")</f>
        <v>5</v>
      </c>
      <c r="G23" s="25">
        <f>IFERROR(VLOOKUP(I$8,'2nd_Semeter'!B$6:AZ$30,19,0),"")</f>
        <v>20</v>
      </c>
      <c r="H23" s="237" t="str">
        <f>IFERROR(VLOOKUP(J$8,'2nd_Semeter'!C$6:BA$30,7,0),"")</f>
        <v/>
      </c>
      <c r="I23" s="237"/>
      <c r="J23" s="236" t="str">
        <f>IFERROR(VLOOKUP(L$8,'2nd_Semeter'!E$6:BC$30,7,0),"")</f>
        <v/>
      </c>
      <c r="K23" s="231"/>
      <c r="L23" s="251"/>
    </row>
    <row r="24" spans="2:12" ht="31.5" customHeight="1">
      <c r="B24" s="236" t="s">
        <v>15</v>
      </c>
      <c r="C24" s="236"/>
      <c r="D24" s="236"/>
      <c r="E24" s="21">
        <v>100</v>
      </c>
      <c r="F24" s="25">
        <f>IFERROR(VLOOKUP(I$8,'2nd_Semeter'!B$6:AZ$30,23,0),"")</f>
        <v>0</v>
      </c>
      <c r="G24" s="25">
        <f>IFERROR(VLOOKUP(I$8,'2nd_Semeter'!B$6:AZ$30,25,0),"")</f>
        <v>62</v>
      </c>
      <c r="H24" s="25">
        <f>IFERROR(VLOOKUP(I$8,'2nd_Semeter'!B$6:AZ$30,26,0),"")</f>
        <v>82</v>
      </c>
      <c r="I24" s="25" t="e">
        <f>'2nd_Semeter'!#REF!</f>
        <v>#REF!</v>
      </c>
      <c r="J24" s="21">
        <f>IFERROR(VLOOKUP(I$8,'2nd_Semeter'!B$6:AZ$30,27,0),"")</f>
        <v>5</v>
      </c>
      <c r="K24" s="21" t="str">
        <f t="shared" ref="K24:K29" si="0">IF(J24="F","F",IF(J24&lt;2.5,"D",IF(J24&lt;3,"C",IF(J24&lt;3.5,"B",IF(J24&lt;4,"A-",IF(J24&lt;5,"A","A+"))))))</f>
        <v>A+</v>
      </c>
      <c r="L24" s="251"/>
    </row>
    <row r="25" spans="2:12" ht="30" customHeight="1">
      <c r="B25" s="236" t="s">
        <v>7</v>
      </c>
      <c r="C25" s="236"/>
      <c r="D25" s="236"/>
      <c r="E25" s="21">
        <v>100</v>
      </c>
      <c r="F25" s="25">
        <f>IFERROR(VLOOKUP(I$8,'2nd_Semeter'!B$6:AZ$30,29,0),"")</f>
        <v>20</v>
      </c>
      <c r="G25" s="25">
        <f>IFERROR(VLOOKUP(I$8,'2nd_Semeter'!B$6:AZ$30,31,0),"")</f>
        <v>90</v>
      </c>
      <c r="H25" s="25">
        <f>IFERROR(VLOOKUP(I$8,'2nd_Semeter'!B$6:AZ$30,32,0),"")</f>
        <v>5</v>
      </c>
      <c r="I25" s="25" t="e">
        <f>'2nd_Semeter'!#REF!</f>
        <v>#REF!</v>
      </c>
      <c r="J25" s="21">
        <f>IFERROR(VLOOKUP(I$8,'2nd_Semeter'!B$6:AZ$30,33,0),"")</f>
        <v>0</v>
      </c>
      <c r="K25" s="21" t="str">
        <f t="shared" si="0"/>
        <v>D</v>
      </c>
      <c r="L25" s="251"/>
    </row>
    <row r="26" spans="2:12" ht="31.5" customHeight="1">
      <c r="B26" s="236" t="s">
        <v>8</v>
      </c>
      <c r="C26" s="236"/>
      <c r="D26" s="236"/>
      <c r="E26" s="21">
        <v>100</v>
      </c>
      <c r="F26" s="25">
        <f>IFERROR(VLOOKUP(I$8,'2nd_Semeter'!B$6:AZ$30,35,0),"")</f>
        <v>76</v>
      </c>
      <c r="G26" s="25">
        <f>IFERROR(VLOOKUP(I$8,'2nd_Semeter'!B$6:AZ$30,37,0),"")</f>
        <v>5</v>
      </c>
      <c r="H26" s="25">
        <f>IFERROR(VLOOKUP(I$8,'2nd_Semeter'!B$6:AZ$30,38,0),"")</f>
        <v>0</v>
      </c>
      <c r="I26" s="25" t="e">
        <f>'2nd_Semeter'!#REF!</f>
        <v>#REF!</v>
      </c>
      <c r="J26" s="21">
        <f>IFERROR(VLOOKUP(I$8,'2nd_Semeter'!B$6:AZ$30,39,0),"")</f>
        <v>0</v>
      </c>
      <c r="K26" s="21" t="str">
        <f t="shared" si="0"/>
        <v>D</v>
      </c>
      <c r="L26" s="251"/>
    </row>
    <row r="27" spans="2:12" ht="35.25" customHeight="1">
      <c r="B27" s="252" t="s">
        <v>9</v>
      </c>
      <c r="C27" s="252"/>
      <c r="D27" s="252"/>
      <c r="E27" s="21">
        <v>100</v>
      </c>
      <c r="F27" s="25">
        <f>IFERROR(VLOOKUP(I$8,'2nd_Semeter'!B$6:AZ$30,41,0),"")</f>
        <v>46</v>
      </c>
      <c r="G27" s="25">
        <f>IFERROR(VLOOKUP(I$8,'2nd_Semeter'!B$6:AZ$30,43,0),"")</f>
        <v>0</v>
      </c>
      <c r="H27" s="25">
        <f>IFERROR(VLOOKUP(I$8,'2nd_Semeter'!B$6:AZ$30,44,0),"")</f>
        <v>44</v>
      </c>
      <c r="I27" s="25" t="e">
        <f>'2nd_Semeter'!#REF!</f>
        <v>#REF!</v>
      </c>
      <c r="J27" s="21">
        <f>IFERROR(VLOOKUP(I$8,'2nd_Semeter'!B$6:AZ$30,45,0),"")</f>
        <v>5</v>
      </c>
      <c r="K27" s="21" t="str">
        <f t="shared" si="0"/>
        <v>A+</v>
      </c>
      <c r="L27" s="251"/>
    </row>
    <row r="28" spans="2:12" ht="35.25" customHeight="1">
      <c r="B28" s="235" t="s">
        <v>51</v>
      </c>
      <c r="C28" s="235"/>
      <c r="D28" s="235"/>
      <c r="E28" s="21">
        <v>50</v>
      </c>
      <c r="F28" s="25">
        <f>IFERROR(VLOOKUP(I$8,'2nd_Semeter'!B$6:AZ$30,47,0),"")</f>
        <v>35</v>
      </c>
      <c r="G28" s="25">
        <f>IFERROR(VLOOKUP(I$8,'2nd_Semeter'!B$6:AZ$30,49,0),"")</f>
        <v>685</v>
      </c>
      <c r="H28" s="25">
        <f>IFERROR(VLOOKUP(I$8,'2nd_Semeter'!B$6:AZ$30,50,0),"")</f>
        <v>0</v>
      </c>
      <c r="I28" s="25" t="e">
        <f>'2nd_Semeter'!#REF!</f>
        <v>#REF!</v>
      </c>
      <c r="J28" s="21">
        <f>IFERROR(VLOOKUP(I$8,'2nd_Semeter'!B$6:AZ$30,51,0),"")</f>
        <v>0</v>
      </c>
      <c r="K28" s="21" t="str">
        <f t="shared" si="0"/>
        <v>D</v>
      </c>
      <c r="L28" s="251"/>
    </row>
    <row r="29" spans="2:12" ht="35.25" customHeight="1">
      <c r="B29" s="235" t="s">
        <v>38</v>
      </c>
      <c r="C29" s="235"/>
      <c r="D29" s="235"/>
      <c r="E29" s="21">
        <v>50</v>
      </c>
      <c r="F29" s="25"/>
      <c r="G29" s="25" t="str">
        <f>IFERROR(VLOOKUP(I$8,'2nd_Semeter'!B$6:AZ$30,53,0),"")</f>
        <v/>
      </c>
      <c r="H29" s="25" t="str">
        <f>IFERROR(VLOOKUP(I$8,'2nd_Semeter'!B$6:AZ$30,53,0),"")</f>
        <v/>
      </c>
      <c r="I29" s="25" t="e">
        <f>'2nd_Semeter'!#REF!</f>
        <v>#REF!</v>
      </c>
      <c r="J29" s="21" t="str">
        <f>IFERROR(VLOOKUP(I$8,'2nd_Semeter'!B$6:AZ$30,54,0),"")</f>
        <v/>
      </c>
      <c r="K29" s="21" t="str">
        <f t="shared" si="0"/>
        <v>A+</v>
      </c>
      <c r="L29" s="251"/>
    </row>
    <row r="30" spans="2:12" ht="33" customHeight="1">
      <c r="B30" s="253" t="s">
        <v>24</v>
      </c>
      <c r="C30" s="253"/>
      <c r="D30" s="253"/>
      <c r="E30" s="22">
        <f>SUM(E20:E29)</f>
        <v>800</v>
      </c>
      <c r="F30" s="254"/>
      <c r="G30" s="254"/>
      <c r="H30" s="36">
        <f>SUM(H20:H28)</f>
        <v>197</v>
      </c>
      <c r="I30" s="255"/>
      <c r="J30" s="255"/>
      <c r="K30" s="23"/>
      <c r="L30" s="251"/>
    </row>
    <row r="31" spans="2:12">
      <c r="B31" s="11"/>
      <c r="C31" s="12"/>
      <c r="D31" s="12"/>
      <c r="E31" s="13"/>
      <c r="F31" s="14"/>
      <c r="G31" s="15"/>
      <c r="H31" s="14"/>
      <c r="I31" s="14"/>
      <c r="J31" s="14"/>
      <c r="K31" s="14"/>
      <c r="L31" s="16"/>
    </row>
    <row r="32" spans="2:12" ht="22.5">
      <c r="B32" s="246" t="s">
        <v>43</v>
      </c>
      <c r="C32" s="247"/>
      <c r="D32" s="247"/>
      <c r="E32" s="17" t="str">
        <f>IFERROR(VLOOKUP(I$8,'2nd_Semeter'!B$6:AZ$30,60,0),"")</f>
        <v/>
      </c>
      <c r="F32" s="247" t="s">
        <v>52</v>
      </c>
      <c r="G32" s="247"/>
      <c r="H32" s="247"/>
      <c r="I32" s="247"/>
      <c r="J32" s="17" t="str">
        <f>IFERROR(VLOOKUP(I8,'2nd_Semeter'!B$6:AZ$30,59,0),"")</f>
        <v/>
      </c>
      <c r="K32" s="17"/>
      <c r="L32" s="16"/>
    </row>
    <row r="33" spans="2:12" ht="22.5" customHeight="1">
      <c r="B33" s="248" t="s">
        <v>53</v>
      </c>
      <c r="C33" s="249"/>
      <c r="D33" s="249"/>
      <c r="E33" s="250" t="str">
        <f>IFERROR(VLOOKUP(I8,'2nd_Semeter'!B$6:AZ$30,61,0),"")</f>
        <v/>
      </c>
      <c r="F33" s="250"/>
      <c r="G33" s="250"/>
      <c r="H33" s="250"/>
      <c r="I33" s="14"/>
      <c r="J33" s="14"/>
      <c r="K33" s="14"/>
      <c r="L33" s="16"/>
    </row>
    <row r="34" spans="2:12">
      <c r="B34" s="18"/>
      <c r="C34" s="19"/>
      <c r="D34" s="19"/>
      <c r="E34" s="14"/>
      <c r="F34" s="14"/>
      <c r="G34" s="15"/>
      <c r="H34" s="14"/>
      <c r="I34" s="14"/>
      <c r="J34" s="14"/>
      <c r="K34" s="14"/>
      <c r="L34" s="16"/>
    </row>
    <row r="35" spans="2:12" ht="35.25" customHeight="1">
      <c r="B35" s="20"/>
      <c r="C35" s="14"/>
      <c r="D35" s="14"/>
      <c r="E35" s="14"/>
      <c r="F35" s="14"/>
      <c r="G35" s="15"/>
      <c r="H35" s="14"/>
      <c r="I35" s="14"/>
      <c r="J35" s="14"/>
      <c r="K35" s="14"/>
      <c r="L35" s="16"/>
    </row>
    <row r="36" spans="2:12">
      <c r="B36" s="238" t="s">
        <v>50</v>
      </c>
      <c r="C36" s="239"/>
      <c r="D36" s="239"/>
      <c r="E36" s="239"/>
      <c r="F36" s="239"/>
      <c r="G36" s="239"/>
      <c r="H36" s="239"/>
      <c r="I36" s="239"/>
      <c r="J36" s="239"/>
      <c r="K36" s="239"/>
      <c r="L36" s="240"/>
    </row>
    <row r="37" spans="2:12">
      <c r="B37" s="20"/>
      <c r="C37" s="14"/>
      <c r="D37" s="14"/>
      <c r="E37" s="14"/>
      <c r="F37" s="14"/>
      <c r="G37" s="15"/>
      <c r="H37" s="14"/>
      <c r="I37" s="14"/>
      <c r="J37" s="14"/>
      <c r="K37" s="14"/>
      <c r="L37" s="16"/>
    </row>
    <row r="38" spans="2:12">
      <c r="B38" s="20"/>
      <c r="C38" s="14"/>
      <c r="D38" s="14"/>
      <c r="E38" s="14"/>
      <c r="F38" s="14"/>
      <c r="G38" s="15"/>
      <c r="H38" s="14"/>
      <c r="I38" s="14"/>
      <c r="J38" s="14"/>
      <c r="K38" s="14"/>
      <c r="L38" s="16"/>
    </row>
    <row r="39" spans="2:12" ht="15.95" customHeight="1">
      <c r="B39" s="241"/>
      <c r="C39" s="242"/>
      <c r="D39" s="242"/>
      <c r="E39" s="242"/>
      <c r="F39" s="242"/>
      <c r="G39" s="242"/>
      <c r="H39" s="242"/>
      <c r="I39" s="242"/>
      <c r="J39" s="242"/>
      <c r="K39" s="242"/>
      <c r="L39" s="243"/>
    </row>
  </sheetData>
  <mergeCells count="52">
    <mergeCell ref="F9:H9"/>
    <mergeCell ref="I9:L9"/>
    <mergeCell ref="E12:E19"/>
    <mergeCell ref="F12:F19"/>
    <mergeCell ref="G12:G19"/>
    <mergeCell ref="H12:H19"/>
    <mergeCell ref="C10:E10"/>
    <mergeCell ref="I12:I19"/>
    <mergeCell ref="J12:J19"/>
    <mergeCell ref="L12:L19"/>
    <mergeCell ref="K12:K19"/>
    <mergeCell ref="I30:J30"/>
    <mergeCell ref="B23:D23"/>
    <mergeCell ref="I22:I23"/>
    <mergeCell ref="B1:L5"/>
    <mergeCell ref="C6:E6"/>
    <mergeCell ref="G6:H6"/>
    <mergeCell ref="I6:L6"/>
    <mergeCell ref="C7:E7"/>
    <mergeCell ref="G7:H7"/>
    <mergeCell ref="I7:L7"/>
    <mergeCell ref="H22:H23"/>
    <mergeCell ref="J22:J23"/>
    <mergeCell ref="G8:H8"/>
    <mergeCell ref="C8:E8"/>
    <mergeCell ref="I8:L8"/>
    <mergeCell ref="C9:E9"/>
    <mergeCell ref="B36:L36"/>
    <mergeCell ref="B39:L39"/>
    <mergeCell ref="B12:D19"/>
    <mergeCell ref="B32:D32"/>
    <mergeCell ref="F32:I32"/>
    <mergeCell ref="B33:D33"/>
    <mergeCell ref="E33:H33"/>
    <mergeCell ref="B20:D20"/>
    <mergeCell ref="L20:L30"/>
    <mergeCell ref="B22:D22"/>
    <mergeCell ref="B24:D24"/>
    <mergeCell ref="B25:D25"/>
    <mergeCell ref="B26:D26"/>
    <mergeCell ref="B27:D27"/>
    <mergeCell ref="B30:D30"/>
    <mergeCell ref="F30:G30"/>
    <mergeCell ref="K20:K21"/>
    <mergeCell ref="K22:K23"/>
    <mergeCell ref="B11:L11"/>
    <mergeCell ref="B29:D29"/>
    <mergeCell ref="B21:D21"/>
    <mergeCell ref="H20:H21"/>
    <mergeCell ref="I20:I21"/>
    <mergeCell ref="J20:J21"/>
    <mergeCell ref="B28:D28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20:L21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" right="0" top="0.2" bottom="0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B2:W33"/>
  <sheetViews>
    <sheetView tabSelected="1" zoomScale="85" zoomScaleNormal="85" workbookViewId="0">
      <selection activeCell="D9" sqref="D9"/>
    </sheetView>
  </sheetViews>
  <sheetFormatPr defaultRowHeight="15"/>
  <cols>
    <col min="1" max="1" width="1.28515625" customWidth="1"/>
    <col min="2" max="2" width="22.42578125" customWidth="1"/>
    <col min="3" max="3" width="10.42578125" customWidth="1"/>
    <col min="4" max="18" width="7.28515625" customWidth="1"/>
    <col min="19" max="19" width="8.85546875" customWidth="1"/>
    <col min="20" max="23" width="7.28515625" customWidth="1"/>
  </cols>
  <sheetData>
    <row r="2" spans="2:23" ht="30" customHeight="1">
      <c r="B2" s="291" t="s">
        <v>94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</row>
    <row r="3" spans="2:23" ht="30" customHeight="1"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</row>
    <row r="4" spans="2:23" ht="30" customHeight="1">
      <c r="B4" s="291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</row>
    <row r="5" spans="2:23" ht="18">
      <c r="B5" s="68" t="s">
        <v>55</v>
      </c>
      <c r="C5" s="37" t="s">
        <v>56</v>
      </c>
      <c r="D5" s="161" t="str">
        <f>IFERROR(VLOOKUP(D$8,'1st_Semester'!B$5:BG$52,2,0),"Please Enter The Right Roll")</f>
        <v>Abu Obaida Adib</v>
      </c>
      <c r="E5" s="161"/>
      <c r="F5" s="161"/>
      <c r="G5" s="161"/>
      <c r="H5" s="161"/>
      <c r="I5" s="161"/>
      <c r="J5" s="161"/>
      <c r="K5" s="38"/>
      <c r="L5" s="38"/>
      <c r="M5" s="38"/>
      <c r="N5" s="38"/>
      <c r="O5" s="38"/>
      <c r="P5" s="38"/>
      <c r="R5" s="160" t="s">
        <v>87</v>
      </c>
      <c r="S5" s="39"/>
      <c r="T5" s="39"/>
      <c r="U5" s="39"/>
      <c r="V5" s="71"/>
      <c r="W5" s="159">
        <f>IFERROR(VLOOKUP(D$8,'3rd_Semester'!B$5:BG$37,50,0),"")</f>
        <v>24</v>
      </c>
    </row>
    <row r="6" spans="2:23" ht="18.75">
      <c r="B6" s="40" t="s">
        <v>57</v>
      </c>
      <c r="C6" s="37" t="s">
        <v>56</v>
      </c>
      <c r="D6" s="161" t="s">
        <v>35</v>
      </c>
      <c r="E6" s="161"/>
      <c r="F6" s="161"/>
      <c r="G6" s="161"/>
      <c r="H6" s="162"/>
      <c r="I6" s="162"/>
      <c r="J6" s="162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41"/>
    </row>
    <row r="7" spans="2:23" ht="18" customHeight="1">
      <c r="B7" s="42" t="s">
        <v>58</v>
      </c>
      <c r="C7" s="37" t="s">
        <v>56</v>
      </c>
      <c r="D7" s="290" t="s">
        <v>44</v>
      </c>
      <c r="E7" s="290"/>
      <c r="F7" s="290"/>
      <c r="G7" s="163"/>
      <c r="H7" s="162"/>
      <c r="I7" s="162"/>
      <c r="J7" s="162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41"/>
    </row>
    <row r="8" spans="2:23" ht="18.75">
      <c r="B8" s="42" t="s">
        <v>59</v>
      </c>
      <c r="C8" s="37" t="s">
        <v>56</v>
      </c>
      <c r="D8" s="164">
        <v>28</v>
      </c>
      <c r="E8" s="162"/>
      <c r="F8" s="162"/>
      <c r="G8" s="162"/>
      <c r="H8" s="162"/>
      <c r="I8" s="162"/>
      <c r="J8" s="162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41"/>
    </row>
    <row r="9" spans="2:23" ht="18.75">
      <c r="B9" s="42" t="s">
        <v>60</v>
      </c>
      <c r="C9" s="37" t="s">
        <v>56</v>
      </c>
      <c r="D9" s="161" t="str">
        <f>IFERROR(VLOOKUP(D$8,'1st_Semester'!B$5:BG$52,3,0),"")</f>
        <v>Md. Absar Ali</v>
      </c>
      <c r="E9" s="163"/>
      <c r="F9" s="163"/>
      <c r="G9" s="163"/>
      <c r="H9" s="163"/>
      <c r="I9" s="163"/>
      <c r="J9" s="162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41"/>
    </row>
    <row r="10" spans="2:23" ht="18.75">
      <c r="B10" s="42" t="s">
        <v>61</v>
      </c>
      <c r="C10" s="37" t="s">
        <v>56</v>
      </c>
      <c r="D10" s="161" t="str">
        <f>IFERROR(VLOOKUP(D$8,'1st_Semester'!B$5:BG$52,4,0),"")</f>
        <v>Sampa</v>
      </c>
      <c r="E10" s="165"/>
      <c r="F10" s="165"/>
      <c r="G10" s="165"/>
      <c r="H10" s="165"/>
      <c r="I10" s="165"/>
      <c r="J10" s="162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41"/>
    </row>
    <row r="11" spans="2:23" ht="18">
      <c r="B11" s="42" t="s">
        <v>62</v>
      </c>
      <c r="C11" s="37" t="s">
        <v>56</v>
      </c>
      <c r="D11" s="292" t="s">
        <v>88</v>
      </c>
      <c r="E11" s="292"/>
      <c r="F11" s="292"/>
      <c r="G11" s="292"/>
      <c r="H11" s="292"/>
      <c r="I11" s="292"/>
      <c r="J11" s="292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41"/>
    </row>
    <row r="12" spans="2:23" ht="24.95" customHeight="1">
      <c r="B12" s="293" t="s">
        <v>63</v>
      </c>
      <c r="C12" s="293"/>
      <c r="D12" s="294" t="s">
        <v>64</v>
      </c>
      <c r="E12" s="295" t="s">
        <v>65</v>
      </c>
      <c r="F12" s="295"/>
      <c r="G12" s="295"/>
      <c r="H12" s="295"/>
      <c r="I12" s="294" t="s">
        <v>64</v>
      </c>
      <c r="J12" s="295" t="s">
        <v>66</v>
      </c>
      <c r="K12" s="295"/>
      <c r="L12" s="295"/>
      <c r="M12" s="295"/>
      <c r="N12" s="294" t="s">
        <v>64</v>
      </c>
      <c r="O12" s="295" t="s">
        <v>67</v>
      </c>
      <c r="P12" s="295"/>
      <c r="Q12" s="295"/>
      <c r="R12" s="295"/>
      <c r="S12" s="295" t="s">
        <v>68</v>
      </c>
      <c r="T12" s="295"/>
      <c r="U12" s="295"/>
      <c r="V12" s="295"/>
      <c r="W12" s="295"/>
    </row>
    <row r="13" spans="2:23" ht="24.95" customHeight="1">
      <c r="B13" s="293"/>
      <c r="C13" s="293"/>
      <c r="D13" s="294"/>
      <c r="E13" s="297" t="s">
        <v>69</v>
      </c>
      <c r="F13" s="296" t="s">
        <v>3</v>
      </c>
      <c r="G13" s="296" t="s">
        <v>70</v>
      </c>
      <c r="H13" s="296" t="s">
        <v>4</v>
      </c>
      <c r="I13" s="294"/>
      <c r="J13" s="297" t="s">
        <v>69</v>
      </c>
      <c r="K13" s="296" t="s">
        <v>3</v>
      </c>
      <c r="L13" s="296" t="s">
        <v>70</v>
      </c>
      <c r="M13" s="296" t="s">
        <v>4</v>
      </c>
      <c r="N13" s="294"/>
      <c r="O13" s="297" t="s">
        <v>69</v>
      </c>
      <c r="P13" s="296" t="s">
        <v>3</v>
      </c>
      <c r="Q13" s="296" t="s">
        <v>70</v>
      </c>
      <c r="R13" s="296" t="s">
        <v>4</v>
      </c>
      <c r="S13" s="302" t="s">
        <v>71</v>
      </c>
      <c r="T13" s="302" t="s">
        <v>72</v>
      </c>
      <c r="U13" s="296" t="s">
        <v>3</v>
      </c>
      <c r="V13" s="296" t="s">
        <v>4</v>
      </c>
      <c r="W13" s="296" t="s">
        <v>73</v>
      </c>
    </row>
    <row r="14" spans="2:23" ht="24.95" customHeight="1">
      <c r="B14" s="293"/>
      <c r="C14" s="293"/>
      <c r="D14" s="294"/>
      <c r="E14" s="297"/>
      <c r="F14" s="296"/>
      <c r="G14" s="296"/>
      <c r="H14" s="296"/>
      <c r="I14" s="294"/>
      <c r="J14" s="297"/>
      <c r="K14" s="296"/>
      <c r="L14" s="296"/>
      <c r="M14" s="296"/>
      <c r="N14" s="294"/>
      <c r="O14" s="297"/>
      <c r="P14" s="296"/>
      <c r="Q14" s="296"/>
      <c r="R14" s="296"/>
      <c r="S14" s="302"/>
      <c r="T14" s="302"/>
      <c r="U14" s="296"/>
      <c r="V14" s="296"/>
      <c r="W14" s="296"/>
    </row>
    <row r="15" spans="2:23" ht="24.95" customHeight="1">
      <c r="B15" s="293"/>
      <c r="C15" s="293"/>
      <c r="D15" s="294"/>
      <c r="E15" s="297"/>
      <c r="F15" s="296"/>
      <c r="G15" s="296"/>
      <c r="H15" s="296"/>
      <c r="I15" s="294"/>
      <c r="J15" s="297"/>
      <c r="K15" s="296"/>
      <c r="L15" s="296"/>
      <c r="M15" s="296"/>
      <c r="N15" s="294"/>
      <c r="O15" s="297"/>
      <c r="P15" s="296"/>
      <c r="Q15" s="296"/>
      <c r="R15" s="296"/>
      <c r="S15" s="302"/>
      <c r="T15" s="302"/>
      <c r="U15" s="296"/>
      <c r="V15" s="296"/>
      <c r="W15" s="296"/>
    </row>
    <row r="16" spans="2:23" ht="24.95" customHeight="1">
      <c r="B16" s="293"/>
      <c r="C16" s="293"/>
      <c r="D16" s="294"/>
      <c r="E16" s="297"/>
      <c r="F16" s="296"/>
      <c r="G16" s="296"/>
      <c r="H16" s="296"/>
      <c r="I16" s="294"/>
      <c r="J16" s="297"/>
      <c r="K16" s="296"/>
      <c r="L16" s="296"/>
      <c r="M16" s="296"/>
      <c r="N16" s="294"/>
      <c r="O16" s="297"/>
      <c r="P16" s="296"/>
      <c r="Q16" s="296"/>
      <c r="R16" s="296"/>
      <c r="S16" s="302"/>
      <c r="T16" s="302"/>
      <c r="U16" s="296"/>
      <c r="V16" s="296"/>
      <c r="W16" s="296"/>
    </row>
    <row r="17" spans="2:23" ht="24.95" customHeight="1">
      <c r="B17" s="293"/>
      <c r="C17" s="293"/>
      <c r="D17" s="294"/>
      <c r="E17" s="297"/>
      <c r="F17" s="296"/>
      <c r="G17" s="296"/>
      <c r="H17" s="296"/>
      <c r="I17" s="294"/>
      <c r="J17" s="297"/>
      <c r="K17" s="296"/>
      <c r="L17" s="296"/>
      <c r="M17" s="296"/>
      <c r="N17" s="294"/>
      <c r="O17" s="297"/>
      <c r="P17" s="296"/>
      <c r="Q17" s="296"/>
      <c r="R17" s="296"/>
      <c r="S17" s="302"/>
      <c r="T17" s="302"/>
      <c r="U17" s="296"/>
      <c r="V17" s="296"/>
      <c r="W17" s="296"/>
    </row>
    <row r="18" spans="2:23" ht="24.95" customHeight="1">
      <c r="B18" s="298" t="s">
        <v>74</v>
      </c>
      <c r="C18" s="298"/>
      <c r="D18" s="166">
        <f>IFERROR(VLOOKUP(D$8,'1st_Semester'!B$5:BG$52,5,0),"")</f>
        <v>0</v>
      </c>
      <c r="E18" s="166">
        <f>IFERROR(VLOOKUP(D$8,'1st_Semester'!B$5:BH$52,6,0),"")</f>
        <v>19</v>
      </c>
      <c r="F18" s="299">
        <f>IFERROR(VLOOKUP(D$8,'1st_Semester'!B$5:BJ$52,9,0),"")</f>
        <v>42</v>
      </c>
      <c r="G18" s="299">
        <f>'1st_Semester'!L8</f>
        <v>149</v>
      </c>
      <c r="H18" s="300" t="str">
        <f>IFERROR(VLOOKUP(D$8,'1st_Semester'!B$5:BA$40,10,0),"")</f>
        <v>F</v>
      </c>
      <c r="I18" s="166">
        <f>IFERROR(VLOOKUP(D$8,'2nd_Semeter'!B5:AZ34,5,0),"")</f>
        <v>17</v>
      </c>
      <c r="J18" s="166">
        <f>IFERROR(VLOOKUP(D$8,'2nd_Semeter'!B5:AZ41,6,0),"")</f>
        <v>64</v>
      </c>
      <c r="K18" s="299">
        <f>IFERROR(VLOOKUP(D$8,'2nd_Semeter'!B5:BA41,9,0),"")</f>
        <v>107</v>
      </c>
      <c r="L18" s="299">
        <f>'2nd_Semeter'!L8</f>
        <v>149</v>
      </c>
      <c r="M18" s="300">
        <f>IFERROR(VLOOKUP(D$8,'2nd_Semeter'!B$5:BC$37,17,0),"")</f>
        <v>3</v>
      </c>
      <c r="N18" s="167">
        <f>IFERROR(VLOOKUP(D$8,'3rd_Semester'!B$5:BI$50,5,0),"")</f>
        <v>18</v>
      </c>
      <c r="O18" s="167">
        <f>IFERROR(VLOOKUP(D$8,'3rd_Semester'!B$6:BI$50,6,0),"")</f>
        <v>44</v>
      </c>
      <c r="P18" s="299">
        <f>IFERROR(VLOOKUP(D$8,'3rd_Semester'!B$6:BI$50,9,0),"")</f>
        <v>92</v>
      </c>
      <c r="Q18" s="299">
        <f>'3rd_Semester'!L8</f>
        <v>148</v>
      </c>
      <c r="R18" s="300">
        <f>IFERROR(VLOOKUP(D$8,'3rd_Semester'!B$6:BI$50,10,0),"")</f>
        <v>3.5</v>
      </c>
      <c r="S18" s="168">
        <f>SUM(D18,I18,N18)/3</f>
        <v>11.666666666666666</v>
      </c>
      <c r="T18" s="168">
        <f>SUM(E18,J18,O18)/3</f>
        <v>42.333333333333336</v>
      </c>
      <c r="U18" s="300">
        <f>SUM(F18,K18,P18)/3</f>
        <v>80.333333333333329</v>
      </c>
      <c r="V18" s="300">
        <f>SUM(H18,M18,R18)/3</f>
        <v>2.1666666666666665</v>
      </c>
      <c r="W18" s="303">
        <f>IF(V18="F","F",IF(V20="F","F",IF(V22="F","F",IF(V23="F","F",IF(V24="F","F",IF(V25="F","F",IF(SUM(V18:V26)&gt;35,5,SUM(V18:V26)/7)))))))</f>
        <v>2.4047619047619047</v>
      </c>
    </row>
    <row r="19" spans="2:23" ht="24.95" customHeight="1">
      <c r="B19" s="298" t="s">
        <v>75</v>
      </c>
      <c r="C19" s="298"/>
      <c r="D19" s="166">
        <f>IFERROR(VLOOKUP(D$8,'1st_Semester'!B$5:BG$52,7,0),"")</f>
        <v>0</v>
      </c>
      <c r="E19" s="166">
        <f>IFERROR(VLOOKUP(D$8,'1st_Semester'!B$5:BH$52,8,0),"")</f>
        <v>23</v>
      </c>
      <c r="F19" s="299"/>
      <c r="G19" s="299"/>
      <c r="H19" s="300">
        <f>IFERROR(VLOOKUP(F$8,'[1]1st_Semester'!E$5:BL$52,5,0),"")</f>
        <v>0</v>
      </c>
      <c r="I19" s="166">
        <f>IFERROR(VLOOKUP(D$8,'2nd_Semeter'!B6:AZ35,7,0),"")</f>
        <v>10</v>
      </c>
      <c r="J19" s="166">
        <f>IFERROR(VLOOKUP(D$8,'2nd_Semeter'!B5:AZ41,8,0),"")</f>
        <v>16</v>
      </c>
      <c r="K19" s="299" t="str">
        <f>IFERROR(VLOOKUP(E$8,'2nd_Semeter'!C6:BA35,5,0),"")</f>
        <v/>
      </c>
      <c r="L19" s="299"/>
      <c r="M19" s="300" t="str">
        <f>IFERROR(VLOOKUP(G$8,'2nd_Semeter'!E6:BC35,5,0),"")</f>
        <v/>
      </c>
      <c r="N19" s="167">
        <f>IFERROR(VLOOKUP(D$8,'3rd_Semester'!B$5:BI$50,7,0),"")</f>
        <v>10</v>
      </c>
      <c r="O19" s="167">
        <f>IFERROR(VLOOKUP(D$8,'3rd_Semester'!B$6:BI$50,8,0),"")</f>
        <v>20</v>
      </c>
      <c r="P19" s="299"/>
      <c r="Q19" s="299"/>
      <c r="R19" s="300">
        <f>IFERROR(VLOOKUP(F$8,'[1]3rd_Semester'!E$5:BX$52,5,0),"")</f>
        <v>0</v>
      </c>
      <c r="S19" s="168">
        <f t="shared" ref="S19:S26" si="0">SUM(D19,I19,N19)/3</f>
        <v>6.666666666666667</v>
      </c>
      <c r="T19" s="168">
        <f t="shared" ref="T19:T26" si="1">SUM(E19,J19,O19)/3</f>
        <v>19.666666666666668</v>
      </c>
      <c r="U19" s="301"/>
      <c r="V19" s="300"/>
      <c r="W19" s="303"/>
    </row>
    <row r="20" spans="2:23" ht="24.95" customHeight="1">
      <c r="B20" s="298" t="s">
        <v>76</v>
      </c>
      <c r="C20" s="298"/>
      <c r="D20" s="166">
        <f>IFERROR(VLOOKUP(D$8,'1st_Semester'!B$5:BG$52,12,0),"")</f>
        <v>0</v>
      </c>
      <c r="E20" s="166">
        <f>IFERROR(VLOOKUP(D$8,'1st_Semester'!B$5:BH$52,13,0),"")</f>
        <v>63</v>
      </c>
      <c r="F20" s="299">
        <f>IFERROR(VLOOKUP(D$8,'1st_Semester'!B$5:BJ$52,16,0),"")</f>
        <v>83</v>
      </c>
      <c r="G20" s="299">
        <f>'1st_Semester'!S8</f>
        <v>147</v>
      </c>
      <c r="H20" s="300">
        <f>IFERROR(VLOOKUP(D$8,'1st_Semester'!B$5:BA$40,17,0),"")</f>
        <v>3</v>
      </c>
      <c r="I20" s="166">
        <f>IFERROR(VLOOKUP(D$8,'2nd_Semeter'!B7:AZ37,12,0),"")</f>
        <v>17</v>
      </c>
      <c r="J20" s="166">
        <f>IFERROR(VLOOKUP(D$8,'2nd_Semeter'!B7:AZ41,13,0),"")</f>
        <v>34</v>
      </c>
      <c r="K20" s="299">
        <f>IFERROR(VLOOKUP(D$8,'2nd_Semeter'!B7:BA37,16,0),"")</f>
        <v>76</v>
      </c>
      <c r="L20" s="299">
        <f>'2nd_Semeter'!S8</f>
        <v>149</v>
      </c>
      <c r="M20" s="300">
        <f>IFERROR(VLOOKUP(D$8,'2nd_Semeter'!B$5:BC$37,10,0),"")</f>
        <v>4</v>
      </c>
      <c r="N20" s="167">
        <f>IFERROR(VLOOKUP(D$8,'3rd_Semester'!B$5:BI$50,12,0),"")</f>
        <v>15</v>
      </c>
      <c r="O20" s="167">
        <f>IFERROR(VLOOKUP(D$8,'3rd_Semester'!B$6:BI$50,13,0),"")</f>
        <v>35</v>
      </c>
      <c r="P20" s="299">
        <f>IFERROR(VLOOKUP(D$8,'3rd_Semester'!B$6:BI$50,16,0),"")</f>
        <v>84</v>
      </c>
      <c r="Q20" s="299">
        <f>'3rd_Semester'!S8</f>
        <v>146</v>
      </c>
      <c r="R20" s="300">
        <f>IFERROR(VLOOKUP(D$8,'3rd_Semester'!B$6:BI$50,17,0),"")</f>
        <v>3</v>
      </c>
      <c r="S20" s="168">
        <f t="shared" si="0"/>
        <v>10.666666666666666</v>
      </c>
      <c r="T20" s="168">
        <f t="shared" si="1"/>
        <v>44</v>
      </c>
      <c r="U20" s="300">
        <f>SUM(F20,K20,P20)/3</f>
        <v>81</v>
      </c>
      <c r="V20" s="300">
        <f>SUM(H20,M20,R20)/3</f>
        <v>3.3333333333333335</v>
      </c>
      <c r="W20" s="303"/>
    </row>
    <row r="21" spans="2:23" ht="24.95" customHeight="1">
      <c r="B21" s="298" t="s">
        <v>77</v>
      </c>
      <c r="C21" s="298"/>
      <c r="D21" s="166">
        <f>IFERROR(VLOOKUP(D$8,'1st_Semester'!B$5:BG$52,14,0),"")</f>
        <v>0</v>
      </c>
      <c r="E21" s="166">
        <f>IFERROR(VLOOKUP(D$8,'1st_Semester'!B$5:BH$52,15,0),"")</f>
        <v>20</v>
      </c>
      <c r="F21" s="299"/>
      <c r="G21" s="299"/>
      <c r="H21" s="300">
        <f>IFERROR(VLOOKUP(F$8,'[1]1st_Semester'!E$5:BL$52,5,0),"")</f>
        <v>0</v>
      </c>
      <c r="I21" s="166">
        <f>IFERROR(VLOOKUP(D$8,'2nd_Semeter'!B8:AZ37,14,0),"")</f>
        <v>9</v>
      </c>
      <c r="J21" s="166">
        <f>IFERROR(VLOOKUP(D$8,'2nd_Semeter'!B8:AZ41,15,0),"")</f>
        <v>16</v>
      </c>
      <c r="K21" s="299" t="str">
        <f>IFERROR(VLOOKUP(E$8,'2nd_Semeter'!C8:BA37,5,0),"")</f>
        <v/>
      </c>
      <c r="L21" s="299"/>
      <c r="M21" s="300" t="str">
        <f>IFERROR(VLOOKUP(G$8,'2nd_Semeter'!E8:BC37,5,0),"")</f>
        <v/>
      </c>
      <c r="N21" s="167">
        <f>IFERROR(VLOOKUP(D$8,'3rd_Semester'!B$5:BI$50,14,0),"")</f>
        <v>9</v>
      </c>
      <c r="O21" s="167">
        <f>IFERROR(VLOOKUP(D$8,'3rd_Semester'!B$6:BI$50,15,0),"")</f>
        <v>25</v>
      </c>
      <c r="P21" s="299"/>
      <c r="Q21" s="299"/>
      <c r="R21" s="300">
        <f>IFERROR(VLOOKUP(F$8,'[1]3rd_Semester'!E$5:BX$52,5,0),"")</f>
        <v>0</v>
      </c>
      <c r="S21" s="168">
        <f t="shared" si="0"/>
        <v>6</v>
      </c>
      <c r="T21" s="168">
        <f t="shared" si="1"/>
        <v>20.333333333333332</v>
      </c>
      <c r="U21" s="301"/>
      <c r="V21" s="300"/>
      <c r="W21" s="303"/>
    </row>
    <row r="22" spans="2:23" ht="24.95" customHeight="1">
      <c r="B22" s="298" t="s">
        <v>78</v>
      </c>
      <c r="C22" s="298"/>
      <c r="D22" s="166">
        <f>IFERROR(VLOOKUP(D$8,'1st_Semester'!B$5:BG$52,19,0),"")</f>
        <v>0</v>
      </c>
      <c r="E22" s="166">
        <f>IFERROR(VLOOKUP(D$8,'1st_Semester'!B$5:BH$52,20,0),"")</f>
        <v>23</v>
      </c>
      <c r="F22" s="166">
        <f>IFERROR(VLOOKUP(D$8,'1st_Semester'!B$5:BJ$52,21,0),"")</f>
        <v>23</v>
      </c>
      <c r="G22" s="167">
        <f>'1st_Semester'!X8</f>
        <v>100</v>
      </c>
      <c r="H22" s="168" t="str">
        <f>IFERROR(VLOOKUP(D$8,'1st_Semester'!B$5:BA$52,22,0),"")</f>
        <v>F</v>
      </c>
      <c r="I22" s="166">
        <f>IFERROR(VLOOKUP(D$8,'2nd_Semeter'!B8:AZ51,19,0),"")</f>
        <v>16</v>
      </c>
      <c r="J22" s="166">
        <f>IFERROR(VLOOKUP(D$8,'2nd_Semeter'!B8:AZ38,20,0),"")</f>
        <v>39</v>
      </c>
      <c r="K22" s="166">
        <f>IFERROR(VLOOKUP(D$8,'2nd_Semeter'!B8:BA38,21,0),"")</f>
        <v>55</v>
      </c>
      <c r="L22" s="167">
        <f>'2nd_Semeter'!X8</f>
        <v>99</v>
      </c>
      <c r="M22" s="168">
        <f>IFERROR(VLOOKUP(D$8,'2nd_Semeter'!B$5:BC$38,22,0),"")</f>
        <v>3</v>
      </c>
      <c r="N22" s="167">
        <f>IFERROR(VLOOKUP(D$8,'3rd_Semester'!B$6:BI$50,19,0),"")</f>
        <v>14</v>
      </c>
      <c r="O22" s="167">
        <f>IFERROR(VLOOKUP(D$8,'3rd_Semester'!B$6:BI$50,20,0),"")</f>
        <v>36</v>
      </c>
      <c r="P22" s="167">
        <f>IFERROR(VLOOKUP(D$8,'3rd_Semester'!B$6:BI$50,21,0),"")</f>
        <v>50</v>
      </c>
      <c r="Q22" s="167">
        <f>'3rd_Semester'!X8</f>
        <v>96</v>
      </c>
      <c r="R22" s="168">
        <f>IFERROR(VLOOKUP(D$8,'3rd_Semester'!B$6:BI$50,22,0),"")</f>
        <v>3</v>
      </c>
      <c r="S22" s="168">
        <f t="shared" si="0"/>
        <v>10</v>
      </c>
      <c r="T22" s="168">
        <f t="shared" si="1"/>
        <v>32.666666666666664</v>
      </c>
      <c r="U22" s="168">
        <f>SUM(F22,K22,P22)/3</f>
        <v>42.666666666666664</v>
      </c>
      <c r="V22" s="168">
        <f>SUM(H22,M22,R22)/3</f>
        <v>2</v>
      </c>
      <c r="W22" s="303"/>
    </row>
    <row r="23" spans="2:23" ht="24.95" customHeight="1">
      <c r="B23" s="298" t="s">
        <v>7</v>
      </c>
      <c r="C23" s="298"/>
      <c r="D23" s="166">
        <f>IFERROR(VLOOKUP(D$8,'1st_Semester'!B$5:BG$52,24,0),"")</f>
        <v>0</v>
      </c>
      <c r="E23" s="166">
        <f>IFERROR(VLOOKUP(D$8,'1st_Semester'!B$5:BH$52,25,0),"")</f>
        <v>26</v>
      </c>
      <c r="F23" s="166">
        <f>IFERROR(VLOOKUP(D$8,'1st_Semester'!B$5:BJ$52,26,0),"")</f>
        <v>26</v>
      </c>
      <c r="G23" s="167">
        <f>'1st_Semester'!AC8</f>
        <v>96</v>
      </c>
      <c r="H23" s="168" t="str">
        <f>IFERROR(VLOOKUP(D$8,'1st_Semester'!B$5:BA$52,27,0),"")</f>
        <v>F</v>
      </c>
      <c r="I23" s="166">
        <f>IFERROR(VLOOKUP(D$8,'2nd_Semeter'!B8:AZ39,24,0),"")</f>
        <v>18</v>
      </c>
      <c r="J23" s="166">
        <f>IFERROR(VLOOKUP(D$8,'2nd_Semeter'!B8:AZ39,25,0),"")</f>
        <v>14</v>
      </c>
      <c r="K23" s="166">
        <f>IFERROR(VLOOKUP(D$8,'2nd_Semeter'!B8:BA39,26,0),"")</f>
        <v>32</v>
      </c>
      <c r="L23" s="167">
        <f>'2nd_Semeter'!AC8</f>
        <v>98</v>
      </c>
      <c r="M23" s="168" t="str">
        <f>IFERROR(VLOOKUP(D$8,'2nd_Semeter'!B$5:BC$38,27,0),"")</f>
        <v>F</v>
      </c>
      <c r="N23" s="167">
        <f>IFERROR(VLOOKUP(D$8,'3rd_Semester'!B$6:BI$50,24,0),"")</f>
        <v>17</v>
      </c>
      <c r="O23" s="167">
        <f>IFERROR(VLOOKUP(D$8,'3rd_Semester'!B$6:BI$50,25,0),"")</f>
        <v>40</v>
      </c>
      <c r="P23" s="167">
        <f>IFERROR(VLOOKUP(D$8,'3rd_Semester'!B$6:BI$50,26,0),"")</f>
        <v>57</v>
      </c>
      <c r="Q23" s="167">
        <f>'3rd_Semester'!AC8</f>
        <v>99</v>
      </c>
      <c r="R23" s="168">
        <f>IFERROR(VLOOKUP(D$8,'3rd_Semester'!B$6:BI$50,27,0),"")</f>
        <v>3</v>
      </c>
      <c r="S23" s="168">
        <f t="shared" si="0"/>
        <v>11.666666666666666</v>
      </c>
      <c r="T23" s="168">
        <f t="shared" si="1"/>
        <v>26.666666666666668</v>
      </c>
      <c r="U23" s="168">
        <f t="shared" ref="U23:U27" si="2">SUM(F23,K23,P23)/3</f>
        <v>38.333333333333336</v>
      </c>
      <c r="V23" s="168">
        <f>SUM(H23,M23,R23)/3</f>
        <v>1</v>
      </c>
      <c r="W23" s="303"/>
    </row>
    <row r="24" spans="2:23" ht="24.95" customHeight="1">
      <c r="B24" s="298" t="s">
        <v>8</v>
      </c>
      <c r="C24" s="298"/>
      <c r="D24" s="166">
        <f>IFERROR(VLOOKUP(D$8,'1st_Semester'!B$5:BG$52,29,0),"")</f>
        <v>0</v>
      </c>
      <c r="E24" s="166">
        <f>IFERROR(VLOOKUP(D$8,'1st_Semester'!B$5:BH$52,30,0),"")</f>
        <v>25</v>
      </c>
      <c r="F24" s="166">
        <f>IFERROR(VLOOKUP(D$8,'1st_Semester'!B$5:BJ$52,31,0),"")</f>
        <v>25</v>
      </c>
      <c r="G24" s="167">
        <f>'1st_Semester'!AH8</f>
        <v>97</v>
      </c>
      <c r="H24" s="168" t="str">
        <f>IFERROR(VLOOKUP(D$8,'1st_Semester'!B$5:BA$52,32,0),"")</f>
        <v>F</v>
      </c>
      <c r="I24" s="166">
        <f>IFERROR(VLOOKUP(D$8,'2nd_Semeter'!B8:AZ40,29,0),"")</f>
        <v>1</v>
      </c>
      <c r="J24" s="166">
        <f>IFERROR(VLOOKUP(D$8,'2nd_Semeter'!B8:AZ40,30,0),"")</f>
        <v>50</v>
      </c>
      <c r="K24" s="166">
        <f>IFERROR(VLOOKUP(D$8,'2nd_Semeter'!B8:BA40,31,0),"")</f>
        <v>51</v>
      </c>
      <c r="L24" s="167">
        <f>'2nd_Semeter'!AH8</f>
        <v>98</v>
      </c>
      <c r="M24" s="168">
        <f>IFERROR(VLOOKUP(D$8,'2nd_Semeter'!B$5:BC$38,32,0),"")</f>
        <v>3</v>
      </c>
      <c r="N24" s="167">
        <f>IFERROR(VLOOKUP(D$8,'3rd_Semester'!B$6:BI$50,29,0),"")</f>
        <v>13</v>
      </c>
      <c r="O24" s="167">
        <f>IFERROR(VLOOKUP(D$8,'3rd_Semester'!B$6:BI$50,30,0),"")</f>
        <v>34</v>
      </c>
      <c r="P24" s="167">
        <f>IFERROR(VLOOKUP(D$8,'3rd_Semester'!B$6:BI$50,31,0),"")</f>
        <v>47</v>
      </c>
      <c r="Q24" s="167">
        <f>'3rd_Semester'!AH8</f>
        <v>99</v>
      </c>
      <c r="R24" s="168">
        <f>IFERROR(VLOOKUP(D$8,'3rd_Semester'!B$6:BI$50,32,0),"")</f>
        <v>2</v>
      </c>
      <c r="S24" s="168">
        <f t="shared" si="0"/>
        <v>4.666666666666667</v>
      </c>
      <c r="T24" s="168">
        <f t="shared" si="1"/>
        <v>36.333333333333336</v>
      </c>
      <c r="U24" s="168">
        <f t="shared" si="2"/>
        <v>41</v>
      </c>
      <c r="V24" s="168">
        <f>SUM(H24,M24,R24)/3</f>
        <v>1.6666666666666667</v>
      </c>
      <c r="W24" s="303"/>
    </row>
    <row r="25" spans="2:23" ht="24.95" customHeight="1">
      <c r="B25" s="298" t="s">
        <v>9</v>
      </c>
      <c r="C25" s="298"/>
      <c r="D25" s="166">
        <f>IFERROR(VLOOKUP(D$8,'1st_Semester'!B$5:BG$52,34,0),"")</f>
        <v>0</v>
      </c>
      <c r="E25" s="166">
        <f>IFERROR(VLOOKUP(D$8,'1st_Semester'!B$5:BH$52,35,0),"")</f>
        <v>50</v>
      </c>
      <c r="F25" s="166">
        <f>IFERROR(VLOOKUP(D$8,'1st_Semester'!B$5:BJ$52,36,0),"")</f>
        <v>50</v>
      </c>
      <c r="G25" s="167">
        <f>'1st_Semester'!AM8</f>
        <v>97</v>
      </c>
      <c r="H25" s="168">
        <f>IFERROR(VLOOKUP(D$8,'1st_Semester'!B$5:BA$52,37,0),"")</f>
        <v>3</v>
      </c>
      <c r="I25" s="166">
        <f>IFERROR(VLOOKUP(D$8,'2nd_Semeter'!B8:AZ41,34,0),"")</f>
        <v>19</v>
      </c>
      <c r="J25" s="166">
        <f>IFERROR(VLOOKUP(D$8,'2nd_Semeter'!B8:AZ41,35,0),"")</f>
        <v>65</v>
      </c>
      <c r="K25" s="166">
        <f>IFERROR(VLOOKUP(D$8,'2nd_Semeter'!B8:BA41,36,0),"")</f>
        <v>84</v>
      </c>
      <c r="L25" s="167">
        <f>'2nd_Semeter'!AM8</f>
        <v>98</v>
      </c>
      <c r="M25" s="168">
        <f>IFERROR(VLOOKUP(D$8,'2nd_Semeter'!B$5:BC$38,37,0),"")</f>
        <v>5</v>
      </c>
      <c r="N25" s="167">
        <f>IFERROR(VLOOKUP(D$8,'3rd_Semester'!B$6:BI$50,34,0),"")</f>
        <v>20</v>
      </c>
      <c r="O25" s="167">
        <f>IFERROR(VLOOKUP(D$8,'3rd_Semester'!B$6:BI$50,35,0),"")</f>
        <v>75</v>
      </c>
      <c r="P25" s="167">
        <f>IFERROR(VLOOKUP(D$8,'3rd_Semester'!B$6:BI$50,36,0),"")</f>
        <v>95</v>
      </c>
      <c r="Q25" s="167">
        <f>'3rd_Semester'!AM8</f>
        <v>99</v>
      </c>
      <c r="R25" s="168">
        <f>IFERROR(VLOOKUP(D$8,'3rd_Semester'!B$6:BI$50,37,0),"")</f>
        <v>5</v>
      </c>
      <c r="S25" s="168">
        <f t="shared" si="0"/>
        <v>13</v>
      </c>
      <c r="T25" s="168">
        <f t="shared" si="1"/>
        <v>63.333333333333336</v>
      </c>
      <c r="U25" s="168">
        <f t="shared" si="2"/>
        <v>76.333333333333329</v>
      </c>
      <c r="V25" s="168">
        <f t="shared" ref="V25:V27" si="3">SUM(H25,M25,R25)/3</f>
        <v>4.333333333333333</v>
      </c>
      <c r="W25" s="303"/>
    </row>
    <row r="26" spans="2:23" ht="24.95" customHeight="1">
      <c r="B26" s="298" t="s">
        <v>54</v>
      </c>
      <c r="C26" s="298"/>
      <c r="D26" s="166">
        <f>IFERROR(VLOOKUP(D$8,'1st_Semester'!B$5:BG$52,39,0),"")</f>
        <v>0</v>
      </c>
      <c r="E26" s="166">
        <f>IFERROR(VLOOKUP(D$8,'1st_Semester'!B$5:BH$52,40,0),"")</f>
        <v>19</v>
      </c>
      <c r="F26" s="166">
        <f>IFERROR(VLOOKUP(D$8,'1st_Semester'!B$5:BJ$52,41,0),"")</f>
        <v>19</v>
      </c>
      <c r="G26" s="167">
        <f>'1st_Semester'!AR8</f>
        <v>50</v>
      </c>
      <c r="H26" s="168" t="str">
        <f>IFERROR(VLOOKUP(D$8,'1st_Semester'!B$5:BA$52,42,0),"")</f>
        <v>F</v>
      </c>
      <c r="I26" s="166">
        <f>IFERROR(VLOOKUP(D$8,'2nd_Semeter'!B8:AZ42,39,0),"")</f>
        <v>0</v>
      </c>
      <c r="J26" s="166">
        <f>IFERROR(VLOOKUP(D$8,'2nd_Semeter'!B8:AZ42,40,0),"")</f>
        <v>33</v>
      </c>
      <c r="K26" s="166">
        <f>IFERROR(VLOOKUP(D$8,'2nd_Semeter'!B8:BA42,41,0),"")</f>
        <v>33</v>
      </c>
      <c r="L26" s="167">
        <f>'2nd_Semeter'!AR8</f>
        <v>47</v>
      </c>
      <c r="M26" s="168">
        <f>IFERROR(VLOOKUP(D$8,'2nd_Semeter'!B$5:BC$38,42,0),"")</f>
        <v>3.5</v>
      </c>
      <c r="N26" s="167">
        <f>IFERROR(VLOOKUP(D$8,'3rd_Semester'!B$6:BI$50,39,0),"")</f>
        <v>0</v>
      </c>
      <c r="O26" s="167">
        <f>IFERROR(VLOOKUP(D$8,'3rd_Semester'!B$6:BI$50,40,0),"")</f>
        <v>30</v>
      </c>
      <c r="P26" s="167">
        <f>IFERROR(VLOOKUP(D$8,'3rd_Semester'!B$6:BI$50,41,0),"")</f>
        <v>30</v>
      </c>
      <c r="Q26" s="167">
        <f>'3rd_Semester'!AR8</f>
        <v>50</v>
      </c>
      <c r="R26" s="168">
        <f>IFERROR(VLOOKUP(D$8,'3rd_Semester'!B$6:BI$50,42,0),"")</f>
        <v>3.5</v>
      </c>
      <c r="S26" s="168">
        <f t="shared" si="0"/>
        <v>0</v>
      </c>
      <c r="T26" s="168">
        <f t="shared" si="1"/>
        <v>27.333333333333332</v>
      </c>
      <c r="U26" s="168">
        <f t="shared" si="2"/>
        <v>27.333333333333332</v>
      </c>
      <c r="V26" s="168">
        <f t="shared" si="3"/>
        <v>2.3333333333333335</v>
      </c>
      <c r="W26" s="303"/>
    </row>
    <row r="27" spans="2:23" ht="24.95" customHeight="1">
      <c r="B27" s="298" t="s">
        <v>86</v>
      </c>
      <c r="C27" s="298"/>
      <c r="D27" s="301"/>
      <c r="E27" s="301"/>
      <c r="F27" s="166">
        <f>IFERROR(VLOOKUP(D$8,'1st_Semester'!B$5:BJ$52,44,0),"")</f>
        <v>32</v>
      </c>
      <c r="G27" s="167">
        <f>'1st_Semester'!AU8</f>
        <v>46</v>
      </c>
      <c r="H27" s="168">
        <f>IFERROR(VLOOKUP(D$8,'1st_Semester'!B$5:BA$52,45,0),"")</f>
        <v>3.5</v>
      </c>
      <c r="I27" s="301"/>
      <c r="J27" s="301"/>
      <c r="K27" s="166">
        <f>IFERROR(VLOOKUP(D$8,'2nd_Semeter'!B8:BA43,44,0),"")</f>
        <v>20</v>
      </c>
      <c r="L27" s="167">
        <f>'2nd_Semeter'!AU8</f>
        <v>50</v>
      </c>
      <c r="M27" s="168">
        <f>IFERROR(VLOOKUP(D$8,'2nd_Semeter'!B$5:BC$38,45,0),"")</f>
        <v>2</v>
      </c>
      <c r="N27" s="169"/>
      <c r="O27" s="169"/>
      <c r="P27" s="167">
        <f>IFERROR(VLOOKUP(D$8,'3rd_Semester'!B$6:BI$50,44,0),"")</f>
        <v>46</v>
      </c>
      <c r="Q27" s="167">
        <f>'3rd_Semester'!AU8</f>
        <v>50</v>
      </c>
      <c r="R27" s="168">
        <f>IFERROR(VLOOKUP(D$8,'3rd_Semester'!B$6:BI$50,45,0),"")</f>
        <v>5</v>
      </c>
      <c r="S27" s="170"/>
      <c r="T27" s="170"/>
      <c r="U27" s="168">
        <f t="shared" si="2"/>
        <v>32.666666666666664</v>
      </c>
      <c r="V27" s="168">
        <f t="shared" si="3"/>
        <v>3.5</v>
      </c>
      <c r="W27" s="303"/>
    </row>
    <row r="28" spans="2:23" ht="24.95" customHeight="1">
      <c r="B28" s="305" t="s">
        <v>79</v>
      </c>
      <c r="C28" s="305"/>
      <c r="D28" s="171"/>
      <c r="E28" s="171"/>
      <c r="F28" s="172">
        <f>SUM(F18:F26)</f>
        <v>268</v>
      </c>
      <c r="G28" s="306"/>
      <c r="H28" s="306"/>
      <c r="I28" s="173"/>
      <c r="J28" s="173"/>
      <c r="K28" s="174">
        <f>SUM(K18:K26)</f>
        <v>438</v>
      </c>
      <c r="L28" s="306"/>
      <c r="M28" s="306"/>
      <c r="N28" s="173"/>
      <c r="O28" s="173"/>
      <c r="P28" s="174">
        <f>SUM(P18:P26)</f>
        <v>455</v>
      </c>
      <c r="Q28" s="306"/>
      <c r="R28" s="306"/>
      <c r="S28" s="304"/>
      <c r="T28" s="304"/>
      <c r="U28" s="174">
        <f>SUM(U18:U26)</f>
        <v>386.99999999999994</v>
      </c>
      <c r="V28" s="304"/>
      <c r="W28" s="304"/>
    </row>
    <row r="33" spans="2:21" ht="18.75">
      <c r="B33" s="175"/>
      <c r="C33" s="176" t="s">
        <v>62</v>
      </c>
      <c r="D33" s="175"/>
      <c r="E33" s="175"/>
      <c r="F33" s="175"/>
      <c r="G33" s="175"/>
      <c r="H33" s="175"/>
      <c r="I33" s="175"/>
      <c r="J33" s="175"/>
      <c r="K33" s="177" t="s">
        <v>91</v>
      </c>
      <c r="L33" s="175"/>
      <c r="M33" s="175"/>
      <c r="N33" s="175"/>
      <c r="O33" s="175"/>
      <c r="P33" s="175"/>
      <c r="Q33" s="175"/>
      <c r="R33" s="175"/>
      <c r="S33" s="175"/>
      <c r="T33" s="177" t="s">
        <v>92</v>
      </c>
      <c r="U33" s="175"/>
    </row>
  </sheetData>
  <mergeCells count="69">
    <mergeCell ref="S28:T28"/>
    <mergeCell ref="V28:W28"/>
    <mergeCell ref="D27:E27"/>
    <mergeCell ref="I27:J27"/>
    <mergeCell ref="B28:C28"/>
    <mergeCell ref="G28:H28"/>
    <mergeCell ref="L28:M28"/>
    <mergeCell ref="Q28:R28"/>
    <mergeCell ref="B27:C27"/>
    <mergeCell ref="B22:C22"/>
    <mergeCell ref="B23:C23"/>
    <mergeCell ref="B24:C24"/>
    <mergeCell ref="B25:C25"/>
    <mergeCell ref="B26:C26"/>
    <mergeCell ref="P20:P21"/>
    <mergeCell ref="Q20:Q21"/>
    <mergeCell ref="R20:R21"/>
    <mergeCell ref="U20:U21"/>
    <mergeCell ref="V20:V21"/>
    <mergeCell ref="B21:C21"/>
    <mergeCell ref="V18:V19"/>
    <mergeCell ref="W18:W27"/>
    <mergeCell ref="B19:C19"/>
    <mergeCell ref="B20:C20"/>
    <mergeCell ref="F20:F21"/>
    <mergeCell ref="G20:G21"/>
    <mergeCell ref="H20:H21"/>
    <mergeCell ref="K20:K21"/>
    <mergeCell ref="L20:L21"/>
    <mergeCell ref="M20:M21"/>
    <mergeCell ref="L18:L19"/>
    <mergeCell ref="M18:M19"/>
    <mergeCell ref="P18:P19"/>
    <mergeCell ref="Q18:Q19"/>
    <mergeCell ref="R18:R19"/>
    <mergeCell ref="U18:U19"/>
    <mergeCell ref="S13:S17"/>
    <mergeCell ref="T13:T17"/>
    <mergeCell ref="U13:U17"/>
    <mergeCell ref="V13:V17"/>
    <mergeCell ref="R13:R17"/>
    <mergeCell ref="E13:E17"/>
    <mergeCell ref="F13:F17"/>
    <mergeCell ref="G13:G17"/>
    <mergeCell ref="H13:H17"/>
    <mergeCell ref="J13:J17"/>
    <mergeCell ref="K13:K17"/>
    <mergeCell ref="Q13:Q17"/>
    <mergeCell ref="B18:C18"/>
    <mergeCell ref="F18:F19"/>
    <mergeCell ref="G18:G19"/>
    <mergeCell ref="H18:H19"/>
    <mergeCell ref="K18:K19"/>
    <mergeCell ref="D7:F7"/>
    <mergeCell ref="B2:W4"/>
    <mergeCell ref="D11:J11"/>
    <mergeCell ref="B12:C17"/>
    <mergeCell ref="D12:D17"/>
    <mergeCell ref="E12:H12"/>
    <mergeCell ref="I12:I17"/>
    <mergeCell ref="J12:M12"/>
    <mergeCell ref="N12:N17"/>
    <mergeCell ref="O12:R12"/>
    <mergeCell ref="S12:W12"/>
    <mergeCell ref="W13:W17"/>
    <mergeCell ref="L13:L17"/>
    <mergeCell ref="M13:M17"/>
    <mergeCell ref="O13:O17"/>
    <mergeCell ref="P13:P17"/>
  </mergeCells>
  <printOptions horizontalCentered="1" verticalCentered="1"/>
  <pageMargins left="0" right="0" top="0" bottom="0" header="0" footer="0"/>
  <pageSetup paperSize="9" scale="7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2nd_Semeter</vt:lpstr>
      <vt:lpstr>3rd_Semester</vt:lpstr>
      <vt:lpstr>PROGRESS-REPORT</vt:lpstr>
      <vt:lpstr>ANNUAL-CARD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2025-12-27T06:10:47Z</dcterms:modified>
</cp:coreProperties>
</file>