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filterPrivacy="1" defaultThemeVersion="124226"/>
  <bookViews>
    <workbookView xWindow="-120" yWindow="-120" windowWidth="24240" windowHeight="13740" tabRatio="754" activeTab="3"/>
  </bookViews>
  <sheets>
    <sheet name="1st_Semester" sheetId="4" r:id="rId1"/>
    <sheet name="2nd_Semester" sheetId="1" r:id="rId2"/>
    <sheet name="3rd_Semester" sheetId="5" r:id="rId3"/>
    <sheet name="ANNUAL_CARD" sheetId="6" r:id="rId4"/>
  </sheets>
  <externalReferences>
    <externalReference r:id="rId5"/>
  </externalReferenc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6"/>
  <c r="W4" l="1"/>
  <c r="BE9" i="5" l="1"/>
  <c r="BE10"/>
  <c r="BE11"/>
  <c r="BE12"/>
  <c r="BE13"/>
  <c r="BE14"/>
  <c r="BE15"/>
  <c r="BE16"/>
  <c r="BE17"/>
  <c r="BE18"/>
  <c r="BE19"/>
  <c r="BE20"/>
  <c r="BE21"/>
  <c r="BE22"/>
  <c r="BE23"/>
  <c r="BE24"/>
  <c r="BE25"/>
  <c r="BE26"/>
  <c r="BE27"/>
  <c r="BE28"/>
  <c r="BE29"/>
  <c r="BE30"/>
  <c r="BE31"/>
  <c r="BE32"/>
  <c r="BE33"/>
  <c r="BE34"/>
  <c r="BE37"/>
  <c r="BE38"/>
  <c r="BE39"/>
  <c r="BE40"/>
  <c r="BE41"/>
  <c r="BE42"/>
  <c r="BE43"/>
  <c r="BE44"/>
  <c r="BE45"/>
  <c r="BE46"/>
  <c r="BE47"/>
  <c r="BE48"/>
  <c r="BE49"/>
  <c r="BE50"/>
  <c r="BE51"/>
  <c r="BE52"/>
  <c r="BE53"/>
  <c r="BE54"/>
  <c r="BE55"/>
  <c r="BE56"/>
  <c r="BE57"/>
  <c r="BE58"/>
  <c r="BE59"/>
  <c r="BE60"/>
  <c r="BE61"/>
  <c r="BE62"/>
  <c r="BE63"/>
  <c r="BE64"/>
  <c r="BE65"/>
  <c r="BE66"/>
  <c r="BE67"/>
  <c r="BD9"/>
  <c r="BD10"/>
  <c r="BD11"/>
  <c r="BD12"/>
  <c r="BD13"/>
  <c r="BD14"/>
  <c r="BD15"/>
  <c r="BD16"/>
  <c r="BD17"/>
  <c r="BD18"/>
  <c r="BD19"/>
  <c r="BD20"/>
  <c r="BD21"/>
  <c r="BD22"/>
  <c r="BD23"/>
  <c r="BD24"/>
  <c r="BD25"/>
  <c r="BD26"/>
  <c r="BD27"/>
  <c r="BD28"/>
  <c r="BD29"/>
  <c r="BD30"/>
  <c r="BD31"/>
  <c r="BD32"/>
  <c r="BD33"/>
  <c r="BD34"/>
  <c r="BD37"/>
  <c r="BD38"/>
  <c r="BD39"/>
  <c r="BD40"/>
  <c r="BD41"/>
  <c r="BD42"/>
  <c r="BD43"/>
  <c r="BD44"/>
  <c r="BD45"/>
  <c r="BD46"/>
  <c r="BD47"/>
  <c r="BD48"/>
  <c r="BD49"/>
  <c r="BD50"/>
  <c r="BD51"/>
  <c r="BD52"/>
  <c r="BD53"/>
  <c r="BD54"/>
  <c r="BD55"/>
  <c r="BD56"/>
  <c r="BD57"/>
  <c r="BD58"/>
  <c r="BD59"/>
  <c r="BD60"/>
  <c r="BD61"/>
  <c r="BD62"/>
  <c r="BD63"/>
  <c r="BD64"/>
  <c r="BD65"/>
  <c r="BD66"/>
  <c r="BD67"/>
  <c r="BD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BC55"/>
  <c r="BC56"/>
  <c r="BC57"/>
  <c r="BC58"/>
  <c r="BC59"/>
  <c r="BC60"/>
  <c r="BC61"/>
  <c r="BC62"/>
  <c r="BC63"/>
  <c r="BC64"/>
  <c r="BC65"/>
  <c r="BC66"/>
  <c r="BC67"/>
  <c r="BC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45"/>
  <c r="BB46"/>
  <c r="BB47"/>
  <c r="BB48"/>
  <c r="BB49"/>
  <c r="BB50"/>
  <c r="BB51"/>
  <c r="BB52"/>
  <c r="BB53"/>
  <c r="BB54"/>
  <c r="BB55"/>
  <c r="BB56"/>
  <c r="BB57"/>
  <c r="BB58"/>
  <c r="BB59"/>
  <c r="BB60"/>
  <c r="BB61"/>
  <c r="BB62"/>
  <c r="BB63"/>
  <c r="BB64"/>
  <c r="BB65"/>
  <c r="BB66"/>
  <c r="BB67"/>
  <c r="BB8"/>
  <c r="AT45" i="1"/>
  <c r="AT46"/>
  <c r="AT47"/>
  <c r="AT48"/>
  <c r="AT49"/>
  <c r="AT50"/>
  <c r="AT51"/>
  <c r="AT52"/>
  <c r="AT53"/>
  <c r="AT54"/>
  <c r="AT55"/>
  <c r="AT56"/>
  <c r="AT57"/>
  <c r="AT58"/>
  <c r="AT59"/>
  <c r="AT60"/>
  <c r="AT61"/>
  <c r="AT62"/>
  <c r="AT63"/>
  <c r="AT64"/>
  <c r="AT65"/>
  <c r="AT66"/>
  <c r="AT67"/>
  <c r="AT23"/>
  <c r="AT24"/>
  <c r="AT25"/>
  <c r="AT26"/>
  <c r="AT27"/>
  <c r="AT28"/>
  <c r="AT29"/>
  <c r="AT30"/>
  <c r="AT31"/>
  <c r="AT32"/>
  <c r="AT33"/>
  <c r="AT34"/>
  <c r="AT35"/>
  <c r="AT36"/>
  <c r="AT37"/>
  <c r="AT38"/>
  <c r="AT39"/>
  <c r="AT40"/>
  <c r="AT41"/>
  <c r="AT42"/>
  <c r="AT43"/>
  <c r="AT44"/>
  <c r="AP8"/>
  <c r="AP9"/>
  <c r="AP10"/>
  <c r="AP11"/>
  <c r="AP12"/>
  <c r="AP13"/>
  <c r="AP14"/>
  <c r="AP15"/>
  <c r="AP16"/>
  <c r="AP17"/>
  <c r="AP18"/>
  <c r="AP19"/>
  <c r="AP20"/>
  <c r="AP21"/>
  <c r="AP22"/>
  <c r="AP23"/>
  <c r="AQ23" s="1"/>
  <c r="AP24"/>
  <c r="AQ24" s="1"/>
  <c r="AP25"/>
  <c r="AQ25" s="1"/>
  <c r="AP26"/>
  <c r="AQ26" s="1"/>
  <c r="AP27"/>
  <c r="AP28"/>
  <c r="AQ28" s="1"/>
  <c r="AP29"/>
  <c r="AQ29" s="1"/>
  <c r="AP30"/>
  <c r="AQ30" s="1"/>
  <c r="AP31"/>
  <c r="AP32"/>
  <c r="AP33"/>
  <c r="AP34"/>
  <c r="AP35"/>
  <c r="AP36"/>
  <c r="AP37"/>
  <c r="AP38"/>
  <c r="AP39"/>
  <c r="AP40"/>
  <c r="AP41"/>
  <c r="AQ41" s="1"/>
  <c r="AP42"/>
  <c r="AQ42" s="1"/>
  <c r="AP43"/>
  <c r="AP44"/>
  <c r="AP45"/>
  <c r="AP46"/>
  <c r="AP47"/>
  <c r="AP48"/>
  <c r="AP49"/>
  <c r="AP50"/>
  <c r="AP51"/>
  <c r="AQ51" s="1"/>
  <c r="AP52"/>
  <c r="AQ52" s="1"/>
  <c r="AP53"/>
  <c r="AQ53" s="1"/>
  <c r="AP54"/>
  <c r="AQ54" s="1"/>
  <c r="AP55"/>
  <c r="AP56"/>
  <c r="AQ56" s="1"/>
  <c r="AP57"/>
  <c r="AP58"/>
  <c r="AP59"/>
  <c r="AP60"/>
  <c r="AQ60" s="1"/>
  <c r="AP61"/>
  <c r="AP62"/>
  <c r="AP63"/>
  <c r="AP64"/>
  <c r="AP65"/>
  <c r="AQ65" s="1"/>
  <c r="AP66"/>
  <c r="AQ66" s="1"/>
  <c r="AP67"/>
  <c r="K25" i="6" s="1"/>
  <c r="AQ27" i="1"/>
  <c r="AK23"/>
  <c r="AL23" s="1"/>
  <c r="AK24"/>
  <c r="AL24" s="1"/>
  <c r="AK25"/>
  <c r="AL25" s="1"/>
  <c r="AK26"/>
  <c r="AL26"/>
  <c r="AK27"/>
  <c r="AL27" s="1"/>
  <c r="AK28"/>
  <c r="AL28" s="1"/>
  <c r="AK29"/>
  <c r="AL29" s="1"/>
  <c r="AK30"/>
  <c r="AL30" s="1"/>
  <c r="AK31"/>
  <c r="AL31" s="1"/>
  <c r="AF23"/>
  <c r="AG23" s="1"/>
  <c r="AF24"/>
  <c r="AG24" s="1"/>
  <c r="AF25"/>
  <c r="AG25" s="1"/>
  <c r="AF26"/>
  <c r="AG26" s="1"/>
  <c r="AF27"/>
  <c r="AG27" s="1"/>
  <c r="AF28"/>
  <c r="AG28" s="1"/>
  <c r="AF29"/>
  <c r="AG29" s="1"/>
  <c r="AF30"/>
  <c r="AG30" s="1"/>
  <c r="AA23"/>
  <c r="AB23" s="1"/>
  <c r="AA24"/>
  <c r="AB24" s="1"/>
  <c r="AA25"/>
  <c r="AB25" s="1"/>
  <c r="AA26"/>
  <c r="AB26" s="1"/>
  <c r="AA27"/>
  <c r="AB27" s="1"/>
  <c r="AA28"/>
  <c r="AB28" s="1"/>
  <c r="AA29"/>
  <c r="AB29" s="1"/>
  <c r="AA30"/>
  <c r="AB30" s="1"/>
  <c r="AA31"/>
  <c r="AB31"/>
  <c r="AA32"/>
  <c r="AB32" s="1"/>
  <c r="V23"/>
  <c r="W23" s="1"/>
  <c r="V24"/>
  <c r="W24" s="1"/>
  <c r="V25"/>
  <c r="W25"/>
  <c r="V26"/>
  <c r="W26" s="1"/>
  <c r="V27"/>
  <c r="W27" s="1"/>
  <c r="V28"/>
  <c r="W28" s="1"/>
  <c r="V29"/>
  <c r="W29" s="1"/>
  <c r="V30"/>
  <c r="W30" s="1"/>
  <c r="V31"/>
  <c r="W31" s="1"/>
  <c r="V32"/>
  <c r="W32" s="1"/>
  <c r="V33"/>
  <c r="W33" s="1"/>
  <c r="V34"/>
  <c r="W34" s="1"/>
  <c r="V35"/>
  <c r="W35" s="1"/>
  <c r="V36"/>
  <c r="W36" s="1"/>
  <c r="V37"/>
  <c r="W37" s="1"/>
  <c r="V38"/>
  <c r="W38" s="1"/>
  <c r="V39"/>
  <c r="W39" s="1"/>
  <c r="V40"/>
  <c r="W40" s="1"/>
  <c r="V41"/>
  <c r="W41" s="1"/>
  <c r="V42"/>
  <c r="W42" s="1"/>
  <c r="V43"/>
  <c r="W43" s="1"/>
  <c r="V44"/>
  <c r="W44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V54"/>
  <c r="W54" s="1"/>
  <c r="V55"/>
  <c r="W55" s="1"/>
  <c r="V56"/>
  <c r="W56" s="1"/>
  <c r="V57"/>
  <c r="W57" s="1"/>
  <c r="V58"/>
  <c r="W58" s="1"/>
  <c r="V59"/>
  <c r="W59" s="1"/>
  <c r="V60"/>
  <c r="W60" s="1"/>
  <c r="V61"/>
  <c r="W61" s="1"/>
  <c r="V62"/>
  <c r="W62" s="1"/>
  <c r="V63"/>
  <c r="W63" s="1"/>
  <c r="V64"/>
  <c r="W64" s="1"/>
  <c r="V65"/>
  <c r="W65" s="1"/>
  <c r="V66"/>
  <c r="W66" s="1"/>
  <c r="V67"/>
  <c r="W67" s="1"/>
  <c r="M21" i="6" s="1"/>
  <c r="Q23" i="1"/>
  <c r="R23" s="1"/>
  <c r="Q24"/>
  <c r="R24" s="1"/>
  <c r="Q25"/>
  <c r="R25" s="1"/>
  <c r="Q26"/>
  <c r="R26" s="1"/>
  <c r="Q27"/>
  <c r="R27" s="1"/>
  <c r="Q28"/>
  <c r="R28" s="1"/>
  <c r="Q29"/>
  <c r="R29" s="1"/>
  <c r="Q30"/>
  <c r="R30" s="1"/>
  <c r="Q31"/>
  <c r="R31"/>
  <c r="Q32"/>
  <c r="R32" s="1"/>
  <c r="Q33"/>
  <c r="R33" s="1"/>
  <c r="Q34"/>
  <c r="R34" s="1"/>
  <c r="Q35"/>
  <c r="R35" s="1"/>
  <c r="Q36"/>
  <c r="R36" s="1"/>
  <c r="Q37"/>
  <c r="R37" s="1"/>
  <c r="Q38"/>
  <c r="R38" s="1"/>
  <c r="J23"/>
  <c r="K23" s="1"/>
  <c r="J24"/>
  <c r="K24" s="1"/>
  <c r="J25"/>
  <c r="K25" s="1"/>
  <c r="J26"/>
  <c r="K26" s="1"/>
  <c r="J27"/>
  <c r="K27" s="1"/>
  <c r="J28"/>
  <c r="K28" s="1"/>
  <c r="J29"/>
  <c r="K29" s="1"/>
  <c r="J30"/>
  <c r="K30" s="1"/>
  <c r="J31"/>
  <c r="K31" s="1"/>
  <c r="R24" i="6"/>
  <c r="P26"/>
  <c r="P25"/>
  <c r="O25"/>
  <c r="O24"/>
  <c r="O23"/>
  <c r="O22"/>
  <c r="O21"/>
  <c r="O20"/>
  <c r="O19"/>
  <c r="O18"/>
  <c r="O17"/>
  <c r="N25"/>
  <c r="N24"/>
  <c r="N23"/>
  <c r="N22"/>
  <c r="N21"/>
  <c r="N20"/>
  <c r="N19"/>
  <c r="N18"/>
  <c r="N17"/>
  <c r="J25"/>
  <c r="J24"/>
  <c r="J23"/>
  <c r="J22"/>
  <c r="J21"/>
  <c r="J20"/>
  <c r="J19"/>
  <c r="J18"/>
  <c r="J17"/>
  <c r="I25"/>
  <c r="I24"/>
  <c r="I23"/>
  <c r="I22"/>
  <c r="I21"/>
  <c r="I20"/>
  <c r="I19"/>
  <c r="I18"/>
  <c r="I17"/>
  <c r="D18"/>
  <c r="E25"/>
  <c r="E24"/>
  <c r="E23"/>
  <c r="E22"/>
  <c r="E21"/>
  <c r="E20"/>
  <c r="E19"/>
  <c r="E18"/>
  <c r="E17"/>
  <c r="D25"/>
  <c r="D24"/>
  <c r="D23"/>
  <c r="D22"/>
  <c r="D21"/>
  <c r="D20"/>
  <c r="D19"/>
  <c r="D17"/>
  <c r="D9"/>
  <c r="D8"/>
  <c r="AT67" i="4"/>
  <c r="AP67"/>
  <c r="AQ67" s="1"/>
  <c r="H25" i="6" s="1"/>
  <c r="AK67" i="4"/>
  <c r="AL67" s="1"/>
  <c r="H24" i="6" s="1"/>
  <c r="AF67" i="4"/>
  <c r="F23" i="6" s="1"/>
  <c r="AA67" i="4"/>
  <c r="AB67" s="1"/>
  <c r="H22" i="6" s="1"/>
  <c r="V67" i="4"/>
  <c r="W67" s="1"/>
  <c r="H21" i="6" s="1"/>
  <c r="Q67" i="4"/>
  <c r="R67" s="1"/>
  <c r="H19" i="6" s="1"/>
  <c r="J67" i="4"/>
  <c r="K67" s="1"/>
  <c r="AT66"/>
  <c r="AP66"/>
  <c r="AQ66" s="1"/>
  <c r="AL66"/>
  <c r="AK66"/>
  <c r="AF66"/>
  <c r="AG66" s="1"/>
  <c r="AA66"/>
  <c r="AB66" s="1"/>
  <c r="V66"/>
  <c r="W66" s="1"/>
  <c r="Q66"/>
  <c r="R66" s="1"/>
  <c r="J66"/>
  <c r="AT65"/>
  <c r="AP65"/>
  <c r="AQ65" s="1"/>
  <c r="AK65"/>
  <c r="AL65" s="1"/>
  <c r="AF65"/>
  <c r="AG65" s="1"/>
  <c r="AA65"/>
  <c r="AB65" s="1"/>
  <c r="V65"/>
  <c r="W65" s="1"/>
  <c r="Q65"/>
  <c r="R65" s="1"/>
  <c r="J65"/>
  <c r="K65" s="1"/>
  <c r="AV65" s="1"/>
  <c r="AW65" s="1"/>
  <c r="BA65" s="1"/>
  <c r="AT64"/>
  <c r="AP64"/>
  <c r="AQ64" s="1"/>
  <c r="AK64"/>
  <c r="AL64" s="1"/>
  <c r="AF64"/>
  <c r="AG64" s="1"/>
  <c r="AA64"/>
  <c r="AB64" s="1"/>
  <c r="V64"/>
  <c r="W64" s="1"/>
  <c r="Q64"/>
  <c r="R64" s="1"/>
  <c r="J64"/>
  <c r="AT63"/>
  <c r="AQ63"/>
  <c r="AP63"/>
  <c r="AK63"/>
  <c r="AL63" s="1"/>
  <c r="AF63"/>
  <c r="AG63" s="1"/>
  <c r="AA63"/>
  <c r="AB63" s="1"/>
  <c r="V63"/>
  <c r="W63" s="1"/>
  <c r="Q63"/>
  <c r="R63" s="1"/>
  <c r="K63"/>
  <c r="AV63" s="1"/>
  <c r="AW63" s="1"/>
  <c r="BA63" s="1"/>
  <c r="J63"/>
  <c r="AT62"/>
  <c r="AQ62"/>
  <c r="AP62"/>
  <c r="AK62"/>
  <c r="AL62" s="1"/>
  <c r="AF62"/>
  <c r="AG62" s="1"/>
  <c r="AB62"/>
  <c r="AA62"/>
  <c r="V62"/>
  <c r="Q62"/>
  <c r="R62" s="1"/>
  <c r="K62"/>
  <c r="AV62" s="1"/>
  <c r="AW62" s="1"/>
  <c r="BA62" s="1"/>
  <c r="J62"/>
  <c r="AT61"/>
  <c r="AP61"/>
  <c r="AQ61" s="1"/>
  <c r="AK61"/>
  <c r="AL61" s="1"/>
  <c r="AF61"/>
  <c r="AG61" s="1"/>
  <c r="AA61"/>
  <c r="AB61" s="1"/>
  <c r="V61"/>
  <c r="W61" s="1"/>
  <c r="Q61"/>
  <c r="R61" s="1"/>
  <c r="J61"/>
  <c r="K61" s="1"/>
  <c r="AV61" s="1"/>
  <c r="AW61" s="1"/>
  <c r="BA61" s="1"/>
  <c r="AT60"/>
  <c r="AQ60"/>
  <c r="AP60"/>
  <c r="AK60"/>
  <c r="AL60" s="1"/>
  <c r="AF60"/>
  <c r="AG60" s="1"/>
  <c r="AA60"/>
  <c r="V60"/>
  <c r="W60" s="1"/>
  <c r="Q60"/>
  <c r="R60" s="1"/>
  <c r="J60"/>
  <c r="K60" s="1"/>
  <c r="AV60" s="1"/>
  <c r="AW60" s="1"/>
  <c r="BA60" s="1"/>
  <c r="AT59"/>
  <c r="AP59"/>
  <c r="AQ59" s="1"/>
  <c r="AK59"/>
  <c r="AF59"/>
  <c r="AG59" s="1"/>
  <c r="AA59"/>
  <c r="AB59" s="1"/>
  <c r="V59"/>
  <c r="W59" s="1"/>
  <c r="Q59"/>
  <c r="R59" s="1"/>
  <c r="J59"/>
  <c r="K59" s="1"/>
  <c r="AV59" s="1"/>
  <c r="AW59" s="1"/>
  <c r="BA59" s="1"/>
  <c r="AT58"/>
  <c r="AP58"/>
  <c r="AQ58" s="1"/>
  <c r="AL58"/>
  <c r="AK58"/>
  <c r="AF58"/>
  <c r="AG58" s="1"/>
  <c r="AA58"/>
  <c r="AB58" s="1"/>
  <c r="V58"/>
  <c r="W58" s="1"/>
  <c r="Q58"/>
  <c r="R58" s="1"/>
  <c r="J58"/>
  <c r="K58" s="1"/>
  <c r="AT57"/>
  <c r="AP57"/>
  <c r="AQ57" s="1"/>
  <c r="AK57"/>
  <c r="AL57" s="1"/>
  <c r="AF57"/>
  <c r="AG57" s="1"/>
  <c r="AB57"/>
  <c r="AA57"/>
  <c r="V57"/>
  <c r="W57" s="1"/>
  <c r="Q57"/>
  <c r="R57" s="1"/>
  <c r="J57"/>
  <c r="AT56"/>
  <c r="AP56"/>
  <c r="AQ56" s="1"/>
  <c r="AK56"/>
  <c r="AL56" s="1"/>
  <c r="AF56"/>
  <c r="AG56" s="1"/>
  <c r="AA56"/>
  <c r="AB56" s="1"/>
  <c r="V56"/>
  <c r="W56" s="1"/>
  <c r="Q56"/>
  <c r="R56" s="1"/>
  <c r="J56"/>
  <c r="K56" s="1"/>
  <c r="AT55"/>
  <c r="AP55"/>
  <c r="AQ55" s="1"/>
  <c r="AK55"/>
  <c r="AL55" s="1"/>
  <c r="AF55"/>
  <c r="AG55" s="1"/>
  <c r="AA55"/>
  <c r="AB55" s="1"/>
  <c r="V55"/>
  <c r="W55" s="1"/>
  <c r="Q55"/>
  <c r="R55" s="1"/>
  <c r="J55"/>
  <c r="K55" s="1"/>
  <c r="AV55" s="1"/>
  <c r="AW55" s="1"/>
  <c r="BA55" s="1"/>
  <c r="AT54"/>
  <c r="AP54"/>
  <c r="AQ54" s="1"/>
  <c r="AK54"/>
  <c r="AL54" s="1"/>
  <c r="AF54"/>
  <c r="AG54" s="1"/>
  <c r="AA54"/>
  <c r="AB54" s="1"/>
  <c r="V54"/>
  <c r="W54" s="1"/>
  <c r="Q54"/>
  <c r="R54" s="1"/>
  <c r="J54"/>
  <c r="AT53"/>
  <c r="AP53"/>
  <c r="AQ53" s="1"/>
  <c r="AK53"/>
  <c r="AL53" s="1"/>
  <c r="AF53"/>
  <c r="AG53" s="1"/>
  <c r="AB53"/>
  <c r="AA53"/>
  <c r="V53"/>
  <c r="W53" s="1"/>
  <c r="Q53"/>
  <c r="R53" s="1"/>
  <c r="J53"/>
  <c r="K53" s="1"/>
  <c r="AT52"/>
  <c r="AQ52"/>
  <c r="AP52"/>
  <c r="AK52"/>
  <c r="AL52" s="1"/>
  <c r="AF52"/>
  <c r="AG52" s="1"/>
  <c r="AA52"/>
  <c r="AB52" s="1"/>
  <c r="V52"/>
  <c r="W52" s="1"/>
  <c r="Q52"/>
  <c r="R52" s="1"/>
  <c r="J52"/>
  <c r="AT51"/>
  <c r="AQ51"/>
  <c r="AP51"/>
  <c r="AK51"/>
  <c r="AL51" s="1"/>
  <c r="AF51"/>
  <c r="AG51" s="1"/>
  <c r="AA51"/>
  <c r="AB51" s="1"/>
  <c r="V51"/>
  <c r="W51" s="1"/>
  <c r="Q51"/>
  <c r="R51" s="1"/>
  <c r="J51"/>
  <c r="K51" s="1"/>
  <c r="AT50"/>
  <c r="AQ50"/>
  <c r="AP50"/>
  <c r="AK50"/>
  <c r="AL50" s="1"/>
  <c r="AF50"/>
  <c r="AG50" s="1"/>
  <c r="AA50"/>
  <c r="AB50" s="1"/>
  <c r="V50"/>
  <c r="Q50"/>
  <c r="R50" s="1"/>
  <c r="J50"/>
  <c r="K50" s="1"/>
  <c r="AT49"/>
  <c r="AP49"/>
  <c r="AQ49" s="1"/>
  <c r="AK49"/>
  <c r="AL49" s="1"/>
  <c r="AF49"/>
  <c r="AG49" s="1"/>
  <c r="AA49"/>
  <c r="AB49" s="1"/>
  <c r="V49"/>
  <c r="W49" s="1"/>
  <c r="Q49"/>
  <c r="R49" s="1"/>
  <c r="J49"/>
  <c r="K49" s="1"/>
  <c r="AT48"/>
  <c r="AP48"/>
  <c r="AQ48" s="1"/>
  <c r="AK48"/>
  <c r="AL48" s="1"/>
  <c r="AF48"/>
  <c r="AG48" s="1"/>
  <c r="AA48"/>
  <c r="W48"/>
  <c r="V48"/>
  <c r="R48"/>
  <c r="Q48"/>
  <c r="J48"/>
  <c r="K48" s="1"/>
  <c r="AT47"/>
  <c r="AP47"/>
  <c r="AQ47" s="1"/>
  <c r="AK47"/>
  <c r="AF47"/>
  <c r="AG47" s="1"/>
  <c r="AA47"/>
  <c r="AB47" s="1"/>
  <c r="V47"/>
  <c r="W47" s="1"/>
  <c r="Q47"/>
  <c r="R47" s="1"/>
  <c r="J47"/>
  <c r="K47" s="1"/>
  <c r="AT46"/>
  <c r="AP46"/>
  <c r="AQ46" s="1"/>
  <c r="AL46"/>
  <c r="AK46"/>
  <c r="AF46"/>
  <c r="AG46" s="1"/>
  <c r="AB46"/>
  <c r="AA46"/>
  <c r="V46"/>
  <c r="W46" s="1"/>
  <c r="Q46"/>
  <c r="R46" s="1"/>
  <c r="J46"/>
  <c r="K46" s="1"/>
  <c r="AT45"/>
  <c r="AP45"/>
  <c r="AQ45" s="1"/>
  <c r="AK45"/>
  <c r="AL45" s="1"/>
  <c r="AF45"/>
  <c r="AG45" s="1"/>
  <c r="AA45"/>
  <c r="AB45" s="1"/>
  <c r="V45"/>
  <c r="W45" s="1"/>
  <c r="Q45"/>
  <c r="R45" s="1"/>
  <c r="J45"/>
  <c r="AT44"/>
  <c r="AQ44"/>
  <c r="AP44"/>
  <c r="AK44"/>
  <c r="AL44" s="1"/>
  <c r="AF44"/>
  <c r="AG44" s="1"/>
  <c r="AB44"/>
  <c r="AA44"/>
  <c r="W44"/>
  <c r="V44"/>
  <c r="Q44"/>
  <c r="R44" s="1"/>
  <c r="J44"/>
  <c r="K44" s="1"/>
  <c r="AT43"/>
  <c r="AP43"/>
  <c r="AQ43" s="1"/>
  <c r="AK43"/>
  <c r="AL43" s="1"/>
  <c r="AF43"/>
  <c r="AG43" s="1"/>
  <c r="AA43"/>
  <c r="AB43" s="1"/>
  <c r="W43"/>
  <c r="V43"/>
  <c r="Q43"/>
  <c r="R43" s="1"/>
  <c r="J43"/>
  <c r="K43" s="1"/>
  <c r="AT42"/>
  <c r="AP42"/>
  <c r="AQ42" s="1"/>
  <c r="AK42"/>
  <c r="AL42" s="1"/>
  <c r="AF42"/>
  <c r="AG42" s="1"/>
  <c r="AA42"/>
  <c r="AB42" s="1"/>
  <c r="V42"/>
  <c r="W42" s="1"/>
  <c r="Q42"/>
  <c r="R42" s="1"/>
  <c r="J42"/>
  <c r="AT41"/>
  <c r="AP41"/>
  <c r="AQ41" s="1"/>
  <c r="AK41"/>
  <c r="AL41" s="1"/>
  <c r="AF41"/>
  <c r="AG41" s="1"/>
  <c r="AB41"/>
  <c r="AA41"/>
  <c r="V41"/>
  <c r="W41" s="1"/>
  <c r="Q41"/>
  <c r="R41" s="1"/>
  <c r="J41"/>
  <c r="K41" s="1"/>
  <c r="AV41" s="1"/>
  <c r="AW41" s="1"/>
  <c r="BA41" s="1"/>
  <c r="AT40"/>
  <c r="AQ40"/>
  <c r="AP40"/>
  <c r="AK40"/>
  <c r="AL40" s="1"/>
  <c r="AF40"/>
  <c r="AG40" s="1"/>
  <c r="AA40"/>
  <c r="AB40" s="1"/>
  <c r="V40"/>
  <c r="W40" s="1"/>
  <c r="Q40"/>
  <c r="J40"/>
  <c r="K40" s="1"/>
  <c r="AT39"/>
  <c r="AQ39"/>
  <c r="AP39"/>
  <c r="AK39"/>
  <c r="AL39" s="1"/>
  <c r="AF39"/>
  <c r="AG39" s="1"/>
  <c r="AA39"/>
  <c r="AB39" s="1"/>
  <c r="V39"/>
  <c r="W39" s="1"/>
  <c r="Q39"/>
  <c r="R39" s="1"/>
  <c r="J39"/>
  <c r="AT38"/>
  <c r="AP38"/>
  <c r="AQ38" s="1"/>
  <c r="AK38"/>
  <c r="AL38" s="1"/>
  <c r="AF38"/>
  <c r="AG38" s="1"/>
  <c r="AA38"/>
  <c r="AB38" s="1"/>
  <c r="V38"/>
  <c r="Q38"/>
  <c r="R38" s="1"/>
  <c r="J38"/>
  <c r="K38" s="1"/>
  <c r="AT37"/>
  <c r="AP37"/>
  <c r="AQ37" s="1"/>
  <c r="AK37"/>
  <c r="AL37" s="1"/>
  <c r="AF37"/>
  <c r="AG37" s="1"/>
  <c r="AA37"/>
  <c r="AB37" s="1"/>
  <c r="V37"/>
  <c r="W37" s="1"/>
  <c r="Q37"/>
  <c r="R37" s="1"/>
  <c r="J37"/>
  <c r="K37" s="1"/>
  <c r="AT36"/>
  <c r="AQ36"/>
  <c r="AP36"/>
  <c r="AK36"/>
  <c r="AL36" s="1"/>
  <c r="AF36"/>
  <c r="AG36" s="1"/>
  <c r="AA36"/>
  <c r="V36"/>
  <c r="W36" s="1"/>
  <c r="Q36"/>
  <c r="R36" s="1"/>
  <c r="J36"/>
  <c r="K36" s="1"/>
  <c r="M26" i="6"/>
  <c r="AK67" i="1"/>
  <c r="AL67" s="1"/>
  <c r="M24" i="6" s="1"/>
  <c r="AF67" i="1"/>
  <c r="AG67" s="1"/>
  <c r="M23" i="6" s="1"/>
  <c r="AA67" i="1"/>
  <c r="K22" i="6" s="1"/>
  <c r="Q67" i="1"/>
  <c r="R67" s="1"/>
  <c r="M19" i="6" s="1"/>
  <c r="J67" i="1"/>
  <c r="K67" s="1"/>
  <c r="AV67" s="1"/>
  <c r="AW67" s="1"/>
  <c r="BA67" s="1"/>
  <c r="AK66"/>
  <c r="AL66" s="1"/>
  <c r="AF66"/>
  <c r="AG66" s="1"/>
  <c r="AA66"/>
  <c r="AB66" s="1"/>
  <c r="Q66"/>
  <c r="R66" s="1"/>
  <c r="J66"/>
  <c r="K66" s="1"/>
  <c r="AV66" s="1"/>
  <c r="AW66" s="1"/>
  <c r="BA66" s="1"/>
  <c r="AK65"/>
  <c r="AL65" s="1"/>
  <c r="AF65"/>
  <c r="AG65" s="1"/>
  <c r="AA65"/>
  <c r="AB65" s="1"/>
  <c r="Q65"/>
  <c r="R65" s="1"/>
  <c r="J65"/>
  <c r="K65" s="1"/>
  <c r="AQ64"/>
  <c r="AK64"/>
  <c r="AL64" s="1"/>
  <c r="AF64"/>
  <c r="AG64" s="1"/>
  <c r="AA64"/>
  <c r="AB64" s="1"/>
  <c r="Q64"/>
  <c r="R64" s="1"/>
  <c r="J64"/>
  <c r="K64" s="1"/>
  <c r="AQ63"/>
  <c r="AK63"/>
  <c r="AL63" s="1"/>
  <c r="AF63"/>
  <c r="AG63" s="1"/>
  <c r="AA63"/>
  <c r="AB63" s="1"/>
  <c r="Q63"/>
  <c r="R63" s="1"/>
  <c r="J63"/>
  <c r="K63" s="1"/>
  <c r="AQ62"/>
  <c r="AK62"/>
  <c r="AL62" s="1"/>
  <c r="AF62"/>
  <c r="AG62" s="1"/>
  <c r="AA62"/>
  <c r="AB62" s="1"/>
  <c r="Q62"/>
  <c r="R62" s="1"/>
  <c r="J62"/>
  <c r="K62" s="1"/>
  <c r="AV62" s="1"/>
  <c r="AW62" s="1"/>
  <c r="BA62" s="1"/>
  <c r="AQ61"/>
  <c r="AK61"/>
  <c r="AL61" s="1"/>
  <c r="AF61"/>
  <c r="AG61" s="1"/>
  <c r="AA61"/>
  <c r="AB61" s="1"/>
  <c r="Q61"/>
  <c r="R61" s="1"/>
  <c r="J61"/>
  <c r="K61" s="1"/>
  <c r="AK60"/>
  <c r="AL60" s="1"/>
  <c r="AF60"/>
  <c r="AG60" s="1"/>
  <c r="AA60"/>
  <c r="AB60" s="1"/>
  <c r="Q60"/>
  <c r="R60" s="1"/>
  <c r="J60"/>
  <c r="K60" s="1"/>
  <c r="AQ59"/>
  <c r="AK59"/>
  <c r="AL59" s="1"/>
  <c r="AF59"/>
  <c r="AG59" s="1"/>
  <c r="AA59"/>
  <c r="AB59" s="1"/>
  <c r="Q59"/>
  <c r="R59" s="1"/>
  <c r="J59"/>
  <c r="K59" s="1"/>
  <c r="AQ58"/>
  <c r="AK58"/>
  <c r="AL58" s="1"/>
  <c r="AF58"/>
  <c r="AG58" s="1"/>
  <c r="AA58"/>
  <c r="AB58" s="1"/>
  <c r="Q58"/>
  <c r="R58" s="1"/>
  <c r="J58"/>
  <c r="K58" s="1"/>
  <c r="AQ57"/>
  <c r="AK57"/>
  <c r="AL57" s="1"/>
  <c r="AF57"/>
  <c r="AG57" s="1"/>
  <c r="AA57"/>
  <c r="AB57" s="1"/>
  <c r="Q57"/>
  <c r="R57" s="1"/>
  <c r="J57"/>
  <c r="K57" s="1"/>
  <c r="AK56"/>
  <c r="AL56" s="1"/>
  <c r="AF56"/>
  <c r="AG56" s="1"/>
  <c r="AA56"/>
  <c r="AB56" s="1"/>
  <c r="Q56"/>
  <c r="R56" s="1"/>
  <c r="J56"/>
  <c r="K56" s="1"/>
  <c r="AQ55"/>
  <c r="AK55"/>
  <c r="AL55" s="1"/>
  <c r="AF55"/>
  <c r="AG55" s="1"/>
  <c r="AA55"/>
  <c r="AB55" s="1"/>
  <c r="Q55"/>
  <c r="R55" s="1"/>
  <c r="J55"/>
  <c r="K55" s="1"/>
  <c r="AK54"/>
  <c r="AL54" s="1"/>
  <c r="AF54"/>
  <c r="AG54" s="1"/>
  <c r="AA54"/>
  <c r="AB54" s="1"/>
  <c r="Q54"/>
  <c r="R54" s="1"/>
  <c r="J54"/>
  <c r="K54" s="1"/>
  <c r="AK53"/>
  <c r="AL53" s="1"/>
  <c r="AF53"/>
  <c r="AG53" s="1"/>
  <c r="AA53"/>
  <c r="AB53" s="1"/>
  <c r="Q53"/>
  <c r="R53" s="1"/>
  <c r="J53"/>
  <c r="K53" s="1"/>
  <c r="AK52"/>
  <c r="AL52" s="1"/>
  <c r="AF52"/>
  <c r="AG52" s="1"/>
  <c r="AA52"/>
  <c r="AB52" s="1"/>
  <c r="Q52"/>
  <c r="R52" s="1"/>
  <c r="J52"/>
  <c r="K52" s="1"/>
  <c r="AL51"/>
  <c r="AK51"/>
  <c r="AF51"/>
  <c r="AG51" s="1"/>
  <c r="AA51"/>
  <c r="AB51" s="1"/>
  <c r="Q51"/>
  <c r="R51" s="1"/>
  <c r="J51"/>
  <c r="K51" s="1"/>
  <c r="AV51" s="1"/>
  <c r="AW51" s="1"/>
  <c r="BA51" s="1"/>
  <c r="AQ50"/>
  <c r="AK50"/>
  <c r="AL50" s="1"/>
  <c r="AF50"/>
  <c r="AG50" s="1"/>
  <c r="AA50"/>
  <c r="AB50" s="1"/>
  <c r="Q50"/>
  <c r="R50" s="1"/>
  <c r="J50"/>
  <c r="K50" s="1"/>
  <c r="AQ49"/>
  <c r="AK49"/>
  <c r="AL49" s="1"/>
  <c r="AF49"/>
  <c r="AG49" s="1"/>
  <c r="AA49"/>
  <c r="AB49" s="1"/>
  <c r="Q49"/>
  <c r="R49" s="1"/>
  <c r="J49"/>
  <c r="K49" s="1"/>
  <c r="AQ48"/>
  <c r="AK48"/>
  <c r="AL48" s="1"/>
  <c r="AF48"/>
  <c r="AG48" s="1"/>
  <c r="AA48"/>
  <c r="AB48" s="1"/>
  <c r="Q48"/>
  <c r="R48" s="1"/>
  <c r="J48"/>
  <c r="K48" s="1"/>
  <c r="AV48" s="1"/>
  <c r="AW48" s="1"/>
  <c r="BA48" s="1"/>
  <c r="AQ47"/>
  <c r="AK47"/>
  <c r="AL47" s="1"/>
  <c r="AF47"/>
  <c r="AG47" s="1"/>
  <c r="AA47"/>
  <c r="AB47" s="1"/>
  <c r="Q47"/>
  <c r="R47" s="1"/>
  <c r="J47"/>
  <c r="K47" s="1"/>
  <c r="AQ46"/>
  <c r="AK46"/>
  <c r="AL46" s="1"/>
  <c r="AF46"/>
  <c r="AG46" s="1"/>
  <c r="AA46"/>
  <c r="AB46" s="1"/>
  <c r="Q46"/>
  <c r="R46" s="1"/>
  <c r="J46"/>
  <c r="K46" s="1"/>
  <c r="AV46" s="1"/>
  <c r="AW46" s="1"/>
  <c r="BA46" s="1"/>
  <c r="AQ45"/>
  <c r="AK45"/>
  <c r="AL45" s="1"/>
  <c r="AF45"/>
  <c r="AG45" s="1"/>
  <c r="AA45"/>
  <c r="Q45"/>
  <c r="R45" s="1"/>
  <c r="J45"/>
  <c r="K45" s="1"/>
  <c r="AQ44"/>
  <c r="AK44"/>
  <c r="AL44" s="1"/>
  <c r="AF44"/>
  <c r="AG44" s="1"/>
  <c r="AA44"/>
  <c r="AB44" s="1"/>
  <c r="Q44"/>
  <c r="R44" s="1"/>
  <c r="J44"/>
  <c r="K44" s="1"/>
  <c r="AQ43"/>
  <c r="AK43"/>
  <c r="AL43" s="1"/>
  <c r="AF43"/>
  <c r="AG43" s="1"/>
  <c r="AA43"/>
  <c r="AB43" s="1"/>
  <c r="Q43"/>
  <c r="R43" s="1"/>
  <c r="J43"/>
  <c r="K43" s="1"/>
  <c r="AK42"/>
  <c r="AL42" s="1"/>
  <c r="AF42"/>
  <c r="AG42" s="1"/>
  <c r="AA42"/>
  <c r="AB42" s="1"/>
  <c r="Q42"/>
  <c r="J42"/>
  <c r="K42" s="1"/>
  <c r="AK41"/>
  <c r="AL41" s="1"/>
  <c r="AF41"/>
  <c r="AG41" s="1"/>
  <c r="AA41"/>
  <c r="AB41" s="1"/>
  <c r="Q41"/>
  <c r="R41" s="1"/>
  <c r="J41"/>
  <c r="K41" s="1"/>
  <c r="AQ40"/>
  <c r="AK40"/>
  <c r="AL40" s="1"/>
  <c r="AF40"/>
  <c r="AG40" s="1"/>
  <c r="AA40"/>
  <c r="AB40" s="1"/>
  <c r="Q40"/>
  <c r="R40" s="1"/>
  <c r="J40"/>
  <c r="AQ39"/>
  <c r="AK39"/>
  <c r="AL39" s="1"/>
  <c r="AF39"/>
  <c r="AG39" s="1"/>
  <c r="AA39"/>
  <c r="AB39" s="1"/>
  <c r="Q39"/>
  <c r="R39" s="1"/>
  <c r="J39"/>
  <c r="K39" s="1"/>
  <c r="AQ38"/>
  <c r="AK38"/>
  <c r="AL38" s="1"/>
  <c r="AF38"/>
  <c r="AG38" s="1"/>
  <c r="AA38"/>
  <c r="AB38" s="1"/>
  <c r="J38"/>
  <c r="K38" s="1"/>
  <c r="AQ37"/>
  <c r="AK37"/>
  <c r="AL37" s="1"/>
  <c r="AF37"/>
  <c r="AG37" s="1"/>
  <c r="AA37"/>
  <c r="AB37" s="1"/>
  <c r="J37"/>
  <c r="K37" s="1"/>
  <c r="AQ36"/>
  <c r="AK36"/>
  <c r="AL36" s="1"/>
  <c r="AF36"/>
  <c r="AG36" s="1"/>
  <c r="AA36"/>
  <c r="AB36" s="1"/>
  <c r="J36"/>
  <c r="K36" s="1"/>
  <c r="AT67" i="5"/>
  <c r="R26" i="6" s="1"/>
  <c r="AQ67" i="5"/>
  <c r="R25" i="6" s="1"/>
  <c r="AP67" i="5"/>
  <c r="AK67"/>
  <c r="AL67" s="1"/>
  <c r="AF67"/>
  <c r="AG67" s="1"/>
  <c r="R23" i="6" s="1"/>
  <c r="AA67" i="5"/>
  <c r="AB67" s="1"/>
  <c r="R22" i="6" s="1"/>
  <c r="V67" i="5"/>
  <c r="P21" i="6" s="1"/>
  <c r="R67" i="5"/>
  <c r="R19" i="6" s="1"/>
  <c r="Q67" i="5"/>
  <c r="P19" i="6" s="1"/>
  <c r="J67" i="5"/>
  <c r="K67" s="1"/>
  <c r="AT66"/>
  <c r="AP66"/>
  <c r="AQ66" s="1"/>
  <c r="AK66"/>
  <c r="AL66" s="1"/>
  <c r="AF66"/>
  <c r="AG66" s="1"/>
  <c r="AA66"/>
  <c r="AB66" s="1"/>
  <c r="V66"/>
  <c r="W66" s="1"/>
  <c r="Q66"/>
  <c r="R66" s="1"/>
  <c r="J66"/>
  <c r="AT65"/>
  <c r="AP65"/>
  <c r="AQ65" s="1"/>
  <c r="AK65"/>
  <c r="AL65" s="1"/>
  <c r="AF65"/>
  <c r="AG65" s="1"/>
  <c r="AB65"/>
  <c r="AA65"/>
  <c r="V65"/>
  <c r="W65" s="1"/>
  <c r="Q65"/>
  <c r="R65" s="1"/>
  <c r="J65"/>
  <c r="AT64"/>
  <c r="AP64"/>
  <c r="AQ64" s="1"/>
  <c r="AK64"/>
  <c r="AL64" s="1"/>
  <c r="AF64"/>
  <c r="AG64" s="1"/>
  <c r="AB64"/>
  <c r="AA64"/>
  <c r="V64"/>
  <c r="W64" s="1"/>
  <c r="Q64"/>
  <c r="R64" s="1"/>
  <c r="J64"/>
  <c r="AT63"/>
  <c r="AP63"/>
  <c r="AQ63" s="1"/>
  <c r="AK63"/>
  <c r="AL63" s="1"/>
  <c r="AG63"/>
  <c r="AF63"/>
  <c r="AA63"/>
  <c r="AB63" s="1"/>
  <c r="V63"/>
  <c r="W63" s="1"/>
  <c r="Q63"/>
  <c r="R63" s="1"/>
  <c r="J63"/>
  <c r="K63" s="1"/>
  <c r="AT62"/>
  <c r="AQ62"/>
  <c r="AP62"/>
  <c r="AK62"/>
  <c r="AL62" s="1"/>
  <c r="AG62"/>
  <c r="AF62"/>
  <c r="AA62"/>
  <c r="AB62" s="1"/>
  <c r="V62"/>
  <c r="W62" s="1"/>
  <c r="Q62"/>
  <c r="R62" s="1"/>
  <c r="J62"/>
  <c r="AT61"/>
  <c r="AP61"/>
  <c r="AQ61" s="1"/>
  <c r="AK61"/>
  <c r="AL61" s="1"/>
  <c r="AF61"/>
  <c r="AA61"/>
  <c r="AB61" s="1"/>
  <c r="W61"/>
  <c r="V61"/>
  <c r="Q61"/>
  <c r="R61" s="1"/>
  <c r="J61"/>
  <c r="K61" s="1"/>
  <c r="AT60"/>
  <c r="AP60"/>
  <c r="AQ60" s="1"/>
  <c r="AK60"/>
  <c r="AL60" s="1"/>
  <c r="AG60"/>
  <c r="AF60"/>
  <c r="AA60"/>
  <c r="AB60" s="1"/>
  <c r="V60"/>
  <c r="W60" s="1"/>
  <c r="Q60"/>
  <c r="R60" s="1"/>
  <c r="J60"/>
  <c r="K60" s="1"/>
  <c r="AT59"/>
  <c r="AP59"/>
  <c r="AQ59" s="1"/>
  <c r="AK59"/>
  <c r="AL59" s="1"/>
  <c r="AG59"/>
  <c r="AF59"/>
  <c r="AA59"/>
  <c r="AB59" s="1"/>
  <c r="V59"/>
  <c r="Q59"/>
  <c r="R59" s="1"/>
  <c r="J59"/>
  <c r="K59" s="1"/>
  <c r="AT58"/>
  <c r="AP58"/>
  <c r="AQ58" s="1"/>
  <c r="AK58"/>
  <c r="AL58" s="1"/>
  <c r="AF58"/>
  <c r="AG58" s="1"/>
  <c r="AA58"/>
  <c r="AB58" s="1"/>
  <c r="W58"/>
  <c r="V58"/>
  <c r="Q58"/>
  <c r="R58" s="1"/>
  <c r="J58"/>
  <c r="AT57"/>
  <c r="AP57"/>
  <c r="AQ57" s="1"/>
  <c r="AK57"/>
  <c r="AL57" s="1"/>
  <c r="AG57"/>
  <c r="AF57"/>
  <c r="AA57"/>
  <c r="AB57" s="1"/>
  <c r="V57"/>
  <c r="W57" s="1"/>
  <c r="Q57"/>
  <c r="R57" s="1"/>
  <c r="J57"/>
  <c r="AT56"/>
  <c r="AQ56"/>
  <c r="AP56"/>
  <c r="AK56"/>
  <c r="AL56" s="1"/>
  <c r="AF56"/>
  <c r="AG56" s="1"/>
  <c r="AA56"/>
  <c r="AB56" s="1"/>
  <c r="V56"/>
  <c r="W56" s="1"/>
  <c r="Q56"/>
  <c r="R56" s="1"/>
  <c r="J56"/>
  <c r="AT55"/>
  <c r="AP55"/>
  <c r="AQ55" s="1"/>
  <c r="AK55"/>
  <c r="AL55" s="1"/>
  <c r="AF55"/>
  <c r="AG55" s="1"/>
  <c r="AA55"/>
  <c r="AB55" s="1"/>
  <c r="V55"/>
  <c r="W55" s="1"/>
  <c r="Q55"/>
  <c r="R55" s="1"/>
  <c r="J55"/>
  <c r="K55" s="1"/>
  <c r="AT54"/>
  <c r="AP54"/>
  <c r="AQ54" s="1"/>
  <c r="AK54"/>
  <c r="AL54" s="1"/>
  <c r="AG54"/>
  <c r="AF54"/>
  <c r="AA54"/>
  <c r="AB54" s="1"/>
  <c r="V54"/>
  <c r="W54" s="1"/>
  <c r="Q54"/>
  <c r="R54" s="1"/>
  <c r="J54"/>
  <c r="AT53"/>
  <c r="AP53"/>
  <c r="AQ53" s="1"/>
  <c r="AK53"/>
  <c r="AL53" s="1"/>
  <c r="AF53"/>
  <c r="AG53" s="1"/>
  <c r="AA53"/>
  <c r="AB53" s="1"/>
  <c r="V53"/>
  <c r="Q53"/>
  <c r="R53" s="1"/>
  <c r="J53"/>
  <c r="K53" s="1"/>
  <c r="AT52"/>
  <c r="AP52"/>
  <c r="AQ52" s="1"/>
  <c r="AK52"/>
  <c r="AL52" s="1"/>
  <c r="AF52"/>
  <c r="AG52" s="1"/>
  <c r="AA52"/>
  <c r="AB52" s="1"/>
  <c r="V52"/>
  <c r="W52" s="1"/>
  <c r="Q52"/>
  <c r="R52" s="1"/>
  <c r="J52"/>
  <c r="AT51"/>
  <c r="AP51"/>
  <c r="AQ51" s="1"/>
  <c r="AK51"/>
  <c r="AL51" s="1"/>
  <c r="AF51"/>
  <c r="AG51" s="1"/>
  <c r="AA51"/>
  <c r="AB51" s="1"/>
  <c r="W51"/>
  <c r="V51"/>
  <c r="R51"/>
  <c r="Q51"/>
  <c r="J51"/>
  <c r="K51" s="1"/>
  <c r="AV51" s="1"/>
  <c r="AW51" s="1"/>
  <c r="BA51" s="1"/>
  <c r="AT50"/>
  <c r="AQ50"/>
  <c r="AP50"/>
  <c r="AK50"/>
  <c r="AL50" s="1"/>
  <c r="AF50"/>
  <c r="AG50" s="1"/>
  <c r="AA50"/>
  <c r="AB50" s="1"/>
  <c r="V50"/>
  <c r="W50" s="1"/>
  <c r="Q50"/>
  <c r="R50" s="1"/>
  <c r="J50"/>
  <c r="AT49"/>
  <c r="AP49"/>
  <c r="AQ49" s="1"/>
  <c r="AK49"/>
  <c r="AL49" s="1"/>
  <c r="AF49"/>
  <c r="AG49" s="1"/>
  <c r="AA49"/>
  <c r="AB49" s="1"/>
  <c r="W49"/>
  <c r="V49"/>
  <c r="Q49"/>
  <c r="R49" s="1"/>
  <c r="J49"/>
  <c r="K49" s="1"/>
  <c r="AT48"/>
  <c r="AP48"/>
  <c r="AQ48" s="1"/>
  <c r="AK48"/>
  <c r="AL48" s="1"/>
  <c r="AG48"/>
  <c r="AF48"/>
  <c r="AA48"/>
  <c r="AB48" s="1"/>
  <c r="V48"/>
  <c r="W48" s="1"/>
  <c r="Q48"/>
  <c r="R48" s="1"/>
  <c r="J48"/>
  <c r="K48" s="1"/>
  <c r="AV48" s="1"/>
  <c r="AW48" s="1"/>
  <c r="BA48" s="1"/>
  <c r="AT47"/>
  <c r="AP47"/>
  <c r="AQ47" s="1"/>
  <c r="AK47"/>
  <c r="AL47" s="1"/>
  <c r="AF47"/>
  <c r="AG47" s="1"/>
  <c r="AA47"/>
  <c r="AB47" s="1"/>
  <c r="V47"/>
  <c r="Q47"/>
  <c r="R47" s="1"/>
  <c r="J47"/>
  <c r="K47" s="1"/>
  <c r="AT46"/>
  <c r="AP46"/>
  <c r="AQ46" s="1"/>
  <c r="AK46"/>
  <c r="AL46" s="1"/>
  <c r="AF46"/>
  <c r="AG46" s="1"/>
  <c r="AA46"/>
  <c r="AB46" s="1"/>
  <c r="W46"/>
  <c r="V46"/>
  <c r="Q46"/>
  <c r="R46" s="1"/>
  <c r="J46"/>
  <c r="AT45"/>
  <c r="AP45"/>
  <c r="AQ45" s="1"/>
  <c r="AK45"/>
  <c r="AL45" s="1"/>
  <c r="AG45"/>
  <c r="AF45"/>
  <c r="AA45"/>
  <c r="AB45" s="1"/>
  <c r="V45"/>
  <c r="W45" s="1"/>
  <c r="Q45"/>
  <c r="R45" s="1"/>
  <c r="J45"/>
  <c r="AT44"/>
  <c r="AQ44"/>
  <c r="AP44"/>
  <c r="AK44"/>
  <c r="AL44" s="1"/>
  <c r="AF44"/>
  <c r="AG44" s="1"/>
  <c r="AB44"/>
  <c r="AA44"/>
  <c r="V44"/>
  <c r="W44" s="1"/>
  <c r="Q44"/>
  <c r="R44" s="1"/>
  <c r="K44"/>
  <c r="J44"/>
  <c r="AT43"/>
  <c r="AQ43"/>
  <c r="AP43"/>
  <c r="AK43"/>
  <c r="AL43" s="1"/>
  <c r="AF43"/>
  <c r="AG43" s="1"/>
  <c r="AA43"/>
  <c r="AB43" s="1"/>
  <c r="V43"/>
  <c r="W43" s="1"/>
  <c r="Q43"/>
  <c r="R43" s="1"/>
  <c r="J43"/>
  <c r="K43" s="1"/>
  <c r="AT42"/>
  <c r="AP42"/>
  <c r="AQ42" s="1"/>
  <c r="AK42"/>
  <c r="AL42" s="1"/>
  <c r="AF42"/>
  <c r="AG42" s="1"/>
  <c r="AA42"/>
  <c r="AB42" s="1"/>
  <c r="V42"/>
  <c r="W42" s="1"/>
  <c r="Q42"/>
  <c r="R42" s="1"/>
  <c r="J42"/>
  <c r="K42" s="1"/>
  <c r="AT41"/>
  <c r="AQ41"/>
  <c r="AP41"/>
  <c r="AK41"/>
  <c r="AL41" s="1"/>
  <c r="AF41"/>
  <c r="AG41" s="1"/>
  <c r="AA41"/>
  <c r="AB41" s="1"/>
  <c r="V41"/>
  <c r="Q41"/>
  <c r="R41" s="1"/>
  <c r="J41"/>
  <c r="K41" s="1"/>
  <c r="AV41" s="1"/>
  <c r="AW41" s="1"/>
  <c r="BA41" s="1"/>
  <c r="AT40"/>
  <c r="AP40"/>
  <c r="AQ40" s="1"/>
  <c r="AK40"/>
  <c r="AL40" s="1"/>
  <c r="AF40"/>
  <c r="AG40" s="1"/>
  <c r="AA40"/>
  <c r="AB40" s="1"/>
  <c r="W40"/>
  <c r="V40"/>
  <c r="Q40"/>
  <c r="R40" s="1"/>
  <c r="J40"/>
  <c r="AT39"/>
  <c r="AP39"/>
  <c r="AQ39" s="1"/>
  <c r="AK39"/>
  <c r="AL39" s="1"/>
  <c r="AF39"/>
  <c r="AG39" s="1"/>
  <c r="AA39"/>
  <c r="AB39" s="1"/>
  <c r="V39"/>
  <c r="W39" s="1"/>
  <c r="R39"/>
  <c r="Q39"/>
  <c r="J39"/>
  <c r="K39" s="1"/>
  <c r="AT38"/>
  <c r="AP38"/>
  <c r="AQ38" s="1"/>
  <c r="AK38"/>
  <c r="AF38"/>
  <c r="AG38" s="1"/>
  <c r="AA38"/>
  <c r="AB38" s="1"/>
  <c r="V38"/>
  <c r="W38" s="1"/>
  <c r="Q38"/>
  <c r="R38" s="1"/>
  <c r="K38"/>
  <c r="J38"/>
  <c r="AT37"/>
  <c r="AP37"/>
  <c r="AQ37" s="1"/>
  <c r="AL37"/>
  <c r="AK37"/>
  <c r="AF37"/>
  <c r="AA37"/>
  <c r="AB37" s="1"/>
  <c r="V37"/>
  <c r="W37" s="1"/>
  <c r="Q37"/>
  <c r="R37" s="1"/>
  <c r="J37"/>
  <c r="K37" s="1"/>
  <c r="AT36"/>
  <c r="AP36"/>
  <c r="AQ36" s="1"/>
  <c r="AK36"/>
  <c r="AL36" s="1"/>
  <c r="AF36"/>
  <c r="AG36" s="1"/>
  <c r="AA36"/>
  <c r="AB36" s="1"/>
  <c r="V36"/>
  <c r="W36" s="1"/>
  <c r="Q36"/>
  <c r="R36" s="1"/>
  <c r="J36"/>
  <c r="AV55" l="1"/>
  <c r="AW55" s="1"/>
  <c r="BA55" s="1"/>
  <c r="AV47"/>
  <c r="AW47" s="1"/>
  <c r="BA47" s="1"/>
  <c r="AV63"/>
  <c r="AW63" s="1"/>
  <c r="BA63" s="1"/>
  <c r="AV61"/>
  <c r="AW61" s="1"/>
  <c r="BA61" s="1"/>
  <c r="AV60"/>
  <c r="AW60" s="1"/>
  <c r="BA60" s="1"/>
  <c r="AV59"/>
  <c r="AW59" s="1"/>
  <c r="BA59" s="1"/>
  <c r="AV53"/>
  <c r="AW53" s="1"/>
  <c r="BA53" s="1"/>
  <c r="AV49"/>
  <c r="AW49" s="1"/>
  <c r="BA49" s="1"/>
  <c r="AV44"/>
  <c r="AW44" s="1"/>
  <c r="BA44" s="1"/>
  <c r="AV43"/>
  <c r="AW43" s="1"/>
  <c r="BA43" s="1"/>
  <c r="AV42"/>
  <c r="AW42" s="1"/>
  <c r="BA42" s="1"/>
  <c r="AV39"/>
  <c r="AW39" s="1"/>
  <c r="BA39" s="1"/>
  <c r="AV38"/>
  <c r="AW38" s="1"/>
  <c r="BA38" s="1"/>
  <c r="AV37"/>
  <c r="AW37" s="1"/>
  <c r="BA37" s="1"/>
  <c r="P24" i="6"/>
  <c r="P23"/>
  <c r="AX45" i="5"/>
  <c r="P22" i="6"/>
  <c r="W67" i="5"/>
  <c r="R21" i="6" s="1"/>
  <c r="AX66" i="5"/>
  <c r="AX65"/>
  <c r="AX64"/>
  <c r="AX62"/>
  <c r="AX58"/>
  <c r="AX57"/>
  <c r="AX56"/>
  <c r="AX54"/>
  <c r="AX52"/>
  <c r="AX50"/>
  <c r="AX46"/>
  <c r="AX44"/>
  <c r="AX40"/>
  <c r="AX39"/>
  <c r="R17" i="6"/>
  <c r="AX67" i="5"/>
  <c r="P17" i="6"/>
  <c r="K65" i="5"/>
  <c r="AV65" s="1"/>
  <c r="AW65" s="1"/>
  <c r="BA65" s="1"/>
  <c r="K56"/>
  <c r="AV56" s="1"/>
  <c r="AW56" s="1"/>
  <c r="BA56" s="1"/>
  <c r="AX53"/>
  <c r="AX51"/>
  <c r="K62"/>
  <c r="AV62" s="1"/>
  <c r="AW62" s="1"/>
  <c r="BA62" s="1"/>
  <c r="AX61"/>
  <c r="AX59"/>
  <c r="K58"/>
  <c r="AV58" s="1"/>
  <c r="AW58" s="1"/>
  <c r="BA58" s="1"/>
  <c r="K50"/>
  <c r="AV50" s="1"/>
  <c r="AW50" s="1"/>
  <c r="BA50" s="1"/>
  <c r="AX47"/>
  <c r="K46"/>
  <c r="AV46" s="1"/>
  <c r="AW46" s="1"/>
  <c r="BA46" s="1"/>
  <c r="AX36"/>
  <c r="BD36" s="1"/>
  <c r="BE36" s="1"/>
  <c r="AX38"/>
  <c r="AX37"/>
  <c r="AQ67" i="1"/>
  <c r="M25" i="6" s="1"/>
  <c r="AB67" i="1"/>
  <c r="M22" i="6" s="1"/>
  <c r="AV30" i="1"/>
  <c r="AW30" s="1"/>
  <c r="BA30" s="1"/>
  <c r="AX27"/>
  <c r="AX26"/>
  <c r="AV50"/>
  <c r="AW50" s="1"/>
  <c r="BA50" s="1"/>
  <c r="K19" i="6"/>
  <c r="AV65" i="1"/>
  <c r="AW65" s="1"/>
  <c r="BA65" s="1"/>
  <c r="AV64"/>
  <c r="AW64" s="1"/>
  <c r="BA64" s="1"/>
  <c r="AV63"/>
  <c r="AW63" s="1"/>
  <c r="BA63" s="1"/>
  <c r="AV61"/>
  <c r="AW61" s="1"/>
  <c r="BA61" s="1"/>
  <c r="AV60"/>
  <c r="AW60" s="1"/>
  <c r="BA60" s="1"/>
  <c r="AV59"/>
  <c r="AW59" s="1"/>
  <c r="BA59" s="1"/>
  <c r="AV58"/>
  <c r="AW58" s="1"/>
  <c r="BA58" s="1"/>
  <c r="AV57"/>
  <c r="AW57" s="1"/>
  <c r="BA57" s="1"/>
  <c r="AV56"/>
  <c r="AW56" s="1"/>
  <c r="BA56" s="1"/>
  <c r="AV55"/>
  <c r="AW55" s="1"/>
  <c r="BA55" s="1"/>
  <c r="AV54"/>
  <c r="AW54" s="1"/>
  <c r="BA54" s="1"/>
  <c r="AV53"/>
  <c r="AW53" s="1"/>
  <c r="BA53" s="1"/>
  <c r="AV52"/>
  <c r="AW52" s="1"/>
  <c r="BA52" s="1"/>
  <c r="AV49"/>
  <c r="AW49" s="1"/>
  <c r="BA49" s="1"/>
  <c r="AV47"/>
  <c r="AW47" s="1"/>
  <c r="BA47" s="1"/>
  <c r="AV44"/>
  <c r="AW44" s="1"/>
  <c r="BA44" s="1"/>
  <c r="AV43"/>
  <c r="AW43" s="1"/>
  <c r="BA43" s="1"/>
  <c r="AV41"/>
  <c r="AW41" s="1"/>
  <c r="BA41" s="1"/>
  <c r="AV39"/>
  <c r="AW39" s="1"/>
  <c r="BA39" s="1"/>
  <c r="AV38"/>
  <c r="AW38" s="1"/>
  <c r="BA38" s="1"/>
  <c r="AV37"/>
  <c r="AW37" s="1"/>
  <c r="BA37" s="1"/>
  <c r="AV36"/>
  <c r="AW36" s="1"/>
  <c r="BA36" s="1"/>
  <c r="AV29"/>
  <c r="AW29" s="1"/>
  <c r="BA29" s="1"/>
  <c r="AV28"/>
  <c r="AW28" s="1"/>
  <c r="BA28" s="1"/>
  <c r="AV27"/>
  <c r="AW27" s="1"/>
  <c r="BA27" s="1"/>
  <c r="AV26"/>
  <c r="AW26" s="1"/>
  <c r="BA26" s="1"/>
  <c r="AV25"/>
  <c r="AW25" s="1"/>
  <c r="BA25" s="1"/>
  <c r="AV24"/>
  <c r="AW24" s="1"/>
  <c r="BA24" s="1"/>
  <c r="AV23"/>
  <c r="AW23" s="1"/>
  <c r="BA23" s="1"/>
  <c r="AX30"/>
  <c r="AX29"/>
  <c r="AX28"/>
  <c r="AX25"/>
  <c r="AX24"/>
  <c r="AX23"/>
  <c r="K24" i="6"/>
  <c r="K23"/>
  <c r="AX40" i="1"/>
  <c r="K21" i="6"/>
  <c r="F24"/>
  <c r="AG67" i="4"/>
  <c r="H23" i="6" s="1"/>
  <c r="F21"/>
  <c r="F25"/>
  <c r="F22"/>
  <c r="AX62" i="4"/>
  <c r="AV43"/>
  <c r="AW43" s="1"/>
  <c r="BA43" s="1"/>
  <c r="F19" i="6"/>
  <c r="AX42" i="4"/>
  <c r="AX64"/>
  <c r="AX66"/>
  <c r="AV58"/>
  <c r="AW58" s="1"/>
  <c r="BA58" s="1"/>
  <c r="AX57"/>
  <c r="AV56"/>
  <c r="AW56" s="1"/>
  <c r="BA56" s="1"/>
  <c r="AX54"/>
  <c r="AV53"/>
  <c r="AW53" s="1"/>
  <c r="BA53" s="1"/>
  <c r="AX52"/>
  <c r="AV51"/>
  <c r="AW51" s="1"/>
  <c r="BA51" s="1"/>
  <c r="AV50"/>
  <c r="AW50" s="1"/>
  <c r="BA50" s="1"/>
  <c r="AV49"/>
  <c r="AW49" s="1"/>
  <c r="BA49" s="1"/>
  <c r="AV48"/>
  <c r="AW48" s="1"/>
  <c r="BA48" s="1"/>
  <c r="AV46"/>
  <c r="AW46" s="1"/>
  <c r="BA46" s="1"/>
  <c r="AX45"/>
  <c r="AV44"/>
  <c r="AW44" s="1"/>
  <c r="BA44" s="1"/>
  <c r="AX39"/>
  <c r="AV37"/>
  <c r="AW37" s="1"/>
  <c r="BA37" s="1"/>
  <c r="AV36"/>
  <c r="AW36" s="1"/>
  <c r="BA36" s="1"/>
  <c r="AX60"/>
  <c r="K64"/>
  <c r="AV64" s="1"/>
  <c r="AW64" s="1"/>
  <c r="BA64" s="1"/>
  <c r="K52"/>
  <c r="AV52" s="1"/>
  <c r="AW52" s="1"/>
  <c r="BA52" s="1"/>
  <c r="AV67"/>
  <c r="AW67" s="1"/>
  <c r="BA67" s="1"/>
  <c r="H17" i="6"/>
  <c r="F17"/>
  <c r="AX59" i="4"/>
  <c r="AX58"/>
  <c r="AX50"/>
  <c r="AX48"/>
  <c r="AX40"/>
  <c r="AX38"/>
  <c r="AX47"/>
  <c r="AX46"/>
  <c r="AX36"/>
  <c r="AX37"/>
  <c r="K39"/>
  <c r="AV39" s="1"/>
  <c r="AW39" s="1"/>
  <c r="BA39" s="1"/>
  <c r="AX64" i="1"/>
  <c r="K17" i="6"/>
  <c r="M17"/>
  <c r="AX50" i="1"/>
  <c r="AX42"/>
  <c r="AX60"/>
  <c r="AX48"/>
  <c r="AX47"/>
  <c r="AX56"/>
  <c r="AX59"/>
  <c r="AX36"/>
  <c r="AX44"/>
  <c r="AX62"/>
  <c r="AX38"/>
  <c r="AX52"/>
  <c r="AX66"/>
  <c r="K40"/>
  <c r="AV40" s="1"/>
  <c r="AW40" s="1"/>
  <c r="BA40" s="1"/>
  <c r="R42"/>
  <c r="AV42" s="1"/>
  <c r="AW42" s="1"/>
  <c r="BA42" s="1"/>
  <c r="AX45"/>
  <c r="AX54"/>
  <c r="AB36" i="4"/>
  <c r="W38"/>
  <c r="AV38" s="1"/>
  <c r="AW38" s="1"/>
  <c r="BA38" s="1"/>
  <c r="R40"/>
  <c r="AV40" s="1"/>
  <c r="AW40" s="1"/>
  <c r="BA40" s="1"/>
  <c r="K42"/>
  <c r="AV42" s="1"/>
  <c r="AW42" s="1"/>
  <c r="BA42" s="1"/>
  <c r="AB48"/>
  <c r="W50"/>
  <c r="K54"/>
  <c r="AV54" s="1"/>
  <c r="AW54" s="1"/>
  <c r="BA54" s="1"/>
  <c r="AB60"/>
  <c r="W62"/>
  <c r="K66"/>
  <c r="AV66" s="1"/>
  <c r="AW66" s="1"/>
  <c r="BA66" s="1"/>
  <c r="AX43"/>
  <c r="AX55"/>
  <c r="AX67"/>
  <c r="AX41"/>
  <c r="K45"/>
  <c r="AV45" s="1"/>
  <c r="AW45" s="1"/>
  <c r="BA45" s="1"/>
  <c r="AL47"/>
  <c r="AV47" s="1"/>
  <c r="AW47" s="1"/>
  <c r="BA47" s="1"/>
  <c r="AX53"/>
  <c r="K57"/>
  <c r="AV57" s="1"/>
  <c r="AW57" s="1"/>
  <c r="BA57" s="1"/>
  <c r="AL59"/>
  <c r="AX65"/>
  <c r="AX51"/>
  <c r="AX63"/>
  <c r="AX44"/>
  <c r="AX56"/>
  <c r="AX49"/>
  <c r="AX61"/>
  <c r="AX57" i="1"/>
  <c r="AX43"/>
  <c r="AX55"/>
  <c r="AX67"/>
  <c r="AX41"/>
  <c r="AX53"/>
  <c r="AX65"/>
  <c r="AX46"/>
  <c r="AX58"/>
  <c r="AX39"/>
  <c r="AX51"/>
  <c r="AX63"/>
  <c r="AX37"/>
  <c r="AX49"/>
  <c r="AX61"/>
  <c r="AB45"/>
  <c r="AV45" s="1"/>
  <c r="AW45" s="1"/>
  <c r="BA45" s="1"/>
  <c r="AX49" i="5"/>
  <c r="AX42"/>
  <c r="K54"/>
  <c r="AV54" s="1"/>
  <c r="AW54" s="1"/>
  <c r="BA54" s="1"/>
  <c r="K66"/>
  <c r="AV66" s="1"/>
  <c r="AW66" s="1"/>
  <c r="BA66" s="1"/>
  <c r="AX43"/>
  <c r="AX55"/>
  <c r="K36"/>
  <c r="AV36" s="1"/>
  <c r="AW36" s="1"/>
  <c r="BA36" s="1"/>
  <c r="K40"/>
  <c r="AV40" s="1"/>
  <c r="AW40" s="1"/>
  <c r="BA40" s="1"/>
  <c r="AX48"/>
  <c r="K52"/>
  <c r="AV52" s="1"/>
  <c r="AW52" s="1"/>
  <c r="BA52" s="1"/>
  <c r="AX60"/>
  <c r="K64"/>
  <c r="AV64" s="1"/>
  <c r="AW64" s="1"/>
  <c r="BA64" s="1"/>
  <c r="AG37"/>
  <c r="W41"/>
  <c r="AX41"/>
  <c r="K45"/>
  <c r="AV45" s="1"/>
  <c r="AW45" s="1"/>
  <c r="BA45" s="1"/>
  <c r="W53"/>
  <c r="K57"/>
  <c r="AV57" s="1"/>
  <c r="AW57" s="1"/>
  <c r="BA57" s="1"/>
  <c r="AG61"/>
  <c r="AX63"/>
  <c r="AL38"/>
  <c r="W47"/>
  <c r="W59"/>
  <c r="AV67" l="1"/>
  <c r="AW67" s="1"/>
  <c r="BA67" s="1"/>
  <c r="AT21"/>
  <c r="AT22"/>
  <c r="AT23"/>
  <c r="AT24"/>
  <c r="AT25"/>
  <c r="AT26"/>
  <c r="AP21"/>
  <c r="AQ21" s="1"/>
  <c r="AP22"/>
  <c r="AQ22" s="1"/>
  <c r="AP23"/>
  <c r="AQ23" s="1"/>
  <c r="AP24"/>
  <c r="AQ24" s="1"/>
  <c r="AP25"/>
  <c r="AQ25" s="1"/>
  <c r="AP26"/>
  <c r="AQ26" s="1"/>
  <c r="AK21"/>
  <c r="AL21" s="1"/>
  <c r="AK22"/>
  <c r="AL22" s="1"/>
  <c r="AK23"/>
  <c r="AL23" s="1"/>
  <c r="AK24"/>
  <c r="AL24" s="1"/>
  <c r="AK25"/>
  <c r="AL25" s="1"/>
  <c r="AK26"/>
  <c r="AL26" s="1"/>
  <c r="AK27"/>
  <c r="AL27" s="1"/>
  <c r="AF21"/>
  <c r="AG21" s="1"/>
  <c r="AF22"/>
  <c r="AG22" s="1"/>
  <c r="AF23"/>
  <c r="AG23" s="1"/>
  <c r="AF24"/>
  <c r="AG24" s="1"/>
  <c r="AF25"/>
  <c r="AG25" s="1"/>
  <c r="AF26"/>
  <c r="AG26" s="1"/>
  <c r="AF27"/>
  <c r="AG27" s="1"/>
  <c r="V21"/>
  <c r="W21" s="1"/>
  <c r="V22"/>
  <c r="W22" s="1"/>
  <c r="V23"/>
  <c r="W23" s="1"/>
  <c r="V24"/>
  <c r="W24" s="1"/>
  <c r="V25"/>
  <c r="W25" s="1"/>
  <c r="V26"/>
  <c r="W26" s="1"/>
  <c r="V27"/>
  <c r="W27" s="1"/>
  <c r="Q21"/>
  <c r="R21" s="1"/>
  <c r="Q22"/>
  <c r="R22" s="1"/>
  <c r="Q23"/>
  <c r="R23" s="1"/>
  <c r="Q24"/>
  <c r="R24" s="1"/>
  <c r="Q25"/>
  <c r="R25" s="1"/>
  <c r="Q26"/>
  <c r="R26" s="1"/>
  <c r="Q27"/>
  <c r="R27" s="1"/>
  <c r="Q28"/>
  <c r="R28" s="1"/>
  <c r="J21"/>
  <c r="J22"/>
  <c r="K22" s="1"/>
  <c r="J23"/>
  <c r="J24"/>
  <c r="K24" s="1"/>
  <c r="J25"/>
  <c r="J26"/>
  <c r="K26" s="1"/>
  <c r="AA21"/>
  <c r="AB21" s="1"/>
  <c r="AA22"/>
  <c r="AB22" s="1"/>
  <c r="AA23"/>
  <c r="AB23" s="1"/>
  <c r="AA24"/>
  <c r="AB24" s="1"/>
  <c r="AA25"/>
  <c r="AB25" s="1"/>
  <c r="AA26"/>
  <c r="AB26" s="1"/>
  <c r="AA27"/>
  <c r="AB27" s="1"/>
  <c r="AT22" i="4"/>
  <c r="AT23"/>
  <c r="AT24"/>
  <c r="AT25"/>
  <c r="AT26"/>
  <c r="AT27"/>
  <c r="AT28"/>
  <c r="AT29"/>
  <c r="AT30"/>
  <c r="AT31"/>
  <c r="AT32"/>
  <c r="AT33"/>
  <c r="AT34"/>
  <c r="AT35"/>
  <c r="AP9"/>
  <c r="AP10"/>
  <c r="AP11"/>
  <c r="AP12"/>
  <c r="AP13"/>
  <c r="AP14"/>
  <c r="AP15"/>
  <c r="AP16"/>
  <c r="AP17"/>
  <c r="AP18"/>
  <c r="AP19"/>
  <c r="AP20"/>
  <c r="AP21"/>
  <c r="AQ21" s="1"/>
  <c r="AP22"/>
  <c r="AQ22" s="1"/>
  <c r="AP23"/>
  <c r="AQ23" s="1"/>
  <c r="AP24"/>
  <c r="AQ24" s="1"/>
  <c r="AP25"/>
  <c r="AQ25" s="1"/>
  <c r="AP26"/>
  <c r="AQ26" s="1"/>
  <c r="AP27"/>
  <c r="AQ27" s="1"/>
  <c r="AP28"/>
  <c r="AQ28" s="1"/>
  <c r="AP29"/>
  <c r="AQ29" s="1"/>
  <c r="AP30"/>
  <c r="AQ30" s="1"/>
  <c r="AP31"/>
  <c r="AQ31" s="1"/>
  <c r="AP32"/>
  <c r="AQ32" s="1"/>
  <c r="AP33"/>
  <c r="AP34"/>
  <c r="AP35"/>
  <c r="AP8"/>
  <c r="AK22"/>
  <c r="AL22" s="1"/>
  <c r="AK23"/>
  <c r="AL23" s="1"/>
  <c r="AK24"/>
  <c r="AL24" s="1"/>
  <c r="AK25"/>
  <c r="AL25" s="1"/>
  <c r="AK26"/>
  <c r="AL26" s="1"/>
  <c r="AK27"/>
  <c r="AL27" s="1"/>
  <c r="AK28"/>
  <c r="AL28" s="1"/>
  <c r="AK29"/>
  <c r="AL29" s="1"/>
  <c r="AK30"/>
  <c r="AL30" s="1"/>
  <c r="AK31"/>
  <c r="AL31" s="1"/>
  <c r="AK32"/>
  <c r="AL32" s="1"/>
  <c r="AK33"/>
  <c r="AL33" s="1"/>
  <c r="AK34"/>
  <c r="AL34" s="1"/>
  <c r="AK35"/>
  <c r="AL35" s="1"/>
  <c r="AF22"/>
  <c r="AG22" s="1"/>
  <c r="AF23"/>
  <c r="AG23" s="1"/>
  <c r="AF24"/>
  <c r="AG24" s="1"/>
  <c r="AF25"/>
  <c r="AG25" s="1"/>
  <c r="AF26"/>
  <c r="AG26" s="1"/>
  <c r="AF27"/>
  <c r="AG27" s="1"/>
  <c r="AF28"/>
  <c r="AG28" s="1"/>
  <c r="AF29"/>
  <c r="AG29" s="1"/>
  <c r="AF30"/>
  <c r="AG30" s="1"/>
  <c r="AF31"/>
  <c r="AG31" s="1"/>
  <c r="AF32"/>
  <c r="AG32" s="1"/>
  <c r="AF33"/>
  <c r="AG33" s="1"/>
  <c r="AF34"/>
  <c r="AG34" s="1"/>
  <c r="AF35"/>
  <c r="AG35" s="1"/>
  <c r="AA22"/>
  <c r="AB22" s="1"/>
  <c r="AA23"/>
  <c r="AB23" s="1"/>
  <c r="AA24"/>
  <c r="AB24" s="1"/>
  <c r="AA25"/>
  <c r="AB25" s="1"/>
  <c r="AA26"/>
  <c r="AB26" s="1"/>
  <c r="AA27"/>
  <c r="AB27" s="1"/>
  <c r="AA28"/>
  <c r="AB28" s="1"/>
  <c r="AA29"/>
  <c r="AB29" s="1"/>
  <c r="AA30"/>
  <c r="AB30" s="1"/>
  <c r="AA31"/>
  <c r="AB31" s="1"/>
  <c r="AA32"/>
  <c r="AB32" s="1"/>
  <c r="AA33"/>
  <c r="AB33" s="1"/>
  <c r="AA34"/>
  <c r="AB34" s="1"/>
  <c r="AA35"/>
  <c r="AB35" s="1"/>
  <c r="V22"/>
  <c r="W22" s="1"/>
  <c r="V23"/>
  <c r="W23" s="1"/>
  <c r="V24"/>
  <c r="W24" s="1"/>
  <c r="V25"/>
  <c r="W25" s="1"/>
  <c r="V26"/>
  <c r="W26" s="1"/>
  <c r="V27"/>
  <c r="W27" s="1"/>
  <c r="V28"/>
  <c r="W28" s="1"/>
  <c r="V29"/>
  <c r="W29" s="1"/>
  <c r="V30"/>
  <c r="W30" s="1"/>
  <c r="V31"/>
  <c r="W31" s="1"/>
  <c r="V32"/>
  <c r="W32" s="1"/>
  <c r="V33"/>
  <c r="W33" s="1"/>
  <c r="V34"/>
  <c r="W34" s="1"/>
  <c r="V35"/>
  <c r="W35" s="1"/>
  <c r="Q22"/>
  <c r="R22" s="1"/>
  <c r="Q23"/>
  <c r="R23" s="1"/>
  <c r="Q24"/>
  <c r="R24" s="1"/>
  <c r="Q25"/>
  <c r="R25" s="1"/>
  <c r="Q26"/>
  <c r="R26" s="1"/>
  <c r="Q27"/>
  <c r="R27" s="1"/>
  <c r="Q28"/>
  <c r="R28" s="1"/>
  <c r="Q29"/>
  <c r="Q30"/>
  <c r="R30" s="1"/>
  <c r="Q31"/>
  <c r="R31" s="1"/>
  <c r="Q32"/>
  <c r="R32" s="1"/>
  <c r="Q33"/>
  <c r="R33" s="1"/>
  <c r="Q34"/>
  <c r="R34" s="1"/>
  <c r="Q35"/>
  <c r="R35" s="1"/>
  <c r="J21"/>
  <c r="K21" s="1"/>
  <c r="J22"/>
  <c r="K22" s="1"/>
  <c r="J23"/>
  <c r="K23" s="1"/>
  <c r="J24"/>
  <c r="K24" s="1"/>
  <c r="J25"/>
  <c r="K25" s="1"/>
  <c r="J26"/>
  <c r="K26" s="1"/>
  <c r="J27"/>
  <c r="K27" s="1"/>
  <c r="J28"/>
  <c r="K28" s="1"/>
  <c r="J29"/>
  <c r="K29" s="1"/>
  <c r="J30"/>
  <c r="K30" s="1"/>
  <c r="J31"/>
  <c r="K31" s="1"/>
  <c r="J32"/>
  <c r="K32" s="1"/>
  <c r="AV24" i="5" l="1"/>
  <c r="AW24" s="1"/>
  <c r="BA24" s="1"/>
  <c r="AV26"/>
  <c r="AW26" s="1"/>
  <c r="BA26" s="1"/>
  <c r="AV22"/>
  <c r="AW22" s="1"/>
  <c r="BA22" s="1"/>
  <c r="AV26" i="4"/>
  <c r="AW26" s="1"/>
  <c r="BA26" s="1"/>
  <c r="AV24"/>
  <c r="AW24" s="1"/>
  <c r="BA24" s="1"/>
  <c r="AV22"/>
  <c r="AW22" s="1"/>
  <c r="BA22" s="1"/>
  <c r="AV32"/>
  <c r="AW32" s="1"/>
  <c r="BA32" s="1"/>
  <c r="AV31"/>
  <c r="AW31" s="1"/>
  <c r="BA31" s="1"/>
  <c r="AV30"/>
  <c r="AW30" s="1"/>
  <c r="BA30" s="1"/>
  <c r="AV28"/>
  <c r="AW28" s="1"/>
  <c r="BA28" s="1"/>
  <c r="AV27"/>
  <c r="AW27" s="1"/>
  <c r="BA27" s="1"/>
  <c r="AV25"/>
  <c r="AW25" s="1"/>
  <c r="BA25" s="1"/>
  <c r="AV23"/>
  <c r="AW23" s="1"/>
  <c r="BA23" s="1"/>
  <c r="AX23" i="5"/>
  <c r="AX25"/>
  <c r="AX21"/>
  <c r="AX24"/>
  <c r="K21"/>
  <c r="AV21" s="1"/>
  <c r="AW21" s="1"/>
  <c r="BA21" s="1"/>
  <c r="K25"/>
  <c r="AV25" s="1"/>
  <c r="AW25" s="1"/>
  <c r="BA25" s="1"/>
  <c r="AX26"/>
  <c r="K23"/>
  <c r="AV23" s="1"/>
  <c r="AW23" s="1"/>
  <c r="BA23" s="1"/>
  <c r="AX22"/>
  <c r="AX25" i="4"/>
  <c r="AX23"/>
  <c r="AX29"/>
  <c r="AX24"/>
  <c r="AX32"/>
  <c r="AX31"/>
  <c r="AX30"/>
  <c r="R29"/>
  <c r="AV29" s="1"/>
  <c r="AW29" s="1"/>
  <c r="BA29" s="1"/>
  <c r="AX28"/>
  <c r="AX27"/>
  <c r="AX26"/>
  <c r="AX22"/>
  <c r="AP9" i="5"/>
  <c r="AQ9" s="1"/>
  <c r="AP10"/>
  <c r="AP11"/>
  <c r="AQ11" s="1"/>
  <c r="AP12"/>
  <c r="AQ12" s="1"/>
  <c r="AP13"/>
  <c r="AQ13" s="1"/>
  <c r="AP14"/>
  <c r="AQ14" s="1"/>
  <c r="AP15"/>
  <c r="AQ15" s="1"/>
  <c r="AP16"/>
  <c r="AQ16" s="1"/>
  <c r="AP17"/>
  <c r="AQ17" s="1"/>
  <c r="AP18"/>
  <c r="AQ18" s="1"/>
  <c r="AP19"/>
  <c r="AQ19" s="1"/>
  <c r="AP20"/>
  <c r="AP27"/>
  <c r="AP28"/>
  <c r="AP29"/>
  <c r="AQ29" s="1"/>
  <c r="AP30"/>
  <c r="AQ30" s="1"/>
  <c r="AP31"/>
  <c r="AQ31" s="1"/>
  <c r="AP32"/>
  <c r="AQ32" s="1"/>
  <c r="AP33"/>
  <c r="AQ33" s="1"/>
  <c r="AP34"/>
  <c r="AQ34" s="1"/>
  <c r="AP35"/>
  <c r="AQ35" s="1"/>
  <c r="AQ10"/>
  <c r="AQ20"/>
  <c r="AQ27"/>
  <c r="AQ28"/>
  <c r="J9"/>
  <c r="K9" s="1"/>
  <c r="J10"/>
  <c r="K10" s="1"/>
  <c r="J11"/>
  <c r="J12"/>
  <c r="K12" s="1"/>
  <c r="J13"/>
  <c r="K13" s="1"/>
  <c r="J14"/>
  <c r="K14" s="1"/>
  <c r="J15"/>
  <c r="K15" s="1"/>
  <c r="J16"/>
  <c r="K16" s="1"/>
  <c r="J17"/>
  <c r="K17" s="1"/>
  <c r="J18"/>
  <c r="K18" s="1"/>
  <c r="J19"/>
  <c r="K19" s="1"/>
  <c r="J20"/>
  <c r="K20" s="1"/>
  <c r="J27"/>
  <c r="AX27" s="1"/>
  <c r="J28"/>
  <c r="K28" s="1"/>
  <c r="J29"/>
  <c r="K29" s="1"/>
  <c r="J30"/>
  <c r="K30" s="1"/>
  <c r="J31"/>
  <c r="J32"/>
  <c r="K32" s="1"/>
  <c r="J33"/>
  <c r="K33" s="1"/>
  <c r="J34"/>
  <c r="K34" s="1"/>
  <c r="J35"/>
  <c r="K35" s="1"/>
  <c r="V9"/>
  <c r="V10"/>
  <c r="V11"/>
  <c r="V12"/>
  <c r="V13"/>
  <c r="V14"/>
  <c r="V15"/>
  <c r="V16"/>
  <c r="V17"/>
  <c r="V18"/>
  <c r="V19"/>
  <c r="V20"/>
  <c r="V28"/>
  <c r="V29"/>
  <c r="V30"/>
  <c r="V31"/>
  <c r="V32"/>
  <c r="V33"/>
  <c r="V34"/>
  <c r="V35"/>
  <c r="AT9"/>
  <c r="AT10"/>
  <c r="AT11"/>
  <c r="AT12"/>
  <c r="AT13"/>
  <c r="AT14"/>
  <c r="AT15"/>
  <c r="AT16"/>
  <c r="AT17"/>
  <c r="AT18"/>
  <c r="AT19"/>
  <c r="AT20"/>
  <c r="AT27"/>
  <c r="AT28"/>
  <c r="AT29"/>
  <c r="AT30"/>
  <c r="AT31"/>
  <c r="AT32"/>
  <c r="AT33"/>
  <c r="AT34"/>
  <c r="AT35"/>
  <c r="AA9"/>
  <c r="AB9" s="1"/>
  <c r="AA10"/>
  <c r="AB10" s="1"/>
  <c r="AA11"/>
  <c r="AB11" s="1"/>
  <c r="AA12"/>
  <c r="AB12" s="1"/>
  <c r="AA13"/>
  <c r="AB13" s="1"/>
  <c r="AA14"/>
  <c r="AB14" s="1"/>
  <c r="AA15"/>
  <c r="AB15" s="1"/>
  <c r="AA16"/>
  <c r="AB16" s="1"/>
  <c r="AA17"/>
  <c r="AB17" s="1"/>
  <c r="AA18"/>
  <c r="AB18" s="1"/>
  <c r="AA19"/>
  <c r="AB19" s="1"/>
  <c r="AA20"/>
  <c r="AB20" s="1"/>
  <c r="AA28"/>
  <c r="AB28" s="1"/>
  <c r="AA29"/>
  <c r="AB29" s="1"/>
  <c r="AA30"/>
  <c r="AB30" s="1"/>
  <c r="AA31"/>
  <c r="AB31" s="1"/>
  <c r="AA32"/>
  <c r="AB32" s="1"/>
  <c r="AA33"/>
  <c r="AB33" s="1"/>
  <c r="AA34"/>
  <c r="AB34" s="1"/>
  <c r="AA35"/>
  <c r="AB35" s="1"/>
  <c r="AF9"/>
  <c r="AG9" s="1"/>
  <c r="AF10"/>
  <c r="AG10" s="1"/>
  <c r="AF11"/>
  <c r="AG11" s="1"/>
  <c r="AF12"/>
  <c r="AG12" s="1"/>
  <c r="AF13"/>
  <c r="AG13" s="1"/>
  <c r="AF14"/>
  <c r="AG14" s="1"/>
  <c r="AF15"/>
  <c r="AG15" s="1"/>
  <c r="AF16"/>
  <c r="AG16" s="1"/>
  <c r="AF17"/>
  <c r="AG17" s="1"/>
  <c r="AF18"/>
  <c r="AG18" s="1"/>
  <c r="AF19"/>
  <c r="AG19" s="1"/>
  <c r="AF20"/>
  <c r="AG20" s="1"/>
  <c r="AF28"/>
  <c r="AG28" s="1"/>
  <c r="AF29"/>
  <c r="AG29" s="1"/>
  <c r="AF30"/>
  <c r="AG30" s="1"/>
  <c r="AF31"/>
  <c r="AG31" s="1"/>
  <c r="AF32"/>
  <c r="AG32" s="1"/>
  <c r="AF33"/>
  <c r="AG33" s="1"/>
  <c r="AF34"/>
  <c r="AG34" s="1"/>
  <c r="AF35"/>
  <c r="AG35" s="1"/>
  <c r="K27" l="1"/>
  <c r="AV27" s="1"/>
  <c r="AW27" s="1"/>
  <c r="BA27" s="1"/>
  <c r="K11"/>
  <c r="K31"/>
  <c r="AP8"/>
  <c r="AQ8" s="1"/>
  <c r="Q12"/>
  <c r="Q13"/>
  <c r="Q14"/>
  <c r="Q15"/>
  <c r="R15" s="1"/>
  <c r="Q16"/>
  <c r="R16" s="1"/>
  <c r="Q17"/>
  <c r="R17" s="1"/>
  <c r="Q18"/>
  <c r="R18" s="1"/>
  <c r="Q19"/>
  <c r="R19" s="1"/>
  <c r="Q20"/>
  <c r="R20" s="1"/>
  <c r="Q29"/>
  <c r="Q30"/>
  <c r="Q31"/>
  <c r="R31" s="1"/>
  <c r="Q32"/>
  <c r="R32" s="1"/>
  <c r="Q33"/>
  <c r="R33" s="1"/>
  <c r="Q34"/>
  <c r="R34" s="1"/>
  <c r="Q35"/>
  <c r="R35" s="1"/>
  <c r="K26" i="6"/>
  <c r="AK35" i="5"/>
  <c r="AL35" s="1"/>
  <c r="W35"/>
  <c r="AK34"/>
  <c r="AL34" s="1"/>
  <c r="W34"/>
  <c r="AK33"/>
  <c r="AL33" s="1"/>
  <c r="W33"/>
  <c r="AK32"/>
  <c r="AL32" s="1"/>
  <c r="W32"/>
  <c r="AK31"/>
  <c r="AL31" s="1"/>
  <c r="W31"/>
  <c r="AK30"/>
  <c r="AL30" s="1"/>
  <c r="W30"/>
  <c r="AK29"/>
  <c r="AL29" s="1"/>
  <c r="W29"/>
  <c r="AK28"/>
  <c r="AL28" s="1"/>
  <c r="W28"/>
  <c r="AK20"/>
  <c r="AL20" s="1"/>
  <c r="W20"/>
  <c r="AK19"/>
  <c r="AL19" s="1"/>
  <c r="W19"/>
  <c r="AK18"/>
  <c r="AL18" s="1"/>
  <c r="W18"/>
  <c r="AK17"/>
  <c r="AL17" s="1"/>
  <c r="W17"/>
  <c r="AK16"/>
  <c r="AL16" s="1"/>
  <c r="W16"/>
  <c r="AK15"/>
  <c r="AL15" s="1"/>
  <c r="W15"/>
  <c r="AK14"/>
  <c r="AL14" s="1"/>
  <c r="W14"/>
  <c r="AK13"/>
  <c r="AL13" s="1"/>
  <c r="W13"/>
  <c r="AK12"/>
  <c r="AL12" s="1"/>
  <c r="W12"/>
  <c r="AK11"/>
  <c r="AL11" s="1"/>
  <c r="W11"/>
  <c r="Q11"/>
  <c r="R11" s="1"/>
  <c r="AK10"/>
  <c r="AL10" s="1"/>
  <c r="W10"/>
  <c r="Q10"/>
  <c r="R10" s="1"/>
  <c r="AK9"/>
  <c r="AL9" s="1"/>
  <c r="W9"/>
  <c r="Q9"/>
  <c r="R9" s="1"/>
  <c r="AU8"/>
  <c r="Q26" i="6" s="1"/>
  <c r="AT8" i="5"/>
  <c r="AK8"/>
  <c r="AL8" s="1"/>
  <c r="AF8"/>
  <c r="AG8" s="1"/>
  <c r="AA8"/>
  <c r="V8"/>
  <c r="W8" s="1"/>
  <c r="Q8"/>
  <c r="R8" s="1"/>
  <c r="J8"/>
  <c r="K8" s="1"/>
  <c r="AQ35" i="1"/>
  <c r="AK35"/>
  <c r="AL35" s="1"/>
  <c r="AF35"/>
  <c r="AG35" s="1"/>
  <c r="AA35"/>
  <c r="AB35" s="1"/>
  <c r="J35"/>
  <c r="AQ34"/>
  <c r="AK34"/>
  <c r="AL34" s="1"/>
  <c r="AF34"/>
  <c r="AG34" s="1"/>
  <c r="AA34"/>
  <c r="AB34" s="1"/>
  <c r="J34"/>
  <c r="AQ33"/>
  <c r="AK33"/>
  <c r="AL33" s="1"/>
  <c r="AF33"/>
  <c r="AG33" s="1"/>
  <c r="AA33"/>
  <c r="AB33" s="1"/>
  <c r="J33"/>
  <c r="AQ32"/>
  <c r="AK32"/>
  <c r="AL32" s="1"/>
  <c r="AF32"/>
  <c r="AG32" s="1"/>
  <c r="J32"/>
  <c r="AQ31"/>
  <c r="AF31"/>
  <c r="AG31" s="1"/>
  <c r="AT22"/>
  <c r="AQ22"/>
  <c r="AK22"/>
  <c r="AL22" s="1"/>
  <c r="AF22"/>
  <c r="AG22" s="1"/>
  <c r="AA22"/>
  <c r="AB22" s="1"/>
  <c r="V22"/>
  <c r="W22" s="1"/>
  <c r="Q22"/>
  <c r="R22" s="1"/>
  <c r="J22"/>
  <c r="AT21"/>
  <c r="AQ21"/>
  <c r="AK21"/>
  <c r="AL21" s="1"/>
  <c r="AF21"/>
  <c r="AG21" s="1"/>
  <c r="AA21"/>
  <c r="AB21" s="1"/>
  <c r="V21"/>
  <c r="W21" s="1"/>
  <c r="Q21"/>
  <c r="R21" s="1"/>
  <c r="J21"/>
  <c r="AT20"/>
  <c r="AQ20"/>
  <c r="AK20"/>
  <c r="AL20" s="1"/>
  <c r="AF20"/>
  <c r="AG20" s="1"/>
  <c r="AA20"/>
  <c r="AB20" s="1"/>
  <c r="V20"/>
  <c r="W20" s="1"/>
  <c r="Q20"/>
  <c r="R20" s="1"/>
  <c r="J20"/>
  <c r="AT19"/>
  <c r="AQ19"/>
  <c r="AK19"/>
  <c r="AL19" s="1"/>
  <c r="AF19"/>
  <c r="AG19" s="1"/>
  <c r="AA19"/>
  <c r="AB19" s="1"/>
  <c r="V19"/>
  <c r="W19" s="1"/>
  <c r="Q19"/>
  <c r="R19" s="1"/>
  <c r="J19"/>
  <c r="AT18"/>
  <c r="AQ18"/>
  <c r="AK18"/>
  <c r="AL18" s="1"/>
  <c r="AF18"/>
  <c r="AG18" s="1"/>
  <c r="AA18"/>
  <c r="AB18" s="1"/>
  <c r="V18"/>
  <c r="W18" s="1"/>
  <c r="Q18"/>
  <c r="R18" s="1"/>
  <c r="J18"/>
  <c r="AT17"/>
  <c r="AQ17"/>
  <c r="AK17"/>
  <c r="AL17" s="1"/>
  <c r="AF17"/>
  <c r="AG17" s="1"/>
  <c r="AA17"/>
  <c r="AB17" s="1"/>
  <c r="V17"/>
  <c r="W17" s="1"/>
  <c r="Q17"/>
  <c r="R17" s="1"/>
  <c r="J17"/>
  <c r="AT16"/>
  <c r="AQ16"/>
  <c r="AK16"/>
  <c r="AL16" s="1"/>
  <c r="AF16"/>
  <c r="AG16" s="1"/>
  <c r="AA16"/>
  <c r="AB16" s="1"/>
  <c r="V16"/>
  <c r="W16" s="1"/>
  <c r="Q16"/>
  <c r="R16" s="1"/>
  <c r="J16"/>
  <c r="AT15"/>
  <c r="AQ15"/>
  <c r="AK15"/>
  <c r="AL15" s="1"/>
  <c r="AF15"/>
  <c r="AG15" s="1"/>
  <c r="AA15"/>
  <c r="AB15" s="1"/>
  <c r="V15"/>
  <c r="Q15"/>
  <c r="R15" s="1"/>
  <c r="J15"/>
  <c r="AT14"/>
  <c r="AQ14"/>
  <c r="AK14"/>
  <c r="AL14" s="1"/>
  <c r="AF14"/>
  <c r="AG14" s="1"/>
  <c r="AA14"/>
  <c r="AB14" s="1"/>
  <c r="V14"/>
  <c r="W14" s="1"/>
  <c r="Q14"/>
  <c r="R14" s="1"/>
  <c r="J14"/>
  <c r="AT13"/>
  <c r="AQ13"/>
  <c r="AK13"/>
  <c r="AL13" s="1"/>
  <c r="AF13"/>
  <c r="AG13" s="1"/>
  <c r="AA13"/>
  <c r="AB13" s="1"/>
  <c r="V13"/>
  <c r="W13" s="1"/>
  <c r="Q13"/>
  <c r="R13" s="1"/>
  <c r="J13"/>
  <c r="AT12"/>
  <c r="AQ12"/>
  <c r="AK12"/>
  <c r="AL12" s="1"/>
  <c r="AF12"/>
  <c r="AG12" s="1"/>
  <c r="AA12"/>
  <c r="AB12" s="1"/>
  <c r="V12"/>
  <c r="W12" s="1"/>
  <c r="Q12"/>
  <c r="R12" s="1"/>
  <c r="J12"/>
  <c r="AT11"/>
  <c r="AQ11"/>
  <c r="AK11"/>
  <c r="AL11" s="1"/>
  <c r="AF11"/>
  <c r="AG11" s="1"/>
  <c r="AA11"/>
  <c r="AB11" s="1"/>
  <c r="V11"/>
  <c r="W11" s="1"/>
  <c r="Q11"/>
  <c r="R11" s="1"/>
  <c r="J11"/>
  <c r="AT10"/>
  <c r="AQ10"/>
  <c r="AK10"/>
  <c r="AL10" s="1"/>
  <c r="AF10"/>
  <c r="AG10" s="1"/>
  <c r="AA10"/>
  <c r="AB10" s="1"/>
  <c r="V10"/>
  <c r="W10" s="1"/>
  <c r="Q10"/>
  <c r="R10" s="1"/>
  <c r="J10"/>
  <c r="AT9"/>
  <c r="AQ9"/>
  <c r="AK9"/>
  <c r="AL9" s="1"/>
  <c r="AF9"/>
  <c r="AG9" s="1"/>
  <c r="AA9"/>
  <c r="AB9" s="1"/>
  <c r="V9"/>
  <c r="W9" s="1"/>
  <c r="Q9"/>
  <c r="J9"/>
  <c r="AU8"/>
  <c r="L26" i="6" s="1"/>
  <c r="AT8" i="1"/>
  <c r="AR8"/>
  <c r="L25" i="6" s="1"/>
  <c r="AQ8" i="1"/>
  <c r="AK8"/>
  <c r="AF8"/>
  <c r="AG8" s="1"/>
  <c r="AA8"/>
  <c r="AB8" s="1"/>
  <c r="V8"/>
  <c r="W8" s="1"/>
  <c r="Q8"/>
  <c r="R8" s="1"/>
  <c r="J8"/>
  <c r="K8" s="1"/>
  <c r="AX16" l="1"/>
  <c r="AX12"/>
  <c r="AX31" i="5"/>
  <c r="AX15"/>
  <c r="AX33"/>
  <c r="AX16"/>
  <c r="AM8" i="1"/>
  <c r="L24" i="6" s="1"/>
  <c r="X8" i="1"/>
  <c r="L21" i="6" s="1"/>
  <c r="AX34" i="1"/>
  <c r="AX20"/>
  <c r="AX17" i="5"/>
  <c r="AX10"/>
  <c r="AX32"/>
  <c r="AX9"/>
  <c r="AX34"/>
  <c r="AX35"/>
  <c r="BD35" s="1"/>
  <c r="BE35" s="1"/>
  <c r="AX11"/>
  <c r="AX28"/>
  <c r="R12"/>
  <c r="AX12"/>
  <c r="AX20"/>
  <c r="R14"/>
  <c r="AX14"/>
  <c r="R13"/>
  <c r="AX13"/>
  <c r="R29"/>
  <c r="AV29" s="1"/>
  <c r="AW29" s="1"/>
  <c r="BA29" s="1"/>
  <c r="AX29"/>
  <c r="R30"/>
  <c r="AV30" s="1"/>
  <c r="AW30" s="1"/>
  <c r="BA30" s="1"/>
  <c r="AX30"/>
  <c r="AX18"/>
  <c r="AX19"/>
  <c r="AV32"/>
  <c r="AW32" s="1"/>
  <c r="BA32" s="1"/>
  <c r="AV10"/>
  <c r="AW10" s="1"/>
  <c r="BA10" s="1"/>
  <c r="AV16"/>
  <c r="AW16" s="1"/>
  <c r="BA16" s="1"/>
  <c r="AV14"/>
  <c r="AW14" s="1"/>
  <c r="BA14" s="1"/>
  <c r="AV28"/>
  <c r="AW28" s="1"/>
  <c r="BA28" s="1"/>
  <c r="W15" i="1"/>
  <c r="AV18" i="5"/>
  <c r="AW18" s="1"/>
  <c r="BA18" s="1"/>
  <c r="AV35"/>
  <c r="AW35" s="1"/>
  <c r="BA35" s="1"/>
  <c r="AV20"/>
  <c r="AW20" s="1"/>
  <c r="BA20" s="1"/>
  <c r="AV31"/>
  <c r="AW31" s="1"/>
  <c r="BA31" s="1"/>
  <c r="AV12"/>
  <c r="AW12" s="1"/>
  <c r="BA12" s="1"/>
  <c r="AR8"/>
  <c r="Q25" i="6" s="1"/>
  <c r="AH8" i="5"/>
  <c r="Q23" i="6" s="1"/>
  <c r="AC8" i="5"/>
  <c r="Q22" i="6" s="1"/>
  <c r="S8" i="5"/>
  <c r="Q19" i="6" s="1"/>
  <c r="X8" i="5"/>
  <c r="Q21" i="6" s="1"/>
  <c r="AM8" i="5"/>
  <c r="Q24" i="6" s="1"/>
  <c r="AB8" i="5"/>
  <c r="AX8"/>
  <c r="L8"/>
  <c r="Q17" i="6" s="1"/>
  <c r="AL8" i="1"/>
  <c r="AV8" s="1"/>
  <c r="AW8" s="1"/>
  <c r="BA8" s="1"/>
  <c r="AX11"/>
  <c r="AX15"/>
  <c r="AX19"/>
  <c r="AX33"/>
  <c r="AX10"/>
  <c r="AX14"/>
  <c r="AX18"/>
  <c r="AX22"/>
  <c r="AX32"/>
  <c r="AH8"/>
  <c r="L23" i="6" s="1"/>
  <c r="AX9" i="1"/>
  <c r="AX13"/>
  <c r="AX17"/>
  <c r="AX21"/>
  <c r="AX31"/>
  <c r="AX35"/>
  <c r="S8"/>
  <c r="L19" i="6" s="1"/>
  <c r="K10" i="1"/>
  <c r="AV10" s="1"/>
  <c r="AW10" s="1"/>
  <c r="BA10" s="1"/>
  <c r="K12"/>
  <c r="AV12" s="1"/>
  <c r="AW12" s="1"/>
  <c r="BA12" s="1"/>
  <c r="K14"/>
  <c r="AV14" s="1"/>
  <c r="AW14" s="1"/>
  <c r="BA14" s="1"/>
  <c r="K16"/>
  <c r="AV16" s="1"/>
  <c r="AW16" s="1"/>
  <c r="BA16" s="1"/>
  <c r="K18"/>
  <c r="AV18" s="1"/>
  <c r="AW18" s="1"/>
  <c r="BA18" s="1"/>
  <c r="K20"/>
  <c r="AV20" s="1"/>
  <c r="AW20" s="1"/>
  <c r="BA20" s="1"/>
  <c r="K22"/>
  <c r="AV22" s="1"/>
  <c r="AW22" s="1"/>
  <c r="BA22" s="1"/>
  <c r="K32"/>
  <c r="AV32" s="1"/>
  <c r="AW32" s="1"/>
  <c r="BA32" s="1"/>
  <c r="K34"/>
  <c r="AV34" s="1"/>
  <c r="AW34" s="1"/>
  <c r="BA34" s="1"/>
  <c r="AC8"/>
  <c r="L22" i="6" s="1"/>
  <c r="L8" i="1"/>
  <c r="L17" i="6" s="1"/>
  <c r="AX8" i="1"/>
  <c r="K9"/>
  <c r="K11"/>
  <c r="AV11" s="1"/>
  <c r="AW11" s="1"/>
  <c r="BA11" s="1"/>
  <c r="K13"/>
  <c r="AV13" s="1"/>
  <c r="AW13" s="1"/>
  <c r="BA13" s="1"/>
  <c r="K15"/>
  <c r="K17"/>
  <c r="AV17" s="1"/>
  <c r="AW17" s="1"/>
  <c r="BA17" s="1"/>
  <c r="K19"/>
  <c r="AV19" s="1"/>
  <c r="AW19" s="1"/>
  <c r="BA19" s="1"/>
  <c r="K21"/>
  <c r="AV21" s="1"/>
  <c r="AW21" s="1"/>
  <c r="BA21" s="1"/>
  <c r="AV31"/>
  <c r="AW31" s="1"/>
  <c r="BA31" s="1"/>
  <c r="K33"/>
  <c r="AV33" s="1"/>
  <c r="AW33" s="1"/>
  <c r="BA33" s="1"/>
  <c r="K35"/>
  <c r="AV35" s="1"/>
  <c r="AW35" s="1"/>
  <c r="BA35" s="1"/>
  <c r="R9"/>
  <c r="AV15" l="1"/>
  <c r="AW15" s="1"/>
  <c r="BA15" s="1"/>
  <c r="AV15" i="5"/>
  <c r="AW15" s="1"/>
  <c r="BA15" s="1"/>
  <c r="AV17"/>
  <c r="AW17" s="1"/>
  <c r="BA17" s="1"/>
  <c r="AV13"/>
  <c r="AW13" s="1"/>
  <c r="BA13" s="1"/>
  <c r="AV33"/>
  <c r="AW33" s="1"/>
  <c r="BA33" s="1"/>
  <c r="AV11"/>
  <c r="AW11" s="1"/>
  <c r="BA11" s="1"/>
  <c r="AV19"/>
  <c r="AW19" s="1"/>
  <c r="BA19" s="1"/>
  <c r="AV9"/>
  <c r="AW9" s="1"/>
  <c r="BA9" s="1"/>
  <c r="AV34"/>
  <c r="AW34" s="1"/>
  <c r="BA34" s="1"/>
  <c r="AV8"/>
  <c r="AW8" s="1"/>
  <c r="BA8" s="1"/>
  <c r="AV9" i="1"/>
  <c r="AW9" s="1"/>
  <c r="BA9" s="1"/>
  <c r="AQ35" i="4" l="1"/>
  <c r="J35"/>
  <c r="AQ34"/>
  <c r="J34"/>
  <c r="AX34" s="1"/>
  <c r="AQ33"/>
  <c r="J33"/>
  <c r="AT21"/>
  <c r="AK21"/>
  <c r="AL21" s="1"/>
  <c r="AF21"/>
  <c r="AG21" s="1"/>
  <c r="AA21"/>
  <c r="AB21" s="1"/>
  <c r="V21"/>
  <c r="W21" s="1"/>
  <c r="Q21"/>
  <c r="R21" s="1"/>
  <c r="AT20"/>
  <c r="AK20"/>
  <c r="AL20" s="1"/>
  <c r="AF20"/>
  <c r="AG20" s="1"/>
  <c r="AA20"/>
  <c r="V20"/>
  <c r="W20" s="1"/>
  <c r="Q20"/>
  <c r="R20" s="1"/>
  <c r="J20"/>
  <c r="AT19"/>
  <c r="AQ19"/>
  <c r="AK19"/>
  <c r="AL19" s="1"/>
  <c r="AF19"/>
  <c r="AG19" s="1"/>
  <c r="AA19"/>
  <c r="AB19" s="1"/>
  <c r="V19"/>
  <c r="W19" s="1"/>
  <c r="Q19"/>
  <c r="R19" s="1"/>
  <c r="J19"/>
  <c r="K19" s="1"/>
  <c r="AT18"/>
  <c r="AQ18"/>
  <c r="AK18"/>
  <c r="AL18" s="1"/>
  <c r="AF18"/>
  <c r="AG18" s="1"/>
  <c r="AA18"/>
  <c r="AB18" s="1"/>
  <c r="V18"/>
  <c r="Q18"/>
  <c r="R18" s="1"/>
  <c r="J18"/>
  <c r="K18" s="1"/>
  <c r="AT17"/>
  <c r="AQ17"/>
  <c r="AK17"/>
  <c r="AL17" s="1"/>
  <c r="AF17"/>
  <c r="AG17" s="1"/>
  <c r="AA17"/>
  <c r="AB17" s="1"/>
  <c r="V17"/>
  <c r="Q17"/>
  <c r="R17" s="1"/>
  <c r="J17"/>
  <c r="K17" s="1"/>
  <c r="AT16"/>
  <c r="AQ16"/>
  <c r="AK16"/>
  <c r="AL16" s="1"/>
  <c r="AF16"/>
  <c r="AG16" s="1"/>
  <c r="AA16"/>
  <c r="AB16" s="1"/>
  <c r="V16"/>
  <c r="W16" s="1"/>
  <c r="Q16"/>
  <c r="R16" s="1"/>
  <c r="J16"/>
  <c r="K16" s="1"/>
  <c r="AT15"/>
  <c r="AQ15"/>
  <c r="AK15"/>
  <c r="AL15" s="1"/>
  <c r="AF15"/>
  <c r="AG15" s="1"/>
  <c r="AA15"/>
  <c r="AB15" s="1"/>
  <c r="V15"/>
  <c r="W15" s="1"/>
  <c r="Q15"/>
  <c r="R15" s="1"/>
  <c r="J15"/>
  <c r="K15" s="1"/>
  <c r="AT14"/>
  <c r="AQ14"/>
  <c r="AK14"/>
  <c r="AL14" s="1"/>
  <c r="AF14"/>
  <c r="AG14" s="1"/>
  <c r="AA14"/>
  <c r="AB14" s="1"/>
  <c r="V14"/>
  <c r="W14" s="1"/>
  <c r="Q14"/>
  <c r="R14" s="1"/>
  <c r="J14"/>
  <c r="AT13"/>
  <c r="AQ13"/>
  <c r="AK13"/>
  <c r="AL13" s="1"/>
  <c r="AF13"/>
  <c r="AG13" s="1"/>
  <c r="AA13"/>
  <c r="AB13" s="1"/>
  <c r="V13"/>
  <c r="W13" s="1"/>
  <c r="Q13"/>
  <c r="R13" s="1"/>
  <c r="J13"/>
  <c r="AT12"/>
  <c r="AQ12"/>
  <c r="AK12"/>
  <c r="AL12" s="1"/>
  <c r="AF12"/>
  <c r="AG12" s="1"/>
  <c r="AA12"/>
  <c r="AB12" s="1"/>
  <c r="V12"/>
  <c r="W12" s="1"/>
  <c r="Q12"/>
  <c r="R12" s="1"/>
  <c r="J12"/>
  <c r="K12" s="1"/>
  <c r="AT11"/>
  <c r="AQ11"/>
  <c r="AK11"/>
  <c r="AL11" s="1"/>
  <c r="AF11"/>
  <c r="AG11" s="1"/>
  <c r="AA11"/>
  <c r="AB11" s="1"/>
  <c r="V11"/>
  <c r="W11" s="1"/>
  <c r="Q11"/>
  <c r="R11" s="1"/>
  <c r="J11"/>
  <c r="K11" s="1"/>
  <c r="AT10"/>
  <c r="AQ10"/>
  <c r="AK10"/>
  <c r="AL10" s="1"/>
  <c r="AF10"/>
  <c r="AG10" s="1"/>
  <c r="AA10"/>
  <c r="AB10" s="1"/>
  <c r="V10"/>
  <c r="W10" s="1"/>
  <c r="Q10"/>
  <c r="J10"/>
  <c r="K10" s="1"/>
  <c r="AT9"/>
  <c r="AQ9"/>
  <c r="AK9"/>
  <c r="AL9" s="1"/>
  <c r="AF9"/>
  <c r="AG9" s="1"/>
  <c r="AA9"/>
  <c r="AB9" s="1"/>
  <c r="V9"/>
  <c r="W9" s="1"/>
  <c r="Q9"/>
  <c r="R9" s="1"/>
  <c r="J9"/>
  <c r="AU8"/>
  <c r="AT8"/>
  <c r="AQ8"/>
  <c r="AK8"/>
  <c r="AF8"/>
  <c r="AA8"/>
  <c r="V8"/>
  <c r="W8" s="1"/>
  <c r="Q8"/>
  <c r="J8"/>
  <c r="K8" s="1"/>
  <c r="K33" l="1"/>
  <c r="AV33" s="1"/>
  <c r="AW33" s="1"/>
  <c r="BA33" s="1"/>
  <c r="AX33"/>
  <c r="K35"/>
  <c r="AV35" s="1"/>
  <c r="AW35" s="1"/>
  <c r="BA35" s="1"/>
  <c r="AX35"/>
  <c r="K20"/>
  <c r="AV20" s="1"/>
  <c r="AW20" s="1"/>
  <c r="BA20" s="1"/>
  <c r="AH8"/>
  <c r="AR8"/>
  <c r="AQ20"/>
  <c r="AG8"/>
  <c r="AX14"/>
  <c r="AX15"/>
  <c r="K34"/>
  <c r="AV34" s="1"/>
  <c r="AW34" s="1"/>
  <c r="BA34" s="1"/>
  <c r="AC8"/>
  <c r="AX17"/>
  <c r="AM8"/>
  <c r="W17"/>
  <c r="AV17" s="1"/>
  <c r="AW17" s="1"/>
  <c r="BA17" s="1"/>
  <c r="AX13"/>
  <c r="K13"/>
  <c r="AV13" s="1"/>
  <c r="AW13" s="1"/>
  <c r="BA13" s="1"/>
  <c r="AX21"/>
  <c r="AV12"/>
  <c r="AW12" s="1"/>
  <c r="BA12" s="1"/>
  <c r="AX19"/>
  <c r="AX8"/>
  <c r="AV11"/>
  <c r="AW11" s="1"/>
  <c r="BA11" s="1"/>
  <c r="AX9"/>
  <c r="AX10"/>
  <c r="AX20"/>
  <c r="S8"/>
  <c r="AX18"/>
  <c r="AV18"/>
  <c r="AW18" s="1"/>
  <c r="BA18" s="1"/>
  <c r="AV16"/>
  <c r="AW16" s="1"/>
  <c r="BA16" s="1"/>
  <c r="AV15"/>
  <c r="AW15" s="1"/>
  <c r="BA15" s="1"/>
  <c r="X8"/>
  <c r="AX11"/>
  <c r="W18"/>
  <c r="R10"/>
  <c r="AV10" s="1"/>
  <c r="AW10" s="1"/>
  <c r="BA10" s="1"/>
  <c r="AX16"/>
  <c r="AV19"/>
  <c r="AW19" s="1"/>
  <c r="BA19" s="1"/>
  <c r="AV21"/>
  <c r="AW21" s="1"/>
  <c r="BA21" s="1"/>
  <c r="AB8"/>
  <c r="K14"/>
  <c r="AV14" s="1"/>
  <c r="AW14" s="1"/>
  <c r="BA14" s="1"/>
  <c r="AB20"/>
  <c r="AX12"/>
  <c r="K9"/>
  <c r="AV9" s="1"/>
  <c r="AW9" s="1"/>
  <c r="BA9" s="1"/>
  <c r="R8"/>
  <c r="AL8"/>
  <c r="L8"/>
  <c r="AV8" l="1"/>
  <c r="AW8" s="1"/>
  <c r="BA8" s="1"/>
  <c r="BE8" i="5"/>
  <c r="G23" i="6" l="1"/>
  <c r="F26"/>
  <c r="R20"/>
  <c r="K20"/>
  <c r="M20"/>
  <c r="H20"/>
  <c r="R18"/>
  <c r="M18"/>
  <c r="K18"/>
  <c r="H18"/>
  <c r="S21" l="1"/>
  <c r="S20"/>
  <c r="S22"/>
  <c r="S19"/>
  <c r="S25"/>
  <c r="S23"/>
  <c r="S24"/>
  <c r="S17"/>
  <c r="S18"/>
  <c r="H26" l="1"/>
  <c r="G26"/>
  <c r="V17" l="1"/>
  <c r="V26"/>
  <c r="T18"/>
  <c r="T19"/>
  <c r="T20"/>
  <c r="T22"/>
  <c r="T25"/>
  <c r="T23"/>
  <c r="T17"/>
  <c r="U26"/>
  <c r="G22"/>
  <c r="G24"/>
  <c r="G25"/>
  <c r="G17"/>
  <c r="G21"/>
  <c r="P27" l="1"/>
  <c r="F27"/>
  <c r="T21"/>
  <c r="T24"/>
  <c r="U24"/>
  <c r="V24"/>
  <c r="U22"/>
  <c r="V21"/>
  <c r="U21"/>
  <c r="U23"/>
  <c r="U25"/>
  <c r="V25"/>
  <c r="G19"/>
  <c r="V23" l="1"/>
  <c r="U19"/>
  <c r="K27"/>
  <c r="V19"/>
  <c r="V22"/>
  <c r="U17"/>
  <c r="U27" l="1"/>
  <c r="W17"/>
</calcChain>
</file>

<file path=xl/sharedStrings.xml><?xml version="1.0" encoding="utf-8"?>
<sst xmlns="http://schemas.openxmlformats.org/spreadsheetml/2006/main" count="793" uniqueCount="245">
  <si>
    <t>S.L</t>
  </si>
  <si>
    <t>ROLL</t>
  </si>
  <si>
    <t>STUDENTS NAME</t>
  </si>
  <si>
    <t>TOTAL</t>
  </si>
  <si>
    <t>GP</t>
  </si>
  <si>
    <t>AVG-80%</t>
  </si>
  <si>
    <t>SCIENCE</t>
  </si>
  <si>
    <t>BGS</t>
  </si>
  <si>
    <t>RELIGION</t>
  </si>
  <si>
    <t>T-GP</t>
  </si>
  <si>
    <t>GPA</t>
  </si>
  <si>
    <t>MT</t>
  </si>
  <si>
    <t>ENGLISH 1ST</t>
  </si>
  <si>
    <t>ENGLISH 2ND</t>
  </si>
  <si>
    <t>MATHEMATICS</t>
  </si>
  <si>
    <t>POSITION</t>
  </si>
  <si>
    <t>GRAND-T</t>
  </si>
  <si>
    <t>CLASS</t>
  </si>
  <si>
    <t>TEACHER</t>
  </si>
  <si>
    <t>SECTION</t>
  </si>
  <si>
    <t>TOTAL STUDENTS</t>
  </si>
  <si>
    <t>MOBILE NO.</t>
  </si>
  <si>
    <t>WORKING 
DAYS</t>
  </si>
  <si>
    <t>BHVR</t>
  </si>
  <si>
    <t>FATHER NAME</t>
  </si>
  <si>
    <t>MOTHER NAME</t>
  </si>
  <si>
    <t>BANGLA-2ND</t>
  </si>
  <si>
    <t>BANGLA-1ST</t>
  </si>
  <si>
    <t>DRAWING</t>
  </si>
  <si>
    <t>JAHIDUL ISLAM</t>
  </si>
  <si>
    <t>FOUR</t>
  </si>
  <si>
    <t>GK</t>
  </si>
  <si>
    <t xml:space="preserve">Name Of The Student </t>
  </si>
  <si>
    <t>:</t>
  </si>
  <si>
    <t xml:space="preserve">Class </t>
  </si>
  <si>
    <t>Section</t>
  </si>
  <si>
    <t>Roll No.</t>
  </si>
  <si>
    <t xml:space="preserve">Father's Name </t>
  </si>
  <si>
    <t xml:space="preserve">Mother's Name </t>
  </si>
  <si>
    <t>Class Teacher</t>
  </si>
  <si>
    <t>Name of the Subjects</t>
  </si>
  <si>
    <t>CONTINUOUS
ASSESSMENT-20</t>
  </si>
  <si>
    <t>Final Result</t>
  </si>
  <si>
    <t>HIGHEST MARKS</t>
  </si>
  <si>
    <t>Average Marks of Continuous Assesment</t>
  </si>
  <si>
    <t>Average Marks of  Creative</t>
  </si>
  <si>
    <t>C.GPA</t>
  </si>
  <si>
    <t>CREATIVE</t>
  </si>
  <si>
    <t>BANGLA 1ST PAPER</t>
  </si>
  <si>
    <t>BANGLA 2ND PAPER</t>
  </si>
  <si>
    <t>ENGLISH 1ST PAPER</t>
  </si>
  <si>
    <t>ENGLISH 2ND PAPER</t>
  </si>
  <si>
    <t>G. MATHEMATICS</t>
  </si>
  <si>
    <t>G. TOTAL / TOTAL MARKS</t>
  </si>
  <si>
    <t>MEGHNA</t>
  </si>
  <si>
    <t>All Semester Total Marks</t>
  </si>
  <si>
    <t xml:space="preserve">1st </t>
  </si>
  <si>
    <t>2nd</t>
  </si>
  <si>
    <t>3rd</t>
  </si>
  <si>
    <t>Avg</t>
  </si>
  <si>
    <t>Rank</t>
  </si>
  <si>
    <t>Final Position of The Examination :</t>
  </si>
  <si>
    <t>01607-342580</t>
  </si>
  <si>
    <t>Aklima Akter Asha</t>
  </si>
  <si>
    <t>HEIGHEST
MARK</t>
  </si>
  <si>
    <r>
      <rPr>
        <sz val="13"/>
        <rFont val="Times New Roman"/>
        <family val="1"/>
      </rPr>
      <t>AMIN CADET RESIDENTIAL ACADEMY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1ST TERM ASSESSMENT TABULATION SHEET- 2024
 CLASS - FOUR (MEGHNA)</t>
    </r>
  </si>
  <si>
    <t>RASHED HOSSAIN</t>
  </si>
  <si>
    <t>01644-653254</t>
  </si>
  <si>
    <t>Co-Ordinator</t>
  </si>
  <si>
    <t>Principal</t>
  </si>
  <si>
    <t>Md. Afibur Rahman Adi</t>
  </si>
  <si>
    <t xml:space="preserve">Ariful Islam </t>
  </si>
  <si>
    <t xml:space="preserve">Sumona Khatun </t>
  </si>
  <si>
    <t>Md. Mubasshir Chowdhury</t>
  </si>
  <si>
    <t>Md. Ashraful Islam</t>
  </si>
  <si>
    <t>Mst. Moslema Parvin</t>
  </si>
  <si>
    <t>Jemy Akter Juthy</t>
  </si>
  <si>
    <t>Md. Zaynul Abedin Milon</t>
  </si>
  <si>
    <t>Mst. Fahima Begum</t>
  </si>
  <si>
    <t>Md. Mursalin</t>
  </si>
  <si>
    <t>Md. Bashir Uddin</t>
  </si>
  <si>
    <t>Mst. Nasrin Sultana</t>
  </si>
  <si>
    <t>Mst. Sabiha Akter</t>
  </si>
  <si>
    <t xml:space="preserve">Md. Shahadat Hossain </t>
  </si>
  <si>
    <t>Safiul Tahsin</t>
  </si>
  <si>
    <t>Md. Jahangir Alam</t>
  </si>
  <si>
    <t xml:space="preserve">Setu Akter </t>
  </si>
  <si>
    <t>Md. Rahmat Ullah Lichu</t>
  </si>
  <si>
    <t xml:space="preserve">Md. Tahidul Islam </t>
  </si>
  <si>
    <t xml:space="preserve">Mst Suriya Akter Rima </t>
  </si>
  <si>
    <t>Nur Taj</t>
  </si>
  <si>
    <t>Nor Amin</t>
  </si>
  <si>
    <t xml:space="preserve">Aklima Akter </t>
  </si>
  <si>
    <t>Nur Raiya</t>
  </si>
  <si>
    <t>Md. Nor Alam</t>
  </si>
  <si>
    <t>Ismatara</t>
  </si>
  <si>
    <t>Md. Mehedi Hasan Nirob</t>
  </si>
  <si>
    <t>Md. Mungur Alam</t>
  </si>
  <si>
    <t>Mst. Sabina Akter</t>
  </si>
  <si>
    <t xml:space="preserve">Abdullah Al Sani Rafi </t>
  </si>
  <si>
    <t xml:space="preserve">Md Atiar Rahman </t>
  </si>
  <si>
    <t xml:space="preserve">Mst. Rupaly Akter </t>
  </si>
  <si>
    <t xml:space="preserve">Shake Raj </t>
  </si>
  <si>
    <t xml:space="preserve">Md. Anowar Hossain </t>
  </si>
  <si>
    <t xml:space="preserve">Tania Akter </t>
  </si>
  <si>
    <t xml:space="preserve">Jubaida Tamanna </t>
  </si>
  <si>
    <t xml:space="preserve">Md. Saiful Islam </t>
  </si>
  <si>
    <t xml:space="preserve">Mukta Akter </t>
  </si>
  <si>
    <t xml:space="preserve">Mahmudullah Riad </t>
  </si>
  <si>
    <t xml:space="preserve">Md Mohiuddin Ahmed </t>
  </si>
  <si>
    <t xml:space="preserve">Mst. Kaniz Fatema </t>
  </si>
  <si>
    <t>Jobayer Sheikh Alvi</t>
  </si>
  <si>
    <t xml:space="preserve">Shariful Islam </t>
  </si>
  <si>
    <t xml:space="preserve">Mst. Rita Begum </t>
  </si>
  <si>
    <t xml:space="preserve">Md. Istiak Ahmed Shami </t>
  </si>
  <si>
    <t xml:space="preserve">Md. Julhash Uddin </t>
  </si>
  <si>
    <t xml:space="preserve">Mrs. Sharmin Akter </t>
  </si>
  <si>
    <t xml:space="preserve">Md. Abdur Razzak Raj </t>
  </si>
  <si>
    <t xml:space="preserve">Md. Raki Hasan </t>
  </si>
  <si>
    <t xml:space="preserve">Mst. Jannati Khatun </t>
  </si>
  <si>
    <t xml:space="preserve">Arijit Bormon </t>
  </si>
  <si>
    <t xml:space="preserve">Dabobrath Bormon </t>
  </si>
  <si>
    <t xml:space="preserve">Chandona Bormon </t>
  </si>
  <si>
    <t xml:space="preserve">Humaira Meherin </t>
  </si>
  <si>
    <t xml:space="preserve">Hafizur Rahman </t>
  </si>
  <si>
    <t xml:space="preserve">Tahmina Akter </t>
  </si>
  <si>
    <t xml:space="preserve">AL Shihad </t>
  </si>
  <si>
    <t xml:space="preserve">Md. Anisur Rahman </t>
  </si>
  <si>
    <t>Mst. Aysa Khatun</t>
  </si>
  <si>
    <t xml:space="preserve">M.Prionti Akon </t>
  </si>
  <si>
    <t xml:space="preserve">Md. Mashud Rana </t>
  </si>
  <si>
    <t>Mahfuza Zarin</t>
  </si>
  <si>
    <t xml:space="preserve">M. Ruponti Akon </t>
  </si>
  <si>
    <t xml:space="preserve">Maisha Islam Lam </t>
  </si>
  <si>
    <t xml:space="preserve">Md. Hameyat Uddin Talukder </t>
  </si>
  <si>
    <t xml:space="preserve">Sultana Nasira </t>
  </si>
  <si>
    <t xml:space="preserve">Md. Raian AL Tasin </t>
  </si>
  <si>
    <t xml:space="preserve">Md. Harun Ur Rashid </t>
  </si>
  <si>
    <t xml:space="preserve">Naharin Jannath </t>
  </si>
  <si>
    <t xml:space="preserve">Maliha Akter Mahi </t>
  </si>
  <si>
    <t xml:space="preserve">Md. Mehedi Hasan </t>
  </si>
  <si>
    <t xml:space="preserve">Mst. Helena Khatun </t>
  </si>
  <si>
    <t xml:space="preserve">Partho Sen </t>
  </si>
  <si>
    <t xml:space="preserve">Chandon Kumar Sarker </t>
  </si>
  <si>
    <t xml:space="preserve">Mukta Rani Sarker </t>
  </si>
  <si>
    <t xml:space="preserve">Taskin </t>
  </si>
  <si>
    <t xml:space="preserve">Md. Julhas Uddin </t>
  </si>
  <si>
    <t xml:space="preserve">Israt Jahan Toma </t>
  </si>
  <si>
    <t xml:space="preserve">Nusrat Jannati Tanisha </t>
  </si>
  <si>
    <t xml:space="preserve">Md. Haris Khan </t>
  </si>
  <si>
    <t xml:space="preserve">Panna </t>
  </si>
  <si>
    <t>Sayma Akter Taspia</t>
  </si>
  <si>
    <t xml:space="preserve">Md. Sahadat Mizi </t>
  </si>
  <si>
    <t>Ayasha Begum</t>
  </si>
  <si>
    <t>Bushra Afrin</t>
  </si>
  <si>
    <t>Md. Monsur Ali</t>
  </si>
  <si>
    <t>Mst. Ranjina</t>
  </si>
  <si>
    <t xml:space="preserve">Zayeem Bin Zahid </t>
  </si>
  <si>
    <t>Mohammad Jahidur Rahman</t>
  </si>
  <si>
    <t xml:space="preserve">Marufa Yesmin </t>
  </si>
  <si>
    <t xml:space="preserve">Ridhoyan Ahmed Arju </t>
  </si>
  <si>
    <t>Md. Akter Miah</t>
  </si>
  <si>
    <t>Rosun Ara Begum</t>
  </si>
  <si>
    <t xml:space="preserve">Siddhartha Raj Bongshi </t>
  </si>
  <si>
    <t xml:space="preserve">Sri Susil Raj Bongshi </t>
  </si>
  <si>
    <t xml:space="preserve">Sri Parboti Rani </t>
  </si>
  <si>
    <t>Md. Ayman</t>
  </si>
  <si>
    <t>Md. Polash</t>
  </si>
  <si>
    <t xml:space="preserve">Mst. Roksana </t>
  </si>
  <si>
    <t xml:space="preserve">Rafian Ahamed </t>
  </si>
  <si>
    <t xml:space="preserve">Tofayel Ahmed </t>
  </si>
  <si>
    <t xml:space="preserve">Masuma Akter </t>
  </si>
  <si>
    <t xml:space="preserve">Mahim Muntasin Khan </t>
  </si>
  <si>
    <t xml:space="preserve">Md. Moshiur Rahman </t>
  </si>
  <si>
    <t>Fatema Akter Pinki</t>
  </si>
  <si>
    <t xml:space="preserve">Ziana Tanvi </t>
  </si>
  <si>
    <t xml:space="preserve">Masud </t>
  </si>
  <si>
    <t xml:space="preserve">Ruma Akter </t>
  </si>
  <si>
    <t xml:space="preserve">Jannat </t>
  </si>
  <si>
    <t xml:space="preserve">Ibrahim </t>
  </si>
  <si>
    <t xml:space="preserve">Rakhi Aktar </t>
  </si>
  <si>
    <t xml:space="preserve">Md. Sehab </t>
  </si>
  <si>
    <t xml:space="preserve">Mohammad Serajul Islam </t>
  </si>
  <si>
    <t xml:space="preserve">Mst. Tania Islam </t>
  </si>
  <si>
    <t>Al Nahian</t>
  </si>
  <si>
    <t xml:space="preserve">Md Obydur Rahaman </t>
  </si>
  <si>
    <t xml:space="preserve">Suma Akter </t>
  </si>
  <si>
    <t xml:space="preserve">Mst. Humaira Akter </t>
  </si>
  <si>
    <t xml:space="preserve">Md. Aktaruzzaman </t>
  </si>
  <si>
    <t xml:space="preserve">Hafsa Khatun </t>
  </si>
  <si>
    <t xml:space="preserve">Hanzala Rahman Tasin </t>
  </si>
  <si>
    <t xml:space="preserve">Md. Habibur Rahman </t>
  </si>
  <si>
    <t xml:space="preserve">Mst. Shayma Akter </t>
  </si>
  <si>
    <t xml:space="preserve">Borsha Biswas </t>
  </si>
  <si>
    <t xml:space="preserve">Sipul Kumar Biswas </t>
  </si>
  <si>
    <t xml:space="preserve">Krisna Biswas </t>
  </si>
  <si>
    <t xml:space="preserve">Mukto Sharma </t>
  </si>
  <si>
    <t xml:space="preserve">Molin Chandro Sarma </t>
  </si>
  <si>
    <t xml:space="preserve">Joymoni Rani Ray </t>
  </si>
  <si>
    <t xml:space="preserve">Abu Bin Umme Hasnath </t>
  </si>
  <si>
    <t xml:space="preserve">Abdur Rahman Shohel </t>
  </si>
  <si>
    <t xml:space="preserve">Alija </t>
  </si>
  <si>
    <t xml:space="preserve">Md. Tahsin Alam Sami </t>
  </si>
  <si>
    <t xml:space="preserve">Md. Firoz Alam </t>
  </si>
  <si>
    <t xml:space="preserve">Rehana Begum </t>
  </si>
  <si>
    <t xml:space="preserve">Farjana Akter Sadia </t>
  </si>
  <si>
    <t>Sayeed Mir</t>
  </si>
  <si>
    <t>Shirin Akter</t>
  </si>
  <si>
    <t>Md. Yousuf</t>
  </si>
  <si>
    <t xml:space="preserve">Barek Hossain </t>
  </si>
  <si>
    <t xml:space="preserve">Sokena Begum </t>
  </si>
  <si>
    <t xml:space="preserve">Ayesha Siddika </t>
  </si>
  <si>
    <t xml:space="preserve">Md. Salim </t>
  </si>
  <si>
    <t xml:space="preserve">Lipi Akter </t>
  </si>
  <si>
    <t xml:space="preserve">Ikra Moni </t>
  </si>
  <si>
    <t>Md. Rajib</t>
  </si>
  <si>
    <t>Mst. Taslima</t>
  </si>
  <si>
    <t>Oishi Akter</t>
  </si>
  <si>
    <t>Uzzal Hosen Rana</t>
  </si>
  <si>
    <t>Rimo Akter</t>
  </si>
  <si>
    <t>Md. Fardin Hosen</t>
  </si>
  <si>
    <t>Mubasser Rahman</t>
  </si>
  <si>
    <t>Joly Khanom</t>
  </si>
  <si>
    <t>Jannaty Akter Fatema</t>
  </si>
  <si>
    <t xml:space="preserve">Sabbir Ahmed </t>
  </si>
  <si>
    <t>Kakon Ahmed</t>
  </si>
  <si>
    <t>Torikul Islam</t>
  </si>
  <si>
    <t>Md. Bablu Akanda</t>
  </si>
  <si>
    <t>Beauty Khatun</t>
  </si>
  <si>
    <t>Jubayed Sanaf</t>
  </si>
  <si>
    <t>Md. Shahin Hossain</t>
  </si>
  <si>
    <t>Jannatul Islam</t>
  </si>
  <si>
    <t>Maruf Hossen</t>
  </si>
  <si>
    <t>Umme Habiba</t>
  </si>
  <si>
    <t>Jamiatul Fatiha</t>
  </si>
  <si>
    <t>Sarbon</t>
  </si>
  <si>
    <t>Nadim Hayder</t>
  </si>
  <si>
    <r>
      <rPr>
        <sz val="16"/>
        <rFont val="Times New Roman"/>
        <family val="1"/>
      </rPr>
      <t>AMIN CADET RESIDENTIAL ACADEMY</t>
    </r>
    <r>
      <rPr>
        <sz val="16"/>
        <rFont val="Algerian"/>
        <family val="5"/>
      </rPr>
      <t xml:space="preserve"> 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1ST SEMESTER TABULATION SHEET- 2025
 CLASS - FOUR (MEGHNA &amp; SHURMA)</t>
    </r>
  </si>
  <si>
    <r>
      <rPr>
        <sz val="16"/>
        <rFont val="Times New Roman"/>
        <family val="1"/>
      </rPr>
      <t>AMIN CADET RESIDENTIAL ACADEMY</t>
    </r>
    <r>
      <rPr>
        <sz val="16"/>
        <rFont val="Algerian"/>
        <family val="5"/>
      </rPr>
      <t xml:space="preserve"> 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3RD SEMESTER TABULATION SHEET- 2025
 CLASS - FOUR (MEGHNA &amp; SHURMA)</t>
    </r>
  </si>
  <si>
    <t>RASHED HOSSAIN &amp; IFTEKHAR AHMAD</t>
  </si>
  <si>
    <t>MEGHNA &amp; SHURMA</t>
  </si>
  <si>
    <r>
      <t>1</t>
    </r>
    <r>
      <rPr>
        <b/>
        <vertAlign val="superscript"/>
        <sz val="12"/>
        <color theme="1"/>
        <rFont val="Cambria"/>
        <family val="1"/>
        <scheme val="major"/>
      </rPr>
      <t>st</t>
    </r>
    <r>
      <rPr>
        <b/>
        <sz val="12"/>
        <color theme="1"/>
        <rFont val="Cambria"/>
        <family val="1"/>
        <scheme val="major"/>
      </rPr>
      <t xml:space="preserve"> Term Exam</t>
    </r>
  </si>
  <si>
    <r>
      <t>2</t>
    </r>
    <r>
      <rPr>
        <b/>
        <vertAlign val="superscript"/>
        <sz val="12"/>
        <color theme="1"/>
        <rFont val="Cambria"/>
        <family val="1"/>
        <scheme val="major"/>
      </rPr>
      <t xml:space="preserve">nd </t>
    </r>
    <r>
      <rPr>
        <b/>
        <sz val="12"/>
        <color theme="1"/>
        <rFont val="Cambria"/>
        <family val="1"/>
        <scheme val="major"/>
      </rPr>
      <t>Term Exam</t>
    </r>
  </si>
  <si>
    <r>
      <t>3</t>
    </r>
    <r>
      <rPr>
        <b/>
        <vertAlign val="superscript"/>
        <sz val="12"/>
        <color theme="1"/>
        <rFont val="Cambria"/>
        <family val="1"/>
        <scheme val="major"/>
      </rPr>
      <t xml:space="preserve">rd </t>
    </r>
    <r>
      <rPr>
        <b/>
        <sz val="12"/>
        <color theme="1"/>
        <rFont val="Cambria"/>
        <family val="1"/>
        <scheme val="major"/>
      </rPr>
      <t>Term Exam</t>
    </r>
  </si>
  <si>
    <r>
      <rPr>
        <b/>
        <sz val="22"/>
        <color theme="1"/>
        <rFont val="Cambria"/>
        <family val="1"/>
        <scheme val="major"/>
      </rPr>
      <t xml:space="preserve">AMIN CADET RESIDENTIAL ACADEMY </t>
    </r>
    <r>
      <rPr>
        <b/>
        <sz val="11"/>
        <color theme="1"/>
        <rFont val="Cambria"/>
        <family val="1"/>
        <scheme val="major"/>
      </rPr>
      <t xml:space="preserve">
</t>
    </r>
    <r>
      <rPr>
        <sz val="11"/>
        <color theme="1"/>
        <rFont val="Cambria"/>
        <family val="1"/>
        <scheme val="major"/>
      </rPr>
      <t>Amin Model Town, Savar Cantonment, Ashulia, Savar, Dhaka-1344.</t>
    </r>
    <r>
      <rPr>
        <b/>
        <sz val="11"/>
        <color theme="1"/>
        <rFont val="Cambria"/>
        <family val="1"/>
        <scheme val="major"/>
      </rPr>
      <t xml:space="preserve">
</t>
    </r>
    <r>
      <rPr>
        <b/>
        <sz val="14"/>
        <color theme="1"/>
        <rFont val="Cambria"/>
        <family val="1"/>
        <scheme val="major"/>
      </rPr>
      <t>Annual Examination Result -2025</t>
    </r>
    <r>
      <rPr>
        <b/>
        <sz val="11"/>
        <color theme="1"/>
        <rFont val="Cambria"/>
        <family val="1"/>
        <scheme val="major"/>
      </rPr>
      <t xml:space="preserve">
</t>
    </r>
  </si>
</sst>
</file>

<file path=xl/styles.xml><?xml version="1.0" encoding="utf-8"?>
<styleSheet xmlns="http://schemas.openxmlformats.org/spreadsheetml/2006/main">
  <numFmts count="2">
    <numFmt numFmtId="164" formatCode="0.0"/>
    <numFmt numFmtId="165" formatCode="00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name val="Zilla Slab SemiBold"/>
    </font>
    <font>
      <sz val="11"/>
      <name val="Times New Roman"/>
      <family val="1"/>
    </font>
    <font>
      <sz val="15"/>
      <name val="Zilla Slab SemiBold"/>
      <family val="1"/>
    </font>
    <font>
      <sz val="10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6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sz val="12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3"/>
      <name val="Times New Roman"/>
      <family val="1"/>
    </font>
    <font>
      <sz val="13"/>
      <name val="Algerian"/>
      <family val="5"/>
    </font>
    <font>
      <sz val="10"/>
      <name val="Zilla Slab SemiBold"/>
    </font>
    <font>
      <sz val="10"/>
      <color theme="5" tint="-0.249977111117893"/>
      <name val="Cambria"/>
      <family val="1"/>
      <scheme val="major"/>
    </font>
    <font>
      <sz val="10"/>
      <color theme="1"/>
      <name val="Cambria"/>
      <family val="1"/>
      <scheme val="major"/>
    </font>
    <font>
      <sz val="7"/>
      <color theme="1"/>
      <name val="Times New Roman"/>
      <family val="1"/>
    </font>
    <font>
      <sz val="8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1"/>
      <name val="Cambria"/>
      <family val="1"/>
      <scheme val="major"/>
    </font>
    <font>
      <sz val="7"/>
      <color theme="1"/>
      <name val="Calibri"/>
      <family val="2"/>
      <scheme val="minor"/>
    </font>
    <font>
      <sz val="15"/>
      <color theme="5" tint="-0.249977111117893"/>
      <name val="Zilla Slab SemiBold"/>
    </font>
    <font>
      <sz val="8"/>
      <color theme="1"/>
      <name val="Cambria"/>
      <family val="1"/>
      <scheme val="major"/>
    </font>
    <font>
      <b/>
      <sz val="7"/>
      <color theme="1"/>
      <name val="Cambria"/>
      <family val="1"/>
      <scheme val="major"/>
    </font>
    <font>
      <b/>
      <sz val="7"/>
      <color theme="1"/>
      <name val="Calibri"/>
      <family val="2"/>
      <scheme val="minor"/>
    </font>
    <font>
      <b/>
      <sz val="8"/>
      <color theme="1"/>
      <name val="Times New Roman"/>
      <family val="1"/>
    </font>
    <font>
      <sz val="8"/>
      <name val="Times New Roman"/>
      <family val="1"/>
    </font>
    <font>
      <b/>
      <sz val="6"/>
      <color theme="1"/>
      <name val="Times New Roman"/>
      <family val="1"/>
    </font>
    <font>
      <b/>
      <sz val="9"/>
      <name val="Cambria"/>
      <family val="1"/>
      <scheme val="maj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sz val="10"/>
      <name val="Cambria"/>
      <family val="1"/>
      <scheme val="major"/>
    </font>
    <font>
      <sz val="16"/>
      <name val="Times New Roman"/>
      <family val="1"/>
    </font>
    <font>
      <sz val="16"/>
      <name val="Algerian"/>
      <family val="5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vertAlign val="superscript"/>
      <sz val="12"/>
      <color theme="1"/>
      <name val="Cambria"/>
      <family val="1"/>
      <scheme val="major"/>
    </font>
    <font>
      <u/>
      <sz val="12"/>
      <color theme="1"/>
      <name val="Cambria"/>
      <family val="1"/>
      <scheme val="major"/>
    </font>
    <font>
      <b/>
      <sz val="22"/>
      <color theme="1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8">
    <xf numFmtId="0" fontId="0" fillId="0" borderId="0" xfId="0"/>
    <xf numFmtId="0" fontId="6" fillId="0" borderId="0" xfId="0" applyFont="1"/>
    <xf numFmtId="0" fontId="2" fillId="0" borderId="0" xfId="0" applyFont="1" applyAlignment="1">
      <alignment vertical="top" wrapText="1"/>
    </xf>
    <xf numFmtId="0" fontId="2" fillId="0" borderId="12" xfId="0" applyFont="1" applyBorder="1" applyAlignment="1">
      <alignment vertical="top" wrapText="1"/>
    </xf>
    <xf numFmtId="0" fontId="7" fillId="0" borderId="0" xfId="0" applyFont="1"/>
    <xf numFmtId="0" fontId="9" fillId="0" borderId="0" xfId="0" applyFont="1"/>
    <xf numFmtId="0" fontId="3" fillId="0" borderId="0" xfId="0" applyFont="1"/>
    <xf numFmtId="0" fontId="11" fillId="2" borderId="17" xfId="0" applyFont="1" applyFill="1" applyBorder="1" applyAlignment="1">
      <alignment horizontal="left" vertical="center"/>
    </xf>
    <xf numFmtId="0" fontId="0" fillId="2" borderId="16" xfId="0" applyFill="1" applyBorder="1"/>
    <xf numFmtId="0" fontId="11" fillId="2" borderId="19" xfId="0" applyFont="1" applyFill="1" applyBorder="1" applyAlignment="1">
      <alignment horizontal="left" vertical="top"/>
    </xf>
    <xf numFmtId="0" fontId="0" fillId="2" borderId="20" xfId="0" applyFill="1" applyBorder="1"/>
    <xf numFmtId="0" fontId="11" fillId="2" borderId="19" xfId="0" applyFont="1" applyFill="1" applyBorder="1" applyAlignment="1">
      <alignment vertical="top"/>
    </xf>
    <xf numFmtId="0" fontId="0" fillId="2" borderId="0" xfId="0" applyFill="1"/>
    <xf numFmtId="0" fontId="10" fillId="2" borderId="16" xfId="0" applyFont="1" applyFill="1" applyBorder="1" applyAlignment="1">
      <alignment vertical="center"/>
    </xf>
    <xf numFmtId="0" fontId="18" fillId="2" borderId="1" xfId="0" applyFont="1" applyFill="1" applyBorder="1" applyAlignment="1">
      <alignment horizontal="center" vertical="top" wrapText="1"/>
    </xf>
    <xf numFmtId="0" fontId="18" fillId="2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vertical="top" wrapText="1"/>
    </xf>
    <xf numFmtId="0" fontId="19" fillId="0" borderId="0" xfId="0" applyFont="1"/>
    <xf numFmtId="0" fontId="18" fillId="2" borderId="1" xfId="0" applyFont="1" applyFill="1" applyBorder="1" applyAlignment="1">
      <alignment vertical="center" wrapText="1"/>
    </xf>
    <xf numFmtId="0" fontId="20" fillId="2" borderId="1" xfId="0" applyFont="1" applyFill="1" applyBorder="1" applyAlignment="1">
      <alignment horizontal="center" vertical="center" wrapText="1"/>
    </xf>
    <xf numFmtId="0" fontId="20" fillId="2" borderId="3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vertical="center" wrapText="1"/>
    </xf>
    <xf numFmtId="0" fontId="25" fillId="2" borderId="13" xfId="0" applyFont="1" applyFill="1" applyBorder="1" applyAlignment="1">
      <alignment vertical="center" wrapText="1"/>
    </xf>
    <xf numFmtId="0" fontId="25" fillId="2" borderId="7" xfId="0" applyFont="1" applyFill="1" applyBorder="1" applyAlignment="1">
      <alignment vertical="center" wrapText="1"/>
    </xf>
    <xf numFmtId="0" fontId="2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2" fillId="0" borderId="11" xfId="0" applyFont="1" applyBorder="1" applyAlignment="1">
      <alignment vertical="top" wrapText="1"/>
    </xf>
    <xf numFmtId="0" fontId="22" fillId="2" borderId="3" xfId="0" applyFont="1" applyFill="1" applyBorder="1" applyAlignment="1">
      <alignment horizontal="center" vertical="center" wrapText="1"/>
    </xf>
    <xf numFmtId="0" fontId="22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vertical="center" wrapText="1"/>
    </xf>
    <xf numFmtId="0" fontId="8" fillId="0" borderId="0" xfId="0" applyFont="1"/>
    <xf numFmtId="1" fontId="33" fillId="2" borderId="1" xfId="0" applyNumberFormat="1" applyFont="1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/>
    </xf>
    <xf numFmtId="1" fontId="35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/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6" fillId="4" borderId="1" xfId="0" applyFont="1" applyFill="1" applyBorder="1" applyAlignment="1">
      <alignment horizontal="center" vertical="center"/>
    </xf>
    <xf numFmtId="0" fontId="6" fillId="4" borderId="0" xfId="0" applyFont="1" applyFill="1"/>
    <xf numFmtId="0" fontId="33" fillId="2" borderId="1" xfId="0" applyFont="1" applyFill="1" applyBorder="1" applyAlignment="1">
      <alignment horizontal="left" vertical="center"/>
    </xf>
    <xf numFmtId="0" fontId="33" fillId="4" borderId="1" xfId="0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shrinkToFit="1"/>
    </xf>
    <xf numFmtId="0" fontId="38" fillId="2" borderId="1" xfId="0" applyFont="1" applyFill="1" applyBorder="1" applyAlignment="1">
      <alignment horizontal="center" shrinkToFit="1"/>
    </xf>
    <xf numFmtId="1" fontId="38" fillId="2" borderId="1" xfId="0" applyNumberFormat="1" applyFont="1" applyFill="1" applyBorder="1" applyAlignment="1">
      <alignment horizontal="center" shrinkToFit="1"/>
    </xf>
    <xf numFmtId="1" fontId="38" fillId="2" borderId="1" xfId="0" applyNumberFormat="1" applyFont="1" applyFill="1" applyBorder="1" applyAlignment="1">
      <alignment horizontal="center" vertical="center" shrinkToFit="1"/>
    </xf>
    <xf numFmtId="2" fontId="38" fillId="2" borderId="1" xfId="1" applyNumberFormat="1" applyFont="1" applyFill="1" applyBorder="1" applyAlignment="1">
      <alignment horizontal="center" shrinkToFit="1"/>
    </xf>
    <xf numFmtId="165" fontId="38" fillId="2" borderId="1" xfId="0" applyNumberFormat="1" applyFont="1" applyFill="1" applyBorder="1" applyAlignment="1">
      <alignment horizontal="center" vertical="center" shrinkToFit="1"/>
    </xf>
    <xf numFmtId="2" fontId="38" fillId="2" borderId="1" xfId="0" applyNumberFormat="1" applyFont="1" applyFill="1" applyBorder="1" applyAlignment="1">
      <alignment horizontal="center" vertical="center" shrinkToFit="1"/>
    </xf>
    <xf numFmtId="2" fontId="38" fillId="2" borderId="1" xfId="1" applyNumberFormat="1" applyFont="1" applyFill="1" applyBorder="1" applyAlignment="1">
      <alignment horizontal="center" vertical="center" shrinkToFit="1"/>
    </xf>
    <xf numFmtId="165" fontId="38" fillId="4" borderId="1" xfId="0" applyNumberFormat="1" applyFont="1" applyFill="1" applyBorder="1" applyAlignment="1">
      <alignment horizontal="center" vertical="center" shrinkToFit="1"/>
    </xf>
    <xf numFmtId="2" fontId="38" fillId="4" borderId="1" xfId="0" applyNumberFormat="1" applyFont="1" applyFill="1" applyBorder="1" applyAlignment="1">
      <alignment horizontal="center" vertical="center" shrinkToFit="1"/>
    </xf>
    <xf numFmtId="0" fontId="38" fillId="4" borderId="1" xfId="0" applyFont="1" applyFill="1" applyBorder="1" applyAlignment="1">
      <alignment horizontal="center" vertical="center" shrinkToFit="1"/>
    </xf>
    <xf numFmtId="2" fontId="38" fillId="4" borderId="1" xfId="1" applyNumberFormat="1" applyFont="1" applyFill="1" applyBorder="1" applyAlignment="1">
      <alignment horizontal="center" vertical="center" shrinkToFit="1"/>
    </xf>
    <xf numFmtId="1" fontId="38" fillId="4" borderId="1" xfId="0" applyNumberFormat="1" applyFont="1" applyFill="1" applyBorder="1" applyAlignment="1">
      <alignment horizontal="center" vertical="center" shrinkToFit="1"/>
    </xf>
    <xf numFmtId="0" fontId="20" fillId="2" borderId="2" xfId="0" applyFont="1" applyFill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38" fillId="2" borderId="2" xfId="0" applyFont="1" applyFill="1" applyBorder="1" applyAlignment="1">
      <alignment horizontal="center" vertical="center" shrinkToFit="1"/>
    </xf>
    <xf numFmtId="0" fontId="38" fillId="2" borderId="2" xfId="0" applyFont="1" applyFill="1" applyBorder="1" applyAlignment="1">
      <alignment horizontal="center" shrinkToFit="1"/>
    </xf>
    <xf numFmtId="0" fontId="26" fillId="2" borderId="2" xfId="0" applyFont="1" applyFill="1" applyBorder="1" applyAlignment="1">
      <alignment horizontal="center" vertical="center"/>
    </xf>
    <xf numFmtId="0" fontId="20" fillId="2" borderId="22" xfId="0" applyFont="1" applyFill="1" applyBorder="1" applyAlignment="1">
      <alignment horizontal="center"/>
    </xf>
    <xf numFmtId="0" fontId="33" fillId="0" borderId="22" xfId="0" applyFont="1" applyBorder="1" applyAlignment="1">
      <alignment horizontal="center" vertical="center"/>
    </xf>
    <xf numFmtId="0" fontId="33" fillId="0" borderId="22" xfId="0" applyFont="1" applyBorder="1" applyAlignment="1">
      <alignment horizontal="left" vertical="center"/>
    </xf>
    <xf numFmtId="0" fontId="26" fillId="2" borderId="22" xfId="0" applyFont="1" applyFill="1" applyBorder="1" applyAlignment="1">
      <alignment horizontal="center" vertical="center"/>
    </xf>
    <xf numFmtId="0" fontId="6" fillId="0" borderId="23" xfId="0" applyFont="1" applyBorder="1"/>
    <xf numFmtId="0" fontId="20" fillId="4" borderId="1" xfId="0" applyFont="1" applyFill="1" applyBorder="1" applyAlignment="1">
      <alignment horizontal="center"/>
    </xf>
    <xf numFmtId="0" fontId="33" fillId="4" borderId="1" xfId="0" applyFont="1" applyFill="1" applyBorder="1" applyAlignment="1">
      <alignment horizontal="left" vertical="center"/>
    </xf>
    <xf numFmtId="0" fontId="38" fillId="4" borderId="1" xfId="0" applyFont="1" applyFill="1" applyBorder="1" applyAlignment="1">
      <alignment horizontal="center" shrinkToFit="1"/>
    </xf>
    <xf numFmtId="1" fontId="38" fillId="4" borderId="1" xfId="0" applyNumberFormat="1" applyFont="1" applyFill="1" applyBorder="1" applyAlignment="1">
      <alignment horizontal="center" shrinkToFit="1"/>
    </xf>
    <xf numFmtId="2" fontId="38" fillId="4" borderId="1" xfId="1" applyNumberFormat="1" applyFont="1" applyFill="1" applyBorder="1" applyAlignment="1">
      <alignment horizontal="center" shrinkToFit="1"/>
    </xf>
    <xf numFmtId="1" fontId="38" fillId="2" borderId="2" xfId="0" applyNumberFormat="1" applyFont="1" applyFill="1" applyBorder="1" applyAlignment="1">
      <alignment horizontal="center" shrinkToFit="1"/>
    </xf>
    <xf numFmtId="1" fontId="38" fillId="2" borderId="2" xfId="0" applyNumberFormat="1" applyFont="1" applyFill="1" applyBorder="1" applyAlignment="1">
      <alignment horizontal="center" vertical="center" shrinkToFit="1"/>
    </xf>
    <xf numFmtId="2" fontId="38" fillId="2" borderId="2" xfId="1" applyNumberFormat="1" applyFont="1" applyFill="1" applyBorder="1" applyAlignment="1">
      <alignment horizontal="center" shrinkToFit="1"/>
    </xf>
    <xf numFmtId="165" fontId="38" fillId="2" borderId="22" xfId="0" applyNumberFormat="1" applyFont="1" applyFill="1" applyBorder="1" applyAlignment="1">
      <alignment horizontal="center" vertical="center" shrinkToFit="1"/>
    </xf>
    <xf numFmtId="2" fontId="38" fillId="2" borderId="22" xfId="0" applyNumberFormat="1" applyFont="1" applyFill="1" applyBorder="1" applyAlignment="1">
      <alignment horizontal="center" vertical="center" shrinkToFit="1"/>
    </xf>
    <xf numFmtId="0" fontId="38" fillId="2" borderId="22" xfId="0" applyFont="1" applyFill="1" applyBorder="1" applyAlignment="1">
      <alignment horizontal="center" vertical="center" shrinkToFit="1"/>
    </xf>
    <xf numFmtId="2" fontId="38" fillId="2" borderId="22" xfId="1" applyNumberFormat="1" applyFont="1" applyFill="1" applyBorder="1" applyAlignment="1">
      <alignment horizontal="center" vertical="center" shrinkToFit="1"/>
    </xf>
    <xf numFmtId="1" fontId="38" fillId="2" borderId="22" xfId="0" applyNumberFormat="1" applyFont="1" applyFill="1" applyBorder="1" applyAlignment="1">
      <alignment horizontal="center" vertical="center" shrinkToFit="1"/>
    </xf>
    <xf numFmtId="0" fontId="39" fillId="4" borderId="1" xfId="0" applyFont="1" applyFill="1" applyBorder="1" applyAlignment="1">
      <alignment horizontal="center" vertical="center" shrinkToFit="1"/>
    </xf>
    <xf numFmtId="0" fontId="39" fillId="4" borderId="1" xfId="0" applyFont="1" applyFill="1" applyBorder="1" applyAlignment="1">
      <alignment horizontal="center" shrinkToFit="1"/>
    </xf>
    <xf numFmtId="0" fontId="39" fillId="2" borderId="2" xfId="0" applyFont="1" applyFill="1" applyBorder="1" applyAlignment="1">
      <alignment horizontal="center" vertical="center" shrinkToFit="1"/>
    </xf>
    <xf numFmtId="0" fontId="39" fillId="2" borderId="2" xfId="0" applyFont="1" applyFill="1" applyBorder="1" applyAlignment="1">
      <alignment horizontal="center" shrinkToFit="1"/>
    </xf>
    <xf numFmtId="165" fontId="39" fillId="4" borderId="1" xfId="0" applyNumberFormat="1" applyFont="1" applyFill="1" applyBorder="1" applyAlignment="1">
      <alignment horizontal="center"/>
    </xf>
    <xf numFmtId="2" fontId="39" fillId="4" borderId="1" xfId="0" applyNumberFormat="1" applyFont="1" applyFill="1" applyBorder="1" applyAlignment="1">
      <alignment horizontal="center"/>
    </xf>
    <xf numFmtId="165" fontId="39" fillId="4" borderId="1" xfId="0" applyNumberFormat="1" applyFont="1" applyFill="1" applyBorder="1" applyAlignment="1">
      <alignment horizontal="center" vertical="center"/>
    </xf>
    <xf numFmtId="0" fontId="39" fillId="4" borderId="1" xfId="0" applyFont="1" applyFill="1" applyBorder="1" applyAlignment="1">
      <alignment horizontal="center"/>
    </xf>
    <xf numFmtId="2" fontId="39" fillId="4" borderId="1" xfId="1" applyNumberFormat="1" applyFont="1" applyFill="1" applyBorder="1" applyAlignment="1">
      <alignment horizontal="center"/>
    </xf>
    <xf numFmtId="1" fontId="39" fillId="4" borderId="1" xfId="0" applyNumberFormat="1" applyFont="1" applyFill="1" applyBorder="1" applyAlignment="1">
      <alignment horizontal="center" vertical="center"/>
    </xf>
    <xf numFmtId="0" fontId="39" fillId="4" borderId="1" xfId="0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165" fontId="39" fillId="2" borderId="1" xfId="0" applyNumberFormat="1" applyFont="1" applyFill="1" applyBorder="1" applyAlignment="1">
      <alignment horizontal="center"/>
    </xf>
    <xf numFmtId="2" fontId="39" fillId="2" borderId="1" xfId="0" applyNumberFormat="1" applyFont="1" applyFill="1" applyBorder="1" applyAlignment="1">
      <alignment horizontal="center"/>
    </xf>
    <xf numFmtId="165" fontId="39" fillId="2" borderId="1" xfId="0" applyNumberFormat="1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center"/>
    </xf>
    <xf numFmtId="2" fontId="39" fillId="2" borderId="1" xfId="1" applyNumberFormat="1" applyFont="1" applyFill="1" applyBorder="1" applyAlignment="1">
      <alignment horizontal="center"/>
    </xf>
    <xf numFmtId="1" fontId="39" fillId="2" borderId="1" xfId="0" applyNumberFormat="1" applyFont="1" applyFill="1" applyBorder="1" applyAlignment="1">
      <alignment horizontal="center" vertical="center"/>
    </xf>
    <xf numFmtId="165" fontId="39" fillId="2" borderId="2" xfId="0" applyNumberFormat="1" applyFont="1" applyFill="1" applyBorder="1" applyAlignment="1">
      <alignment horizontal="center"/>
    </xf>
    <xf numFmtId="2" fontId="39" fillId="2" borderId="2" xfId="0" applyNumberFormat="1" applyFont="1" applyFill="1" applyBorder="1" applyAlignment="1">
      <alignment horizontal="center"/>
    </xf>
    <xf numFmtId="165" fontId="39" fillId="2" borderId="2" xfId="0" applyNumberFormat="1" applyFont="1" applyFill="1" applyBorder="1" applyAlignment="1">
      <alignment horizontal="center" vertical="center"/>
    </xf>
    <xf numFmtId="0" fontId="39" fillId="2" borderId="2" xfId="0" applyFont="1" applyFill="1" applyBorder="1" applyAlignment="1">
      <alignment horizontal="center"/>
    </xf>
    <xf numFmtId="2" fontId="39" fillId="2" borderId="2" xfId="1" applyNumberFormat="1" applyFont="1" applyFill="1" applyBorder="1" applyAlignment="1">
      <alignment horizontal="center"/>
    </xf>
    <xf numFmtId="1" fontId="39" fillId="2" borderId="2" xfId="0" applyNumberFormat="1" applyFont="1" applyFill="1" applyBorder="1" applyAlignment="1">
      <alignment horizontal="center" vertical="center"/>
    </xf>
    <xf numFmtId="0" fontId="39" fillId="2" borderId="2" xfId="0" applyFont="1" applyFill="1" applyBorder="1" applyAlignment="1">
      <alignment horizontal="center" vertical="center"/>
    </xf>
    <xf numFmtId="165" fontId="39" fillId="2" borderId="22" xfId="0" applyNumberFormat="1" applyFont="1" applyFill="1" applyBorder="1" applyAlignment="1">
      <alignment horizontal="center" vertical="center"/>
    </xf>
    <xf numFmtId="2" fontId="39" fillId="2" borderId="22" xfId="0" applyNumberFormat="1" applyFont="1" applyFill="1" applyBorder="1" applyAlignment="1">
      <alignment horizontal="center" vertical="center"/>
    </xf>
    <xf numFmtId="0" fontId="39" fillId="2" borderId="22" xfId="0" applyFont="1" applyFill="1" applyBorder="1" applyAlignment="1">
      <alignment horizontal="center" vertical="center"/>
    </xf>
    <xf numFmtId="2" fontId="39" fillId="2" borderId="22" xfId="1" applyNumberFormat="1" applyFont="1" applyFill="1" applyBorder="1" applyAlignment="1">
      <alignment horizontal="center" vertical="center"/>
    </xf>
    <xf numFmtId="1" fontId="39" fillId="2" borderId="22" xfId="0" applyNumberFormat="1" applyFont="1" applyFill="1" applyBorder="1" applyAlignment="1">
      <alignment horizontal="center" vertical="center"/>
    </xf>
    <xf numFmtId="2" fontId="39" fillId="2" borderId="1" xfId="0" applyNumberFormat="1" applyFont="1" applyFill="1" applyBorder="1" applyAlignment="1">
      <alignment horizontal="center" vertical="center"/>
    </xf>
    <xf numFmtId="2" fontId="39" fillId="2" borderId="1" xfId="1" applyNumberFormat="1" applyFont="1" applyFill="1" applyBorder="1" applyAlignment="1">
      <alignment horizontal="center" vertical="center"/>
    </xf>
    <xf numFmtId="2" fontId="39" fillId="4" borderId="1" xfId="0" applyNumberFormat="1" applyFont="1" applyFill="1" applyBorder="1" applyAlignment="1">
      <alignment horizontal="center" vertical="center"/>
    </xf>
    <xf numFmtId="2" fontId="39" fillId="4" borderId="1" xfId="1" applyNumberFormat="1" applyFont="1" applyFill="1" applyBorder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1" fontId="35" fillId="2" borderId="2" xfId="0" applyNumberFormat="1" applyFont="1" applyFill="1" applyBorder="1" applyAlignment="1">
      <alignment horizontal="center" vertical="center"/>
    </xf>
    <xf numFmtId="0" fontId="34" fillId="2" borderId="22" xfId="0" applyFont="1" applyFill="1" applyBorder="1" applyAlignment="1">
      <alignment horizontal="center" vertical="center"/>
    </xf>
    <xf numFmtId="1" fontId="35" fillId="2" borderId="22" xfId="0" applyNumberFormat="1" applyFont="1" applyFill="1" applyBorder="1" applyAlignment="1">
      <alignment horizontal="center" vertical="center"/>
    </xf>
    <xf numFmtId="165" fontId="40" fillId="2" borderId="1" xfId="0" applyNumberFormat="1" applyFont="1" applyFill="1" applyBorder="1" applyAlignment="1">
      <alignment horizontal="center" vertical="center"/>
    </xf>
    <xf numFmtId="165" fontId="40" fillId="2" borderId="1" xfId="0" applyNumberFormat="1" applyFont="1" applyFill="1" applyBorder="1" applyAlignment="1">
      <alignment horizontal="center"/>
    </xf>
    <xf numFmtId="2" fontId="40" fillId="2" borderId="1" xfId="0" applyNumberFormat="1" applyFont="1" applyFill="1" applyBorder="1" applyAlignment="1">
      <alignment horizontal="center"/>
    </xf>
    <xf numFmtId="0" fontId="40" fillId="2" borderId="1" xfId="0" applyFont="1" applyFill="1" applyBorder="1" applyAlignment="1">
      <alignment horizontal="center"/>
    </xf>
    <xf numFmtId="2" fontId="40" fillId="2" borderId="1" xfId="1" applyNumberFormat="1" applyFont="1" applyFill="1" applyBorder="1" applyAlignment="1">
      <alignment horizontal="center"/>
    </xf>
    <xf numFmtId="1" fontId="40" fillId="2" borderId="1" xfId="0" applyNumberFormat="1" applyFont="1" applyFill="1" applyBorder="1" applyAlignment="1">
      <alignment horizontal="center" vertical="center"/>
    </xf>
    <xf numFmtId="165" fontId="40" fillId="2" borderId="2" xfId="0" applyNumberFormat="1" applyFont="1" applyFill="1" applyBorder="1" applyAlignment="1">
      <alignment horizontal="center" vertical="center"/>
    </xf>
    <xf numFmtId="165" fontId="40" fillId="2" borderId="2" xfId="0" applyNumberFormat="1" applyFont="1" applyFill="1" applyBorder="1" applyAlignment="1">
      <alignment horizontal="center"/>
    </xf>
    <xf numFmtId="2" fontId="40" fillId="2" borderId="2" xfId="0" applyNumberFormat="1" applyFont="1" applyFill="1" applyBorder="1" applyAlignment="1">
      <alignment horizontal="center"/>
    </xf>
    <xf numFmtId="165" fontId="41" fillId="2" borderId="2" xfId="0" applyNumberFormat="1" applyFont="1" applyFill="1" applyBorder="1" applyAlignment="1">
      <alignment horizontal="center" vertical="center"/>
    </xf>
    <xf numFmtId="0" fontId="40" fillId="2" borderId="2" xfId="0" applyFont="1" applyFill="1" applyBorder="1" applyAlignment="1">
      <alignment horizontal="center"/>
    </xf>
    <xf numFmtId="2" fontId="40" fillId="2" borderId="2" xfId="1" applyNumberFormat="1" applyFont="1" applyFill="1" applyBorder="1" applyAlignment="1">
      <alignment horizontal="center"/>
    </xf>
    <xf numFmtId="1" fontId="40" fillId="2" borderId="2" xfId="0" applyNumberFormat="1" applyFont="1" applyFill="1" applyBorder="1" applyAlignment="1">
      <alignment horizontal="center" vertical="center"/>
    </xf>
    <xf numFmtId="165" fontId="40" fillId="2" borderId="22" xfId="0" applyNumberFormat="1" applyFont="1" applyFill="1" applyBorder="1" applyAlignment="1">
      <alignment horizontal="center" vertical="center"/>
    </xf>
    <xf numFmtId="2" fontId="40" fillId="2" borderId="22" xfId="0" applyNumberFormat="1" applyFont="1" applyFill="1" applyBorder="1" applyAlignment="1">
      <alignment horizontal="center" vertical="center"/>
    </xf>
    <xf numFmtId="0" fontId="40" fillId="2" borderId="22" xfId="0" applyFont="1" applyFill="1" applyBorder="1" applyAlignment="1">
      <alignment horizontal="center" vertical="center"/>
    </xf>
    <xf numFmtId="2" fontId="40" fillId="2" borderId="22" xfId="1" applyNumberFormat="1" applyFont="1" applyFill="1" applyBorder="1" applyAlignment="1">
      <alignment horizontal="center" vertical="center"/>
    </xf>
    <xf numFmtId="1" fontId="40" fillId="2" borderId="22" xfId="0" applyNumberFormat="1" applyFont="1" applyFill="1" applyBorder="1" applyAlignment="1">
      <alignment horizontal="center" vertical="center"/>
    </xf>
    <xf numFmtId="2" fontId="40" fillId="2" borderId="1" xfId="0" applyNumberFormat="1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/>
    </xf>
    <xf numFmtId="2" fontId="40" fillId="2" borderId="1" xfId="1" applyNumberFormat="1" applyFont="1" applyFill="1" applyBorder="1" applyAlignment="1">
      <alignment horizontal="center" vertical="center"/>
    </xf>
    <xf numFmtId="1" fontId="40" fillId="2" borderId="3" xfId="0" applyNumberFormat="1" applyFont="1" applyFill="1" applyBorder="1" applyAlignment="1">
      <alignment vertical="center"/>
    </xf>
    <xf numFmtId="0" fontId="3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left" vertical="center"/>
    </xf>
    <xf numFmtId="0" fontId="33" fillId="2" borderId="22" xfId="0" applyFont="1" applyFill="1" applyBorder="1" applyAlignment="1">
      <alignment horizontal="center" vertical="center"/>
    </xf>
    <xf numFmtId="0" fontId="33" fillId="2" borderId="22" xfId="0" applyFont="1" applyFill="1" applyBorder="1" applyAlignment="1">
      <alignment horizontal="left" vertical="center"/>
    </xf>
    <xf numFmtId="165" fontId="41" fillId="2" borderId="2" xfId="0" applyNumberFormat="1" applyFont="1" applyFill="1" applyBorder="1" applyAlignment="1">
      <alignment horizontal="center"/>
    </xf>
    <xf numFmtId="0" fontId="33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42" fillId="2" borderId="0" xfId="0" applyFont="1" applyFill="1"/>
    <xf numFmtId="0" fontId="33" fillId="2" borderId="2" xfId="0" applyFont="1" applyFill="1" applyBorder="1" applyAlignment="1">
      <alignment horizontal="center"/>
    </xf>
    <xf numFmtId="0" fontId="40" fillId="2" borderId="2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33" fillId="2" borderId="22" xfId="0" applyFont="1" applyFill="1" applyBorder="1" applyAlignment="1">
      <alignment horizontal="center"/>
    </xf>
    <xf numFmtId="0" fontId="19" fillId="2" borderId="22" xfId="0" applyFont="1" applyFill="1" applyBorder="1" applyAlignment="1">
      <alignment horizontal="center" vertical="center"/>
    </xf>
    <xf numFmtId="0" fontId="42" fillId="2" borderId="23" xfId="0" applyFont="1" applyFill="1" applyBorder="1"/>
    <xf numFmtId="0" fontId="35" fillId="2" borderId="0" xfId="0" applyFont="1" applyFill="1"/>
    <xf numFmtId="0" fontId="11" fillId="2" borderId="16" xfId="0" applyFont="1" applyFill="1" applyBorder="1" applyAlignment="1">
      <alignment vertical="center"/>
    </xf>
    <xf numFmtId="0" fontId="11" fillId="2" borderId="0" xfId="0" applyFont="1" applyFill="1" applyAlignment="1">
      <alignment vertical="center"/>
    </xf>
    <xf numFmtId="0" fontId="43" fillId="2" borderId="0" xfId="0" applyFont="1" applyFill="1" applyAlignment="1">
      <alignment vertical="center"/>
    </xf>
    <xf numFmtId="1" fontId="44" fillId="2" borderId="0" xfId="0" applyNumberFormat="1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3" fillId="2" borderId="16" xfId="0" applyFont="1" applyFill="1" applyBorder="1" applyAlignment="1">
      <alignment horizontal="center" vertical="top"/>
    </xf>
    <xf numFmtId="0" fontId="13" fillId="2" borderId="0" xfId="0" applyFont="1" applyFill="1" applyAlignment="1">
      <alignment horizontal="center" vertical="top"/>
    </xf>
    <xf numFmtId="0" fontId="46" fillId="0" borderId="0" xfId="0" applyFont="1" applyAlignment="1">
      <alignment horizontal="right"/>
    </xf>
    <xf numFmtId="0" fontId="12" fillId="0" borderId="0" xfId="0" applyFont="1"/>
    <xf numFmtId="0" fontId="46" fillId="0" borderId="0" xfId="0" applyFont="1" applyAlignment="1">
      <alignment horizontal="left"/>
    </xf>
    <xf numFmtId="0" fontId="46" fillId="0" borderId="0" xfId="0" applyFont="1"/>
    <xf numFmtId="0" fontId="13" fillId="2" borderId="0" xfId="0" applyFont="1" applyFill="1" applyBorder="1" applyAlignment="1">
      <alignment horizontal="center" vertical="top"/>
    </xf>
    <xf numFmtId="0" fontId="0" fillId="2" borderId="0" xfId="0" applyFill="1" applyBorder="1"/>
    <xf numFmtId="0" fontId="11" fillId="2" borderId="1" xfId="0" applyFont="1" applyFill="1" applyBorder="1" applyAlignment="1">
      <alignment horizontal="center" vertical="center"/>
    </xf>
    <xf numFmtId="1" fontId="11" fillId="2" borderId="1" xfId="0" applyNumberFormat="1" applyFont="1" applyFill="1" applyBorder="1" applyAlignment="1">
      <alignment horizontal="center" vertical="center"/>
    </xf>
    <xf numFmtId="164" fontId="11" fillId="2" borderId="1" xfId="0" applyNumberFormat="1" applyFont="1" applyFill="1" applyBorder="1" applyAlignment="1">
      <alignment horizontal="center" vertical="center"/>
    </xf>
    <xf numFmtId="1" fontId="11" fillId="2" borderId="1" xfId="0" applyNumberFormat="1" applyFont="1" applyFill="1" applyBorder="1" applyAlignment="1">
      <alignment vertical="center"/>
    </xf>
    <xf numFmtId="0" fontId="11" fillId="3" borderId="1" xfId="0" applyFont="1" applyFill="1" applyBorder="1" applyAlignment="1">
      <alignment vertical="center"/>
    </xf>
    <xf numFmtId="1" fontId="11" fillId="3" borderId="1" xfId="0" applyNumberFormat="1" applyFont="1" applyFill="1" applyBorder="1" applyAlignment="1">
      <alignment horizontal="center" vertical="center"/>
    </xf>
    <xf numFmtId="1" fontId="11" fillId="3" borderId="1" xfId="0" applyNumberFormat="1" applyFont="1" applyFill="1" applyBorder="1"/>
    <xf numFmtId="2" fontId="11" fillId="2" borderId="1" xfId="0" applyNumberFormat="1" applyFont="1" applyFill="1" applyBorder="1" applyAlignment="1">
      <alignment horizontal="center" vertical="center"/>
    </xf>
    <xf numFmtId="2" fontId="11" fillId="2" borderId="1" xfId="0" applyNumberFormat="1" applyFont="1" applyFill="1" applyBorder="1" applyAlignment="1">
      <alignment vertical="center"/>
    </xf>
    <xf numFmtId="2" fontId="11" fillId="3" borderId="1" xfId="0" applyNumberFormat="1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left" vertical="center"/>
    </xf>
    <xf numFmtId="0" fontId="20" fillId="2" borderId="1" xfId="0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20" fillId="2" borderId="3" xfId="0" applyFont="1" applyFill="1" applyBorder="1" applyAlignment="1">
      <alignment horizontal="center" vertical="center" wrapText="1"/>
    </xf>
    <xf numFmtId="0" fontId="22" fillId="2" borderId="14" xfId="0" applyFont="1" applyFill="1" applyBorder="1" applyAlignment="1">
      <alignment horizontal="center" vertical="center" wrapText="1"/>
    </xf>
    <xf numFmtId="0" fontId="22" fillId="2" borderId="15" xfId="0" applyFont="1" applyFill="1" applyBorder="1" applyAlignment="1">
      <alignment horizontal="center" vertical="center" wrapText="1"/>
    </xf>
    <xf numFmtId="0" fontId="24" fillId="0" borderId="3" xfId="0" applyFont="1" applyBorder="1"/>
    <xf numFmtId="0" fontId="23" fillId="2" borderId="2" xfId="0" applyFont="1" applyFill="1" applyBorder="1" applyAlignment="1">
      <alignment horizontal="center" vertical="center"/>
    </xf>
    <xf numFmtId="0" fontId="23" fillId="2" borderId="3" xfId="0" applyFont="1" applyFill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top" wrapText="1"/>
    </xf>
    <xf numFmtId="0" fontId="18" fillId="2" borderId="14" xfId="0" applyFont="1" applyFill="1" applyBorder="1" applyAlignment="1">
      <alignment horizontal="center" vertical="top" wrapText="1"/>
    </xf>
    <xf numFmtId="0" fontId="18" fillId="2" borderId="8" xfId="0" applyFont="1" applyFill="1" applyBorder="1" applyAlignment="1">
      <alignment horizontal="center" vertical="top" wrapText="1"/>
    </xf>
    <xf numFmtId="0" fontId="18" fillId="2" borderId="1" xfId="0" applyFont="1" applyFill="1" applyBorder="1" applyAlignment="1">
      <alignment horizontal="center" vertical="center" wrapText="1"/>
    </xf>
    <xf numFmtId="49" fontId="18" fillId="2" borderId="1" xfId="0" applyNumberFormat="1" applyFont="1" applyFill="1" applyBorder="1" applyAlignment="1">
      <alignment horizontal="center" vertical="top" wrapText="1"/>
    </xf>
    <xf numFmtId="49" fontId="18" fillId="2" borderId="14" xfId="0" applyNumberFormat="1" applyFont="1" applyFill="1" applyBorder="1" applyAlignment="1">
      <alignment horizontal="center" vertical="top" wrapText="1"/>
    </xf>
    <xf numFmtId="49" fontId="18" fillId="2" borderId="15" xfId="0" applyNumberFormat="1" applyFont="1" applyFill="1" applyBorder="1" applyAlignment="1">
      <alignment horizontal="center" vertical="top" wrapText="1"/>
    </xf>
    <xf numFmtId="49" fontId="18" fillId="2" borderId="8" xfId="0" applyNumberFormat="1" applyFont="1" applyFill="1" applyBorder="1" applyAlignment="1">
      <alignment horizontal="center" vertical="top" wrapText="1"/>
    </xf>
    <xf numFmtId="0" fontId="22" fillId="2" borderId="8" xfId="0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/>
    </xf>
    <xf numFmtId="0" fontId="22" fillId="2" borderId="14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1" fontId="38" fillId="2" borderId="2" xfId="0" applyNumberFormat="1" applyFont="1" applyFill="1" applyBorder="1" applyAlignment="1">
      <alignment horizontal="center" vertical="center" shrinkToFit="1"/>
    </xf>
    <xf numFmtId="1" fontId="38" fillId="2" borderId="4" xfId="0" applyNumberFormat="1" applyFont="1" applyFill="1" applyBorder="1" applyAlignment="1">
      <alignment horizontal="center" vertical="center" shrinkToFit="1"/>
    </xf>
    <xf numFmtId="1" fontId="38" fillId="2" borderId="3" xfId="0" applyNumberFormat="1" applyFont="1" applyFill="1" applyBorder="1" applyAlignment="1">
      <alignment horizontal="center" vertical="center" shrinkToFit="1"/>
    </xf>
    <xf numFmtId="0" fontId="27" fillId="2" borderId="2" xfId="0" applyFont="1" applyFill="1" applyBorder="1" applyAlignment="1">
      <alignment horizontal="center" vertical="center"/>
    </xf>
    <xf numFmtId="0" fontId="27" fillId="2" borderId="3" xfId="0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 wrapText="1"/>
    </xf>
    <xf numFmtId="0" fontId="22" fillId="2" borderId="3" xfId="0" applyFont="1" applyFill="1" applyBorder="1" applyAlignment="1">
      <alignment horizontal="center" vertical="center" wrapText="1"/>
    </xf>
    <xf numFmtId="0" fontId="27" fillId="2" borderId="2" xfId="0" applyFont="1" applyFill="1" applyBorder="1" applyAlignment="1">
      <alignment horizontal="center" vertical="center" wrapText="1"/>
    </xf>
    <xf numFmtId="0" fontId="29" fillId="2" borderId="1" xfId="0" applyFont="1" applyFill="1" applyBorder="1" applyAlignment="1">
      <alignment horizontal="center" vertical="center" wrapText="1"/>
    </xf>
    <xf numFmtId="0" fontId="28" fillId="0" borderId="3" xfId="0" applyFont="1" applyBorder="1"/>
    <xf numFmtId="49" fontId="18" fillId="2" borderId="1" xfId="0" applyNumberFormat="1" applyFont="1" applyFill="1" applyBorder="1" applyAlignment="1">
      <alignment horizontal="center" vertical="center" wrapText="1"/>
    </xf>
    <xf numFmtId="49" fontId="18" fillId="2" borderId="14" xfId="0" applyNumberFormat="1" applyFont="1" applyFill="1" applyBorder="1" applyAlignment="1">
      <alignment horizontal="center" vertical="center" wrapText="1"/>
    </xf>
    <xf numFmtId="49" fontId="18" fillId="2" borderId="15" xfId="0" applyNumberFormat="1" applyFont="1" applyFill="1" applyBorder="1" applyAlignment="1">
      <alignment horizontal="center" vertical="center" wrapText="1"/>
    </xf>
    <xf numFmtId="49" fontId="18" fillId="2" borderId="8" xfId="0" applyNumberFormat="1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9" xfId="0" applyBorder="1"/>
    <xf numFmtId="0" fontId="0" fillId="0" borderId="0" xfId="0"/>
    <xf numFmtId="0" fontId="0" fillId="0" borderId="5" xfId="0" applyBorder="1"/>
    <xf numFmtId="0" fontId="0" fillId="0" borderId="6" xfId="0" applyBorder="1"/>
    <xf numFmtId="0" fontId="18" fillId="2" borderId="14" xfId="0" applyFont="1" applyFill="1" applyBorder="1" applyAlignment="1">
      <alignment horizontal="center" vertical="center" wrapText="1"/>
    </xf>
    <xf numFmtId="0" fontId="18" fillId="2" borderId="8" xfId="0" applyFont="1" applyFill="1" applyBorder="1" applyAlignment="1">
      <alignment horizontal="center" vertical="center" wrapText="1"/>
    </xf>
    <xf numFmtId="1" fontId="39" fillId="2" borderId="2" xfId="0" applyNumberFormat="1" applyFont="1" applyFill="1" applyBorder="1" applyAlignment="1">
      <alignment horizontal="center" vertical="center"/>
    </xf>
    <xf numFmtId="1" fontId="39" fillId="2" borderId="4" xfId="0" applyNumberFormat="1" applyFont="1" applyFill="1" applyBorder="1" applyAlignment="1">
      <alignment horizontal="center" vertical="center"/>
    </xf>
    <xf numFmtId="1" fontId="39" fillId="2" borderId="3" xfId="0" applyNumberFormat="1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1" fillId="2" borderId="14" xfId="0" applyFont="1" applyFill="1" applyBorder="1" applyAlignment="1">
      <alignment horizontal="center" vertical="center"/>
    </xf>
    <xf numFmtId="0" fontId="31" fillId="2" borderId="15" xfId="0" applyFont="1" applyFill="1" applyBorder="1" applyAlignment="1">
      <alignment horizontal="center" vertical="center"/>
    </xf>
    <xf numFmtId="0" fontId="31" fillId="2" borderId="8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 wrapText="1"/>
    </xf>
    <xf numFmtId="0" fontId="31" fillId="2" borderId="14" xfId="0" applyFont="1" applyFill="1" applyBorder="1" applyAlignment="1">
      <alignment horizontal="center" vertical="center" wrapText="1"/>
    </xf>
    <xf numFmtId="0" fontId="31" fillId="2" borderId="15" xfId="0" applyFont="1" applyFill="1" applyBorder="1" applyAlignment="1">
      <alignment horizontal="center" vertical="center" wrapText="1"/>
    </xf>
    <xf numFmtId="0" fontId="31" fillId="2" borderId="8" xfId="0" applyFont="1" applyFill="1" applyBorder="1" applyAlignment="1">
      <alignment horizontal="center" vertical="center" wrapText="1"/>
    </xf>
    <xf numFmtId="1" fontId="40" fillId="2" borderId="2" xfId="0" applyNumberFormat="1" applyFont="1" applyFill="1" applyBorder="1" applyAlignment="1">
      <alignment horizontal="center" vertical="center"/>
    </xf>
    <xf numFmtId="1" fontId="40" fillId="2" borderId="4" xfId="0" applyNumberFormat="1" applyFont="1" applyFill="1" applyBorder="1" applyAlignment="1">
      <alignment horizontal="center" vertical="center"/>
    </xf>
    <xf numFmtId="1" fontId="40" fillId="2" borderId="3" xfId="0" applyNumberFormat="1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center" vertical="center" wrapText="1"/>
    </xf>
    <xf numFmtId="1" fontId="11" fillId="2" borderId="1" xfId="0" applyNumberFormat="1" applyFont="1" applyFill="1" applyBorder="1" applyAlignment="1">
      <alignment horizontal="center" vertical="center" textRotation="90" wrapText="1"/>
    </xf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textRotation="90"/>
    </xf>
    <xf numFmtId="0" fontId="11" fillId="2" borderId="1" xfId="0" applyFont="1" applyFill="1" applyBorder="1" applyAlignment="1">
      <alignment horizontal="center" vertical="center" textRotation="90" wrapText="1"/>
    </xf>
    <xf numFmtId="2" fontId="11" fillId="2" borderId="1" xfId="0" applyNumberFormat="1" applyFont="1" applyFill="1" applyBorder="1" applyAlignment="1">
      <alignment horizontal="center" vertical="center"/>
    </xf>
    <xf numFmtId="1" fontId="11" fillId="2" borderId="1" xfId="0" applyNumberFormat="1" applyFont="1" applyFill="1" applyBorder="1" applyAlignment="1">
      <alignment horizontal="center" vertical="center"/>
    </xf>
    <xf numFmtId="164" fontId="11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12FA18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27215</xdr:colOff>
      <xdr:row>0</xdr:row>
      <xdr:rowOff>27214</xdr:rowOff>
    </xdr:from>
    <xdr:to>
      <xdr:col>11</xdr:col>
      <xdr:colOff>34019</xdr:colOff>
      <xdr:row>3</xdr:row>
      <xdr:rowOff>93889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xmlns="" id="{4307E6FC-0740-4549-9681-545F26327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5932715" y="27214"/>
          <a:ext cx="741590" cy="80146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104613</xdr:colOff>
      <xdr:row>0</xdr:row>
      <xdr:rowOff>108110</xdr:rowOff>
    </xdr:from>
    <xdr:to>
      <xdr:col>16</xdr:col>
      <xdr:colOff>96701</xdr:colOff>
      <xdr:row>4</xdr:row>
      <xdr:rowOff>3101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33DBEB0-0EDB-4223-A938-2027BF101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243196" y="108110"/>
          <a:ext cx="627089" cy="6569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133883</xdr:colOff>
      <xdr:row>0</xdr:row>
      <xdr:rowOff>0</xdr:rowOff>
    </xdr:from>
    <xdr:to>
      <xdr:col>19</xdr:col>
      <xdr:colOff>161926</xdr:colOff>
      <xdr:row>3</xdr:row>
      <xdr:rowOff>142875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4307E6FC-0740-4549-9681-545F26327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5448833" y="0"/>
          <a:ext cx="732893" cy="7143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381004</xdr:colOff>
      <xdr:row>28</xdr:row>
      <xdr:rowOff>17370</xdr:rowOff>
    </xdr:from>
    <xdr:to>
      <xdr:col>21</xdr:col>
      <xdr:colOff>327780</xdr:colOff>
      <xdr:row>30</xdr:row>
      <xdr:rowOff>22524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6CF16D48-031A-420D-F775-C39935119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11176698" y="8630264"/>
          <a:ext cx="386154" cy="1022541"/>
        </a:xfrm>
        <a:prstGeom prst="rect">
          <a:avLst/>
        </a:prstGeom>
      </xdr:spPr>
    </xdr:pic>
    <xdr:clientData/>
  </xdr:twoCellAnchor>
  <xdr:twoCellAnchor editAs="oneCell">
    <xdr:from>
      <xdr:col>4</xdr:col>
      <xdr:colOff>373716</xdr:colOff>
      <xdr:row>0</xdr:row>
      <xdr:rowOff>49306</xdr:rowOff>
    </xdr:from>
    <xdr:to>
      <xdr:col>6</xdr:col>
      <xdr:colOff>124946</xdr:colOff>
      <xdr:row>2</xdr:row>
      <xdr:rowOff>201707</xdr:rowOff>
    </xdr:to>
    <xdr:pic>
      <xdr:nvPicPr>
        <xdr:cNvPr id="5" name="Picture 4" descr="ACA-LOGO.png">
          <a:extLst>
            <a:ext uri="{FF2B5EF4-FFF2-40B4-BE49-F238E27FC236}">
              <a16:creationId xmlns:a16="http://schemas.microsoft.com/office/drawing/2014/main" xmlns="" id="{EF888CC7-08F8-4A7C-80E1-26E3ADAB75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t="16236" b="14603"/>
        <a:stretch/>
      </xdr:blipFill>
      <xdr:spPr>
        <a:xfrm>
          <a:off x="3074334" y="49306"/>
          <a:ext cx="782171" cy="77993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10</xdr:col>
      <xdr:colOff>0</xdr:colOff>
      <xdr:row>28</xdr:row>
      <xdr:rowOff>0</xdr:rowOff>
    </xdr:from>
    <xdr:to>
      <xdr:col>12</xdr:col>
      <xdr:colOff>58094</xdr:colOff>
      <xdr:row>29</xdr:row>
      <xdr:rowOff>142938</xdr:rowOff>
    </xdr:to>
    <xdr:pic>
      <xdr:nvPicPr>
        <xdr:cNvPr id="6" name="Picture 5" descr="v¦v¦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793441" y="8931088"/>
          <a:ext cx="1089035" cy="3334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nal_Semester_Result-2023/Full%20Complete/CLASS_7/COMPLETE%20CLASS-7_DOYEL-RESULTSHEET-202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1st_Semester"/>
      <sheetName val="2nd_Semester"/>
      <sheetName val="3rd_Semester"/>
      <sheetName val="Result card "/>
      <sheetName val="ANNUAL_CARD"/>
    </sheetNames>
    <sheetDataSet>
      <sheetData sheetId="0" refreshError="1">
        <row r="5"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</row>
        <row r="6">
          <cell r="E6" t="str">
            <v xml:space="preserve">MOTHER NAME </v>
          </cell>
          <cell r="F6" t="str">
            <v>MT</v>
          </cell>
          <cell r="G6" t="str">
            <v>BAN-1</v>
          </cell>
          <cell r="H6">
            <v>0</v>
          </cell>
          <cell r="I6" t="str">
            <v xml:space="preserve">TOTAL </v>
          </cell>
          <cell r="J6" t="str">
            <v>MT</v>
          </cell>
          <cell r="K6" t="str">
            <v>ASS</v>
          </cell>
          <cell r="L6" t="str">
            <v>BAN-2</v>
          </cell>
          <cell r="M6" t="str">
            <v>TOTAL</v>
          </cell>
          <cell r="N6" t="str">
            <v>B1+B2</v>
          </cell>
          <cell r="O6" t="str">
            <v>HIGHESTMARK</v>
          </cell>
          <cell r="P6" t="str">
            <v>GP</v>
          </cell>
          <cell r="Q6" t="str">
            <v>MT</v>
          </cell>
          <cell r="R6" t="str">
            <v>ASS</v>
          </cell>
          <cell r="S6" t="str">
            <v>ENG-1ST</v>
          </cell>
          <cell r="T6" t="str">
            <v>TOTAL</v>
          </cell>
          <cell r="U6" t="str">
            <v>MT</v>
          </cell>
          <cell r="V6" t="str">
            <v>ASS</v>
          </cell>
          <cell r="W6" t="str">
            <v>ENG-2ND</v>
          </cell>
          <cell r="X6" t="str">
            <v>TOTAL</v>
          </cell>
          <cell r="Y6" t="str">
            <v>E1+E2</v>
          </cell>
          <cell r="Z6" t="str">
            <v>HIGHESTMARK</v>
          </cell>
          <cell r="AA6" t="str">
            <v>GP</v>
          </cell>
          <cell r="AB6" t="str">
            <v>MT</v>
          </cell>
          <cell r="AC6" t="str">
            <v>MATH</v>
          </cell>
          <cell r="AD6">
            <v>0</v>
          </cell>
          <cell r="AE6" t="str">
            <v>TOTAL</v>
          </cell>
          <cell r="AF6" t="str">
            <v>HIGHESTMARK</v>
          </cell>
          <cell r="AG6" t="str">
            <v>GP</v>
          </cell>
          <cell r="AH6" t="str">
            <v>MT</v>
          </cell>
          <cell r="AI6" t="str">
            <v>SCIENCE</v>
          </cell>
          <cell r="AJ6">
            <v>0</v>
          </cell>
          <cell r="AK6" t="str">
            <v>TOTAL</v>
          </cell>
          <cell r="AL6" t="str">
            <v>HIGHESTMARK</v>
          </cell>
          <cell r="AM6" t="str">
            <v>GP</v>
          </cell>
          <cell r="AN6" t="str">
            <v>MT</v>
          </cell>
          <cell r="AO6" t="str">
            <v>BGS</v>
          </cell>
          <cell r="AP6">
            <v>0</v>
          </cell>
          <cell r="AQ6" t="str">
            <v>TOTAL</v>
          </cell>
          <cell r="AR6" t="str">
            <v>HIGHESTMARK</v>
          </cell>
          <cell r="AS6" t="str">
            <v>GP</v>
          </cell>
          <cell r="AT6" t="str">
            <v>MT</v>
          </cell>
          <cell r="AU6" t="str">
            <v>RELIGION</v>
          </cell>
          <cell r="AV6">
            <v>0</v>
          </cell>
          <cell r="AW6" t="str">
            <v>TOTAL</v>
          </cell>
          <cell r="AX6" t="str">
            <v>HIGHESTMARK</v>
          </cell>
          <cell r="AY6" t="str">
            <v>GP</v>
          </cell>
          <cell r="AZ6" t="str">
            <v>MT</v>
          </cell>
          <cell r="BA6" t="str">
            <v>ASS</v>
          </cell>
          <cell r="BB6" t="str">
            <v>ICT</v>
          </cell>
          <cell r="BC6" t="str">
            <v>TOTAL</v>
          </cell>
          <cell r="BD6" t="str">
            <v>HIGHESTMARK</v>
          </cell>
          <cell r="BE6" t="str">
            <v>GP</v>
          </cell>
          <cell r="BF6" t="str">
            <v>T-GP</v>
          </cell>
          <cell r="BG6" t="str">
            <v>GPA</v>
          </cell>
          <cell r="BH6" t="str">
            <v>BHVR</v>
          </cell>
          <cell r="BI6" t="str">
            <v>TOTAL MARK</v>
          </cell>
          <cell r="BJ6" t="str">
            <v>Position</v>
          </cell>
          <cell r="BK6" t="str">
            <v>WORKINGDAYS</v>
          </cell>
        </row>
        <row r="7">
          <cell r="E7">
            <v>0</v>
          </cell>
          <cell r="F7">
            <v>0</v>
          </cell>
          <cell r="G7" t="str">
            <v>ASS</v>
          </cell>
          <cell r="H7" t="str">
            <v>CR</v>
          </cell>
          <cell r="I7">
            <v>0</v>
          </cell>
          <cell r="J7">
            <v>0</v>
          </cell>
          <cell r="K7">
            <v>0</v>
          </cell>
          <cell r="L7" t="str">
            <v>CR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 t="str">
            <v>CR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 t="str">
            <v>ASS</v>
          </cell>
          <cell r="AD7" t="str">
            <v>CR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 t="str">
            <v>ASS</v>
          </cell>
          <cell r="AJ7" t="str">
            <v>CR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 t="str">
            <v>ASS</v>
          </cell>
          <cell r="AP7" t="str">
            <v>CR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 t="str">
            <v>ASS</v>
          </cell>
          <cell r="AV7" t="str">
            <v>CR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 t="str">
            <v>CR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</row>
        <row r="8">
          <cell r="E8" t="str">
            <v>KRISHNA SHAHA</v>
          </cell>
          <cell r="F8">
            <v>14</v>
          </cell>
          <cell r="G8">
            <v>18</v>
          </cell>
          <cell r="H8">
            <v>51</v>
          </cell>
          <cell r="I8">
            <v>83</v>
          </cell>
          <cell r="J8">
            <v>8</v>
          </cell>
          <cell r="K8">
            <v>10</v>
          </cell>
          <cell r="L8">
            <v>25</v>
          </cell>
          <cell r="M8">
            <v>43</v>
          </cell>
          <cell r="N8">
            <v>126</v>
          </cell>
          <cell r="O8">
            <v>144</v>
          </cell>
          <cell r="P8">
            <v>5</v>
          </cell>
          <cell r="Q8">
            <v>18</v>
          </cell>
          <cell r="R8">
            <v>20</v>
          </cell>
          <cell r="S8">
            <v>49</v>
          </cell>
          <cell r="T8">
            <v>87</v>
          </cell>
          <cell r="U8">
            <v>7</v>
          </cell>
          <cell r="V8">
            <v>10</v>
          </cell>
          <cell r="W8">
            <v>24</v>
          </cell>
          <cell r="X8">
            <v>41</v>
          </cell>
          <cell r="Y8">
            <v>128</v>
          </cell>
          <cell r="Z8">
            <v>133</v>
          </cell>
          <cell r="AA8">
            <v>5</v>
          </cell>
          <cell r="AB8">
            <v>13</v>
          </cell>
          <cell r="AC8">
            <v>20</v>
          </cell>
          <cell r="AD8">
            <v>52</v>
          </cell>
          <cell r="AE8">
            <v>85</v>
          </cell>
          <cell r="AF8">
            <v>100</v>
          </cell>
          <cell r="AG8">
            <v>5</v>
          </cell>
          <cell r="AH8">
            <v>16</v>
          </cell>
          <cell r="AI8">
            <v>20</v>
          </cell>
          <cell r="AJ8">
            <v>44</v>
          </cell>
          <cell r="AK8">
            <v>80</v>
          </cell>
          <cell r="AL8">
            <v>100</v>
          </cell>
          <cell r="AM8">
            <v>5</v>
          </cell>
          <cell r="AN8">
            <v>15</v>
          </cell>
          <cell r="AO8">
            <v>20</v>
          </cell>
          <cell r="AP8">
            <v>47</v>
          </cell>
          <cell r="AQ8">
            <v>82</v>
          </cell>
          <cell r="AR8">
            <v>94</v>
          </cell>
          <cell r="AS8">
            <v>5</v>
          </cell>
          <cell r="AT8">
            <v>14</v>
          </cell>
          <cell r="AU8">
            <v>18</v>
          </cell>
          <cell r="AV8">
            <v>44</v>
          </cell>
          <cell r="AW8">
            <v>76</v>
          </cell>
          <cell r="AX8">
            <v>98</v>
          </cell>
          <cell r="AY8">
            <v>4</v>
          </cell>
          <cell r="AZ8">
            <v>15</v>
          </cell>
          <cell r="BA8">
            <v>5</v>
          </cell>
          <cell r="BB8">
            <v>29</v>
          </cell>
          <cell r="BC8">
            <v>49</v>
          </cell>
          <cell r="BD8">
            <v>49</v>
          </cell>
          <cell r="BE8">
            <v>5</v>
          </cell>
          <cell r="BF8">
            <v>34</v>
          </cell>
          <cell r="BG8">
            <v>4.8571428571428568</v>
          </cell>
          <cell r="BH8" t="str">
            <v>BETTER</v>
          </cell>
          <cell r="BI8">
            <v>626</v>
          </cell>
          <cell r="BJ8">
            <v>16</v>
          </cell>
          <cell r="BK8">
            <v>56</v>
          </cell>
        </row>
        <row r="9">
          <cell r="E9" t="str">
            <v xml:space="preserve">SELINA </v>
          </cell>
          <cell r="F9">
            <v>18</v>
          </cell>
          <cell r="G9">
            <v>19</v>
          </cell>
          <cell r="H9">
            <v>58</v>
          </cell>
          <cell r="I9">
            <v>95</v>
          </cell>
          <cell r="J9">
            <v>8</v>
          </cell>
          <cell r="K9">
            <v>10</v>
          </cell>
          <cell r="L9">
            <v>29</v>
          </cell>
          <cell r="M9">
            <v>47</v>
          </cell>
          <cell r="N9">
            <v>142</v>
          </cell>
          <cell r="O9">
            <v>0</v>
          </cell>
          <cell r="P9">
            <v>5</v>
          </cell>
          <cell r="Q9">
            <v>10</v>
          </cell>
          <cell r="R9">
            <v>20</v>
          </cell>
          <cell r="S9">
            <v>45</v>
          </cell>
          <cell r="T9">
            <v>75</v>
          </cell>
          <cell r="U9">
            <v>8</v>
          </cell>
          <cell r="V9">
            <v>8</v>
          </cell>
          <cell r="W9">
            <v>16</v>
          </cell>
          <cell r="X9">
            <v>32</v>
          </cell>
          <cell r="Y9">
            <v>107</v>
          </cell>
          <cell r="Z9">
            <v>0</v>
          </cell>
          <cell r="AA9">
            <v>4</v>
          </cell>
          <cell r="AB9">
            <v>12</v>
          </cell>
          <cell r="AC9">
            <v>20</v>
          </cell>
          <cell r="AD9">
            <v>48</v>
          </cell>
          <cell r="AE9">
            <v>80</v>
          </cell>
          <cell r="AF9">
            <v>0</v>
          </cell>
          <cell r="AG9">
            <v>5</v>
          </cell>
          <cell r="AH9">
            <v>14</v>
          </cell>
          <cell r="AI9">
            <v>20</v>
          </cell>
          <cell r="AJ9">
            <v>41</v>
          </cell>
          <cell r="AK9">
            <v>75</v>
          </cell>
          <cell r="AL9">
            <v>0</v>
          </cell>
          <cell r="AM9">
            <v>4</v>
          </cell>
          <cell r="AN9">
            <v>15</v>
          </cell>
          <cell r="AO9">
            <v>20</v>
          </cell>
          <cell r="AP9">
            <v>51</v>
          </cell>
          <cell r="AQ9">
            <v>86</v>
          </cell>
          <cell r="AR9">
            <v>0</v>
          </cell>
          <cell r="AS9">
            <v>5</v>
          </cell>
          <cell r="AT9">
            <v>19</v>
          </cell>
          <cell r="AU9">
            <v>20</v>
          </cell>
          <cell r="AV9">
            <v>55</v>
          </cell>
          <cell r="AW9">
            <v>94</v>
          </cell>
          <cell r="AX9">
            <v>0</v>
          </cell>
          <cell r="AY9">
            <v>5</v>
          </cell>
          <cell r="AZ9">
            <v>13</v>
          </cell>
          <cell r="BA9">
            <v>5</v>
          </cell>
          <cell r="BB9">
            <v>29</v>
          </cell>
          <cell r="BC9">
            <v>47</v>
          </cell>
          <cell r="BD9">
            <v>0</v>
          </cell>
          <cell r="BE9">
            <v>5</v>
          </cell>
          <cell r="BF9">
            <v>33</v>
          </cell>
          <cell r="BG9">
            <v>4.7142857142857144</v>
          </cell>
          <cell r="BH9" t="str">
            <v>BETTER</v>
          </cell>
          <cell r="BI9">
            <v>631</v>
          </cell>
          <cell r="BJ9">
            <v>10</v>
          </cell>
          <cell r="BK9">
            <v>58</v>
          </cell>
        </row>
        <row r="10">
          <cell r="E10" t="str">
            <v>MOST.NASRIN AKTER</v>
          </cell>
          <cell r="F10">
            <v>16</v>
          </cell>
          <cell r="G10">
            <v>20</v>
          </cell>
          <cell r="H10">
            <v>50</v>
          </cell>
          <cell r="I10">
            <v>86</v>
          </cell>
          <cell r="J10">
            <v>7</v>
          </cell>
          <cell r="K10">
            <v>10</v>
          </cell>
          <cell r="L10">
            <v>23</v>
          </cell>
          <cell r="M10">
            <v>40</v>
          </cell>
          <cell r="N10">
            <v>126</v>
          </cell>
          <cell r="O10">
            <v>0</v>
          </cell>
          <cell r="P10">
            <v>5</v>
          </cell>
          <cell r="Q10">
            <v>15</v>
          </cell>
          <cell r="R10">
            <v>20</v>
          </cell>
          <cell r="S10">
            <v>48</v>
          </cell>
          <cell r="T10">
            <v>83</v>
          </cell>
          <cell r="U10">
            <v>4</v>
          </cell>
          <cell r="V10">
            <v>10</v>
          </cell>
          <cell r="W10">
            <v>22</v>
          </cell>
          <cell r="X10">
            <v>36</v>
          </cell>
          <cell r="Y10">
            <v>119</v>
          </cell>
          <cell r="Z10">
            <v>0</v>
          </cell>
          <cell r="AA10">
            <v>4</v>
          </cell>
          <cell r="AB10">
            <v>8</v>
          </cell>
          <cell r="AC10">
            <v>20</v>
          </cell>
          <cell r="AD10">
            <v>59</v>
          </cell>
          <cell r="AE10">
            <v>87</v>
          </cell>
          <cell r="AF10">
            <v>0</v>
          </cell>
          <cell r="AG10">
            <v>5</v>
          </cell>
          <cell r="AH10">
            <v>10</v>
          </cell>
          <cell r="AI10">
            <v>20</v>
          </cell>
          <cell r="AJ10">
            <v>39</v>
          </cell>
          <cell r="AK10">
            <v>69</v>
          </cell>
          <cell r="AL10">
            <v>0</v>
          </cell>
          <cell r="AM10">
            <v>3.5</v>
          </cell>
          <cell r="AN10">
            <v>15</v>
          </cell>
          <cell r="AO10">
            <v>20</v>
          </cell>
          <cell r="AP10">
            <v>51</v>
          </cell>
          <cell r="AQ10">
            <v>86</v>
          </cell>
          <cell r="AR10">
            <v>0</v>
          </cell>
          <cell r="AS10">
            <v>5</v>
          </cell>
          <cell r="AT10">
            <v>8</v>
          </cell>
          <cell r="AU10">
            <v>20</v>
          </cell>
          <cell r="AV10">
            <v>55</v>
          </cell>
          <cell r="AW10">
            <v>83</v>
          </cell>
          <cell r="AX10">
            <v>0</v>
          </cell>
          <cell r="AY10">
            <v>5</v>
          </cell>
          <cell r="AZ10">
            <v>5</v>
          </cell>
          <cell r="BA10">
            <v>14</v>
          </cell>
          <cell r="BB10">
            <v>25</v>
          </cell>
          <cell r="BC10">
            <v>44</v>
          </cell>
          <cell r="BD10">
            <v>0</v>
          </cell>
          <cell r="BE10">
            <v>5</v>
          </cell>
          <cell r="BF10">
            <v>32.5</v>
          </cell>
          <cell r="BG10">
            <v>4.6428571428571432</v>
          </cell>
          <cell r="BH10" t="str">
            <v>BETTER</v>
          </cell>
          <cell r="BI10">
            <v>614</v>
          </cell>
          <cell r="BJ10">
            <v>15</v>
          </cell>
          <cell r="BK10">
            <v>56</v>
          </cell>
        </row>
        <row r="11">
          <cell r="E11" t="str">
            <v xml:space="preserve">TASLIMA BEGUM </v>
          </cell>
          <cell r="F11">
            <v>16</v>
          </cell>
          <cell r="G11">
            <v>15</v>
          </cell>
          <cell r="H11">
            <v>47</v>
          </cell>
          <cell r="I11">
            <v>78</v>
          </cell>
          <cell r="J11">
            <v>8</v>
          </cell>
          <cell r="K11">
            <v>10</v>
          </cell>
          <cell r="L11">
            <v>19</v>
          </cell>
          <cell r="M11">
            <v>37</v>
          </cell>
          <cell r="N11">
            <v>115</v>
          </cell>
          <cell r="O11">
            <v>0</v>
          </cell>
          <cell r="P11">
            <v>4</v>
          </cell>
          <cell r="Q11">
            <v>15</v>
          </cell>
          <cell r="R11">
            <v>20</v>
          </cell>
          <cell r="S11">
            <v>51</v>
          </cell>
          <cell r="T11">
            <v>86</v>
          </cell>
          <cell r="U11">
            <v>3</v>
          </cell>
          <cell r="V11">
            <v>10</v>
          </cell>
          <cell r="W11">
            <v>18</v>
          </cell>
          <cell r="X11">
            <v>31</v>
          </cell>
          <cell r="Y11">
            <v>117</v>
          </cell>
          <cell r="Z11">
            <v>0</v>
          </cell>
          <cell r="AA11">
            <v>4</v>
          </cell>
          <cell r="AB11">
            <v>17</v>
          </cell>
          <cell r="AC11">
            <v>15</v>
          </cell>
          <cell r="AD11">
            <v>50</v>
          </cell>
          <cell r="AE11">
            <v>82</v>
          </cell>
          <cell r="AF11">
            <v>0</v>
          </cell>
          <cell r="AG11">
            <v>5</v>
          </cell>
          <cell r="AH11">
            <v>17</v>
          </cell>
          <cell r="AI11">
            <v>20</v>
          </cell>
          <cell r="AJ11">
            <v>49</v>
          </cell>
          <cell r="AK11">
            <v>86</v>
          </cell>
          <cell r="AL11">
            <v>0</v>
          </cell>
          <cell r="AM11">
            <v>5</v>
          </cell>
          <cell r="AN11">
            <v>8</v>
          </cell>
          <cell r="AO11">
            <v>20</v>
          </cell>
          <cell r="AP11">
            <v>35</v>
          </cell>
          <cell r="AQ11">
            <v>63</v>
          </cell>
          <cell r="AR11">
            <v>0</v>
          </cell>
          <cell r="AS11">
            <v>3.5</v>
          </cell>
          <cell r="AT11">
            <v>17</v>
          </cell>
          <cell r="AU11">
            <v>19</v>
          </cell>
          <cell r="AV11">
            <v>46</v>
          </cell>
          <cell r="AW11">
            <v>82</v>
          </cell>
          <cell r="AX11">
            <v>0</v>
          </cell>
          <cell r="AY11">
            <v>5</v>
          </cell>
          <cell r="AZ11">
            <v>5</v>
          </cell>
          <cell r="BA11">
            <v>11</v>
          </cell>
          <cell r="BB11">
            <v>27</v>
          </cell>
          <cell r="BC11">
            <v>43</v>
          </cell>
          <cell r="BD11">
            <v>0</v>
          </cell>
          <cell r="BE11">
            <v>5</v>
          </cell>
          <cell r="BF11">
            <v>31.5</v>
          </cell>
          <cell r="BG11">
            <v>4.5</v>
          </cell>
          <cell r="BH11" t="str">
            <v>BETTER</v>
          </cell>
          <cell r="BI11">
            <v>588</v>
          </cell>
          <cell r="BJ11">
            <v>32</v>
          </cell>
          <cell r="BK11">
            <v>55</v>
          </cell>
        </row>
        <row r="12">
          <cell r="E12" t="str">
            <v>SONIA AKHTER</v>
          </cell>
          <cell r="F12">
            <v>16</v>
          </cell>
          <cell r="G12">
            <v>20</v>
          </cell>
          <cell r="H12">
            <v>50</v>
          </cell>
          <cell r="I12">
            <v>86</v>
          </cell>
          <cell r="J12">
            <v>8</v>
          </cell>
          <cell r="K12">
            <v>10</v>
          </cell>
          <cell r="L12">
            <v>26</v>
          </cell>
          <cell r="M12">
            <v>44</v>
          </cell>
          <cell r="N12">
            <v>130</v>
          </cell>
          <cell r="O12">
            <v>0</v>
          </cell>
          <cell r="P12">
            <v>5</v>
          </cell>
          <cell r="Q12">
            <v>18</v>
          </cell>
          <cell r="R12">
            <v>18</v>
          </cell>
          <cell r="S12">
            <v>26</v>
          </cell>
          <cell r="T12">
            <v>62</v>
          </cell>
          <cell r="U12">
            <v>4</v>
          </cell>
          <cell r="V12">
            <v>8</v>
          </cell>
          <cell r="W12">
            <v>20</v>
          </cell>
          <cell r="X12">
            <v>32</v>
          </cell>
          <cell r="Y12">
            <v>94</v>
          </cell>
          <cell r="Z12">
            <v>0</v>
          </cell>
          <cell r="AA12">
            <v>3.5</v>
          </cell>
          <cell r="AB12">
            <v>14</v>
          </cell>
          <cell r="AC12">
            <v>20</v>
          </cell>
          <cell r="AD12">
            <v>59</v>
          </cell>
          <cell r="AE12">
            <v>93</v>
          </cell>
          <cell r="AF12">
            <v>0</v>
          </cell>
          <cell r="AG12">
            <v>5</v>
          </cell>
          <cell r="AH12">
            <v>16</v>
          </cell>
          <cell r="AI12">
            <v>20</v>
          </cell>
          <cell r="AJ12">
            <v>35</v>
          </cell>
          <cell r="AK12">
            <v>71</v>
          </cell>
          <cell r="AL12">
            <v>0</v>
          </cell>
          <cell r="AM12">
            <v>4</v>
          </cell>
          <cell r="AN12">
            <v>15</v>
          </cell>
          <cell r="AO12">
            <v>20</v>
          </cell>
          <cell r="AP12">
            <v>44</v>
          </cell>
          <cell r="AQ12">
            <v>79</v>
          </cell>
          <cell r="AR12">
            <v>0</v>
          </cell>
          <cell r="AS12">
            <v>4</v>
          </cell>
          <cell r="AT12">
            <v>10</v>
          </cell>
          <cell r="AU12">
            <v>20</v>
          </cell>
          <cell r="AV12">
            <v>54</v>
          </cell>
          <cell r="AW12">
            <v>84</v>
          </cell>
          <cell r="AX12">
            <v>0</v>
          </cell>
          <cell r="AY12">
            <v>5</v>
          </cell>
          <cell r="AZ12">
            <v>4</v>
          </cell>
          <cell r="BA12">
            <v>14</v>
          </cell>
          <cell r="BB12">
            <v>25</v>
          </cell>
          <cell r="BC12">
            <v>43</v>
          </cell>
          <cell r="BD12">
            <v>0</v>
          </cell>
          <cell r="BE12">
            <v>5</v>
          </cell>
          <cell r="BF12">
            <v>31.5</v>
          </cell>
          <cell r="BG12">
            <v>4.5</v>
          </cell>
          <cell r="BH12" t="str">
            <v>BETTER</v>
          </cell>
          <cell r="BI12">
            <v>594</v>
          </cell>
          <cell r="BJ12">
            <v>45</v>
          </cell>
          <cell r="BK12">
            <v>62</v>
          </cell>
        </row>
        <row r="13">
          <cell r="E13" t="str">
            <v>SALINA AKTER</v>
          </cell>
          <cell r="F13">
            <v>15</v>
          </cell>
          <cell r="G13">
            <v>19</v>
          </cell>
          <cell r="H13">
            <v>43</v>
          </cell>
          <cell r="I13">
            <v>77</v>
          </cell>
          <cell r="J13">
            <v>8</v>
          </cell>
          <cell r="K13">
            <v>10</v>
          </cell>
          <cell r="L13">
            <v>26</v>
          </cell>
          <cell r="M13">
            <v>44</v>
          </cell>
          <cell r="N13">
            <v>121</v>
          </cell>
          <cell r="O13">
            <v>0</v>
          </cell>
          <cell r="P13">
            <v>5</v>
          </cell>
          <cell r="Q13">
            <v>12</v>
          </cell>
          <cell r="R13">
            <v>20</v>
          </cell>
          <cell r="S13">
            <v>45</v>
          </cell>
          <cell r="T13">
            <v>77</v>
          </cell>
          <cell r="U13">
            <v>9</v>
          </cell>
          <cell r="V13">
            <v>8</v>
          </cell>
          <cell r="W13">
            <v>15</v>
          </cell>
          <cell r="X13">
            <v>32</v>
          </cell>
          <cell r="Y13">
            <v>109</v>
          </cell>
          <cell r="Z13">
            <v>0</v>
          </cell>
          <cell r="AA13">
            <v>4</v>
          </cell>
          <cell r="AB13">
            <v>12</v>
          </cell>
          <cell r="AC13">
            <v>20</v>
          </cell>
          <cell r="AD13">
            <v>60</v>
          </cell>
          <cell r="AE13">
            <v>92</v>
          </cell>
          <cell r="AF13">
            <v>0</v>
          </cell>
          <cell r="AG13">
            <v>5</v>
          </cell>
          <cell r="AH13">
            <v>17</v>
          </cell>
          <cell r="AI13">
            <v>20</v>
          </cell>
          <cell r="AJ13">
            <v>38</v>
          </cell>
          <cell r="AK13">
            <v>75</v>
          </cell>
          <cell r="AL13">
            <v>0</v>
          </cell>
          <cell r="AM13">
            <v>4</v>
          </cell>
          <cell r="AN13">
            <v>13</v>
          </cell>
          <cell r="AO13">
            <v>20</v>
          </cell>
          <cell r="AP13">
            <v>45</v>
          </cell>
          <cell r="AQ13">
            <v>78</v>
          </cell>
          <cell r="AR13">
            <v>0</v>
          </cell>
          <cell r="AS13">
            <v>4</v>
          </cell>
          <cell r="AT13">
            <v>20</v>
          </cell>
          <cell r="AU13">
            <v>20</v>
          </cell>
          <cell r="AV13">
            <v>52</v>
          </cell>
          <cell r="AW13">
            <v>92</v>
          </cell>
          <cell r="AX13">
            <v>0</v>
          </cell>
          <cell r="AY13">
            <v>5</v>
          </cell>
          <cell r="AZ13">
            <v>5</v>
          </cell>
          <cell r="BA13">
            <v>14</v>
          </cell>
          <cell r="BB13">
            <v>28</v>
          </cell>
          <cell r="BC13">
            <v>47</v>
          </cell>
          <cell r="BD13">
            <v>0</v>
          </cell>
          <cell r="BE13">
            <v>5</v>
          </cell>
          <cell r="BF13">
            <v>32</v>
          </cell>
          <cell r="BG13">
            <v>4.5714285714285712</v>
          </cell>
          <cell r="BH13" t="str">
            <v>BETTER</v>
          </cell>
          <cell r="BI13">
            <v>614</v>
          </cell>
          <cell r="BJ13">
            <v>14</v>
          </cell>
          <cell r="BK13">
            <v>62</v>
          </cell>
        </row>
        <row r="14">
          <cell r="E14" t="str">
            <v>MOHELA BEGEM</v>
          </cell>
          <cell r="F14">
            <v>16</v>
          </cell>
          <cell r="G14">
            <v>19</v>
          </cell>
          <cell r="H14">
            <v>54</v>
          </cell>
          <cell r="I14">
            <v>89</v>
          </cell>
          <cell r="J14">
            <v>7</v>
          </cell>
          <cell r="K14">
            <v>10</v>
          </cell>
          <cell r="L14">
            <v>28</v>
          </cell>
          <cell r="M14">
            <v>45</v>
          </cell>
          <cell r="N14">
            <v>134</v>
          </cell>
          <cell r="O14">
            <v>0</v>
          </cell>
          <cell r="P14">
            <v>5</v>
          </cell>
          <cell r="Q14">
            <v>8</v>
          </cell>
          <cell r="R14">
            <v>20</v>
          </cell>
          <cell r="S14">
            <v>33</v>
          </cell>
          <cell r="T14">
            <v>61</v>
          </cell>
          <cell r="U14">
            <v>4</v>
          </cell>
          <cell r="V14">
            <v>8</v>
          </cell>
          <cell r="W14">
            <v>10</v>
          </cell>
          <cell r="X14">
            <v>22</v>
          </cell>
          <cell r="Y14">
            <v>83</v>
          </cell>
          <cell r="Z14">
            <v>0</v>
          </cell>
          <cell r="AA14">
            <v>3</v>
          </cell>
          <cell r="AB14">
            <v>12</v>
          </cell>
          <cell r="AC14">
            <v>20</v>
          </cell>
          <cell r="AD14">
            <v>45</v>
          </cell>
          <cell r="AE14">
            <v>77</v>
          </cell>
          <cell r="AF14">
            <v>0</v>
          </cell>
          <cell r="AG14">
            <v>4</v>
          </cell>
          <cell r="AH14">
            <v>9</v>
          </cell>
          <cell r="AI14">
            <v>20</v>
          </cell>
          <cell r="AJ14">
            <v>33</v>
          </cell>
          <cell r="AK14">
            <v>62</v>
          </cell>
          <cell r="AL14">
            <v>0</v>
          </cell>
          <cell r="AM14">
            <v>3.5</v>
          </cell>
          <cell r="AN14">
            <v>12</v>
          </cell>
          <cell r="AO14">
            <v>20</v>
          </cell>
          <cell r="AP14">
            <v>53</v>
          </cell>
          <cell r="AQ14">
            <v>85</v>
          </cell>
          <cell r="AR14">
            <v>0</v>
          </cell>
          <cell r="AS14">
            <v>5</v>
          </cell>
          <cell r="AT14">
            <v>17</v>
          </cell>
          <cell r="AU14">
            <v>19</v>
          </cell>
          <cell r="AV14">
            <v>48</v>
          </cell>
          <cell r="AW14">
            <v>84</v>
          </cell>
          <cell r="AX14">
            <v>0</v>
          </cell>
          <cell r="AY14">
            <v>5</v>
          </cell>
          <cell r="AZ14">
            <v>5</v>
          </cell>
          <cell r="BA14">
            <v>14</v>
          </cell>
          <cell r="BB14">
            <v>25</v>
          </cell>
          <cell r="BC14">
            <v>44</v>
          </cell>
          <cell r="BD14">
            <v>0</v>
          </cell>
          <cell r="BE14">
            <v>5</v>
          </cell>
          <cell r="BF14">
            <v>30.5</v>
          </cell>
          <cell r="BG14">
            <v>4.3571428571428568</v>
          </cell>
          <cell r="BH14" t="str">
            <v>BETTER</v>
          </cell>
          <cell r="BI14">
            <v>569</v>
          </cell>
          <cell r="BJ14">
            <v>43</v>
          </cell>
          <cell r="BK14">
            <v>57</v>
          </cell>
        </row>
        <row r="15">
          <cell r="E15" t="str">
            <v>REKHA BEGUIM</v>
          </cell>
          <cell r="F15">
            <v>14</v>
          </cell>
          <cell r="G15">
            <v>20</v>
          </cell>
          <cell r="H15">
            <v>52</v>
          </cell>
          <cell r="I15">
            <v>86</v>
          </cell>
          <cell r="J15">
            <v>7</v>
          </cell>
          <cell r="K15">
            <v>10</v>
          </cell>
          <cell r="L15">
            <v>28</v>
          </cell>
          <cell r="M15">
            <v>45</v>
          </cell>
          <cell r="N15">
            <v>131</v>
          </cell>
          <cell r="O15">
            <v>0</v>
          </cell>
          <cell r="P15">
            <v>5</v>
          </cell>
          <cell r="Q15">
            <v>16</v>
          </cell>
          <cell r="R15">
            <v>20</v>
          </cell>
          <cell r="S15">
            <v>35</v>
          </cell>
          <cell r="T15">
            <v>71</v>
          </cell>
          <cell r="U15">
            <v>9</v>
          </cell>
          <cell r="V15">
            <v>8</v>
          </cell>
          <cell r="W15">
            <v>12</v>
          </cell>
          <cell r="X15">
            <v>29</v>
          </cell>
          <cell r="Y15">
            <v>100</v>
          </cell>
          <cell r="Z15">
            <v>0</v>
          </cell>
          <cell r="AA15">
            <v>3.5</v>
          </cell>
          <cell r="AB15">
            <v>8</v>
          </cell>
          <cell r="AC15">
            <v>20</v>
          </cell>
          <cell r="AD15">
            <v>49</v>
          </cell>
          <cell r="AE15">
            <v>77</v>
          </cell>
          <cell r="AF15">
            <v>0</v>
          </cell>
          <cell r="AG15">
            <v>4</v>
          </cell>
          <cell r="AH15">
            <v>15</v>
          </cell>
          <cell r="AI15">
            <v>20</v>
          </cell>
          <cell r="AJ15">
            <v>58</v>
          </cell>
          <cell r="AK15">
            <v>93</v>
          </cell>
          <cell r="AL15">
            <v>0</v>
          </cell>
          <cell r="AM15">
            <v>5</v>
          </cell>
          <cell r="AN15">
            <v>11</v>
          </cell>
          <cell r="AO15">
            <v>20</v>
          </cell>
          <cell r="AP15">
            <v>52</v>
          </cell>
          <cell r="AQ15">
            <v>83</v>
          </cell>
          <cell r="AR15">
            <v>0</v>
          </cell>
          <cell r="AS15">
            <v>5</v>
          </cell>
          <cell r="AT15">
            <v>19</v>
          </cell>
          <cell r="AU15">
            <v>20</v>
          </cell>
          <cell r="AV15">
            <v>54</v>
          </cell>
          <cell r="AW15">
            <v>93</v>
          </cell>
          <cell r="AX15">
            <v>0</v>
          </cell>
          <cell r="AY15">
            <v>5</v>
          </cell>
          <cell r="AZ15">
            <v>4</v>
          </cell>
          <cell r="BA15">
            <v>15</v>
          </cell>
          <cell r="BB15">
            <v>26</v>
          </cell>
          <cell r="BC15">
            <v>45</v>
          </cell>
          <cell r="BD15">
            <v>0</v>
          </cell>
          <cell r="BE15">
            <v>5</v>
          </cell>
          <cell r="BF15">
            <v>32.5</v>
          </cell>
          <cell r="BG15">
            <v>4.6428571428571432</v>
          </cell>
          <cell r="BH15" t="str">
            <v>BETTER</v>
          </cell>
          <cell r="BI15">
            <v>622</v>
          </cell>
          <cell r="BJ15">
            <v>12</v>
          </cell>
          <cell r="BK15">
            <v>55</v>
          </cell>
        </row>
        <row r="16">
          <cell r="E16" t="str">
            <v>YESMINN AKTER</v>
          </cell>
          <cell r="F16">
            <v>15</v>
          </cell>
          <cell r="G16">
            <v>20</v>
          </cell>
          <cell r="H16">
            <v>47</v>
          </cell>
          <cell r="I16">
            <v>82</v>
          </cell>
          <cell r="J16">
            <v>7</v>
          </cell>
          <cell r="K16">
            <v>10</v>
          </cell>
          <cell r="L16">
            <v>26</v>
          </cell>
          <cell r="M16">
            <v>43</v>
          </cell>
          <cell r="N16">
            <v>125</v>
          </cell>
          <cell r="O16">
            <v>0</v>
          </cell>
          <cell r="P16">
            <v>5</v>
          </cell>
          <cell r="Q16">
            <v>12</v>
          </cell>
          <cell r="R16">
            <v>18</v>
          </cell>
          <cell r="S16">
            <v>45</v>
          </cell>
          <cell r="T16">
            <v>75</v>
          </cell>
          <cell r="U16">
            <v>8</v>
          </cell>
          <cell r="V16">
            <v>8</v>
          </cell>
          <cell r="W16">
            <v>13</v>
          </cell>
          <cell r="X16">
            <v>29</v>
          </cell>
          <cell r="Y16">
            <v>104</v>
          </cell>
          <cell r="Z16">
            <v>0</v>
          </cell>
          <cell r="AA16">
            <v>3.5</v>
          </cell>
          <cell r="AB16">
            <v>17</v>
          </cell>
          <cell r="AC16">
            <v>20</v>
          </cell>
          <cell r="AD16">
            <v>58</v>
          </cell>
          <cell r="AE16">
            <v>95</v>
          </cell>
          <cell r="AF16">
            <v>0</v>
          </cell>
          <cell r="AG16">
            <v>5</v>
          </cell>
          <cell r="AH16">
            <v>17</v>
          </cell>
          <cell r="AI16">
            <v>20</v>
          </cell>
          <cell r="AJ16">
            <v>54</v>
          </cell>
          <cell r="AK16">
            <v>91</v>
          </cell>
          <cell r="AL16">
            <v>0</v>
          </cell>
          <cell r="AM16">
            <v>5</v>
          </cell>
          <cell r="AN16">
            <v>13</v>
          </cell>
          <cell r="AO16">
            <v>20</v>
          </cell>
          <cell r="AP16">
            <v>48</v>
          </cell>
          <cell r="AQ16">
            <v>81</v>
          </cell>
          <cell r="AR16">
            <v>0</v>
          </cell>
          <cell r="AS16">
            <v>5</v>
          </cell>
          <cell r="AT16">
            <v>17</v>
          </cell>
          <cell r="AU16">
            <v>20</v>
          </cell>
          <cell r="AV16">
            <v>52</v>
          </cell>
          <cell r="AW16">
            <v>89</v>
          </cell>
          <cell r="AX16">
            <v>0</v>
          </cell>
          <cell r="AY16">
            <v>5</v>
          </cell>
          <cell r="AZ16">
            <v>4</v>
          </cell>
          <cell r="BA16">
            <v>14</v>
          </cell>
          <cell r="BB16">
            <v>23</v>
          </cell>
          <cell r="BC16">
            <v>41</v>
          </cell>
          <cell r="BD16">
            <v>0</v>
          </cell>
          <cell r="BE16">
            <v>5</v>
          </cell>
          <cell r="BF16">
            <v>33.5</v>
          </cell>
          <cell r="BG16">
            <v>4.7857142857142856</v>
          </cell>
          <cell r="BH16" t="str">
            <v>BETTER</v>
          </cell>
          <cell r="BI16">
            <v>626</v>
          </cell>
          <cell r="BJ16">
            <v>29</v>
          </cell>
          <cell r="BK16">
            <v>61</v>
          </cell>
        </row>
        <row r="17">
          <cell r="E17" t="str">
            <v>RUMA YESMIN</v>
          </cell>
          <cell r="F17">
            <v>13</v>
          </cell>
          <cell r="G17">
            <v>20</v>
          </cell>
          <cell r="H17">
            <v>47</v>
          </cell>
          <cell r="I17">
            <v>80</v>
          </cell>
          <cell r="J17">
            <v>5</v>
          </cell>
          <cell r="K17">
            <v>10</v>
          </cell>
          <cell r="L17">
            <v>22</v>
          </cell>
          <cell r="M17">
            <v>37</v>
          </cell>
          <cell r="N17">
            <v>117</v>
          </cell>
          <cell r="O17">
            <v>0</v>
          </cell>
          <cell r="P17">
            <v>4</v>
          </cell>
          <cell r="Q17">
            <v>10</v>
          </cell>
          <cell r="R17">
            <v>18</v>
          </cell>
          <cell r="S17">
            <v>33</v>
          </cell>
          <cell r="T17">
            <v>61</v>
          </cell>
          <cell r="U17">
            <v>2</v>
          </cell>
          <cell r="V17">
            <v>10</v>
          </cell>
          <cell r="W17">
            <v>16</v>
          </cell>
          <cell r="X17">
            <v>28</v>
          </cell>
          <cell r="Y17">
            <v>89</v>
          </cell>
          <cell r="Z17">
            <v>0</v>
          </cell>
          <cell r="AA17">
            <v>3</v>
          </cell>
          <cell r="AB17">
            <v>13</v>
          </cell>
          <cell r="AC17">
            <v>20</v>
          </cell>
          <cell r="AD17">
            <v>55</v>
          </cell>
          <cell r="AE17">
            <v>88</v>
          </cell>
          <cell r="AF17">
            <v>0</v>
          </cell>
          <cell r="AG17">
            <v>5</v>
          </cell>
          <cell r="AH17">
            <v>9</v>
          </cell>
          <cell r="AI17">
            <v>20</v>
          </cell>
          <cell r="AJ17">
            <v>32</v>
          </cell>
          <cell r="AK17">
            <v>61</v>
          </cell>
          <cell r="AL17">
            <v>0</v>
          </cell>
          <cell r="AM17">
            <v>3.5</v>
          </cell>
          <cell r="AN17">
            <v>13</v>
          </cell>
          <cell r="AO17">
            <v>20</v>
          </cell>
          <cell r="AP17">
            <v>39</v>
          </cell>
          <cell r="AQ17">
            <v>72</v>
          </cell>
          <cell r="AR17">
            <v>0</v>
          </cell>
          <cell r="AS17">
            <v>4</v>
          </cell>
          <cell r="AT17">
            <v>11</v>
          </cell>
          <cell r="AU17">
            <v>20</v>
          </cell>
          <cell r="AV17">
            <v>57</v>
          </cell>
          <cell r="AW17">
            <v>88</v>
          </cell>
          <cell r="AX17">
            <v>0</v>
          </cell>
          <cell r="AY17">
            <v>5</v>
          </cell>
          <cell r="AZ17">
            <v>5</v>
          </cell>
          <cell r="BA17">
            <v>15</v>
          </cell>
          <cell r="BB17">
            <v>25</v>
          </cell>
          <cell r="BC17">
            <v>45</v>
          </cell>
          <cell r="BD17">
            <v>0</v>
          </cell>
          <cell r="BE17">
            <v>5</v>
          </cell>
          <cell r="BF17">
            <v>29.5</v>
          </cell>
          <cell r="BG17">
            <v>4.2142857142857144</v>
          </cell>
          <cell r="BH17" t="str">
            <v>BETTER</v>
          </cell>
          <cell r="BI17">
            <v>560</v>
          </cell>
          <cell r="BJ17">
            <v>50</v>
          </cell>
          <cell r="BK17">
            <v>63</v>
          </cell>
        </row>
        <row r="18">
          <cell r="E18" t="str">
            <v>SUMONA AKTAR</v>
          </cell>
          <cell r="F18">
            <v>18</v>
          </cell>
          <cell r="G18">
            <v>18</v>
          </cell>
          <cell r="H18">
            <v>45</v>
          </cell>
          <cell r="I18">
            <v>81</v>
          </cell>
          <cell r="J18">
            <v>9</v>
          </cell>
          <cell r="K18">
            <v>10</v>
          </cell>
          <cell r="L18">
            <v>28</v>
          </cell>
          <cell r="M18">
            <v>47</v>
          </cell>
          <cell r="N18">
            <v>128</v>
          </cell>
          <cell r="O18">
            <v>0</v>
          </cell>
          <cell r="P18">
            <v>5</v>
          </cell>
          <cell r="Q18">
            <v>17</v>
          </cell>
          <cell r="R18">
            <v>18</v>
          </cell>
          <cell r="S18">
            <v>34</v>
          </cell>
          <cell r="T18">
            <v>69</v>
          </cell>
          <cell r="U18">
            <v>2</v>
          </cell>
          <cell r="V18">
            <v>10</v>
          </cell>
          <cell r="W18">
            <v>21</v>
          </cell>
          <cell r="X18">
            <v>33</v>
          </cell>
          <cell r="Y18">
            <v>102</v>
          </cell>
          <cell r="Z18">
            <v>0</v>
          </cell>
          <cell r="AA18">
            <v>3.5</v>
          </cell>
          <cell r="AB18">
            <v>14</v>
          </cell>
          <cell r="AC18">
            <v>20</v>
          </cell>
          <cell r="AD18">
            <v>50</v>
          </cell>
          <cell r="AE18">
            <v>84</v>
          </cell>
          <cell r="AF18">
            <v>0</v>
          </cell>
          <cell r="AG18">
            <v>5</v>
          </cell>
          <cell r="AH18">
            <v>9</v>
          </cell>
          <cell r="AI18">
            <v>20</v>
          </cell>
          <cell r="AJ18">
            <v>51</v>
          </cell>
          <cell r="AK18">
            <v>80</v>
          </cell>
          <cell r="AL18">
            <v>0</v>
          </cell>
          <cell r="AM18">
            <v>5</v>
          </cell>
          <cell r="AN18">
            <v>10</v>
          </cell>
          <cell r="AO18">
            <v>20</v>
          </cell>
          <cell r="AP18">
            <v>43</v>
          </cell>
          <cell r="AQ18">
            <v>73</v>
          </cell>
          <cell r="AR18">
            <v>0</v>
          </cell>
          <cell r="AS18">
            <v>4</v>
          </cell>
          <cell r="AT18">
            <v>15</v>
          </cell>
          <cell r="AU18">
            <v>20</v>
          </cell>
          <cell r="AV18">
            <v>51</v>
          </cell>
          <cell r="AW18">
            <v>86</v>
          </cell>
          <cell r="AX18">
            <v>0</v>
          </cell>
          <cell r="AY18">
            <v>5</v>
          </cell>
          <cell r="AZ18">
            <v>5</v>
          </cell>
          <cell r="BA18">
            <v>14</v>
          </cell>
          <cell r="BB18">
            <v>24</v>
          </cell>
          <cell r="BC18">
            <v>43</v>
          </cell>
          <cell r="BD18">
            <v>0</v>
          </cell>
          <cell r="BE18">
            <v>5</v>
          </cell>
          <cell r="BF18">
            <v>32.5</v>
          </cell>
          <cell r="BG18">
            <v>4.6428571428571432</v>
          </cell>
          <cell r="BH18" t="str">
            <v>BETTER</v>
          </cell>
          <cell r="BI18">
            <v>596</v>
          </cell>
          <cell r="BJ18">
            <v>17</v>
          </cell>
          <cell r="BK18">
            <v>56</v>
          </cell>
        </row>
        <row r="19">
          <cell r="E19" t="str">
            <v>REHANA AKTER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 t="str">
            <v>F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 t="str">
            <v>F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 t="str">
            <v>F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 t="str">
            <v>F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 t="str">
            <v>F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 t="str">
            <v>F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 t="str">
            <v>F</v>
          </cell>
          <cell r="BF19" t="str">
            <v>F</v>
          </cell>
          <cell r="BG19" t="str">
            <v>F</v>
          </cell>
          <cell r="BH19" t="str">
            <v>NEED TO PROGRESS</v>
          </cell>
          <cell r="BI19">
            <v>0</v>
          </cell>
          <cell r="BJ19">
            <v>59</v>
          </cell>
          <cell r="BK19">
            <v>58</v>
          </cell>
        </row>
        <row r="20">
          <cell r="E20" t="str">
            <v>SABIKUN NAHAR</v>
          </cell>
          <cell r="F20">
            <v>14</v>
          </cell>
          <cell r="G20">
            <v>20</v>
          </cell>
          <cell r="H20">
            <v>41</v>
          </cell>
          <cell r="I20">
            <v>75</v>
          </cell>
          <cell r="J20">
            <v>9</v>
          </cell>
          <cell r="K20">
            <v>10</v>
          </cell>
          <cell r="L20">
            <v>27</v>
          </cell>
          <cell r="M20">
            <v>46</v>
          </cell>
          <cell r="N20">
            <v>121</v>
          </cell>
          <cell r="O20">
            <v>0</v>
          </cell>
          <cell r="P20">
            <v>5</v>
          </cell>
          <cell r="Q20">
            <v>15</v>
          </cell>
          <cell r="R20">
            <v>20</v>
          </cell>
          <cell r="S20">
            <v>37</v>
          </cell>
          <cell r="T20">
            <v>72</v>
          </cell>
          <cell r="U20">
            <v>9</v>
          </cell>
          <cell r="V20">
            <v>8</v>
          </cell>
          <cell r="W20">
            <v>14</v>
          </cell>
          <cell r="X20">
            <v>31</v>
          </cell>
          <cell r="Y20">
            <v>103</v>
          </cell>
          <cell r="Z20">
            <v>0</v>
          </cell>
          <cell r="AA20">
            <v>3.5</v>
          </cell>
          <cell r="AB20">
            <v>15</v>
          </cell>
          <cell r="AC20">
            <v>20</v>
          </cell>
          <cell r="AD20">
            <v>45</v>
          </cell>
          <cell r="AE20">
            <v>80</v>
          </cell>
          <cell r="AF20">
            <v>0</v>
          </cell>
          <cell r="AG20">
            <v>5</v>
          </cell>
          <cell r="AH20">
            <v>18</v>
          </cell>
          <cell r="AI20">
            <v>20</v>
          </cell>
          <cell r="AJ20">
            <v>42</v>
          </cell>
          <cell r="AK20">
            <v>80</v>
          </cell>
          <cell r="AL20">
            <v>0</v>
          </cell>
          <cell r="AM20">
            <v>5</v>
          </cell>
          <cell r="AN20">
            <v>13</v>
          </cell>
          <cell r="AO20">
            <v>20</v>
          </cell>
          <cell r="AP20">
            <v>52</v>
          </cell>
          <cell r="AQ20">
            <v>85</v>
          </cell>
          <cell r="AR20">
            <v>0</v>
          </cell>
          <cell r="AS20">
            <v>5</v>
          </cell>
          <cell r="AT20">
            <v>20</v>
          </cell>
          <cell r="AU20">
            <v>20</v>
          </cell>
          <cell r="AV20">
            <v>51</v>
          </cell>
          <cell r="AW20">
            <v>91</v>
          </cell>
          <cell r="AX20">
            <v>0</v>
          </cell>
          <cell r="AY20">
            <v>5</v>
          </cell>
          <cell r="AZ20">
            <v>5</v>
          </cell>
          <cell r="BA20">
            <v>13</v>
          </cell>
          <cell r="BB20">
            <v>28</v>
          </cell>
          <cell r="BC20">
            <v>46</v>
          </cell>
          <cell r="BD20">
            <v>0</v>
          </cell>
          <cell r="BE20">
            <v>5</v>
          </cell>
          <cell r="BF20">
            <v>33.5</v>
          </cell>
          <cell r="BG20">
            <v>4.7857142857142856</v>
          </cell>
          <cell r="BH20" t="str">
            <v>BETTER</v>
          </cell>
          <cell r="BI20">
            <v>606</v>
          </cell>
          <cell r="BJ20">
            <v>53</v>
          </cell>
          <cell r="BK20">
            <v>55</v>
          </cell>
        </row>
        <row r="21">
          <cell r="E21" t="str">
            <v>POPY AKTER</v>
          </cell>
          <cell r="F21">
            <v>17</v>
          </cell>
          <cell r="G21">
            <v>19</v>
          </cell>
          <cell r="H21">
            <v>55</v>
          </cell>
          <cell r="I21">
            <v>91</v>
          </cell>
          <cell r="J21">
            <v>4</v>
          </cell>
          <cell r="K21">
            <v>10</v>
          </cell>
          <cell r="L21">
            <v>26</v>
          </cell>
          <cell r="M21">
            <v>40</v>
          </cell>
          <cell r="N21">
            <v>131</v>
          </cell>
          <cell r="O21">
            <v>0</v>
          </cell>
          <cell r="P21">
            <v>5</v>
          </cell>
          <cell r="Q21">
            <v>8</v>
          </cell>
          <cell r="R21">
            <v>19</v>
          </cell>
          <cell r="S21">
            <v>46</v>
          </cell>
          <cell r="T21">
            <v>73</v>
          </cell>
          <cell r="U21">
            <v>1</v>
          </cell>
          <cell r="V21">
            <v>10</v>
          </cell>
          <cell r="W21">
            <v>20</v>
          </cell>
          <cell r="X21">
            <v>31</v>
          </cell>
          <cell r="Y21">
            <v>104</v>
          </cell>
          <cell r="Z21">
            <v>0</v>
          </cell>
          <cell r="AA21">
            <v>3.5</v>
          </cell>
          <cell r="AB21">
            <v>8</v>
          </cell>
          <cell r="AC21">
            <v>20</v>
          </cell>
          <cell r="AD21">
            <v>59</v>
          </cell>
          <cell r="AE21">
            <v>87</v>
          </cell>
          <cell r="AF21">
            <v>0</v>
          </cell>
          <cell r="AG21">
            <v>5</v>
          </cell>
          <cell r="AH21">
            <v>13</v>
          </cell>
          <cell r="AI21">
            <v>20</v>
          </cell>
          <cell r="AJ21">
            <v>44</v>
          </cell>
          <cell r="AK21">
            <v>77</v>
          </cell>
          <cell r="AL21">
            <v>0</v>
          </cell>
          <cell r="AM21">
            <v>4</v>
          </cell>
          <cell r="AN21">
            <v>14</v>
          </cell>
          <cell r="AO21">
            <v>20</v>
          </cell>
          <cell r="AP21">
            <v>54</v>
          </cell>
          <cell r="AQ21">
            <v>88</v>
          </cell>
          <cell r="AR21">
            <v>0</v>
          </cell>
          <cell r="AS21">
            <v>5</v>
          </cell>
          <cell r="AT21">
            <v>18</v>
          </cell>
          <cell r="AU21">
            <v>20</v>
          </cell>
          <cell r="AV21">
            <v>59</v>
          </cell>
          <cell r="AW21">
            <v>97</v>
          </cell>
          <cell r="AX21">
            <v>0</v>
          </cell>
          <cell r="AY21">
            <v>5</v>
          </cell>
          <cell r="AZ21">
            <v>5</v>
          </cell>
          <cell r="BA21">
            <v>14</v>
          </cell>
          <cell r="BB21">
            <v>24</v>
          </cell>
          <cell r="BC21">
            <v>43</v>
          </cell>
          <cell r="BD21">
            <v>0</v>
          </cell>
          <cell r="BE21">
            <v>5</v>
          </cell>
          <cell r="BF21">
            <v>32.5</v>
          </cell>
          <cell r="BG21">
            <v>4.6428571428571432</v>
          </cell>
          <cell r="BH21" t="str">
            <v>BETTER</v>
          </cell>
          <cell r="BI21">
            <v>627</v>
          </cell>
          <cell r="BJ21">
            <v>20</v>
          </cell>
          <cell r="BK21">
            <v>62</v>
          </cell>
        </row>
        <row r="22">
          <cell r="E22" t="str">
            <v>MAHFUJA KHATUN</v>
          </cell>
          <cell r="F22">
            <v>19</v>
          </cell>
          <cell r="G22">
            <v>20</v>
          </cell>
          <cell r="H22">
            <v>44</v>
          </cell>
          <cell r="I22">
            <v>83</v>
          </cell>
          <cell r="J22">
            <v>4</v>
          </cell>
          <cell r="K22">
            <v>10</v>
          </cell>
          <cell r="L22">
            <v>22</v>
          </cell>
          <cell r="M22">
            <v>36</v>
          </cell>
          <cell r="N22">
            <v>119</v>
          </cell>
          <cell r="O22">
            <v>0</v>
          </cell>
          <cell r="P22">
            <v>4</v>
          </cell>
          <cell r="Q22">
            <v>10</v>
          </cell>
          <cell r="R22">
            <v>18</v>
          </cell>
          <cell r="S22">
            <v>27</v>
          </cell>
          <cell r="T22">
            <v>55</v>
          </cell>
          <cell r="U22">
            <v>0</v>
          </cell>
          <cell r="V22">
            <v>10</v>
          </cell>
          <cell r="W22">
            <v>12</v>
          </cell>
          <cell r="X22">
            <v>22</v>
          </cell>
          <cell r="Y22">
            <v>77</v>
          </cell>
          <cell r="Z22">
            <v>0</v>
          </cell>
          <cell r="AA22">
            <v>3</v>
          </cell>
          <cell r="AB22">
            <v>8</v>
          </cell>
          <cell r="AC22">
            <v>20</v>
          </cell>
          <cell r="AD22">
            <v>60</v>
          </cell>
          <cell r="AE22">
            <v>88</v>
          </cell>
          <cell r="AF22">
            <v>0</v>
          </cell>
          <cell r="AG22">
            <v>5</v>
          </cell>
          <cell r="AH22">
            <v>12</v>
          </cell>
          <cell r="AI22">
            <v>20</v>
          </cell>
          <cell r="AJ22">
            <v>47</v>
          </cell>
          <cell r="AK22">
            <v>79</v>
          </cell>
          <cell r="AL22">
            <v>0</v>
          </cell>
          <cell r="AM22">
            <v>4</v>
          </cell>
          <cell r="AN22">
            <v>16</v>
          </cell>
          <cell r="AO22">
            <v>20</v>
          </cell>
          <cell r="AP22">
            <v>54</v>
          </cell>
          <cell r="AQ22">
            <v>90</v>
          </cell>
          <cell r="AR22">
            <v>0</v>
          </cell>
          <cell r="AS22">
            <v>5</v>
          </cell>
          <cell r="AT22">
            <v>15</v>
          </cell>
          <cell r="AU22">
            <v>20</v>
          </cell>
          <cell r="AV22">
            <v>54</v>
          </cell>
          <cell r="AW22">
            <v>89</v>
          </cell>
          <cell r="AX22">
            <v>0</v>
          </cell>
          <cell r="AY22">
            <v>5</v>
          </cell>
          <cell r="AZ22">
            <v>5</v>
          </cell>
          <cell r="BA22">
            <v>8</v>
          </cell>
          <cell r="BB22">
            <v>11</v>
          </cell>
          <cell r="BC22">
            <v>24</v>
          </cell>
          <cell r="BD22">
            <v>0</v>
          </cell>
          <cell r="BE22">
            <v>2</v>
          </cell>
          <cell r="BF22">
            <v>28</v>
          </cell>
          <cell r="BG22">
            <v>4</v>
          </cell>
          <cell r="BH22" t="str">
            <v>BETTER</v>
          </cell>
          <cell r="BI22">
            <v>566</v>
          </cell>
          <cell r="BJ22">
            <v>40</v>
          </cell>
          <cell r="BK22">
            <v>55</v>
          </cell>
        </row>
        <row r="23">
          <cell r="E23" t="str">
            <v>ALIZA PERVIN</v>
          </cell>
          <cell r="F23">
            <v>15</v>
          </cell>
          <cell r="G23">
            <v>20</v>
          </cell>
          <cell r="H23">
            <v>47</v>
          </cell>
          <cell r="I23">
            <v>82</v>
          </cell>
          <cell r="J23">
            <v>7</v>
          </cell>
          <cell r="K23">
            <v>10</v>
          </cell>
          <cell r="L23">
            <v>27</v>
          </cell>
          <cell r="M23">
            <v>44</v>
          </cell>
          <cell r="N23">
            <v>126</v>
          </cell>
          <cell r="O23">
            <v>0</v>
          </cell>
          <cell r="P23">
            <v>5</v>
          </cell>
          <cell r="Q23">
            <v>17</v>
          </cell>
          <cell r="R23">
            <v>20</v>
          </cell>
          <cell r="S23">
            <v>47</v>
          </cell>
          <cell r="T23">
            <v>84</v>
          </cell>
          <cell r="U23">
            <v>8</v>
          </cell>
          <cell r="V23">
            <v>8</v>
          </cell>
          <cell r="W23">
            <v>13</v>
          </cell>
          <cell r="X23">
            <v>29</v>
          </cell>
          <cell r="Y23">
            <v>113</v>
          </cell>
          <cell r="Z23">
            <v>0</v>
          </cell>
          <cell r="AA23">
            <v>4</v>
          </cell>
          <cell r="AB23">
            <v>20</v>
          </cell>
          <cell r="AC23">
            <v>20</v>
          </cell>
          <cell r="AD23">
            <v>21</v>
          </cell>
          <cell r="AE23">
            <v>61</v>
          </cell>
          <cell r="AF23">
            <v>0</v>
          </cell>
          <cell r="AG23">
            <v>3.5</v>
          </cell>
          <cell r="AH23">
            <v>18</v>
          </cell>
          <cell r="AI23">
            <v>20</v>
          </cell>
          <cell r="AJ23">
            <v>40</v>
          </cell>
          <cell r="AK23">
            <v>78</v>
          </cell>
          <cell r="AL23">
            <v>0</v>
          </cell>
          <cell r="AM23">
            <v>4</v>
          </cell>
          <cell r="AN23">
            <v>17</v>
          </cell>
          <cell r="AO23">
            <v>20</v>
          </cell>
          <cell r="AP23">
            <v>54</v>
          </cell>
          <cell r="AQ23">
            <v>91</v>
          </cell>
          <cell r="AR23">
            <v>0</v>
          </cell>
          <cell r="AS23">
            <v>5</v>
          </cell>
          <cell r="AT23">
            <v>18</v>
          </cell>
          <cell r="AU23">
            <v>19</v>
          </cell>
          <cell r="AV23">
            <v>49</v>
          </cell>
          <cell r="AW23">
            <v>86</v>
          </cell>
          <cell r="AX23">
            <v>0</v>
          </cell>
          <cell r="AY23">
            <v>5</v>
          </cell>
          <cell r="AZ23">
            <v>5</v>
          </cell>
          <cell r="BA23">
            <v>11</v>
          </cell>
          <cell r="BB23">
            <v>26</v>
          </cell>
          <cell r="BC23">
            <v>42</v>
          </cell>
          <cell r="BD23">
            <v>0</v>
          </cell>
          <cell r="BE23">
            <v>5</v>
          </cell>
          <cell r="BF23">
            <v>31.5</v>
          </cell>
          <cell r="BG23">
            <v>4.5</v>
          </cell>
          <cell r="BH23" t="str">
            <v>BETTER</v>
          </cell>
          <cell r="BI23">
            <v>597</v>
          </cell>
          <cell r="BJ23">
            <v>22</v>
          </cell>
          <cell r="BK23">
            <v>55</v>
          </cell>
        </row>
        <row r="24">
          <cell r="E24" t="str">
            <v>MOST.SHAMMI AKTER</v>
          </cell>
          <cell r="F24">
            <v>16</v>
          </cell>
          <cell r="G24">
            <v>17</v>
          </cell>
          <cell r="H24">
            <v>47</v>
          </cell>
          <cell r="I24">
            <v>80</v>
          </cell>
          <cell r="J24">
            <v>6</v>
          </cell>
          <cell r="K24">
            <v>10</v>
          </cell>
          <cell r="L24">
            <v>21</v>
          </cell>
          <cell r="M24">
            <v>37</v>
          </cell>
          <cell r="N24">
            <v>117</v>
          </cell>
          <cell r="O24">
            <v>0</v>
          </cell>
          <cell r="P24">
            <v>4</v>
          </cell>
          <cell r="Q24">
            <v>14</v>
          </cell>
          <cell r="R24">
            <v>18</v>
          </cell>
          <cell r="S24">
            <v>35</v>
          </cell>
          <cell r="T24">
            <v>67</v>
          </cell>
          <cell r="U24">
            <v>4</v>
          </cell>
          <cell r="V24">
            <v>10</v>
          </cell>
          <cell r="W24">
            <v>13</v>
          </cell>
          <cell r="X24">
            <v>27</v>
          </cell>
          <cell r="Y24">
            <v>94</v>
          </cell>
          <cell r="Z24">
            <v>0</v>
          </cell>
          <cell r="AA24">
            <v>3.5</v>
          </cell>
          <cell r="AB24">
            <v>8</v>
          </cell>
          <cell r="AC24">
            <v>20</v>
          </cell>
          <cell r="AD24">
            <v>54</v>
          </cell>
          <cell r="AE24">
            <v>82</v>
          </cell>
          <cell r="AF24">
            <v>0</v>
          </cell>
          <cell r="AG24">
            <v>5</v>
          </cell>
          <cell r="AH24">
            <v>8</v>
          </cell>
          <cell r="AI24">
            <v>20</v>
          </cell>
          <cell r="AJ24">
            <v>53</v>
          </cell>
          <cell r="AK24">
            <v>81</v>
          </cell>
          <cell r="AL24">
            <v>0</v>
          </cell>
          <cell r="AM24">
            <v>5</v>
          </cell>
          <cell r="AN24">
            <v>15</v>
          </cell>
          <cell r="AO24">
            <v>20</v>
          </cell>
          <cell r="AP24">
            <v>55</v>
          </cell>
          <cell r="AQ24">
            <v>90</v>
          </cell>
          <cell r="AR24">
            <v>0</v>
          </cell>
          <cell r="AS24">
            <v>5</v>
          </cell>
          <cell r="AT24">
            <v>9</v>
          </cell>
          <cell r="AU24">
            <v>19</v>
          </cell>
          <cell r="AV24">
            <v>49</v>
          </cell>
          <cell r="AW24">
            <v>77</v>
          </cell>
          <cell r="AX24">
            <v>0</v>
          </cell>
          <cell r="AY24">
            <v>4</v>
          </cell>
          <cell r="AZ24">
            <v>4</v>
          </cell>
          <cell r="BA24">
            <v>14</v>
          </cell>
          <cell r="BB24">
            <v>26</v>
          </cell>
          <cell r="BC24">
            <v>44</v>
          </cell>
          <cell r="BD24">
            <v>0</v>
          </cell>
          <cell r="BE24">
            <v>5</v>
          </cell>
          <cell r="BF24">
            <v>31.5</v>
          </cell>
          <cell r="BG24">
            <v>4.5</v>
          </cell>
          <cell r="BH24" t="str">
            <v>BETTER</v>
          </cell>
          <cell r="BI24">
            <v>585</v>
          </cell>
          <cell r="BJ24">
            <v>41</v>
          </cell>
          <cell r="BK24">
            <v>64</v>
          </cell>
        </row>
        <row r="25">
          <cell r="E25" t="str">
            <v>ISRAT JAHAN MITU</v>
          </cell>
          <cell r="F25">
            <v>18</v>
          </cell>
          <cell r="G25">
            <v>20</v>
          </cell>
          <cell r="H25">
            <v>52</v>
          </cell>
          <cell r="I25">
            <v>90</v>
          </cell>
          <cell r="J25">
            <v>8</v>
          </cell>
          <cell r="K25">
            <v>10</v>
          </cell>
          <cell r="L25">
            <v>28</v>
          </cell>
          <cell r="M25">
            <v>46</v>
          </cell>
          <cell r="N25">
            <v>136</v>
          </cell>
          <cell r="O25">
            <v>0</v>
          </cell>
          <cell r="P25">
            <v>5</v>
          </cell>
          <cell r="Q25">
            <v>17</v>
          </cell>
          <cell r="R25">
            <v>20</v>
          </cell>
          <cell r="S25">
            <v>45</v>
          </cell>
          <cell r="T25">
            <v>82</v>
          </cell>
          <cell r="U25">
            <v>4</v>
          </cell>
          <cell r="V25">
            <v>8</v>
          </cell>
          <cell r="W25">
            <v>15</v>
          </cell>
          <cell r="X25">
            <v>27</v>
          </cell>
          <cell r="Y25">
            <v>109</v>
          </cell>
          <cell r="Z25">
            <v>0</v>
          </cell>
          <cell r="AA25">
            <v>4</v>
          </cell>
          <cell r="AB25">
            <v>20</v>
          </cell>
          <cell r="AC25">
            <v>20</v>
          </cell>
          <cell r="AD25">
            <v>60</v>
          </cell>
          <cell r="AE25">
            <v>100</v>
          </cell>
          <cell r="AF25">
            <v>0</v>
          </cell>
          <cell r="AG25">
            <v>5</v>
          </cell>
          <cell r="AH25">
            <v>19</v>
          </cell>
          <cell r="AI25">
            <v>20</v>
          </cell>
          <cell r="AJ25">
            <v>57</v>
          </cell>
          <cell r="AK25">
            <v>96</v>
          </cell>
          <cell r="AL25">
            <v>0</v>
          </cell>
          <cell r="AM25">
            <v>5</v>
          </cell>
          <cell r="AN25">
            <v>17</v>
          </cell>
          <cell r="AO25">
            <v>20</v>
          </cell>
          <cell r="AP25">
            <v>54</v>
          </cell>
          <cell r="AQ25">
            <v>91</v>
          </cell>
          <cell r="AR25">
            <v>0</v>
          </cell>
          <cell r="AS25">
            <v>5</v>
          </cell>
          <cell r="AT25">
            <v>20</v>
          </cell>
          <cell r="AU25">
            <v>20</v>
          </cell>
          <cell r="AV25">
            <v>58</v>
          </cell>
          <cell r="AW25">
            <v>98</v>
          </cell>
          <cell r="AX25">
            <v>0</v>
          </cell>
          <cell r="AY25">
            <v>5</v>
          </cell>
          <cell r="AZ25">
            <v>5</v>
          </cell>
          <cell r="BA25">
            <v>16</v>
          </cell>
          <cell r="BB25">
            <v>28</v>
          </cell>
          <cell r="BC25">
            <v>49</v>
          </cell>
          <cell r="BD25">
            <v>0</v>
          </cell>
          <cell r="BE25">
            <v>5</v>
          </cell>
          <cell r="BF25">
            <v>34</v>
          </cell>
          <cell r="BG25">
            <v>4.8571428571428568</v>
          </cell>
          <cell r="BH25" t="str">
            <v>BETTER</v>
          </cell>
          <cell r="BI25">
            <v>679</v>
          </cell>
          <cell r="BJ25">
            <v>4</v>
          </cell>
          <cell r="BK25">
            <v>65</v>
          </cell>
        </row>
        <row r="26">
          <cell r="E26" t="str">
            <v>MOST.SHAMMI AKTER</v>
          </cell>
          <cell r="F26">
            <v>16</v>
          </cell>
          <cell r="G26">
            <v>15</v>
          </cell>
          <cell r="H26">
            <v>41</v>
          </cell>
          <cell r="I26">
            <v>72</v>
          </cell>
          <cell r="J26">
            <v>5</v>
          </cell>
          <cell r="K26">
            <v>10</v>
          </cell>
          <cell r="L26">
            <v>22</v>
          </cell>
          <cell r="M26">
            <v>37</v>
          </cell>
          <cell r="N26">
            <v>109</v>
          </cell>
          <cell r="O26">
            <v>0</v>
          </cell>
          <cell r="P26">
            <v>4</v>
          </cell>
          <cell r="Q26">
            <v>17</v>
          </cell>
          <cell r="R26">
            <v>19</v>
          </cell>
          <cell r="S26">
            <v>40</v>
          </cell>
          <cell r="T26">
            <v>76</v>
          </cell>
          <cell r="U26">
            <v>3</v>
          </cell>
          <cell r="V26">
            <v>10</v>
          </cell>
          <cell r="W26">
            <v>17</v>
          </cell>
          <cell r="X26">
            <v>30</v>
          </cell>
          <cell r="Y26">
            <v>106</v>
          </cell>
          <cell r="Z26">
            <v>0</v>
          </cell>
          <cell r="AA26">
            <v>4</v>
          </cell>
          <cell r="AB26">
            <v>11</v>
          </cell>
          <cell r="AC26">
            <v>15</v>
          </cell>
          <cell r="AD26">
            <v>57</v>
          </cell>
          <cell r="AE26">
            <v>83</v>
          </cell>
          <cell r="AF26">
            <v>0</v>
          </cell>
          <cell r="AG26">
            <v>5</v>
          </cell>
          <cell r="AH26">
            <v>16</v>
          </cell>
          <cell r="AI26">
            <v>20</v>
          </cell>
          <cell r="AJ26">
            <v>53</v>
          </cell>
          <cell r="AK26">
            <v>89</v>
          </cell>
          <cell r="AL26">
            <v>0</v>
          </cell>
          <cell r="AM26">
            <v>5</v>
          </cell>
          <cell r="AN26">
            <v>18</v>
          </cell>
          <cell r="AO26">
            <v>20</v>
          </cell>
          <cell r="AP26">
            <v>54</v>
          </cell>
          <cell r="AQ26">
            <v>92</v>
          </cell>
          <cell r="AR26">
            <v>0</v>
          </cell>
          <cell r="AS26">
            <v>5</v>
          </cell>
          <cell r="AT26">
            <v>16</v>
          </cell>
          <cell r="AU26">
            <v>19</v>
          </cell>
          <cell r="AV26">
            <v>48</v>
          </cell>
          <cell r="AW26">
            <v>83</v>
          </cell>
          <cell r="AX26">
            <v>0</v>
          </cell>
          <cell r="AY26">
            <v>5</v>
          </cell>
          <cell r="AZ26">
            <v>5</v>
          </cell>
          <cell r="BA26">
            <v>10</v>
          </cell>
          <cell r="BB26">
            <v>13</v>
          </cell>
          <cell r="BC26">
            <v>28</v>
          </cell>
          <cell r="BD26">
            <v>0</v>
          </cell>
          <cell r="BE26">
            <v>3</v>
          </cell>
          <cell r="BF26">
            <v>31</v>
          </cell>
          <cell r="BG26">
            <v>4.4285714285714288</v>
          </cell>
          <cell r="BH26" t="str">
            <v>BETTER</v>
          </cell>
          <cell r="BI26">
            <v>590</v>
          </cell>
          <cell r="BJ26">
            <v>52</v>
          </cell>
          <cell r="BK26">
            <v>60</v>
          </cell>
        </row>
        <row r="27">
          <cell r="E27" t="str">
            <v>ROZINA AKTER RADIA</v>
          </cell>
          <cell r="F27">
            <v>19</v>
          </cell>
          <cell r="G27">
            <v>20</v>
          </cell>
          <cell r="H27">
            <v>54</v>
          </cell>
          <cell r="I27">
            <v>93</v>
          </cell>
          <cell r="J27">
            <v>8</v>
          </cell>
          <cell r="K27">
            <v>10</v>
          </cell>
          <cell r="L27">
            <v>28</v>
          </cell>
          <cell r="M27">
            <v>46</v>
          </cell>
          <cell r="N27">
            <v>139</v>
          </cell>
          <cell r="O27">
            <v>0</v>
          </cell>
          <cell r="P27">
            <v>5</v>
          </cell>
          <cell r="Q27">
            <v>13</v>
          </cell>
          <cell r="R27">
            <v>20</v>
          </cell>
          <cell r="S27">
            <v>38</v>
          </cell>
          <cell r="T27">
            <v>71</v>
          </cell>
          <cell r="U27">
            <v>9</v>
          </cell>
          <cell r="V27">
            <v>8</v>
          </cell>
          <cell r="W27">
            <v>15</v>
          </cell>
          <cell r="X27">
            <v>32</v>
          </cell>
          <cell r="Y27">
            <v>103</v>
          </cell>
          <cell r="Z27">
            <v>0</v>
          </cell>
          <cell r="AA27">
            <v>3.5</v>
          </cell>
          <cell r="AB27">
            <v>15</v>
          </cell>
          <cell r="AC27">
            <v>20</v>
          </cell>
          <cell r="AD27">
            <v>53</v>
          </cell>
          <cell r="AE27">
            <v>88</v>
          </cell>
          <cell r="AF27">
            <v>0</v>
          </cell>
          <cell r="AG27">
            <v>5</v>
          </cell>
          <cell r="AH27">
            <v>15</v>
          </cell>
          <cell r="AI27">
            <v>20</v>
          </cell>
          <cell r="AJ27">
            <v>42</v>
          </cell>
          <cell r="AK27">
            <v>77</v>
          </cell>
          <cell r="AL27">
            <v>0</v>
          </cell>
          <cell r="AM27">
            <v>4</v>
          </cell>
          <cell r="AN27">
            <v>15</v>
          </cell>
          <cell r="AO27">
            <v>20</v>
          </cell>
          <cell r="AP27">
            <v>44</v>
          </cell>
          <cell r="AQ27">
            <v>79</v>
          </cell>
          <cell r="AR27">
            <v>0</v>
          </cell>
          <cell r="AS27">
            <v>4</v>
          </cell>
          <cell r="AT27">
            <v>13</v>
          </cell>
          <cell r="AU27">
            <v>20</v>
          </cell>
          <cell r="AV27">
            <v>54</v>
          </cell>
          <cell r="AW27">
            <v>87</v>
          </cell>
          <cell r="AX27">
            <v>0</v>
          </cell>
          <cell r="AY27">
            <v>5</v>
          </cell>
          <cell r="AZ27">
            <v>5</v>
          </cell>
          <cell r="BA27">
            <v>14</v>
          </cell>
          <cell r="BB27">
            <v>26</v>
          </cell>
          <cell r="BC27">
            <v>45</v>
          </cell>
          <cell r="BD27">
            <v>0</v>
          </cell>
          <cell r="BE27">
            <v>5</v>
          </cell>
          <cell r="BF27">
            <v>31.5</v>
          </cell>
          <cell r="BG27">
            <v>4.5</v>
          </cell>
          <cell r="BH27" t="str">
            <v>BETTER</v>
          </cell>
          <cell r="BI27">
            <v>618</v>
          </cell>
          <cell r="BJ27">
            <v>18</v>
          </cell>
          <cell r="BK27">
            <v>56</v>
          </cell>
        </row>
        <row r="28">
          <cell r="E28" t="str">
            <v>RAHELA AKTER</v>
          </cell>
          <cell r="F28">
            <v>17</v>
          </cell>
          <cell r="G28">
            <v>19</v>
          </cell>
          <cell r="H28">
            <v>53</v>
          </cell>
          <cell r="I28">
            <v>89</v>
          </cell>
          <cell r="J28">
            <v>6</v>
          </cell>
          <cell r="K28">
            <v>10</v>
          </cell>
          <cell r="L28">
            <v>22</v>
          </cell>
          <cell r="M28">
            <v>38</v>
          </cell>
          <cell r="N28">
            <v>127</v>
          </cell>
          <cell r="O28">
            <v>0</v>
          </cell>
          <cell r="P28">
            <v>5</v>
          </cell>
          <cell r="Q28">
            <v>10</v>
          </cell>
          <cell r="R28">
            <v>18</v>
          </cell>
          <cell r="S28">
            <v>33</v>
          </cell>
          <cell r="T28">
            <v>61</v>
          </cell>
          <cell r="U28">
            <v>1</v>
          </cell>
          <cell r="V28">
            <v>10</v>
          </cell>
          <cell r="W28">
            <v>18</v>
          </cell>
          <cell r="X28">
            <v>29</v>
          </cell>
          <cell r="Y28">
            <v>90</v>
          </cell>
          <cell r="Z28">
            <v>0</v>
          </cell>
          <cell r="AA28">
            <v>3.5</v>
          </cell>
          <cell r="AB28">
            <v>12</v>
          </cell>
          <cell r="AC28">
            <v>20</v>
          </cell>
          <cell r="AD28">
            <v>58</v>
          </cell>
          <cell r="AE28">
            <v>90</v>
          </cell>
          <cell r="AF28">
            <v>0</v>
          </cell>
          <cell r="AG28">
            <v>5</v>
          </cell>
          <cell r="AH28">
            <v>16</v>
          </cell>
          <cell r="AI28">
            <v>20</v>
          </cell>
          <cell r="AJ28">
            <v>51</v>
          </cell>
          <cell r="AK28">
            <v>87</v>
          </cell>
          <cell r="AL28">
            <v>0</v>
          </cell>
          <cell r="AM28">
            <v>5</v>
          </cell>
          <cell r="AN28">
            <v>17</v>
          </cell>
          <cell r="AO28">
            <v>20</v>
          </cell>
          <cell r="AP28">
            <v>48</v>
          </cell>
          <cell r="AQ28">
            <v>85</v>
          </cell>
          <cell r="AR28">
            <v>0</v>
          </cell>
          <cell r="AS28">
            <v>5</v>
          </cell>
          <cell r="AT28">
            <v>0</v>
          </cell>
          <cell r="AU28">
            <v>19</v>
          </cell>
          <cell r="AV28">
            <v>45</v>
          </cell>
          <cell r="AW28">
            <v>64</v>
          </cell>
          <cell r="AX28">
            <v>0</v>
          </cell>
          <cell r="AY28">
            <v>3.5</v>
          </cell>
          <cell r="AZ28">
            <v>7</v>
          </cell>
          <cell r="BA28">
            <v>4</v>
          </cell>
          <cell r="BB28">
            <v>10</v>
          </cell>
          <cell r="BC28">
            <v>21</v>
          </cell>
          <cell r="BD28">
            <v>0</v>
          </cell>
          <cell r="BE28">
            <v>2</v>
          </cell>
          <cell r="BF28">
            <v>29</v>
          </cell>
          <cell r="BG28">
            <v>4.1428571428571432</v>
          </cell>
          <cell r="BH28" t="str">
            <v>BETTER</v>
          </cell>
          <cell r="BI28">
            <v>564</v>
          </cell>
          <cell r="BJ28">
            <v>37</v>
          </cell>
          <cell r="BK28">
            <v>57</v>
          </cell>
        </row>
        <row r="29">
          <cell r="E29" t="str">
            <v>SUFIA BEGUM</v>
          </cell>
          <cell r="F29">
            <v>17</v>
          </cell>
          <cell r="G29">
            <v>19</v>
          </cell>
          <cell r="H29">
            <v>50</v>
          </cell>
          <cell r="I29">
            <v>86</v>
          </cell>
          <cell r="J29">
            <v>7</v>
          </cell>
          <cell r="K29">
            <v>10</v>
          </cell>
          <cell r="L29">
            <v>25</v>
          </cell>
          <cell r="M29">
            <v>42</v>
          </cell>
          <cell r="N29">
            <v>128</v>
          </cell>
          <cell r="O29">
            <v>0</v>
          </cell>
          <cell r="P29">
            <v>5</v>
          </cell>
          <cell r="Q29">
            <v>13</v>
          </cell>
          <cell r="R29">
            <v>20</v>
          </cell>
          <cell r="S29">
            <v>49</v>
          </cell>
          <cell r="T29">
            <v>82</v>
          </cell>
          <cell r="U29">
            <v>6</v>
          </cell>
          <cell r="V29">
            <v>10</v>
          </cell>
          <cell r="W29">
            <v>23</v>
          </cell>
          <cell r="X29">
            <v>39</v>
          </cell>
          <cell r="Y29">
            <v>121</v>
          </cell>
          <cell r="Z29">
            <v>0</v>
          </cell>
          <cell r="AA29">
            <v>5</v>
          </cell>
          <cell r="AB29">
            <v>13</v>
          </cell>
          <cell r="AC29">
            <v>20</v>
          </cell>
          <cell r="AD29">
            <v>59</v>
          </cell>
          <cell r="AE29">
            <v>92</v>
          </cell>
          <cell r="AF29">
            <v>0</v>
          </cell>
          <cell r="AG29">
            <v>5</v>
          </cell>
          <cell r="AH29">
            <v>19</v>
          </cell>
          <cell r="AI29">
            <v>20</v>
          </cell>
          <cell r="AJ29">
            <v>46</v>
          </cell>
          <cell r="AK29">
            <v>85</v>
          </cell>
          <cell r="AL29">
            <v>0</v>
          </cell>
          <cell r="AM29">
            <v>5</v>
          </cell>
          <cell r="AN29">
            <v>17</v>
          </cell>
          <cell r="AO29">
            <v>20</v>
          </cell>
          <cell r="AP29">
            <v>48</v>
          </cell>
          <cell r="AQ29">
            <v>85</v>
          </cell>
          <cell r="AR29">
            <v>0</v>
          </cell>
          <cell r="AS29">
            <v>5</v>
          </cell>
          <cell r="AT29">
            <v>15</v>
          </cell>
          <cell r="AU29">
            <v>18</v>
          </cell>
          <cell r="AV29">
            <v>44</v>
          </cell>
          <cell r="AW29">
            <v>77</v>
          </cell>
          <cell r="AX29">
            <v>0</v>
          </cell>
          <cell r="AY29">
            <v>4</v>
          </cell>
          <cell r="AZ29">
            <v>5</v>
          </cell>
          <cell r="BA29">
            <v>13</v>
          </cell>
          <cell r="BB29">
            <v>27</v>
          </cell>
          <cell r="BC29">
            <v>45</v>
          </cell>
          <cell r="BD29">
            <v>0</v>
          </cell>
          <cell r="BE29">
            <v>5</v>
          </cell>
          <cell r="BF29">
            <v>34</v>
          </cell>
          <cell r="BG29">
            <v>4.8571428571428568</v>
          </cell>
          <cell r="BH29" t="str">
            <v>BETTER</v>
          </cell>
          <cell r="BI29">
            <v>633</v>
          </cell>
          <cell r="BJ29">
            <v>13</v>
          </cell>
          <cell r="BK29">
            <v>55</v>
          </cell>
        </row>
        <row r="30">
          <cell r="E30" t="str">
            <v>RAJIA SULTANA HERA</v>
          </cell>
          <cell r="F30">
            <v>15</v>
          </cell>
          <cell r="G30">
            <v>20</v>
          </cell>
          <cell r="H30">
            <v>46</v>
          </cell>
          <cell r="I30">
            <v>81</v>
          </cell>
          <cell r="J30">
            <v>6</v>
          </cell>
          <cell r="K30">
            <v>10</v>
          </cell>
          <cell r="L30">
            <v>27</v>
          </cell>
          <cell r="M30">
            <v>43</v>
          </cell>
          <cell r="N30">
            <v>124</v>
          </cell>
          <cell r="O30">
            <v>0</v>
          </cell>
          <cell r="P30">
            <v>5</v>
          </cell>
          <cell r="Q30">
            <v>11</v>
          </cell>
          <cell r="R30">
            <v>20</v>
          </cell>
          <cell r="S30">
            <v>36</v>
          </cell>
          <cell r="T30">
            <v>67</v>
          </cell>
          <cell r="U30">
            <v>8</v>
          </cell>
          <cell r="V30">
            <v>8</v>
          </cell>
          <cell r="W30">
            <v>13</v>
          </cell>
          <cell r="X30">
            <v>29</v>
          </cell>
          <cell r="Y30">
            <v>96</v>
          </cell>
          <cell r="Z30">
            <v>0</v>
          </cell>
          <cell r="AA30">
            <v>3.5</v>
          </cell>
          <cell r="AB30">
            <v>13</v>
          </cell>
          <cell r="AC30">
            <v>20</v>
          </cell>
          <cell r="AD30">
            <v>58</v>
          </cell>
          <cell r="AE30">
            <v>91</v>
          </cell>
          <cell r="AF30">
            <v>0</v>
          </cell>
          <cell r="AG30">
            <v>5</v>
          </cell>
          <cell r="AH30">
            <v>17</v>
          </cell>
          <cell r="AI30">
            <v>18</v>
          </cell>
          <cell r="AJ30">
            <v>26</v>
          </cell>
          <cell r="AK30">
            <v>61</v>
          </cell>
          <cell r="AL30">
            <v>0</v>
          </cell>
          <cell r="AM30">
            <v>3.5</v>
          </cell>
          <cell r="AN30">
            <v>15</v>
          </cell>
          <cell r="AO30">
            <v>20</v>
          </cell>
          <cell r="AP30">
            <v>38</v>
          </cell>
          <cell r="AQ30">
            <v>73</v>
          </cell>
          <cell r="AR30">
            <v>0</v>
          </cell>
          <cell r="AS30">
            <v>4</v>
          </cell>
          <cell r="AT30">
            <v>13</v>
          </cell>
          <cell r="AU30">
            <v>20</v>
          </cell>
          <cell r="AV30">
            <v>51</v>
          </cell>
          <cell r="AW30">
            <v>84</v>
          </cell>
          <cell r="AX30">
            <v>0</v>
          </cell>
          <cell r="AY30">
            <v>5</v>
          </cell>
          <cell r="AZ30">
            <v>5</v>
          </cell>
          <cell r="BA30">
            <v>11</v>
          </cell>
          <cell r="BB30">
            <v>24</v>
          </cell>
          <cell r="BC30">
            <v>40</v>
          </cell>
          <cell r="BD30">
            <v>0</v>
          </cell>
          <cell r="BE30">
            <v>5</v>
          </cell>
          <cell r="BF30">
            <v>31</v>
          </cell>
          <cell r="BG30">
            <v>4.4285714285714288</v>
          </cell>
          <cell r="BH30" t="str">
            <v>BETTER</v>
          </cell>
          <cell r="BI30">
            <v>569</v>
          </cell>
          <cell r="BJ30">
            <v>55</v>
          </cell>
          <cell r="BK30">
            <v>56</v>
          </cell>
        </row>
        <row r="31">
          <cell r="E31" t="str">
            <v>ISRAT JAHAN ROSY</v>
          </cell>
          <cell r="F31">
            <v>18</v>
          </cell>
          <cell r="G31">
            <v>20</v>
          </cell>
          <cell r="H31">
            <v>59</v>
          </cell>
          <cell r="I31">
            <v>97</v>
          </cell>
          <cell r="J31">
            <v>8</v>
          </cell>
          <cell r="K31">
            <v>10</v>
          </cell>
          <cell r="L31">
            <v>27</v>
          </cell>
          <cell r="M31">
            <v>45</v>
          </cell>
          <cell r="N31">
            <v>142</v>
          </cell>
          <cell r="O31">
            <v>0</v>
          </cell>
          <cell r="P31">
            <v>5</v>
          </cell>
          <cell r="Q31">
            <v>17</v>
          </cell>
          <cell r="R31">
            <v>20</v>
          </cell>
          <cell r="S31">
            <v>52</v>
          </cell>
          <cell r="T31">
            <v>89</v>
          </cell>
          <cell r="U31">
            <v>7</v>
          </cell>
          <cell r="V31">
            <v>10</v>
          </cell>
          <cell r="W31">
            <v>25</v>
          </cell>
          <cell r="X31">
            <v>42</v>
          </cell>
          <cell r="Y31">
            <v>131</v>
          </cell>
          <cell r="Z31">
            <v>0</v>
          </cell>
          <cell r="AA31">
            <v>5</v>
          </cell>
          <cell r="AB31">
            <v>15</v>
          </cell>
          <cell r="AC31">
            <v>20</v>
          </cell>
          <cell r="AD31">
            <v>60</v>
          </cell>
          <cell r="AE31">
            <v>95</v>
          </cell>
          <cell r="AF31">
            <v>0</v>
          </cell>
          <cell r="AG31">
            <v>5</v>
          </cell>
          <cell r="AH31">
            <v>20</v>
          </cell>
          <cell r="AI31">
            <v>20</v>
          </cell>
          <cell r="AJ31">
            <v>58</v>
          </cell>
          <cell r="AK31">
            <v>98</v>
          </cell>
          <cell r="AL31">
            <v>0</v>
          </cell>
          <cell r="AM31">
            <v>5</v>
          </cell>
          <cell r="AN31">
            <v>19</v>
          </cell>
          <cell r="AO31">
            <v>20</v>
          </cell>
          <cell r="AP31">
            <v>55</v>
          </cell>
          <cell r="AQ31">
            <v>94</v>
          </cell>
          <cell r="AR31">
            <v>0</v>
          </cell>
          <cell r="AS31">
            <v>5</v>
          </cell>
          <cell r="AT31">
            <v>20</v>
          </cell>
          <cell r="AU31">
            <v>19</v>
          </cell>
          <cell r="AV31">
            <v>51</v>
          </cell>
          <cell r="AW31">
            <v>90</v>
          </cell>
          <cell r="AX31">
            <v>0</v>
          </cell>
          <cell r="AY31">
            <v>5</v>
          </cell>
          <cell r="AZ31">
            <v>5</v>
          </cell>
          <cell r="BA31">
            <v>15</v>
          </cell>
          <cell r="BB31">
            <v>29</v>
          </cell>
          <cell r="BC31">
            <v>49</v>
          </cell>
          <cell r="BD31">
            <v>0</v>
          </cell>
          <cell r="BE31">
            <v>5</v>
          </cell>
          <cell r="BF31">
            <v>35</v>
          </cell>
          <cell r="BG31">
            <v>5</v>
          </cell>
          <cell r="BH31" t="str">
            <v>BEST</v>
          </cell>
          <cell r="BI31">
            <v>699</v>
          </cell>
          <cell r="BJ31">
            <v>5</v>
          </cell>
          <cell r="BK31">
            <v>56</v>
          </cell>
        </row>
        <row r="32">
          <cell r="E32" t="str">
            <v>KHALEDA PERVIN</v>
          </cell>
          <cell r="F32">
            <v>18</v>
          </cell>
          <cell r="G32">
            <v>20</v>
          </cell>
          <cell r="H32">
            <v>52</v>
          </cell>
          <cell r="I32">
            <v>90</v>
          </cell>
          <cell r="J32">
            <v>8</v>
          </cell>
          <cell r="K32">
            <v>10</v>
          </cell>
          <cell r="L32">
            <v>28</v>
          </cell>
          <cell r="M32">
            <v>46</v>
          </cell>
          <cell r="N32">
            <v>136</v>
          </cell>
          <cell r="O32">
            <v>0</v>
          </cell>
          <cell r="P32">
            <v>5</v>
          </cell>
          <cell r="Q32">
            <v>11</v>
          </cell>
          <cell r="R32">
            <v>20</v>
          </cell>
          <cell r="S32">
            <v>43</v>
          </cell>
          <cell r="T32">
            <v>74</v>
          </cell>
          <cell r="U32">
            <v>8</v>
          </cell>
          <cell r="V32">
            <v>8</v>
          </cell>
          <cell r="W32">
            <v>16</v>
          </cell>
          <cell r="X32">
            <v>32</v>
          </cell>
          <cell r="Y32">
            <v>106</v>
          </cell>
          <cell r="Z32">
            <v>0</v>
          </cell>
          <cell r="AA32">
            <v>4</v>
          </cell>
          <cell r="AB32">
            <v>18</v>
          </cell>
          <cell r="AC32">
            <v>20</v>
          </cell>
          <cell r="AD32">
            <v>58</v>
          </cell>
          <cell r="AE32">
            <v>96</v>
          </cell>
          <cell r="AF32">
            <v>0</v>
          </cell>
          <cell r="AG32">
            <v>5</v>
          </cell>
          <cell r="AH32">
            <v>18</v>
          </cell>
          <cell r="AI32">
            <v>20</v>
          </cell>
          <cell r="AJ32">
            <v>49</v>
          </cell>
          <cell r="AK32">
            <v>87</v>
          </cell>
          <cell r="AL32">
            <v>0</v>
          </cell>
          <cell r="AM32">
            <v>5</v>
          </cell>
          <cell r="AN32">
            <v>16</v>
          </cell>
          <cell r="AO32">
            <v>20</v>
          </cell>
          <cell r="AP32">
            <v>51</v>
          </cell>
          <cell r="AQ32">
            <v>87</v>
          </cell>
          <cell r="AR32">
            <v>0</v>
          </cell>
          <cell r="AS32">
            <v>5</v>
          </cell>
          <cell r="AT32">
            <v>18</v>
          </cell>
          <cell r="AU32">
            <v>20</v>
          </cell>
          <cell r="AV32">
            <v>56</v>
          </cell>
          <cell r="AW32">
            <v>94</v>
          </cell>
          <cell r="AX32">
            <v>0</v>
          </cell>
          <cell r="AY32">
            <v>5</v>
          </cell>
          <cell r="AZ32">
            <v>5</v>
          </cell>
          <cell r="BA32">
            <v>14</v>
          </cell>
          <cell r="BB32">
            <v>23</v>
          </cell>
          <cell r="BC32">
            <v>42</v>
          </cell>
          <cell r="BD32">
            <v>0</v>
          </cell>
          <cell r="BE32">
            <v>5</v>
          </cell>
          <cell r="BF32">
            <v>34</v>
          </cell>
          <cell r="BG32">
            <v>4.8571428571428568</v>
          </cell>
          <cell r="BH32" t="str">
            <v>BETTER</v>
          </cell>
          <cell r="BI32">
            <v>648</v>
          </cell>
          <cell r="BJ32">
            <v>11</v>
          </cell>
          <cell r="BK32">
            <v>59</v>
          </cell>
        </row>
        <row r="33">
          <cell r="E33" t="str">
            <v>ISRAT JAHAN ROSY</v>
          </cell>
          <cell r="F33">
            <v>17</v>
          </cell>
          <cell r="G33">
            <v>20</v>
          </cell>
          <cell r="H33">
            <v>54</v>
          </cell>
          <cell r="I33">
            <v>91</v>
          </cell>
          <cell r="J33">
            <v>10</v>
          </cell>
          <cell r="K33">
            <v>10</v>
          </cell>
          <cell r="L33">
            <v>29</v>
          </cell>
          <cell r="M33">
            <v>49</v>
          </cell>
          <cell r="N33">
            <v>140</v>
          </cell>
          <cell r="O33">
            <v>0</v>
          </cell>
          <cell r="P33">
            <v>5</v>
          </cell>
          <cell r="Q33">
            <v>17</v>
          </cell>
          <cell r="R33">
            <v>20</v>
          </cell>
          <cell r="S33">
            <v>54</v>
          </cell>
          <cell r="T33">
            <v>91</v>
          </cell>
          <cell r="U33">
            <v>7</v>
          </cell>
          <cell r="V33">
            <v>10</v>
          </cell>
          <cell r="W33">
            <v>25</v>
          </cell>
          <cell r="X33">
            <v>42</v>
          </cell>
          <cell r="Y33">
            <v>133</v>
          </cell>
          <cell r="Z33">
            <v>0</v>
          </cell>
          <cell r="AA33">
            <v>5</v>
          </cell>
          <cell r="AB33">
            <v>20</v>
          </cell>
          <cell r="AC33">
            <v>20</v>
          </cell>
          <cell r="AD33">
            <v>60</v>
          </cell>
          <cell r="AE33">
            <v>100</v>
          </cell>
          <cell r="AF33">
            <v>0</v>
          </cell>
          <cell r="AG33">
            <v>5</v>
          </cell>
          <cell r="AH33">
            <v>19</v>
          </cell>
          <cell r="AI33">
            <v>20</v>
          </cell>
          <cell r="AJ33">
            <v>59</v>
          </cell>
          <cell r="AK33">
            <v>98</v>
          </cell>
          <cell r="AL33">
            <v>0</v>
          </cell>
          <cell r="AM33">
            <v>5</v>
          </cell>
          <cell r="AN33">
            <v>19</v>
          </cell>
          <cell r="AO33">
            <v>20</v>
          </cell>
          <cell r="AP33">
            <v>52</v>
          </cell>
          <cell r="AQ33">
            <v>91</v>
          </cell>
          <cell r="AR33">
            <v>0</v>
          </cell>
          <cell r="AS33">
            <v>5</v>
          </cell>
          <cell r="AT33">
            <v>20</v>
          </cell>
          <cell r="AU33">
            <v>18</v>
          </cell>
          <cell r="AV33">
            <v>46</v>
          </cell>
          <cell r="AW33">
            <v>84</v>
          </cell>
          <cell r="AX33">
            <v>0</v>
          </cell>
          <cell r="AY33">
            <v>5</v>
          </cell>
          <cell r="AZ33">
            <v>5</v>
          </cell>
          <cell r="BA33">
            <v>15</v>
          </cell>
          <cell r="BB33">
            <v>29</v>
          </cell>
          <cell r="BC33">
            <v>49</v>
          </cell>
          <cell r="BD33">
            <v>0</v>
          </cell>
          <cell r="BE33">
            <v>5</v>
          </cell>
          <cell r="BF33">
            <v>35</v>
          </cell>
          <cell r="BG33">
            <v>5</v>
          </cell>
          <cell r="BH33" t="str">
            <v>BEST</v>
          </cell>
          <cell r="BI33">
            <v>695</v>
          </cell>
          <cell r="BJ33">
            <v>3</v>
          </cell>
          <cell r="BK33">
            <v>60</v>
          </cell>
        </row>
        <row r="34">
          <cell r="E34" t="str">
            <v>ROJINA BEGUM</v>
          </cell>
          <cell r="F34">
            <v>19</v>
          </cell>
          <cell r="G34">
            <v>20</v>
          </cell>
          <cell r="H34">
            <v>53</v>
          </cell>
          <cell r="I34">
            <v>92</v>
          </cell>
          <cell r="J34">
            <v>5</v>
          </cell>
          <cell r="K34">
            <v>10</v>
          </cell>
          <cell r="L34">
            <v>26</v>
          </cell>
          <cell r="M34">
            <v>41</v>
          </cell>
          <cell r="N34">
            <v>133</v>
          </cell>
          <cell r="O34">
            <v>0</v>
          </cell>
          <cell r="P34">
            <v>5</v>
          </cell>
          <cell r="Q34">
            <v>9</v>
          </cell>
          <cell r="R34">
            <v>18</v>
          </cell>
          <cell r="S34">
            <v>50</v>
          </cell>
          <cell r="T34">
            <v>77</v>
          </cell>
          <cell r="U34">
            <v>8</v>
          </cell>
          <cell r="V34">
            <v>8</v>
          </cell>
          <cell r="W34">
            <v>16</v>
          </cell>
          <cell r="X34">
            <v>32</v>
          </cell>
          <cell r="Y34">
            <v>109</v>
          </cell>
          <cell r="Z34">
            <v>0</v>
          </cell>
          <cell r="AA34">
            <v>4</v>
          </cell>
          <cell r="AB34">
            <v>11</v>
          </cell>
          <cell r="AC34">
            <v>20</v>
          </cell>
          <cell r="AD34">
            <v>52</v>
          </cell>
          <cell r="AE34">
            <v>83</v>
          </cell>
          <cell r="AF34">
            <v>0</v>
          </cell>
          <cell r="AG34">
            <v>5</v>
          </cell>
          <cell r="AH34">
            <v>11</v>
          </cell>
          <cell r="AI34">
            <v>20</v>
          </cell>
          <cell r="AJ34">
            <v>49</v>
          </cell>
          <cell r="AK34">
            <v>80</v>
          </cell>
          <cell r="AL34">
            <v>0</v>
          </cell>
          <cell r="AM34">
            <v>5</v>
          </cell>
          <cell r="AN34">
            <v>16</v>
          </cell>
          <cell r="AO34">
            <v>20</v>
          </cell>
          <cell r="AP34">
            <v>52</v>
          </cell>
          <cell r="AQ34">
            <v>88</v>
          </cell>
          <cell r="AR34">
            <v>0</v>
          </cell>
          <cell r="AS34">
            <v>5</v>
          </cell>
          <cell r="AT34">
            <v>18</v>
          </cell>
          <cell r="AU34">
            <v>20</v>
          </cell>
          <cell r="AV34">
            <v>54</v>
          </cell>
          <cell r="AW34">
            <v>92</v>
          </cell>
          <cell r="AX34">
            <v>0</v>
          </cell>
          <cell r="AY34">
            <v>5</v>
          </cell>
          <cell r="AZ34">
            <v>5</v>
          </cell>
          <cell r="BA34">
            <v>14</v>
          </cell>
          <cell r="BB34">
            <v>28</v>
          </cell>
          <cell r="BC34">
            <v>47</v>
          </cell>
          <cell r="BD34">
            <v>0</v>
          </cell>
          <cell r="BE34">
            <v>5</v>
          </cell>
          <cell r="BF34">
            <v>34</v>
          </cell>
          <cell r="BG34">
            <v>4.8571428571428568</v>
          </cell>
          <cell r="BH34" t="str">
            <v>BETTER</v>
          </cell>
          <cell r="BI34">
            <v>632</v>
          </cell>
          <cell r="BJ34">
            <v>7</v>
          </cell>
          <cell r="BK34">
            <v>57</v>
          </cell>
        </row>
        <row r="35">
          <cell r="E35" t="str">
            <v>SHAHIDA HOSSAIN</v>
          </cell>
          <cell r="F35">
            <v>14</v>
          </cell>
          <cell r="G35">
            <v>15</v>
          </cell>
          <cell r="H35">
            <v>47</v>
          </cell>
          <cell r="I35">
            <v>76</v>
          </cell>
          <cell r="J35">
            <v>1</v>
          </cell>
          <cell r="K35">
            <v>10</v>
          </cell>
          <cell r="L35">
            <v>23</v>
          </cell>
          <cell r="M35">
            <v>34</v>
          </cell>
          <cell r="N35">
            <v>110</v>
          </cell>
          <cell r="O35">
            <v>0</v>
          </cell>
          <cell r="P35">
            <v>4</v>
          </cell>
          <cell r="Q35">
            <v>16</v>
          </cell>
          <cell r="R35">
            <v>19</v>
          </cell>
          <cell r="S35">
            <v>45</v>
          </cell>
          <cell r="T35">
            <v>80</v>
          </cell>
          <cell r="U35">
            <v>5</v>
          </cell>
          <cell r="V35">
            <v>10</v>
          </cell>
          <cell r="W35">
            <v>23</v>
          </cell>
          <cell r="X35">
            <v>38</v>
          </cell>
          <cell r="Y35">
            <v>118</v>
          </cell>
          <cell r="Z35">
            <v>0</v>
          </cell>
          <cell r="AA35">
            <v>4</v>
          </cell>
          <cell r="AB35">
            <v>12</v>
          </cell>
          <cell r="AC35">
            <v>20</v>
          </cell>
          <cell r="AD35">
            <v>58</v>
          </cell>
          <cell r="AE35">
            <v>90</v>
          </cell>
          <cell r="AF35">
            <v>0</v>
          </cell>
          <cell r="AG35">
            <v>5</v>
          </cell>
          <cell r="AH35">
            <v>18</v>
          </cell>
          <cell r="AI35">
            <v>20</v>
          </cell>
          <cell r="AJ35">
            <v>46</v>
          </cell>
          <cell r="AK35">
            <v>84</v>
          </cell>
          <cell r="AL35">
            <v>0</v>
          </cell>
          <cell r="AM35">
            <v>5</v>
          </cell>
          <cell r="AN35">
            <v>14</v>
          </cell>
          <cell r="AO35">
            <v>20</v>
          </cell>
          <cell r="AP35">
            <v>53</v>
          </cell>
          <cell r="AQ35">
            <v>87</v>
          </cell>
          <cell r="AR35">
            <v>0</v>
          </cell>
          <cell r="AS35">
            <v>5</v>
          </cell>
          <cell r="AT35">
            <v>16</v>
          </cell>
          <cell r="AU35">
            <v>18</v>
          </cell>
          <cell r="AV35">
            <v>43</v>
          </cell>
          <cell r="AW35">
            <v>77</v>
          </cell>
          <cell r="AX35">
            <v>0</v>
          </cell>
          <cell r="AY35">
            <v>4</v>
          </cell>
          <cell r="AZ35">
            <v>5</v>
          </cell>
          <cell r="BA35">
            <v>14</v>
          </cell>
          <cell r="BB35">
            <v>25</v>
          </cell>
          <cell r="BC35">
            <v>44</v>
          </cell>
          <cell r="BD35">
            <v>0</v>
          </cell>
          <cell r="BE35">
            <v>5</v>
          </cell>
          <cell r="BF35">
            <v>32</v>
          </cell>
          <cell r="BG35">
            <v>4.5714285714285712</v>
          </cell>
          <cell r="BH35" t="str">
            <v>BETTER</v>
          </cell>
          <cell r="BI35">
            <v>610</v>
          </cell>
          <cell r="BJ35">
            <v>30</v>
          </cell>
          <cell r="BK35">
            <v>60</v>
          </cell>
        </row>
        <row r="36">
          <cell r="E36" t="str">
            <v>RASHIDA AKTER SHANTO</v>
          </cell>
          <cell r="F36">
            <v>16</v>
          </cell>
          <cell r="G36">
            <v>20</v>
          </cell>
          <cell r="H36">
            <v>49</v>
          </cell>
          <cell r="I36">
            <v>85</v>
          </cell>
          <cell r="J36">
            <v>8</v>
          </cell>
          <cell r="K36">
            <v>10</v>
          </cell>
          <cell r="L36">
            <v>25</v>
          </cell>
          <cell r="M36">
            <v>43</v>
          </cell>
          <cell r="N36">
            <v>128</v>
          </cell>
          <cell r="O36">
            <v>0</v>
          </cell>
          <cell r="P36">
            <v>5</v>
          </cell>
          <cell r="Q36">
            <v>18</v>
          </cell>
          <cell r="R36">
            <v>20</v>
          </cell>
          <cell r="S36">
            <v>43</v>
          </cell>
          <cell r="T36">
            <v>81</v>
          </cell>
          <cell r="U36">
            <v>7</v>
          </cell>
          <cell r="V36">
            <v>8</v>
          </cell>
          <cell r="W36">
            <v>13</v>
          </cell>
          <cell r="X36">
            <v>28</v>
          </cell>
          <cell r="Y36">
            <v>109</v>
          </cell>
          <cell r="Z36">
            <v>0</v>
          </cell>
          <cell r="AA36">
            <v>4</v>
          </cell>
          <cell r="AB36">
            <v>14</v>
          </cell>
          <cell r="AC36">
            <v>20</v>
          </cell>
          <cell r="AD36">
            <v>38</v>
          </cell>
          <cell r="AE36">
            <v>72</v>
          </cell>
          <cell r="AF36">
            <v>0</v>
          </cell>
          <cell r="AG36">
            <v>4</v>
          </cell>
          <cell r="AH36">
            <v>9</v>
          </cell>
          <cell r="AI36">
            <v>20</v>
          </cell>
          <cell r="AJ36">
            <v>38</v>
          </cell>
          <cell r="AK36">
            <v>67</v>
          </cell>
          <cell r="AL36">
            <v>0</v>
          </cell>
          <cell r="AM36">
            <v>3.5</v>
          </cell>
          <cell r="AN36">
            <v>13</v>
          </cell>
          <cell r="AO36">
            <v>20</v>
          </cell>
          <cell r="AP36">
            <v>45</v>
          </cell>
          <cell r="AQ36">
            <v>78</v>
          </cell>
          <cell r="AR36">
            <v>0</v>
          </cell>
          <cell r="AS36">
            <v>4</v>
          </cell>
          <cell r="AT36">
            <v>16</v>
          </cell>
          <cell r="AU36">
            <v>20</v>
          </cell>
          <cell r="AV36">
            <v>56</v>
          </cell>
          <cell r="AW36">
            <v>92</v>
          </cell>
          <cell r="AX36">
            <v>0</v>
          </cell>
          <cell r="AY36">
            <v>5</v>
          </cell>
          <cell r="AZ36">
            <v>5</v>
          </cell>
          <cell r="BA36">
            <v>13</v>
          </cell>
          <cell r="BB36">
            <v>28</v>
          </cell>
          <cell r="BC36">
            <v>46</v>
          </cell>
          <cell r="BD36">
            <v>0</v>
          </cell>
          <cell r="BE36">
            <v>5</v>
          </cell>
          <cell r="BF36">
            <v>30.5</v>
          </cell>
          <cell r="BG36">
            <v>4.3571428571428568</v>
          </cell>
          <cell r="BH36" t="str">
            <v>BETTER</v>
          </cell>
          <cell r="BI36">
            <v>592</v>
          </cell>
          <cell r="BJ36">
            <v>47</v>
          </cell>
          <cell r="BK36">
            <v>64</v>
          </cell>
        </row>
        <row r="37">
          <cell r="E37" t="str">
            <v>MAKSUDA BEGUM</v>
          </cell>
          <cell r="F37">
            <v>15</v>
          </cell>
          <cell r="G37">
            <v>20</v>
          </cell>
          <cell r="H37">
            <v>47</v>
          </cell>
          <cell r="I37">
            <v>82</v>
          </cell>
          <cell r="J37">
            <v>3</v>
          </cell>
          <cell r="K37">
            <v>10</v>
          </cell>
          <cell r="L37">
            <v>25</v>
          </cell>
          <cell r="M37">
            <v>38</v>
          </cell>
          <cell r="N37">
            <v>120</v>
          </cell>
          <cell r="O37">
            <v>0</v>
          </cell>
          <cell r="P37">
            <v>5</v>
          </cell>
          <cell r="Q37">
            <v>8</v>
          </cell>
          <cell r="R37">
            <v>20</v>
          </cell>
          <cell r="S37">
            <v>28</v>
          </cell>
          <cell r="T37">
            <v>56</v>
          </cell>
          <cell r="U37">
            <v>8</v>
          </cell>
          <cell r="V37">
            <v>8</v>
          </cell>
          <cell r="W37">
            <v>11</v>
          </cell>
          <cell r="X37">
            <v>27</v>
          </cell>
          <cell r="Y37">
            <v>83</v>
          </cell>
          <cell r="Z37">
            <v>0</v>
          </cell>
          <cell r="AA37">
            <v>3</v>
          </cell>
          <cell r="AB37">
            <v>11</v>
          </cell>
          <cell r="AC37">
            <v>20</v>
          </cell>
          <cell r="AD37">
            <v>49</v>
          </cell>
          <cell r="AE37">
            <v>80</v>
          </cell>
          <cell r="AF37">
            <v>0</v>
          </cell>
          <cell r="AG37">
            <v>5</v>
          </cell>
          <cell r="AH37">
            <v>4</v>
          </cell>
          <cell r="AI37">
            <v>20</v>
          </cell>
          <cell r="AJ37">
            <v>38</v>
          </cell>
          <cell r="AK37">
            <v>62</v>
          </cell>
          <cell r="AL37">
            <v>0</v>
          </cell>
          <cell r="AM37">
            <v>3.5</v>
          </cell>
          <cell r="AN37">
            <v>12</v>
          </cell>
          <cell r="AO37">
            <v>20</v>
          </cell>
          <cell r="AP37">
            <v>43</v>
          </cell>
          <cell r="AQ37">
            <v>75</v>
          </cell>
          <cell r="AR37">
            <v>0</v>
          </cell>
          <cell r="AS37">
            <v>4</v>
          </cell>
          <cell r="AT37">
            <v>13</v>
          </cell>
          <cell r="AU37">
            <v>20</v>
          </cell>
          <cell r="AV37">
            <v>50</v>
          </cell>
          <cell r="AW37">
            <v>83</v>
          </cell>
          <cell r="AX37">
            <v>0</v>
          </cell>
          <cell r="AY37">
            <v>5</v>
          </cell>
          <cell r="AZ37">
            <v>5</v>
          </cell>
          <cell r="BA37">
            <v>14</v>
          </cell>
          <cell r="BB37">
            <v>24</v>
          </cell>
          <cell r="BC37">
            <v>43</v>
          </cell>
          <cell r="BD37">
            <v>0</v>
          </cell>
          <cell r="BE37">
            <v>5</v>
          </cell>
          <cell r="BF37">
            <v>30.5</v>
          </cell>
          <cell r="BG37">
            <v>4.3571428571428568</v>
          </cell>
          <cell r="BH37" t="str">
            <v>BETTER</v>
          </cell>
          <cell r="BI37">
            <v>546</v>
          </cell>
          <cell r="BJ37">
            <v>40</v>
          </cell>
          <cell r="BK37">
            <v>56</v>
          </cell>
        </row>
        <row r="38">
          <cell r="E38" t="str">
            <v>ROMANA AKTER</v>
          </cell>
          <cell r="F38">
            <v>18</v>
          </cell>
          <cell r="G38">
            <v>20</v>
          </cell>
          <cell r="H38">
            <v>58</v>
          </cell>
          <cell r="I38">
            <v>96</v>
          </cell>
          <cell r="J38">
            <v>9</v>
          </cell>
          <cell r="K38">
            <v>10</v>
          </cell>
          <cell r="L38">
            <v>29</v>
          </cell>
          <cell r="M38">
            <v>48</v>
          </cell>
          <cell r="N38">
            <v>144</v>
          </cell>
          <cell r="O38">
            <v>0</v>
          </cell>
          <cell r="P38">
            <v>5</v>
          </cell>
          <cell r="Q38">
            <v>11</v>
          </cell>
          <cell r="R38">
            <v>20</v>
          </cell>
          <cell r="S38">
            <v>46</v>
          </cell>
          <cell r="T38">
            <v>77</v>
          </cell>
          <cell r="U38">
            <v>9</v>
          </cell>
          <cell r="V38">
            <v>8</v>
          </cell>
          <cell r="W38">
            <v>16</v>
          </cell>
          <cell r="X38">
            <v>33</v>
          </cell>
          <cell r="Y38">
            <v>110</v>
          </cell>
          <cell r="Z38">
            <v>0</v>
          </cell>
          <cell r="AA38">
            <v>4</v>
          </cell>
          <cell r="AB38">
            <v>12</v>
          </cell>
          <cell r="AC38">
            <v>20</v>
          </cell>
          <cell r="AD38">
            <v>50</v>
          </cell>
          <cell r="AE38">
            <v>82</v>
          </cell>
          <cell r="AF38">
            <v>0</v>
          </cell>
          <cell r="AG38">
            <v>5</v>
          </cell>
          <cell r="AH38">
            <v>20</v>
          </cell>
          <cell r="AI38">
            <v>20</v>
          </cell>
          <cell r="AJ38">
            <v>60</v>
          </cell>
          <cell r="AK38">
            <v>100</v>
          </cell>
          <cell r="AL38">
            <v>0</v>
          </cell>
          <cell r="AM38">
            <v>5</v>
          </cell>
          <cell r="AN38">
            <v>17</v>
          </cell>
          <cell r="AO38">
            <v>20</v>
          </cell>
          <cell r="AP38">
            <v>52</v>
          </cell>
          <cell r="AQ38">
            <v>89</v>
          </cell>
          <cell r="AR38">
            <v>0</v>
          </cell>
          <cell r="AS38">
            <v>5</v>
          </cell>
          <cell r="AT38">
            <v>19</v>
          </cell>
          <cell r="AU38">
            <v>20</v>
          </cell>
          <cell r="AV38">
            <v>58</v>
          </cell>
          <cell r="AW38">
            <v>97</v>
          </cell>
          <cell r="AX38">
            <v>0</v>
          </cell>
          <cell r="AY38">
            <v>5</v>
          </cell>
          <cell r="AZ38">
            <v>5</v>
          </cell>
          <cell r="BA38">
            <v>16</v>
          </cell>
          <cell r="BB38">
            <v>27</v>
          </cell>
          <cell r="BC38">
            <v>48</v>
          </cell>
          <cell r="BD38">
            <v>0</v>
          </cell>
          <cell r="BE38">
            <v>5</v>
          </cell>
          <cell r="BF38">
            <v>34</v>
          </cell>
          <cell r="BG38">
            <v>4.8571428571428568</v>
          </cell>
          <cell r="BH38" t="str">
            <v>BETTER</v>
          </cell>
          <cell r="BI38">
            <v>670</v>
          </cell>
          <cell r="BJ38">
            <v>9</v>
          </cell>
          <cell r="BK38">
            <v>61</v>
          </cell>
        </row>
        <row r="39">
          <cell r="E39" t="str">
            <v>TASLIMA KHAN</v>
          </cell>
          <cell r="F39">
            <v>15</v>
          </cell>
          <cell r="G39">
            <v>20</v>
          </cell>
          <cell r="H39">
            <v>46</v>
          </cell>
          <cell r="I39">
            <v>81</v>
          </cell>
          <cell r="J39">
            <v>8</v>
          </cell>
          <cell r="K39">
            <v>10</v>
          </cell>
          <cell r="L39">
            <v>29</v>
          </cell>
          <cell r="M39">
            <v>47</v>
          </cell>
          <cell r="N39">
            <v>128</v>
          </cell>
          <cell r="O39">
            <v>0</v>
          </cell>
          <cell r="P39">
            <v>5</v>
          </cell>
          <cell r="Q39">
            <v>0</v>
          </cell>
          <cell r="R39">
            <v>18</v>
          </cell>
          <cell r="S39">
            <v>36</v>
          </cell>
          <cell r="T39">
            <v>54</v>
          </cell>
          <cell r="U39">
            <v>0</v>
          </cell>
          <cell r="V39">
            <v>8</v>
          </cell>
          <cell r="W39">
            <v>18</v>
          </cell>
          <cell r="X39">
            <v>26</v>
          </cell>
          <cell r="Y39">
            <v>80</v>
          </cell>
          <cell r="Z39">
            <v>0</v>
          </cell>
          <cell r="AA39">
            <v>3</v>
          </cell>
          <cell r="AB39">
            <v>0</v>
          </cell>
          <cell r="AC39">
            <v>20</v>
          </cell>
          <cell r="AD39">
            <v>52</v>
          </cell>
          <cell r="AE39">
            <v>72</v>
          </cell>
          <cell r="AF39">
            <v>0</v>
          </cell>
          <cell r="AG39">
            <v>4</v>
          </cell>
          <cell r="AH39">
            <v>19</v>
          </cell>
          <cell r="AI39">
            <v>20</v>
          </cell>
          <cell r="AJ39">
            <v>53</v>
          </cell>
          <cell r="AK39">
            <v>92</v>
          </cell>
          <cell r="AL39">
            <v>0</v>
          </cell>
          <cell r="AM39">
            <v>5</v>
          </cell>
          <cell r="AN39">
            <v>14</v>
          </cell>
          <cell r="AO39">
            <v>20</v>
          </cell>
          <cell r="AP39">
            <v>37</v>
          </cell>
          <cell r="AQ39">
            <v>71</v>
          </cell>
          <cell r="AR39">
            <v>0</v>
          </cell>
          <cell r="AS39">
            <v>4</v>
          </cell>
          <cell r="AT39">
            <v>0</v>
          </cell>
          <cell r="AU39">
            <v>20</v>
          </cell>
          <cell r="AV39">
            <v>52</v>
          </cell>
          <cell r="AW39">
            <v>72</v>
          </cell>
          <cell r="AX39">
            <v>0</v>
          </cell>
          <cell r="AY39">
            <v>4</v>
          </cell>
          <cell r="AZ39">
            <v>0</v>
          </cell>
          <cell r="BA39">
            <v>14</v>
          </cell>
          <cell r="BB39">
            <v>26</v>
          </cell>
          <cell r="BC39">
            <v>40</v>
          </cell>
          <cell r="BD39">
            <v>0</v>
          </cell>
          <cell r="BE39">
            <v>5</v>
          </cell>
          <cell r="BF39">
            <v>30</v>
          </cell>
          <cell r="BG39">
            <v>4.2857142857142856</v>
          </cell>
          <cell r="BH39" t="str">
            <v>BETTER</v>
          </cell>
          <cell r="BI39">
            <v>555</v>
          </cell>
          <cell r="BJ39">
            <v>28</v>
          </cell>
          <cell r="BK39">
            <v>55</v>
          </cell>
        </row>
        <row r="40">
          <cell r="E40" t="str">
            <v>JOHORA AKTER</v>
          </cell>
          <cell r="F40">
            <v>18</v>
          </cell>
          <cell r="G40">
            <v>18</v>
          </cell>
          <cell r="H40">
            <v>44</v>
          </cell>
          <cell r="I40">
            <v>80</v>
          </cell>
          <cell r="J40">
            <v>7</v>
          </cell>
          <cell r="K40">
            <v>10</v>
          </cell>
          <cell r="L40">
            <v>24</v>
          </cell>
          <cell r="M40">
            <v>41</v>
          </cell>
          <cell r="N40">
            <v>121</v>
          </cell>
          <cell r="O40">
            <v>0</v>
          </cell>
          <cell r="P40">
            <v>5</v>
          </cell>
          <cell r="Q40">
            <v>13</v>
          </cell>
          <cell r="R40">
            <v>20</v>
          </cell>
          <cell r="S40">
            <v>48</v>
          </cell>
          <cell r="T40">
            <v>81</v>
          </cell>
          <cell r="U40">
            <v>1</v>
          </cell>
          <cell r="V40">
            <v>10</v>
          </cell>
          <cell r="W40">
            <v>18</v>
          </cell>
          <cell r="X40">
            <v>29</v>
          </cell>
          <cell r="Y40">
            <v>110</v>
          </cell>
          <cell r="Z40">
            <v>0</v>
          </cell>
          <cell r="AA40">
            <v>4</v>
          </cell>
          <cell r="AB40">
            <v>8</v>
          </cell>
          <cell r="AC40">
            <v>20</v>
          </cell>
          <cell r="AD40">
            <v>56</v>
          </cell>
          <cell r="AE40">
            <v>84</v>
          </cell>
          <cell r="AF40">
            <v>0</v>
          </cell>
          <cell r="AG40">
            <v>5</v>
          </cell>
          <cell r="AH40">
            <v>0</v>
          </cell>
          <cell r="AI40">
            <v>15</v>
          </cell>
          <cell r="AJ40">
            <v>20</v>
          </cell>
          <cell r="AK40">
            <v>35</v>
          </cell>
          <cell r="AL40">
            <v>0</v>
          </cell>
          <cell r="AM40" t="str">
            <v>F</v>
          </cell>
          <cell r="AN40">
            <v>14</v>
          </cell>
          <cell r="AO40">
            <v>20</v>
          </cell>
          <cell r="AP40">
            <v>43</v>
          </cell>
          <cell r="AQ40">
            <v>77</v>
          </cell>
          <cell r="AR40">
            <v>0</v>
          </cell>
          <cell r="AS40">
            <v>4</v>
          </cell>
          <cell r="AT40">
            <v>19</v>
          </cell>
          <cell r="AU40">
            <v>9</v>
          </cell>
          <cell r="AV40">
            <v>48</v>
          </cell>
          <cell r="AW40">
            <v>76</v>
          </cell>
          <cell r="AX40">
            <v>0</v>
          </cell>
          <cell r="AY40">
            <v>4</v>
          </cell>
          <cell r="AZ40">
            <v>5</v>
          </cell>
          <cell r="BA40">
            <v>13</v>
          </cell>
          <cell r="BB40">
            <v>25</v>
          </cell>
          <cell r="BC40">
            <v>43</v>
          </cell>
          <cell r="BD40">
            <v>0</v>
          </cell>
          <cell r="BE40">
            <v>5</v>
          </cell>
          <cell r="BF40" t="str">
            <v>F</v>
          </cell>
          <cell r="BG40" t="str">
            <v>F</v>
          </cell>
          <cell r="BH40" t="str">
            <v>NEED TO PROGRESS</v>
          </cell>
          <cell r="BI40">
            <v>546</v>
          </cell>
          <cell r="BJ40">
            <v>21</v>
          </cell>
          <cell r="BK40">
            <v>59</v>
          </cell>
        </row>
        <row r="41">
          <cell r="E41" t="str">
            <v>SHEOULI AKTER JHARNA</v>
          </cell>
          <cell r="F41">
            <v>16</v>
          </cell>
          <cell r="G41">
            <v>20</v>
          </cell>
          <cell r="H41">
            <v>50</v>
          </cell>
          <cell r="I41">
            <v>86</v>
          </cell>
          <cell r="J41">
            <v>8</v>
          </cell>
          <cell r="K41">
            <v>10</v>
          </cell>
          <cell r="L41">
            <v>26</v>
          </cell>
          <cell r="M41">
            <v>44</v>
          </cell>
          <cell r="N41">
            <v>130</v>
          </cell>
          <cell r="O41">
            <v>0</v>
          </cell>
          <cell r="P41">
            <v>5</v>
          </cell>
          <cell r="Q41">
            <v>9</v>
          </cell>
          <cell r="R41">
            <v>20</v>
          </cell>
          <cell r="S41">
            <v>27</v>
          </cell>
          <cell r="T41">
            <v>56</v>
          </cell>
          <cell r="U41">
            <v>5</v>
          </cell>
          <cell r="V41">
            <v>8</v>
          </cell>
          <cell r="W41">
            <v>10</v>
          </cell>
          <cell r="X41">
            <v>23</v>
          </cell>
          <cell r="Y41">
            <v>79</v>
          </cell>
          <cell r="Z41">
            <v>0</v>
          </cell>
          <cell r="AA41">
            <v>3</v>
          </cell>
          <cell r="AB41">
            <v>12</v>
          </cell>
          <cell r="AC41">
            <v>20</v>
          </cell>
          <cell r="AD41">
            <v>35</v>
          </cell>
          <cell r="AE41">
            <v>67</v>
          </cell>
          <cell r="AF41">
            <v>0</v>
          </cell>
          <cell r="AG41">
            <v>3.5</v>
          </cell>
          <cell r="AH41">
            <v>19</v>
          </cell>
          <cell r="AI41">
            <v>20</v>
          </cell>
          <cell r="AJ41">
            <v>49</v>
          </cell>
          <cell r="AK41">
            <v>88</v>
          </cell>
          <cell r="AL41">
            <v>0</v>
          </cell>
          <cell r="AM41">
            <v>5</v>
          </cell>
          <cell r="AN41">
            <v>17</v>
          </cell>
          <cell r="AO41">
            <v>20</v>
          </cell>
          <cell r="AP41">
            <v>43</v>
          </cell>
          <cell r="AQ41">
            <v>80</v>
          </cell>
          <cell r="AR41">
            <v>0</v>
          </cell>
          <cell r="AS41">
            <v>5</v>
          </cell>
          <cell r="AT41">
            <v>19</v>
          </cell>
          <cell r="AU41">
            <v>20</v>
          </cell>
          <cell r="AV41">
            <v>56</v>
          </cell>
          <cell r="AW41">
            <v>95</v>
          </cell>
          <cell r="AX41">
            <v>0</v>
          </cell>
          <cell r="AY41">
            <v>5</v>
          </cell>
          <cell r="AZ41">
            <v>5</v>
          </cell>
          <cell r="BA41">
            <v>14</v>
          </cell>
          <cell r="BB41">
            <v>27</v>
          </cell>
          <cell r="BC41">
            <v>46</v>
          </cell>
          <cell r="BD41">
            <v>0</v>
          </cell>
          <cell r="BE41">
            <v>5</v>
          </cell>
          <cell r="BF41">
            <v>31.5</v>
          </cell>
          <cell r="BG41">
            <v>4.5</v>
          </cell>
          <cell r="BH41" t="str">
            <v>BETTER</v>
          </cell>
          <cell r="BI41">
            <v>585</v>
          </cell>
          <cell r="BJ41">
            <v>56</v>
          </cell>
          <cell r="BK41">
            <v>58</v>
          </cell>
        </row>
        <row r="42">
          <cell r="E42" t="str">
            <v>HUSNARRA AKTER RITA</v>
          </cell>
          <cell r="F42">
            <v>14</v>
          </cell>
          <cell r="G42">
            <v>20</v>
          </cell>
          <cell r="H42">
            <v>43</v>
          </cell>
          <cell r="I42">
            <v>77</v>
          </cell>
          <cell r="J42">
            <v>8</v>
          </cell>
          <cell r="K42">
            <v>10</v>
          </cell>
          <cell r="L42">
            <v>25</v>
          </cell>
          <cell r="M42">
            <v>43</v>
          </cell>
          <cell r="N42">
            <v>120</v>
          </cell>
          <cell r="O42">
            <v>0</v>
          </cell>
          <cell r="P42">
            <v>5</v>
          </cell>
          <cell r="Q42">
            <v>11</v>
          </cell>
          <cell r="R42">
            <v>20</v>
          </cell>
          <cell r="S42">
            <v>32</v>
          </cell>
          <cell r="T42">
            <v>63</v>
          </cell>
          <cell r="U42">
            <v>6</v>
          </cell>
          <cell r="V42">
            <v>8</v>
          </cell>
          <cell r="W42">
            <v>8</v>
          </cell>
          <cell r="X42">
            <v>22</v>
          </cell>
          <cell r="Y42">
            <v>85</v>
          </cell>
          <cell r="Z42">
            <v>0</v>
          </cell>
          <cell r="AA42">
            <v>3</v>
          </cell>
          <cell r="AB42">
            <v>11</v>
          </cell>
          <cell r="AC42">
            <v>20</v>
          </cell>
          <cell r="AD42">
            <v>59</v>
          </cell>
          <cell r="AE42">
            <v>90</v>
          </cell>
          <cell r="AF42">
            <v>0</v>
          </cell>
          <cell r="AG42">
            <v>5</v>
          </cell>
          <cell r="AH42">
            <v>15</v>
          </cell>
          <cell r="AI42">
            <v>20</v>
          </cell>
          <cell r="AJ42">
            <v>31</v>
          </cell>
          <cell r="AK42">
            <v>66</v>
          </cell>
          <cell r="AL42">
            <v>0</v>
          </cell>
          <cell r="AM42">
            <v>3.5</v>
          </cell>
          <cell r="AN42">
            <v>11</v>
          </cell>
          <cell r="AO42">
            <v>20</v>
          </cell>
          <cell r="AP42">
            <v>41</v>
          </cell>
          <cell r="AQ42">
            <v>72</v>
          </cell>
          <cell r="AR42">
            <v>0</v>
          </cell>
          <cell r="AS42">
            <v>4</v>
          </cell>
          <cell r="AT42">
            <v>15</v>
          </cell>
          <cell r="AU42">
            <v>20</v>
          </cell>
          <cell r="AV42">
            <v>51</v>
          </cell>
          <cell r="AW42">
            <v>86</v>
          </cell>
          <cell r="AX42">
            <v>0</v>
          </cell>
          <cell r="AY42">
            <v>5</v>
          </cell>
          <cell r="AZ42">
            <v>5</v>
          </cell>
          <cell r="BA42">
            <v>13</v>
          </cell>
          <cell r="BB42">
            <v>20</v>
          </cell>
          <cell r="BC42">
            <v>38</v>
          </cell>
          <cell r="BD42">
            <v>0</v>
          </cell>
          <cell r="BE42">
            <v>4</v>
          </cell>
          <cell r="BF42">
            <v>29.5</v>
          </cell>
          <cell r="BG42">
            <v>4.2142857142857144</v>
          </cell>
          <cell r="BH42" t="str">
            <v>BETTER</v>
          </cell>
          <cell r="BI42">
            <v>557</v>
          </cell>
          <cell r="BJ42">
            <v>31</v>
          </cell>
          <cell r="BK42">
            <v>59</v>
          </cell>
        </row>
        <row r="43">
          <cell r="E43" t="str">
            <v>RUMA BEGUM</v>
          </cell>
          <cell r="F43">
            <v>14</v>
          </cell>
          <cell r="G43">
            <v>20</v>
          </cell>
          <cell r="H43">
            <v>45</v>
          </cell>
          <cell r="I43">
            <v>79</v>
          </cell>
          <cell r="J43">
            <v>7</v>
          </cell>
          <cell r="K43">
            <v>10</v>
          </cell>
          <cell r="L43">
            <v>25</v>
          </cell>
          <cell r="M43">
            <v>42</v>
          </cell>
          <cell r="N43">
            <v>121</v>
          </cell>
          <cell r="O43">
            <v>0</v>
          </cell>
          <cell r="P43">
            <v>5</v>
          </cell>
          <cell r="Q43">
            <v>12</v>
          </cell>
          <cell r="R43">
            <v>20</v>
          </cell>
          <cell r="S43">
            <v>31</v>
          </cell>
          <cell r="T43">
            <v>63</v>
          </cell>
          <cell r="U43">
            <v>7</v>
          </cell>
          <cell r="V43">
            <v>8</v>
          </cell>
          <cell r="W43">
            <v>13</v>
          </cell>
          <cell r="X43">
            <v>28</v>
          </cell>
          <cell r="Y43">
            <v>91</v>
          </cell>
          <cell r="Z43">
            <v>0</v>
          </cell>
          <cell r="AA43">
            <v>3.5</v>
          </cell>
          <cell r="AB43">
            <v>10</v>
          </cell>
          <cell r="AC43">
            <v>20</v>
          </cell>
          <cell r="AD43">
            <v>45</v>
          </cell>
          <cell r="AE43">
            <v>75</v>
          </cell>
          <cell r="AF43">
            <v>0</v>
          </cell>
          <cell r="AG43">
            <v>4</v>
          </cell>
          <cell r="AH43">
            <v>18</v>
          </cell>
          <cell r="AI43">
            <v>20</v>
          </cell>
          <cell r="AJ43">
            <v>47</v>
          </cell>
          <cell r="AK43">
            <v>85</v>
          </cell>
          <cell r="AL43">
            <v>0</v>
          </cell>
          <cell r="AM43">
            <v>5</v>
          </cell>
          <cell r="AN43">
            <v>15</v>
          </cell>
          <cell r="AO43">
            <v>20</v>
          </cell>
          <cell r="AP43">
            <v>44</v>
          </cell>
          <cell r="AQ43">
            <v>79</v>
          </cell>
          <cell r="AR43">
            <v>0</v>
          </cell>
          <cell r="AS43">
            <v>4</v>
          </cell>
          <cell r="AT43">
            <v>20</v>
          </cell>
          <cell r="AU43">
            <v>20</v>
          </cell>
          <cell r="AV43">
            <v>51</v>
          </cell>
          <cell r="AW43">
            <v>91</v>
          </cell>
          <cell r="AX43">
            <v>0</v>
          </cell>
          <cell r="AY43">
            <v>5</v>
          </cell>
          <cell r="AZ43">
            <v>5</v>
          </cell>
          <cell r="BA43">
            <v>14</v>
          </cell>
          <cell r="BB43">
            <v>23</v>
          </cell>
          <cell r="BC43">
            <v>42</v>
          </cell>
          <cell r="BD43">
            <v>0</v>
          </cell>
          <cell r="BE43">
            <v>5</v>
          </cell>
          <cell r="BF43">
            <v>31.5</v>
          </cell>
          <cell r="BG43">
            <v>4.5</v>
          </cell>
          <cell r="BH43" t="str">
            <v>BETTER</v>
          </cell>
          <cell r="BI43">
            <v>584</v>
          </cell>
          <cell r="BJ43">
            <v>39</v>
          </cell>
          <cell r="BK43">
            <v>56</v>
          </cell>
        </row>
        <row r="44">
          <cell r="E44" t="str">
            <v>ROJINA AKTHER</v>
          </cell>
          <cell r="F44">
            <v>18</v>
          </cell>
          <cell r="G44">
            <v>20</v>
          </cell>
          <cell r="H44">
            <v>50</v>
          </cell>
          <cell r="I44">
            <v>88</v>
          </cell>
          <cell r="J44">
            <v>7</v>
          </cell>
          <cell r="K44">
            <v>10</v>
          </cell>
          <cell r="L44">
            <v>24</v>
          </cell>
          <cell r="M44">
            <v>41</v>
          </cell>
          <cell r="N44">
            <v>129</v>
          </cell>
          <cell r="O44">
            <v>0</v>
          </cell>
          <cell r="P44">
            <v>5</v>
          </cell>
          <cell r="Q44">
            <v>11</v>
          </cell>
          <cell r="R44">
            <v>20</v>
          </cell>
          <cell r="S44">
            <v>39</v>
          </cell>
          <cell r="T44">
            <v>70</v>
          </cell>
          <cell r="U44">
            <v>4</v>
          </cell>
          <cell r="V44">
            <v>8</v>
          </cell>
          <cell r="W44">
            <v>9</v>
          </cell>
          <cell r="X44">
            <v>21</v>
          </cell>
          <cell r="Y44">
            <v>91</v>
          </cell>
          <cell r="Z44">
            <v>0</v>
          </cell>
          <cell r="AA44">
            <v>3.5</v>
          </cell>
          <cell r="AB44">
            <v>14</v>
          </cell>
          <cell r="AC44">
            <v>20</v>
          </cell>
          <cell r="AD44">
            <v>44</v>
          </cell>
          <cell r="AE44">
            <v>78</v>
          </cell>
          <cell r="AF44">
            <v>0</v>
          </cell>
          <cell r="AG44">
            <v>4</v>
          </cell>
          <cell r="AH44">
            <v>20</v>
          </cell>
          <cell r="AI44">
            <v>20</v>
          </cell>
          <cell r="AJ44">
            <v>42</v>
          </cell>
          <cell r="AK44">
            <v>82</v>
          </cell>
          <cell r="AL44">
            <v>0</v>
          </cell>
          <cell r="AM44">
            <v>5</v>
          </cell>
          <cell r="AN44">
            <v>15</v>
          </cell>
          <cell r="AO44">
            <v>20</v>
          </cell>
          <cell r="AP44">
            <v>46</v>
          </cell>
          <cell r="AQ44">
            <v>81</v>
          </cell>
          <cell r="AR44">
            <v>0</v>
          </cell>
          <cell r="AS44">
            <v>5</v>
          </cell>
          <cell r="AT44">
            <v>16</v>
          </cell>
          <cell r="AU44">
            <v>20</v>
          </cell>
          <cell r="AV44">
            <v>53</v>
          </cell>
          <cell r="AW44">
            <v>89</v>
          </cell>
          <cell r="AX44">
            <v>0</v>
          </cell>
          <cell r="AY44">
            <v>5</v>
          </cell>
          <cell r="AZ44">
            <v>5</v>
          </cell>
          <cell r="BA44">
            <v>13</v>
          </cell>
          <cell r="BB44">
            <v>27</v>
          </cell>
          <cell r="BC44">
            <v>45</v>
          </cell>
          <cell r="BD44">
            <v>0</v>
          </cell>
          <cell r="BE44">
            <v>5</v>
          </cell>
          <cell r="BF44">
            <v>32.5</v>
          </cell>
          <cell r="BG44">
            <v>4.6428571428571432</v>
          </cell>
          <cell r="BH44" t="str">
            <v>BETTER</v>
          </cell>
          <cell r="BI44">
            <v>595</v>
          </cell>
          <cell r="BJ44">
            <v>44</v>
          </cell>
          <cell r="BK44">
            <v>62</v>
          </cell>
        </row>
        <row r="45">
          <cell r="E45" t="str">
            <v>AMINA BEGUM</v>
          </cell>
          <cell r="F45">
            <v>14</v>
          </cell>
          <cell r="G45">
            <v>20</v>
          </cell>
          <cell r="H45">
            <v>47</v>
          </cell>
          <cell r="I45">
            <v>81</v>
          </cell>
          <cell r="J45">
            <v>8</v>
          </cell>
          <cell r="K45">
            <v>10</v>
          </cell>
          <cell r="L45">
            <v>24</v>
          </cell>
          <cell r="M45">
            <v>42</v>
          </cell>
          <cell r="N45">
            <v>123</v>
          </cell>
          <cell r="O45">
            <v>0</v>
          </cell>
          <cell r="P45">
            <v>5</v>
          </cell>
          <cell r="Q45">
            <v>10</v>
          </cell>
          <cell r="R45">
            <v>20</v>
          </cell>
          <cell r="S45">
            <v>30</v>
          </cell>
          <cell r="T45">
            <v>60</v>
          </cell>
          <cell r="U45">
            <v>6</v>
          </cell>
          <cell r="V45">
            <v>8</v>
          </cell>
          <cell r="W45">
            <v>8</v>
          </cell>
          <cell r="X45">
            <v>22</v>
          </cell>
          <cell r="Y45">
            <v>82</v>
          </cell>
          <cell r="Z45">
            <v>0</v>
          </cell>
          <cell r="AA45">
            <v>3</v>
          </cell>
          <cell r="AB45">
            <v>15</v>
          </cell>
          <cell r="AC45">
            <v>20</v>
          </cell>
          <cell r="AD45">
            <v>49</v>
          </cell>
          <cell r="AE45">
            <v>84</v>
          </cell>
          <cell r="AF45">
            <v>0</v>
          </cell>
          <cell r="AG45">
            <v>5</v>
          </cell>
          <cell r="AH45">
            <v>17</v>
          </cell>
          <cell r="AI45">
            <v>20</v>
          </cell>
          <cell r="AJ45">
            <v>40</v>
          </cell>
          <cell r="AK45">
            <v>77</v>
          </cell>
          <cell r="AL45">
            <v>0</v>
          </cell>
          <cell r="AM45">
            <v>4</v>
          </cell>
          <cell r="AN45">
            <v>15</v>
          </cell>
          <cell r="AO45">
            <v>20</v>
          </cell>
          <cell r="AP45">
            <v>49</v>
          </cell>
          <cell r="AQ45">
            <v>84</v>
          </cell>
          <cell r="AR45">
            <v>0</v>
          </cell>
          <cell r="AS45">
            <v>5</v>
          </cell>
          <cell r="AT45">
            <v>15</v>
          </cell>
          <cell r="AU45">
            <v>20</v>
          </cell>
          <cell r="AV45">
            <v>56</v>
          </cell>
          <cell r="AW45">
            <v>91</v>
          </cell>
          <cell r="AX45">
            <v>0</v>
          </cell>
          <cell r="AY45">
            <v>5</v>
          </cell>
          <cell r="AZ45">
            <v>5</v>
          </cell>
          <cell r="BA45">
            <v>14</v>
          </cell>
          <cell r="BB45">
            <v>20</v>
          </cell>
          <cell r="BC45">
            <v>39</v>
          </cell>
          <cell r="BD45">
            <v>0</v>
          </cell>
          <cell r="BE45">
            <v>4</v>
          </cell>
          <cell r="BF45">
            <v>31</v>
          </cell>
          <cell r="BG45">
            <v>4.4285714285714288</v>
          </cell>
          <cell r="BH45" t="str">
            <v>BETTER</v>
          </cell>
          <cell r="BI45">
            <v>580</v>
          </cell>
          <cell r="BJ45">
            <v>60</v>
          </cell>
          <cell r="BK45">
            <v>57</v>
          </cell>
        </row>
        <row r="46">
          <cell r="E46" t="str">
            <v>FERDOUSI AKTER</v>
          </cell>
          <cell r="F46">
            <v>19</v>
          </cell>
          <cell r="G46">
            <v>20</v>
          </cell>
          <cell r="H46">
            <v>57</v>
          </cell>
          <cell r="I46">
            <v>96</v>
          </cell>
          <cell r="J46">
            <v>8</v>
          </cell>
          <cell r="K46">
            <v>10</v>
          </cell>
          <cell r="L46">
            <v>25</v>
          </cell>
          <cell r="M46">
            <v>43</v>
          </cell>
          <cell r="N46">
            <v>139</v>
          </cell>
          <cell r="O46">
            <v>0</v>
          </cell>
          <cell r="P46">
            <v>5</v>
          </cell>
          <cell r="Q46">
            <v>15</v>
          </cell>
          <cell r="R46">
            <v>20</v>
          </cell>
          <cell r="S46">
            <v>47</v>
          </cell>
          <cell r="T46">
            <v>82</v>
          </cell>
          <cell r="U46">
            <v>0</v>
          </cell>
          <cell r="V46">
            <v>10</v>
          </cell>
          <cell r="W46">
            <v>17</v>
          </cell>
          <cell r="X46">
            <v>27</v>
          </cell>
          <cell r="Y46">
            <v>109</v>
          </cell>
          <cell r="Z46">
            <v>0</v>
          </cell>
          <cell r="AA46">
            <v>4</v>
          </cell>
          <cell r="AB46">
            <v>15</v>
          </cell>
          <cell r="AC46">
            <v>20</v>
          </cell>
          <cell r="AD46">
            <v>59</v>
          </cell>
          <cell r="AE46">
            <v>94</v>
          </cell>
          <cell r="AF46">
            <v>0</v>
          </cell>
          <cell r="AG46">
            <v>5</v>
          </cell>
          <cell r="AH46">
            <v>16</v>
          </cell>
          <cell r="AI46">
            <v>20</v>
          </cell>
          <cell r="AJ46">
            <v>46</v>
          </cell>
          <cell r="AK46">
            <v>82</v>
          </cell>
          <cell r="AL46">
            <v>0</v>
          </cell>
          <cell r="AM46">
            <v>5</v>
          </cell>
          <cell r="AN46">
            <v>14</v>
          </cell>
          <cell r="AO46">
            <v>20</v>
          </cell>
          <cell r="AP46">
            <v>51</v>
          </cell>
          <cell r="AQ46">
            <v>85</v>
          </cell>
          <cell r="AR46">
            <v>0</v>
          </cell>
          <cell r="AS46">
            <v>5</v>
          </cell>
          <cell r="AT46">
            <v>20</v>
          </cell>
          <cell r="AU46">
            <v>20</v>
          </cell>
          <cell r="AV46">
            <v>56</v>
          </cell>
          <cell r="AW46">
            <v>96</v>
          </cell>
          <cell r="AX46">
            <v>0</v>
          </cell>
          <cell r="AY46">
            <v>5</v>
          </cell>
          <cell r="AZ46">
            <v>5</v>
          </cell>
          <cell r="BA46">
            <v>14</v>
          </cell>
          <cell r="BB46">
            <v>23</v>
          </cell>
          <cell r="BC46">
            <v>42</v>
          </cell>
          <cell r="BD46">
            <v>0</v>
          </cell>
          <cell r="BE46">
            <v>5</v>
          </cell>
          <cell r="BF46">
            <v>34</v>
          </cell>
          <cell r="BG46">
            <v>4.8571428571428568</v>
          </cell>
          <cell r="BH46" t="str">
            <v>BETTER</v>
          </cell>
          <cell r="BI46">
            <v>647</v>
          </cell>
          <cell r="BJ46">
            <v>8</v>
          </cell>
          <cell r="BK46">
            <v>57</v>
          </cell>
        </row>
        <row r="47">
          <cell r="E47" t="str">
            <v>MST.FATEMA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 t="str">
            <v>F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 t="str">
            <v>F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 t="str">
            <v>F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 t="str">
            <v>F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 t="str">
            <v>F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 t="str">
            <v>F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 t="str">
            <v>F</v>
          </cell>
          <cell r="BF47" t="str">
            <v>F</v>
          </cell>
          <cell r="BG47" t="str">
            <v>F</v>
          </cell>
          <cell r="BH47" t="str">
            <v>NEED TO PROGRESS</v>
          </cell>
          <cell r="BI47">
            <v>0</v>
          </cell>
          <cell r="BJ47" t="str">
            <v>F</v>
          </cell>
          <cell r="BK47">
            <v>65</v>
          </cell>
        </row>
        <row r="48">
          <cell r="E48" t="str">
            <v>SHEULI BEGUM</v>
          </cell>
          <cell r="F48">
            <v>18</v>
          </cell>
          <cell r="G48">
            <v>20</v>
          </cell>
          <cell r="H48">
            <v>57</v>
          </cell>
          <cell r="I48">
            <v>95</v>
          </cell>
          <cell r="J48">
            <v>8</v>
          </cell>
          <cell r="K48">
            <v>10</v>
          </cell>
          <cell r="L48">
            <v>28</v>
          </cell>
          <cell r="M48">
            <v>46</v>
          </cell>
          <cell r="N48">
            <v>141</v>
          </cell>
          <cell r="O48">
            <v>0</v>
          </cell>
          <cell r="P48">
            <v>5</v>
          </cell>
          <cell r="Q48">
            <v>13</v>
          </cell>
          <cell r="R48">
            <v>20</v>
          </cell>
          <cell r="S48">
            <v>45</v>
          </cell>
          <cell r="T48">
            <v>78</v>
          </cell>
          <cell r="U48">
            <v>9</v>
          </cell>
          <cell r="V48">
            <v>8</v>
          </cell>
          <cell r="W48">
            <v>13</v>
          </cell>
          <cell r="X48">
            <v>30</v>
          </cell>
          <cell r="Y48">
            <v>108</v>
          </cell>
          <cell r="Z48">
            <v>0</v>
          </cell>
          <cell r="AA48">
            <v>4</v>
          </cell>
          <cell r="AB48">
            <v>15</v>
          </cell>
          <cell r="AC48">
            <v>20</v>
          </cell>
          <cell r="AD48">
            <v>54</v>
          </cell>
          <cell r="AE48">
            <v>89</v>
          </cell>
          <cell r="AF48">
            <v>0</v>
          </cell>
          <cell r="AG48">
            <v>5</v>
          </cell>
          <cell r="AH48">
            <v>20</v>
          </cell>
          <cell r="AI48">
            <v>20</v>
          </cell>
          <cell r="AJ48">
            <v>58</v>
          </cell>
          <cell r="AK48">
            <v>98</v>
          </cell>
          <cell r="AL48">
            <v>0</v>
          </cell>
          <cell r="AM48">
            <v>5</v>
          </cell>
          <cell r="AN48">
            <v>17</v>
          </cell>
          <cell r="AO48">
            <v>20</v>
          </cell>
          <cell r="AP48">
            <v>50</v>
          </cell>
          <cell r="AQ48">
            <v>87</v>
          </cell>
          <cell r="AR48">
            <v>0</v>
          </cell>
          <cell r="AS48">
            <v>5</v>
          </cell>
          <cell r="AT48">
            <v>20</v>
          </cell>
          <cell r="AU48">
            <v>20</v>
          </cell>
          <cell r="AV48">
            <v>58</v>
          </cell>
          <cell r="AW48">
            <v>98</v>
          </cell>
          <cell r="AX48">
            <v>0</v>
          </cell>
          <cell r="AY48">
            <v>5</v>
          </cell>
          <cell r="AZ48">
            <v>5</v>
          </cell>
          <cell r="BA48">
            <v>16</v>
          </cell>
          <cell r="BB48">
            <v>28</v>
          </cell>
          <cell r="BC48">
            <v>49</v>
          </cell>
          <cell r="BD48">
            <v>0</v>
          </cell>
          <cell r="BE48">
            <v>5</v>
          </cell>
          <cell r="BF48">
            <v>34</v>
          </cell>
          <cell r="BG48">
            <v>4.8571428571428568</v>
          </cell>
          <cell r="BH48" t="str">
            <v>BETTER</v>
          </cell>
          <cell r="BI48">
            <v>670</v>
          </cell>
          <cell r="BJ48">
            <v>1</v>
          </cell>
          <cell r="BK48">
            <v>62</v>
          </cell>
        </row>
        <row r="49">
          <cell r="E49" t="str">
            <v>MST.SHAIDA PERVIN</v>
          </cell>
          <cell r="F49">
            <v>17</v>
          </cell>
          <cell r="G49">
            <v>15</v>
          </cell>
          <cell r="H49">
            <v>57</v>
          </cell>
          <cell r="I49">
            <v>89</v>
          </cell>
          <cell r="J49">
            <v>9</v>
          </cell>
          <cell r="K49">
            <v>10</v>
          </cell>
          <cell r="L49">
            <v>21</v>
          </cell>
          <cell r="M49">
            <v>40</v>
          </cell>
          <cell r="N49">
            <v>129</v>
          </cell>
          <cell r="O49">
            <v>0</v>
          </cell>
          <cell r="P49">
            <v>5</v>
          </cell>
          <cell r="Q49">
            <v>18</v>
          </cell>
          <cell r="R49">
            <v>20</v>
          </cell>
          <cell r="S49">
            <v>54</v>
          </cell>
          <cell r="T49">
            <v>92</v>
          </cell>
          <cell r="U49">
            <v>6</v>
          </cell>
          <cell r="V49">
            <v>10</v>
          </cell>
          <cell r="W49">
            <v>25</v>
          </cell>
          <cell r="X49">
            <v>41</v>
          </cell>
          <cell r="Y49">
            <v>133</v>
          </cell>
          <cell r="Z49">
            <v>0</v>
          </cell>
          <cell r="AA49">
            <v>5</v>
          </cell>
          <cell r="AB49">
            <v>17</v>
          </cell>
          <cell r="AC49">
            <v>20</v>
          </cell>
          <cell r="AD49">
            <v>60</v>
          </cell>
          <cell r="AE49">
            <v>97</v>
          </cell>
          <cell r="AF49">
            <v>0</v>
          </cell>
          <cell r="AG49">
            <v>5</v>
          </cell>
          <cell r="AH49">
            <v>20</v>
          </cell>
          <cell r="AI49">
            <v>20</v>
          </cell>
          <cell r="AJ49">
            <v>36</v>
          </cell>
          <cell r="AK49">
            <v>76</v>
          </cell>
          <cell r="AL49">
            <v>0</v>
          </cell>
          <cell r="AM49">
            <v>4</v>
          </cell>
          <cell r="AN49">
            <v>13</v>
          </cell>
          <cell r="AO49">
            <v>20</v>
          </cell>
          <cell r="AP49">
            <v>52</v>
          </cell>
          <cell r="AQ49">
            <v>85</v>
          </cell>
          <cell r="AR49">
            <v>0</v>
          </cell>
          <cell r="AS49">
            <v>5</v>
          </cell>
          <cell r="AT49">
            <v>14</v>
          </cell>
          <cell r="AU49">
            <v>20</v>
          </cell>
          <cell r="AV49">
            <v>55</v>
          </cell>
          <cell r="AW49">
            <v>89</v>
          </cell>
          <cell r="AX49">
            <v>0</v>
          </cell>
          <cell r="AY49">
            <v>5</v>
          </cell>
          <cell r="AZ49">
            <v>5</v>
          </cell>
          <cell r="BA49">
            <v>14</v>
          </cell>
          <cell r="BB49">
            <v>28</v>
          </cell>
          <cell r="BC49">
            <v>47</v>
          </cell>
          <cell r="BD49">
            <v>0</v>
          </cell>
          <cell r="BE49">
            <v>5</v>
          </cell>
          <cell r="BF49">
            <v>34</v>
          </cell>
          <cell r="BG49">
            <v>4.8571428571428568</v>
          </cell>
          <cell r="BH49" t="str">
            <v>BETTER</v>
          </cell>
          <cell r="BI49">
            <v>656</v>
          </cell>
          <cell r="BJ49">
            <v>7</v>
          </cell>
          <cell r="BK49">
            <v>58</v>
          </cell>
        </row>
        <row r="50">
          <cell r="E50" t="str">
            <v>NURA SABA</v>
          </cell>
          <cell r="F50">
            <v>19</v>
          </cell>
          <cell r="G50">
            <v>19</v>
          </cell>
          <cell r="H50">
            <v>58</v>
          </cell>
          <cell r="I50">
            <v>96</v>
          </cell>
          <cell r="J50">
            <v>10</v>
          </cell>
          <cell r="K50">
            <v>10</v>
          </cell>
          <cell r="L50">
            <v>26</v>
          </cell>
          <cell r="M50">
            <v>46</v>
          </cell>
          <cell r="N50">
            <v>142</v>
          </cell>
          <cell r="O50">
            <v>0</v>
          </cell>
          <cell r="P50">
            <v>5</v>
          </cell>
          <cell r="Q50">
            <v>17</v>
          </cell>
          <cell r="R50">
            <v>20</v>
          </cell>
          <cell r="S50">
            <v>54</v>
          </cell>
          <cell r="T50">
            <v>91</v>
          </cell>
          <cell r="U50">
            <v>4</v>
          </cell>
          <cell r="V50">
            <v>10</v>
          </cell>
          <cell r="W50">
            <v>24</v>
          </cell>
          <cell r="X50">
            <v>38</v>
          </cell>
          <cell r="Y50">
            <v>129</v>
          </cell>
          <cell r="Z50">
            <v>0</v>
          </cell>
          <cell r="AA50">
            <v>5</v>
          </cell>
          <cell r="AB50">
            <v>19</v>
          </cell>
          <cell r="AC50">
            <v>20</v>
          </cell>
          <cell r="AD50">
            <v>60</v>
          </cell>
          <cell r="AE50">
            <v>99</v>
          </cell>
          <cell r="AF50">
            <v>0</v>
          </cell>
          <cell r="AG50">
            <v>5</v>
          </cell>
          <cell r="AH50">
            <v>20</v>
          </cell>
          <cell r="AI50">
            <v>20</v>
          </cell>
          <cell r="AJ50">
            <v>60</v>
          </cell>
          <cell r="AK50">
            <v>100</v>
          </cell>
          <cell r="AL50">
            <v>0</v>
          </cell>
          <cell r="AM50">
            <v>5</v>
          </cell>
          <cell r="AN50">
            <v>17</v>
          </cell>
          <cell r="AO50">
            <v>20</v>
          </cell>
          <cell r="AP50">
            <v>55</v>
          </cell>
          <cell r="AQ50">
            <v>92</v>
          </cell>
          <cell r="AR50">
            <v>0</v>
          </cell>
          <cell r="AS50">
            <v>5</v>
          </cell>
          <cell r="AT50">
            <v>19</v>
          </cell>
          <cell r="AU50">
            <v>20</v>
          </cell>
          <cell r="AV50">
            <v>58</v>
          </cell>
          <cell r="AW50">
            <v>97</v>
          </cell>
          <cell r="AX50">
            <v>0</v>
          </cell>
          <cell r="AY50">
            <v>5</v>
          </cell>
          <cell r="AZ50">
            <v>5</v>
          </cell>
          <cell r="BA50">
            <v>15</v>
          </cell>
          <cell r="BB50">
            <v>29</v>
          </cell>
          <cell r="BC50">
            <v>49</v>
          </cell>
          <cell r="BD50">
            <v>0</v>
          </cell>
          <cell r="BE50">
            <v>5</v>
          </cell>
          <cell r="BF50">
            <v>35</v>
          </cell>
          <cell r="BG50">
            <v>5</v>
          </cell>
          <cell r="BH50" t="str">
            <v>BEST</v>
          </cell>
          <cell r="BI50">
            <v>708</v>
          </cell>
          <cell r="BJ50">
            <v>2</v>
          </cell>
          <cell r="BK50">
            <v>60</v>
          </cell>
        </row>
        <row r="51">
          <cell r="E51" t="str">
            <v>KHADIJA KHANDAKAR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 t="str">
            <v>F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 t="str">
            <v>F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 t="str">
            <v>F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 t="str">
            <v>F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 t="str">
            <v>F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 t="str">
            <v>F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 t="str">
            <v>F</v>
          </cell>
          <cell r="BF51" t="str">
            <v>F</v>
          </cell>
          <cell r="BG51" t="str">
            <v>F</v>
          </cell>
          <cell r="BH51" t="str">
            <v>NEED TO PROGRESS</v>
          </cell>
          <cell r="BI51">
            <v>0</v>
          </cell>
          <cell r="BJ51">
            <v>23</v>
          </cell>
          <cell r="BK51">
            <v>56</v>
          </cell>
        </row>
      </sheetData>
      <sheetData sheetId="1" refreshError="1">
        <row r="5"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N5">
            <v>0</v>
          </cell>
        </row>
        <row r="6">
          <cell r="C6" t="str">
            <v>NAME</v>
          </cell>
          <cell r="D6" t="str">
            <v xml:space="preserve">FATHER NAME </v>
          </cell>
          <cell r="E6" t="str">
            <v xml:space="preserve">MOTHER NAME </v>
          </cell>
          <cell r="F6" t="str">
            <v>MT</v>
          </cell>
          <cell r="G6" t="str">
            <v>BAN-1</v>
          </cell>
          <cell r="H6">
            <v>0</v>
          </cell>
          <cell r="I6" t="str">
            <v xml:space="preserve">TOTAL </v>
          </cell>
          <cell r="J6" t="str">
            <v>MT</v>
          </cell>
          <cell r="K6" t="str">
            <v>ASS</v>
          </cell>
          <cell r="L6" t="str">
            <v>BAN-2</v>
          </cell>
          <cell r="M6" t="str">
            <v>TOTAL</v>
          </cell>
          <cell r="N6" t="str">
            <v>B1+B2</v>
          </cell>
          <cell r="O6" t="str">
            <v>HIGHESTMARK</v>
          </cell>
          <cell r="P6" t="str">
            <v>GP</v>
          </cell>
          <cell r="Q6" t="str">
            <v>MT</v>
          </cell>
          <cell r="R6" t="str">
            <v>ASS</v>
          </cell>
          <cell r="S6" t="str">
            <v>ENG-1ST</v>
          </cell>
          <cell r="T6" t="str">
            <v>TOTAL</v>
          </cell>
          <cell r="U6" t="str">
            <v>MT</v>
          </cell>
          <cell r="V6" t="str">
            <v>ASS</v>
          </cell>
          <cell r="W6" t="str">
            <v>ENG-2ND</v>
          </cell>
          <cell r="X6">
            <v>0</v>
          </cell>
          <cell r="Y6" t="str">
            <v>TOTAL</v>
          </cell>
          <cell r="Z6" t="str">
            <v>E1+E2</v>
          </cell>
          <cell r="AA6" t="str">
            <v>HIGHESTMARK</v>
          </cell>
          <cell r="AB6" t="str">
            <v>GP</v>
          </cell>
          <cell r="AC6" t="str">
            <v>MT</v>
          </cell>
          <cell r="AD6" t="str">
            <v>MATH</v>
          </cell>
          <cell r="AE6">
            <v>0</v>
          </cell>
          <cell r="AF6" t="str">
            <v>TOTAL</v>
          </cell>
          <cell r="AG6" t="str">
            <v>HIGHESTMARK</v>
          </cell>
          <cell r="AH6" t="str">
            <v>GP</v>
          </cell>
          <cell r="AI6" t="str">
            <v>MT</v>
          </cell>
          <cell r="AJ6" t="str">
            <v>SCIENCE</v>
          </cell>
          <cell r="AK6">
            <v>0</v>
          </cell>
          <cell r="AL6" t="str">
            <v>TOTAL</v>
          </cell>
          <cell r="AM6" t="str">
            <v>HIGHESTMARK</v>
          </cell>
          <cell r="AN6" t="str">
            <v>GP</v>
          </cell>
          <cell r="AO6" t="str">
            <v>MT</v>
          </cell>
          <cell r="AP6" t="str">
            <v>BGS</v>
          </cell>
          <cell r="AQ6">
            <v>0</v>
          </cell>
          <cell r="AR6" t="str">
            <v>TOTAL</v>
          </cell>
          <cell r="AS6" t="str">
            <v>HIGHESTMARK</v>
          </cell>
          <cell r="AT6" t="str">
            <v>GP</v>
          </cell>
          <cell r="AU6" t="str">
            <v>MT</v>
          </cell>
          <cell r="AV6" t="str">
            <v>RELIGION</v>
          </cell>
          <cell r="AW6">
            <v>0</v>
          </cell>
          <cell r="AX6" t="str">
            <v>TOTAL</v>
          </cell>
          <cell r="AY6" t="str">
            <v>HIGHESTMARK</v>
          </cell>
          <cell r="AZ6" t="str">
            <v>GP</v>
          </cell>
          <cell r="BA6" t="str">
            <v>MT</v>
          </cell>
          <cell r="BB6" t="str">
            <v>ASS</v>
          </cell>
          <cell r="BC6" t="str">
            <v>ICT</v>
          </cell>
          <cell r="BD6">
            <v>0</v>
          </cell>
          <cell r="BE6" t="str">
            <v>TOTAL</v>
          </cell>
          <cell r="BF6" t="str">
            <v>HIGHESTMARK</v>
          </cell>
          <cell r="BG6" t="str">
            <v>GP</v>
          </cell>
          <cell r="BH6" t="str">
            <v>T-GP</v>
          </cell>
          <cell r="BI6" t="str">
            <v>GPA</v>
          </cell>
          <cell r="BJ6" t="str">
            <v>BHVR</v>
          </cell>
          <cell r="BK6" t="str">
            <v>TOTAL MARK</v>
          </cell>
          <cell r="BL6" t="str">
            <v>Position</v>
          </cell>
          <cell r="BM6" t="str">
            <v>WORKINGDAYS</v>
          </cell>
          <cell r="BN6">
            <v>0</v>
          </cell>
        </row>
        <row r="7">
          <cell r="C7">
            <v>0</v>
          </cell>
          <cell r="D7">
            <v>0</v>
          </cell>
          <cell r="E7">
            <v>0</v>
          </cell>
          <cell r="F7">
            <v>0</v>
          </cell>
          <cell r="G7" t="str">
            <v>ASS</v>
          </cell>
          <cell r="H7" t="str">
            <v>CR</v>
          </cell>
          <cell r="I7">
            <v>0</v>
          </cell>
          <cell r="J7">
            <v>0</v>
          </cell>
          <cell r="K7">
            <v>0</v>
          </cell>
          <cell r="L7" t="str">
            <v>CR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 t="str">
            <v>CR</v>
          </cell>
          <cell r="X7" t="str">
            <v>AV-50%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 t="str">
            <v>ASS</v>
          </cell>
          <cell r="AE7" t="str">
            <v>CR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 t="str">
            <v>ASS</v>
          </cell>
          <cell r="AK7" t="str">
            <v>CR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 t="str">
            <v>ASS</v>
          </cell>
          <cell r="AQ7" t="str">
            <v>CR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 t="str">
            <v>ASS</v>
          </cell>
          <cell r="AW7" t="str">
            <v>CR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 t="str">
            <v>CR</v>
          </cell>
          <cell r="BD7" t="str">
            <v>AV-60%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</row>
        <row r="8">
          <cell r="C8" t="str">
            <v>RUPOK SHAHA</v>
          </cell>
          <cell r="D8" t="str">
            <v>RIPON SHAHA</v>
          </cell>
          <cell r="E8" t="str">
            <v>KRISHNA SHAHA</v>
          </cell>
          <cell r="F8">
            <v>18</v>
          </cell>
          <cell r="G8">
            <v>19</v>
          </cell>
          <cell r="H8">
            <v>57</v>
          </cell>
          <cell r="I8">
            <v>94</v>
          </cell>
          <cell r="J8">
            <v>10</v>
          </cell>
          <cell r="K8">
            <v>10</v>
          </cell>
          <cell r="L8">
            <v>29</v>
          </cell>
          <cell r="M8">
            <v>49</v>
          </cell>
          <cell r="N8">
            <v>143</v>
          </cell>
          <cell r="O8">
            <v>149</v>
          </cell>
          <cell r="P8">
            <v>5</v>
          </cell>
          <cell r="Q8">
            <v>20</v>
          </cell>
          <cell r="R8">
            <v>20</v>
          </cell>
          <cell r="S8">
            <v>54</v>
          </cell>
          <cell r="T8">
            <v>94</v>
          </cell>
          <cell r="U8">
            <v>10</v>
          </cell>
          <cell r="V8">
            <v>10</v>
          </cell>
          <cell r="W8">
            <v>56</v>
          </cell>
          <cell r="X8">
            <v>28</v>
          </cell>
          <cell r="Y8">
            <v>48</v>
          </cell>
          <cell r="Z8">
            <v>142</v>
          </cell>
          <cell r="AA8">
            <v>149</v>
          </cell>
          <cell r="AB8">
            <v>5</v>
          </cell>
          <cell r="AC8">
            <v>20</v>
          </cell>
          <cell r="AD8">
            <v>20</v>
          </cell>
          <cell r="AE8">
            <v>48</v>
          </cell>
          <cell r="AF8">
            <v>88</v>
          </cell>
          <cell r="AG8">
            <v>100</v>
          </cell>
          <cell r="AH8">
            <v>5</v>
          </cell>
          <cell r="AI8">
            <v>20</v>
          </cell>
          <cell r="AJ8">
            <v>20</v>
          </cell>
          <cell r="AK8">
            <v>52</v>
          </cell>
          <cell r="AL8">
            <v>92</v>
          </cell>
          <cell r="AM8">
            <v>100</v>
          </cell>
          <cell r="AN8">
            <v>5</v>
          </cell>
          <cell r="AO8">
            <v>19</v>
          </cell>
          <cell r="AP8">
            <v>20</v>
          </cell>
          <cell r="AQ8">
            <v>58</v>
          </cell>
          <cell r="AR8">
            <v>97</v>
          </cell>
          <cell r="AS8">
            <v>100</v>
          </cell>
          <cell r="AT8">
            <v>5</v>
          </cell>
          <cell r="AU8">
            <v>20</v>
          </cell>
          <cell r="AV8">
            <v>20</v>
          </cell>
          <cell r="AW8">
            <v>56</v>
          </cell>
          <cell r="AX8">
            <v>96</v>
          </cell>
          <cell r="AY8">
            <v>99</v>
          </cell>
          <cell r="AZ8">
            <v>5</v>
          </cell>
          <cell r="BA8">
            <v>10</v>
          </cell>
          <cell r="BB8">
            <v>10</v>
          </cell>
          <cell r="BC8">
            <v>50</v>
          </cell>
          <cell r="BD8">
            <v>30</v>
          </cell>
          <cell r="BE8">
            <v>50</v>
          </cell>
          <cell r="BF8">
            <v>50</v>
          </cell>
          <cell r="BG8">
            <v>5</v>
          </cell>
          <cell r="BH8">
            <v>35</v>
          </cell>
          <cell r="BI8">
            <v>5</v>
          </cell>
          <cell r="BJ8" t="str">
            <v>BEST</v>
          </cell>
          <cell r="BK8">
            <v>708</v>
          </cell>
          <cell r="BL8">
            <v>16</v>
          </cell>
          <cell r="BM8">
            <v>65</v>
          </cell>
          <cell r="BN8">
            <v>0</v>
          </cell>
        </row>
        <row r="9">
          <cell r="C9" t="str">
            <v xml:space="preserve">MAHBUB ALAM SABBIR </v>
          </cell>
          <cell r="D9" t="str">
            <v>MD.AYNAL BEPARY</v>
          </cell>
          <cell r="E9" t="str">
            <v xml:space="preserve">SELINA </v>
          </cell>
          <cell r="F9">
            <v>19</v>
          </cell>
          <cell r="G9">
            <v>20</v>
          </cell>
          <cell r="H9">
            <v>59</v>
          </cell>
          <cell r="I9">
            <v>98</v>
          </cell>
          <cell r="J9">
            <v>10</v>
          </cell>
          <cell r="K9">
            <v>10</v>
          </cell>
          <cell r="L9">
            <v>30</v>
          </cell>
          <cell r="M9">
            <v>50</v>
          </cell>
          <cell r="N9">
            <v>148</v>
          </cell>
          <cell r="O9">
            <v>0</v>
          </cell>
          <cell r="P9">
            <v>5</v>
          </cell>
          <cell r="Q9">
            <v>19</v>
          </cell>
          <cell r="R9">
            <v>20</v>
          </cell>
          <cell r="S9">
            <v>51</v>
          </cell>
          <cell r="T9">
            <v>90</v>
          </cell>
          <cell r="U9">
            <v>10</v>
          </cell>
          <cell r="V9">
            <v>10</v>
          </cell>
          <cell r="W9">
            <v>55</v>
          </cell>
          <cell r="X9">
            <v>27.5</v>
          </cell>
          <cell r="Y9">
            <v>47.5</v>
          </cell>
          <cell r="Z9">
            <v>137.5</v>
          </cell>
          <cell r="AA9">
            <v>0</v>
          </cell>
          <cell r="AB9">
            <v>5</v>
          </cell>
          <cell r="AC9">
            <v>20</v>
          </cell>
          <cell r="AD9">
            <v>20</v>
          </cell>
          <cell r="AE9">
            <v>60</v>
          </cell>
          <cell r="AF9">
            <v>100</v>
          </cell>
          <cell r="AG9">
            <v>0</v>
          </cell>
          <cell r="AH9">
            <v>5</v>
          </cell>
          <cell r="AI9">
            <v>20</v>
          </cell>
          <cell r="AJ9">
            <v>20</v>
          </cell>
          <cell r="AK9">
            <v>52</v>
          </cell>
          <cell r="AL9">
            <v>92</v>
          </cell>
          <cell r="AM9">
            <v>0</v>
          </cell>
          <cell r="AN9">
            <v>5</v>
          </cell>
          <cell r="AO9">
            <v>18</v>
          </cell>
          <cell r="AP9">
            <v>20</v>
          </cell>
          <cell r="AQ9">
            <v>57</v>
          </cell>
          <cell r="AR9">
            <v>95</v>
          </cell>
          <cell r="AS9">
            <v>0</v>
          </cell>
          <cell r="AT9">
            <v>5</v>
          </cell>
          <cell r="AU9">
            <v>20</v>
          </cell>
          <cell r="AV9">
            <v>20</v>
          </cell>
          <cell r="AW9">
            <v>58</v>
          </cell>
          <cell r="AX9">
            <v>98</v>
          </cell>
          <cell r="AY9">
            <v>0</v>
          </cell>
          <cell r="AZ9">
            <v>5</v>
          </cell>
          <cell r="BA9">
            <v>10</v>
          </cell>
          <cell r="BB9">
            <v>10</v>
          </cell>
          <cell r="BC9">
            <v>50</v>
          </cell>
          <cell r="BD9">
            <v>30</v>
          </cell>
          <cell r="BE9">
            <v>50</v>
          </cell>
          <cell r="BF9">
            <v>0</v>
          </cell>
          <cell r="BG9">
            <v>5</v>
          </cell>
          <cell r="BH9">
            <v>35</v>
          </cell>
          <cell r="BI9">
            <v>5</v>
          </cell>
          <cell r="BJ9" t="str">
            <v>BEST</v>
          </cell>
          <cell r="BK9">
            <v>720.5</v>
          </cell>
          <cell r="BL9">
            <v>10</v>
          </cell>
          <cell r="BM9">
            <v>63</v>
          </cell>
          <cell r="BN9">
            <v>0</v>
          </cell>
        </row>
        <row r="10">
          <cell r="C10" t="str">
            <v xml:space="preserve">MD.NAYEM AHMMED </v>
          </cell>
          <cell r="D10" t="str">
            <v xml:space="preserve">MD.SALIM </v>
          </cell>
          <cell r="E10" t="str">
            <v>MOST.NASRIN AKTER</v>
          </cell>
          <cell r="F10">
            <v>19</v>
          </cell>
          <cell r="G10">
            <v>20</v>
          </cell>
          <cell r="H10">
            <v>57</v>
          </cell>
          <cell r="I10">
            <v>96</v>
          </cell>
          <cell r="J10">
            <v>10</v>
          </cell>
          <cell r="K10">
            <v>10</v>
          </cell>
          <cell r="L10">
            <v>30</v>
          </cell>
          <cell r="M10">
            <v>50</v>
          </cell>
          <cell r="N10">
            <v>146</v>
          </cell>
          <cell r="O10">
            <v>0</v>
          </cell>
          <cell r="P10">
            <v>5</v>
          </cell>
          <cell r="Q10">
            <v>18</v>
          </cell>
          <cell r="R10">
            <v>20</v>
          </cell>
          <cell r="S10">
            <v>53</v>
          </cell>
          <cell r="T10">
            <v>91</v>
          </cell>
          <cell r="U10">
            <v>10</v>
          </cell>
          <cell r="V10">
            <v>10</v>
          </cell>
          <cell r="W10">
            <v>41</v>
          </cell>
          <cell r="X10">
            <v>20.5</v>
          </cell>
          <cell r="Y10">
            <v>40.5</v>
          </cell>
          <cell r="Z10">
            <v>131.5</v>
          </cell>
          <cell r="AA10">
            <v>0</v>
          </cell>
          <cell r="AB10">
            <v>5</v>
          </cell>
          <cell r="AC10">
            <v>20</v>
          </cell>
          <cell r="AD10">
            <v>20</v>
          </cell>
          <cell r="AE10">
            <v>57</v>
          </cell>
          <cell r="AF10">
            <v>97</v>
          </cell>
          <cell r="AG10">
            <v>0</v>
          </cell>
          <cell r="AH10">
            <v>5</v>
          </cell>
          <cell r="AI10">
            <v>19</v>
          </cell>
          <cell r="AJ10">
            <v>20</v>
          </cell>
          <cell r="AK10">
            <v>52</v>
          </cell>
          <cell r="AL10">
            <v>91</v>
          </cell>
          <cell r="AM10">
            <v>0</v>
          </cell>
          <cell r="AN10">
            <v>5</v>
          </cell>
          <cell r="AO10">
            <v>19</v>
          </cell>
          <cell r="AP10">
            <v>20</v>
          </cell>
          <cell r="AQ10">
            <v>58</v>
          </cell>
          <cell r="AR10">
            <v>97</v>
          </cell>
          <cell r="AS10">
            <v>0</v>
          </cell>
          <cell r="AT10">
            <v>5</v>
          </cell>
          <cell r="AU10">
            <v>20</v>
          </cell>
          <cell r="AV10">
            <v>20</v>
          </cell>
          <cell r="AW10">
            <v>58</v>
          </cell>
          <cell r="AX10">
            <v>98</v>
          </cell>
          <cell r="AY10">
            <v>0</v>
          </cell>
          <cell r="AZ10">
            <v>5</v>
          </cell>
          <cell r="BA10">
            <v>10</v>
          </cell>
          <cell r="BB10">
            <v>10</v>
          </cell>
          <cell r="BC10">
            <v>49</v>
          </cell>
          <cell r="BD10">
            <v>29.4</v>
          </cell>
          <cell r="BE10">
            <v>49.4</v>
          </cell>
          <cell r="BF10">
            <v>0</v>
          </cell>
          <cell r="BG10">
            <v>5</v>
          </cell>
          <cell r="BH10">
            <v>35</v>
          </cell>
          <cell r="BI10">
            <v>5</v>
          </cell>
          <cell r="BJ10" t="str">
            <v>BEST</v>
          </cell>
          <cell r="BK10">
            <v>709.9</v>
          </cell>
          <cell r="BL10">
            <v>15</v>
          </cell>
          <cell r="BM10">
            <v>57</v>
          </cell>
          <cell r="BN10">
            <v>0</v>
          </cell>
        </row>
        <row r="11">
          <cell r="C11" t="str">
            <v xml:space="preserve">MD.TAHSIN UDDIN </v>
          </cell>
          <cell r="D11" t="str">
            <v xml:space="preserve">MAINUDDIN </v>
          </cell>
          <cell r="E11" t="str">
            <v xml:space="preserve">TASLIMA BEGUM </v>
          </cell>
          <cell r="F11">
            <v>20</v>
          </cell>
          <cell r="G11">
            <v>16</v>
          </cell>
          <cell r="H11">
            <v>55</v>
          </cell>
          <cell r="I11">
            <v>91</v>
          </cell>
          <cell r="J11">
            <v>10</v>
          </cell>
          <cell r="K11">
            <v>10</v>
          </cell>
          <cell r="L11">
            <v>30</v>
          </cell>
          <cell r="M11">
            <v>50</v>
          </cell>
          <cell r="N11">
            <v>141</v>
          </cell>
          <cell r="O11">
            <v>0</v>
          </cell>
          <cell r="P11">
            <v>5</v>
          </cell>
          <cell r="Q11">
            <v>19</v>
          </cell>
          <cell r="R11">
            <v>19</v>
          </cell>
          <cell r="S11">
            <v>45</v>
          </cell>
          <cell r="T11">
            <v>83</v>
          </cell>
          <cell r="U11">
            <v>10</v>
          </cell>
          <cell r="V11">
            <v>10</v>
          </cell>
          <cell r="W11">
            <v>46</v>
          </cell>
          <cell r="X11">
            <v>23</v>
          </cell>
          <cell r="Y11">
            <v>43</v>
          </cell>
          <cell r="Z11">
            <v>126</v>
          </cell>
          <cell r="AA11">
            <v>0</v>
          </cell>
          <cell r="AB11">
            <v>5</v>
          </cell>
          <cell r="AC11">
            <v>14</v>
          </cell>
          <cell r="AD11">
            <v>20</v>
          </cell>
          <cell r="AE11">
            <v>56</v>
          </cell>
          <cell r="AF11">
            <v>90</v>
          </cell>
          <cell r="AG11">
            <v>0</v>
          </cell>
          <cell r="AH11">
            <v>5</v>
          </cell>
          <cell r="AI11">
            <v>19</v>
          </cell>
          <cell r="AJ11">
            <v>20</v>
          </cell>
          <cell r="AK11">
            <v>43</v>
          </cell>
          <cell r="AL11">
            <v>82</v>
          </cell>
          <cell r="AM11">
            <v>0</v>
          </cell>
          <cell r="AN11">
            <v>5</v>
          </cell>
          <cell r="AO11">
            <v>15</v>
          </cell>
          <cell r="AP11">
            <v>20</v>
          </cell>
          <cell r="AQ11">
            <v>56</v>
          </cell>
          <cell r="AR11">
            <v>91</v>
          </cell>
          <cell r="AS11">
            <v>0</v>
          </cell>
          <cell r="AT11">
            <v>5</v>
          </cell>
          <cell r="AU11">
            <v>20</v>
          </cell>
          <cell r="AV11">
            <v>20</v>
          </cell>
          <cell r="AW11">
            <v>57</v>
          </cell>
          <cell r="AX11">
            <v>97</v>
          </cell>
          <cell r="AY11">
            <v>0</v>
          </cell>
          <cell r="AZ11">
            <v>5</v>
          </cell>
          <cell r="BA11">
            <v>10</v>
          </cell>
          <cell r="BB11">
            <v>10</v>
          </cell>
          <cell r="BC11">
            <v>49</v>
          </cell>
          <cell r="BD11">
            <v>29.4</v>
          </cell>
          <cell r="BE11">
            <v>49.4</v>
          </cell>
          <cell r="BF11">
            <v>0</v>
          </cell>
          <cell r="BG11">
            <v>5</v>
          </cell>
          <cell r="BH11">
            <v>35</v>
          </cell>
          <cell r="BI11">
            <v>5</v>
          </cell>
          <cell r="BJ11" t="str">
            <v>BEST</v>
          </cell>
          <cell r="BK11">
            <v>676.4</v>
          </cell>
          <cell r="BL11">
            <v>32</v>
          </cell>
          <cell r="BM11">
            <v>60</v>
          </cell>
          <cell r="BN11">
            <v>0</v>
          </cell>
        </row>
        <row r="12">
          <cell r="C12" t="str">
            <v xml:space="preserve">TOUHID ISLAM FOUAD </v>
          </cell>
          <cell r="D12" t="str">
            <v>SANUAR HOSSAIN</v>
          </cell>
          <cell r="E12" t="str">
            <v>SONIA AKHTER</v>
          </cell>
          <cell r="F12">
            <v>20</v>
          </cell>
          <cell r="G12">
            <v>18</v>
          </cell>
          <cell r="H12">
            <v>54</v>
          </cell>
          <cell r="I12">
            <v>92</v>
          </cell>
          <cell r="J12">
            <v>10</v>
          </cell>
          <cell r="K12">
            <v>10</v>
          </cell>
          <cell r="L12">
            <v>30</v>
          </cell>
          <cell r="M12">
            <v>50</v>
          </cell>
          <cell r="N12">
            <v>142</v>
          </cell>
          <cell r="O12">
            <v>0</v>
          </cell>
          <cell r="P12">
            <v>5</v>
          </cell>
          <cell r="Q12">
            <v>17</v>
          </cell>
          <cell r="R12">
            <v>19</v>
          </cell>
          <cell r="S12">
            <v>38</v>
          </cell>
          <cell r="T12">
            <v>74</v>
          </cell>
          <cell r="U12">
            <v>9</v>
          </cell>
          <cell r="V12">
            <v>10</v>
          </cell>
          <cell r="W12">
            <v>40</v>
          </cell>
          <cell r="X12">
            <v>20</v>
          </cell>
          <cell r="Y12">
            <v>39</v>
          </cell>
          <cell r="Z12">
            <v>113</v>
          </cell>
          <cell r="AA12">
            <v>0</v>
          </cell>
          <cell r="AB12">
            <v>4</v>
          </cell>
          <cell r="AC12">
            <v>16</v>
          </cell>
          <cell r="AD12">
            <v>20</v>
          </cell>
          <cell r="AE12">
            <v>52</v>
          </cell>
          <cell r="AF12">
            <v>88</v>
          </cell>
          <cell r="AG12">
            <v>0</v>
          </cell>
          <cell r="AH12">
            <v>5</v>
          </cell>
          <cell r="AI12">
            <v>20</v>
          </cell>
          <cell r="AJ12">
            <v>20</v>
          </cell>
          <cell r="AK12">
            <v>51</v>
          </cell>
          <cell r="AL12">
            <v>91</v>
          </cell>
          <cell r="AM12">
            <v>0</v>
          </cell>
          <cell r="AN12">
            <v>5</v>
          </cell>
          <cell r="AO12">
            <v>19</v>
          </cell>
          <cell r="AP12">
            <v>20</v>
          </cell>
          <cell r="AQ12">
            <v>57</v>
          </cell>
          <cell r="AR12">
            <v>96</v>
          </cell>
          <cell r="AS12">
            <v>0</v>
          </cell>
          <cell r="AT12">
            <v>5</v>
          </cell>
          <cell r="AU12">
            <v>20</v>
          </cell>
          <cell r="AV12">
            <v>20</v>
          </cell>
          <cell r="AW12">
            <v>57</v>
          </cell>
          <cell r="AX12">
            <v>97</v>
          </cell>
          <cell r="AY12">
            <v>0</v>
          </cell>
          <cell r="AZ12">
            <v>5</v>
          </cell>
          <cell r="BA12">
            <v>10</v>
          </cell>
          <cell r="BB12">
            <v>10</v>
          </cell>
          <cell r="BC12">
            <v>50</v>
          </cell>
          <cell r="BD12">
            <v>30</v>
          </cell>
          <cell r="BE12">
            <v>50</v>
          </cell>
          <cell r="BF12">
            <v>0</v>
          </cell>
          <cell r="BG12">
            <v>5</v>
          </cell>
          <cell r="BH12">
            <v>34</v>
          </cell>
          <cell r="BI12">
            <v>4.8571428571428568</v>
          </cell>
          <cell r="BJ12" t="str">
            <v>BETTER</v>
          </cell>
          <cell r="BK12">
            <v>677</v>
          </cell>
          <cell r="BL12">
            <v>45</v>
          </cell>
          <cell r="BM12">
            <v>57</v>
          </cell>
          <cell r="BN12">
            <v>0</v>
          </cell>
        </row>
        <row r="13">
          <cell r="C13" t="str">
            <v>TANJIM AHMED SHAN</v>
          </cell>
          <cell r="D13" t="str">
            <v xml:space="preserve">TAREK AHMED </v>
          </cell>
          <cell r="E13" t="str">
            <v>SALINA AKTER</v>
          </cell>
          <cell r="F13">
            <v>20</v>
          </cell>
          <cell r="G13">
            <v>16</v>
          </cell>
          <cell r="H13">
            <v>58</v>
          </cell>
          <cell r="I13">
            <v>94</v>
          </cell>
          <cell r="J13">
            <v>10</v>
          </cell>
          <cell r="K13">
            <v>10</v>
          </cell>
          <cell r="L13">
            <v>29</v>
          </cell>
          <cell r="M13">
            <v>49</v>
          </cell>
          <cell r="N13">
            <v>143</v>
          </cell>
          <cell r="O13">
            <v>0</v>
          </cell>
          <cell r="P13">
            <v>5</v>
          </cell>
          <cell r="Q13">
            <v>18</v>
          </cell>
          <cell r="R13">
            <v>20</v>
          </cell>
          <cell r="S13">
            <v>45</v>
          </cell>
          <cell r="T13">
            <v>83</v>
          </cell>
          <cell r="U13">
            <v>9</v>
          </cell>
          <cell r="V13">
            <v>10</v>
          </cell>
          <cell r="W13">
            <v>54</v>
          </cell>
          <cell r="X13">
            <v>27</v>
          </cell>
          <cell r="Y13">
            <v>46</v>
          </cell>
          <cell r="Z13">
            <v>129</v>
          </cell>
          <cell r="AA13">
            <v>0</v>
          </cell>
          <cell r="AB13">
            <v>5</v>
          </cell>
          <cell r="AC13">
            <v>20</v>
          </cell>
          <cell r="AD13">
            <v>20</v>
          </cell>
          <cell r="AE13">
            <v>58</v>
          </cell>
          <cell r="AF13">
            <v>98</v>
          </cell>
          <cell r="AG13">
            <v>0</v>
          </cell>
          <cell r="AH13">
            <v>5</v>
          </cell>
          <cell r="AI13">
            <v>20</v>
          </cell>
          <cell r="AJ13">
            <v>20</v>
          </cell>
          <cell r="AK13">
            <v>55</v>
          </cell>
          <cell r="AL13">
            <v>95</v>
          </cell>
          <cell r="AM13">
            <v>0</v>
          </cell>
          <cell r="AN13">
            <v>5</v>
          </cell>
          <cell r="AO13">
            <v>20</v>
          </cell>
          <cell r="AP13">
            <v>20</v>
          </cell>
          <cell r="AQ13">
            <v>60</v>
          </cell>
          <cell r="AR13">
            <v>100</v>
          </cell>
          <cell r="AS13">
            <v>0</v>
          </cell>
          <cell r="AT13">
            <v>5</v>
          </cell>
          <cell r="AU13">
            <v>20</v>
          </cell>
          <cell r="AV13">
            <v>20</v>
          </cell>
          <cell r="AW13">
            <v>58</v>
          </cell>
          <cell r="AX13">
            <v>98</v>
          </cell>
          <cell r="AY13">
            <v>0</v>
          </cell>
          <cell r="AZ13">
            <v>5</v>
          </cell>
          <cell r="BA13">
            <v>10</v>
          </cell>
          <cell r="BB13">
            <v>10</v>
          </cell>
          <cell r="BC13">
            <v>48</v>
          </cell>
          <cell r="BD13">
            <v>28.799999999999997</v>
          </cell>
          <cell r="BE13">
            <v>48.8</v>
          </cell>
          <cell r="BF13">
            <v>0</v>
          </cell>
          <cell r="BG13">
            <v>5</v>
          </cell>
          <cell r="BH13">
            <v>35</v>
          </cell>
          <cell r="BI13">
            <v>5</v>
          </cell>
          <cell r="BJ13" t="str">
            <v>BEST</v>
          </cell>
          <cell r="BK13">
            <v>711.8</v>
          </cell>
          <cell r="BL13">
            <v>14</v>
          </cell>
          <cell r="BM13">
            <v>64</v>
          </cell>
          <cell r="BN13">
            <v>0</v>
          </cell>
        </row>
        <row r="14">
          <cell r="C14" t="str">
            <v xml:space="preserve">MD.MARUF HOSSEN </v>
          </cell>
          <cell r="D14" t="str">
            <v>MD.FAKRUL ISLAM</v>
          </cell>
          <cell r="E14" t="str">
            <v>MOHELA BEGEM</v>
          </cell>
          <cell r="F14">
            <v>20</v>
          </cell>
          <cell r="G14">
            <v>19</v>
          </cell>
          <cell r="H14">
            <v>52</v>
          </cell>
          <cell r="I14">
            <v>91</v>
          </cell>
          <cell r="J14">
            <v>10</v>
          </cell>
          <cell r="K14">
            <v>10</v>
          </cell>
          <cell r="L14">
            <v>30</v>
          </cell>
          <cell r="M14">
            <v>50</v>
          </cell>
          <cell r="N14">
            <v>141</v>
          </cell>
          <cell r="O14">
            <v>0</v>
          </cell>
          <cell r="P14">
            <v>5</v>
          </cell>
          <cell r="Q14">
            <v>17</v>
          </cell>
          <cell r="R14">
            <v>19</v>
          </cell>
          <cell r="S14">
            <v>41</v>
          </cell>
          <cell r="T14">
            <v>77</v>
          </cell>
          <cell r="U14">
            <v>10</v>
          </cell>
          <cell r="V14">
            <v>10</v>
          </cell>
          <cell r="W14">
            <v>48</v>
          </cell>
          <cell r="X14">
            <v>24</v>
          </cell>
          <cell r="Y14">
            <v>44</v>
          </cell>
          <cell r="Z14">
            <v>121</v>
          </cell>
          <cell r="AA14">
            <v>0</v>
          </cell>
          <cell r="AB14">
            <v>5</v>
          </cell>
          <cell r="AC14">
            <v>20</v>
          </cell>
          <cell r="AD14">
            <v>20</v>
          </cell>
          <cell r="AE14">
            <v>59</v>
          </cell>
          <cell r="AF14">
            <v>99</v>
          </cell>
          <cell r="AG14">
            <v>0</v>
          </cell>
          <cell r="AH14">
            <v>5</v>
          </cell>
          <cell r="AI14">
            <v>20</v>
          </cell>
          <cell r="AJ14">
            <v>20</v>
          </cell>
          <cell r="AK14">
            <v>38</v>
          </cell>
          <cell r="AL14">
            <v>78</v>
          </cell>
          <cell r="AM14">
            <v>0</v>
          </cell>
          <cell r="AN14">
            <v>4</v>
          </cell>
          <cell r="AO14">
            <v>19</v>
          </cell>
          <cell r="AP14">
            <v>20</v>
          </cell>
          <cell r="AQ14">
            <v>56</v>
          </cell>
          <cell r="AR14">
            <v>95</v>
          </cell>
          <cell r="AS14">
            <v>0</v>
          </cell>
          <cell r="AT14">
            <v>5</v>
          </cell>
          <cell r="AU14">
            <v>19</v>
          </cell>
          <cell r="AV14">
            <v>20</v>
          </cell>
          <cell r="AW14">
            <v>58</v>
          </cell>
          <cell r="AX14">
            <v>97</v>
          </cell>
          <cell r="AY14">
            <v>0</v>
          </cell>
          <cell r="AZ14">
            <v>5</v>
          </cell>
          <cell r="BA14">
            <v>9</v>
          </cell>
          <cell r="BB14">
            <v>10</v>
          </cell>
          <cell r="BC14">
            <v>47</v>
          </cell>
          <cell r="BD14">
            <v>28.2</v>
          </cell>
          <cell r="BE14">
            <v>47.2</v>
          </cell>
          <cell r="BF14">
            <v>0</v>
          </cell>
          <cell r="BG14">
            <v>5</v>
          </cell>
          <cell r="BH14">
            <v>34</v>
          </cell>
          <cell r="BI14">
            <v>4.8571428571428568</v>
          </cell>
          <cell r="BJ14" t="str">
            <v>BETTER</v>
          </cell>
          <cell r="BK14">
            <v>678.2</v>
          </cell>
          <cell r="BL14">
            <v>43</v>
          </cell>
          <cell r="BM14">
            <v>58</v>
          </cell>
          <cell r="BN14">
            <v>0</v>
          </cell>
          <cell r="BP14" t="str">
            <v/>
          </cell>
        </row>
        <row r="15">
          <cell r="C15" t="str">
            <v xml:space="preserve">RAHAT AHMED ANTOR </v>
          </cell>
          <cell r="D15" t="str">
            <v xml:space="preserve">MD.SHAKIL MIA </v>
          </cell>
          <cell r="E15" t="str">
            <v>REKHA BEGUIM</v>
          </cell>
          <cell r="F15">
            <v>20</v>
          </cell>
          <cell r="G15">
            <v>14</v>
          </cell>
          <cell r="H15">
            <v>57</v>
          </cell>
          <cell r="I15">
            <v>91</v>
          </cell>
          <cell r="J15">
            <v>10</v>
          </cell>
          <cell r="K15">
            <v>10</v>
          </cell>
          <cell r="L15">
            <v>30</v>
          </cell>
          <cell r="M15">
            <v>50</v>
          </cell>
          <cell r="N15">
            <v>141</v>
          </cell>
          <cell r="O15">
            <v>0</v>
          </cell>
          <cell r="P15">
            <v>5</v>
          </cell>
          <cell r="Q15">
            <v>19</v>
          </cell>
          <cell r="R15">
            <v>20</v>
          </cell>
          <cell r="S15">
            <v>53</v>
          </cell>
          <cell r="T15">
            <v>92</v>
          </cell>
          <cell r="U15">
            <v>10</v>
          </cell>
          <cell r="V15">
            <v>10</v>
          </cell>
          <cell r="W15">
            <v>56</v>
          </cell>
          <cell r="X15">
            <v>28</v>
          </cell>
          <cell r="Y15">
            <v>48</v>
          </cell>
          <cell r="Z15">
            <v>140</v>
          </cell>
          <cell r="AA15">
            <v>0</v>
          </cell>
          <cell r="AB15">
            <v>5</v>
          </cell>
          <cell r="AC15">
            <v>20</v>
          </cell>
          <cell r="AD15">
            <v>20</v>
          </cell>
          <cell r="AE15">
            <v>58</v>
          </cell>
          <cell r="AF15">
            <v>98</v>
          </cell>
          <cell r="AG15">
            <v>0</v>
          </cell>
          <cell r="AH15">
            <v>5</v>
          </cell>
          <cell r="AI15">
            <v>20</v>
          </cell>
          <cell r="AJ15">
            <v>20</v>
          </cell>
          <cell r="AK15">
            <v>52</v>
          </cell>
          <cell r="AL15">
            <v>92</v>
          </cell>
          <cell r="AM15">
            <v>0</v>
          </cell>
          <cell r="AN15">
            <v>5</v>
          </cell>
          <cell r="AO15">
            <v>19</v>
          </cell>
          <cell r="AP15">
            <v>20</v>
          </cell>
          <cell r="AQ15">
            <v>56</v>
          </cell>
          <cell r="AR15">
            <v>95</v>
          </cell>
          <cell r="AS15">
            <v>0</v>
          </cell>
          <cell r="AT15">
            <v>5</v>
          </cell>
          <cell r="AU15">
            <v>20</v>
          </cell>
          <cell r="AV15">
            <v>20</v>
          </cell>
          <cell r="AW15">
            <v>58</v>
          </cell>
          <cell r="AX15">
            <v>98</v>
          </cell>
          <cell r="AY15">
            <v>0</v>
          </cell>
          <cell r="AZ15">
            <v>5</v>
          </cell>
          <cell r="BA15">
            <v>10</v>
          </cell>
          <cell r="BB15">
            <v>10</v>
          </cell>
          <cell r="BC15">
            <v>48</v>
          </cell>
          <cell r="BD15">
            <v>28.799999999999997</v>
          </cell>
          <cell r="BE15">
            <v>48.8</v>
          </cell>
          <cell r="BF15">
            <v>0</v>
          </cell>
          <cell r="BG15">
            <v>5</v>
          </cell>
          <cell r="BH15">
            <v>35</v>
          </cell>
          <cell r="BI15">
            <v>5</v>
          </cell>
          <cell r="BJ15" t="str">
            <v>BEST</v>
          </cell>
          <cell r="BK15">
            <v>712.8</v>
          </cell>
          <cell r="BL15">
            <v>12</v>
          </cell>
          <cell r="BM15">
            <v>64</v>
          </cell>
        </row>
        <row r="16">
          <cell r="C16" t="str">
            <v>EVAN PRODAN</v>
          </cell>
          <cell r="D16" t="str">
            <v xml:space="preserve"> NASIR PRODAN</v>
          </cell>
          <cell r="E16" t="str">
            <v>YESMINN AKTER</v>
          </cell>
          <cell r="F16">
            <v>20</v>
          </cell>
          <cell r="G16">
            <v>14</v>
          </cell>
          <cell r="H16">
            <v>59</v>
          </cell>
          <cell r="I16">
            <v>93</v>
          </cell>
          <cell r="J16">
            <v>10</v>
          </cell>
          <cell r="K16">
            <v>10</v>
          </cell>
          <cell r="L16">
            <v>29</v>
          </cell>
          <cell r="M16">
            <v>49</v>
          </cell>
          <cell r="N16">
            <v>142</v>
          </cell>
          <cell r="O16">
            <v>0</v>
          </cell>
          <cell r="P16">
            <v>5</v>
          </cell>
          <cell r="Q16">
            <v>19</v>
          </cell>
          <cell r="R16">
            <v>20</v>
          </cell>
          <cell r="S16">
            <v>47</v>
          </cell>
          <cell r="T16">
            <v>86</v>
          </cell>
          <cell r="U16">
            <v>10</v>
          </cell>
          <cell r="V16">
            <v>10</v>
          </cell>
          <cell r="W16">
            <v>50</v>
          </cell>
          <cell r="X16">
            <v>25</v>
          </cell>
          <cell r="Y16">
            <v>45</v>
          </cell>
          <cell r="Z16">
            <v>131</v>
          </cell>
          <cell r="AA16">
            <v>0</v>
          </cell>
          <cell r="AB16">
            <v>5</v>
          </cell>
          <cell r="AC16">
            <v>16</v>
          </cell>
          <cell r="AD16">
            <v>20</v>
          </cell>
          <cell r="AE16">
            <v>51</v>
          </cell>
          <cell r="AF16">
            <v>87</v>
          </cell>
          <cell r="AG16">
            <v>0</v>
          </cell>
          <cell r="AH16">
            <v>5</v>
          </cell>
          <cell r="AI16">
            <v>20</v>
          </cell>
          <cell r="AJ16">
            <v>20</v>
          </cell>
          <cell r="AK16">
            <v>40</v>
          </cell>
          <cell r="AL16">
            <v>80</v>
          </cell>
          <cell r="AM16">
            <v>0</v>
          </cell>
          <cell r="AN16">
            <v>5</v>
          </cell>
          <cell r="AO16">
            <v>18</v>
          </cell>
          <cell r="AP16">
            <v>20</v>
          </cell>
          <cell r="AQ16">
            <v>57</v>
          </cell>
          <cell r="AR16">
            <v>95</v>
          </cell>
          <cell r="AS16">
            <v>0</v>
          </cell>
          <cell r="AT16">
            <v>5</v>
          </cell>
          <cell r="AU16">
            <v>20</v>
          </cell>
          <cell r="AV16">
            <v>20</v>
          </cell>
          <cell r="AW16">
            <v>57</v>
          </cell>
          <cell r="AX16">
            <v>97</v>
          </cell>
          <cell r="AY16">
            <v>0</v>
          </cell>
          <cell r="AZ16">
            <v>5</v>
          </cell>
          <cell r="BA16">
            <v>10</v>
          </cell>
          <cell r="BB16">
            <v>10</v>
          </cell>
          <cell r="BC16">
            <v>49</v>
          </cell>
          <cell r="BD16">
            <v>29.4</v>
          </cell>
          <cell r="BE16">
            <v>49.4</v>
          </cell>
          <cell r="BF16">
            <v>0</v>
          </cell>
          <cell r="BG16">
            <v>5</v>
          </cell>
          <cell r="BH16">
            <v>35</v>
          </cell>
          <cell r="BI16">
            <v>5</v>
          </cell>
          <cell r="BJ16" t="str">
            <v>BEST</v>
          </cell>
          <cell r="BK16">
            <v>681.4</v>
          </cell>
          <cell r="BL16">
            <v>29</v>
          </cell>
          <cell r="BM16">
            <v>59</v>
          </cell>
        </row>
        <row r="17">
          <cell r="C17" t="str">
            <v xml:space="preserve">MAISHA ISLAM TUBA </v>
          </cell>
          <cell r="D17" t="str">
            <v>MD.MAINUL ISLAM</v>
          </cell>
          <cell r="E17" t="str">
            <v>RUMA YESMIN</v>
          </cell>
          <cell r="F17">
            <v>16</v>
          </cell>
          <cell r="G17">
            <v>16</v>
          </cell>
          <cell r="H17">
            <v>42</v>
          </cell>
          <cell r="I17">
            <v>74</v>
          </cell>
          <cell r="J17">
            <v>10</v>
          </cell>
          <cell r="K17">
            <v>10</v>
          </cell>
          <cell r="L17">
            <v>30</v>
          </cell>
          <cell r="M17">
            <v>50</v>
          </cell>
          <cell r="N17">
            <v>124</v>
          </cell>
          <cell r="O17">
            <v>0</v>
          </cell>
          <cell r="P17">
            <v>5</v>
          </cell>
          <cell r="Q17">
            <v>19</v>
          </cell>
          <cell r="R17">
            <v>20</v>
          </cell>
          <cell r="S17">
            <v>32</v>
          </cell>
          <cell r="T17">
            <v>71</v>
          </cell>
          <cell r="U17">
            <v>8</v>
          </cell>
          <cell r="V17">
            <v>10</v>
          </cell>
          <cell r="W17">
            <v>39</v>
          </cell>
          <cell r="X17">
            <v>19.5</v>
          </cell>
          <cell r="Y17">
            <v>37.5</v>
          </cell>
          <cell r="Z17">
            <v>108.5</v>
          </cell>
          <cell r="AA17">
            <v>0</v>
          </cell>
          <cell r="AB17">
            <v>4</v>
          </cell>
          <cell r="AC17">
            <v>20</v>
          </cell>
          <cell r="AD17">
            <v>20</v>
          </cell>
          <cell r="AE17">
            <v>60</v>
          </cell>
          <cell r="AF17">
            <v>100</v>
          </cell>
          <cell r="AG17">
            <v>0</v>
          </cell>
          <cell r="AH17">
            <v>5</v>
          </cell>
          <cell r="AI17">
            <v>20</v>
          </cell>
          <cell r="AJ17">
            <v>20</v>
          </cell>
          <cell r="AK17">
            <v>50</v>
          </cell>
          <cell r="AL17">
            <v>90</v>
          </cell>
          <cell r="AM17">
            <v>0</v>
          </cell>
          <cell r="AN17">
            <v>5</v>
          </cell>
          <cell r="AO17">
            <v>20</v>
          </cell>
          <cell r="AP17">
            <v>20</v>
          </cell>
          <cell r="AQ17">
            <v>57</v>
          </cell>
          <cell r="AR17">
            <v>97</v>
          </cell>
          <cell r="AS17">
            <v>0</v>
          </cell>
          <cell r="AT17">
            <v>5</v>
          </cell>
          <cell r="AU17">
            <v>20</v>
          </cell>
          <cell r="AV17">
            <v>20</v>
          </cell>
          <cell r="AW17">
            <v>58</v>
          </cell>
          <cell r="AX17">
            <v>98</v>
          </cell>
          <cell r="AY17">
            <v>0</v>
          </cell>
          <cell r="AZ17">
            <v>5</v>
          </cell>
          <cell r="BA17">
            <v>10</v>
          </cell>
          <cell r="BB17">
            <v>10</v>
          </cell>
          <cell r="BC17">
            <v>50</v>
          </cell>
          <cell r="BD17">
            <v>30</v>
          </cell>
          <cell r="BE17">
            <v>50</v>
          </cell>
          <cell r="BF17">
            <v>0</v>
          </cell>
          <cell r="BG17">
            <v>5</v>
          </cell>
          <cell r="BH17">
            <v>34</v>
          </cell>
          <cell r="BI17">
            <v>4.8571428571428568</v>
          </cell>
          <cell r="BJ17" t="str">
            <v>BETTER</v>
          </cell>
          <cell r="BK17">
            <v>667.5</v>
          </cell>
          <cell r="BL17">
            <v>50</v>
          </cell>
          <cell r="BM17">
            <v>61</v>
          </cell>
        </row>
        <row r="18">
          <cell r="C18" t="str">
            <v>ARMINA RAHMAN TAHSIN</v>
          </cell>
          <cell r="D18" t="str">
            <v>MD.AMINUR RAHMAN</v>
          </cell>
          <cell r="E18" t="str">
            <v>SUMONA AKTAR</v>
          </cell>
          <cell r="F18">
            <v>20</v>
          </cell>
          <cell r="G18">
            <v>20</v>
          </cell>
          <cell r="H18">
            <v>55</v>
          </cell>
          <cell r="I18">
            <v>95</v>
          </cell>
          <cell r="J18">
            <v>10</v>
          </cell>
          <cell r="K18">
            <v>10</v>
          </cell>
          <cell r="L18">
            <v>30</v>
          </cell>
          <cell r="M18">
            <v>50</v>
          </cell>
          <cell r="N18">
            <v>145</v>
          </cell>
          <cell r="O18">
            <v>0</v>
          </cell>
          <cell r="P18">
            <v>5</v>
          </cell>
          <cell r="Q18">
            <v>16</v>
          </cell>
          <cell r="R18">
            <v>19</v>
          </cell>
          <cell r="S18">
            <v>44</v>
          </cell>
          <cell r="T18">
            <v>79</v>
          </cell>
          <cell r="U18">
            <v>10</v>
          </cell>
          <cell r="V18">
            <v>10</v>
          </cell>
          <cell r="W18">
            <v>46</v>
          </cell>
          <cell r="X18">
            <v>23</v>
          </cell>
          <cell r="Y18">
            <v>43</v>
          </cell>
          <cell r="Z18">
            <v>122</v>
          </cell>
          <cell r="AA18">
            <v>0</v>
          </cell>
          <cell r="AB18">
            <v>5</v>
          </cell>
          <cell r="AC18">
            <v>20</v>
          </cell>
          <cell r="AD18">
            <v>20</v>
          </cell>
          <cell r="AE18">
            <v>58</v>
          </cell>
          <cell r="AF18">
            <v>98</v>
          </cell>
          <cell r="AG18">
            <v>0</v>
          </cell>
          <cell r="AH18">
            <v>5</v>
          </cell>
          <cell r="AI18">
            <v>20</v>
          </cell>
          <cell r="AJ18">
            <v>20</v>
          </cell>
          <cell r="AK18">
            <v>58</v>
          </cell>
          <cell r="AL18">
            <v>98</v>
          </cell>
          <cell r="AM18">
            <v>0</v>
          </cell>
          <cell r="AN18">
            <v>5</v>
          </cell>
          <cell r="AO18">
            <v>19</v>
          </cell>
          <cell r="AP18">
            <v>20</v>
          </cell>
          <cell r="AQ18">
            <v>58</v>
          </cell>
          <cell r="AR18">
            <v>97</v>
          </cell>
          <cell r="AS18">
            <v>0</v>
          </cell>
          <cell r="AT18">
            <v>5</v>
          </cell>
          <cell r="AU18">
            <v>20</v>
          </cell>
          <cell r="AV18">
            <v>20</v>
          </cell>
          <cell r="AW18">
            <v>58</v>
          </cell>
          <cell r="AX18">
            <v>98</v>
          </cell>
          <cell r="AY18">
            <v>0</v>
          </cell>
          <cell r="AZ18">
            <v>5</v>
          </cell>
          <cell r="BA18">
            <v>10</v>
          </cell>
          <cell r="BB18">
            <v>10</v>
          </cell>
          <cell r="BC18">
            <v>48</v>
          </cell>
          <cell r="BD18">
            <v>28.799999999999997</v>
          </cell>
          <cell r="BE18">
            <v>48.8</v>
          </cell>
          <cell r="BF18">
            <v>0</v>
          </cell>
          <cell r="BG18">
            <v>5</v>
          </cell>
          <cell r="BH18">
            <v>35</v>
          </cell>
          <cell r="BI18">
            <v>5</v>
          </cell>
          <cell r="BJ18" t="str">
            <v>BEST</v>
          </cell>
          <cell r="BK18">
            <v>706.8</v>
          </cell>
          <cell r="BL18">
            <v>17</v>
          </cell>
          <cell r="BM18">
            <v>62</v>
          </cell>
        </row>
        <row r="19">
          <cell r="C19" t="str">
            <v>SABIKUNNAHAR TAUCHI</v>
          </cell>
          <cell r="D19" t="str">
            <v>MIRAJ HOSEN</v>
          </cell>
          <cell r="E19" t="str">
            <v>REHANA AKTER</v>
          </cell>
          <cell r="F19">
            <v>20</v>
          </cell>
          <cell r="G19">
            <v>15</v>
          </cell>
          <cell r="H19">
            <v>50</v>
          </cell>
          <cell r="I19">
            <v>85</v>
          </cell>
          <cell r="J19">
            <v>10</v>
          </cell>
          <cell r="K19">
            <v>10</v>
          </cell>
          <cell r="L19">
            <v>28</v>
          </cell>
          <cell r="M19">
            <v>48</v>
          </cell>
          <cell r="N19">
            <v>133</v>
          </cell>
          <cell r="O19">
            <v>0</v>
          </cell>
          <cell r="P19">
            <v>5</v>
          </cell>
          <cell r="Q19">
            <v>16</v>
          </cell>
          <cell r="R19">
            <v>19</v>
          </cell>
          <cell r="S19">
            <v>34</v>
          </cell>
          <cell r="T19">
            <v>69</v>
          </cell>
          <cell r="U19">
            <v>9</v>
          </cell>
          <cell r="V19">
            <v>10</v>
          </cell>
          <cell r="W19">
            <v>48</v>
          </cell>
          <cell r="X19">
            <v>24</v>
          </cell>
          <cell r="Y19">
            <v>43</v>
          </cell>
          <cell r="Z19">
            <v>112</v>
          </cell>
          <cell r="AA19">
            <v>0</v>
          </cell>
          <cell r="AB19">
            <v>4</v>
          </cell>
          <cell r="AC19">
            <v>20</v>
          </cell>
          <cell r="AD19">
            <v>20</v>
          </cell>
          <cell r="AE19">
            <v>58</v>
          </cell>
          <cell r="AF19">
            <v>98</v>
          </cell>
          <cell r="AG19">
            <v>0</v>
          </cell>
          <cell r="AH19">
            <v>5</v>
          </cell>
          <cell r="AI19">
            <v>20</v>
          </cell>
          <cell r="AJ19">
            <v>20</v>
          </cell>
          <cell r="AK19">
            <v>36</v>
          </cell>
          <cell r="AL19">
            <v>76</v>
          </cell>
          <cell r="AM19">
            <v>0</v>
          </cell>
          <cell r="AN19">
            <v>4</v>
          </cell>
          <cell r="AO19">
            <v>19</v>
          </cell>
          <cell r="AP19">
            <v>19</v>
          </cell>
          <cell r="AQ19">
            <v>58</v>
          </cell>
          <cell r="AR19">
            <v>96</v>
          </cell>
          <cell r="AS19">
            <v>0</v>
          </cell>
          <cell r="AT19">
            <v>5</v>
          </cell>
          <cell r="AU19">
            <v>20</v>
          </cell>
          <cell r="AV19">
            <v>20</v>
          </cell>
          <cell r="AW19">
            <v>58</v>
          </cell>
          <cell r="AX19">
            <v>98</v>
          </cell>
          <cell r="AY19">
            <v>0</v>
          </cell>
          <cell r="AZ19">
            <v>5</v>
          </cell>
          <cell r="BA19">
            <v>8</v>
          </cell>
          <cell r="BB19">
            <v>10</v>
          </cell>
          <cell r="BC19">
            <v>44</v>
          </cell>
          <cell r="BD19">
            <v>26.4</v>
          </cell>
          <cell r="BE19">
            <v>44.4</v>
          </cell>
          <cell r="BF19">
            <v>0</v>
          </cell>
          <cell r="BG19">
            <v>5</v>
          </cell>
          <cell r="BH19">
            <v>33</v>
          </cell>
          <cell r="BI19">
            <v>4.7142857142857144</v>
          </cell>
          <cell r="BJ19" t="str">
            <v>BETTER</v>
          </cell>
          <cell r="BK19">
            <v>657.4</v>
          </cell>
          <cell r="BL19">
            <v>59</v>
          </cell>
          <cell r="BM19">
            <v>60</v>
          </cell>
        </row>
        <row r="20">
          <cell r="C20" t="str">
            <v>MAYMUNA MUNIRA</v>
          </cell>
          <cell r="D20" t="str">
            <v>MOHAMMAD BILLAL</v>
          </cell>
          <cell r="E20" t="str">
            <v>SABIKUN NAHAR</v>
          </cell>
          <cell r="F20">
            <v>19</v>
          </cell>
          <cell r="G20">
            <v>14</v>
          </cell>
          <cell r="H20">
            <v>54</v>
          </cell>
          <cell r="I20">
            <v>87</v>
          </cell>
          <cell r="J20">
            <v>10</v>
          </cell>
          <cell r="K20">
            <v>10</v>
          </cell>
          <cell r="L20">
            <v>29</v>
          </cell>
          <cell r="M20">
            <v>49</v>
          </cell>
          <cell r="N20">
            <v>136</v>
          </cell>
          <cell r="O20">
            <v>0</v>
          </cell>
          <cell r="P20">
            <v>5</v>
          </cell>
          <cell r="Q20">
            <v>19</v>
          </cell>
          <cell r="R20">
            <v>20</v>
          </cell>
          <cell r="S20">
            <v>48</v>
          </cell>
          <cell r="T20">
            <v>87</v>
          </cell>
          <cell r="U20">
            <v>10</v>
          </cell>
          <cell r="V20">
            <v>10</v>
          </cell>
          <cell r="W20">
            <v>53</v>
          </cell>
          <cell r="X20">
            <v>26.5</v>
          </cell>
          <cell r="Y20">
            <v>46.5</v>
          </cell>
          <cell r="Z20">
            <v>133.5</v>
          </cell>
          <cell r="AA20">
            <v>0</v>
          </cell>
          <cell r="AB20">
            <v>5</v>
          </cell>
          <cell r="AC20">
            <v>20</v>
          </cell>
          <cell r="AD20">
            <v>20</v>
          </cell>
          <cell r="AE20">
            <v>50</v>
          </cell>
          <cell r="AF20">
            <v>90</v>
          </cell>
          <cell r="AG20">
            <v>0</v>
          </cell>
          <cell r="AH20">
            <v>5</v>
          </cell>
          <cell r="AI20">
            <v>20</v>
          </cell>
          <cell r="AJ20">
            <v>20</v>
          </cell>
          <cell r="AK20">
            <v>30</v>
          </cell>
          <cell r="AL20">
            <v>70</v>
          </cell>
          <cell r="AM20">
            <v>0</v>
          </cell>
          <cell r="AN20">
            <v>4</v>
          </cell>
          <cell r="AO20">
            <v>16</v>
          </cell>
          <cell r="AP20">
            <v>20</v>
          </cell>
          <cell r="AQ20">
            <v>44</v>
          </cell>
          <cell r="AR20">
            <v>80</v>
          </cell>
          <cell r="AS20">
            <v>0</v>
          </cell>
          <cell r="AT20">
            <v>5</v>
          </cell>
          <cell r="AU20">
            <v>20</v>
          </cell>
          <cell r="AV20">
            <v>20</v>
          </cell>
          <cell r="AW20">
            <v>58</v>
          </cell>
          <cell r="AX20">
            <v>98</v>
          </cell>
          <cell r="AY20">
            <v>0</v>
          </cell>
          <cell r="AZ20">
            <v>5</v>
          </cell>
          <cell r="BA20">
            <v>8</v>
          </cell>
          <cell r="BB20">
            <v>10</v>
          </cell>
          <cell r="BC20">
            <v>47</v>
          </cell>
          <cell r="BD20">
            <v>28.2</v>
          </cell>
          <cell r="BE20">
            <v>46.2</v>
          </cell>
          <cell r="BF20">
            <v>0</v>
          </cell>
          <cell r="BG20">
            <v>5</v>
          </cell>
          <cell r="BH20">
            <v>34</v>
          </cell>
          <cell r="BI20">
            <v>4.8571428571428568</v>
          </cell>
          <cell r="BJ20" t="str">
            <v>BETTER</v>
          </cell>
          <cell r="BK20">
            <v>653.70000000000005</v>
          </cell>
          <cell r="BL20">
            <v>53</v>
          </cell>
          <cell r="BM20">
            <v>64</v>
          </cell>
        </row>
        <row r="21">
          <cell r="C21" t="str">
            <v xml:space="preserve">MD.PIAS </v>
          </cell>
          <cell r="D21" t="str">
            <v xml:space="preserve">MD JALAL MRIDHA </v>
          </cell>
          <cell r="E21" t="str">
            <v>POPY AKTER</v>
          </cell>
          <cell r="F21">
            <v>20</v>
          </cell>
          <cell r="G21">
            <v>18</v>
          </cell>
          <cell r="H21">
            <v>56</v>
          </cell>
          <cell r="I21">
            <v>94</v>
          </cell>
          <cell r="J21">
            <v>10</v>
          </cell>
          <cell r="K21">
            <v>10</v>
          </cell>
          <cell r="L21">
            <v>30</v>
          </cell>
          <cell r="M21">
            <v>50</v>
          </cell>
          <cell r="N21">
            <v>144</v>
          </cell>
          <cell r="O21">
            <v>0</v>
          </cell>
          <cell r="P21">
            <v>5</v>
          </cell>
          <cell r="Q21">
            <v>18</v>
          </cell>
          <cell r="R21">
            <v>20</v>
          </cell>
          <cell r="S21">
            <v>49</v>
          </cell>
          <cell r="T21">
            <v>87</v>
          </cell>
          <cell r="U21">
            <v>10</v>
          </cell>
          <cell r="V21">
            <v>10</v>
          </cell>
          <cell r="W21">
            <v>41</v>
          </cell>
          <cell r="X21">
            <v>20.5</v>
          </cell>
          <cell r="Y21">
            <v>40.5</v>
          </cell>
          <cell r="Z21">
            <v>127.5</v>
          </cell>
          <cell r="AA21">
            <v>0</v>
          </cell>
          <cell r="AB21">
            <v>5</v>
          </cell>
          <cell r="AC21">
            <v>20</v>
          </cell>
          <cell r="AD21">
            <v>20</v>
          </cell>
          <cell r="AE21">
            <v>56</v>
          </cell>
          <cell r="AF21">
            <v>96</v>
          </cell>
          <cell r="AG21">
            <v>0</v>
          </cell>
          <cell r="AH21">
            <v>5</v>
          </cell>
          <cell r="AI21">
            <v>20</v>
          </cell>
          <cell r="AJ21">
            <v>20</v>
          </cell>
          <cell r="AK21">
            <v>46</v>
          </cell>
          <cell r="AL21">
            <v>86</v>
          </cell>
          <cell r="AM21">
            <v>0</v>
          </cell>
          <cell r="AN21">
            <v>5</v>
          </cell>
          <cell r="AO21">
            <v>19</v>
          </cell>
          <cell r="AP21">
            <v>20</v>
          </cell>
          <cell r="AQ21">
            <v>59</v>
          </cell>
          <cell r="AR21">
            <v>98</v>
          </cell>
          <cell r="AS21">
            <v>0</v>
          </cell>
          <cell r="AT21">
            <v>5</v>
          </cell>
          <cell r="AU21">
            <v>20</v>
          </cell>
          <cell r="AV21">
            <v>20</v>
          </cell>
          <cell r="AW21">
            <v>58</v>
          </cell>
          <cell r="AX21">
            <v>98</v>
          </cell>
          <cell r="AY21">
            <v>0</v>
          </cell>
          <cell r="AZ21">
            <v>5</v>
          </cell>
          <cell r="BA21">
            <v>10</v>
          </cell>
          <cell r="BB21">
            <v>10</v>
          </cell>
          <cell r="BC21">
            <v>50</v>
          </cell>
          <cell r="BD21">
            <v>30</v>
          </cell>
          <cell r="BE21">
            <v>50</v>
          </cell>
          <cell r="BF21">
            <v>0</v>
          </cell>
          <cell r="BG21">
            <v>5</v>
          </cell>
          <cell r="BH21">
            <v>35</v>
          </cell>
          <cell r="BI21">
            <v>5</v>
          </cell>
          <cell r="BJ21" t="str">
            <v>BEST</v>
          </cell>
          <cell r="BK21">
            <v>699.5</v>
          </cell>
          <cell r="BL21">
            <v>20</v>
          </cell>
          <cell r="BM21">
            <v>61</v>
          </cell>
        </row>
        <row r="22">
          <cell r="C22" t="str">
            <v>MD.IBRAJHIM</v>
          </cell>
          <cell r="D22" t="str">
            <v>MD.ABDULLAH AL MOTI</v>
          </cell>
          <cell r="E22" t="str">
            <v>MAHFUJA KHATUN</v>
          </cell>
          <cell r="F22">
            <v>19</v>
          </cell>
          <cell r="G22">
            <v>20</v>
          </cell>
          <cell r="H22">
            <v>51</v>
          </cell>
          <cell r="I22">
            <v>90</v>
          </cell>
          <cell r="J22">
            <v>10</v>
          </cell>
          <cell r="K22">
            <v>10</v>
          </cell>
          <cell r="L22">
            <v>30</v>
          </cell>
          <cell r="M22">
            <v>50</v>
          </cell>
          <cell r="N22">
            <v>140</v>
          </cell>
          <cell r="O22">
            <v>0</v>
          </cell>
          <cell r="P22">
            <v>5</v>
          </cell>
          <cell r="Q22">
            <v>13</v>
          </cell>
          <cell r="R22">
            <v>19</v>
          </cell>
          <cell r="S22">
            <v>40</v>
          </cell>
          <cell r="T22">
            <v>72</v>
          </cell>
          <cell r="U22">
            <v>10</v>
          </cell>
          <cell r="V22">
            <v>10</v>
          </cell>
          <cell r="W22">
            <v>44</v>
          </cell>
          <cell r="X22">
            <v>22</v>
          </cell>
          <cell r="Y22">
            <v>42</v>
          </cell>
          <cell r="Z22">
            <v>114</v>
          </cell>
          <cell r="AA22">
            <v>0</v>
          </cell>
          <cell r="AB22">
            <v>4</v>
          </cell>
          <cell r="AC22">
            <v>20</v>
          </cell>
          <cell r="AD22">
            <v>20</v>
          </cell>
          <cell r="AE22">
            <v>58</v>
          </cell>
          <cell r="AF22">
            <v>98</v>
          </cell>
          <cell r="AG22">
            <v>0</v>
          </cell>
          <cell r="AH22">
            <v>5</v>
          </cell>
          <cell r="AI22">
            <v>20</v>
          </cell>
          <cell r="AJ22">
            <v>20</v>
          </cell>
          <cell r="AK22">
            <v>47</v>
          </cell>
          <cell r="AL22">
            <v>87</v>
          </cell>
          <cell r="AM22">
            <v>0</v>
          </cell>
          <cell r="AN22">
            <v>5</v>
          </cell>
          <cell r="AO22">
            <v>19</v>
          </cell>
          <cell r="AP22">
            <v>20</v>
          </cell>
          <cell r="AQ22">
            <v>56</v>
          </cell>
          <cell r="AR22">
            <v>95</v>
          </cell>
          <cell r="AS22">
            <v>0</v>
          </cell>
          <cell r="AT22">
            <v>5</v>
          </cell>
          <cell r="AU22">
            <v>20</v>
          </cell>
          <cell r="AV22">
            <v>20</v>
          </cell>
          <cell r="AW22">
            <v>58</v>
          </cell>
          <cell r="AX22">
            <v>98</v>
          </cell>
          <cell r="AY22">
            <v>0</v>
          </cell>
          <cell r="AZ22">
            <v>5</v>
          </cell>
          <cell r="BA22">
            <v>10</v>
          </cell>
          <cell r="BB22">
            <v>10</v>
          </cell>
          <cell r="BC22">
            <v>49</v>
          </cell>
          <cell r="BD22">
            <v>29.4</v>
          </cell>
          <cell r="BE22">
            <v>49.4</v>
          </cell>
          <cell r="BF22">
            <v>0</v>
          </cell>
          <cell r="BG22">
            <v>5</v>
          </cell>
          <cell r="BH22">
            <v>34</v>
          </cell>
          <cell r="BI22">
            <v>4.8571428571428568</v>
          </cell>
          <cell r="BJ22" t="str">
            <v>BETTER</v>
          </cell>
          <cell r="BK22">
            <v>681.4</v>
          </cell>
          <cell r="BL22">
            <v>40</v>
          </cell>
          <cell r="BM22">
            <v>61</v>
          </cell>
        </row>
        <row r="23">
          <cell r="C23" t="str">
            <v>ALIF JAMAN</v>
          </cell>
          <cell r="D23" t="str">
            <v>MD.NUROZZAMAN</v>
          </cell>
          <cell r="E23" t="str">
            <v>ALIZA PERVIN</v>
          </cell>
          <cell r="F23">
            <v>19</v>
          </cell>
          <cell r="G23">
            <v>16</v>
          </cell>
          <cell r="H23">
            <v>57</v>
          </cell>
          <cell r="I23">
            <v>92</v>
          </cell>
          <cell r="J23">
            <v>10</v>
          </cell>
          <cell r="K23">
            <v>10</v>
          </cell>
          <cell r="L23">
            <v>28</v>
          </cell>
          <cell r="M23">
            <v>48</v>
          </cell>
          <cell r="N23">
            <v>140</v>
          </cell>
          <cell r="O23">
            <v>0</v>
          </cell>
          <cell r="P23">
            <v>5</v>
          </cell>
          <cell r="Q23">
            <v>19</v>
          </cell>
          <cell r="R23">
            <v>20</v>
          </cell>
          <cell r="S23">
            <v>0</v>
          </cell>
          <cell r="T23">
            <v>39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39</v>
          </cell>
          <cell r="AA23">
            <v>0</v>
          </cell>
          <cell r="AB23" t="str">
            <v>F</v>
          </cell>
          <cell r="AC23">
            <v>19</v>
          </cell>
          <cell r="AD23">
            <v>20</v>
          </cell>
          <cell r="AE23">
            <v>57</v>
          </cell>
          <cell r="AF23">
            <v>96</v>
          </cell>
          <cell r="AG23">
            <v>0</v>
          </cell>
          <cell r="AH23">
            <v>5</v>
          </cell>
          <cell r="AI23">
            <v>20</v>
          </cell>
          <cell r="AJ23">
            <v>20</v>
          </cell>
          <cell r="AK23">
            <v>36</v>
          </cell>
          <cell r="AL23">
            <v>76</v>
          </cell>
          <cell r="AM23">
            <v>0</v>
          </cell>
          <cell r="AN23">
            <v>4</v>
          </cell>
          <cell r="AO23">
            <v>14</v>
          </cell>
          <cell r="AP23">
            <v>20</v>
          </cell>
          <cell r="AQ23">
            <v>58</v>
          </cell>
          <cell r="AR23">
            <v>92</v>
          </cell>
          <cell r="AS23">
            <v>0</v>
          </cell>
          <cell r="AT23">
            <v>5</v>
          </cell>
          <cell r="AU23">
            <v>20</v>
          </cell>
          <cell r="AV23">
            <v>20</v>
          </cell>
          <cell r="AW23">
            <v>50</v>
          </cell>
          <cell r="AX23">
            <v>90</v>
          </cell>
          <cell r="AY23">
            <v>0</v>
          </cell>
          <cell r="AZ23">
            <v>5</v>
          </cell>
          <cell r="BA23">
            <v>9</v>
          </cell>
          <cell r="BB23">
            <v>10</v>
          </cell>
          <cell r="BC23">
            <v>50</v>
          </cell>
          <cell r="BD23">
            <v>30</v>
          </cell>
          <cell r="BE23">
            <v>49</v>
          </cell>
          <cell r="BF23">
            <v>0</v>
          </cell>
          <cell r="BG23">
            <v>5</v>
          </cell>
          <cell r="BH23" t="str">
            <v>F</v>
          </cell>
          <cell r="BI23" t="str">
            <v>F</v>
          </cell>
          <cell r="BJ23" t="str">
            <v>NEED TO PROGRESS</v>
          </cell>
          <cell r="BK23">
            <v>582</v>
          </cell>
          <cell r="BL23" t="str">
            <v>F</v>
          </cell>
          <cell r="BM23">
            <v>55</v>
          </cell>
        </row>
        <row r="24">
          <cell r="C24" t="str">
            <v>MD.SAIYAN KADER TONOY</v>
          </cell>
          <cell r="D24" t="str">
            <v>MD.MOTAHAR HOSSAIN FAKIR</v>
          </cell>
          <cell r="E24" t="str">
            <v>MOST.SHAMMI AKTER</v>
          </cell>
          <cell r="F24">
            <v>18</v>
          </cell>
          <cell r="G24">
            <v>15</v>
          </cell>
          <cell r="H24">
            <v>58</v>
          </cell>
          <cell r="I24">
            <v>91</v>
          </cell>
          <cell r="J24">
            <v>9</v>
          </cell>
          <cell r="K24">
            <v>10</v>
          </cell>
          <cell r="L24">
            <v>28</v>
          </cell>
          <cell r="M24">
            <v>47</v>
          </cell>
          <cell r="N24">
            <v>138</v>
          </cell>
          <cell r="O24">
            <v>0</v>
          </cell>
          <cell r="P24">
            <v>5</v>
          </cell>
          <cell r="Q24">
            <v>17</v>
          </cell>
          <cell r="R24">
            <v>19</v>
          </cell>
          <cell r="S24">
            <v>34</v>
          </cell>
          <cell r="T24">
            <v>70</v>
          </cell>
          <cell r="U24">
            <v>10</v>
          </cell>
          <cell r="V24">
            <v>10</v>
          </cell>
          <cell r="W24">
            <v>49</v>
          </cell>
          <cell r="X24">
            <v>24.5</v>
          </cell>
          <cell r="Y24">
            <v>44.5</v>
          </cell>
          <cell r="Z24">
            <v>114.5</v>
          </cell>
          <cell r="AA24">
            <v>0</v>
          </cell>
          <cell r="AB24">
            <v>4</v>
          </cell>
          <cell r="AC24">
            <v>19</v>
          </cell>
          <cell r="AD24">
            <v>20</v>
          </cell>
          <cell r="AE24">
            <v>54</v>
          </cell>
          <cell r="AF24">
            <v>93</v>
          </cell>
          <cell r="AG24">
            <v>0</v>
          </cell>
          <cell r="AH24">
            <v>5</v>
          </cell>
          <cell r="AI24">
            <v>20</v>
          </cell>
          <cell r="AJ24">
            <v>20</v>
          </cell>
          <cell r="AK24">
            <v>51</v>
          </cell>
          <cell r="AL24">
            <v>91</v>
          </cell>
          <cell r="AM24">
            <v>0</v>
          </cell>
          <cell r="AN24">
            <v>5</v>
          </cell>
          <cell r="AO24">
            <v>20</v>
          </cell>
          <cell r="AP24">
            <v>20</v>
          </cell>
          <cell r="AQ24">
            <v>58</v>
          </cell>
          <cell r="AR24">
            <v>98</v>
          </cell>
          <cell r="AS24">
            <v>0</v>
          </cell>
          <cell r="AT24">
            <v>5</v>
          </cell>
          <cell r="AU24">
            <v>20</v>
          </cell>
          <cell r="AV24">
            <v>19</v>
          </cell>
          <cell r="AW24">
            <v>57</v>
          </cell>
          <cell r="AX24">
            <v>96</v>
          </cell>
          <cell r="AY24">
            <v>0</v>
          </cell>
          <cell r="AZ24">
            <v>5</v>
          </cell>
          <cell r="BA24">
            <v>10</v>
          </cell>
          <cell r="BB24">
            <v>10</v>
          </cell>
          <cell r="BC24">
            <v>49</v>
          </cell>
          <cell r="BD24">
            <v>29.4</v>
          </cell>
          <cell r="BE24">
            <v>49.4</v>
          </cell>
          <cell r="BF24">
            <v>0</v>
          </cell>
          <cell r="BG24">
            <v>5</v>
          </cell>
          <cell r="BH24">
            <v>34</v>
          </cell>
          <cell r="BI24">
            <v>4.8571428571428568</v>
          </cell>
          <cell r="BJ24" t="str">
            <v>BETTER</v>
          </cell>
          <cell r="BK24">
            <v>679.9</v>
          </cell>
          <cell r="BL24">
            <v>41</v>
          </cell>
          <cell r="BM24">
            <v>59</v>
          </cell>
        </row>
        <row r="25">
          <cell r="C25" t="str">
            <v>HOMAIRA SARKER</v>
          </cell>
          <cell r="D25" t="str">
            <v>HADISUL SARKER</v>
          </cell>
          <cell r="E25" t="str">
            <v>ISRAT JAHAN MITU</v>
          </cell>
          <cell r="F25">
            <v>20</v>
          </cell>
          <cell r="G25">
            <v>20</v>
          </cell>
          <cell r="H25">
            <v>59</v>
          </cell>
          <cell r="I25">
            <v>99</v>
          </cell>
          <cell r="J25">
            <v>10</v>
          </cell>
          <cell r="K25">
            <v>10</v>
          </cell>
          <cell r="L25">
            <v>30</v>
          </cell>
          <cell r="M25">
            <v>50</v>
          </cell>
          <cell r="N25">
            <v>149</v>
          </cell>
          <cell r="O25">
            <v>0</v>
          </cell>
          <cell r="P25">
            <v>5</v>
          </cell>
          <cell r="Q25">
            <v>20</v>
          </cell>
          <cell r="R25">
            <v>20</v>
          </cell>
          <cell r="S25">
            <v>58</v>
          </cell>
          <cell r="T25">
            <v>98</v>
          </cell>
          <cell r="U25">
            <v>10</v>
          </cell>
          <cell r="V25">
            <v>10</v>
          </cell>
          <cell r="W25">
            <v>54</v>
          </cell>
          <cell r="X25">
            <v>27</v>
          </cell>
          <cell r="Y25">
            <v>47</v>
          </cell>
          <cell r="Z25">
            <v>145</v>
          </cell>
          <cell r="AA25">
            <v>0</v>
          </cell>
          <cell r="AB25">
            <v>5</v>
          </cell>
          <cell r="AC25">
            <v>20</v>
          </cell>
          <cell r="AD25">
            <v>20</v>
          </cell>
          <cell r="AE25">
            <v>60</v>
          </cell>
          <cell r="AF25">
            <v>100</v>
          </cell>
          <cell r="AG25">
            <v>0</v>
          </cell>
          <cell r="AH25">
            <v>5</v>
          </cell>
          <cell r="AI25">
            <v>20</v>
          </cell>
          <cell r="AJ25">
            <v>20</v>
          </cell>
          <cell r="AK25">
            <v>60</v>
          </cell>
          <cell r="AL25">
            <v>100</v>
          </cell>
          <cell r="AM25">
            <v>0</v>
          </cell>
          <cell r="AN25">
            <v>5</v>
          </cell>
          <cell r="AO25">
            <v>20</v>
          </cell>
          <cell r="AP25">
            <v>19</v>
          </cell>
          <cell r="AQ25">
            <v>60</v>
          </cell>
          <cell r="AR25">
            <v>99</v>
          </cell>
          <cell r="AS25">
            <v>0</v>
          </cell>
          <cell r="AT25">
            <v>5</v>
          </cell>
          <cell r="AU25">
            <v>20</v>
          </cell>
          <cell r="AV25">
            <v>20</v>
          </cell>
          <cell r="AW25">
            <v>58</v>
          </cell>
          <cell r="AX25">
            <v>98</v>
          </cell>
          <cell r="AY25">
            <v>0</v>
          </cell>
          <cell r="AZ25">
            <v>5</v>
          </cell>
          <cell r="BA25">
            <v>10</v>
          </cell>
          <cell r="BB25">
            <v>10</v>
          </cell>
          <cell r="BC25">
            <v>50</v>
          </cell>
          <cell r="BD25">
            <v>30</v>
          </cell>
          <cell r="BE25">
            <v>50</v>
          </cell>
          <cell r="BF25">
            <v>0</v>
          </cell>
          <cell r="BG25">
            <v>5</v>
          </cell>
          <cell r="BH25">
            <v>35</v>
          </cell>
          <cell r="BI25">
            <v>5</v>
          </cell>
          <cell r="BJ25" t="str">
            <v>BEST</v>
          </cell>
          <cell r="BK25">
            <v>741</v>
          </cell>
          <cell r="BL25">
            <v>4</v>
          </cell>
          <cell r="BM25">
            <v>57</v>
          </cell>
        </row>
        <row r="26">
          <cell r="C26" t="str">
            <v>SAIHAM KADER TONMOY</v>
          </cell>
          <cell r="D26" t="str">
            <v>MD.MOTAHAR HOSSAIN FAKIR</v>
          </cell>
          <cell r="E26" t="str">
            <v>MOST.SHAMMI AKTER</v>
          </cell>
          <cell r="F26">
            <v>16</v>
          </cell>
          <cell r="G26">
            <v>20</v>
          </cell>
          <cell r="H26">
            <v>56</v>
          </cell>
          <cell r="I26">
            <v>92</v>
          </cell>
          <cell r="J26">
            <v>9</v>
          </cell>
          <cell r="K26">
            <v>10</v>
          </cell>
          <cell r="L26">
            <v>30</v>
          </cell>
          <cell r="M26">
            <v>49</v>
          </cell>
          <cell r="N26">
            <v>141</v>
          </cell>
          <cell r="O26">
            <v>0</v>
          </cell>
          <cell r="P26">
            <v>5</v>
          </cell>
          <cell r="Q26">
            <v>17</v>
          </cell>
          <cell r="R26">
            <v>20</v>
          </cell>
          <cell r="S26">
            <v>34</v>
          </cell>
          <cell r="T26">
            <v>71</v>
          </cell>
          <cell r="U26">
            <v>9</v>
          </cell>
          <cell r="V26">
            <v>10</v>
          </cell>
          <cell r="W26">
            <v>43</v>
          </cell>
          <cell r="X26">
            <v>21.5</v>
          </cell>
          <cell r="Y26">
            <v>40.5</v>
          </cell>
          <cell r="Z26">
            <v>111.5</v>
          </cell>
          <cell r="AA26">
            <v>0</v>
          </cell>
          <cell r="AB26">
            <v>4</v>
          </cell>
          <cell r="AC26">
            <v>20</v>
          </cell>
          <cell r="AD26">
            <v>20</v>
          </cell>
          <cell r="AE26">
            <v>47</v>
          </cell>
          <cell r="AF26">
            <v>87</v>
          </cell>
          <cell r="AG26">
            <v>0</v>
          </cell>
          <cell r="AH26">
            <v>5</v>
          </cell>
          <cell r="AI26">
            <v>20</v>
          </cell>
          <cell r="AJ26">
            <v>20</v>
          </cell>
          <cell r="AK26">
            <v>42</v>
          </cell>
          <cell r="AL26">
            <v>82</v>
          </cell>
          <cell r="AM26">
            <v>0</v>
          </cell>
          <cell r="AN26">
            <v>5</v>
          </cell>
          <cell r="AO26">
            <v>19</v>
          </cell>
          <cell r="AP26">
            <v>20</v>
          </cell>
          <cell r="AQ26">
            <v>57</v>
          </cell>
          <cell r="AR26">
            <v>96</v>
          </cell>
          <cell r="AS26">
            <v>0</v>
          </cell>
          <cell r="AT26">
            <v>5</v>
          </cell>
          <cell r="AU26">
            <v>16</v>
          </cell>
          <cell r="AV26">
            <v>20</v>
          </cell>
          <cell r="AW26">
            <v>57</v>
          </cell>
          <cell r="AX26">
            <v>93</v>
          </cell>
          <cell r="AY26">
            <v>0</v>
          </cell>
          <cell r="AZ26">
            <v>5</v>
          </cell>
          <cell r="BA26">
            <v>10</v>
          </cell>
          <cell r="BB26">
            <v>10</v>
          </cell>
          <cell r="BC26">
            <v>45</v>
          </cell>
          <cell r="BD26">
            <v>27</v>
          </cell>
          <cell r="BE26">
            <v>47</v>
          </cell>
          <cell r="BF26">
            <v>0</v>
          </cell>
          <cell r="BG26">
            <v>5</v>
          </cell>
          <cell r="BH26">
            <v>34</v>
          </cell>
          <cell r="BI26">
            <v>4.8571428571428568</v>
          </cell>
          <cell r="BJ26" t="str">
            <v>BETTER</v>
          </cell>
          <cell r="BK26">
            <v>657.5</v>
          </cell>
          <cell r="BL26">
            <v>52</v>
          </cell>
          <cell r="BM26">
            <v>55</v>
          </cell>
        </row>
        <row r="27">
          <cell r="C27" t="str">
            <v xml:space="preserve">JINHAJ ISLAM RATUL </v>
          </cell>
          <cell r="D27" t="str">
            <v>MD.RIMON HOSSEN</v>
          </cell>
          <cell r="E27" t="str">
            <v>ROZINA AKTER RADIA</v>
          </cell>
          <cell r="F27">
            <v>20</v>
          </cell>
          <cell r="G27">
            <v>19</v>
          </cell>
          <cell r="H27">
            <v>55</v>
          </cell>
          <cell r="I27">
            <v>94</v>
          </cell>
          <cell r="J27">
            <v>10</v>
          </cell>
          <cell r="K27">
            <v>10</v>
          </cell>
          <cell r="L27">
            <v>30</v>
          </cell>
          <cell r="M27">
            <v>50</v>
          </cell>
          <cell r="N27">
            <v>144</v>
          </cell>
          <cell r="O27">
            <v>0</v>
          </cell>
          <cell r="P27">
            <v>5</v>
          </cell>
          <cell r="Q27">
            <v>20</v>
          </cell>
          <cell r="R27">
            <v>20</v>
          </cell>
          <cell r="S27">
            <v>39</v>
          </cell>
          <cell r="T27">
            <v>79</v>
          </cell>
          <cell r="U27">
            <v>10</v>
          </cell>
          <cell r="V27">
            <v>10</v>
          </cell>
          <cell r="W27">
            <v>51</v>
          </cell>
          <cell r="X27">
            <v>25.5</v>
          </cell>
          <cell r="Y27">
            <v>45.5</v>
          </cell>
          <cell r="Z27">
            <v>124.5</v>
          </cell>
          <cell r="AA27">
            <v>0</v>
          </cell>
          <cell r="AB27">
            <v>5</v>
          </cell>
          <cell r="AC27">
            <v>20</v>
          </cell>
          <cell r="AD27">
            <v>20</v>
          </cell>
          <cell r="AE27">
            <v>58</v>
          </cell>
          <cell r="AF27">
            <v>98</v>
          </cell>
          <cell r="AG27">
            <v>0</v>
          </cell>
          <cell r="AH27">
            <v>5</v>
          </cell>
          <cell r="AI27">
            <v>20</v>
          </cell>
          <cell r="AJ27">
            <v>20</v>
          </cell>
          <cell r="AK27">
            <v>52</v>
          </cell>
          <cell r="AL27">
            <v>92</v>
          </cell>
          <cell r="AM27">
            <v>0</v>
          </cell>
          <cell r="AN27">
            <v>5</v>
          </cell>
          <cell r="AO27">
            <v>18</v>
          </cell>
          <cell r="AP27">
            <v>20</v>
          </cell>
          <cell r="AQ27">
            <v>59</v>
          </cell>
          <cell r="AR27">
            <v>97</v>
          </cell>
          <cell r="AS27">
            <v>0</v>
          </cell>
          <cell r="AT27">
            <v>5</v>
          </cell>
          <cell r="AU27">
            <v>20</v>
          </cell>
          <cell r="AV27">
            <v>20</v>
          </cell>
          <cell r="AW27">
            <v>58</v>
          </cell>
          <cell r="AX27">
            <v>98</v>
          </cell>
          <cell r="AY27">
            <v>0</v>
          </cell>
          <cell r="AZ27">
            <v>5</v>
          </cell>
          <cell r="BA27">
            <v>10</v>
          </cell>
          <cell r="BB27">
            <v>10</v>
          </cell>
          <cell r="BC27">
            <v>50</v>
          </cell>
          <cell r="BD27">
            <v>30</v>
          </cell>
          <cell r="BE27">
            <v>50</v>
          </cell>
          <cell r="BF27">
            <v>0</v>
          </cell>
          <cell r="BG27">
            <v>5</v>
          </cell>
          <cell r="BH27">
            <v>35</v>
          </cell>
          <cell r="BI27">
            <v>5</v>
          </cell>
          <cell r="BJ27" t="str">
            <v>BEST</v>
          </cell>
          <cell r="BK27">
            <v>703.5</v>
          </cell>
          <cell r="BL27">
            <v>18</v>
          </cell>
          <cell r="BM27">
            <v>56</v>
          </cell>
        </row>
        <row r="28">
          <cell r="C28" t="str">
            <v>MD.SIYAM HOSSAIN</v>
          </cell>
          <cell r="D28" t="str">
            <v>ABU SAEID</v>
          </cell>
          <cell r="E28" t="str">
            <v>RAHELA AKTER</v>
          </cell>
          <cell r="F28">
            <v>20</v>
          </cell>
          <cell r="G28">
            <v>20</v>
          </cell>
          <cell r="H28">
            <v>51</v>
          </cell>
          <cell r="I28">
            <v>91</v>
          </cell>
          <cell r="J28">
            <v>10</v>
          </cell>
          <cell r="K28">
            <v>10</v>
          </cell>
          <cell r="L28">
            <v>30</v>
          </cell>
          <cell r="M28">
            <v>50</v>
          </cell>
          <cell r="N28">
            <v>141</v>
          </cell>
          <cell r="O28">
            <v>0</v>
          </cell>
          <cell r="P28">
            <v>5</v>
          </cell>
          <cell r="Q28">
            <v>19</v>
          </cell>
          <cell r="R28">
            <v>19</v>
          </cell>
          <cell r="S28">
            <v>35</v>
          </cell>
          <cell r="T28">
            <v>73</v>
          </cell>
          <cell r="U28">
            <v>10</v>
          </cell>
          <cell r="V28">
            <v>10</v>
          </cell>
          <cell r="W28">
            <v>46</v>
          </cell>
          <cell r="X28">
            <v>23</v>
          </cell>
          <cell r="Y28">
            <v>43</v>
          </cell>
          <cell r="Z28">
            <v>116</v>
          </cell>
          <cell r="AA28">
            <v>0</v>
          </cell>
          <cell r="AB28">
            <v>4</v>
          </cell>
          <cell r="AC28">
            <v>20</v>
          </cell>
          <cell r="AD28">
            <v>20</v>
          </cell>
          <cell r="AE28">
            <v>53</v>
          </cell>
          <cell r="AF28">
            <v>93</v>
          </cell>
          <cell r="AG28">
            <v>0</v>
          </cell>
          <cell r="AH28">
            <v>5</v>
          </cell>
          <cell r="AI28">
            <v>20</v>
          </cell>
          <cell r="AJ28">
            <v>20</v>
          </cell>
          <cell r="AK28">
            <v>58</v>
          </cell>
          <cell r="AL28">
            <v>98</v>
          </cell>
          <cell r="AM28">
            <v>0</v>
          </cell>
          <cell r="AN28">
            <v>5</v>
          </cell>
          <cell r="AO28">
            <v>19</v>
          </cell>
          <cell r="AP28">
            <v>20</v>
          </cell>
          <cell r="AQ28">
            <v>59</v>
          </cell>
          <cell r="AR28">
            <v>98</v>
          </cell>
          <cell r="AS28">
            <v>0</v>
          </cell>
          <cell r="AT28">
            <v>5</v>
          </cell>
          <cell r="AU28">
            <v>20</v>
          </cell>
          <cell r="AV28">
            <v>20</v>
          </cell>
          <cell r="AW28">
            <v>58</v>
          </cell>
          <cell r="AX28">
            <v>98</v>
          </cell>
          <cell r="AY28">
            <v>0</v>
          </cell>
          <cell r="AZ28">
            <v>5</v>
          </cell>
          <cell r="BA28">
            <v>9</v>
          </cell>
          <cell r="BB28">
            <v>10</v>
          </cell>
          <cell r="BC28">
            <v>48</v>
          </cell>
          <cell r="BD28">
            <v>28.799999999999997</v>
          </cell>
          <cell r="BE28">
            <v>47.8</v>
          </cell>
          <cell r="BF28">
            <v>0</v>
          </cell>
          <cell r="BG28">
            <v>5</v>
          </cell>
          <cell r="BH28">
            <v>34</v>
          </cell>
          <cell r="BI28">
            <v>4.8571428571428568</v>
          </cell>
          <cell r="BJ28" t="str">
            <v>BETTER</v>
          </cell>
          <cell r="BK28">
            <v>691.8</v>
          </cell>
          <cell r="BL28">
            <v>37</v>
          </cell>
          <cell r="BM28">
            <v>57</v>
          </cell>
        </row>
        <row r="29">
          <cell r="C29" t="str">
            <v>ABU SUFIAN TAMIN</v>
          </cell>
          <cell r="D29" t="str">
            <v>ABU TAHER</v>
          </cell>
          <cell r="E29" t="str">
            <v>SUFIA BEGUM</v>
          </cell>
          <cell r="F29">
            <v>19</v>
          </cell>
          <cell r="G29">
            <v>16</v>
          </cell>
          <cell r="H29">
            <v>55</v>
          </cell>
          <cell r="I29">
            <v>90</v>
          </cell>
          <cell r="J29">
            <v>10</v>
          </cell>
          <cell r="K29">
            <v>10</v>
          </cell>
          <cell r="L29">
            <v>30</v>
          </cell>
          <cell r="M29">
            <v>50</v>
          </cell>
          <cell r="N29">
            <v>140</v>
          </cell>
          <cell r="O29">
            <v>0</v>
          </cell>
          <cell r="P29">
            <v>5</v>
          </cell>
          <cell r="Q29">
            <v>19</v>
          </cell>
          <cell r="R29">
            <v>20</v>
          </cell>
          <cell r="S29">
            <v>54</v>
          </cell>
          <cell r="T29">
            <v>93</v>
          </cell>
          <cell r="U29">
            <v>10</v>
          </cell>
          <cell r="V29">
            <v>10</v>
          </cell>
          <cell r="W29">
            <v>55</v>
          </cell>
          <cell r="X29">
            <v>27.5</v>
          </cell>
          <cell r="Y29">
            <v>47.5</v>
          </cell>
          <cell r="Z29">
            <v>140.5</v>
          </cell>
          <cell r="AA29">
            <v>0</v>
          </cell>
          <cell r="AB29">
            <v>5</v>
          </cell>
          <cell r="AC29">
            <v>20</v>
          </cell>
          <cell r="AD29">
            <v>20</v>
          </cell>
          <cell r="AE29">
            <v>59</v>
          </cell>
          <cell r="AF29">
            <v>99</v>
          </cell>
          <cell r="AG29">
            <v>0</v>
          </cell>
          <cell r="AH29">
            <v>5</v>
          </cell>
          <cell r="AI29">
            <v>20</v>
          </cell>
          <cell r="AJ29">
            <v>20</v>
          </cell>
          <cell r="AK29">
            <v>48</v>
          </cell>
          <cell r="AL29">
            <v>88</v>
          </cell>
          <cell r="AM29">
            <v>0</v>
          </cell>
          <cell r="AN29">
            <v>5</v>
          </cell>
          <cell r="AO29">
            <v>19</v>
          </cell>
          <cell r="AP29">
            <v>20</v>
          </cell>
          <cell r="AQ29">
            <v>59</v>
          </cell>
          <cell r="AR29">
            <v>98</v>
          </cell>
          <cell r="AS29">
            <v>0</v>
          </cell>
          <cell r="AT29">
            <v>5</v>
          </cell>
          <cell r="AU29">
            <v>20</v>
          </cell>
          <cell r="AV29">
            <v>20</v>
          </cell>
          <cell r="AW29">
            <v>58</v>
          </cell>
          <cell r="AX29">
            <v>98</v>
          </cell>
          <cell r="AY29">
            <v>0</v>
          </cell>
          <cell r="AZ29">
            <v>5</v>
          </cell>
          <cell r="BA29">
            <v>9</v>
          </cell>
          <cell r="BB29">
            <v>10</v>
          </cell>
          <cell r="BC29">
            <v>50</v>
          </cell>
          <cell r="BD29">
            <v>30</v>
          </cell>
          <cell r="BE29">
            <v>49</v>
          </cell>
          <cell r="BF29">
            <v>0</v>
          </cell>
          <cell r="BG29">
            <v>5</v>
          </cell>
          <cell r="BH29">
            <v>35</v>
          </cell>
          <cell r="BI29">
            <v>5</v>
          </cell>
          <cell r="BJ29" t="str">
            <v>BEST</v>
          </cell>
          <cell r="BK29">
            <v>712.5</v>
          </cell>
          <cell r="BL29">
            <v>13</v>
          </cell>
          <cell r="BM29">
            <v>60</v>
          </cell>
        </row>
        <row r="30">
          <cell r="C30" t="str">
            <v>MD.RAKAT SHEIKH</v>
          </cell>
          <cell r="D30" t="str">
            <v>MD.BONY AMIN</v>
          </cell>
          <cell r="E30" t="str">
            <v>RAJIA SULTANA HERA</v>
          </cell>
          <cell r="F30">
            <v>18</v>
          </cell>
          <cell r="G30">
            <v>20</v>
          </cell>
          <cell r="H30">
            <v>51</v>
          </cell>
          <cell r="I30">
            <v>89</v>
          </cell>
          <cell r="J30">
            <v>9</v>
          </cell>
          <cell r="K30">
            <v>10</v>
          </cell>
          <cell r="L30">
            <v>26</v>
          </cell>
          <cell r="M30">
            <v>45</v>
          </cell>
          <cell r="N30">
            <v>134</v>
          </cell>
          <cell r="O30">
            <v>0</v>
          </cell>
          <cell r="P30">
            <v>5</v>
          </cell>
          <cell r="Q30">
            <v>19</v>
          </cell>
          <cell r="R30">
            <v>19</v>
          </cell>
          <cell r="S30">
            <v>41</v>
          </cell>
          <cell r="T30">
            <v>79</v>
          </cell>
          <cell r="U30">
            <v>10</v>
          </cell>
          <cell r="V30">
            <v>10</v>
          </cell>
          <cell r="W30">
            <v>41</v>
          </cell>
          <cell r="X30">
            <v>20.5</v>
          </cell>
          <cell r="Y30">
            <v>40.5</v>
          </cell>
          <cell r="Z30">
            <v>119.5</v>
          </cell>
          <cell r="AA30">
            <v>0</v>
          </cell>
          <cell r="AB30">
            <v>4</v>
          </cell>
          <cell r="AC30">
            <v>15</v>
          </cell>
          <cell r="AD30">
            <v>20</v>
          </cell>
          <cell r="AE30">
            <v>47</v>
          </cell>
          <cell r="AF30">
            <v>82</v>
          </cell>
          <cell r="AG30">
            <v>0</v>
          </cell>
          <cell r="AH30">
            <v>5</v>
          </cell>
          <cell r="AI30">
            <v>20</v>
          </cell>
          <cell r="AJ30">
            <v>20</v>
          </cell>
          <cell r="AK30">
            <v>47</v>
          </cell>
          <cell r="AL30">
            <v>87</v>
          </cell>
          <cell r="AM30">
            <v>0</v>
          </cell>
          <cell r="AN30">
            <v>5</v>
          </cell>
          <cell r="AO30">
            <v>19</v>
          </cell>
          <cell r="AP30">
            <v>20</v>
          </cell>
          <cell r="AQ30">
            <v>54</v>
          </cell>
          <cell r="AR30">
            <v>93</v>
          </cell>
          <cell r="AS30">
            <v>0</v>
          </cell>
          <cell r="AT30">
            <v>5</v>
          </cell>
          <cell r="AU30">
            <v>15</v>
          </cell>
          <cell r="AV30">
            <v>20</v>
          </cell>
          <cell r="AW30">
            <v>48</v>
          </cell>
          <cell r="AX30">
            <v>83</v>
          </cell>
          <cell r="AY30">
            <v>0</v>
          </cell>
          <cell r="AZ30">
            <v>5</v>
          </cell>
          <cell r="BA30">
            <v>9</v>
          </cell>
          <cell r="BB30">
            <v>10</v>
          </cell>
          <cell r="BC30">
            <v>42</v>
          </cell>
          <cell r="BD30">
            <v>25.2</v>
          </cell>
          <cell r="BE30">
            <v>44.2</v>
          </cell>
          <cell r="BF30">
            <v>0</v>
          </cell>
          <cell r="BG30">
            <v>5</v>
          </cell>
          <cell r="BH30">
            <v>34</v>
          </cell>
          <cell r="BI30">
            <v>4.8571428571428568</v>
          </cell>
          <cell r="BJ30" t="str">
            <v>BETTER</v>
          </cell>
          <cell r="BK30">
            <v>642.70000000000005</v>
          </cell>
          <cell r="BL30">
            <v>55</v>
          </cell>
          <cell r="BM30">
            <v>55</v>
          </cell>
        </row>
        <row r="31">
          <cell r="C31" t="str">
            <v>ISTIAQ AHMED RADIN</v>
          </cell>
          <cell r="D31" t="str">
            <v>FAISAL AHMED JONY</v>
          </cell>
          <cell r="E31" t="str">
            <v>ISRAT JAHAN ROSY</v>
          </cell>
          <cell r="F31">
            <v>20</v>
          </cell>
          <cell r="G31">
            <v>20</v>
          </cell>
          <cell r="H31">
            <v>59</v>
          </cell>
          <cell r="I31">
            <v>99</v>
          </cell>
          <cell r="J31">
            <v>10</v>
          </cell>
          <cell r="K31">
            <v>10</v>
          </cell>
          <cell r="L31">
            <v>30</v>
          </cell>
          <cell r="M31">
            <v>50</v>
          </cell>
          <cell r="N31">
            <v>149</v>
          </cell>
          <cell r="O31">
            <v>0</v>
          </cell>
          <cell r="P31">
            <v>5</v>
          </cell>
          <cell r="Q31">
            <v>20</v>
          </cell>
          <cell r="R31">
            <v>20</v>
          </cell>
          <cell r="S31">
            <v>54</v>
          </cell>
          <cell r="T31">
            <v>94</v>
          </cell>
          <cell r="U31">
            <v>10</v>
          </cell>
          <cell r="V31">
            <v>10</v>
          </cell>
          <cell r="W31">
            <v>57</v>
          </cell>
          <cell r="X31">
            <v>28.5</v>
          </cell>
          <cell r="Y31">
            <v>48.5</v>
          </cell>
          <cell r="Z31">
            <v>142.5</v>
          </cell>
          <cell r="AA31">
            <v>0</v>
          </cell>
          <cell r="AB31">
            <v>5</v>
          </cell>
          <cell r="AC31">
            <v>20</v>
          </cell>
          <cell r="AD31">
            <v>20</v>
          </cell>
          <cell r="AE31">
            <v>60</v>
          </cell>
          <cell r="AF31">
            <v>100</v>
          </cell>
          <cell r="AG31">
            <v>0</v>
          </cell>
          <cell r="AH31">
            <v>5</v>
          </cell>
          <cell r="AI31">
            <v>20</v>
          </cell>
          <cell r="AJ31">
            <v>20</v>
          </cell>
          <cell r="AK31">
            <v>60</v>
          </cell>
          <cell r="AL31">
            <v>100</v>
          </cell>
          <cell r="AM31">
            <v>0</v>
          </cell>
          <cell r="AN31">
            <v>5</v>
          </cell>
          <cell r="AO31">
            <v>19</v>
          </cell>
          <cell r="AP31">
            <v>20</v>
          </cell>
          <cell r="AQ31">
            <v>60</v>
          </cell>
          <cell r="AR31">
            <v>99</v>
          </cell>
          <cell r="AS31">
            <v>0</v>
          </cell>
          <cell r="AT31">
            <v>5</v>
          </cell>
          <cell r="AU31">
            <v>20</v>
          </cell>
          <cell r="AV31">
            <v>20</v>
          </cell>
          <cell r="AW31">
            <v>58</v>
          </cell>
          <cell r="AX31">
            <v>98</v>
          </cell>
          <cell r="AY31">
            <v>0</v>
          </cell>
          <cell r="AZ31">
            <v>5</v>
          </cell>
          <cell r="BA31">
            <v>10</v>
          </cell>
          <cell r="BB31">
            <v>10</v>
          </cell>
          <cell r="BC31">
            <v>50</v>
          </cell>
          <cell r="BD31">
            <v>30</v>
          </cell>
          <cell r="BE31">
            <v>50</v>
          </cell>
          <cell r="BF31">
            <v>0</v>
          </cell>
          <cell r="BG31">
            <v>5</v>
          </cell>
          <cell r="BH31">
            <v>35</v>
          </cell>
          <cell r="BI31">
            <v>5</v>
          </cell>
          <cell r="BJ31" t="str">
            <v>BEST</v>
          </cell>
          <cell r="BK31">
            <v>738.5</v>
          </cell>
          <cell r="BL31">
            <v>5</v>
          </cell>
          <cell r="BM31">
            <v>55</v>
          </cell>
        </row>
        <row r="32">
          <cell r="C32" t="str">
            <v>B.M ABID HASAN</v>
          </cell>
          <cell r="D32" t="str">
            <v>MOZAMMEL HOSSEN BABAR</v>
          </cell>
          <cell r="E32" t="str">
            <v>KHALEDA PERVIN</v>
          </cell>
          <cell r="F32">
            <v>20</v>
          </cell>
          <cell r="G32">
            <v>19</v>
          </cell>
          <cell r="H32">
            <v>52</v>
          </cell>
          <cell r="I32">
            <v>91</v>
          </cell>
          <cell r="J32">
            <v>10</v>
          </cell>
          <cell r="K32">
            <v>10</v>
          </cell>
          <cell r="L32">
            <v>30</v>
          </cell>
          <cell r="M32">
            <v>50</v>
          </cell>
          <cell r="N32">
            <v>141</v>
          </cell>
          <cell r="O32">
            <v>0</v>
          </cell>
          <cell r="P32">
            <v>5</v>
          </cell>
          <cell r="Q32">
            <v>19</v>
          </cell>
          <cell r="R32">
            <v>20</v>
          </cell>
          <cell r="S32">
            <v>53</v>
          </cell>
          <cell r="T32">
            <v>92</v>
          </cell>
          <cell r="U32">
            <v>10</v>
          </cell>
          <cell r="V32">
            <v>10</v>
          </cell>
          <cell r="W32">
            <v>56</v>
          </cell>
          <cell r="X32">
            <v>28</v>
          </cell>
          <cell r="Y32">
            <v>48</v>
          </cell>
          <cell r="Z32">
            <v>140</v>
          </cell>
          <cell r="AA32">
            <v>0</v>
          </cell>
          <cell r="AB32">
            <v>5</v>
          </cell>
          <cell r="AC32">
            <v>20</v>
          </cell>
          <cell r="AD32">
            <v>20</v>
          </cell>
          <cell r="AE32">
            <v>59</v>
          </cell>
          <cell r="AF32">
            <v>99</v>
          </cell>
          <cell r="AG32">
            <v>0</v>
          </cell>
          <cell r="AH32">
            <v>5</v>
          </cell>
          <cell r="AI32">
            <v>20</v>
          </cell>
          <cell r="AJ32">
            <v>20</v>
          </cell>
          <cell r="AK32">
            <v>51</v>
          </cell>
          <cell r="AL32">
            <v>91</v>
          </cell>
          <cell r="AM32">
            <v>0</v>
          </cell>
          <cell r="AN32">
            <v>5</v>
          </cell>
          <cell r="AO32">
            <v>19</v>
          </cell>
          <cell r="AP32">
            <v>20</v>
          </cell>
          <cell r="AQ32">
            <v>57</v>
          </cell>
          <cell r="AR32">
            <v>96</v>
          </cell>
          <cell r="AS32">
            <v>0</v>
          </cell>
          <cell r="AT32">
            <v>5</v>
          </cell>
          <cell r="AU32">
            <v>20</v>
          </cell>
          <cell r="AV32">
            <v>20</v>
          </cell>
          <cell r="AW32">
            <v>58</v>
          </cell>
          <cell r="AX32">
            <v>98</v>
          </cell>
          <cell r="AY32">
            <v>0</v>
          </cell>
          <cell r="AZ32">
            <v>5</v>
          </cell>
          <cell r="BA32">
            <v>10</v>
          </cell>
          <cell r="BB32">
            <v>10</v>
          </cell>
          <cell r="BC32">
            <v>50</v>
          </cell>
          <cell r="BD32">
            <v>30</v>
          </cell>
          <cell r="BE32">
            <v>50</v>
          </cell>
          <cell r="BF32">
            <v>0</v>
          </cell>
          <cell r="BG32">
            <v>5</v>
          </cell>
          <cell r="BH32">
            <v>35</v>
          </cell>
          <cell r="BI32">
            <v>5</v>
          </cell>
          <cell r="BJ32" t="str">
            <v>BEST</v>
          </cell>
          <cell r="BK32">
            <v>715</v>
          </cell>
          <cell r="BL32">
            <v>11</v>
          </cell>
          <cell r="BM32">
            <v>59</v>
          </cell>
        </row>
        <row r="33">
          <cell r="C33" t="str">
            <v>IMTIAZ AHMED RATUL</v>
          </cell>
          <cell r="D33" t="str">
            <v>FAISAL AHMED JONY</v>
          </cell>
          <cell r="E33" t="str">
            <v>ISRAT JAHAN ROSY</v>
          </cell>
          <cell r="F33">
            <v>20</v>
          </cell>
          <cell r="G33">
            <v>20</v>
          </cell>
          <cell r="H33">
            <v>59</v>
          </cell>
          <cell r="I33">
            <v>99</v>
          </cell>
          <cell r="J33">
            <v>10</v>
          </cell>
          <cell r="K33">
            <v>10</v>
          </cell>
          <cell r="L33">
            <v>30</v>
          </cell>
          <cell r="M33">
            <v>50</v>
          </cell>
          <cell r="N33">
            <v>149</v>
          </cell>
          <cell r="O33">
            <v>0</v>
          </cell>
          <cell r="P33">
            <v>5</v>
          </cell>
          <cell r="Q33">
            <v>20</v>
          </cell>
          <cell r="R33">
            <v>20</v>
          </cell>
          <cell r="S33">
            <v>60</v>
          </cell>
          <cell r="T33">
            <v>100</v>
          </cell>
          <cell r="U33">
            <v>10</v>
          </cell>
          <cell r="V33">
            <v>10</v>
          </cell>
          <cell r="W33">
            <v>58</v>
          </cell>
          <cell r="X33">
            <v>29</v>
          </cell>
          <cell r="Y33">
            <v>49</v>
          </cell>
          <cell r="Z33">
            <v>149</v>
          </cell>
          <cell r="AA33">
            <v>0</v>
          </cell>
          <cell r="AB33">
            <v>5</v>
          </cell>
          <cell r="AC33">
            <v>20</v>
          </cell>
          <cell r="AD33">
            <v>20</v>
          </cell>
          <cell r="AE33">
            <v>60</v>
          </cell>
          <cell r="AF33">
            <v>100</v>
          </cell>
          <cell r="AG33">
            <v>0</v>
          </cell>
          <cell r="AH33">
            <v>5</v>
          </cell>
          <cell r="AI33">
            <v>20</v>
          </cell>
          <cell r="AJ33">
            <v>20</v>
          </cell>
          <cell r="AK33">
            <v>57</v>
          </cell>
          <cell r="AL33">
            <v>97</v>
          </cell>
          <cell r="AM33">
            <v>0</v>
          </cell>
          <cell r="AN33">
            <v>5</v>
          </cell>
          <cell r="AO33">
            <v>20</v>
          </cell>
          <cell r="AP33">
            <v>20</v>
          </cell>
          <cell r="AQ33">
            <v>59</v>
          </cell>
          <cell r="AR33">
            <v>99</v>
          </cell>
          <cell r="AS33">
            <v>0</v>
          </cell>
          <cell r="AT33">
            <v>5</v>
          </cell>
          <cell r="AU33">
            <v>20</v>
          </cell>
          <cell r="AV33">
            <v>20</v>
          </cell>
          <cell r="AW33">
            <v>57</v>
          </cell>
          <cell r="AX33">
            <v>97</v>
          </cell>
          <cell r="AY33">
            <v>0</v>
          </cell>
          <cell r="AZ33">
            <v>5</v>
          </cell>
          <cell r="BA33">
            <v>10</v>
          </cell>
          <cell r="BB33">
            <v>10</v>
          </cell>
          <cell r="BC33">
            <v>50</v>
          </cell>
          <cell r="BD33">
            <v>30</v>
          </cell>
          <cell r="BE33">
            <v>50</v>
          </cell>
          <cell r="BF33">
            <v>0</v>
          </cell>
          <cell r="BG33">
            <v>5</v>
          </cell>
          <cell r="BH33">
            <v>35</v>
          </cell>
          <cell r="BI33">
            <v>5</v>
          </cell>
          <cell r="BJ33" t="str">
            <v>BEST</v>
          </cell>
          <cell r="BK33">
            <v>741</v>
          </cell>
          <cell r="BL33">
            <v>3</v>
          </cell>
          <cell r="BM33">
            <v>62</v>
          </cell>
        </row>
        <row r="34">
          <cell r="C34" t="str">
            <v xml:space="preserve">MD.JISAN </v>
          </cell>
          <cell r="D34" t="str">
            <v>ABUL HASHEM</v>
          </cell>
          <cell r="E34" t="str">
            <v>ROJINA BEGUM</v>
          </cell>
          <cell r="F34">
            <v>20</v>
          </cell>
          <cell r="G34">
            <v>20</v>
          </cell>
          <cell r="H34">
            <v>59</v>
          </cell>
          <cell r="I34">
            <v>99</v>
          </cell>
          <cell r="J34">
            <v>10</v>
          </cell>
          <cell r="K34">
            <v>10</v>
          </cell>
          <cell r="L34">
            <v>30</v>
          </cell>
          <cell r="M34">
            <v>50</v>
          </cell>
          <cell r="N34">
            <v>149</v>
          </cell>
          <cell r="O34">
            <v>0</v>
          </cell>
          <cell r="P34">
            <v>5</v>
          </cell>
          <cell r="Q34">
            <v>19</v>
          </cell>
          <cell r="R34">
            <v>20</v>
          </cell>
          <cell r="S34">
            <v>56</v>
          </cell>
          <cell r="T34">
            <v>95</v>
          </cell>
          <cell r="U34">
            <v>10</v>
          </cell>
          <cell r="V34">
            <v>10</v>
          </cell>
          <cell r="W34">
            <v>50</v>
          </cell>
          <cell r="X34">
            <v>25</v>
          </cell>
          <cell r="Y34">
            <v>45</v>
          </cell>
          <cell r="Z34">
            <v>140</v>
          </cell>
          <cell r="AA34">
            <v>0</v>
          </cell>
          <cell r="AB34">
            <v>5</v>
          </cell>
          <cell r="AC34">
            <v>20</v>
          </cell>
          <cell r="AD34">
            <v>20</v>
          </cell>
          <cell r="AE34">
            <v>55</v>
          </cell>
          <cell r="AF34">
            <v>95</v>
          </cell>
          <cell r="AG34">
            <v>0</v>
          </cell>
          <cell r="AH34">
            <v>5</v>
          </cell>
          <cell r="AI34">
            <v>20</v>
          </cell>
          <cell r="AJ34">
            <v>20</v>
          </cell>
          <cell r="AK34">
            <v>54</v>
          </cell>
          <cell r="AL34">
            <v>94</v>
          </cell>
          <cell r="AM34">
            <v>0</v>
          </cell>
          <cell r="AN34">
            <v>5</v>
          </cell>
          <cell r="AO34">
            <v>19</v>
          </cell>
          <cell r="AP34">
            <v>20</v>
          </cell>
          <cell r="AQ34">
            <v>57</v>
          </cell>
          <cell r="AR34">
            <v>96</v>
          </cell>
          <cell r="AS34">
            <v>0</v>
          </cell>
          <cell r="AT34">
            <v>5</v>
          </cell>
          <cell r="AU34">
            <v>20</v>
          </cell>
          <cell r="AV34">
            <v>20</v>
          </cell>
          <cell r="AW34">
            <v>58</v>
          </cell>
          <cell r="AX34">
            <v>98</v>
          </cell>
          <cell r="AY34">
            <v>0</v>
          </cell>
          <cell r="AZ34">
            <v>5</v>
          </cell>
          <cell r="BA34">
            <v>10</v>
          </cell>
          <cell r="BB34">
            <v>10</v>
          </cell>
          <cell r="BC34">
            <v>50</v>
          </cell>
          <cell r="BD34">
            <v>30</v>
          </cell>
          <cell r="BE34">
            <v>50</v>
          </cell>
          <cell r="BF34">
            <v>0</v>
          </cell>
          <cell r="BG34">
            <v>5</v>
          </cell>
          <cell r="BH34">
            <v>35</v>
          </cell>
          <cell r="BI34">
            <v>5</v>
          </cell>
          <cell r="BJ34" t="str">
            <v>BEST</v>
          </cell>
          <cell r="BK34">
            <v>722</v>
          </cell>
          <cell r="BL34">
            <v>7</v>
          </cell>
          <cell r="BM34">
            <v>61</v>
          </cell>
        </row>
        <row r="35">
          <cell r="C35" t="str">
            <v>MIR EASIN HOSSAIN SAKIB</v>
          </cell>
          <cell r="D35" t="str">
            <v xml:space="preserve">MD.JAKIR HOSSAIN </v>
          </cell>
          <cell r="E35" t="str">
            <v>SHAHIDA HOSSAIN</v>
          </cell>
          <cell r="F35">
            <v>17</v>
          </cell>
          <cell r="G35">
            <v>16</v>
          </cell>
          <cell r="H35">
            <v>49</v>
          </cell>
          <cell r="I35">
            <v>82</v>
          </cell>
          <cell r="J35">
            <v>9</v>
          </cell>
          <cell r="K35">
            <v>10</v>
          </cell>
          <cell r="L35">
            <v>29</v>
          </cell>
          <cell r="M35">
            <v>48</v>
          </cell>
          <cell r="N35">
            <v>130</v>
          </cell>
          <cell r="O35">
            <v>0</v>
          </cell>
          <cell r="P35">
            <v>5</v>
          </cell>
          <cell r="Q35">
            <v>14</v>
          </cell>
          <cell r="R35">
            <v>20</v>
          </cell>
          <cell r="S35">
            <v>53</v>
          </cell>
          <cell r="T35">
            <v>87</v>
          </cell>
          <cell r="U35">
            <v>10</v>
          </cell>
          <cell r="V35">
            <v>10</v>
          </cell>
          <cell r="W35">
            <v>46</v>
          </cell>
          <cell r="X35">
            <v>23</v>
          </cell>
          <cell r="Y35">
            <v>43</v>
          </cell>
          <cell r="Z35">
            <v>130</v>
          </cell>
          <cell r="AA35">
            <v>0</v>
          </cell>
          <cell r="AB35">
            <v>5</v>
          </cell>
          <cell r="AC35">
            <v>20</v>
          </cell>
          <cell r="AD35">
            <v>20</v>
          </cell>
          <cell r="AE35">
            <v>60</v>
          </cell>
          <cell r="AF35">
            <v>100</v>
          </cell>
          <cell r="AG35">
            <v>0</v>
          </cell>
          <cell r="AH35">
            <v>5</v>
          </cell>
          <cell r="AI35">
            <v>20</v>
          </cell>
          <cell r="AJ35">
            <v>20</v>
          </cell>
          <cell r="AK35">
            <v>45</v>
          </cell>
          <cell r="AL35">
            <v>85</v>
          </cell>
          <cell r="AM35">
            <v>0</v>
          </cell>
          <cell r="AN35">
            <v>5</v>
          </cell>
          <cell r="AO35">
            <v>18</v>
          </cell>
          <cell r="AP35">
            <v>20</v>
          </cell>
          <cell r="AQ35">
            <v>57</v>
          </cell>
          <cell r="AR35">
            <v>95</v>
          </cell>
          <cell r="AS35">
            <v>0</v>
          </cell>
          <cell r="AT35">
            <v>5</v>
          </cell>
          <cell r="AU35">
            <v>18</v>
          </cell>
          <cell r="AV35">
            <v>20</v>
          </cell>
          <cell r="AW35">
            <v>52</v>
          </cell>
          <cell r="AX35">
            <v>90</v>
          </cell>
          <cell r="AY35">
            <v>0</v>
          </cell>
          <cell r="AZ35">
            <v>5</v>
          </cell>
          <cell r="BA35">
            <v>9</v>
          </cell>
          <cell r="BB35">
            <v>10</v>
          </cell>
          <cell r="BC35">
            <v>49</v>
          </cell>
          <cell r="BD35">
            <v>29.4</v>
          </cell>
          <cell r="BE35">
            <v>48.4</v>
          </cell>
          <cell r="BF35">
            <v>0</v>
          </cell>
          <cell r="BG35">
            <v>5</v>
          </cell>
          <cell r="BH35">
            <v>35</v>
          </cell>
          <cell r="BI35">
            <v>5</v>
          </cell>
          <cell r="BJ35" t="str">
            <v>BEST</v>
          </cell>
          <cell r="BK35">
            <v>678.4</v>
          </cell>
          <cell r="BL35">
            <v>30</v>
          </cell>
          <cell r="BM35">
            <v>63</v>
          </cell>
        </row>
        <row r="36">
          <cell r="C36" t="str">
            <v>FUAD AL MONSUR</v>
          </cell>
          <cell r="D36" t="str">
            <v>AMA JAVED</v>
          </cell>
          <cell r="E36" t="str">
            <v>RASHIDA AKTER SHANTO</v>
          </cell>
          <cell r="F36">
            <v>17</v>
          </cell>
          <cell r="G36">
            <v>18</v>
          </cell>
          <cell r="H36">
            <v>53</v>
          </cell>
          <cell r="I36">
            <v>88</v>
          </cell>
          <cell r="J36">
            <v>10</v>
          </cell>
          <cell r="K36">
            <v>10</v>
          </cell>
          <cell r="L36">
            <v>30</v>
          </cell>
          <cell r="M36">
            <v>50</v>
          </cell>
          <cell r="N36">
            <v>138</v>
          </cell>
          <cell r="O36">
            <v>0</v>
          </cell>
          <cell r="P36">
            <v>5</v>
          </cell>
          <cell r="Q36">
            <v>18</v>
          </cell>
          <cell r="R36">
            <v>20</v>
          </cell>
          <cell r="S36">
            <v>48</v>
          </cell>
          <cell r="T36">
            <v>86</v>
          </cell>
          <cell r="U36">
            <v>9</v>
          </cell>
          <cell r="V36">
            <v>10</v>
          </cell>
          <cell r="W36">
            <v>45</v>
          </cell>
          <cell r="X36">
            <v>22.5</v>
          </cell>
          <cell r="Y36">
            <v>41.5</v>
          </cell>
          <cell r="Z36">
            <v>127.5</v>
          </cell>
          <cell r="AA36">
            <v>0</v>
          </cell>
          <cell r="AB36">
            <v>5</v>
          </cell>
          <cell r="AC36">
            <v>18</v>
          </cell>
          <cell r="AD36">
            <v>20</v>
          </cell>
          <cell r="AE36">
            <v>50</v>
          </cell>
          <cell r="AF36">
            <v>88</v>
          </cell>
          <cell r="AG36">
            <v>0</v>
          </cell>
          <cell r="AH36">
            <v>5</v>
          </cell>
          <cell r="AI36">
            <v>18</v>
          </cell>
          <cell r="AJ36">
            <v>20</v>
          </cell>
          <cell r="AK36">
            <v>41</v>
          </cell>
          <cell r="AL36">
            <v>79</v>
          </cell>
          <cell r="AM36">
            <v>0</v>
          </cell>
          <cell r="AN36">
            <v>4</v>
          </cell>
          <cell r="AO36">
            <v>19</v>
          </cell>
          <cell r="AP36">
            <v>20</v>
          </cell>
          <cell r="AQ36">
            <v>57</v>
          </cell>
          <cell r="AR36">
            <v>96</v>
          </cell>
          <cell r="AS36">
            <v>0</v>
          </cell>
          <cell r="AT36">
            <v>5</v>
          </cell>
          <cell r="AU36">
            <v>20</v>
          </cell>
          <cell r="AV36">
            <v>20</v>
          </cell>
          <cell r="AW36">
            <v>57</v>
          </cell>
          <cell r="AX36">
            <v>97</v>
          </cell>
          <cell r="AY36">
            <v>0</v>
          </cell>
          <cell r="AZ36">
            <v>5</v>
          </cell>
          <cell r="BA36">
            <v>9</v>
          </cell>
          <cell r="BB36">
            <v>10</v>
          </cell>
          <cell r="BC36">
            <v>46</v>
          </cell>
          <cell r="BD36">
            <v>27.599999999999998</v>
          </cell>
          <cell r="BE36">
            <v>46.599999999999994</v>
          </cell>
          <cell r="BF36">
            <v>0</v>
          </cell>
          <cell r="BG36">
            <v>5</v>
          </cell>
          <cell r="BH36">
            <v>34</v>
          </cell>
          <cell r="BI36">
            <v>4.8571428571428568</v>
          </cell>
          <cell r="BJ36" t="str">
            <v>BETTER</v>
          </cell>
          <cell r="BK36">
            <v>672.1</v>
          </cell>
          <cell r="BL36">
            <v>47</v>
          </cell>
          <cell r="BM36">
            <v>58</v>
          </cell>
        </row>
        <row r="37">
          <cell r="C37" t="str">
            <v>MAHFUJ RAHMAN SIAM</v>
          </cell>
          <cell r="D37" t="str">
            <v>FAJAL HAQUE</v>
          </cell>
          <cell r="E37" t="str">
            <v>MAKSUDA BEGUM</v>
          </cell>
          <cell r="F37">
            <v>20</v>
          </cell>
          <cell r="G37">
            <v>19</v>
          </cell>
          <cell r="H37">
            <v>59</v>
          </cell>
          <cell r="I37">
            <v>98</v>
          </cell>
          <cell r="J37">
            <v>10</v>
          </cell>
          <cell r="K37">
            <v>10</v>
          </cell>
          <cell r="L37">
            <v>30</v>
          </cell>
          <cell r="M37">
            <v>50</v>
          </cell>
          <cell r="N37">
            <v>148</v>
          </cell>
          <cell r="O37">
            <v>0</v>
          </cell>
          <cell r="P37">
            <v>5</v>
          </cell>
          <cell r="Q37">
            <v>18</v>
          </cell>
          <cell r="R37">
            <v>20</v>
          </cell>
          <cell r="S37">
            <v>53</v>
          </cell>
          <cell r="T37">
            <v>91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91</v>
          </cell>
          <cell r="AA37">
            <v>0</v>
          </cell>
          <cell r="AB37">
            <v>3.5</v>
          </cell>
          <cell r="AC37">
            <v>20</v>
          </cell>
          <cell r="AD37">
            <v>20</v>
          </cell>
          <cell r="AE37">
            <v>54</v>
          </cell>
          <cell r="AF37">
            <v>94</v>
          </cell>
          <cell r="AG37">
            <v>0</v>
          </cell>
          <cell r="AH37">
            <v>5</v>
          </cell>
          <cell r="AI37">
            <v>20</v>
          </cell>
          <cell r="AJ37">
            <v>20</v>
          </cell>
          <cell r="AK37">
            <v>0</v>
          </cell>
          <cell r="AL37">
            <v>40</v>
          </cell>
          <cell r="AM37">
            <v>0</v>
          </cell>
          <cell r="AN37">
            <v>2</v>
          </cell>
          <cell r="AO37">
            <v>19</v>
          </cell>
          <cell r="AP37">
            <v>20</v>
          </cell>
          <cell r="AQ37">
            <v>58</v>
          </cell>
          <cell r="AR37">
            <v>97</v>
          </cell>
          <cell r="AS37">
            <v>0</v>
          </cell>
          <cell r="AT37">
            <v>5</v>
          </cell>
          <cell r="AU37">
            <v>20</v>
          </cell>
          <cell r="AV37">
            <v>20</v>
          </cell>
          <cell r="AW37">
            <v>0</v>
          </cell>
          <cell r="AX37">
            <v>40</v>
          </cell>
          <cell r="AY37">
            <v>0</v>
          </cell>
          <cell r="AZ37">
            <v>2</v>
          </cell>
          <cell r="BA37">
            <v>9</v>
          </cell>
          <cell r="BB37">
            <v>10</v>
          </cell>
          <cell r="BC37">
            <v>0</v>
          </cell>
          <cell r="BD37">
            <v>0</v>
          </cell>
          <cell r="BE37">
            <v>19</v>
          </cell>
          <cell r="BF37">
            <v>0</v>
          </cell>
          <cell r="BG37" t="str">
            <v>F</v>
          </cell>
          <cell r="BH37" t="str">
            <v>F</v>
          </cell>
          <cell r="BI37" t="str">
            <v>F</v>
          </cell>
          <cell r="BJ37" t="str">
            <v>NEED TO PROGRESS</v>
          </cell>
          <cell r="BK37">
            <v>529</v>
          </cell>
          <cell r="BL37" t="str">
            <v>F</v>
          </cell>
          <cell r="BM37">
            <v>65</v>
          </cell>
        </row>
        <row r="38">
          <cell r="C38" t="str">
            <v xml:space="preserve">ABDULLAH AL RIFAT </v>
          </cell>
          <cell r="D38" t="str">
            <v>MD.MASUD RANA</v>
          </cell>
          <cell r="E38" t="str">
            <v>ROMANA AKTER</v>
          </cell>
          <cell r="F38">
            <v>20</v>
          </cell>
          <cell r="G38">
            <v>16</v>
          </cell>
          <cell r="H38">
            <v>57</v>
          </cell>
          <cell r="I38">
            <v>93</v>
          </cell>
          <cell r="J38">
            <v>10</v>
          </cell>
          <cell r="K38">
            <v>10</v>
          </cell>
          <cell r="L38">
            <v>29</v>
          </cell>
          <cell r="M38">
            <v>49</v>
          </cell>
          <cell r="N38">
            <v>142</v>
          </cell>
          <cell r="O38">
            <v>0</v>
          </cell>
          <cell r="P38">
            <v>5</v>
          </cell>
          <cell r="Q38">
            <v>20</v>
          </cell>
          <cell r="R38">
            <v>20</v>
          </cell>
          <cell r="S38">
            <v>53</v>
          </cell>
          <cell r="T38">
            <v>93</v>
          </cell>
          <cell r="U38">
            <v>10</v>
          </cell>
          <cell r="V38">
            <v>10</v>
          </cell>
          <cell r="W38">
            <v>47</v>
          </cell>
          <cell r="X38">
            <v>23.5</v>
          </cell>
          <cell r="Y38">
            <v>43.5</v>
          </cell>
          <cell r="Z38">
            <v>136.5</v>
          </cell>
          <cell r="AA38">
            <v>0</v>
          </cell>
          <cell r="AB38">
            <v>5</v>
          </cell>
          <cell r="AC38">
            <v>20</v>
          </cell>
          <cell r="AD38">
            <v>20</v>
          </cell>
          <cell r="AE38">
            <v>58</v>
          </cell>
          <cell r="AF38">
            <v>98</v>
          </cell>
          <cell r="AG38">
            <v>0</v>
          </cell>
          <cell r="AH38">
            <v>5</v>
          </cell>
          <cell r="AI38">
            <v>20</v>
          </cell>
          <cell r="AJ38">
            <v>20</v>
          </cell>
          <cell r="AK38">
            <v>58</v>
          </cell>
          <cell r="AL38">
            <v>98</v>
          </cell>
          <cell r="AM38">
            <v>0</v>
          </cell>
          <cell r="AN38">
            <v>5</v>
          </cell>
          <cell r="AO38">
            <v>20</v>
          </cell>
          <cell r="AP38">
            <v>20</v>
          </cell>
          <cell r="AQ38">
            <v>59</v>
          </cell>
          <cell r="AR38">
            <v>99</v>
          </cell>
          <cell r="AS38">
            <v>0</v>
          </cell>
          <cell r="AT38">
            <v>5</v>
          </cell>
          <cell r="AU38">
            <v>20</v>
          </cell>
          <cell r="AV38">
            <v>20</v>
          </cell>
          <cell r="AW38">
            <v>58</v>
          </cell>
          <cell r="AX38">
            <v>98</v>
          </cell>
          <cell r="AY38">
            <v>0</v>
          </cell>
          <cell r="AZ38">
            <v>5</v>
          </cell>
          <cell r="BA38">
            <v>10</v>
          </cell>
          <cell r="BB38">
            <v>10</v>
          </cell>
          <cell r="BC38">
            <v>50</v>
          </cell>
          <cell r="BD38">
            <v>30</v>
          </cell>
          <cell r="BE38">
            <v>50</v>
          </cell>
          <cell r="BF38">
            <v>0</v>
          </cell>
          <cell r="BG38">
            <v>5</v>
          </cell>
          <cell r="BH38">
            <v>35</v>
          </cell>
          <cell r="BI38">
            <v>5</v>
          </cell>
          <cell r="BJ38" t="str">
            <v>BEST</v>
          </cell>
          <cell r="BK38">
            <v>721.5</v>
          </cell>
          <cell r="BL38">
            <v>9</v>
          </cell>
          <cell r="BM38">
            <v>64</v>
          </cell>
        </row>
        <row r="39">
          <cell r="C39" t="str">
            <v>NAFIZ AFNAN KHAN</v>
          </cell>
          <cell r="D39" t="str">
            <v>HARUN-OR-RASHID</v>
          </cell>
          <cell r="E39" t="str">
            <v>TASLIMA KHAN</v>
          </cell>
          <cell r="F39">
            <v>18</v>
          </cell>
          <cell r="G39">
            <v>18</v>
          </cell>
          <cell r="H39">
            <v>50</v>
          </cell>
          <cell r="I39">
            <v>86</v>
          </cell>
          <cell r="J39">
            <v>10</v>
          </cell>
          <cell r="K39">
            <v>10</v>
          </cell>
          <cell r="L39">
            <v>28</v>
          </cell>
          <cell r="M39">
            <v>48</v>
          </cell>
          <cell r="N39">
            <v>134</v>
          </cell>
          <cell r="O39">
            <v>0</v>
          </cell>
          <cell r="P39">
            <v>5</v>
          </cell>
          <cell r="Q39">
            <v>16</v>
          </cell>
          <cell r="R39">
            <v>20</v>
          </cell>
          <cell r="S39">
            <v>45</v>
          </cell>
          <cell r="T39">
            <v>81</v>
          </cell>
          <cell r="U39">
            <v>10</v>
          </cell>
          <cell r="V39">
            <v>10</v>
          </cell>
          <cell r="W39">
            <v>45</v>
          </cell>
          <cell r="X39">
            <v>22.5</v>
          </cell>
          <cell r="Y39">
            <v>42.5</v>
          </cell>
          <cell r="Z39">
            <v>123.5</v>
          </cell>
          <cell r="AA39">
            <v>0</v>
          </cell>
          <cell r="AB39">
            <v>5</v>
          </cell>
          <cell r="AC39">
            <v>20</v>
          </cell>
          <cell r="AD39">
            <v>20</v>
          </cell>
          <cell r="AE39">
            <v>56</v>
          </cell>
          <cell r="AF39">
            <v>96</v>
          </cell>
          <cell r="AG39">
            <v>0</v>
          </cell>
          <cell r="AH39">
            <v>5</v>
          </cell>
          <cell r="AI39">
            <v>20</v>
          </cell>
          <cell r="AJ39">
            <v>20</v>
          </cell>
          <cell r="AK39">
            <v>54</v>
          </cell>
          <cell r="AL39">
            <v>94</v>
          </cell>
          <cell r="AM39">
            <v>0</v>
          </cell>
          <cell r="AN39">
            <v>5</v>
          </cell>
          <cell r="AO39">
            <v>16</v>
          </cell>
          <cell r="AP39">
            <v>20</v>
          </cell>
          <cell r="AQ39">
            <v>56</v>
          </cell>
          <cell r="AR39">
            <v>92</v>
          </cell>
          <cell r="AS39">
            <v>0</v>
          </cell>
          <cell r="AT39">
            <v>5</v>
          </cell>
          <cell r="AU39">
            <v>16</v>
          </cell>
          <cell r="AV39">
            <v>20</v>
          </cell>
          <cell r="AW39">
            <v>56</v>
          </cell>
          <cell r="AX39">
            <v>92</v>
          </cell>
          <cell r="AY39">
            <v>0</v>
          </cell>
          <cell r="AZ39">
            <v>5</v>
          </cell>
          <cell r="BA39">
            <v>10</v>
          </cell>
          <cell r="BB39">
            <v>10</v>
          </cell>
          <cell r="BC39">
            <v>50</v>
          </cell>
          <cell r="BD39">
            <v>30</v>
          </cell>
          <cell r="BE39">
            <v>50</v>
          </cell>
          <cell r="BF39">
            <v>0</v>
          </cell>
          <cell r="BG39">
            <v>5</v>
          </cell>
          <cell r="BH39">
            <v>35</v>
          </cell>
          <cell r="BI39">
            <v>5</v>
          </cell>
          <cell r="BJ39" t="str">
            <v>BEST</v>
          </cell>
          <cell r="BK39">
            <v>681.5</v>
          </cell>
          <cell r="BL39">
            <v>28</v>
          </cell>
          <cell r="BM39">
            <v>59</v>
          </cell>
        </row>
        <row r="40">
          <cell r="C40" t="str">
            <v>TASNIMUR RAHMAN JAIN</v>
          </cell>
          <cell r="D40" t="str">
            <v xml:space="preserve">MD.MOJIBUR RAHMAN </v>
          </cell>
          <cell r="E40" t="str">
            <v>JOHORA AKTER</v>
          </cell>
          <cell r="F40">
            <v>20</v>
          </cell>
          <cell r="G40">
            <v>20</v>
          </cell>
          <cell r="H40">
            <v>57</v>
          </cell>
          <cell r="I40">
            <v>97</v>
          </cell>
          <cell r="J40">
            <v>10</v>
          </cell>
          <cell r="K40">
            <v>10</v>
          </cell>
          <cell r="L40">
            <v>30</v>
          </cell>
          <cell r="M40">
            <v>50</v>
          </cell>
          <cell r="N40">
            <v>147</v>
          </cell>
          <cell r="O40">
            <v>0</v>
          </cell>
          <cell r="P40">
            <v>5</v>
          </cell>
          <cell r="Q40">
            <v>18</v>
          </cell>
          <cell r="R40">
            <v>20</v>
          </cell>
          <cell r="S40">
            <v>50</v>
          </cell>
          <cell r="T40">
            <v>88</v>
          </cell>
          <cell r="U40">
            <v>10</v>
          </cell>
          <cell r="V40">
            <v>10</v>
          </cell>
          <cell r="W40">
            <v>46</v>
          </cell>
          <cell r="X40">
            <v>23</v>
          </cell>
          <cell r="Y40">
            <v>43</v>
          </cell>
          <cell r="Z40">
            <v>131</v>
          </cell>
          <cell r="AA40">
            <v>0</v>
          </cell>
          <cell r="AB40">
            <v>5</v>
          </cell>
          <cell r="AC40">
            <v>20</v>
          </cell>
          <cell r="AD40">
            <v>20</v>
          </cell>
          <cell r="AE40">
            <v>57</v>
          </cell>
          <cell r="AF40">
            <v>97</v>
          </cell>
          <cell r="AG40">
            <v>0</v>
          </cell>
          <cell r="AH40">
            <v>5</v>
          </cell>
          <cell r="AI40">
            <v>20</v>
          </cell>
          <cell r="AJ40">
            <v>20</v>
          </cell>
          <cell r="AK40">
            <v>41</v>
          </cell>
          <cell r="AL40">
            <v>81</v>
          </cell>
          <cell r="AM40">
            <v>0</v>
          </cell>
          <cell r="AN40">
            <v>5</v>
          </cell>
          <cell r="AO40">
            <v>19</v>
          </cell>
          <cell r="AP40">
            <v>20</v>
          </cell>
          <cell r="AQ40">
            <v>56</v>
          </cell>
          <cell r="AR40">
            <v>95</v>
          </cell>
          <cell r="AS40">
            <v>0</v>
          </cell>
          <cell r="AT40">
            <v>5</v>
          </cell>
          <cell r="AU40">
            <v>20</v>
          </cell>
          <cell r="AV40">
            <v>20</v>
          </cell>
          <cell r="AW40">
            <v>58</v>
          </cell>
          <cell r="AX40">
            <v>98</v>
          </cell>
          <cell r="AY40">
            <v>0</v>
          </cell>
          <cell r="AZ40">
            <v>5</v>
          </cell>
          <cell r="BA40">
            <v>9</v>
          </cell>
          <cell r="BB40">
            <v>10</v>
          </cell>
          <cell r="BC40">
            <v>50</v>
          </cell>
          <cell r="BD40">
            <v>30</v>
          </cell>
          <cell r="BE40">
            <v>49</v>
          </cell>
          <cell r="BF40">
            <v>0</v>
          </cell>
          <cell r="BG40">
            <v>5</v>
          </cell>
          <cell r="BH40">
            <v>35</v>
          </cell>
          <cell r="BI40">
            <v>5</v>
          </cell>
          <cell r="BJ40" t="str">
            <v>BEST</v>
          </cell>
          <cell r="BK40">
            <v>698</v>
          </cell>
          <cell r="BL40">
            <v>21</v>
          </cell>
          <cell r="BM40">
            <v>60</v>
          </cell>
        </row>
        <row r="41">
          <cell r="C41" t="str">
            <v xml:space="preserve">RANI AKTER SHIFA </v>
          </cell>
          <cell r="D41" t="str">
            <v>MA RAKIB HAWLADER</v>
          </cell>
          <cell r="E41" t="str">
            <v>SHEOULI AKTER JHARNA</v>
          </cell>
          <cell r="F41">
            <v>20</v>
          </cell>
          <cell r="G41">
            <v>18</v>
          </cell>
          <cell r="H41">
            <v>58</v>
          </cell>
          <cell r="I41">
            <v>96</v>
          </cell>
          <cell r="J41">
            <v>10</v>
          </cell>
          <cell r="K41">
            <v>10</v>
          </cell>
          <cell r="L41">
            <v>29</v>
          </cell>
          <cell r="M41">
            <v>49</v>
          </cell>
          <cell r="N41">
            <v>145</v>
          </cell>
          <cell r="O41">
            <v>0</v>
          </cell>
          <cell r="P41">
            <v>5</v>
          </cell>
          <cell r="Q41">
            <v>17</v>
          </cell>
          <cell r="R41">
            <v>19</v>
          </cell>
          <cell r="S41">
            <v>45</v>
          </cell>
          <cell r="T41">
            <v>81</v>
          </cell>
          <cell r="U41">
            <v>9</v>
          </cell>
          <cell r="V41">
            <v>10</v>
          </cell>
          <cell r="W41">
            <v>39</v>
          </cell>
          <cell r="X41">
            <v>19.5</v>
          </cell>
          <cell r="Y41">
            <v>38.5</v>
          </cell>
          <cell r="Z41">
            <v>119.5</v>
          </cell>
          <cell r="AA41">
            <v>0</v>
          </cell>
          <cell r="AB41">
            <v>4</v>
          </cell>
          <cell r="AC41">
            <v>20</v>
          </cell>
          <cell r="AD41">
            <v>20</v>
          </cell>
          <cell r="AE41">
            <v>35</v>
          </cell>
          <cell r="AF41">
            <v>75</v>
          </cell>
          <cell r="AG41">
            <v>0</v>
          </cell>
          <cell r="AH41">
            <v>4</v>
          </cell>
          <cell r="AI41">
            <v>20</v>
          </cell>
          <cell r="AJ41">
            <v>20</v>
          </cell>
          <cell r="AK41">
            <v>54</v>
          </cell>
          <cell r="AL41">
            <v>94</v>
          </cell>
          <cell r="AM41">
            <v>0</v>
          </cell>
          <cell r="AN41">
            <v>5</v>
          </cell>
          <cell r="AO41">
            <v>19</v>
          </cell>
          <cell r="AP41">
            <v>20</v>
          </cell>
          <cell r="AQ41">
            <v>57</v>
          </cell>
          <cell r="AR41">
            <v>96</v>
          </cell>
          <cell r="AS41">
            <v>0</v>
          </cell>
          <cell r="AT41">
            <v>5</v>
          </cell>
          <cell r="AU41">
            <v>20</v>
          </cell>
          <cell r="AV41">
            <v>20</v>
          </cell>
          <cell r="AW41">
            <v>58</v>
          </cell>
          <cell r="AX41">
            <v>98</v>
          </cell>
          <cell r="AY41">
            <v>0</v>
          </cell>
          <cell r="AZ41">
            <v>5</v>
          </cell>
          <cell r="BA41">
            <v>10</v>
          </cell>
          <cell r="BB41">
            <v>10</v>
          </cell>
          <cell r="BC41">
            <v>50</v>
          </cell>
          <cell r="BD41">
            <v>30</v>
          </cell>
          <cell r="BE41">
            <v>50</v>
          </cell>
          <cell r="BF41">
            <v>0</v>
          </cell>
          <cell r="BG41">
            <v>5</v>
          </cell>
          <cell r="BH41">
            <v>33</v>
          </cell>
          <cell r="BI41">
            <v>4.7142857142857144</v>
          </cell>
          <cell r="BJ41" t="str">
            <v>BETTER</v>
          </cell>
          <cell r="BK41">
            <v>677.5</v>
          </cell>
          <cell r="BL41">
            <v>56</v>
          </cell>
          <cell r="BM41">
            <v>64</v>
          </cell>
        </row>
        <row r="42">
          <cell r="C42" t="str">
            <v xml:space="preserve">MD.TANZIMUL ISLAM TASIN </v>
          </cell>
          <cell r="D42" t="str">
            <v>MD.SAIDUR RAHMAN</v>
          </cell>
          <cell r="E42" t="str">
            <v>HUSNARRA AKTER RITA</v>
          </cell>
          <cell r="F42">
            <v>20</v>
          </cell>
          <cell r="G42">
            <v>15</v>
          </cell>
          <cell r="H42">
            <v>46</v>
          </cell>
          <cell r="I42">
            <v>81</v>
          </cell>
          <cell r="J42">
            <v>10</v>
          </cell>
          <cell r="K42">
            <v>10</v>
          </cell>
          <cell r="L42">
            <v>28</v>
          </cell>
          <cell r="M42">
            <v>48</v>
          </cell>
          <cell r="N42">
            <v>129</v>
          </cell>
          <cell r="O42">
            <v>0</v>
          </cell>
          <cell r="P42">
            <v>5</v>
          </cell>
          <cell r="Q42">
            <v>17</v>
          </cell>
          <cell r="R42">
            <v>20</v>
          </cell>
          <cell r="S42">
            <v>45</v>
          </cell>
          <cell r="T42">
            <v>82</v>
          </cell>
          <cell r="U42">
            <v>9</v>
          </cell>
          <cell r="V42">
            <v>10</v>
          </cell>
          <cell r="W42">
            <v>39</v>
          </cell>
          <cell r="X42">
            <v>19.5</v>
          </cell>
          <cell r="Y42">
            <v>38.5</v>
          </cell>
          <cell r="Z42">
            <v>120.5</v>
          </cell>
          <cell r="AA42">
            <v>0</v>
          </cell>
          <cell r="AB42">
            <v>5</v>
          </cell>
          <cell r="AC42">
            <v>20</v>
          </cell>
          <cell r="AD42">
            <v>20</v>
          </cell>
          <cell r="AE42">
            <v>53</v>
          </cell>
          <cell r="AF42">
            <v>93</v>
          </cell>
          <cell r="AG42">
            <v>0</v>
          </cell>
          <cell r="AH42">
            <v>5</v>
          </cell>
          <cell r="AI42">
            <v>20</v>
          </cell>
          <cell r="AJ42">
            <v>20</v>
          </cell>
          <cell r="AK42">
            <v>52</v>
          </cell>
          <cell r="AL42">
            <v>92</v>
          </cell>
          <cell r="AM42">
            <v>0</v>
          </cell>
          <cell r="AN42">
            <v>5</v>
          </cell>
          <cell r="AO42">
            <v>19</v>
          </cell>
          <cell r="AP42">
            <v>20</v>
          </cell>
          <cell r="AQ42">
            <v>59</v>
          </cell>
          <cell r="AR42">
            <v>98</v>
          </cell>
          <cell r="AS42">
            <v>0</v>
          </cell>
          <cell r="AT42">
            <v>5</v>
          </cell>
          <cell r="AU42">
            <v>17</v>
          </cell>
          <cell r="AV42">
            <v>20</v>
          </cell>
          <cell r="AW42">
            <v>58</v>
          </cell>
          <cell r="AX42">
            <v>95</v>
          </cell>
          <cell r="AY42">
            <v>0</v>
          </cell>
          <cell r="AZ42">
            <v>5</v>
          </cell>
          <cell r="BA42">
            <v>10</v>
          </cell>
          <cell r="BB42">
            <v>10</v>
          </cell>
          <cell r="BC42">
            <v>50</v>
          </cell>
          <cell r="BD42">
            <v>30</v>
          </cell>
          <cell r="BE42">
            <v>50</v>
          </cell>
          <cell r="BF42">
            <v>0</v>
          </cell>
          <cell r="BG42">
            <v>5</v>
          </cell>
          <cell r="BH42">
            <v>35</v>
          </cell>
          <cell r="BI42">
            <v>5</v>
          </cell>
          <cell r="BJ42" t="str">
            <v>BEST</v>
          </cell>
          <cell r="BK42">
            <v>677.5</v>
          </cell>
          <cell r="BL42">
            <v>31</v>
          </cell>
          <cell r="BM42">
            <v>65</v>
          </cell>
        </row>
        <row r="43">
          <cell r="C43" t="str">
            <v>MAIMONA AKTHER MAHI</v>
          </cell>
          <cell r="D43" t="str">
            <v>MD. MOSTAFA KAMAL</v>
          </cell>
          <cell r="E43" t="str">
            <v>RUMA BEGUM</v>
          </cell>
          <cell r="F43">
            <v>20</v>
          </cell>
          <cell r="G43">
            <v>19</v>
          </cell>
          <cell r="H43">
            <v>52</v>
          </cell>
          <cell r="I43">
            <v>91</v>
          </cell>
          <cell r="J43">
            <v>10</v>
          </cell>
          <cell r="K43">
            <v>10</v>
          </cell>
          <cell r="L43">
            <v>28</v>
          </cell>
          <cell r="M43">
            <v>48</v>
          </cell>
          <cell r="N43">
            <v>139</v>
          </cell>
          <cell r="O43">
            <v>0</v>
          </cell>
          <cell r="P43">
            <v>5</v>
          </cell>
          <cell r="Q43">
            <v>15</v>
          </cell>
          <cell r="R43">
            <v>20</v>
          </cell>
          <cell r="S43">
            <v>41</v>
          </cell>
          <cell r="T43">
            <v>76</v>
          </cell>
          <cell r="U43">
            <v>9</v>
          </cell>
          <cell r="V43">
            <v>10</v>
          </cell>
          <cell r="W43">
            <v>44</v>
          </cell>
          <cell r="X43">
            <v>22</v>
          </cell>
          <cell r="Y43">
            <v>41</v>
          </cell>
          <cell r="Z43">
            <v>117</v>
          </cell>
          <cell r="AA43">
            <v>0</v>
          </cell>
          <cell r="AB43">
            <v>4</v>
          </cell>
          <cell r="AC43">
            <v>20</v>
          </cell>
          <cell r="AD43">
            <v>20</v>
          </cell>
          <cell r="AE43">
            <v>56</v>
          </cell>
          <cell r="AF43">
            <v>96</v>
          </cell>
          <cell r="AG43">
            <v>0</v>
          </cell>
          <cell r="AH43">
            <v>5</v>
          </cell>
          <cell r="AI43">
            <v>20</v>
          </cell>
          <cell r="AJ43">
            <v>20</v>
          </cell>
          <cell r="AK43">
            <v>54</v>
          </cell>
          <cell r="AL43">
            <v>94</v>
          </cell>
          <cell r="AM43">
            <v>0</v>
          </cell>
          <cell r="AN43">
            <v>5</v>
          </cell>
          <cell r="AO43">
            <v>19</v>
          </cell>
          <cell r="AP43">
            <v>20</v>
          </cell>
          <cell r="AQ43">
            <v>58</v>
          </cell>
          <cell r="AR43">
            <v>97</v>
          </cell>
          <cell r="AS43">
            <v>0</v>
          </cell>
          <cell r="AT43">
            <v>5</v>
          </cell>
          <cell r="AU43">
            <v>17</v>
          </cell>
          <cell r="AV43">
            <v>20</v>
          </cell>
          <cell r="AW43">
            <v>57</v>
          </cell>
          <cell r="AX43">
            <v>94</v>
          </cell>
          <cell r="AY43">
            <v>0</v>
          </cell>
          <cell r="AZ43">
            <v>5</v>
          </cell>
          <cell r="BA43">
            <v>10</v>
          </cell>
          <cell r="BB43">
            <v>10</v>
          </cell>
          <cell r="BC43">
            <v>49</v>
          </cell>
          <cell r="BD43">
            <v>29.4</v>
          </cell>
          <cell r="BE43">
            <v>49.4</v>
          </cell>
          <cell r="BF43">
            <v>0</v>
          </cell>
          <cell r="BG43">
            <v>5</v>
          </cell>
          <cell r="BH43">
            <v>34</v>
          </cell>
          <cell r="BI43">
            <v>4.8571428571428568</v>
          </cell>
          <cell r="BJ43" t="str">
            <v>BETTER</v>
          </cell>
          <cell r="BK43">
            <v>686.4</v>
          </cell>
          <cell r="BL43">
            <v>39</v>
          </cell>
          <cell r="BM43">
            <v>64</v>
          </cell>
        </row>
        <row r="44">
          <cell r="C44" t="str">
            <v>RAHAT AKON</v>
          </cell>
          <cell r="D44" t="str">
            <v>SOMRAT AKON</v>
          </cell>
          <cell r="E44" t="str">
            <v>ROJINA AKTHER</v>
          </cell>
          <cell r="F44">
            <v>20</v>
          </cell>
          <cell r="G44">
            <v>18</v>
          </cell>
          <cell r="H44">
            <v>58</v>
          </cell>
          <cell r="I44">
            <v>96</v>
          </cell>
          <cell r="J44">
            <v>10</v>
          </cell>
          <cell r="K44">
            <v>10</v>
          </cell>
          <cell r="L44">
            <v>28</v>
          </cell>
          <cell r="M44">
            <v>48</v>
          </cell>
          <cell r="N44">
            <v>144</v>
          </cell>
          <cell r="O44">
            <v>0</v>
          </cell>
          <cell r="P44">
            <v>5</v>
          </cell>
          <cell r="Q44">
            <v>18</v>
          </cell>
          <cell r="R44">
            <v>20</v>
          </cell>
          <cell r="S44">
            <v>46</v>
          </cell>
          <cell r="T44">
            <v>84</v>
          </cell>
          <cell r="U44">
            <v>9</v>
          </cell>
          <cell r="V44">
            <v>10</v>
          </cell>
          <cell r="W44">
            <v>40</v>
          </cell>
          <cell r="X44">
            <v>20</v>
          </cell>
          <cell r="Y44">
            <v>39</v>
          </cell>
          <cell r="Z44">
            <v>123</v>
          </cell>
          <cell r="AA44">
            <v>0</v>
          </cell>
          <cell r="AB44">
            <v>5</v>
          </cell>
          <cell r="AC44">
            <v>15</v>
          </cell>
          <cell r="AD44">
            <v>20</v>
          </cell>
          <cell r="AE44">
            <v>44</v>
          </cell>
          <cell r="AF44">
            <v>79</v>
          </cell>
          <cell r="AG44">
            <v>0</v>
          </cell>
          <cell r="AH44">
            <v>4</v>
          </cell>
          <cell r="AI44">
            <v>20</v>
          </cell>
          <cell r="AJ44">
            <v>20</v>
          </cell>
          <cell r="AK44">
            <v>48</v>
          </cell>
          <cell r="AL44">
            <v>88</v>
          </cell>
          <cell r="AM44">
            <v>0</v>
          </cell>
          <cell r="AN44">
            <v>5</v>
          </cell>
          <cell r="AO44">
            <v>19</v>
          </cell>
          <cell r="AP44">
            <v>20</v>
          </cell>
          <cell r="AQ44">
            <v>57</v>
          </cell>
          <cell r="AR44">
            <v>96</v>
          </cell>
          <cell r="AS44">
            <v>0</v>
          </cell>
          <cell r="AT44">
            <v>5</v>
          </cell>
          <cell r="AU44">
            <v>20</v>
          </cell>
          <cell r="AV44">
            <v>20</v>
          </cell>
          <cell r="AW44">
            <v>58</v>
          </cell>
          <cell r="AX44">
            <v>98</v>
          </cell>
          <cell r="AY44">
            <v>0</v>
          </cell>
          <cell r="AZ44">
            <v>5</v>
          </cell>
          <cell r="BA44">
            <v>10</v>
          </cell>
          <cell r="BB44">
            <v>10</v>
          </cell>
          <cell r="BC44">
            <v>49</v>
          </cell>
          <cell r="BD44">
            <v>29.4</v>
          </cell>
          <cell r="BE44">
            <v>49.4</v>
          </cell>
          <cell r="BF44">
            <v>0</v>
          </cell>
          <cell r="BG44">
            <v>5</v>
          </cell>
          <cell r="BH44">
            <v>34</v>
          </cell>
          <cell r="BI44">
            <v>4.8571428571428568</v>
          </cell>
          <cell r="BJ44" t="str">
            <v>BETTER</v>
          </cell>
          <cell r="BK44">
            <v>677.4</v>
          </cell>
          <cell r="BL44">
            <v>44</v>
          </cell>
          <cell r="BM44">
            <v>61</v>
          </cell>
        </row>
        <row r="45">
          <cell r="C45" t="str">
            <v xml:space="preserve"> AMINUL HAQUE AL AMIN RAJ</v>
          </cell>
          <cell r="D45" t="str">
            <v>MONIRUL ISLAM</v>
          </cell>
          <cell r="E45" t="str">
            <v>AMINA BEGUM</v>
          </cell>
          <cell r="F45">
            <v>17</v>
          </cell>
          <cell r="G45">
            <v>20</v>
          </cell>
          <cell r="H45">
            <v>42</v>
          </cell>
          <cell r="I45">
            <v>79</v>
          </cell>
          <cell r="J45">
            <v>10</v>
          </cell>
          <cell r="K45">
            <v>10</v>
          </cell>
          <cell r="L45">
            <v>28</v>
          </cell>
          <cell r="M45">
            <v>48</v>
          </cell>
          <cell r="N45">
            <v>127</v>
          </cell>
          <cell r="O45">
            <v>0</v>
          </cell>
          <cell r="P45">
            <v>5</v>
          </cell>
          <cell r="Q45">
            <v>18</v>
          </cell>
          <cell r="R45">
            <v>19</v>
          </cell>
          <cell r="S45">
            <v>40</v>
          </cell>
          <cell r="T45">
            <v>77</v>
          </cell>
          <cell r="U45">
            <v>8</v>
          </cell>
          <cell r="V45">
            <v>10</v>
          </cell>
          <cell r="W45">
            <v>40</v>
          </cell>
          <cell r="X45">
            <v>20</v>
          </cell>
          <cell r="Y45">
            <v>38</v>
          </cell>
          <cell r="Z45">
            <v>115</v>
          </cell>
          <cell r="AA45">
            <v>0</v>
          </cell>
          <cell r="AB45">
            <v>4</v>
          </cell>
          <cell r="AC45">
            <v>20</v>
          </cell>
          <cell r="AD45">
            <v>20</v>
          </cell>
          <cell r="AE45">
            <v>53</v>
          </cell>
          <cell r="AF45">
            <v>93</v>
          </cell>
          <cell r="AG45">
            <v>0</v>
          </cell>
          <cell r="AH45">
            <v>5</v>
          </cell>
          <cell r="AI45">
            <v>20</v>
          </cell>
          <cell r="AJ45">
            <v>20</v>
          </cell>
          <cell r="AK45">
            <v>39</v>
          </cell>
          <cell r="AL45">
            <v>79</v>
          </cell>
          <cell r="AM45">
            <v>0</v>
          </cell>
          <cell r="AN45">
            <v>4</v>
          </cell>
          <cell r="AO45">
            <v>20</v>
          </cell>
          <cell r="AP45">
            <v>20</v>
          </cell>
          <cell r="AQ45">
            <v>57</v>
          </cell>
          <cell r="AR45">
            <v>97</v>
          </cell>
          <cell r="AS45">
            <v>0</v>
          </cell>
          <cell r="AT45">
            <v>5</v>
          </cell>
          <cell r="AU45">
            <v>18</v>
          </cell>
          <cell r="AV45">
            <v>20</v>
          </cell>
          <cell r="AW45">
            <v>58</v>
          </cell>
          <cell r="AX45">
            <v>96</v>
          </cell>
          <cell r="AY45">
            <v>0</v>
          </cell>
          <cell r="AZ45">
            <v>5</v>
          </cell>
          <cell r="BA45">
            <v>10</v>
          </cell>
          <cell r="BB45">
            <v>10</v>
          </cell>
          <cell r="BC45">
            <v>47</v>
          </cell>
          <cell r="BD45">
            <v>28.2</v>
          </cell>
          <cell r="BE45">
            <v>48.2</v>
          </cell>
          <cell r="BF45">
            <v>0</v>
          </cell>
          <cell r="BG45">
            <v>5</v>
          </cell>
          <cell r="BH45">
            <v>33</v>
          </cell>
          <cell r="BI45">
            <v>4.7142857142857144</v>
          </cell>
          <cell r="BJ45" t="str">
            <v>BETTER</v>
          </cell>
          <cell r="BK45">
            <v>655.20000000000005</v>
          </cell>
          <cell r="BL45">
            <v>60</v>
          </cell>
          <cell r="BM45">
            <v>62</v>
          </cell>
        </row>
        <row r="46">
          <cell r="C46" t="str">
            <v>ABU SAJJAD</v>
          </cell>
          <cell r="D46" t="str">
            <v>MOHAMMAD SHAHED</v>
          </cell>
          <cell r="E46" t="str">
            <v>FERDOUSI AKTER</v>
          </cell>
          <cell r="F46">
            <v>18</v>
          </cell>
          <cell r="G46">
            <v>19</v>
          </cell>
          <cell r="H46">
            <v>59</v>
          </cell>
          <cell r="I46">
            <v>96</v>
          </cell>
          <cell r="J46">
            <v>10</v>
          </cell>
          <cell r="K46">
            <v>10</v>
          </cell>
          <cell r="L46">
            <v>30</v>
          </cell>
          <cell r="M46">
            <v>50</v>
          </cell>
          <cell r="N46">
            <v>146</v>
          </cell>
          <cell r="O46">
            <v>0</v>
          </cell>
          <cell r="P46">
            <v>5</v>
          </cell>
          <cell r="Q46">
            <v>19</v>
          </cell>
          <cell r="R46">
            <v>20</v>
          </cell>
          <cell r="S46">
            <v>55</v>
          </cell>
          <cell r="T46">
            <v>94</v>
          </cell>
          <cell r="U46">
            <v>10</v>
          </cell>
          <cell r="V46">
            <v>10</v>
          </cell>
          <cell r="W46">
            <v>49</v>
          </cell>
          <cell r="X46">
            <v>24.5</v>
          </cell>
          <cell r="Y46">
            <v>44.5</v>
          </cell>
          <cell r="Z46">
            <v>138.5</v>
          </cell>
          <cell r="AA46">
            <v>0</v>
          </cell>
          <cell r="AB46">
            <v>5</v>
          </cell>
          <cell r="AC46">
            <v>20</v>
          </cell>
          <cell r="AD46">
            <v>20</v>
          </cell>
          <cell r="AE46">
            <v>57</v>
          </cell>
          <cell r="AF46">
            <v>97</v>
          </cell>
          <cell r="AG46">
            <v>0</v>
          </cell>
          <cell r="AH46">
            <v>5</v>
          </cell>
          <cell r="AI46">
            <v>20</v>
          </cell>
          <cell r="AJ46">
            <v>20</v>
          </cell>
          <cell r="AK46">
            <v>57</v>
          </cell>
          <cell r="AL46">
            <v>97</v>
          </cell>
          <cell r="AM46">
            <v>0</v>
          </cell>
          <cell r="AN46">
            <v>5</v>
          </cell>
          <cell r="AO46">
            <v>20</v>
          </cell>
          <cell r="AP46">
            <v>20</v>
          </cell>
          <cell r="AQ46">
            <v>57</v>
          </cell>
          <cell r="AR46">
            <v>97</v>
          </cell>
          <cell r="AS46">
            <v>0</v>
          </cell>
          <cell r="AT46">
            <v>5</v>
          </cell>
          <cell r="AU46">
            <v>20</v>
          </cell>
          <cell r="AV46">
            <v>20</v>
          </cell>
          <cell r="AW46">
            <v>58</v>
          </cell>
          <cell r="AX46">
            <v>98</v>
          </cell>
          <cell r="AY46">
            <v>0</v>
          </cell>
          <cell r="AZ46">
            <v>5</v>
          </cell>
          <cell r="BA46">
            <v>10</v>
          </cell>
          <cell r="BB46">
            <v>10</v>
          </cell>
          <cell r="BC46">
            <v>48</v>
          </cell>
          <cell r="BD46">
            <v>28.799999999999997</v>
          </cell>
          <cell r="BE46">
            <v>48.8</v>
          </cell>
          <cell r="BF46">
            <v>0</v>
          </cell>
          <cell r="BG46">
            <v>5</v>
          </cell>
          <cell r="BH46">
            <v>35</v>
          </cell>
          <cell r="BI46">
            <v>5</v>
          </cell>
          <cell r="BJ46" t="str">
            <v>BEST</v>
          </cell>
          <cell r="BK46">
            <v>722.3</v>
          </cell>
          <cell r="BL46">
            <v>8</v>
          </cell>
          <cell r="BM46">
            <v>65</v>
          </cell>
        </row>
        <row r="47">
          <cell r="C47" t="str">
            <v>SANJIDA JERIN</v>
          </cell>
          <cell r="D47" t="str">
            <v>ALAMGIR HOSSAIN</v>
          </cell>
          <cell r="E47" t="str">
            <v>MST.FATEMA</v>
          </cell>
          <cell r="F47">
            <v>20</v>
          </cell>
          <cell r="G47">
            <v>20</v>
          </cell>
          <cell r="H47">
            <v>0</v>
          </cell>
          <cell r="I47">
            <v>40</v>
          </cell>
          <cell r="J47">
            <v>10</v>
          </cell>
          <cell r="K47">
            <v>0</v>
          </cell>
          <cell r="L47">
            <v>0</v>
          </cell>
          <cell r="M47">
            <v>10</v>
          </cell>
          <cell r="N47">
            <v>50</v>
          </cell>
          <cell r="O47">
            <v>0</v>
          </cell>
          <cell r="P47" t="str">
            <v>F</v>
          </cell>
          <cell r="Q47">
            <v>18</v>
          </cell>
          <cell r="R47">
            <v>19</v>
          </cell>
          <cell r="S47">
            <v>0</v>
          </cell>
          <cell r="T47">
            <v>37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37</v>
          </cell>
          <cell r="AA47">
            <v>0</v>
          </cell>
          <cell r="AB47" t="str">
            <v>F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 t="str">
            <v>F</v>
          </cell>
          <cell r="AI47">
            <v>20</v>
          </cell>
          <cell r="AJ47">
            <v>20</v>
          </cell>
          <cell r="AK47">
            <v>0</v>
          </cell>
          <cell r="AL47">
            <v>40</v>
          </cell>
          <cell r="AM47">
            <v>0</v>
          </cell>
          <cell r="AN47">
            <v>2</v>
          </cell>
          <cell r="AO47">
            <v>0</v>
          </cell>
          <cell r="AP47">
            <v>20</v>
          </cell>
          <cell r="AQ47">
            <v>0</v>
          </cell>
          <cell r="AR47">
            <v>20</v>
          </cell>
          <cell r="AS47">
            <v>0</v>
          </cell>
          <cell r="AT47" t="str">
            <v>F</v>
          </cell>
          <cell r="AU47">
            <v>20</v>
          </cell>
          <cell r="AV47">
            <v>20</v>
          </cell>
          <cell r="AW47">
            <v>0</v>
          </cell>
          <cell r="AX47">
            <v>40</v>
          </cell>
          <cell r="AY47">
            <v>0</v>
          </cell>
          <cell r="AZ47">
            <v>2</v>
          </cell>
          <cell r="BA47">
            <v>10</v>
          </cell>
          <cell r="BB47">
            <v>10</v>
          </cell>
          <cell r="BC47">
            <v>0</v>
          </cell>
          <cell r="BD47">
            <v>0</v>
          </cell>
          <cell r="BE47">
            <v>20</v>
          </cell>
          <cell r="BF47">
            <v>0</v>
          </cell>
          <cell r="BG47">
            <v>2</v>
          </cell>
          <cell r="BH47" t="str">
            <v>F</v>
          </cell>
          <cell r="BI47" t="str">
            <v>F</v>
          </cell>
          <cell r="BJ47" t="str">
            <v>NEED TO PROGRESS</v>
          </cell>
          <cell r="BK47">
            <v>207</v>
          </cell>
          <cell r="BL47" t="str">
            <v>F</v>
          </cell>
          <cell r="BM47">
            <v>61</v>
          </cell>
        </row>
        <row r="48">
          <cell r="C48" t="str">
            <v>FATAMA KHANAM</v>
          </cell>
          <cell r="D48" t="str">
            <v>MD. FIROZ KHAN</v>
          </cell>
          <cell r="E48" t="str">
            <v>SHEULI BEGUM</v>
          </cell>
          <cell r="F48">
            <v>20</v>
          </cell>
          <cell r="G48">
            <v>20</v>
          </cell>
          <cell r="H48">
            <v>59</v>
          </cell>
          <cell r="I48">
            <v>99</v>
          </cell>
          <cell r="J48">
            <v>10</v>
          </cell>
          <cell r="K48">
            <v>10</v>
          </cell>
          <cell r="L48">
            <v>30</v>
          </cell>
          <cell r="M48">
            <v>50</v>
          </cell>
          <cell r="N48">
            <v>149</v>
          </cell>
          <cell r="O48">
            <v>0</v>
          </cell>
          <cell r="P48">
            <v>5</v>
          </cell>
          <cell r="Q48">
            <v>20</v>
          </cell>
          <cell r="R48">
            <v>20</v>
          </cell>
          <cell r="S48">
            <v>58</v>
          </cell>
          <cell r="T48">
            <v>98</v>
          </cell>
          <cell r="U48">
            <v>10</v>
          </cell>
          <cell r="V48">
            <v>10</v>
          </cell>
          <cell r="W48">
            <v>55</v>
          </cell>
          <cell r="X48">
            <v>27.5</v>
          </cell>
          <cell r="Y48">
            <v>47.5</v>
          </cell>
          <cell r="Z48">
            <v>145.5</v>
          </cell>
          <cell r="AA48">
            <v>0</v>
          </cell>
          <cell r="AB48">
            <v>5</v>
          </cell>
          <cell r="AC48">
            <v>20</v>
          </cell>
          <cell r="AD48">
            <v>20</v>
          </cell>
          <cell r="AE48">
            <v>60</v>
          </cell>
          <cell r="AF48">
            <v>100</v>
          </cell>
          <cell r="AG48">
            <v>0</v>
          </cell>
          <cell r="AH48">
            <v>5</v>
          </cell>
          <cell r="AI48">
            <v>20</v>
          </cell>
          <cell r="AJ48">
            <v>20</v>
          </cell>
          <cell r="AK48">
            <v>60</v>
          </cell>
          <cell r="AL48">
            <v>100</v>
          </cell>
          <cell r="AM48">
            <v>0</v>
          </cell>
          <cell r="AN48">
            <v>5</v>
          </cell>
          <cell r="AO48">
            <v>20</v>
          </cell>
          <cell r="AP48">
            <v>20</v>
          </cell>
          <cell r="AQ48">
            <v>59</v>
          </cell>
          <cell r="AR48">
            <v>99</v>
          </cell>
          <cell r="AS48">
            <v>0</v>
          </cell>
          <cell r="AT48">
            <v>5</v>
          </cell>
          <cell r="AU48">
            <v>20</v>
          </cell>
          <cell r="AV48">
            <v>20</v>
          </cell>
          <cell r="AW48">
            <v>58</v>
          </cell>
          <cell r="AX48">
            <v>98</v>
          </cell>
          <cell r="AY48">
            <v>0</v>
          </cell>
          <cell r="AZ48">
            <v>5</v>
          </cell>
          <cell r="BA48">
            <v>10</v>
          </cell>
          <cell r="BB48">
            <v>10</v>
          </cell>
          <cell r="BC48">
            <v>50</v>
          </cell>
          <cell r="BD48">
            <v>30</v>
          </cell>
          <cell r="BE48">
            <v>50</v>
          </cell>
          <cell r="BF48">
            <v>0</v>
          </cell>
          <cell r="BG48">
            <v>5</v>
          </cell>
          <cell r="BH48">
            <v>35</v>
          </cell>
          <cell r="BI48">
            <v>5</v>
          </cell>
          <cell r="BJ48" t="str">
            <v>BEST</v>
          </cell>
          <cell r="BK48">
            <v>741.5</v>
          </cell>
          <cell r="BL48">
            <v>1</v>
          </cell>
          <cell r="BM48">
            <v>58</v>
          </cell>
        </row>
        <row r="49">
          <cell r="C49" t="str">
            <v>SADMAN AHMED RAFI</v>
          </cell>
          <cell r="D49" t="str">
            <v>MD.REHANUDDIHN</v>
          </cell>
          <cell r="E49" t="str">
            <v>MST.SHAIDA PERVIN</v>
          </cell>
          <cell r="F49">
            <v>20</v>
          </cell>
          <cell r="G49">
            <v>20</v>
          </cell>
          <cell r="H49">
            <v>59</v>
          </cell>
          <cell r="I49">
            <v>99</v>
          </cell>
          <cell r="J49">
            <v>10</v>
          </cell>
          <cell r="K49">
            <v>10</v>
          </cell>
          <cell r="L49">
            <v>28</v>
          </cell>
          <cell r="M49">
            <v>48</v>
          </cell>
          <cell r="N49">
            <v>147</v>
          </cell>
          <cell r="O49">
            <v>0</v>
          </cell>
          <cell r="P49">
            <v>5</v>
          </cell>
          <cell r="Q49">
            <v>20</v>
          </cell>
          <cell r="R49">
            <v>20</v>
          </cell>
          <cell r="S49">
            <v>49</v>
          </cell>
          <cell r="T49">
            <v>89</v>
          </cell>
          <cell r="U49">
            <v>10</v>
          </cell>
          <cell r="V49">
            <v>10</v>
          </cell>
          <cell r="W49">
            <v>56</v>
          </cell>
          <cell r="X49">
            <v>28</v>
          </cell>
          <cell r="Y49">
            <v>48</v>
          </cell>
          <cell r="Z49">
            <v>137</v>
          </cell>
          <cell r="AA49">
            <v>0</v>
          </cell>
          <cell r="AB49">
            <v>5</v>
          </cell>
          <cell r="AC49">
            <v>20</v>
          </cell>
          <cell r="AD49">
            <v>20</v>
          </cell>
          <cell r="AE49">
            <v>60</v>
          </cell>
          <cell r="AF49">
            <v>100</v>
          </cell>
          <cell r="AG49">
            <v>0</v>
          </cell>
          <cell r="AH49">
            <v>5</v>
          </cell>
          <cell r="AI49">
            <v>20</v>
          </cell>
          <cell r="AJ49">
            <v>20</v>
          </cell>
          <cell r="AK49">
            <v>58</v>
          </cell>
          <cell r="AL49">
            <v>98</v>
          </cell>
          <cell r="AM49">
            <v>0</v>
          </cell>
          <cell r="AN49">
            <v>5</v>
          </cell>
          <cell r="AO49">
            <v>20</v>
          </cell>
          <cell r="AP49">
            <v>20</v>
          </cell>
          <cell r="AQ49">
            <v>59</v>
          </cell>
          <cell r="AR49">
            <v>99</v>
          </cell>
          <cell r="AS49">
            <v>0</v>
          </cell>
          <cell r="AT49">
            <v>5</v>
          </cell>
          <cell r="AU49">
            <v>20</v>
          </cell>
          <cell r="AV49">
            <v>20</v>
          </cell>
          <cell r="AW49">
            <v>58</v>
          </cell>
          <cell r="AX49">
            <v>98</v>
          </cell>
          <cell r="AY49">
            <v>0</v>
          </cell>
          <cell r="AZ49">
            <v>5</v>
          </cell>
          <cell r="BA49">
            <v>10</v>
          </cell>
          <cell r="BB49">
            <v>10</v>
          </cell>
          <cell r="BC49">
            <v>50</v>
          </cell>
          <cell r="BD49">
            <v>30</v>
          </cell>
          <cell r="BE49">
            <v>50</v>
          </cell>
          <cell r="BF49">
            <v>0</v>
          </cell>
          <cell r="BG49">
            <v>5</v>
          </cell>
          <cell r="BH49">
            <v>35</v>
          </cell>
          <cell r="BI49">
            <v>5</v>
          </cell>
          <cell r="BJ49" t="str">
            <v>BEST</v>
          </cell>
          <cell r="BK49">
            <v>729</v>
          </cell>
          <cell r="BL49">
            <v>6</v>
          </cell>
          <cell r="BM49">
            <v>55</v>
          </cell>
        </row>
        <row r="50">
          <cell r="C50" t="str">
            <v>MD.TAWHID TALUKDER</v>
          </cell>
          <cell r="D50" t="str">
            <v>MD.SANWAR TALUKDER</v>
          </cell>
          <cell r="E50" t="str">
            <v>NURA SABA</v>
          </cell>
          <cell r="F50">
            <v>20</v>
          </cell>
          <cell r="G50">
            <v>19</v>
          </cell>
          <cell r="H50">
            <v>58</v>
          </cell>
          <cell r="I50">
            <v>97</v>
          </cell>
          <cell r="J50">
            <v>10</v>
          </cell>
          <cell r="K50">
            <v>10</v>
          </cell>
          <cell r="L50">
            <v>30</v>
          </cell>
          <cell r="M50">
            <v>50</v>
          </cell>
          <cell r="N50">
            <v>147</v>
          </cell>
          <cell r="O50">
            <v>0</v>
          </cell>
          <cell r="P50">
            <v>5</v>
          </cell>
          <cell r="Q50">
            <v>20</v>
          </cell>
          <cell r="R50">
            <v>20</v>
          </cell>
          <cell r="S50">
            <v>58</v>
          </cell>
          <cell r="T50">
            <v>98</v>
          </cell>
          <cell r="U50">
            <v>10</v>
          </cell>
          <cell r="V50">
            <v>10</v>
          </cell>
          <cell r="W50">
            <v>58</v>
          </cell>
          <cell r="X50">
            <v>29</v>
          </cell>
          <cell r="Y50">
            <v>49</v>
          </cell>
          <cell r="Z50">
            <v>147</v>
          </cell>
          <cell r="AA50">
            <v>0</v>
          </cell>
          <cell r="AB50">
            <v>5</v>
          </cell>
          <cell r="AC50">
            <v>20</v>
          </cell>
          <cell r="AD50">
            <v>20</v>
          </cell>
          <cell r="AE50">
            <v>60</v>
          </cell>
          <cell r="AF50">
            <v>100</v>
          </cell>
          <cell r="AG50">
            <v>0</v>
          </cell>
          <cell r="AH50">
            <v>5</v>
          </cell>
          <cell r="AI50">
            <v>20</v>
          </cell>
          <cell r="AJ50">
            <v>20</v>
          </cell>
          <cell r="AK50">
            <v>60</v>
          </cell>
          <cell r="AL50">
            <v>100</v>
          </cell>
          <cell r="AM50">
            <v>0</v>
          </cell>
          <cell r="AN50">
            <v>5</v>
          </cell>
          <cell r="AO50">
            <v>20</v>
          </cell>
          <cell r="AP50">
            <v>20</v>
          </cell>
          <cell r="AQ50">
            <v>59</v>
          </cell>
          <cell r="AR50">
            <v>99</v>
          </cell>
          <cell r="AS50">
            <v>0</v>
          </cell>
          <cell r="AT50">
            <v>5</v>
          </cell>
          <cell r="AU50">
            <v>20</v>
          </cell>
          <cell r="AV50">
            <v>20</v>
          </cell>
          <cell r="AW50">
            <v>59</v>
          </cell>
          <cell r="AX50">
            <v>99</v>
          </cell>
          <cell r="AY50">
            <v>0</v>
          </cell>
          <cell r="AZ50">
            <v>5</v>
          </cell>
          <cell r="BA50">
            <v>10</v>
          </cell>
          <cell r="BB50">
            <v>10</v>
          </cell>
          <cell r="BC50">
            <v>50</v>
          </cell>
          <cell r="BD50">
            <v>30</v>
          </cell>
          <cell r="BE50">
            <v>50</v>
          </cell>
          <cell r="BF50">
            <v>0</v>
          </cell>
          <cell r="BG50">
            <v>5</v>
          </cell>
          <cell r="BH50">
            <v>35</v>
          </cell>
          <cell r="BI50">
            <v>5</v>
          </cell>
          <cell r="BJ50" t="str">
            <v>BEST</v>
          </cell>
          <cell r="BK50">
            <v>742</v>
          </cell>
          <cell r="BL50">
            <v>2</v>
          </cell>
          <cell r="BM50">
            <v>56</v>
          </cell>
        </row>
        <row r="51">
          <cell r="C51" t="str">
            <v xml:space="preserve">SHAHARA KHANDAKER </v>
          </cell>
          <cell r="D51" t="str">
            <v>MD.KERAMOT ALI</v>
          </cell>
          <cell r="E51" t="str">
            <v>KHADIJA KHANDAKAR</v>
          </cell>
          <cell r="F51">
            <v>20</v>
          </cell>
          <cell r="G51">
            <v>20</v>
          </cell>
          <cell r="H51">
            <v>53</v>
          </cell>
          <cell r="I51">
            <v>93</v>
          </cell>
          <cell r="J51">
            <v>10</v>
          </cell>
          <cell r="K51">
            <v>10</v>
          </cell>
          <cell r="L51">
            <v>29</v>
          </cell>
          <cell r="M51">
            <v>49</v>
          </cell>
          <cell r="N51">
            <v>142</v>
          </cell>
          <cell r="O51">
            <v>0</v>
          </cell>
          <cell r="P51">
            <v>5</v>
          </cell>
          <cell r="Q51">
            <v>19</v>
          </cell>
          <cell r="R51">
            <v>20</v>
          </cell>
          <cell r="S51">
            <v>45</v>
          </cell>
          <cell r="T51">
            <v>84</v>
          </cell>
          <cell r="U51">
            <v>10</v>
          </cell>
          <cell r="V51">
            <v>10</v>
          </cell>
          <cell r="W51">
            <v>51</v>
          </cell>
          <cell r="X51">
            <v>25.5</v>
          </cell>
          <cell r="Y51">
            <v>45.5</v>
          </cell>
          <cell r="Z51">
            <v>129.5</v>
          </cell>
          <cell r="AA51">
            <v>0</v>
          </cell>
          <cell r="AB51">
            <v>5</v>
          </cell>
          <cell r="AC51">
            <v>20</v>
          </cell>
          <cell r="AD51">
            <v>20</v>
          </cell>
          <cell r="AE51">
            <v>58</v>
          </cell>
          <cell r="AF51">
            <v>98</v>
          </cell>
          <cell r="AG51">
            <v>0</v>
          </cell>
          <cell r="AH51">
            <v>5</v>
          </cell>
          <cell r="AI51">
            <v>20</v>
          </cell>
          <cell r="AJ51">
            <v>20</v>
          </cell>
          <cell r="AK51">
            <v>50</v>
          </cell>
          <cell r="AL51">
            <v>90</v>
          </cell>
          <cell r="AM51">
            <v>0</v>
          </cell>
          <cell r="AN51">
            <v>5</v>
          </cell>
          <cell r="AO51">
            <v>19</v>
          </cell>
          <cell r="AP51">
            <v>20</v>
          </cell>
          <cell r="AQ51">
            <v>54</v>
          </cell>
          <cell r="AR51">
            <v>93</v>
          </cell>
          <cell r="AS51">
            <v>0</v>
          </cell>
          <cell r="AT51">
            <v>5</v>
          </cell>
          <cell r="AU51">
            <v>20</v>
          </cell>
          <cell r="AV51">
            <v>20</v>
          </cell>
          <cell r="AW51">
            <v>54</v>
          </cell>
          <cell r="AX51">
            <v>94</v>
          </cell>
          <cell r="AY51">
            <v>0</v>
          </cell>
          <cell r="AZ51">
            <v>5</v>
          </cell>
          <cell r="BA51">
            <v>10</v>
          </cell>
          <cell r="BB51">
            <v>10</v>
          </cell>
          <cell r="BC51">
            <v>46</v>
          </cell>
          <cell r="BD51">
            <v>27.599999999999998</v>
          </cell>
          <cell r="BE51">
            <v>47.599999999999994</v>
          </cell>
          <cell r="BF51">
            <v>0</v>
          </cell>
          <cell r="BG51">
            <v>5</v>
          </cell>
          <cell r="BH51">
            <v>35</v>
          </cell>
          <cell r="BI51">
            <v>5</v>
          </cell>
          <cell r="BJ51" t="str">
            <v>BEST</v>
          </cell>
          <cell r="BK51">
            <v>694.1</v>
          </cell>
          <cell r="BL51">
            <v>23</v>
          </cell>
          <cell r="BM51">
            <v>60</v>
          </cell>
        </row>
      </sheetData>
      <sheetData sheetId="2" refreshError="1">
        <row r="5"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N5" t="str">
            <v>All Semester Total Marks</v>
          </cell>
          <cell r="BO5">
            <v>0</v>
          </cell>
          <cell r="BP5">
            <v>0</v>
          </cell>
          <cell r="BQ5">
            <v>0</v>
          </cell>
          <cell r="BR5">
            <v>0</v>
          </cell>
          <cell r="BS5">
            <v>0</v>
          </cell>
        </row>
        <row r="6">
          <cell r="E6" t="str">
            <v xml:space="preserve">MOTHER NAME </v>
          </cell>
          <cell r="F6" t="str">
            <v>MT</v>
          </cell>
          <cell r="G6" t="str">
            <v>BAN-1</v>
          </cell>
          <cell r="H6">
            <v>0</v>
          </cell>
          <cell r="I6" t="str">
            <v xml:space="preserve">TOTAL </v>
          </cell>
          <cell r="J6" t="str">
            <v>MT</v>
          </cell>
          <cell r="K6" t="str">
            <v>ASS</v>
          </cell>
          <cell r="L6" t="str">
            <v>BAN-2</v>
          </cell>
          <cell r="M6" t="str">
            <v>TOTAL</v>
          </cell>
          <cell r="N6" t="str">
            <v>B1+B2</v>
          </cell>
          <cell r="O6" t="str">
            <v>HIGHESTMARK</v>
          </cell>
          <cell r="P6" t="str">
            <v>GP</v>
          </cell>
          <cell r="Q6" t="str">
            <v>MT</v>
          </cell>
          <cell r="R6" t="str">
            <v>ASS</v>
          </cell>
          <cell r="S6" t="str">
            <v>ENG-1ST</v>
          </cell>
          <cell r="T6" t="str">
            <v>TOTAL</v>
          </cell>
          <cell r="U6" t="str">
            <v>MT</v>
          </cell>
          <cell r="V6" t="str">
            <v>ASS</v>
          </cell>
          <cell r="W6" t="str">
            <v>ENG-2ND</v>
          </cell>
          <cell r="X6">
            <v>0</v>
          </cell>
          <cell r="Y6" t="str">
            <v>TOTAL</v>
          </cell>
          <cell r="Z6" t="str">
            <v>E1+E2</v>
          </cell>
          <cell r="AA6" t="str">
            <v>HIGHESTMARK</v>
          </cell>
          <cell r="AB6" t="str">
            <v>GP</v>
          </cell>
          <cell r="AC6" t="str">
            <v>MT</v>
          </cell>
          <cell r="AD6" t="str">
            <v>MATH</v>
          </cell>
          <cell r="AE6">
            <v>0</v>
          </cell>
          <cell r="AF6" t="str">
            <v>TOTAL</v>
          </cell>
          <cell r="AG6" t="str">
            <v>HIGHESTMARK</v>
          </cell>
          <cell r="AH6" t="str">
            <v>GP</v>
          </cell>
          <cell r="AI6" t="str">
            <v>MT</v>
          </cell>
          <cell r="AJ6" t="str">
            <v>SCIENCE</v>
          </cell>
          <cell r="AK6">
            <v>0</v>
          </cell>
          <cell r="AL6" t="str">
            <v>TOTAL</v>
          </cell>
          <cell r="AM6" t="str">
            <v>HIGHESTMARK</v>
          </cell>
          <cell r="AN6" t="str">
            <v>GP</v>
          </cell>
          <cell r="AO6" t="str">
            <v>MT</v>
          </cell>
          <cell r="AP6" t="str">
            <v>BGS</v>
          </cell>
          <cell r="AQ6">
            <v>0</v>
          </cell>
          <cell r="AR6" t="str">
            <v>TOTAL</v>
          </cell>
          <cell r="AS6" t="str">
            <v>HIGHESTMARK</v>
          </cell>
          <cell r="AT6" t="str">
            <v>GP</v>
          </cell>
          <cell r="AU6" t="str">
            <v>MT</v>
          </cell>
          <cell r="AV6" t="str">
            <v>RELIGION</v>
          </cell>
          <cell r="AW6">
            <v>0</v>
          </cell>
          <cell r="AX6" t="str">
            <v>TOTAL</v>
          </cell>
          <cell r="AY6" t="str">
            <v>HIGHESTMARK</v>
          </cell>
          <cell r="AZ6" t="str">
            <v>GP</v>
          </cell>
          <cell r="BA6" t="str">
            <v>MT</v>
          </cell>
          <cell r="BB6" t="str">
            <v>ASS</v>
          </cell>
          <cell r="BC6" t="str">
            <v>ICT</v>
          </cell>
          <cell r="BD6">
            <v>0</v>
          </cell>
          <cell r="BE6" t="str">
            <v>TOTAL</v>
          </cell>
          <cell r="BF6" t="str">
            <v>HIGHESTMARK</v>
          </cell>
          <cell r="BG6" t="str">
            <v>GP</v>
          </cell>
          <cell r="BH6" t="str">
            <v>T-GP</v>
          </cell>
          <cell r="BI6" t="str">
            <v>GPA</v>
          </cell>
          <cell r="BJ6" t="str">
            <v>BHVR</v>
          </cell>
          <cell r="BK6" t="str">
            <v>TOTAL MARK</v>
          </cell>
          <cell r="BL6" t="str">
            <v>Position</v>
          </cell>
          <cell r="BM6" t="str">
            <v>WORKINGDAYS</v>
          </cell>
          <cell r="BN6" t="str">
            <v>1st semester</v>
          </cell>
          <cell r="BO6" t="str">
            <v>2nd Semester</v>
          </cell>
          <cell r="BP6" t="str">
            <v>3rd Semester</v>
          </cell>
          <cell r="BQ6" t="str">
            <v>Avarege</v>
          </cell>
          <cell r="BR6">
            <v>0</v>
          </cell>
          <cell r="BS6" t="str">
            <v>Rank</v>
          </cell>
        </row>
        <row r="7">
          <cell r="E7">
            <v>0</v>
          </cell>
          <cell r="F7">
            <v>0</v>
          </cell>
          <cell r="G7" t="str">
            <v>ASS</v>
          </cell>
          <cell r="H7" t="str">
            <v>CR</v>
          </cell>
          <cell r="I7">
            <v>0</v>
          </cell>
          <cell r="J7">
            <v>0</v>
          </cell>
          <cell r="K7">
            <v>0</v>
          </cell>
          <cell r="L7" t="str">
            <v>CR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 t="str">
            <v>CR</v>
          </cell>
          <cell r="X7" t="str">
            <v>AV-50%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 t="str">
            <v>ASS</v>
          </cell>
          <cell r="AE7" t="str">
            <v>CR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 t="str">
            <v>ASS</v>
          </cell>
          <cell r="AK7" t="str">
            <v>CR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 t="str">
            <v>ASS</v>
          </cell>
          <cell r="AQ7" t="str">
            <v>CR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 t="str">
            <v>ASS</v>
          </cell>
          <cell r="AW7" t="str">
            <v>CR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 t="str">
            <v>CR</v>
          </cell>
          <cell r="BD7" t="str">
            <v>AV-60%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</row>
        <row r="8">
          <cell r="E8" t="str">
            <v>KRISHNA SHAHA</v>
          </cell>
          <cell r="F8">
            <v>20</v>
          </cell>
          <cell r="G8">
            <v>20</v>
          </cell>
          <cell r="H8">
            <v>57</v>
          </cell>
          <cell r="I8">
            <v>97</v>
          </cell>
          <cell r="J8">
            <v>9</v>
          </cell>
          <cell r="K8">
            <v>10</v>
          </cell>
          <cell r="L8">
            <v>29</v>
          </cell>
          <cell r="M8">
            <v>48</v>
          </cell>
          <cell r="N8">
            <v>145</v>
          </cell>
          <cell r="O8">
            <v>150</v>
          </cell>
          <cell r="P8">
            <v>5</v>
          </cell>
          <cell r="Q8">
            <v>17</v>
          </cell>
          <cell r="R8">
            <v>20</v>
          </cell>
          <cell r="S8">
            <v>53</v>
          </cell>
          <cell r="T8">
            <v>90</v>
          </cell>
          <cell r="U8">
            <v>10</v>
          </cell>
          <cell r="V8">
            <v>10</v>
          </cell>
          <cell r="W8">
            <v>51</v>
          </cell>
          <cell r="X8">
            <v>25.5</v>
          </cell>
          <cell r="Y8">
            <v>45.5</v>
          </cell>
          <cell r="Z8">
            <v>135.5</v>
          </cell>
          <cell r="AA8">
            <v>148</v>
          </cell>
          <cell r="AB8">
            <v>5</v>
          </cell>
          <cell r="AC8">
            <v>18</v>
          </cell>
          <cell r="AD8">
            <v>20</v>
          </cell>
          <cell r="AE8">
            <v>58</v>
          </cell>
          <cell r="AF8">
            <v>96</v>
          </cell>
          <cell r="AG8">
            <v>100</v>
          </cell>
          <cell r="AH8">
            <v>5</v>
          </cell>
          <cell r="AI8">
            <v>19</v>
          </cell>
          <cell r="AJ8">
            <v>20</v>
          </cell>
          <cell r="AK8">
            <v>56</v>
          </cell>
          <cell r="AL8">
            <v>95</v>
          </cell>
          <cell r="AM8">
            <v>100</v>
          </cell>
          <cell r="AN8">
            <v>5</v>
          </cell>
          <cell r="AO8">
            <v>20</v>
          </cell>
          <cell r="AP8">
            <v>20</v>
          </cell>
          <cell r="AQ8">
            <v>58</v>
          </cell>
          <cell r="AR8">
            <v>98</v>
          </cell>
          <cell r="AS8">
            <v>100</v>
          </cell>
          <cell r="AT8">
            <v>5</v>
          </cell>
          <cell r="AU8">
            <v>20</v>
          </cell>
          <cell r="AV8">
            <v>20</v>
          </cell>
          <cell r="AW8">
            <v>56</v>
          </cell>
          <cell r="AX8">
            <v>96</v>
          </cell>
          <cell r="AY8">
            <v>100</v>
          </cell>
          <cell r="AZ8">
            <v>5</v>
          </cell>
          <cell r="BA8">
            <v>10</v>
          </cell>
          <cell r="BB8">
            <v>10</v>
          </cell>
          <cell r="BC8">
            <v>45</v>
          </cell>
          <cell r="BD8">
            <v>27</v>
          </cell>
          <cell r="BE8">
            <v>47</v>
          </cell>
          <cell r="BF8">
            <v>50</v>
          </cell>
          <cell r="BG8">
            <v>5</v>
          </cell>
          <cell r="BH8">
            <v>35</v>
          </cell>
          <cell r="BI8">
            <v>5</v>
          </cell>
          <cell r="BJ8" t="str">
            <v>BEST</v>
          </cell>
          <cell r="BK8">
            <v>712.5</v>
          </cell>
          <cell r="BL8">
            <v>16</v>
          </cell>
          <cell r="BM8">
            <v>59</v>
          </cell>
          <cell r="BN8">
            <v>626</v>
          </cell>
          <cell r="BO8">
            <v>708</v>
          </cell>
          <cell r="BP8">
            <v>712.5</v>
          </cell>
          <cell r="BQ8">
            <v>682.16666666666663</v>
          </cell>
          <cell r="BR8" t="e">
            <v>#REF!</v>
          </cell>
          <cell r="BS8">
            <v>9</v>
          </cell>
        </row>
        <row r="9">
          <cell r="E9" t="str">
            <v xml:space="preserve">SELINA </v>
          </cell>
          <cell r="F9">
            <v>20</v>
          </cell>
          <cell r="G9">
            <v>20</v>
          </cell>
          <cell r="H9">
            <v>59</v>
          </cell>
          <cell r="I9">
            <v>99</v>
          </cell>
          <cell r="J9">
            <v>10</v>
          </cell>
          <cell r="K9">
            <v>10</v>
          </cell>
          <cell r="L9">
            <v>30</v>
          </cell>
          <cell r="M9">
            <v>50</v>
          </cell>
          <cell r="N9">
            <v>149</v>
          </cell>
          <cell r="O9">
            <v>0</v>
          </cell>
          <cell r="P9">
            <v>5</v>
          </cell>
          <cell r="Q9">
            <v>17</v>
          </cell>
          <cell r="R9">
            <v>20</v>
          </cell>
          <cell r="S9">
            <v>56</v>
          </cell>
          <cell r="T9">
            <v>93</v>
          </cell>
          <cell r="U9">
            <v>10</v>
          </cell>
          <cell r="V9">
            <v>10</v>
          </cell>
          <cell r="W9">
            <v>55</v>
          </cell>
          <cell r="X9">
            <v>27.5</v>
          </cell>
          <cell r="Y9">
            <v>47.5</v>
          </cell>
          <cell r="Z9">
            <v>140.5</v>
          </cell>
          <cell r="AA9">
            <v>0</v>
          </cell>
          <cell r="AB9">
            <v>5</v>
          </cell>
          <cell r="AC9">
            <v>16</v>
          </cell>
          <cell r="AD9">
            <v>20</v>
          </cell>
          <cell r="AE9">
            <v>59</v>
          </cell>
          <cell r="AF9">
            <v>95</v>
          </cell>
          <cell r="AG9">
            <v>0</v>
          </cell>
          <cell r="AH9">
            <v>5</v>
          </cell>
          <cell r="AI9">
            <v>19</v>
          </cell>
          <cell r="AJ9">
            <v>20</v>
          </cell>
          <cell r="AK9">
            <v>51</v>
          </cell>
          <cell r="AL9">
            <v>90</v>
          </cell>
          <cell r="AM9">
            <v>0</v>
          </cell>
          <cell r="AN9">
            <v>5</v>
          </cell>
          <cell r="AO9">
            <v>20</v>
          </cell>
          <cell r="AP9">
            <v>20</v>
          </cell>
          <cell r="AQ9">
            <v>59</v>
          </cell>
          <cell r="AR9">
            <v>99</v>
          </cell>
          <cell r="AS9">
            <v>0</v>
          </cell>
          <cell r="AT9">
            <v>5</v>
          </cell>
          <cell r="AU9">
            <v>19</v>
          </cell>
          <cell r="AV9">
            <v>20</v>
          </cell>
          <cell r="AW9">
            <v>57</v>
          </cell>
          <cell r="AX9">
            <v>96</v>
          </cell>
          <cell r="AY9">
            <v>0</v>
          </cell>
          <cell r="AZ9">
            <v>5</v>
          </cell>
          <cell r="BA9">
            <v>10</v>
          </cell>
          <cell r="BB9">
            <v>10</v>
          </cell>
          <cell r="BC9">
            <v>47</v>
          </cell>
          <cell r="BD9">
            <v>28.2</v>
          </cell>
          <cell r="BE9">
            <v>48.2</v>
          </cell>
          <cell r="BF9">
            <v>0</v>
          </cell>
          <cell r="BG9">
            <v>5</v>
          </cell>
          <cell r="BH9">
            <v>35</v>
          </cell>
          <cell r="BI9">
            <v>5</v>
          </cell>
          <cell r="BJ9" t="str">
            <v>BEST</v>
          </cell>
          <cell r="BK9">
            <v>717.7</v>
          </cell>
          <cell r="BL9">
            <v>10</v>
          </cell>
          <cell r="BM9">
            <v>59</v>
          </cell>
          <cell r="BN9">
            <v>631</v>
          </cell>
          <cell r="BO9">
            <v>720.5</v>
          </cell>
          <cell r="BP9">
            <v>717.7</v>
          </cell>
          <cell r="BQ9">
            <v>689.73333333333323</v>
          </cell>
          <cell r="BR9" t="e">
            <v>#REF!</v>
          </cell>
          <cell r="BS9">
            <v>10</v>
          </cell>
        </row>
        <row r="10">
          <cell r="E10" t="str">
            <v>MOST.NASRIN AKTER</v>
          </cell>
          <cell r="F10">
            <v>20</v>
          </cell>
          <cell r="G10">
            <v>20</v>
          </cell>
          <cell r="H10">
            <v>57</v>
          </cell>
          <cell r="I10">
            <v>97</v>
          </cell>
          <cell r="J10">
            <v>9</v>
          </cell>
          <cell r="K10">
            <v>8</v>
          </cell>
          <cell r="L10">
            <v>30</v>
          </cell>
          <cell r="M10">
            <v>47</v>
          </cell>
          <cell r="N10">
            <v>144</v>
          </cell>
          <cell r="O10">
            <v>0</v>
          </cell>
          <cell r="P10">
            <v>5</v>
          </cell>
          <cell r="Q10">
            <v>16</v>
          </cell>
          <cell r="R10">
            <v>20</v>
          </cell>
          <cell r="S10">
            <v>48</v>
          </cell>
          <cell r="T10">
            <v>84</v>
          </cell>
          <cell r="U10">
            <v>8</v>
          </cell>
          <cell r="V10">
            <v>10</v>
          </cell>
          <cell r="W10">
            <v>43</v>
          </cell>
          <cell r="X10">
            <v>21.5</v>
          </cell>
          <cell r="Y10">
            <v>39.5</v>
          </cell>
          <cell r="Z10">
            <v>123.5</v>
          </cell>
          <cell r="AA10">
            <v>0</v>
          </cell>
          <cell r="AB10">
            <v>5</v>
          </cell>
          <cell r="AC10">
            <v>14</v>
          </cell>
          <cell r="AD10">
            <v>20</v>
          </cell>
          <cell r="AE10">
            <v>58</v>
          </cell>
          <cell r="AF10">
            <v>92</v>
          </cell>
          <cell r="AG10">
            <v>0</v>
          </cell>
          <cell r="AH10">
            <v>5</v>
          </cell>
          <cell r="AI10">
            <v>18</v>
          </cell>
          <cell r="AJ10">
            <v>20</v>
          </cell>
          <cell r="AK10">
            <v>54</v>
          </cell>
          <cell r="AL10">
            <v>92</v>
          </cell>
          <cell r="AM10">
            <v>0</v>
          </cell>
          <cell r="AN10">
            <v>5</v>
          </cell>
          <cell r="AO10">
            <v>20</v>
          </cell>
          <cell r="AP10">
            <v>20</v>
          </cell>
          <cell r="AQ10">
            <v>57</v>
          </cell>
          <cell r="AR10">
            <v>97</v>
          </cell>
          <cell r="AS10">
            <v>0</v>
          </cell>
          <cell r="AT10">
            <v>5</v>
          </cell>
          <cell r="AU10">
            <v>18</v>
          </cell>
          <cell r="AV10">
            <v>20</v>
          </cell>
          <cell r="AW10">
            <v>56</v>
          </cell>
          <cell r="AX10">
            <v>94</v>
          </cell>
          <cell r="AY10">
            <v>0</v>
          </cell>
          <cell r="AZ10">
            <v>5</v>
          </cell>
          <cell r="BA10">
            <v>10</v>
          </cell>
          <cell r="BB10">
            <v>10</v>
          </cell>
          <cell r="BC10">
            <v>47</v>
          </cell>
          <cell r="BD10">
            <v>28.2</v>
          </cell>
          <cell r="BE10">
            <v>48.2</v>
          </cell>
          <cell r="BF10">
            <v>0</v>
          </cell>
          <cell r="BG10">
            <v>5</v>
          </cell>
          <cell r="BH10">
            <v>35</v>
          </cell>
          <cell r="BI10">
            <v>5</v>
          </cell>
          <cell r="BJ10" t="str">
            <v>BEST</v>
          </cell>
          <cell r="BK10">
            <v>690.7</v>
          </cell>
          <cell r="BL10">
            <v>15</v>
          </cell>
          <cell r="BM10">
            <v>65</v>
          </cell>
          <cell r="BN10">
            <v>614</v>
          </cell>
          <cell r="BO10">
            <v>709.9</v>
          </cell>
          <cell r="BP10">
            <v>690.7</v>
          </cell>
          <cell r="BQ10">
            <v>671.53333333333342</v>
          </cell>
          <cell r="BR10" t="e">
            <v>#REF!</v>
          </cell>
          <cell r="BS10">
            <v>13</v>
          </cell>
        </row>
        <row r="11">
          <cell r="E11" t="str">
            <v xml:space="preserve">TASLIMA BEGUM </v>
          </cell>
          <cell r="F11">
            <v>20</v>
          </cell>
          <cell r="G11">
            <v>20</v>
          </cell>
          <cell r="H11">
            <v>60</v>
          </cell>
          <cell r="I11">
            <v>100</v>
          </cell>
          <cell r="J11">
            <v>10</v>
          </cell>
          <cell r="K11">
            <v>8</v>
          </cell>
          <cell r="L11">
            <v>30</v>
          </cell>
          <cell r="M11">
            <v>48</v>
          </cell>
          <cell r="N11">
            <v>148</v>
          </cell>
          <cell r="O11">
            <v>0</v>
          </cell>
          <cell r="P11">
            <v>5</v>
          </cell>
          <cell r="Q11">
            <v>20</v>
          </cell>
          <cell r="R11">
            <v>20</v>
          </cell>
          <cell r="S11">
            <v>51</v>
          </cell>
          <cell r="T11">
            <v>91</v>
          </cell>
          <cell r="U11">
            <v>8</v>
          </cell>
          <cell r="V11">
            <v>10</v>
          </cell>
          <cell r="W11">
            <v>37</v>
          </cell>
          <cell r="X11">
            <v>18.5</v>
          </cell>
          <cell r="Y11">
            <v>36.5</v>
          </cell>
          <cell r="Z11">
            <v>127.5</v>
          </cell>
          <cell r="AA11">
            <v>0</v>
          </cell>
          <cell r="AB11">
            <v>5</v>
          </cell>
          <cell r="AC11">
            <v>16</v>
          </cell>
          <cell r="AD11">
            <v>20</v>
          </cell>
          <cell r="AE11">
            <v>60</v>
          </cell>
          <cell r="AF11">
            <v>96</v>
          </cell>
          <cell r="AG11">
            <v>0</v>
          </cell>
          <cell r="AH11">
            <v>5</v>
          </cell>
          <cell r="AI11">
            <v>19</v>
          </cell>
          <cell r="AJ11">
            <v>20</v>
          </cell>
          <cell r="AK11">
            <v>56</v>
          </cell>
          <cell r="AL11">
            <v>95</v>
          </cell>
          <cell r="AM11">
            <v>0</v>
          </cell>
          <cell r="AN11">
            <v>5</v>
          </cell>
          <cell r="AO11">
            <v>20</v>
          </cell>
          <cell r="AP11">
            <v>20</v>
          </cell>
          <cell r="AQ11">
            <v>54</v>
          </cell>
          <cell r="AR11">
            <v>94</v>
          </cell>
          <cell r="AS11">
            <v>0</v>
          </cell>
          <cell r="AT11">
            <v>5</v>
          </cell>
          <cell r="AU11">
            <v>20</v>
          </cell>
          <cell r="AV11">
            <v>20</v>
          </cell>
          <cell r="AW11">
            <v>60</v>
          </cell>
          <cell r="AX11">
            <v>100</v>
          </cell>
          <cell r="AY11">
            <v>0</v>
          </cell>
          <cell r="AZ11">
            <v>5</v>
          </cell>
          <cell r="BA11">
            <v>10</v>
          </cell>
          <cell r="BB11">
            <v>10</v>
          </cell>
          <cell r="BC11">
            <v>40</v>
          </cell>
          <cell r="BD11">
            <v>24</v>
          </cell>
          <cell r="BE11">
            <v>44</v>
          </cell>
          <cell r="BF11">
            <v>0</v>
          </cell>
          <cell r="BG11">
            <v>5</v>
          </cell>
          <cell r="BH11">
            <v>35</v>
          </cell>
          <cell r="BI11">
            <v>5</v>
          </cell>
          <cell r="BJ11" t="str">
            <v>BEST</v>
          </cell>
          <cell r="BK11">
            <v>704.5</v>
          </cell>
          <cell r="BL11">
            <v>32</v>
          </cell>
          <cell r="BM11">
            <v>56</v>
          </cell>
          <cell r="BN11">
            <v>588</v>
          </cell>
          <cell r="BO11">
            <v>676.4</v>
          </cell>
          <cell r="BP11">
            <v>704.5</v>
          </cell>
          <cell r="BQ11">
            <v>656.30000000000007</v>
          </cell>
          <cell r="BR11" t="e">
            <v>#REF!</v>
          </cell>
          <cell r="BS11">
            <v>17</v>
          </cell>
        </row>
        <row r="12">
          <cell r="E12" t="str">
            <v>SONIA AKHTER</v>
          </cell>
          <cell r="F12">
            <v>20</v>
          </cell>
          <cell r="G12">
            <v>20</v>
          </cell>
          <cell r="H12">
            <v>60</v>
          </cell>
          <cell r="I12">
            <v>100</v>
          </cell>
          <cell r="J12">
            <v>9</v>
          </cell>
          <cell r="K12">
            <v>10</v>
          </cell>
          <cell r="L12">
            <v>30</v>
          </cell>
          <cell r="M12">
            <v>49</v>
          </cell>
          <cell r="N12">
            <v>149</v>
          </cell>
          <cell r="O12">
            <v>0</v>
          </cell>
          <cell r="P12">
            <v>5</v>
          </cell>
          <cell r="Q12">
            <v>18</v>
          </cell>
          <cell r="R12">
            <v>20</v>
          </cell>
          <cell r="S12">
            <v>49</v>
          </cell>
          <cell r="T12">
            <v>87</v>
          </cell>
          <cell r="U12">
            <v>9</v>
          </cell>
          <cell r="V12">
            <v>10</v>
          </cell>
          <cell r="W12">
            <v>34</v>
          </cell>
          <cell r="X12">
            <v>17</v>
          </cell>
          <cell r="Y12">
            <v>36</v>
          </cell>
          <cell r="Z12">
            <v>123</v>
          </cell>
          <cell r="AA12">
            <v>0</v>
          </cell>
          <cell r="AB12">
            <v>5</v>
          </cell>
          <cell r="AC12">
            <v>13</v>
          </cell>
          <cell r="AD12">
            <v>20</v>
          </cell>
          <cell r="AE12">
            <v>60</v>
          </cell>
          <cell r="AF12">
            <v>93</v>
          </cell>
          <cell r="AG12">
            <v>0</v>
          </cell>
          <cell r="AH12">
            <v>5</v>
          </cell>
          <cell r="AI12">
            <v>16</v>
          </cell>
          <cell r="AJ12">
            <v>20</v>
          </cell>
          <cell r="AK12">
            <v>58</v>
          </cell>
          <cell r="AL12">
            <v>94</v>
          </cell>
          <cell r="AM12">
            <v>0</v>
          </cell>
          <cell r="AN12">
            <v>5</v>
          </cell>
          <cell r="AO12">
            <v>20</v>
          </cell>
          <cell r="AP12">
            <v>20</v>
          </cell>
          <cell r="AQ12">
            <v>59</v>
          </cell>
          <cell r="AR12">
            <v>99</v>
          </cell>
          <cell r="AS12">
            <v>0</v>
          </cell>
          <cell r="AT12">
            <v>5</v>
          </cell>
          <cell r="AU12">
            <v>20</v>
          </cell>
          <cell r="AV12">
            <v>20</v>
          </cell>
          <cell r="AW12">
            <v>58</v>
          </cell>
          <cell r="AX12">
            <v>98</v>
          </cell>
          <cell r="AY12">
            <v>0</v>
          </cell>
          <cell r="AZ12">
            <v>5</v>
          </cell>
          <cell r="BA12">
            <v>10</v>
          </cell>
          <cell r="BB12">
            <v>10</v>
          </cell>
          <cell r="BC12">
            <v>49</v>
          </cell>
          <cell r="BD12">
            <v>29.4</v>
          </cell>
          <cell r="BE12">
            <v>49.4</v>
          </cell>
          <cell r="BF12">
            <v>0</v>
          </cell>
          <cell r="BG12">
            <v>5</v>
          </cell>
          <cell r="BH12">
            <v>35</v>
          </cell>
          <cell r="BI12">
            <v>5</v>
          </cell>
          <cell r="BJ12" t="str">
            <v>BEST</v>
          </cell>
          <cell r="BK12">
            <v>705.4</v>
          </cell>
          <cell r="BL12">
            <v>45</v>
          </cell>
          <cell r="BM12">
            <v>61</v>
          </cell>
          <cell r="BN12">
            <v>594</v>
          </cell>
          <cell r="BO12">
            <v>677</v>
          </cell>
          <cell r="BP12">
            <v>705.4</v>
          </cell>
          <cell r="BQ12">
            <v>658.80000000000007</v>
          </cell>
          <cell r="BR12" t="e">
            <v>#REF!</v>
          </cell>
          <cell r="BS12">
            <v>23</v>
          </cell>
        </row>
        <row r="13">
          <cell r="E13" t="str">
            <v>SALINA AKTER</v>
          </cell>
          <cell r="F13">
            <v>20</v>
          </cell>
          <cell r="G13">
            <v>20</v>
          </cell>
          <cell r="H13">
            <v>60</v>
          </cell>
          <cell r="I13">
            <v>100</v>
          </cell>
          <cell r="J13">
            <v>9</v>
          </cell>
          <cell r="K13">
            <v>10</v>
          </cell>
          <cell r="L13">
            <v>30</v>
          </cell>
          <cell r="M13">
            <v>49</v>
          </cell>
          <cell r="N13">
            <v>149</v>
          </cell>
          <cell r="O13">
            <v>0</v>
          </cell>
          <cell r="P13">
            <v>5</v>
          </cell>
          <cell r="Q13">
            <v>19</v>
          </cell>
          <cell r="R13">
            <v>20</v>
          </cell>
          <cell r="S13">
            <v>50</v>
          </cell>
          <cell r="T13">
            <v>89</v>
          </cell>
          <cell r="U13">
            <v>9</v>
          </cell>
          <cell r="V13">
            <v>10</v>
          </cell>
          <cell r="W13">
            <v>46</v>
          </cell>
          <cell r="X13">
            <v>23</v>
          </cell>
          <cell r="Y13">
            <v>42</v>
          </cell>
          <cell r="Z13">
            <v>131</v>
          </cell>
          <cell r="AA13">
            <v>0</v>
          </cell>
          <cell r="AB13">
            <v>5</v>
          </cell>
          <cell r="AC13">
            <v>15</v>
          </cell>
          <cell r="AD13">
            <v>20</v>
          </cell>
          <cell r="AE13">
            <v>59</v>
          </cell>
          <cell r="AF13">
            <v>94</v>
          </cell>
          <cell r="AG13">
            <v>0</v>
          </cell>
          <cell r="AH13">
            <v>5</v>
          </cell>
          <cell r="AI13">
            <v>20</v>
          </cell>
          <cell r="AJ13">
            <v>20</v>
          </cell>
          <cell r="AK13">
            <v>47</v>
          </cell>
          <cell r="AL13">
            <v>87</v>
          </cell>
          <cell r="AM13">
            <v>0</v>
          </cell>
          <cell r="AN13">
            <v>5</v>
          </cell>
          <cell r="AO13">
            <v>19</v>
          </cell>
          <cell r="AP13">
            <v>20</v>
          </cell>
          <cell r="AQ13">
            <v>59</v>
          </cell>
          <cell r="AR13">
            <v>98</v>
          </cell>
          <cell r="AS13">
            <v>0</v>
          </cell>
          <cell r="AT13">
            <v>5</v>
          </cell>
          <cell r="AU13">
            <v>19</v>
          </cell>
          <cell r="AV13">
            <v>20</v>
          </cell>
          <cell r="AW13">
            <v>58</v>
          </cell>
          <cell r="AX13">
            <v>97</v>
          </cell>
          <cell r="AY13">
            <v>0</v>
          </cell>
          <cell r="AZ13">
            <v>5</v>
          </cell>
          <cell r="BA13">
            <v>10</v>
          </cell>
          <cell r="BB13">
            <v>10</v>
          </cell>
          <cell r="BC13">
            <v>45</v>
          </cell>
          <cell r="BD13">
            <v>27</v>
          </cell>
          <cell r="BE13">
            <v>47</v>
          </cell>
          <cell r="BF13">
            <v>0</v>
          </cell>
          <cell r="BG13">
            <v>5</v>
          </cell>
          <cell r="BH13">
            <v>35</v>
          </cell>
          <cell r="BI13">
            <v>5</v>
          </cell>
          <cell r="BJ13" t="str">
            <v>BEST</v>
          </cell>
          <cell r="BK13">
            <v>703</v>
          </cell>
          <cell r="BL13">
            <v>14</v>
          </cell>
          <cell r="BM13">
            <v>57</v>
          </cell>
          <cell r="BN13">
            <v>614</v>
          </cell>
          <cell r="BO13">
            <v>711.8</v>
          </cell>
          <cell r="BP13">
            <v>703</v>
          </cell>
          <cell r="BQ13">
            <v>676.26666666666665</v>
          </cell>
          <cell r="BR13" t="e">
            <v>#REF!</v>
          </cell>
          <cell r="BS13">
            <v>16</v>
          </cell>
        </row>
        <row r="14">
          <cell r="E14" t="str">
            <v>MOHELA BEGEM</v>
          </cell>
          <cell r="F14">
            <v>19</v>
          </cell>
          <cell r="G14">
            <v>20</v>
          </cell>
          <cell r="H14">
            <v>55</v>
          </cell>
          <cell r="I14">
            <v>94</v>
          </cell>
          <cell r="J14">
            <v>9</v>
          </cell>
          <cell r="K14">
            <v>10</v>
          </cell>
          <cell r="L14">
            <v>29</v>
          </cell>
          <cell r="M14">
            <v>48</v>
          </cell>
          <cell r="N14">
            <v>142</v>
          </cell>
          <cell r="O14">
            <v>0</v>
          </cell>
          <cell r="P14">
            <v>5</v>
          </cell>
          <cell r="Q14">
            <v>18</v>
          </cell>
          <cell r="R14">
            <v>20</v>
          </cell>
          <cell r="S14">
            <v>41</v>
          </cell>
          <cell r="T14">
            <v>79</v>
          </cell>
          <cell r="U14">
            <v>9</v>
          </cell>
          <cell r="V14">
            <v>10</v>
          </cell>
          <cell r="W14">
            <v>44</v>
          </cell>
          <cell r="X14">
            <v>22</v>
          </cell>
          <cell r="Y14">
            <v>41</v>
          </cell>
          <cell r="Z14">
            <v>120</v>
          </cell>
          <cell r="AA14">
            <v>0</v>
          </cell>
          <cell r="AB14">
            <v>5</v>
          </cell>
          <cell r="AC14">
            <v>16</v>
          </cell>
          <cell r="AD14">
            <v>20</v>
          </cell>
          <cell r="AE14">
            <v>57</v>
          </cell>
          <cell r="AF14">
            <v>93</v>
          </cell>
          <cell r="AG14">
            <v>0</v>
          </cell>
          <cell r="AH14">
            <v>5</v>
          </cell>
          <cell r="AI14">
            <v>16</v>
          </cell>
          <cell r="AJ14">
            <v>20</v>
          </cell>
          <cell r="AK14">
            <v>46</v>
          </cell>
          <cell r="AL14">
            <v>82</v>
          </cell>
          <cell r="AM14">
            <v>0</v>
          </cell>
          <cell r="AN14">
            <v>5</v>
          </cell>
          <cell r="AO14">
            <v>20</v>
          </cell>
          <cell r="AP14">
            <v>20</v>
          </cell>
          <cell r="AQ14">
            <v>50</v>
          </cell>
          <cell r="AR14">
            <v>90</v>
          </cell>
          <cell r="AS14">
            <v>0</v>
          </cell>
          <cell r="AT14">
            <v>5</v>
          </cell>
          <cell r="AU14">
            <v>18</v>
          </cell>
          <cell r="AV14">
            <v>20</v>
          </cell>
          <cell r="AW14">
            <v>56</v>
          </cell>
          <cell r="AX14">
            <v>94</v>
          </cell>
          <cell r="AY14">
            <v>0</v>
          </cell>
          <cell r="AZ14">
            <v>5</v>
          </cell>
          <cell r="BA14">
            <v>10</v>
          </cell>
          <cell r="BB14">
            <v>10</v>
          </cell>
          <cell r="BC14">
            <v>43</v>
          </cell>
          <cell r="BD14">
            <v>25.8</v>
          </cell>
          <cell r="BE14">
            <v>45.8</v>
          </cell>
          <cell r="BF14">
            <v>0</v>
          </cell>
          <cell r="BG14">
            <v>5</v>
          </cell>
          <cell r="BH14">
            <v>35</v>
          </cell>
          <cell r="BI14">
            <v>5</v>
          </cell>
          <cell r="BJ14" t="str">
            <v>BEST</v>
          </cell>
          <cell r="BK14">
            <v>666.8</v>
          </cell>
          <cell r="BL14">
            <v>43</v>
          </cell>
          <cell r="BM14">
            <v>62</v>
          </cell>
          <cell r="BN14">
            <v>569</v>
          </cell>
          <cell r="BO14">
            <v>678.2</v>
          </cell>
          <cell r="BP14">
            <v>666.8</v>
          </cell>
          <cell r="BQ14">
            <v>638</v>
          </cell>
          <cell r="BR14" t="e">
            <v>#REF!</v>
          </cell>
          <cell r="BS14">
            <v>29</v>
          </cell>
        </row>
        <row r="15">
          <cell r="E15" t="str">
            <v>REKHA BEGUIM</v>
          </cell>
          <cell r="F15">
            <v>20</v>
          </cell>
          <cell r="G15">
            <v>20</v>
          </cell>
          <cell r="H15">
            <v>59</v>
          </cell>
          <cell r="I15">
            <v>99</v>
          </cell>
          <cell r="J15">
            <v>9</v>
          </cell>
          <cell r="K15">
            <v>10</v>
          </cell>
          <cell r="L15">
            <v>29</v>
          </cell>
          <cell r="M15">
            <v>48</v>
          </cell>
          <cell r="N15">
            <v>147</v>
          </cell>
          <cell r="O15">
            <v>0</v>
          </cell>
          <cell r="P15">
            <v>5</v>
          </cell>
          <cell r="Q15">
            <v>20</v>
          </cell>
          <cell r="R15">
            <v>20</v>
          </cell>
          <cell r="S15">
            <v>54</v>
          </cell>
          <cell r="T15">
            <v>94</v>
          </cell>
          <cell r="U15">
            <v>9</v>
          </cell>
          <cell r="V15">
            <v>10</v>
          </cell>
          <cell r="W15">
            <v>48</v>
          </cell>
          <cell r="X15">
            <v>24</v>
          </cell>
          <cell r="Y15">
            <v>43</v>
          </cell>
          <cell r="Z15">
            <v>137</v>
          </cell>
          <cell r="AA15">
            <v>0</v>
          </cell>
          <cell r="AB15">
            <v>5</v>
          </cell>
          <cell r="AC15">
            <v>19</v>
          </cell>
          <cell r="AD15">
            <v>20</v>
          </cell>
          <cell r="AE15">
            <v>58</v>
          </cell>
          <cell r="AF15">
            <v>97</v>
          </cell>
          <cell r="AG15">
            <v>0</v>
          </cell>
          <cell r="AH15">
            <v>5</v>
          </cell>
          <cell r="AI15">
            <v>16</v>
          </cell>
          <cell r="AJ15">
            <v>20</v>
          </cell>
          <cell r="AK15">
            <v>54</v>
          </cell>
          <cell r="AL15">
            <v>90</v>
          </cell>
          <cell r="AM15">
            <v>0</v>
          </cell>
          <cell r="AN15">
            <v>5</v>
          </cell>
          <cell r="AO15">
            <v>20</v>
          </cell>
          <cell r="AP15">
            <v>20</v>
          </cell>
          <cell r="AQ15">
            <v>56</v>
          </cell>
          <cell r="AR15">
            <v>96</v>
          </cell>
          <cell r="AS15">
            <v>0</v>
          </cell>
          <cell r="AT15">
            <v>5</v>
          </cell>
          <cell r="AU15">
            <v>18</v>
          </cell>
          <cell r="AV15">
            <v>20</v>
          </cell>
          <cell r="AW15">
            <v>57</v>
          </cell>
          <cell r="AX15">
            <v>95</v>
          </cell>
          <cell r="AY15">
            <v>0</v>
          </cell>
          <cell r="AZ15">
            <v>5</v>
          </cell>
          <cell r="BA15">
            <v>10</v>
          </cell>
          <cell r="BB15">
            <v>10</v>
          </cell>
          <cell r="BC15">
            <v>48</v>
          </cell>
          <cell r="BD15">
            <v>28.799999999999997</v>
          </cell>
          <cell r="BE15">
            <v>48.8</v>
          </cell>
          <cell r="BF15">
            <v>0</v>
          </cell>
          <cell r="BG15">
            <v>5</v>
          </cell>
          <cell r="BH15">
            <v>35</v>
          </cell>
          <cell r="BI15">
            <v>5</v>
          </cell>
          <cell r="BJ15" t="str">
            <v>BEST</v>
          </cell>
          <cell r="BK15">
            <v>710.8</v>
          </cell>
          <cell r="BL15">
            <v>12</v>
          </cell>
          <cell r="BM15">
            <v>59</v>
          </cell>
          <cell r="BN15">
            <v>622</v>
          </cell>
          <cell r="BO15">
            <v>712.8</v>
          </cell>
          <cell r="BP15">
            <v>710.8</v>
          </cell>
          <cell r="BQ15">
            <v>681.86666666666667</v>
          </cell>
          <cell r="BR15" t="e">
            <v>#REF!</v>
          </cell>
          <cell r="BS15">
            <v>12</v>
          </cell>
        </row>
        <row r="16">
          <cell r="E16" t="str">
            <v>YESMINN AKTER</v>
          </cell>
          <cell r="F16">
            <v>20</v>
          </cell>
          <cell r="G16">
            <v>20</v>
          </cell>
          <cell r="H16">
            <v>60</v>
          </cell>
          <cell r="I16">
            <v>100</v>
          </cell>
          <cell r="J16">
            <v>10</v>
          </cell>
          <cell r="K16">
            <v>10</v>
          </cell>
          <cell r="L16">
            <v>29</v>
          </cell>
          <cell r="M16">
            <v>49</v>
          </cell>
          <cell r="N16">
            <v>149</v>
          </cell>
          <cell r="O16">
            <v>0</v>
          </cell>
          <cell r="P16">
            <v>5</v>
          </cell>
          <cell r="Q16">
            <v>19</v>
          </cell>
          <cell r="R16">
            <v>19</v>
          </cell>
          <cell r="S16">
            <v>44</v>
          </cell>
          <cell r="T16">
            <v>82</v>
          </cell>
          <cell r="U16">
            <v>9</v>
          </cell>
          <cell r="V16">
            <v>10</v>
          </cell>
          <cell r="W16">
            <v>41</v>
          </cell>
          <cell r="X16">
            <v>20.5</v>
          </cell>
          <cell r="Y16">
            <v>39.5</v>
          </cell>
          <cell r="Z16">
            <v>121.5</v>
          </cell>
          <cell r="AA16">
            <v>0</v>
          </cell>
          <cell r="AB16">
            <v>5</v>
          </cell>
          <cell r="AC16">
            <v>16</v>
          </cell>
          <cell r="AD16">
            <v>20</v>
          </cell>
          <cell r="AE16">
            <v>55</v>
          </cell>
          <cell r="AF16">
            <v>91</v>
          </cell>
          <cell r="AG16">
            <v>0</v>
          </cell>
          <cell r="AH16">
            <v>5</v>
          </cell>
          <cell r="AI16">
            <v>13</v>
          </cell>
          <cell r="AJ16">
            <v>20</v>
          </cell>
          <cell r="AK16">
            <v>53</v>
          </cell>
          <cell r="AL16">
            <v>86</v>
          </cell>
          <cell r="AM16">
            <v>0</v>
          </cell>
          <cell r="AN16">
            <v>5</v>
          </cell>
          <cell r="AO16">
            <v>19</v>
          </cell>
          <cell r="AP16">
            <v>20</v>
          </cell>
          <cell r="AQ16">
            <v>59</v>
          </cell>
          <cell r="AR16">
            <v>98</v>
          </cell>
          <cell r="AS16">
            <v>0</v>
          </cell>
          <cell r="AT16">
            <v>5</v>
          </cell>
          <cell r="AU16">
            <v>17</v>
          </cell>
          <cell r="AV16">
            <v>20</v>
          </cell>
          <cell r="AW16">
            <v>52</v>
          </cell>
          <cell r="AX16">
            <v>89</v>
          </cell>
          <cell r="AY16">
            <v>0</v>
          </cell>
          <cell r="AZ16">
            <v>5</v>
          </cell>
          <cell r="BA16">
            <v>9</v>
          </cell>
          <cell r="BB16">
            <v>10</v>
          </cell>
          <cell r="BC16">
            <v>34</v>
          </cell>
          <cell r="BD16">
            <v>20.399999999999999</v>
          </cell>
          <cell r="BE16">
            <v>39.4</v>
          </cell>
          <cell r="BF16">
            <v>0</v>
          </cell>
          <cell r="BG16">
            <v>4</v>
          </cell>
          <cell r="BH16">
            <v>34</v>
          </cell>
          <cell r="BI16">
            <v>4.8571428571428568</v>
          </cell>
          <cell r="BJ16" t="str">
            <v>BETTER</v>
          </cell>
          <cell r="BK16">
            <v>673.9</v>
          </cell>
          <cell r="BL16">
            <v>29</v>
          </cell>
          <cell r="BM16">
            <v>62</v>
          </cell>
          <cell r="BN16">
            <v>626</v>
          </cell>
          <cell r="BO16">
            <v>681.4</v>
          </cell>
          <cell r="BP16">
            <v>673.9</v>
          </cell>
          <cell r="BQ16">
            <v>660.43333333333339</v>
          </cell>
          <cell r="BR16" t="e">
            <v>#REF!</v>
          </cell>
          <cell r="BS16">
            <v>15</v>
          </cell>
        </row>
        <row r="17">
          <cell r="E17" t="str">
            <v>RUMA YESMIN</v>
          </cell>
          <cell r="F17">
            <v>18</v>
          </cell>
          <cell r="G17">
            <v>20</v>
          </cell>
          <cell r="H17">
            <v>59</v>
          </cell>
          <cell r="I17">
            <v>97</v>
          </cell>
          <cell r="J17">
            <v>8</v>
          </cell>
          <cell r="K17">
            <v>10</v>
          </cell>
          <cell r="L17">
            <v>29</v>
          </cell>
          <cell r="M17">
            <v>47</v>
          </cell>
          <cell r="N17">
            <v>144</v>
          </cell>
          <cell r="O17">
            <v>0</v>
          </cell>
          <cell r="P17">
            <v>5</v>
          </cell>
          <cell r="Q17">
            <v>19</v>
          </cell>
          <cell r="R17">
            <v>20</v>
          </cell>
          <cell r="S17">
            <v>53</v>
          </cell>
          <cell r="T17">
            <v>92</v>
          </cell>
          <cell r="U17">
            <v>10</v>
          </cell>
          <cell r="V17">
            <v>10</v>
          </cell>
          <cell r="W17">
            <v>54</v>
          </cell>
          <cell r="X17">
            <v>27</v>
          </cell>
          <cell r="Y17">
            <v>47</v>
          </cell>
          <cell r="Z17">
            <v>139</v>
          </cell>
          <cell r="AA17">
            <v>0</v>
          </cell>
          <cell r="AB17">
            <v>5</v>
          </cell>
          <cell r="AC17">
            <v>19</v>
          </cell>
          <cell r="AD17">
            <v>20</v>
          </cell>
          <cell r="AE17">
            <v>60</v>
          </cell>
          <cell r="AF17">
            <v>99</v>
          </cell>
          <cell r="AG17">
            <v>0</v>
          </cell>
          <cell r="AH17">
            <v>5</v>
          </cell>
          <cell r="AI17">
            <v>16</v>
          </cell>
          <cell r="AJ17">
            <v>20</v>
          </cell>
          <cell r="AK17">
            <v>32</v>
          </cell>
          <cell r="AL17">
            <v>68</v>
          </cell>
          <cell r="AM17">
            <v>0</v>
          </cell>
          <cell r="AN17">
            <v>3.5</v>
          </cell>
          <cell r="AO17">
            <v>20</v>
          </cell>
          <cell r="AP17">
            <v>20</v>
          </cell>
          <cell r="AQ17">
            <v>58</v>
          </cell>
          <cell r="AR17">
            <v>98</v>
          </cell>
          <cell r="AS17">
            <v>0</v>
          </cell>
          <cell r="AT17">
            <v>5</v>
          </cell>
          <cell r="AU17">
            <v>18</v>
          </cell>
          <cell r="AV17">
            <v>20</v>
          </cell>
          <cell r="AW17">
            <v>51</v>
          </cell>
          <cell r="AX17">
            <v>89</v>
          </cell>
          <cell r="AY17">
            <v>0</v>
          </cell>
          <cell r="AZ17">
            <v>5</v>
          </cell>
          <cell r="BA17">
            <v>10</v>
          </cell>
          <cell r="BB17">
            <v>10</v>
          </cell>
          <cell r="BC17">
            <v>49</v>
          </cell>
          <cell r="BD17">
            <v>29.4</v>
          </cell>
          <cell r="BE17">
            <v>49.4</v>
          </cell>
          <cell r="BF17">
            <v>0</v>
          </cell>
          <cell r="BG17">
            <v>5</v>
          </cell>
          <cell r="BH17">
            <v>33.5</v>
          </cell>
          <cell r="BI17">
            <v>4.7857142857142856</v>
          </cell>
          <cell r="BJ17" t="str">
            <v>BETTER</v>
          </cell>
          <cell r="BK17">
            <v>686.4</v>
          </cell>
          <cell r="BL17">
            <v>50</v>
          </cell>
          <cell r="BM17">
            <v>57</v>
          </cell>
          <cell r="BN17">
            <v>560</v>
          </cell>
          <cell r="BO17">
            <v>667.5</v>
          </cell>
          <cell r="BP17">
            <v>686.4</v>
          </cell>
          <cell r="BQ17">
            <v>637.9666666666667</v>
          </cell>
          <cell r="BR17" t="e">
            <v>#REF!</v>
          </cell>
          <cell r="BS17">
            <v>39</v>
          </cell>
        </row>
        <row r="18">
          <cell r="E18" t="str">
            <v>SUMONA AKTAR</v>
          </cell>
          <cell r="F18">
            <v>19</v>
          </cell>
          <cell r="G18">
            <v>20</v>
          </cell>
          <cell r="H18">
            <v>59</v>
          </cell>
          <cell r="I18">
            <v>98</v>
          </cell>
          <cell r="J18">
            <v>10</v>
          </cell>
          <cell r="K18">
            <v>10</v>
          </cell>
          <cell r="L18">
            <v>30</v>
          </cell>
          <cell r="M18">
            <v>50</v>
          </cell>
          <cell r="N18">
            <v>148</v>
          </cell>
          <cell r="O18">
            <v>0</v>
          </cell>
          <cell r="P18">
            <v>5</v>
          </cell>
          <cell r="Q18">
            <v>15</v>
          </cell>
          <cell r="R18">
            <v>19</v>
          </cell>
          <cell r="S18">
            <v>48</v>
          </cell>
          <cell r="T18">
            <v>82</v>
          </cell>
          <cell r="U18">
            <v>8</v>
          </cell>
          <cell r="V18">
            <v>10</v>
          </cell>
          <cell r="W18">
            <v>40</v>
          </cell>
          <cell r="X18">
            <v>20</v>
          </cell>
          <cell r="Y18">
            <v>38</v>
          </cell>
          <cell r="Z18">
            <v>120</v>
          </cell>
          <cell r="AA18">
            <v>0</v>
          </cell>
          <cell r="AB18">
            <v>5</v>
          </cell>
          <cell r="AC18">
            <v>19</v>
          </cell>
          <cell r="AD18">
            <v>20</v>
          </cell>
          <cell r="AE18">
            <v>59</v>
          </cell>
          <cell r="AF18">
            <v>98</v>
          </cell>
          <cell r="AG18">
            <v>0</v>
          </cell>
          <cell r="AH18">
            <v>5</v>
          </cell>
          <cell r="AI18">
            <v>16</v>
          </cell>
          <cell r="AJ18">
            <v>20</v>
          </cell>
          <cell r="AK18">
            <v>54</v>
          </cell>
          <cell r="AL18">
            <v>90</v>
          </cell>
          <cell r="AM18">
            <v>0</v>
          </cell>
          <cell r="AN18">
            <v>5</v>
          </cell>
          <cell r="AO18">
            <v>19</v>
          </cell>
          <cell r="AP18">
            <v>20</v>
          </cell>
          <cell r="AQ18">
            <v>58</v>
          </cell>
          <cell r="AR18">
            <v>97</v>
          </cell>
          <cell r="AS18">
            <v>0</v>
          </cell>
          <cell r="AT18">
            <v>5</v>
          </cell>
          <cell r="AU18">
            <v>19</v>
          </cell>
          <cell r="AV18">
            <v>20</v>
          </cell>
          <cell r="AW18">
            <v>57</v>
          </cell>
          <cell r="AX18">
            <v>96</v>
          </cell>
          <cell r="AY18">
            <v>0</v>
          </cell>
          <cell r="AZ18">
            <v>5</v>
          </cell>
          <cell r="BA18">
            <v>10</v>
          </cell>
          <cell r="BB18">
            <v>10</v>
          </cell>
          <cell r="BC18">
            <v>48</v>
          </cell>
          <cell r="BD18">
            <v>28.799999999999997</v>
          </cell>
          <cell r="BE18">
            <v>48.8</v>
          </cell>
          <cell r="BF18">
            <v>0</v>
          </cell>
          <cell r="BG18">
            <v>5</v>
          </cell>
          <cell r="BH18">
            <v>35</v>
          </cell>
          <cell r="BI18">
            <v>5</v>
          </cell>
          <cell r="BJ18" t="str">
            <v>BEST</v>
          </cell>
          <cell r="BK18">
            <v>697.8</v>
          </cell>
          <cell r="BL18">
            <v>17</v>
          </cell>
          <cell r="BM18">
            <v>63</v>
          </cell>
          <cell r="BN18">
            <v>596</v>
          </cell>
          <cell r="BO18">
            <v>706.8</v>
          </cell>
          <cell r="BP18">
            <v>697.8</v>
          </cell>
          <cell r="BQ18">
            <v>666.86666666666667</v>
          </cell>
          <cell r="BR18" t="e">
            <v>#REF!</v>
          </cell>
          <cell r="BS18">
            <v>14</v>
          </cell>
        </row>
        <row r="19"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 t="e">
            <v>#REF!</v>
          </cell>
          <cell r="BS19">
            <v>0</v>
          </cell>
        </row>
        <row r="20">
          <cell r="E20" t="str">
            <v>SABIKUN NAHAR</v>
          </cell>
          <cell r="F20">
            <v>20</v>
          </cell>
          <cell r="G20">
            <v>20</v>
          </cell>
          <cell r="H20">
            <v>59</v>
          </cell>
          <cell r="I20">
            <v>99</v>
          </cell>
          <cell r="J20">
            <v>9</v>
          </cell>
          <cell r="K20">
            <v>10</v>
          </cell>
          <cell r="L20">
            <v>28</v>
          </cell>
          <cell r="M20">
            <v>47</v>
          </cell>
          <cell r="N20">
            <v>146</v>
          </cell>
          <cell r="O20">
            <v>0</v>
          </cell>
          <cell r="P20">
            <v>5</v>
          </cell>
          <cell r="Q20">
            <v>20</v>
          </cell>
          <cell r="R20">
            <v>20</v>
          </cell>
          <cell r="S20">
            <v>55</v>
          </cell>
          <cell r="T20">
            <v>95</v>
          </cell>
          <cell r="U20">
            <v>8</v>
          </cell>
          <cell r="V20">
            <v>10</v>
          </cell>
          <cell r="W20">
            <v>46</v>
          </cell>
          <cell r="X20">
            <v>23</v>
          </cell>
          <cell r="Y20">
            <v>41</v>
          </cell>
          <cell r="Z20">
            <v>136</v>
          </cell>
          <cell r="AA20">
            <v>0</v>
          </cell>
          <cell r="AB20">
            <v>5</v>
          </cell>
          <cell r="AC20">
            <v>18</v>
          </cell>
          <cell r="AD20">
            <v>20</v>
          </cell>
          <cell r="AE20">
            <v>60</v>
          </cell>
          <cell r="AF20">
            <v>98</v>
          </cell>
          <cell r="AG20">
            <v>0</v>
          </cell>
          <cell r="AH20">
            <v>5</v>
          </cell>
          <cell r="AI20">
            <v>16</v>
          </cell>
          <cell r="AJ20">
            <v>20</v>
          </cell>
          <cell r="AK20">
            <v>37</v>
          </cell>
          <cell r="AL20">
            <v>73</v>
          </cell>
          <cell r="AM20">
            <v>0</v>
          </cell>
          <cell r="AN20">
            <v>4</v>
          </cell>
          <cell r="AO20">
            <v>20</v>
          </cell>
          <cell r="AP20">
            <v>20</v>
          </cell>
          <cell r="AQ20">
            <v>50</v>
          </cell>
          <cell r="AR20">
            <v>90</v>
          </cell>
          <cell r="AS20">
            <v>0</v>
          </cell>
          <cell r="AT20">
            <v>5</v>
          </cell>
          <cell r="AU20">
            <v>20</v>
          </cell>
          <cell r="AV20">
            <v>20</v>
          </cell>
          <cell r="AW20">
            <v>58</v>
          </cell>
          <cell r="AX20">
            <v>98</v>
          </cell>
          <cell r="AY20">
            <v>0</v>
          </cell>
          <cell r="AZ20">
            <v>5</v>
          </cell>
          <cell r="BA20">
            <v>10</v>
          </cell>
          <cell r="BB20">
            <v>10</v>
          </cell>
          <cell r="BC20">
            <v>45</v>
          </cell>
          <cell r="BD20">
            <v>27</v>
          </cell>
          <cell r="BE20">
            <v>47</v>
          </cell>
          <cell r="BF20">
            <v>0</v>
          </cell>
          <cell r="BG20">
            <v>5</v>
          </cell>
          <cell r="BH20">
            <v>34</v>
          </cell>
          <cell r="BI20">
            <v>4.8571428571428568</v>
          </cell>
          <cell r="BJ20" t="str">
            <v>BETTER</v>
          </cell>
          <cell r="BK20">
            <v>688</v>
          </cell>
          <cell r="BL20">
            <v>53</v>
          </cell>
          <cell r="BM20">
            <v>55</v>
          </cell>
          <cell r="BN20">
            <v>606</v>
          </cell>
          <cell r="BO20">
            <v>653.70000000000005</v>
          </cell>
          <cell r="BP20">
            <v>688</v>
          </cell>
          <cell r="BQ20">
            <v>649.23333333333335</v>
          </cell>
          <cell r="BR20" t="e">
            <v>#REF!</v>
          </cell>
          <cell r="BS20">
            <v>18</v>
          </cell>
        </row>
        <row r="21">
          <cell r="E21" t="str">
            <v>POPY AKTER</v>
          </cell>
          <cell r="F21">
            <v>20</v>
          </cell>
          <cell r="G21">
            <v>20</v>
          </cell>
          <cell r="H21">
            <v>54</v>
          </cell>
          <cell r="I21">
            <v>94</v>
          </cell>
          <cell r="J21">
            <v>10</v>
          </cell>
          <cell r="K21">
            <v>7</v>
          </cell>
          <cell r="L21">
            <v>27</v>
          </cell>
          <cell r="M21">
            <v>44</v>
          </cell>
          <cell r="N21">
            <v>138</v>
          </cell>
          <cell r="O21">
            <v>0</v>
          </cell>
          <cell r="P21">
            <v>5</v>
          </cell>
          <cell r="Q21">
            <v>16</v>
          </cell>
          <cell r="R21">
            <v>19</v>
          </cell>
          <cell r="S21">
            <v>28</v>
          </cell>
          <cell r="T21">
            <v>63</v>
          </cell>
          <cell r="U21">
            <v>8</v>
          </cell>
          <cell r="V21">
            <v>10</v>
          </cell>
          <cell r="W21">
            <v>44</v>
          </cell>
          <cell r="X21">
            <v>22</v>
          </cell>
          <cell r="Y21">
            <v>40</v>
          </cell>
          <cell r="Z21">
            <v>103</v>
          </cell>
          <cell r="AA21">
            <v>0</v>
          </cell>
          <cell r="AB21">
            <v>3.5</v>
          </cell>
          <cell r="AC21">
            <v>16</v>
          </cell>
          <cell r="AD21">
            <v>20</v>
          </cell>
          <cell r="AE21">
            <v>58</v>
          </cell>
          <cell r="AF21">
            <v>94</v>
          </cell>
          <cell r="AG21">
            <v>0</v>
          </cell>
          <cell r="AH21">
            <v>5</v>
          </cell>
          <cell r="AI21">
            <v>16</v>
          </cell>
          <cell r="AJ21">
            <v>20</v>
          </cell>
          <cell r="AK21">
            <v>52</v>
          </cell>
          <cell r="AL21">
            <v>88</v>
          </cell>
          <cell r="AM21">
            <v>0</v>
          </cell>
          <cell r="AN21">
            <v>5</v>
          </cell>
          <cell r="AO21">
            <v>19</v>
          </cell>
          <cell r="AP21">
            <v>20</v>
          </cell>
          <cell r="AQ21">
            <v>57</v>
          </cell>
          <cell r="AR21">
            <v>96</v>
          </cell>
          <cell r="AS21">
            <v>0</v>
          </cell>
          <cell r="AT21">
            <v>5</v>
          </cell>
          <cell r="AU21">
            <v>16</v>
          </cell>
          <cell r="AV21">
            <v>20</v>
          </cell>
          <cell r="AW21">
            <v>50</v>
          </cell>
          <cell r="AX21">
            <v>86</v>
          </cell>
          <cell r="AY21">
            <v>0</v>
          </cell>
          <cell r="AZ21">
            <v>5</v>
          </cell>
          <cell r="BA21">
            <v>10</v>
          </cell>
          <cell r="BB21">
            <v>10</v>
          </cell>
          <cell r="BC21">
            <v>40</v>
          </cell>
          <cell r="BD21">
            <v>24</v>
          </cell>
          <cell r="BE21">
            <v>44</v>
          </cell>
          <cell r="BF21">
            <v>0</v>
          </cell>
          <cell r="BG21">
            <v>5</v>
          </cell>
          <cell r="BH21">
            <v>33.5</v>
          </cell>
          <cell r="BI21">
            <v>4.7857142857142856</v>
          </cell>
          <cell r="BJ21" t="str">
            <v>BETTER</v>
          </cell>
          <cell r="BK21">
            <v>649</v>
          </cell>
          <cell r="BL21">
            <v>20</v>
          </cell>
          <cell r="BM21">
            <v>55</v>
          </cell>
          <cell r="BN21">
            <v>627</v>
          </cell>
          <cell r="BO21">
            <v>699.5</v>
          </cell>
          <cell r="BP21">
            <v>649</v>
          </cell>
          <cell r="BQ21">
            <v>658.5</v>
          </cell>
          <cell r="BR21" t="e">
            <v>#REF!</v>
          </cell>
          <cell r="BS21">
            <v>21</v>
          </cell>
        </row>
        <row r="22">
          <cell r="E22" t="str">
            <v>MAHFUJA KHATUN</v>
          </cell>
          <cell r="F22">
            <v>19</v>
          </cell>
          <cell r="G22">
            <v>20</v>
          </cell>
          <cell r="H22">
            <v>59</v>
          </cell>
          <cell r="I22">
            <v>98</v>
          </cell>
          <cell r="J22">
            <v>10</v>
          </cell>
          <cell r="K22">
            <v>10</v>
          </cell>
          <cell r="L22">
            <v>29</v>
          </cell>
          <cell r="M22">
            <v>49</v>
          </cell>
          <cell r="N22">
            <v>147</v>
          </cell>
          <cell r="O22">
            <v>0</v>
          </cell>
          <cell r="P22">
            <v>5</v>
          </cell>
          <cell r="Q22">
            <v>13</v>
          </cell>
          <cell r="R22">
            <v>19</v>
          </cell>
          <cell r="S22">
            <v>29</v>
          </cell>
          <cell r="T22">
            <v>61</v>
          </cell>
          <cell r="U22">
            <v>8</v>
          </cell>
          <cell r="V22">
            <v>10</v>
          </cell>
          <cell r="W22">
            <v>42</v>
          </cell>
          <cell r="X22">
            <v>21</v>
          </cell>
          <cell r="Y22">
            <v>39</v>
          </cell>
          <cell r="Z22">
            <v>100</v>
          </cell>
          <cell r="AA22">
            <v>0</v>
          </cell>
          <cell r="AB22">
            <v>3.5</v>
          </cell>
          <cell r="AC22">
            <v>14</v>
          </cell>
          <cell r="AD22">
            <v>20</v>
          </cell>
          <cell r="AE22">
            <v>59</v>
          </cell>
          <cell r="AF22">
            <v>93</v>
          </cell>
          <cell r="AG22">
            <v>0</v>
          </cell>
          <cell r="AH22">
            <v>5</v>
          </cell>
          <cell r="AI22">
            <v>15</v>
          </cell>
          <cell r="AJ22">
            <v>20</v>
          </cell>
          <cell r="AK22">
            <v>45</v>
          </cell>
          <cell r="AL22">
            <v>80</v>
          </cell>
          <cell r="AM22">
            <v>0</v>
          </cell>
          <cell r="AN22">
            <v>5</v>
          </cell>
          <cell r="AO22">
            <v>20</v>
          </cell>
          <cell r="AP22">
            <v>20</v>
          </cell>
          <cell r="AQ22">
            <v>50</v>
          </cell>
          <cell r="AR22">
            <v>90</v>
          </cell>
          <cell r="AS22">
            <v>0</v>
          </cell>
          <cell r="AT22">
            <v>5</v>
          </cell>
          <cell r="AU22">
            <v>17</v>
          </cell>
          <cell r="AV22">
            <v>20</v>
          </cell>
          <cell r="AW22">
            <v>57</v>
          </cell>
          <cell r="AX22">
            <v>94</v>
          </cell>
          <cell r="AY22">
            <v>0</v>
          </cell>
          <cell r="AZ22">
            <v>5</v>
          </cell>
          <cell r="BA22">
            <v>9</v>
          </cell>
          <cell r="BB22">
            <v>10</v>
          </cell>
          <cell r="BC22">
            <v>39</v>
          </cell>
          <cell r="BD22">
            <v>23.4</v>
          </cell>
          <cell r="BE22">
            <v>42.4</v>
          </cell>
          <cell r="BF22">
            <v>0</v>
          </cell>
          <cell r="BG22">
            <v>5</v>
          </cell>
          <cell r="BH22">
            <v>33.5</v>
          </cell>
          <cell r="BI22">
            <v>4.7857142857142856</v>
          </cell>
          <cell r="BJ22" t="str">
            <v>BETTER</v>
          </cell>
          <cell r="BK22">
            <v>646.4</v>
          </cell>
          <cell r="BL22">
            <v>40</v>
          </cell>
          <cell r="BM22">
            <v>56</v>
          </cell>
          <cell r="BN22">
            <v>566</v>
          </cell>
          <cell r="BO22">
            <v>681.4</v>
          </cell>
          <cell r="BP22">
            <v>646.4</v>
          </cell>
          <cell r="BQ22">
            <v>631.26666666666677</v>
          </cell>
          <cell r="BR22" t="e">
            <v>#REF!</v>
          </cell>
          <cell r="BS22">
            <v>44</v>
          </cell>
        </row>
        <row r="23">
          <cell r="E23" t="str">
            <v>ALIZA PERVIN</v>
          </cell>
          <cell r="F23">
            <v>20</v>
          </cell>
          <cell r="G23">
            <v>20</v>
          </cell>
          <cell r="H23">
            <v>56</v>
          </cell>
          <cell r="I23">
            <v>96</v>
          </cell>
          <cell r="J23">
            <v>8</v>
          </cell>
          <cell r="K23">
            <v>10</v>
          </cell>
          <cell r="L23">
            <v>30</v>
          </cell>
          <cell r="M23">
            <v>48</v>
          </cell>
          <cell r="N23">
            <v>144</v>
          </cell>
          <cell r="O23">
            <v>0</v>
          </cell>
          <cell r="P23">
            <v>5</v>
          </cell>
          <cell r="Q23">
            <v>18</v>
          </cell>
          <cell r="R23">
            <v>20</v>
          </cell>
          <cell r="S23">
            <v>55</v>
          </cell>
          <cell r="T23">
            <v>93</v>
          </cell>
          <cell r="U23">
            <v>8</v>
          </cell>
          <cell r="V23">
            <v>10</v>
          </cell>
          <cell r="W23">
            <v>43</v>
          </cell>
          <cell r="X23">
            <v>21.5</v>
          </cell>
          <cell r="Y23">
            <v>39.5</v>
          </cell>
          <cell r="Z23">
            <v>132.5</v>
          </cell>
          <cell r="AA23">
            <v>0</v>
          </cell>
          <cell r="AB23">
            <v>5</v>
          </cell>
          <cell r="AC23">
            <v>19</v>
          </cell>
          <cell r="AD23">
            <v>20</v>
          </cell>
          <cell r="AE23">
            <v>59</v>
          </cell>
          <cell r="AF23">
            <v>98</v>
          </cell>
          <cell r="AG23">
            <v>0</v>
          </cell>
          <cell r="AH23">
            <v>5</v>
          </cell>
          <cell r="AI23">
            <v>16</v>
          </cell>
          <cell r="AJ23">
            <v>20</v>
          </cell>
          <cell r="AK23">
            <v>34</v>
          </cell>
          <cell r="AL23">
            <v>70</v>
          </cell>
          <cell r="AM23">
            <v>0</v>
          </cell>
          <cell r="AN23">
            <v>4</v>
          </cell>
          <cell r="AO23">
            <v>19</v>
          </cell>
          <cell r="AP23">
            <v>20</v>
          </cell>
          <cell r="AQ23">
            <v>57</v>
          </cell>
          <cell r="AR23">
            <v>96</v>
          </cell>
          <cell r="AS23">
            <v>0</v>
          </cell>
          <cell r="AT23">
            <v>5</v>
          </cell>
          <cell r="AU23">
            <v>15</v>
          </cell>
          <cell r="AV23">
            <v>20</v>
          </cell>
          <cell r="AW23">
            <v>55</v>
          </cell>
          <cell r="AX23">
            <v>90</v>
          </cell>
          <cell r="AY23">
            <v>0</v>
          </cell>
          <cell r="AZ23">
            <v>5</v>
          </cell>
          <cell r="BA23">
            <v>10</v>
          </cell>
          <cell r="BB23">
            <v>10</v>
          </cell>
          <cell r="BC23">
            <v>46</v>
          </cell>
          <cell r="BD23">
            <v>27.599999999999998</v>
          </cell>
          <cell r="BE23">
            <v>47.599999999999994</v>
          </cell>
          <cell r="BF23">
            <v>0</v>
          </cell>
          <cell r="BG23">
            <v>5</v>
          </cell>
          <cell r="BH23">
            <v>34</v>
          </cell>
          <cell r="BI23">
            <v>4.8571428571428568</v>
          </cell>
          <cell r="BJ23" t="str">
            <v>BETTER</v>
          </cell>
          <cell r="BK23">
            <v>678.1</v>
          </cell>
          <cell r="BL23">
            <v>28</v>
          </cell>
          <cell r="BM23">
            <v>57</v>
          </cell>
          <cell r="BN23">
            <v>597</v>
          </cell>
          <cell r="BO23">
            <v>582</v>
          </cell>
          <cell r="BP23">
            <v>678.1</v>
          </cell>
          <cell r="BQ23">
            <v>619.0333333333333</v>
          </cell>
          <cell r="BR23" t="e">
            <v>#REF!</v>
          </cell>
          <cell r="BS23">
            <v>49</v>
          </cell>
        </row>
        <row r="24">
          <cell r="E24" t="str">
            <v>MOST.SHAMMI AKTER</v>
          </cell>
          <cell r="F24">
            <v>20</v>
          </cell>
          <cell r="G24">
            <v>20</v>
          </cell>
          <cell r="H24">
            <v>59</v>
          </cell>
          <cell r="I24">
            <v>99</v>
          </cell>
          <cell r="J24">
            <v>10</v>
          </cell>
          <cell r="K24">
            <v>10</v>
          </cell>
          <cell r="L24">
            <v>29</v>
          </cell>
          <cell r="M24">
            <v>49</v>
          </cell>
          <cell r="N24">
            <v>148</v>
          </cell>
          <cell r="O24">
            <v>0</v>
          </cell>
          <cell r="P24">
            <v>5</v>
          </cell>
          <cell r="Q24">
            <v>14</v>
          </cell>
          <cell r="R24">
            <v>20</v>
          </cell>
          <cell r="S24">
            <v>51</v>
          </cell>
          <cell r="T24">
            <v>85</v>
          </cell>
          <cell r="U24">
            <v>8</v>
          </cell>
          <cell r="V24">
            <v>10</v>
          </cell>
          <cell r="W24">
            <v>35</v>
          </cell>
          <cell r="X24">
            <v>17.5</v>
          </cell>
          <cell r="Y24">
            <v>35.5</v>
          </cell>
          <cell r="Z24">
            <v>120.5</v>
          </cell>
          <cell r="AA24">
            <v>0</v>
          </cell>
          <cell r="AB24">
            <v>5</v>
          </cell>
          <cell r="AC24">
            <v>19</v>
          </cell>
          <cell r="AD24">
            <v>20</v>
          </cell>
          <cell r="AE24">
            <v>60</v>
          </cell>
          <cell r="AF24">
            <v>99</v>
          </cell>
          <cell r="AG24">
            <v>0</v>
          </cell>
          <cell r="AH24">
            <v>5</v>
          </cell>
          <cell r="AI24">
            <v>19</v>
          </cell>
          <cell r="AJ24">
            <v>20</v>
          </cell>
          <cell r="AK24">
            <v>60</v>
          </cell>
          <cell r="AL24">
            <v>99</v>
          </cell>
          <cell r="AM24">
            <v>0</v>
          </cell>
          <cell r="AN24">
            <v>5</v>
          </cell>
          <cell r="AO24">
            <v>20</v>
          </cell>
          <cell r="AP24">
            <v>20</v>
          </cell>
          <cell r="AQ24">
            <v>60</v>
          </cell>
          <cell r="AR24">
            <v>100</v>
          </cell>
          <cell r="AS24">
            <v>0</v>
          </cell>
          <cell r="AT24">
            <v>5</v>
          </cell>
          <cell r="AU24">
            <v>19</v>
          </cell>
          <cell r="AV24">
            <v>20</v>
          </cell>
          <cell r="AW24">
            <v>59</v>
          </cell>
          <cell r="AX24">
            <v>98</v>
          </cell>
          <cell r="AY24">
            <v>0</v>
          </cell>
          <cell r="AZ24">
            <v>5</v>
          </cell>
          <cell r="BA24">
            <v>8</v>
          </cell>
          <cell r="BB24">
            <v>10</v>
          </cell>
          <cell r="BC24">
            <v>36</v>
          </cell>
          <cell r="BD24">
            <v>21.599999999999998</v>
          </cell>
          <cell r="BE24">
            <v>39.599999999999994</v>
          </cell>
          <cell r="BF24">
            <v>0</v>
          </cell>
          <cell r="BG24">
            <v>4</v>
          </cell>
          <cell r="BH24">
            <v>34</v>
          </cell>
          <cell r="BI24">
            <v>4.8571428571428568</v>
          </cell>
          <cell r="BJ24" t="str">
            <v>BETTER</v>
          </cell>
          <cell r="BK24">
            <v>704.1</v>
          </cell>
          <cell r="BL24">
            <v>41</v>
          </cell>
          <cell r="BM24">
            <v>57</v>
          </cell>
          <cell r="BN24">
            <v>585</v>
          </cell>
          <cell r="BO24">
            <v>679.9</v>
          </cell>
          <cell r="BP24">
            <v>704.1</v>
          </cell>
          <cell r="BQ24">
            <v>656.33333333333337</v>
          </cell>
          <cell r="BR24" t="e">
            <v>#REF!</v>
          </cell>
          <cell r="BS24">
            <v>27</v>
          </cell>
        </row>
        <row r="25">
          <cell r="E25" t="str">
            <v>ISRAT JAHAN MITU</v>
          </cell>
          <cell r="F25">
            <v>20</v>
          </cell>
          <cell r="G25">
            <v>20</v>
          </cell>
          <cell r="H25">
            <v>60</v>
          </cell>
          <cell r="I25">
            <v>100</v>
          </cell>
          <cell r="J25">
            <v>10</v>
          </cell>
          <cell r="K25">
            <v>10</v>
          </cell>
          <cell r="L25">
            <v>29</v>
          </cell>
          <cell r="M25">
            <v>49</v>
          </cell>
          <cell r="N25">
            <v>149</v>
          </cell>
          <cell r="O25">
            <v>0</v>
          </cell>
          <cell r="P25">
            <v>5</v>
          </cell>
          <cell r="Q25">
            <v>20</v>
          </cell>
          <cell r="R25">
            <v>20</v>
          </cell>
          <cell r="S25">
            <v>58</v>
          </cell>
          <cell r="T25">
            <v>98</v>
          </cell>
          <cell r="U25">
            <v>10</v>
          </cell>
          <cell r="V25">
            <v>10</v>
          </cell>
          <cell r="W25">
            <v>54</v>
          </cell>
          <cell r="X25">
            <v>27</v>
          </cell>
          <cell r="Y25">
            <v>47</v>
          </cell>
          <cell r="Z25">
            <v>145</v>
          </cell>
          <cell r="AA25">
            <v>0</v>
          </cell>
          <cell r="AB25">
            <v>5</v>
          </cell>
          <cell r="AC25">
            <v>20</v>
          </cell>
          <cell r="AD25">
            <v>20</v>
          </cell>
          <cell r="AE25">
            <v>60</v>
          </cell>
          <cell r="AF25">
            <v>100</v>
          </cell>
          <cell r="AG25">
            <v>0</v>
          </cell>
          <cell r="AH25">
            <v>5</v>
          </cell>
          <cell r="AI25">
            <v>20</v>
          </cell>
          <cell r="AJ25">
            <v>20</v>
          </cell>
          <cell r="AK25">
            <v>58</v>
          </cell>
          <cell r="AL25">
            <v>98</v>
          </cell>
          <cell r="AM25">
            <v>0</v>
          </cell>
          <cell r="AN25">
            <v>5</v>
          </cell>
          <cell r="AO25">
            <v>20</v>
          </cell>
          <cell r="AP25">
            <v>20</v>
          </cell>
          <cell r="AQ25">
            <v>60</v>
          </cell>
          <cell r="AR25">
            <v>100</v>
          </cell>
          <cell r="AS25">
            <v>0</v>
          </cell>
          <cell r="AT25">
            <v>5</v>
          </cell>
          <cell r="AU25">
            <v>20</v>
          </cell>
          <cell r="AV25">
            <v>20</v>
          </cell>
          <cell r="AW25">
            <v>60</v>
          </cell>
          <cell r="AX25">
            <v>100</v>
          </cell>
          <cell r="AY25">
            <v>0</v>
          </cell>
          <cell r="AZ25">
            <v>5</v>
          </cell>
          <cell r="BA25">
            <v>10</v>
          </cell>
          <cell r="BB25">
            <v>10</v>
          </cell>
          <cell r="BC25">
            <v>48</v>
          </cell>
          <cell r="BD25">
            <v>28.799999999999997</v>
          </cell>
          <cell r="BE25">
            <v>48.8</v>
          </cell>
          <cell r="BF25">
            <v>0</v>
          </cell>
          <cell r="BG25">
            <v>5</v>
          </cell>
          <cell r="BH25">
            <v>35</v>
          </cell>
          <cell r="BI25">
            <v>5</v>
          </cell>
          <cell r="BJ25" t="str">
            <v>BEST</v>
          </cell>
          <cell r="BK25">
            <v>740.8</v>
          </cell>
          <cell r="BL25">
            <v>4</v>
          </cell>
          <cell r="BM25">
            <v>64</v>
          </cell>
          <cell r="BN25">
            <v>679</v>
          </cell>
          <cell r="BO25">
            <v>741</v>
          </cell>
          <cell r="BP25">
            <v>740.8</v>
          </cell>
          <cell r="BQ25">
            <v>720.26666666666677</v>
          </cell>
          <cell r="BR25" t="e">
            <v>#REF!</v>
          </cell>
          <cell r="BS25">
            <v>4</v>
          </cell>
        </row>
        <row r="26">
          <cell r="E26" t="str">
            <v>MOST.SHAMMI AKTER</v>
          </cell>
          <cell r="F26">
            <v>20</v>
          </cell>
          <cell r="G26">
            <v>20</v>
          </cell>
          <cell r="H26">
            <v>60</v>
          </cell>
          <cell r="I26">
            <v>100</v>
          </cell>
          <cell r="J26">
            <v>10</v>
          </cell>
          <cell r="K26">
            <v>10</v>
          </cell>
          <cell r="L26">
            <v>25</v>
          </cell>
          <cell r="M26">
            <v>45</v>
          </cell>
          <cell r="N26">
            <v>145</v>
          </cell>
          <cell r="O26">
            <v>0</v>
          </cell>
          <cell r="P26">
            <v>5</v>
          </cell>
          <cell r="Q26">
            <v>16</v>
          </cell>
          <cell r="R26">
            <v>20</v>
          </cell>
          <cell r="S26">
            <v>47</v>
          </cell>
          <cell r="T26">
            <v>83</v>
          </cell>
          <cell r="U26">
            <v>9</v>
          </cell>
          <cell r="V26">
            <v>10</v>
          </cell>
          <cell r="W26">
            <v>40</v>
          </cell>
          <cell r="X26">
            <v>20</v>
          </cell>
          <cell r="Y26">
            <v>39</v>
          </cell>
          <cell r="Z26">
            <v>122</v>
          </cell>
          <cell r="AA26">
            <v>0</v>
          </cell>
          <cell r="AB26">
            <v>5</v>
          </cell>
          <cell r="AC26">
            <v>18</v>
          </cell>
          <cell r="AD26">
            <v>20</v>
          </cell>
          <cell r="AE26">
            <v>60</v>
          </cell>
          <cell r="AF26">
            <v>98</v>
          </cell>
          <cell r="AG26">
            <v>0</v>
          </cell>
          <cell r="AH26">
            <v>5</v>
          </cell>
          <cell r="AI26">
            <v>11</v>
          </cell>
          <cell r="AJ26">
            <v>20</v>
          </cell>
          <cell r="AK26">
            <v>60</v>
          </cell>
          <cell r="AL26">
            <v>91</v>
          </cell>
          <cell r="AM26">
            <v>0</v>
          </cell>
          <cell r="AN26">
            <v>5</v>
          </cell>
          <cell r="AO26">
            <v>20</v>
          </cell>
          <cell r="AP26">
            <v>20</v>
          </cell>
          <cell r="AQ26">
            <v>60</v>
          </cell>
          <cell r="AR26">
            <v>100</v>
          </cell>
          <cell r="AS26">
            <v>0</v>
          </cell>
          <cell r="AT26">
            <v>5</v>
          </cell>
          <cell r="AU26">
            <v>17</v>
          </cell>
          <cell r="AV26">
            <v>20</v>
          </cell>
          <cell r="AW26">
            <v>57</v>
          </cell>
          <cell r="AX26">
            <v>94</v>
          </cell>
          <cell r="AY26">
            <v>0</v>
          </cell>
          <cell r="AZ26">
            <v>5</v>
          </cell>
          <cell r="BA26">
            <v>10</v>
          </cell>
          <cell r="BB26">
            <v>10</v>
          </cell>
          <cell r="BC26">
            <v>43</v>
          </cell>
          <cell r="BD26">
            <v>25.8</v>
          </cell>
          <cell r="BE26">
            <v>45.8</v>
          </cell>
          <cell r="BF26">
            <v>0</v>
          </cell>
          <cell r="BG26">
            <v>5</v>
          </cell>
          <cell r="BH26">
            <v>35</v>
          </cell>
          <cell r="BI26">
            <v>5</v>
          </cell>
          <cell r="BJ26" t="str">
            <v>BEST</v>
          </cell>
          <cell r="BK26">
            <v>695.8</v>
          </cell>
          <cell r="BL26">
            <v>52</v>
          </cell>
          <cell r="BM26">
            <v>59</v>
          </cell>
          <cell r="BN26">
            <v>590</v>
          </cell>
          <cell r="BO26">
            <v>657.5</v>
          </cell>
          <cell r="BP26">
            <v>700.8</v>
          </cell>
          <cell r="BQ26">
            <v>649.43333333333328</v>
          </cell>
          <cell r="BR26" t="e">
            <v>#REF!</v>
          </cell>
          <cell r="BS26">
            <v>26</v>
          </cell>
        </row>
        <row r="27">
          <cell r="E27" t="str">
            <v>ROZINA AKTER RADIA</v>
          </cell>
          <cell r="F27">
            <v>20</v>
          </cell>
          <cell r="G27">
            <v>20</v>
          </cell>
          <cell r="H27">
            <v>60</v>
          </cell>
          <cell r="I27">
            <v>100</v>
          </cell>
          <cell r="J27">
            <v>8</v>
          </cell>
          <cell r="K27">
            <v>10</v>
          </cell>
          <cell r="L27">
            <v>29</v>
          </cell>
          <cell r="M27">
            <v>47</v>
          </cell>
          <cell r="N27">
            <v>147</v>
          </cell>
          <cell r="O27">
            <v>0</v>
          </cell>
          <cell r="P27">
            <v>5</v>
          </cell>
          <cell r="Q27">
            <v>17</v>
          </cell>
          <cell r="R27">
            <v>20</v>
          </cell>
          <cell r="S27">
            <v>39</v>
          </cell>
          <cell r="T27">
            <v>76</v>
          </cell>
          <cell r="U27">
            <v>8</v>
          </cell>
          <cell r="V27">
            <v>10</v>
          </cell>
          <cell r="W27">
            <v>41</v>
          </cell>
          <cell r="X27">
            <v>20.5</v>
          </cell>
          <cell r="Y27">
            <v>38.5</v>
          </cell>
          <cell r="Z27">
            <v>114.5</v>
          </cell>
          <cell r="AA27">
            <v>0</v>
          </cell>
          <cell r="AB27">
            <v>4</v>
          </cell>
          <cell r="AC27">
            <v>18</v>
          </cell>
          <cell r="AD27">
            <v>20</v>
          </cell>
          <cell r="AE27">
            <v>60</v>
          </cell>
          <cell r="AF27">
            <v>98</v>
          </cell>
          <cell r="AG27">
            <v>0</v>
          </cell>
          <cell r="AH27">
            <v>5</v>
          </cell>
          <cell r="AI27">
            <v>15</v>
          </cell>
          <cell r="AJ27">
            <v>20</v>
          </cell>
          <cell r="AK27">
            <v>50</v>
          </cell>
          <cell r="AL27">
            <v>85</v>
          </cell>
          <cell r="AM27">
            <v>0</v>
          </cell>
          <cell r="AN27">
            <v>5</v>
          </cell>
          <cell r="AO27">
            <v>18</v>
          </cell>
          <cell r="AP27">
            <v>20</v>
          </cell>
          <cell r="AQ27">
            <v>56</v>
          </cell>
          <cell r="AR27">
            <v>94</v>
          </cell>
          <cell r="AS27">
            <v>0</v>
          </cell>
          <cell r="AT27">
            <v>5</v>
          </cell>
          <cell r="AU27">
            <v>18</v>
          </cell>
          <cell r="AV27">
            <v>20</v>
          </cell>
          <cell r="AW27">
            <v>59</v>
          </cell>
          <cell r="AX27">
            <v>97</v>
          </cell>
          <cell r="AY27">
            <v>0</v>
          </cell>
          <cell r="AZ27">
            <v>5</v>
          </cell>
          <cell r="BA27">
            <v>10</v>
          </cell>
          <cell r="BB27">
            <v>10</v>
          </cell>
          <cell r="BC27">
            <v>44</v>
          </cell>
          <cell r="BD27">
            <v>26.4</v>
          </cell>
          <cell r="BE27">
            <v>46.4</v>
          </cell>
          <cell r="BF27">
            <v>0</v>
          </cell>
          <cell r="BG27">
            <v>5</v>
          </cell>
          <cell r="BH27">
            <v>34</v>
          </cell>
          <cell r="BI27">
            <v>4.8571428571428568</v>
          </cell>
          <cell r="BJ27" t="str">
            <v>BETTER</v>
          </cell>
          <cell r="BK27">
            <v>681.9</v>
          </cell>
          <cell r="BL27">
            <v>18</v>
          </cell>
          <cell r="BM27">
            <v>57</v>
          </cell>
          <cell r="BN27">
            <v>618</v>
          </cell>
          <cell r="BO27">
            <v>703.5</v>
          </cell>
          <cell r="BP27">
            <v>681.9</v>
          </cell>
          <cell r="BQ27">
            <v>667.80000000000007</v>
          </cell>
          <cell r="BR27" t="e">
            <v>#REF!</v>
          </cell>
          <cell r="BS27">
            <v>22</v>
          </cell>
        </row>
        <row r="28">
          <cell r="E28" t="str">
            <v>RAHELA AKTER</v>
          </cell>
          <cell r="F28">
            <v>19</v>
          </cell>
          <cell r="G28">
            <v>20</v>
          </cell>
          <cell r="H28">
            <v>60</v>
          </cell>
          <cell r="I28">
            <v>99</v>
          </cell>
          <cell r="J28">
            <v>10</v>
          </cell>
          <cell r="K28">
            <v>10</v>
          </cell>
          <cell r="L28">
            <v>30</v>
          </cell>
          <cell r="M28">
            <v>50</v>
          </cell>
          <cell r="N28">
            <v>149</v>
          </cell>
          <cell r="O28">
            <v>0</v>
          </cell>
          <cell r="P28">
            <v>5</v>
          </cell>
          <cell r="Q28">
            <v>17</v>
          </cell>
          <cell r="R28">
            <v>20</v>
          </cell>
          <cell r="S28">
            <v>50</v>
          </cell>
          <cell r="T28">
            <v>87</v>
          </cell>
          <cell r="U28">
            <v>9</v>
          </cell>
          <cell r="V28">
            <v>10</v>
          </cell>
          <cell r="W28">
            <v>50</v>
          </cell>
          <cell r="X28">
            <v>25</v>
          </cell>
          <cell r="Y28">
            <v>44</v>
          </cell>
          <cell r="Z28">
            <v>131</v>
          </cell>
          <cell r="AA28">
            <v>0</v>
          </cell>
          <cell r="AB28">
            <v>5</v>
          </cell>
          <cell r="AC28">
            <v>18</v>
          </cell>
          <cell r="AD28">
            <v>20</v>
          </cell>
          <cell r="AE28">
            <v>60</v>
          </cell>
          <cell r="AF28">
            <v>98</v>
          </cell>
          <cell r="AG28">
            <v>0</v>
          </cell>
          <cell r="AH28">
            <v>5</v>
          </cell>
          <cell r="AI28">
            <v>19</v>
          </cell>
          <cell r="AJ28">
            <v>20</v>
          </cell>
          <cell r="AK28">
            <v>58</v>
          </cell>
          <cell r="AL28">
            <v>97</v>
          </cell>
          <cell r="AM28">
            <v>0</v>
          </cell>
          <cell r="AN28">
            <v>5</v>
          </cell>
          <cell r="AO28">
            <v>20</v>
          </cell>
          <cell r="AP28">
            <v>20</v>
          </cell>
          <cell r="AQ28">
            <v>59</v>
          </cell>
          <cell r="AR28">
            <v>99</v>
          </cell>
          <cell r="AS28">
            <v>0</v>
          </cell>
          <cell r="AT28">
            <v>5</v>
          </cell>
          <cell r="AU28">
            <v>20</v>
          </cell>
          <cell r="AV28">
            <v>20</v>
          </cell>
          <cell r="AW28">
            <v>60</v>
          </cell>
          <cell r="AX28">
            <v>100</v>
          </cell>
          <cell r="AY28">
            <v>0</v>
          </cell>
          <cell r="AZ28">
            <v>5</v>
          </cell>
          <cell r="BA28">
            <v>8</v>
          </cell>
          <cell r="BB28">
            <v>10</v>
          </cell>
          <cell r="BC28">
            <v>37</v>
          </cell>
          <cell r="BD28">
            <v>22.2</v>
          </cell>
          <cell r="BE28">
            <v>40.200000000000003</v>
          </cell>
          <cell r="BF28">
            <v>0</v>
          </cell>
          <cell r="BG28">
            <v>5</v>
          </cell>
          <cell r="BH28">
            <v>35</v>
          </cell>
          <cell r="BI28">
            <v>5</v>
          </cell>
          <cell r="BJ28" t="str">
            <v>BEST</v>
          </cell>
          <cell r="BK28">
            <v>714.2</v>
          </cell>
          <cell r="BL28">
            <v>37</v>
          </cell>
          <cell r="BM28">
            <v>58</v>
          </cell>
          <cell r="BN28">
            <v>564</v>
          </cell>
          <cell r="BO28">
            <v>691.8</v>
          </cell>
          <cell r="BP28">
            <v>714.2</v>
          </cell>
          <cell r="BQ28">
            <v>656.66666666666663</v>
          </cell>
          <cell r="BR28" t="e">
            <v>#REF!</v>
          </cell>
          <cell r="BS28">
            <v>33</v>
          </cell>
        </row>
        <row r="29">
          <cell r="E29" t="str">
            <v>SUFIA BEGUM</v>
          </cell>
          <cell r="F29">
            <v>20</v>
          </cell>
          <cell r="G29">
            <v>20</v>
          </cell>
          <cell r="H29">
            <v>59</v>
          </cell>
          <cell r="I29">
            <v>99</v>
          </cell>
          <cell r="J29">
            <v>9</v>
          </cell>
          <cell r="K29">
            <v>10</v>
          </cell>
          <cell r="L29">
            <v>29</v>
          </cell>
          <cell r="M29">
            <v>48</v>
          </cell>
          <cell r="N29">
            <v>147</v>
          </cell>
          <cell r="O29">
            <v>0</v>
          </cell>
          <cell r="P29">
            <v>5</v>
          </cell>
          <cell r="Q29">
            <v>18</v>
          </cell>
          <cell r="R29">
            <v>20</v>
          </cell>
          <cell r="S29">
            <v>44</v>
          </cell>
          <cell r="T29">
            <v>82</v>
          </cell>
          <cell r="U29">
            <v>9</v>
          </cell>
          <cell r="V29">
            <v>10</v>
          </cell>
          <cell r="W29">
            <v>45</v>
          </cell>
          <cell r="X29">
            <v>22.5</v>
          </cell>
          <cell r="Y29">
            <v>41.5</v>
          </cell>
          <cell r="Z29">
            <v>123.5</v>
          </cell>
          <cell r="AA29">
            <v>0</v>
          </cell>
          <cell r="AB29">
            <v>5</v>
          </cell>
          <cell r="AC29">
            <v>18</v>
          </cell>
          <cell r="AD29">
            <v>20</v>
          </cell>
          <cell r="AE29">
            <v>60</v>
          </cell>
          <cell r="AF29">
            <v>98</v>
          </cell>
          <cell r="AG29">
            <v>0</v>
          </cell>
          <cell r="AH29">
            <v>5</v>
          </cell>
          <cell r="AI29">
            <v>19</v>
          </cell>
          <cell r="AJ29">
            <v>20</v>
          </cell>
          <cell r="AK29">
            <v>53</v>
          </cell>
          <cell r="AL29">
            <v>92</v>
          </cell>
          <cell r="AM29">
            <v>0</v>
          </cell>
          <cell r="AN29">
            <v>5</v>
          </cell>
          <cell r="AO29">
            <v>20</v>
          </cell>
          <cell r="AP29">
            <v>20</v>
          </cell>
          <cell r="AQ29">
            <v>52</v>
          </cell>
          <cell r="AR29">
            <v>92</v>
          </cell>
          <cell r="AS29">
            <v>0</v>
          </cell>
          <cell r="AT29">
            <v>5</v>
          </cell>
          <cell r="AU29">
            <v>19</v>
          </cell>
          <cell r="AV29">
            <v>20</v>
          </cell>
          <cell r="AW29">
            <v>60</v>
          </cell>
          <cell r="AX29">
            <v>99</v>
          </cell>
          <cell r="AY29">
            <v>0</v>
          </cell>
          <cell r="AZ29">
            <v>5</v>
          </cell>
          <cell r="BA29">
            <v>8</v>
          </cell>
          <cell r="BB29">
            <v>10</v>
          </cell>
          <cell r="BC29">
            <v>36</v>
          </cell>
          <cell r="BD29">
            <v>21.599999999999998</v>
          </cell>
          <cell r="BE29">
            <v>39.599999999999994</v>
          </cell>
          <cell r="BF29">
            <v>0</v>
          </cell>
          <cell r="BG29">
            <v>4</v>
          </cell>
          <cell r="BH29">
            <v>34</v>
          </cell>
          <cell r="BI29">
            <v>4.8571428571428568</v>
          </cell>
          <cell r="BJ29" t="str">
            <v>BETTER</v>
          </cell>
          <cell r="BK29">
            <v>691.1</v>
          </cell>
          <cell r="BL29">
            <v>13</v>
          </cell>
          <cell r="BM29">
            <v>64</v>
          </cell>
          <cell r="BN29">
            <v>633</v>
          </cell>
          <cell r="BO29">
            <v>712.5</v>
          </cell>
          <cell r="BP29">
            <v>691.1</v>
          </cell>
          <cell r="BQ29">
            <v>678.86666666666667</v>
          </cell>
          <cell r="BR29" t="e">
            <v>#REF!</v>
          </cell>
          <cell r="BS29">
            <v>11</v>
          </cell>
        </row>
        <row r="30">
          <cell r="E30" t="str">
            <v>RAJIA SULTANA HERA</v>
          </cell>
          <cell r="F30">
            <v>19</v>
          </cell>
          <cell r="G30">
            <v>20</v>
          </cell>
          <cell r="H30">
            <v>49</v>
          </cell>
          <cell r="I30">
            <v>88</v>
          </cell>
          <cell r="J30">
            <v>8</v>
          </cell>
          <cell r="K30">
            <v>10</v>
          </cell>
          <cell r="L30">
            <v>23</v>
          </cell>
          <cell r="M30">
            <v>41</v>
          </cell>
          <cell r="N30">
            <v>129</v>
          </cell>
          <cell r="O30">
            <v>0</v>
          </cell>
          <cell r="P30">
            <v>5</v>
          </cell>
          <cell r="Q30">
            <v>13</v>
          </cell>
          <cell r="R30">
            <v>20</v>
          </cell>
          <cell r="S30">
            <v>42</v>
          </cell>
          <cell r="T30">
            <v>75</v>
          </cell>
          <cell r="U30">
            <v>9</v>
          </cell>
          <cell r="V30">
            <v>10</v>
          </cell>
          <cell r="W30">
            <v>37</v>
          </cell>
          <cell r="X30">
            <v>18.5</v>
          </cell>
          <cell r="Y30">
            <v>37.5</v>
          </cell>
          <cell r="Z30">
            <v>112.5</v>
          </cell>
          <cell r="AA30">
            <v>0</v>
          </cell>
          <cell r="AB30">
            <v>4</v>
          </cell>
          <cell r="AC30">
            <v>11</v>
          </cell>
          <cell r="AD30">
            <v>20</v>
          </cell>
          <cell r="AE30">
            <v>59</v>
          </cell>
          <cell r="AF30">
            <v>90</v>
          </cell>
          <cell r="AG30">
            <v>0</v>
          </cell>
          <cell r="AH30">
            <v>5</v>
          </cell>
          <cell r="AI30">
            <v>19</v>
          </cell>
          <cell r="AJ30">
            <v>20</v>
          </cell>
          <cell r="AK30">
            <v>47</v>
          </cell>
          <cell r="AL30">
            <v>86</v>
          </cell>
          <cell r="AM30">
            <v>0</v>
          </cell>
          <cell r="AN30">
            <v>5</v>
          </cell>
          <cell r="AO30">
            <v>19</v>
          </cell>
          <cell r="AP30">
            <v>20</v>
          </cell>
          <cell r="AQ30">
            <v>52</v>
          </cell>
          <cell r="AR30">
            <v>91</v>
          </cell>
          <cell r="AS30">
            <v>0</v>
          </cell>
          <cell r="AT30">
            <v>5</v>
          </cell>
          <cell r="AU30">
            <v>20</v>
          </cell>
          <cell r="AV30">
            <v>20</v>
          </cell>
          <cell r="AW30">
            <v>50</v>
          </cell>
          <cell r="AX30">
            <v>90</v>
          </cell>
          <cell r="AY30">
            <v>0</v>
          </cell>
          <cell r="AZ30">
            <v>5</v>
          </cell>
          <cell r="BA30">
            <v>8</v>
          </cell>
          <cell r="BB30">
            <v>10</v>
          </cell>
          <cell r="BC30">
            <v>38</v>
          </cell>
          <cell r="BD30">
            <v>22.8</v>
          </cell>
          <cell r="BE30">
            <v>40.799999999999997</v>
          </cell>
          <cell r="BF30">
            <v>0</v>
          </cell>
          <cell r="BG30">
            <v>5</v>
          </cell>
          <cell r="BH30">
            <v>34</v>
          </cell>
          <cell r="BI30">
            <v>4.8571428571428568</v>
          </cell>
          <cell r="BJ30" t="str">
            <v>BETTER</v>
          </cell>
          <cell r="BK30">
            <v>639.29999999999995</v>
          </cell>
          <cell r="BL30">
            <v>55</v>
          </cell>
          <cell r="BM30">
            <v>56</v>
          </cell>
          <cell r="BN30">
            <v>569</v>
          </cell>
          <cell r="BO30">
            <v>642.70000000000005</v>
          </cell>
          <cell r="BP30">
            <v>639.29999999999995</v>
          </cell>
          <cell r="BQ30">
            <v>617</v>
          </cell>
          <cell r="BR30" t="e">
            <v>#REF!</v>
          </cell>
          <cell r="BS30">
            <v>32</v>
          </cell>
        </row>
        <row r="31">
          <cell r="E31" t="str">
            <v>ISRAT JAHAN ROSY</v>
          </cell>
          <cell r="F31">
            <v>20</v>
          </cell>
          <cell r="G31">
            <v>20</v>
          </cell>
          <cell r="H31">
            <v>60</v>
          </cell>
          <cell r="I31">
            <v>100</v>
          </cell>
          <cell r="J31">
            <v>10</v>
          </cell>
          <cell r="K31">
            <v>10</v>
          </cell>
          <cell r="L31">
            <v>29</v>
          </cell>
          <cell r="M31">
            <v>49</v>
          </cell>
          <cell r="N31">
            <v>149</v>
          </cell>
          <cell r="O31">
            <v>0</v>
          </cell>
          <cell r="P31">
            <v>5</v>
          </cell>
          <cell r="Q31">
            <v>20</v>
          </cell>
          <cell r="R31">
            <v>20</v>
          </cell>
          <cell r="S31">
            <v>58</v>
          </cell>
          <cell r="T31">
            <v>98</v>
          </cell>
          <cell r="U31">
            <v>10</v>
          </cell>
          <cell r="V31">
            <v>10</v>
          </cell>
          <cell r="W31">
            <v>55</v>
          </cell>
          <cell r="X31">
            <v>27.5</v>
          </cell>
          <cell r="Y31">
            <v>47.5</v>
          </cell>
          <cell r="Z31">
            <v>145.5</v>
          </cell>
          <cell r="AA31">
            <v>0</v>
          </cell>
          <cell r="AB31">
            <v>5</v>
          </cell>
          <cell r="AC31">
            <v>20</v>
          </cell>
          <cell r="AD31">
            <v>20</v>
          </cell>
          <cell r="AE31">
            <v>59</v>
          </cell>
          <cell r="AF31">
            <v>99</v>
          </cell>
          <cell r="AG31">
            <v>0</v>
          </cell>
          <cell r="AH31">
            <v>5</v>
          </cell>
          <cell r="AI31">
            <v>20</v>
          </cell>
          <cell r="AJ31">
            <v>20</v>
          </cell>
          <cell r="AK31">
            <v>60</v>
          </cell>
          <cell r="AL31">
            <v>100</v>
          </cell>
          <cell r="AM31">
            <v>0</v>
          </cell>
          <cell r="AN31">
            <v>5</v>
          </cell>
          <cell r="AO31">
            <v>20</v>
          </cell>
          <cell r="AP31">
            <v>20</v>
          </cell>
          <cell r="AQ31">
            <v>60</v>
          </cell>
          <cell r="AR31">
            <v>100</v>
          </cell>
          <cell r="AS31">
            <v>0</v>
          </cell>
          <cell r="AT31">
            <v>5</v>
          </cell>
          <cell r="AU31">
            <v>20</v>
          </cell>
          <cell r="AV31">
            <v>20</v>
          </cell>
          <cell r="AW31">
            <v>60</v>
          </cell>
          <cell r="AX31">
            <v>100</v>
          </cell>
          <cell r="AY31">
            <v>0</v>
          </cell>
          <cell r="AZ31">
            <v>5</v>
          </cell>
          <cell r="BA31">
            <v>10</v>
          </cell>
          <cell r="BB31">
            <v>10</v>
          </cell>
          <cell r="BC31">
            <v>42</v>
          </cell>
          <cell r="BD31">
            <v>25.2</v>
          </cell>
          <cell r="BE31">
            <v>45.2</v>
          </cell>
          <cell r="BF31">
            <v>0</v>
          </cell>
          <cell r="BG31">
            <v>5</v>
          </cell>
          <cell r="BH31">
            <v>35</v>
          </cell>
          <cell r="BI31">
            <v>5</v>
          </cell>
          <cell r="BJ31" t="str">
            <v>BEST</v>
          </cell>
          <cell r="BK31">
            <v>738.7</v>
          </cell>
          <cell r="BL31">
            <v>5</v>
          </cell>
          <cell r="BM31">
            <v>65</v>
          </cell>
          <cell r="BN31">
            <v>699</v>
          </cell>
          <cell r="BO31">
            <v>738.5</v>
          </cell>
          <cell r="BP31">
            <v>738.7</v>
          </cell>
          <cell r="BQ31">
            <v>725.4</v>
          </cell>
          <cell r="BR31" t="e">
            <v>#REF!</v>
          </cell>
          <cell r="BS31">
            <v>2</v>
          </cell>
        </row>
        <row r="32">
          <cell r="E32" t="str">
            <v>KHALEDA PERVIN</v>
          </cell>
          <cell r="F32">
            <v>20</v>
          </cell>
          <cell r="G32">
            <v>20</v>
          </cell>
          <cell r="H32">
            <v>59</v>
          </cell>
          <cell r="I32">
            <v>99</v>
          </cell>
          <cell r="J32">
            <v>10</v>
          </cell>
          <cell r="K32">
            <v>10</v>
          </cell>
          <cell r="L32">
            <v>30</v>
          </cell>
          <cell r="M32">
            <v>50</v>
          </cell>
          <cell r="N32">
            <v>149</v>
          </cell>
          <cell r="O32">
            <v>0</v>
          </cell>
          <cell r="P32">
            <v>5</v>
          </cell>
          <cell r="Q32">
            <v>18</v>
          </cell>
          <cell r="R32">
            <v>19</v>
          </cell>
          <cell r="S32">
            <v>42</v>
          </cell>
          <cell r="T32">
            <v>79</v>
          </cell>
          <cell r="U32">
            <v>10</v>
          </cell>
          <cell r="V32">
            <v>10</v>
          </cell>
          <cell r="W32">
            <v>52</v>
          </cell>
          <cell r="X32">
            <v>26</v>
          </cell>
          <cell r="Y32">
            <v>46</v>
          </cell>
          <cell r="Z32">
            <v>125</v>
          </cell>
          <cell r="AA32">
            <v>0</v>
          </cell>
          <cell r="AB32">
            <v>5</v>
          </cell>
          <cell r="AC32">
            <v>19</v>
          </cell>
          <cell r="AD32">
            <v>20</v>
          </cell>
          <cell r="AE32">
            <v>60</v>
          </cell>
          <cell r="AF32">
            <v>99</v>
          </cell>
          <cell r="AG32">
            <v>0</v>
          </cell>
          <cell r="AH32">
            <v>5</v>
          </cell>
          <cell r="AI32">
            <v>20</v>
          </cell>
          <cell r="AJ32">
            <v>20</v>
          </cell>
          <cell r="AK32">
            <v>60</v>
          </cell>
          <cell r="AL32">
            <v>100</v>
          </cell>
          <cell r="AM32">
            <v>0</v>
          </cell>
          <cell r="AN32">
            <v>5</v>
          </cell>
          <cell r="AO32">
            <v>20</v>
          </cell>
          <cell r="AP32">
            <v>20</v>
          </cell>
          <cell r="AQ32">
            <v>54</v>
          </cell>
          <cell r="AR32">
            <v>94</v>
          </cell>
          <cell r="AS32">
            <v>0</v>
          </cell>
          <cell r="AT32">
            <v>5</v>
          </cell>
          <cell r="AU32">
            <v>20</v>
          </cell>
          <cell r="AV32">
            <v>20</v>
          </cell>
          <cell r="AW32">
            <v>58</v>
          </cell>
          <cell r="AX32">
            <v>98</v>
          </cell>
          <cell r="AY32">
            <v>0</v>
          </cell>
          <cell r="AZ32">
            <v>5</v>
          </cell>
          <cell r="BA32">
            <v>9</v>
          </cell>
          <cell r="BB32">
            <v>10</v>
          </cell>
          <cell r="BC32">
            <v>37</v>
          </cell>
          <cell r="BD32">
            <v>22.2</v>
          </cell>
          <cell r="BE32">
            <v>41.2</v>
          </cell>
          <cell r="BF32">
            <v>0</v>
          </cell>
          <cell r="BG32">
            <v>5</v>
          </cell>
          <cell r="BH32">
            <v>35</v>
          </cell>
          <cell r="BI32">
            <v>5</v>
          </cell>
          <cell r="BJ32" t="str">
            <v>BEST</v>
          </cell>
          <cell r="BK32">
            <v>706.2</v>
          </cell>
          <cell r="BL32">
            <v>11</v>
          </cell>
          <cell r="BM32">
            <v>57</v>
          </cell>
          <cell r="BN32">
            <v>648</v>
          </cell>
          <cell r="BO32">
            <v>715</v>
          </cell>
          <cell r="BP32">
            <v>706.2</v>
          </cell>
          <cell r="BQ32">
            <v>689.73333333333323</v>
          </cell>
          <cell r="BR32" t="e">
            <v>#REF!</v>
          </cell>
          <cell r="BS32">
            <v>8</v>
          </cell>
        </row>
        <row r="33">
          <cell r="E33" t="str">
            <v>ISRAT JAHAN ROSY</v>
          </cell>
          <cell r="F33">
            <v>20</v>
          </cell>
          <cell r="G33">
            <v>20</v>
          </cell>
          <cell r="H33">
            <v>60</v>
          </cell>
          <cell r="I33">
            <v>100</v>
          </cell>
          <cell r="J33">
            <v>10</v>
          </cell>
          <cell r="K33">
            <v>10</v>
          </cell>
          <cell r="L33">
            <v>30</v>
          </cell>
          <cell r="M33">
            <v>50</v>
          </cell>
          <cell r="N33">
            <v>150</v>
          </cell>
          <cell r="O33">
            <v>0</v>
          </cell>
          <cell r="P33">
            <v>5</v>
          </cell>
          <cell r="Q33">
            <v>20</v>
          </cell>
          <cell r="R33">
            <v>20</v>
          </cell>
          <cell r="S33">
            <v>53</v>
          </cell>
          <cell r="T33">
            <v>93</v>
          </cell>
          <cell r="U33">
            <v>10</v>
          </cell>
          <cell r="V33">
            <v>10</v>
          </cell>
          <cell r="W33">
            <v>56</v>
          </cell>
          <cell r="X33">
            <v>28</v>
          </cell>
          <cell r="Y33">
            <v>48</v>
          </cell>
          <cell r="Z33">
            <v>141</v>
          </cell>
          <cell r="AA33">
            <v>0</v>
          </cell>
          <cell r="AB33">
            <v>5</v>
          </cell>
          <cell r="AC33">
            <v>20</v>
          </cell>
          <cell r="AD33">
            <v>20</v>
          </cell>
          <cell r="AE33">
            <v>60</v>
          </cell>
          <cell r="AF33">
            <v>100</v>
          </cell>
          <cell r="AG33">
            <v>0</v>
          </cell>
          <cell r="AH33">
            <v>5</v>
          </cell>
          <cell r="AI33">
            <v>20</v>
          </cell>
          <cell r="AJ33">
            <v>20</v>
          </cell>
          <cell r="AK33">
            <v>60</v>
          </cell>
          <cell r="AL33">
            <v>100</v>
          </cell>
          <cell r="AM33">
            <v>0</v>
          </cell>
          <cell r="AN33">
            <v>5</v>
          </cell>
          <cell r="AO33">
            <v>20</v>
          </cell>
          <cell r="AP33">
            <v>20</v>
          </cell>
          <cell r="AQ33">
            <v>60</v>
          </cell>
          <cell r="AR33">
            <v>100</v>
          </cell>
          <cell r="AS33">
            <v>0</v>
          </cell>
          <cell r="AT33">
            <v>5</v>
          </cell>
          <cell r="AU33">
            <v>20</v>
          </cell>
          <cell r="AV33">
            <v>20</v>
          </cell>
          <cell r="AW33">
            <v>59</v>
          </cell>
          <cell r="AX33">
            <v>99</v>
          </cell>
          <cell r="AY33">
            <v>0</v>
          </cell>
          <cell r="AZ33">
            <v>5</v>
          </cell>
          <cell r="BA33">
            <v>10</v>
          </cell>
          <cell r="BB33">
            <v>10</v>
          </cell>
          <cell r="BC33">
            <v>43</v>
          </cell>
          <cell r="BD33">
            <v>25.8</v>
          </cell>
          <cell r="BE33">
            <v>45.8</v>
          </cell>
          <cell r="BF33">
            <v>0</v>
          </cell>
          <cell r="BG33">
            <v>5</v>
          </cell>
          <cell r="BH33">
            <v>35</v>
          </cell>
          <cell r="BI33">
            <v>5</v>
          </cell>
          <cell r="BJ33" t="str">
            <v>BEST</v>
          </cell>
          <cell r="BK33">
            <v>735.8</v>
          </cell>
          <cell r="BL33">
            <v>3</v>
          </cell>
          <cell r="BM33">
            <v>57</v>
          </cell>
          <cell r="BN33">
            <v>695</v>
          </cell>
          <cell r="BO33">
            <v>741</v>
          </cell>
          <cell r="BP33">
            <v>735.8</v>
          </cell>
          <cell r="BQ33">
            <v>723.93333333333339</v>
          </cell>
          <cell r="BR33" t="e">
            <v>#REF!</v>
          </cell>
          <cell r="BS33">
            <v>3</v>
          </cell>
        </row>
        <row r="34">
          <cell r="E34" t="str">
            <v>ROJINA BEGUM</v>
          </cell>
          <cell r="F34">
            <v>20</v>
          </cell>
          <cell r="G34">
            <v>20</v>
          </cell>
          <cell r="H34">
            <v>60</v>
          </cell>
          <cell r="I34">
            <v>100</v>
          </cell>
          <cell r="J34">
            <v>9</v>
          </cell>
          <cell r="K34">
            <v>7</v>
          </cell>
          <cell r="L34">
            <v>30</v>
          </cell>
          <cell r="M34">
            <v>46</v>
          </cell>
          <cell r="N34">
            <v>146</v>
          </cell>
          <cell r="O34">
            <v>0</v>
          </cell>
          <cell r="P34">
            <v>5</v>
          </cell>
          <cell r="Q34">
            <v>17</v>
          </cell>
          <cell r="R34">
            <v>19</v>
          </cell>
          <cell r="S34">
            <v>28</v>
          </cell>
          <cell r="T34">
            <v>64</v>
          </cell>
          <cell r="U34">
            <v>8</v>
          </cell>
          <cell r="V34">
            <v>10</v>
          </cell>
          <cell r="W34">
            <v>41</v>
          </cell>
          <cell r="X34">
            <v>20.5</v>
          </cell>
          <cell r="Y34">
            <v>38.5</v>
          </cell>
          <cell r="Z34">
            <v>102.5</v>
          </cell>
          <cell r="AA34">
            <v>0</v>
          </cell>
          <cell r="AB34">
            <v>3.5</v>
          </cell>
          <cell r="AC34">
            <v>13</v>
          </cell>
          <cell r="AD34">
            <v>20</v>
          </cell>
          <cell r="AE34">
            <v>59</v>
          </cell>
          <cell r="AF34">
            <v>92</v>
          </cell>
          <cell r="AG34">
            <v>0</v>
          </cell>
          <cell r="AH34">
            <v>5</v>
          </cell>
          <cell r="AI34">
            <v>19</v>
          </cell>
          <cell r="AJ34">
            <v>20</v>
          </cell>
          <cell r="AK34">
            <v>53</v>
          </cell>
          <cell r="AL34">
            <v>92</v>
          </cell>
          <cell r="AM34">
            <v>0</v>
          </cell>
          <cell r="AN34">
            <v>5</v>
          </cell>
          <cell r="AO34">
            <v>15</v>
          </cell>
          <cell r="AP34">
            <v>20</v>
          </cell>
          <cell r="AQ34">
            <v>55</v>
          </cell>
          <cell r="AR34">
            <v>90</v>
          </cell>
          <cell r="AS34">
            <v>0</v>
          </cell>
          <cell r="AT34">
            <v>5</v>
          </cell>
          <cell r="AU34">
            <v>17</v>
          </cell>
          <cell r="AV34">
            <v>20</v>
          </cell>
          <cell r="AW34">
            <v>25</v>
          </cell>
          <cell r="AX34">
            <v>62</v>
          </cell>
          <cell r="AY34">
            <v>0</v>
          </cell>
          <cell r="AZ34">
            <v>3.5</v>
          </cell>
          <cell r="BA34">
            <v>10</v>
          </cell>
          <cell r="BB34">
            <v>10</v>
          </cell>
          <cell r="BC34">
            <v>44</v>
          </cell>
          <cell r="BD34">
            <v>26.4</v>
          </cell>
          <cell r="BE34">
            <v>46.4</v>
          </cell>
          <cell r="BF34">
            <v>0</v>
          </cell>
          <cell r="BG34">
            <v>5</v>
          </cell>
          <cell r="BH34">
            <v>32</v>
          </cell>
          <cell r="BI34">
            <v>4.5714285714285712</v>
          </cell>
          <cell r="BJ34" t="str">
            <v>BETTER</v>
          </cell>
          <cell r="BK34">
            <v>630.9</v>
          </cell>
          <cell r="BL34">
            <v>7</v>
          </cell>
          <cell r="BM34">
            <v>65</v>
          </cell>
          <cell r="BN34">
            <v>632</v>
          </cell>
          <cell r="BO34">
            <v>722</v>
          </cell>
          <cell r="BP34">
            <v>630.9</v>
          </cell>
          <cell r="BQ34">
            <v>661.63333333333333</v>
          </cell>
          <cell r="BR34" t="e">
            <v>#REF!</v>
          </cell>
          <cell r="BS34">
            <v>20</v>
          </cell>
        </row>
        <row r="35">
          <cell r="E35" t="str">
            <v>SHAHIDA HOSSAIN</v>
          </cell>
          <cell r="F35">
            <v>20</v>
          </cell>
          <cell r="G35">
            <v>20</v>
          </cell>
          <cell r="H35">
            <v>54</v>
          </cell>
          <cell r="I35">
            <v>94</v>
          </cell>
          <cell r="J35">
            <v>9</v>
          </cell>
          <cell r="K35">
            <v>10</v>
          </cell>
          <cell r="L35">
            <v>29</v>
          </cell>
          <cell r="M35">
            <v>48</v>
          </cell>
          <cell r="N35">
            <v>142</v>
          </cell>
          <cell r="O35">
            <v>0</v>
          </cell>
          <cell r="P35">
            <v>5</v>
          </cell>
          <cell r="Q35">
            <v>18</v>
          </cell>
          <cell r="R35">
            <v>19</v>
          </cell>
          <cell r="S35">
            <v>41</v>
          </cell>
          <cell r="T35">
            <v>78</v>
          </cell>
          <cell r="U35">
            <v>8</v>
          </cell>
          <cell r="V35">
            <v>10</v>
          </cell>
          <cell r="W35">
            <v>42</v>
          </cell>
          <cell r="X35">
            <v>21</v>
          </cell>
          <cell r="Y35">
            <v>39</v>
          </cell>
          <cell r="Z35">
            <v>117</v>
          </cell>
          <cell r="AA35">
            <v>0</v>
          </cell>
          <cell r="AB35">
            <v>4</v>
          </cell>
          <cell r="AC35">
            <v>15</v>
          </cell>
          <cell r="AD35">
            <v>20</v>
          </cell>
          <cell r="AE35">
            <v>59</v>
          </cell>
          <cell r="AF35">
            <v>94</v>
          </cell>
          <cell r="AG35">
            <v>0</v>
          </cell>
          <cell r="AH35">
            <v>5</v>
          </cell>
          <cell r="AI35">
            <v>13</v>
          </cell>
          <cell r="AJ35">
            <v>20</v>
          </cell>
          <cell r="AK35">
            <v>56</v>
          </cell>
          <cell r="AL35">
            <v>89</v>
          </cell>
          <cell r="AM35">
            <v>0</v>
          </cell>
          <cell r="AN35">
            <v>5</v>
          </cell>
          <cell r="AO35">
            <v>18</v>
          </cell>
          <cell r="AP35">
            <v>20</v>
          </cell>
          <cell r="AQ35">
            <v>0</v>
          </cell>
          <cell r="AR35">
            <v>38</v>
          </cell>
          <cell r="AS35">
            <v>0</v>
          </cell>
          <cell r="AT35" t="str">
            <v>F</v>
          </cell>
          <cell r="AU35">
            <v>16</v>
          </cell>
          <cell r="AV35">
            <v>20</v>
          </cell>
          <cell r="AW35">
            <v>48</v>
          </cell>
          <cell r="AX35">
            <v>84</v>
          </cell>
          <cell r="AY35">
            <v>0</v>
          </cell>
          <cell r="AZ35">
            <v>5</v>
          </cell>
          <cell r="BA35">
            <v>10</v>
          </cell>
          <cell r="BB35">
            <v>10</v>
          </cell>
          <cell r="BC35">
            <v>44</v>
          </cell>
          <cell r="BD35">
            <v>26.4</v>
          </cell>
          <cell r="BE35">
            <v>46.4</v>
          </cell>
          <cell r="BF35">
            <v>0</v>
          </cell>
          <cell r="BG35">
            <v>5</v>
          </cell>
          <cell r="BH35" t="str">
            <v>F</v>
          </cell>
          <cell r="BI35" t="str">
            <v>F</v>
          </cell>
          <cell r="BJ35" t="str">
            <v>NEED TO PROGRESS</v>
          </cell>
          <cell r="BK35">
            <v>610.4</v>
          </cell>
          <cell r="BL35">
            <v>30</v>
          </cell>
          <cell r="BM35">
            <v>62</v>
          </cell>
          <cell r="BN35">
            <v>610</v>
          </cell>
          <cell r="BO35">
            <v>678.4</v>
          </cell>
          <cell r="BP35">
            <v>610.4</v>
          </cell>
          <cell r="BQ35">
            <v>632.93333333333339</v>
          </cell>
          <cell r="BR35" t="e">
            <v>#REF!</v>
          </cell>
          <cell r="BS35">
            <v>42</v>
          </cell>
        </row>
        <row r="36">
          <cell r="E36" t="str">
            <v>RASHIDA AKTER SHANTO</v>
          </cell>
          <cell r="F36">
            <v>19</v>
          </cell>
          <cell r="G36">
            <v>20</v>
          </cell>
          <cell r="H36">
            <v>57</v>
          </cell>
          <cell r="I36">
            <v>96</v>
          </cell>
          <cell r="J36">
            <v>9</v>
          </cell>
          <cell r="K36">
            <v>10</v>
          </cell>
          <cell r="L36">
            <v>29</v>
          </cell>
          <cell r="M36">
            <v>48</v>
          </cell>
          <cell r="N36">
            <v>144</v>
          </cell>
          <cell r="O36">
            <v>0</v>
          </cell>
          <cell r="P36">
            <v>5</v>
          </cell>
          <cell r="Q36">
            <v>17</v>
          </cell>
          <cell r="R36">
            <v>20</v>
          </cell>
          <cell r="S36">
            <v>49</v>
          </cell>
          <cell r="T36">
            <v>86</v>
          </cell>
          <cell r="U36">
            <v>8</v>
          </cell>
          <cell r="V36">
            <v>10</v>
          </cell>
          <cell r="W36">
            <v>43</v>
          </cell>
          <cell r="X36">
            <v>21.5</v>
          </cell>
          <cell r="Y36">
            <v>39.5</v>
          </cell>
          <cell r="Z36">
            <v>125.5</v>
          </cell>
          <cell r="AA36">
            <v>0</v>
          </cell>
          <cell r="AB36">
            <v>5</v>
          </cell>
          <cell r="AC36">
            <v>14</v>
          </cell>
          <cell r="AD36">
            <v>20</v>
          </cell>
          <cell r="AE36">
            <v>45</v>
          </cell>
          <cell r="AF36">
            <v>79</v>
          </cell>
          <cell r="AG36">
            <v>0</v>
          </cell>
          <cell r="AH36">
            <v>4</v>
          </cell>
          <cell r="AI36">
            <v>13</v>
          </cell>
          <cell r="AJ36">
            <v>20</v>
          </cell>
          <cell r="AK36">
            <v>45</v>
          </cell>
          <cell r="AL36">
            <v>78</v>
          </cell>
          <cell r="AM36">
            <v>0</v>
          </cell>
          <cell r="AN36">
            <v>4</v>
          </cell>
          <cell r="AO36">
            <v>19</v>
          </cell>
          <cell r="AP36">
            <v>20</v>
          </cell>
          <cell r="AQ36">
            <v>54</v>
          </cell>
          <cell r="AR36">
            <v>93</v>
          </cell>
          <cell r="AS36">
            <v>0</v>
          </cell>
          <cell r="AT36">
            <v>5</v>
          </cell>
          <cell r="AU36">
            <v>17</v>
          </cell>
          <cell r="AV36">
            <v>20</v>
          </cell>
          <cell r="AW36">
            <v>47</v>
          </cell>
          <cell r="AX36">
            <v>84</v>
          </cell>
          <cell r="AY36">
            <v>0</v>
          </cell>
          <cell r="AZ36">
            <v>5</v>
          </cell>
          <cell r="BA36">
            <v>10</v>
          </cell>
          <cell r="BB36">
            <v>10</v>
          </cell>
          <cell r="BC36">
            <v>39</v>
          </cell>
          <cell r="BD36">
            <v>23.4</v>
          </cell>
          <cell r="BE36">
            <v>43.4</v>
          </cell>
          <cell r="BF36">
            <v>0</v>
          </cell>
          <cell r="BG36">
            <v>5</v>
          </cell>
          <cell r="BH36">
            <v>33</v>
          </cell>
          <cell r="BI36">
            <v>4.7142857142857144</v>
          </cell>
          <cell r="BJ36" t="str">
            <v>BETTER</v>
          </cell>
          <cell r="BK36">
            <v>646.9</v>
          </cell>
          <cell r="BL36">
            <v>47</v>
          </cell>
          <cell r="BM36">
            <v>65</v>
          </cell>
          <cell r="BN36">
            <v>592</v>
          </cell>
          <cell r="BO36">
            <v>672.1</v>
          </cell>
          <cell r="BP36">
            <v>646.9</v>
          </cell>
          <cell r="BQ36">
            <v>637</v>
          </cell>
          <cell r="BR36" t="e">
            <v>#REF!</v>
          </cell>
          <cell r="BS36">
            <v>36</v>
          </cell>
        </row>
        <row r="37">
          <cell r="E37" t="str">
            <v>MAKSUDA BEGUM</v>
          </cell>
          <cell r="F37">
            <v>20</v>
          </cell>
          <cell r="G37">
            <v>20</v>
          </cell>
          <cell r="H37">
            <v>58</v>
          </cell>
          <cell r="I37">
            <v>98</v>
          </cell>
          <cell r="J37">
            <v>9</v>
          </cell>
          <cell r="K37">
            <v>10</v>
          </cell>
          <cell r="L37">
            <v>28</v>
          </cell>
          <cell r="M37">
            <v>47</v>
          </cell>
          <cell r="N37">
            <v>145</v>
          </cell>
          <cell r="O37">
            <v>0</v>
          </cell>
          <cell r="P37">
            <v>5</v>
          </cell>
          <cell r="Q37">
            <v>15</v>
          </cell>
          <cell r="R37">
            <v>20</v>
          </cell>
          <cell r="S37">
            <v>46</v>
          </cell>
          <cell r="T37">
            <v>81</v>
          </cell>
          <cell r="U37">
            <v>8</v>
          </cell>
          <cell r="V37">
            <v>10</v>
          </cell>
          <cell r="W37">
            <v>39</v>
          </cell>
          <cell r="X37">
            <v>19.5</v>
          </cell>
          <cell r="Y37">
            <v>37.5</v>
          </cell>
          <cell r="Z37">
            <v>118.5</v>
          </cell>
          <cell r="AA37">
            <v>0</v>
          </cell>
          <cell r="AB37">
            <v>4</v>
          </cell>
          <cell r="AC37">
            <v>19</v>
          </cell>
          <cell r="AD37">
            <v>20</v>
          </cell>
          <cell r="AE37">
            <v>60</v>
          </cell>
          <cell r="AF37">
            <v>99</v>
          </cell>
          <cell r="AG37">
            <v>0</v>
          </cell>
          <cell r="AH37">
            <v>5</v>
          </cell>
          <cell r="AI37">
            <v>15</v>
          </cell>
          <cell r="AJ37">
            <v>20</v>
          </cell>
          <cell r="AK37">
            <v>48</v>
          </cell>
          <cell r="AL37">
            <v>83</v>
          </cell>
          <cell r="AM37">
            <v>0</v>
          </cell>
          <cell r="AN37">
            <v>5</v>
          </cell>
          <cell r="AO37">
            <v>19</v>
          </cell>
          <cell r="AP37">
            <v>20</v>
          </cell>
          <cell r="AQ37">
            <v>57</v>
          </cell>
          <cell r="AR37">
            <v>96</v>
          </cell>
          <cell r="AS37">
            <v>0</v>
          </cell>
          <cell r="AT37">
            <v>5</v>
          </cell>
          <cell r="AU37">
            <v>20</v>
          </cell>
          <cell r="AV37">
            <v>20</v>
          </cell>
          <cell r="AW37">
            <v>55</v>
          </cell>
          <cell r="AX37">
            <v>95</v>
          </cell>
          <cell r="AY37">
            <v>0</v>
          </cell>
          <cell r="AZ37">
            <v>5</v>
          </cell>
          <cell r="BA37">
            <v>9</v>
          </cell>
          <cell r="BB37">
            <v>10</v>
          </cell>
          <cell r="BC37">
            <v>38</v>
          </cell>
          <cell r="BD37">
            <v>22.8</v>
          </cell>
          <cell r="BE37">
            <v>41.8</v>
          </cell>
          <cell r="BF37">
            <v>0</v>
          </cell>
          <cell r="BG37">
            <v>5</v>
          </cell>
          <cell r="BH37">
            <v>34</v>
          </cell>
          <cell r="BI37">
            <v>4.8571428571428568</v>
          </cell>
          <cell r="BJ37" t="str">
            <v>BETTER</v>
          </cell>
          <cell r="BK37">
            <v>678.3</v>
          </cell>
          <cell r="BL37">
            <v>27</v>
          </cell>
          <cell r="BM37">
            <v>64</v>
          </cell>
          <cell r="BN37">
            <v>546</v>
          </cell>
          <cell r="BO37">
            <v>529</v>
          </cell>
          <cell r="BP37">
            <v>678.3</v>
          </cell>
          <cell r="BQ37">
            <v>584.43333333333328</v>
          </cell>
          <cell r="BR37" t="e">
            <v>#REF!</v>
          </cell>
          <cell r="BS37">
            <v>64</v>
          </cell>
        </row>
        <row r="38">
          <cell r="E38" t="str">
            <v>ROMANA AKTER</v>
          </cell>
          <cell r="F38">
            <v>20</v>
          </cell>
          <cell r="G38">
            <v>20</v>
          </cell>
          <cell r="H38">
            <v>57</v>
          </cell>
          <cell r="I38">
            <v>97</v>
          </cell>
          <cell r="J38">
            <v>10</v>
          </cell>
          <cell r="K38">
            <v>10</v>
          </cell>
          <cell r="L38">
            <v>30</v>
          </cell>
          <cell r="M38">
            <v>50</v>
          </cell>
          <cell r="N38">
            <v>147</v>
          </cell>
          <cell r="O38">
            <v>0</v>
          </cell>
          <cell r="P38">
            <v>5</v>
          </cell>
          <cell r="Q38">
            <v>16</v>
          </cell>
          <cell r="R38">
            <v>20</v>
          </cell>
          <cell r="S38">
            <v>55</v>
          </cell>
          <cell r="T38">
            <v>91</v>
          </cell>
          <cell r="U38">
            <v>10</v>
          </cell>
          <cell r="V38">
            <v>10</v>
          </cell>
          <cell r="W38">
            <v>54</v>
          </cell>
          <cell r="X38">
            <v>27</v>
          </cell>
          <cell r="Y38">
            <v>47</v>
          </cell>
          <cell r="Z38">
            <v>138</v>
          </cell>
          <cell r="AA38">
            <v>0</v>
          </cell>
          <cell r="AB38">
            <v>5</v>
          </cell>
          <cell r="AC38">
            <v>19</v>
          </cell>
          <cell r="AD38">
            <v>20</v>
          </cell>
          <cell r="AE38">
            <v>60</v>
          </cell>
          <cell r="AF38">
            <v>99</v>
          </cell>
          <cell r="AG38">
            <v>0</v>
          </cell>
          <cell r="AH38">
            <v>5</v>
          </cell>
          <cell r="AI38">
            <v>20</v>
          </cell>
          <cell r="AJ38">
            <v>20</v>
          </cell>
          <cell r="AK38">
            <v>58</v>
          </cell>
          <cell r="AL38">
            <v>98</v>
          </cell>
          <cell r="AM38">
            <v>0</v>
          </cell>
          <cell r="AN38">
            <v>5</v>
          </cell>
          <cell r="AO38">
            <v>20</v>
          </cell>
          <cell r="AP38">
            <v>20</v>
          </cell>
          <cell r="AQ38">
            <v>59</v>
          </cell>
          <cell r="AR38">
            <v>99</v>
          </cell>
          <cell r="AS38">
            <v>0</v>
          </cell>
          <cell r="AT38">
            <v>5</v>
          </cell>
          <cell r="AU38">
            <v>19</v>
          </cell>
          <cell r="AV38">
            <v>20</v>
          </cell>
          <cell r="AW38">
            <v>60</v>
          </cell>
          <cell r="AX38">
            <v>99</v>
          </cell>
          <cell r="AY38">
            <v>0</v>
          </cell>
          <cell r="AZ38">
            <v>5</v>
          </cell>
          <cell r="BA38">
            <v>10</v>
          </cell>
          <cell r="BB38">
            <v>10</v>
          </cell>
          <cell r="BC38">
            <v>47</v>
          </cell>
          <cell r="BD38">
            <v>28.2</v>
          </cell>
          <cell r="BE38">
            <v>48.2</v>
          </cell>
          <cell r="BF38">
            <v>0</v>
          </cell>
          <cell r="BG38">
            <v>5</v>
          </cell>
          <cell r="BH38">
            <v>35</v>
          </cell>
          <cell r="BI38">
            <v>5</v>
          </cell>
          <cell r="BJ38" t="str">
            <v>BEST</v>
          </cell>
          <cell r="BK38">
            <v>728.2</v>
          </cell>
          <cell r="BL38">
            <v>9</v>
          </cell>
          <cell r="BM38">
            <v>62</v>
          </cell>
          <cell r="BN38">
            <v>670</v>
          </cell>
          <cell r="BO38">
            <v>721.5</v>
          </cell>
          <cell r="BP38">
            <v>728.2</v>
          </cell>
          <cell r="BQ38">
            <v>706.56666666666661</v>
          </cell>
          <cell r="BR38" t="e">
            <v>#REF!</v>
          </cell>
          <cell r="BS38">
            <v>5</v>
          </cell>
        </row>
        <row r="39">
          <cell r="E39" t="str">
            <v>TASLIMA KHAN</v>
          </cell>
          <cell r="F39">
            <v>20</v>
          </cell>
          <cell r="G39">
            <v>20</v>
          </cell>
          <cell r="H39">
            <v>56</v>
          </cell>
          <cell r="I39">
            <v>96</v>
          </cell>
          <cell r="J39">
            <v>9</v>
          </cell>
          <cell r="K39">
            <v>10</v>
          </cell>
          <cell r="L39">
            <v>26</v>
          </cell>
          <cell r="M39">
            <v>45</v>
          </cell>
          <cell r="N39">
            <v>141</v>
          </cell>
          <cell r="O39">
            <v>0</v>
          </cell>
          <cell r="P39">
            <v>5</v>
          </cell>
          <cell r="Q39">
            <v>16</v>
          </cell>
          <cell r="R39">
            <v>20</v>
          </cell>
          <cell r="S39">
            <v>43</v>
          </cell>
          <cell r="T39">
            <v>79</v>
          </cell>
          <cell r="U39">
            <v>9</v>
          </cell>
          <cell r="V39">
            <v>10</v>
          </cell>
          <cell r="W39">
            <v>38</v>
          </cell>
          <cell r="X39">
            <v>19</v>
          </cell>
          <cell r="Y39">
            <v>38</v>
          </cell>
          <cell r="Z39">
            <v>117</v>
          </cell>
          <cell r="AA39">
            <v>0</v>
          </cell>
          <cell r="AB39">
            <v>4</v>
          </cell>
          <cell r="AC39">
            <v>19</v>
          </cell>
          <cell r="AD39">
            <v>20</v>
          </cell>
          <cell r="AE39">
            <v>57</v>
          </cell>
          <cell r="AF39">
            <v>96</v>
          </cell>
          <cell r="AG39">
            <v>0</v>
          </cell>
          <cell r="AH39">
            <v>5</v>
          </cell>
          <cell r="AI39">
            <v>19</v>
          </cell>
          <cell r="AJ39">
            <v>20</v>
          </cell>
          <cell r="AK39">
            <v>51</v>
          </cell>
          <cell r="AL39">
            <v>90</v>
          </cell>
          <cell r="AM39">
            <v>0</v>
          </cell>
          <cell r="AN39">
            <v>5</v>
          </cell>
          <cell r="AO39">
            <v>19</v>
          </cell>
          <cell r="AP39">
            <v>20</v>
          </cell>
          <cell r="AQ39">
            <v>53</v>
          </cell>
          <cell r="AR39">
            <v>92</v>
          </cell>
          <cell r="AS39">
            <v>0</v>
          </cell>
          <cell r="AT39">
            <v>5</v>
          </cell>
          <cell r="AU39">
            <v>18</v>
          </cell>
          <cell r="AV39">
            <v>20</v>
          </cell>
          <cell r="AW39">
            <v>55</v>
          </cell>
          <cell r="AX39">
            <v>93</v>
          </cell>
          <cell r="AY39">
            <v>0</v>
          </cell>
          <cell r="AZ39">
            <v>5</v>
          </cell>
          <cell r="BA39">
            <v>10</v>
          </cell>
          <cell r="BB39">
            <v>10</v>
          </cell>
          <cell r="BC39">
            <v>47</v>
          </cell>
          <cell r="BD39">
            <v>28.2</v>
          </cell>
          <cell r="BE39">
            <v>48.2</v>
          </cell>
          <cell r="BF39">
            <v>0</v>
          </cell>
          <cell r="BG39">
            <v>5</v>
          </cell>
          <cell r="BH39">
            <v>34</v>
          </cell>
          <cell r="BI39">
            <v>4.8571428571428568</v>
          </cell>
          <cell r="BJ39" t="str">
            <v>BETTER</v>
          </cell>
          <cell r="BK39">
            <v>677.2</v>
          </cell>
          <cell r="BL39">
            <v>28</v>
          </cell>
          <cell r="BM39">
            <v>57</v>
          </cell>
          <cell r="BN39">
            <v>555</v>
          </cell>
          <cell r="BO39">
            <v>681.5</v>
          </cell>
          <cell r="BP39">
            <v>677.2</v>
          </cell>
          <cell r="BQ39">
            <v>637.9</v>
          </cell>
          <cell r="BR39" t="e">
            <v>#REF!</v>
          </cell>
          <cell r="BS39">
            <v>31</v>
          </cell>
        </row>
        <row r="40">
          <cell r="E40" t="str">
            <v>JOHORA AKTER</v>
          </cell>
          <cell r="F40">
            <v>20</v>
          </cell>
          <cell r="G40">
            <v>20</v>
          </cell>
          <cell r="H40">
            <v>59</v>
          </cell>
          <cell r="I40">
            <v>99</v>
          </cell>
          <cell r="J40">
            <v>9</v>
          </cell>
          <cell r="K40">
            <v>10</v>
          </cell>
          <cell r="L40">
            <v>30</v>
          </cell>
          <cell r="M40">
            <v>49</v>
          </cell>
          <cell r="N40">
            <v>148</v>
          </cell>
          <cell r="O40">
            <v>0</v>
          </cell>
          <cell r="P40">
            <v>5</v>
          </cell>
          <cell r="Q40">
            <v>17</v>
          </cell>
          <cell r="R40">
            <v>20</v>
          </cell>
          <cell r="S40">
            <v>43</v>
          </cell>
          <cell r="T40">
            <v>80</v>
          </cell>
          <cell r="U40">
            <v>9</v>
          </cell>
          <cell r="V40">
            <v>10</v>
          </cell>
          <cell r="W40">
            <v>44</v>
          </cell>
          <cell r="X40">
            <v>22</v>
          </cell>
          <cell r="Y40">
            <v>41</v>
          </cell>
          <cell r="Z40">
            <v>121</v>
          </cell>
          <cell r="AA40">
            <v>0</v>
          </cell>
          <cell r="AB40">
            <v>5</v>
          </cell>
          <cell r="AC40">
            <v>16</v>
          </cell>
          <cell r="AD40">
            <v>20</v>
          </cell>
          <cell r="AE40">
            <v>60</v>
          </cell>
          <cell r="AF40">
            <v>96</v>
          </cell>
          <cell r="AG40">
            <v>0</v>
          </cell>
          <cell r="AH40">
            <v>5</v>
          </cell>
          <cell r="AI40">
            <v>18</v>
          </cell>
          <cell r="AJ40">
            <v>20</v>
          </cell>
          <cell r="AK40">
            <v>45</v>
          </cell>
          <cell r="AL40">
            <v>83</v>
          </cell>
          <cell r="AM40">
            <v>0</v>
          </cell>
          <cell r="AN40">
            <v>5</v>
          </cell>
          <cell r="AO40">
            <v>19</v>
          </cell>
          <cell r="AP40">
            <v>20</v>
          </cell>
          <cell r="AQ40">
            <v>51</v>
          </cell>
          <cell r="AR40">
            <v>90</v>
          </cell>
          <cell r="AS40">
            <v>0</v>
          </cell>
          <cell r="AT40">
            <v>5</v>
          </cell>
          <cell r="AU40">
            <v>19</v>
          </cell>
          <cell r="AV40">
            <v>20</v>
          </cell>
          <cell r="AW40">
            <v>57</v>
          </cell>
          <cell r="AX40">
            <v>96</v>
          </cell>
          <cell r="AY40">
            <v>0</v>
          </cell>
          <cell r="AZ40">
            <v>5</v>
          </cell>
          <cell r="BA40">
            <v>9</v>
          </cell>
          <cell r="BB40">
            <v>10</v>
          </cell>
          <cell r="BC40">
            <v>39</v>
          </cell>
          <cell r="BD40">
            <v>23.4</v>
          </cell>
          <cell r="BE40">
            <v>42.4</v>
          </cell>
          <cell r="BF40">
            <v>0</v>
          </cell>
          <cell r="BG40">
            <v>5</v>
          </cell>
          <cell r="BH40">
            <v>35</v>
          </cell>
          <cell r="BI40">
            <v>5</v>
          </cell>
          <cell r="BJ40" t="str">
            <v>BEST</v>
          </cell>
          <cell r="BK40">
            <v>676.4</v>
          </cell>
          <cell r="BL40">
            <v>21</v>
          </cell>
          <cell r="BM40">
            <v>57</v>
          </cell>
          <cell r="BN40">
            <v>546</v>
          </cell>
          <cell r="BO40">
            <v>698</v>
          </cell>
          <cell r="BP40">
            <v>676.4</v>
          </cell>
          <cell r="BQ40">
            <v>640.13333333333333</v>
          </cell>
          <cell r="BR40" t="e">
            <v>#REF!</v>
          </cell>
          <cell r="BS40">
            <v>38</v>
          </cell>
        </row>
        <row r="41">
          <cell r="E41" t="str">
            <v>SHEOULI AKTER JHARNA</v>
          </cell>
          <cell r="F41">
            <v>20</v>
          </cell>
          <cell r="G41">
            <v>20</v>
          </cell>
          <cell r="H41">
            <v>57</v>
          </cell>
          <cell r="I41">
            <v>97</v>
          </cell>
          <cell r="J41">
            <v>10</v>
          </cell>
          <cell r="K41">
            <v>10</v>
          </cell>
          <cell r="L41">
            <v>30</v>
          </cell>
          <cell r="M41">
            <v>50</v>
          </cell>
          <cell r="N41">
            <v>147</v>
          </cell>
          <cell r="O41">
            <v>0</v>
          </cell>
          <cell r="P41">
            <v>5</v>
          </cell>
          <cell r="Q41">
            <v>11</v>
          </cell>
          <cell r="R41">
            <v>19</v>
          </cell>
          <cell r="S41">
            <v>52</v>
          </cell>
          <cell r="T41">
            <v>82</v>
          </cell>
          <cell r="U41">
            <v>8</v>
          </cell>
          <cell r="V41">
            <v>10</v>
          </cell>
          <cell r="W41">
            <v>41</v>
          </cell>
          <cell r="X41">
            <v>20.5</v>
          </cell>
          <cell r="Y41">
            <v>38.5</v>
          </cell>
          <cell r="Z41">
            <v>120.5</v>
          </cell>
          <cell r="AA41">
            <v>0</v>
          </cell>
          <cell r="AB41">
            <v>5</v>
          </cell>
          <cell r="AC41">
            <v>16</v>
          </cell>
          <cell r="AD41">
            <v>20</v>
          </cell>
          <cell r="AE41">
            <v>60</v>
          </cell>
          <cell r="AF41">
            <v>96</v>
          </cell>
          <cell r="AG41">
            <v>0</v>
          </cell>
          <cell r="AH41">
            <v>5</v>
          </cell>
          <cell r="AI41">
            <v>17</v>
          </cell>
          <cell r="AJ41">
            <v>20</v>
          </cell>
          <cell r="AK41">
            <v>57</v>
          </cell>
          <cell r="AL41">
            <v>94</v>
          </cell>
          <cell r="AM41">
            <v>0</v>
          </cell>
          <cell r="AN41">
            <v>5</v>
          </cell>
          <cell r="AO41">
            <v>20</v>
          </cell>
          <cell r="AP41">
            <v>20</v>
          </cell>
          <cell r="AQ41">
            <v>59</v>
          </cell>
          <cell r="AR41">
            <v>99</v>
          </cell>
          <cell r="AS41">
            <v>0</v>
          </cell>
          <cell r="AT41">
            <v>5</v>
          </cell>
          <cell r="AU41">
            <v>20</v>
          </cell>
          <cell r="AV41">
            <v>20</v>
          </cell>
          <cell r="AW41">
            <v>58</v>
          </cell>
          <cell r="AX41">
            <v>98</v>
          </cell>
          <cell r="AY41">
            <v>0</v>
          </cell>
          <cell r="AZ41">
            <v>5</v>
          </cell>
          <cell r="BA41">
            <v>10</v>
          </cell>
          <cell r="BB41">
            <v>10</v>
          </cell>
          <cell r="BC41">
            <v>48</v>
          </cell>
          <cell r="BD41">
            <v>28.799999999999997</v>
          </cell>
          <cell r="BE41">
            <v>48.8</v>
          </cell>
          <cell r="BF41">
            <v>0</v>
          </cell>
          <cell r="BG41">
            <v>5</v>
          </cell>
          <cell r="BH41">
            <v>35</v>
          </cell>
          <cell r="BI41">
            <v>5</v>
          </cell>
          <cell r="BJ41" t="str">
            <v>BEST</v>
          </cell>
          <cell r="BK41">
            <v>703.3</v>
          </cell>
          <cell r="BL41">
            <v>56</v>
          </cell>
          <cell r="BM41">
            <v>56</v>
          </cell>
          <cell r="BN41">
            <v>585</v>
          </cell>
          <cell r="BO41">
            <v>677.5</v>
          </cell>
          <cell r="BP41">
            <v>703.3</v>
          </cell>
          <cell r="BQ41">
            <v>655.26666666666665</v>
          </cell>
          <cell r="BR41" t="e">
            <v>#REF!</v>
          </cell>
          <cell r="BS41">
            <v>28</v>
          </cell>
        </row>
        <row r="42">
          <cell r="E42" t="str">
            <v>HUSNARRA AKTER RITA</v>
          </cell>
          <cell r="F42">
            <v>20</v>
          </cell>
          <cell r="G42">
            <v>20</v>
          </cell>
          <cell r="H42">
            <v>59</v>
          </cell>
          <cell r="I42">
            <v>99</v>
          </cell>
          <cell r="J42">
            <v>0</v>
          </cell>
          <cell r="K42">
            <v>7</v>
          </cell>
          <cell r="L42">
            <v>30</v>
          </cell>
          <cell r="M42">
            <v>37</v>
          </cell>
          <cell r="N42">
            <v>136</v>
          </cell>
          <cell r="O42">
            <v>0</v>
          </cell>
          <cell r="P42">
            <v>5</v>
          </cell>
          <cell r="Q42">
            <v>16</v>
          </cell>
          <cell r="R42">
            <v>20</v>
          </cell>
          <cell r="S42">
            <v>53</v>
          </cell>
          <cell r="T42">
            <v>89</v>
          </cell>
          <cell r="U42">
            <v>8</v>
          </cell>
          <cell r="V42">
            <v>10</v>
          </cell>
          <cell r="W42">
            <v>51</v>
          </cell>
          <cell r="X42">
            <v>25.5</v>
          </cell>
          <cell r="Y42">
            <v>43.5</v>
          </cell>
          <cell r="Z42">
            <v>132.5</v>
          </cell>
          <cell r="AA42">
            <v>0</v>
          </cell>
          <cell r="AB42">
            <v>5</v>
          </cell>
          <cell r="AC42">
            <v>11</v>
          </cell>
          <cell r="AD42">
            <v>20</v>
          </cell>
          <cell r="AE42">
            <v>57</v>
          </cell>
          <cell r="AF42">
            <v>88</v>
          </cell>
          <cell r="AG42">
            <v>0</v>
          </cell>
          <cell r="AH42">
            <v>5</v>
          </cell>
          <cell r="AI42">
            <v>15</v>
          </cell>
          <cell r="AJ42">
            <v>20</v>
          </cell>
          <cell r="AK42">
            <v>47</v>
          </cell>
          <cell r="AL42">
            <v>82</v>
          </cell>
          <cell r="AM42">
            <v>0</v>
          </cell>
          <cell r="AN42">
            <v>5</v>
          </cell>
          <cell r="AO42">
            <v>20</v>
          </cell>
          <cell r="AP42">
            <v>20</v>
          </cell>
          <cell r="AQ42">
            <v>56</v>
          </cell>
          <cell r="AR42">
            <v>96</v>
          </cell>
          <cell r="AS42">
            <v>0</v>
          </cell>
          <cell r="AT42">
            <v>5</v>
          </cell>
          <cell r="AU42">
            <v>18</v>
          </cell>
          <cell r="AV42">
            <v>20</v>
          </cell>
          <cell r="AW42">
            <v>54</v>
          </cell>
          <cell r="AX42">
            <v>92</v>
          </cell>
          <cell r="AY42">
            <v>0</v>
          </cell>
          <cell r="AZ42">
            <v>5</v>
          </cell>
          <cell r="BA42">
            <v>10</v>
          </cell>
          <cell r="BB42">
            <v>10</v>
          </cell>
          <cell r="BC42">
            <v>42</v>
          </cell>
          <cell r="BD42">
            <v>25.2</v>
          </cell>
          <cell r="BE42">
            <v>45.2</v>
          </cell>
          <cell r="BF42">
            <v>0</v>
          </cell>
          <cell r="BG42">
            <v>5</v>
          </cell>
          <cell r="BH42">
            <v>35</v>
          </cell>
          <cell r="BI42">
            <v>5</v>
          </cell>
          <cell r="BJ42" t="str">
            <v>BEST</v>
          </cell>
          <cell r="BK42">
            <v>671.7</v>
          </cell>
          <cell r="BL42">
            <v>31</v>
          </cell>
          <cell r="BM42">
            <v>57</v>
          </cell>
          <cell r="BN42">
            <v>557</v>
          </cell>
          <cell r="BO42">
            <v>677.5</v>
          </cell>
          <cell r="BP42">
            <v>671.7</v>
          </cell>
          <cell r="BQ42">
            <v>635.4</v>
          </cell>
          <cell r="BR42" t="e">
            <v>#REF!</v>
          </cell>
          <cell r="BS42">
            <v>30</v>
          </cell>
        </row>
        <row r="43">
          <cell r="E43" t="str">
            <v>RUMA BEGUM</v>
          </cell>
          <cell r="F43">
            <v>20</v>
          </cell>
          <cell r="G43">
            <v>20</v>
          </cell>
          <cell r="H43">
            <v>58</v>
          </cell>
          <cell r="I43">
            <v>98</v>
          </cell>
          <cell r="J43">
            <v>10</v>
          </cell>
          <cell r="K43">
            <v>10</v>
          </cell>
          <cell r="L43">
            <v>28</v>
          </cell>
          <cell r="M43">
            <v>48</v>
          </cell>
          <cell r="N43">
            <v>146</v>
          </cell>
          <cell r="O43">
            <v>0</v>
          </cell>
          <cell r="P43">
            <v>5</v>
          </cell>
          <cell r="Q43">
            <v>18</v>
          </cell>
          <cell r="R43">
            <v>20</v>
          </cell>
          <cell r="S43">
            <v>49</v>
          </cell>
          <cell r="T43">
            <v>87</v>
          </cell>
          <cell r="U43">
            <v>9</v>
          </cell>
          <cell r="V43">
            <v>10</v>
          </cell>
          <cell r="W43">
            <v>42</v>
          </cell>
          <cell r="X43">
            <v>21</v>
          </cell>
          <cell r="Y43">
            <v>40</v>
          </cell>
          <cell r="Z43">
            <v>127</v>
          </cell>
          <cell r="AA43">
            <v>0</v>
          </cell>
          <cell r="AB43">
            <v>5</v>
          </cell>
          <cell r="AC43">
            <v>16</v>
          </cell>
          <cell r="AD43">
            <v>20</v>
          </cell>
          <cell r="AE43">
            <v>60</v>
          </cell>
          <cell r="AF43">
            <v>96</v>
          </cell>
          <cell r="AG43">
            <v>0</v>
          </cell>
          <cell r="AH43">
            <v>5</v>
          </cell>
          <cell r="AI43">
            <v>15</v>
          </cell>
          <cell r="AJ43">
            <v>20</v>
          </cell>
          <cell r="AK43">
            <v>47</v>
          </cell>
          <cell r="AL43">
            <v>82</v>
          </cell>
          <cell r="AM43">
            <v>0</v>
          </cell>
          <cell r="AN43">
            <v>5</v>
          </cell>
          <cell r="AO43">
            <v>16</v>
          </cell>
          <cell r="AP43">
            <v>20</v>
          </cell>
          <cell r="AQ43">
            <v>54</v>
          </cell>
          <cell r="AR43">
            <v>90</v>
          </cell>
          <cell r="AS43">
            <v>0</v>
          </cell>
          <cell r="AT43">
            <v>5</v>
          </cell>
          <cell r="AU43">
            <v>18</v>
          </cell>
          <cell r="AV43">
            <v>20</v>
          </cell>
          <cell r="AW43">
            <v>51</v>
          </cell>
          <cell r="AX43">
            <v>89</v>
          </cell>
          <cell r="AY43">
            <v>0</v>
          </cell>
          <cell r="AZ43">
            <v>5</v>
          </cell>
          <cell r="BA43">
            <v>10</v>
          </cell>
          <cell r="BB43">
            <v>10</v>
          </cell>
          <cell r="BC43">
            <v>49</v>
          </cell>
          <cell r="BD43">
            <v>29.4</v>
          </cell>
          <cell r="BE43">
            <v>49.4</v>
          </cell>
          <cell r="BF43">
            <v>0</v>
          </cell>
          <cell r="BG43">
            <v>5</v>
          </cell>
          <cell r="BH43">
            <v>35</v>
          </cell>
          <cell r="BI43">
            <v>5</v>
          </cell>
          <cell r="BJ43" t="str">
            <v>BEST</v>
          </cell>
          <cell r="BK43">
            <v>679.4</v>
          </cell>
          <cell r="BL43">
            <v>39</v>
          </cell>
          <cell r="BM43">
            <v>60</v>
          </cell>
          <cell r="BN43">
            <v>584</v>
          </cell>
          <cell r="BO43">
            <v>686.4</v>
          </cell>
          <cell r="BP43">
            <v>679.4</v>
          </cell>
          <cell r="BQ43">
            <v>649.93333333333339</v>
          </cell>
          <cell r="BR43" t="e">
            <v>#REF!</v>
          </cell>
          <cell r="BS43">
            <v>25</v>
          </cell>
        </row>
        <row r="44">
          <cell r="E44" t="str">
            <v>ROJINA AKTHER</v>
          </cell>
          <cell r="F44">
            <v>20</v>
          </cell>
          <cell r="G44">
            <v>20</v>
          </cell>
          <cell r="H44">
            <v>60</v>
          </cell>
          <cell r="I44">
            <v>100</v>
          </cell>
          <cell r="J44">
            <v>10</v>
          </cell>
          <cell r="K44">
            <v>10</v>
          </cell>
          <cell r="L44">
            <v>29</v>
          </cell>
          <cell r="M44">
            <v>49</v>
          </cell>
          <cell r="N44">
            <v>149</v>
          </cell>
          <cell r="O44">
            <v>0</v>
          </cell>
          <cell r="P44">
            <v>5</v>
          </cell>
          <cell r="Q44">
            <v>18</v>
          </cell>
          <cell r="R44">
            <v>20</v>
          </cell>
          <cell r="S44">
            <v>32</v>
          </cell>
          <cell r="T44">
            <v>70</v>
          </cell>
          <cell r="U44">
            <v>8</v>
          </cell>
          <cell r="V44">
            <v>10</v>
          </cell>
          <cell r="W44">
            <v>41</v>
          </cell>
          <cell r="X44">
            <v>20.5</v>
          </cell>
          <cell r="Y44">
            <v>38.5</v>
          </cell>
          <cell r="Z44">
            <v>108.5</v>
          </cell>
          <cell r="AA44">
            <v>0</v>
          </cell>
          <cell r="AB44">
            <v>4</v>
          </cell>
          <cell r="AC44">
            <v>11</v>
          </cell>
          <cell r="AD44">
            <v>20</v>
          </cell>
          <cell r="AE44">
            <v>59</v>
          </cell>
          <cell r="AF44">
            <v>90</v>
          </cell>
          <cell r="AG44">
            <v>0</v>
          </cell>
          <cell r="AH44">
            <v>5</v>
          </cell>
          <cell r="AI44">
            <v>18</v>
          </cell>
          <cell r="AJ44">
            <v>20</v>
          </cell>
          <cell r="AK44">
            <v>56</v>
          </cell>
          <cell r="AL44">
            <v>94</v>
          </cell>
          <cell r="AM44">
            <v>0</v>
          </cell>
          <cell r="AN44">
            <v>5</v>
          </cell>
          <cell r="AO44">
            <v>20</v>
          </cell>
          <cell r="AP44">
            <v>20</v>
          </cell>
          <cell r="AQ44">
            <v>55</v>
          </cell>
          <cell r="AR44">
            <v>95</v>
          </cell>
          <cell r="AS44">
            <v>0</v>
          </cell>
          <cell r="AT44">
            <v>5</v>
          </cell>
          <cell r="AU44">
            <v>20</v>
          </cell>
          <cell r="AV44">
            <v>20</v>
          </cell>
          <cell r="AW44">
            <v>57</v>
          </cell>
          <cell r="AX44">
            <v>97</v>
          </cell>
          <cell r="AY44">
            <v>0</v>
          </cell>
          <cell r="AZ44">
            <v>5</v>
          </cell>
          <cell r="BA44">
            <v>10</v>
          </cell>
          <cell r="BB44">
            <v>10</v>
          </cell>
          <cell r="BC44">
            <v>44</v>
          </cell>
          <cell r="BD44">
            <v>26.4</v>
          </cell>
          <cell r="BE44">
            <v>46.4</v>
          </cell>
          <cell r="BF44">
            <v>0</v>
          </cell>
          <cell r="BG44">
            <v>5</v>
          </cell>
          <cell r="BH44">
            <v>34</v>
          </cell>
          <cell r="BI44">
            <v>4.8571428571428568</v>
          </cell>
          <cell r="BJ44" t="str">
            <v>BETTER</v>
          </cell>
          <cell r="BK44">
            <v>679.9</v>
          </cell>
          <cell r="BL44">
            <v>44</v>
          </cell>
          <cell r="BM44">
            <v>61</v>
          </cell>
          <cell r="BN44">
            <v>595</v>
          </cell>
          <cell r="BO44">
            <v>677.4</v>
          </cell>
          <cell r="BP44">
            <v>679.9</v>
          </cell>
          <cell r="BQ44">
            <v>650.76666666666677</v>
          </cell>
          <cell r="BR44" t="e">
            <v>#REF!</v>
          </cell>
          <cell r="BS44">
            <v>24</v>
          </cell>
        </row>
        <row r="45">
          <cell r="E45" t="str">
            <v>AMINA BEGUM</v>
          </cell>
          <cell r="F45">
            <v>17</v>
          </cell>
          <cell r="G45">
            <v>20</v>
          </cell>
          <cell r="H45">
            <v>51</v>
          </cell>
          <cell r="I45">
            <v>88</v>
          </cell>
          <cell r="J45">
            <v>10</v>
          </cell>
          <cell r="K45">
            <v>7</v>
          </cell>
          <cell r="L45">
            <v>27</v>
          </cell>
          <cell r="M45">
            <v>44</v>
          </cell>
          <cell r="N45">
            <v>132</v>
          </cell>
          <cell r="O45">
            <v>0</v>
          </cell>
          <cell r="P45">
            <v>5</v>
          </cell>
          <cell r="Q45">
            <v>14</v>
          </cell>
          <cell r="R45">
            <v>20</v>
          </cell>
          <cell r="S45">
            <v>39</v>
          </cell>
          <cell r="T45">
            <v>73</v>
          </cell>
          <cell r="U45">
            <v>7</v>
          </cell>
          <cell r="V45">
            <v>10</v>
          </cell>
          <cell r="W45">
            <v>29</v>
          </cell>
          <cell r="X45">
            <v>14.5</v>
          </cell>
          <cell r="Y45">
            <v>31.5</v>
          </cell>
          <cell r="Z45">
            <v>104.5</v>
          </cell>
          <cell r="AA45">
            <v>0</v>
          </cell>
          <cell r="AB45">
            <v>3.5</v>
          </cell>
          <cell r="AC45">
            <v>11</v>
          </cell>
          <cell r="AD45">
            <v>20</v>
          </cell>
          <cell r="AE45">
            <v>40</v>
          </cell>
          <cell r="AF45">
            <v>71</v>
          </cell>
          <cell r="AG45">
            <v>0</v>
          </cell>
          <cell r="AH45">
            <v>4</v>
          </cell>
          <cell r="AI45">
            <v>13</v>
          </cell>
          <cell r="AJ45">
            <v>20</v>
          </cell>
          <cell r="AK45">
            <v>41</v>
          </cell>
          <cell r="AL45">
            <v>74</v>
          </cell>
          <cell r="AM45">
            <v>0</v>
          </cell>
          <cell r="AN45">
            <v>4</v>
          </cell>
          <cell r="AO45">
            <v>19</v>
          </cell>
          <cell r="AP45">
            <v>20</v>
          </cell>
          <cell r="AQ45">
            <v>48</v>
          </cell>
          <cell r="AR45">
            <v>87</v>
          </cell>
          <cell r="AS45">
            <v>0</v>
          </cell>
          <cell r="AT45">
            <v>5</v>
          </cell>
          <cell r="AU45">
            <v>18</v>
          </cell>
          <cell r="AV45">
            <v>20</v>
          </cell>
          <cell r="AW45">
            <v>53</v>
          </cell>
          <cell r="AX45">
            <v>91</v>
          </cell>
          <cell r="AY45">
            <v>0</v>
          </cell>
          <cell r="AZ45">
            <v>5</v>
          </cell>
          <cell r="BA45">
            <v>9</v>
          </cell>
          <cell r="BB45">
            <v>10</v>
          </cell>
          <cell r="BC45">
            <v>35</v>
          </cell>
          <cell r="BD45">
            <v>21</v>
          </cell>
          <cell r="BE45">
            <v>40</v>
          </cell>
          <cell r="BF45">
            <v>0</v>
          </cell>
          <cell r="BG45">
            <v>5</v>
          </cell>
          <cell r="BH45">
            <v>31.5</v>
          </cell>
          <cell r="BI45">
            <v>4.5</v>
          </cell>
          <cell r="BJ45" t="str">
            <v>BETTER</v>
          </cell>
          <cell r="BK45">
            <v>599.5</v>
          </cell>
          <cell r="BL45">
            <v>60</v>
          </cell>
          <cell r="BM45">
            <v>64</v>
          </cell>
          <cell r="BN45">
            <v>580</v>
          </cell>
          <cell r="BO45">
            <v>655.20000000000005</v>
          </cell>
          <cell r="BP45">
            <v>599.5</v>
          </cell>
          <cell r="BQ45">
            <v>611.56666666666672</v>
          </cell>
          <cell r="BR45" t="e">
            <v>#REF!</v>
          </cell>
          <cell r="BS45">
            <v>46</v>
          </cell>
        </row>
        <row r="46">
          <cell r="E46" t="str">
            <v>FERDOUSI AKTER</v>
          </cell>
          <cell r="F46">
            <v>18</v>
          </cell>
          <cell r="G46">
            <v>20</v>
          </cell>
          <cell r="H46">
            <v>56</v>
          </cell>
          <cell r="I46">
            <v>94</v>
          </cell>
          <cell r="J46">
            <v>10</v>
          </cell>
          <cell r="K46">
            <v>10</v>
          </cell>
          <cell r="L46">
            <v>28</v>
          </cell>
          <cell r="M46">
            <v>48</v>
          </cell>
          <cell r="N46">
            <v>142</v>
          </cell>
          <cell r="O46">
            <v>0</v>
          </cell>
          <cell r="P46">
            <v>5</v>
          </cell>
          <cell r="Q46">
            <v>15</v>
          </cell>
          <cell r="R46">
            <v>20</v>
          </cell>
          <cell r="S46">
            <v>50</v>
          </cell>
          <cell r="T46">
            <v>85</v>
          </cell>
          <cell r="U46">
            <v>9</v>
          </cell>
          <cell r="V46">
            <v>10</v>
          </cell>
          <cell r="W46">
            <v>49</v>
          </cell>
          <cell r="X46">
            <v>24.5</v>
          </cell>
          <cell r="Y46">
            <v>43.5</v>
          </cell>
          <cell r="Z46">
            <v>128.5</v>
          </cell>
          <cell r="AA46">
            <v>0</v>
          </cell>
          <cell r="AB46">
            <v>5</v>
          </cell>
          <cell r="AC46">
            <v>15</v>
          </cell>
          <cell r="AD46">
            <v>20</v>
          </cell>
          <cell r="AE46">
            <v>60</v>
          </cell>
          <cell r="AF46">
            <v>95</v>
          </cell>
          <cell r="AG46">
            <v>0</v>
          </cell>
          <cell r="AH46">
            <v>5</v>
          </cell>
          <cell r="AI46">
            <v>18</v>
          </cell>
          <cell r="AJ46">
            <v>20</v>
          </cell>
          <cell r="AK46">
            <v>60</v>
          </cell>
          <cell r="AL46">
            <v>98</v>
          </cell>
          <cell r="AM46">
            <v>0</v>
          </cell>
          <cell r="AN46">
            <v>5</v>
          </cell>
          <cell r="AO46">
            <v>20</v>
          </cell>
          <cell r="AP46">
            <v>20</v>
          </cell>
          <cell r="AQ46">
            <v>59</v>
          </cell>
          <cell r="AR46">
            <v>99</v>
          </cell>
          <cell r="AS46">
            <v>0</v>
          </cell>
          <cell r="AT46">
            <v>5</v>
          </cell>
          <cell r="AU46">
            <v>18</v>
          </cell>
          <cell r="AV46">
            <v>20</v>
          </cell>
          <cell r="AW46">
            <v>58</v>
          </cell>
          <cell r="AX46">
            <v>96</v>
          </cell>
          <cell r="AY46">
            <v>0</v>
          </cell>
          <cell r="AZ46">
            <v>5</v>
          </cell>
          <cell r="BA46">
            <v>10</v>
          </cell>
          <cell r="BB46">
            <v>10</v>
          </cell>
          <cell r="BC46">
            <v>46</v>
          </cell>
          <cell r="BD46">
            <v>27.599999999999998</v>
          </cell>
          <cell r="BE46">
            <v>47.599999999999994</v>
          </cell>
          <cell r="BF46">
            <v>0</v>
          </cell>
          <cell r="BG46">
            <v>5</v>
          </cell>
          <cell r="BH46">
            <v>35</v>
          </cell>
          <cell r="BI46">
            <v>5</v>
          </cell>
          <cell r="BJ46" t="str">
            <v>BEST</v>
          </cell>
          <cell r="BK46">
            <v>706.1</v>
          </cell>
          <cell r="BL46">
            <v>8</v>
          </cell>
          <cell r="BM46">
            <v>55</v>
          </cell>
          <cell r="BN46">
            <v>647</v>
          </cell>
          <cell r="BO46">
            <v>722.3</v>
          </cell>
          <cell r="BP46">
            <v>706.1</v>
          </cell>
          <cell r="BQ46">
            <v>691.80000000000007</v>
          </cell>
          <cell r="BR46" t="e">
            <v>#REF!</v>
          </cell>
          <cell r="BS46">
            <v>7</v>
          </cell>
        </row>
        <row r="47"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BR47" t="e">
            <v>#REF!</v>
          </cell>
          <cell r="BS47">
            <v>0</v>
          </cell>
        </row>
        <row r="48">
          <cell r="E48" t="str">
            <v>SHEULI BEGUM</v>
          </cell>
          <cell r="F48">
            <v>20</v>
          </cell>
          <cell r="G48">
            <v>20</v>
          </cell>
          <cell r="H48">
            <v>60</v>
          </cell>
          <cell r="I48">
            <v>100</v>
          </cell>
          <cell r="J48">
            <v>9</v>
          </cell>
          <cell r="K48">
            <v>8</v>
          </cell>
          <cell r="L48">
            <v>30</v>
          </cell>
          <cell r="M48">
            <v>47</v>
          </cell>
          <cell r="N48">
            <v>147</v>
          </cell>
          <cell r="O48">
            <v>0</v>
          </cell>
          <cell r="P48">
            <v>5</v>
          </cell>
          <cell r="Q48">
            <v>20</v>
          </cell>
          <cell r="R48">
            <v>20</v>
          </cell>
          <cell r="S48">
            <v>57</v>
          </cell>
          <cell r="T48">
            <v>97</v>
          </cell>
          <cell r="U48">
            <v>10</v>
          </cell>
          <cell r="V48">
            <v>10</v>
          </cell>
          <cell r="W48">
            <v>51</v>
          </cell>
          <cell r="X48">
            <v>25.5</v>
          </cell>
          <cell r="Y48">
            <v>45.5</v>
          </cell>
          <cell r="Z48">
            <v>142.5</v>
          </cell>
          <cell r="AA48">
            <v>0</v>
          </cell>
          <cell r="AB48">
            <v>5</v>
          </cell>
          <cell r="AC48">
            <v>19</v>
          </cell>
          <cell r="AD48">
            <v>20</v>
          </cell>
          <cell r="AE48">
            <v>60</v>
          </cell>
          <cell r="AF48">
            <v>99</v>
          </cell>
          <cell r="AG48">
            <v>0</v>
          </cell>
          <cell r="AH48">
            <v>5</v>
          </cell>
          <cell r="AI48">
            <v>20</v>
          </cell>
          <cell r="AJ48">
            <v>20</v>
          </cell>
          <cell r="AK48">
            <v>60</v>
          </cell>
          <cell r="AL48">
            <v>100</v>
          </cell>
          <cell r="AM48">
            <v>0</v>
          </cell>
          <cell r="AN48">
            <v>5</v>
          </cell>
          <cell r="AO48">
            <v>20</v>
          </cell>
          <cell r="AP48">
            <v>20</v>
          </cell>
          <cell r="AQ48">
            <v>0</v>
          </cell>
          <cell r="AR48">
            <v>40</v>
          </cell>
          <cell r="AS48">
            <v>0</v>
          </cell>
          <cell r="AT48">
            <v>2</v>
          </cell>
          <cell r="AU48">
            <v>20</v>
          </cell>
          <cell r="AV48">
            <v>20</v>
          </cell>
          <cell r="AW48">
            <v>60</v>
          </cell>
          <cell r="AX48">
            <v>100</v>
          </cell>
          <cell r="AY48">
            <v>0</v>
          </cell>
          <cell r="AZ48">
            <v>5</v>
          </cell>
          <cell r="BA48">
            <v>10</v>
          </cell>
          <cell r="BB48">
            <v>10</v>
          </cell>
          <cell r="BC48">
            <v>48</v>
          </cell>
          <cell r="BD48">
            <v>28.799999999999997</v>
          </cell>
          <cell r="BE48">
            <v>48.8</v>
          </cell>
          <cell r="BF48">
            <v>0</v>
          </cell>
          <cell r="BG48">
            <v>5</v>
          </cell>
          <cell r="BH48">
            <v>32</v>
          </cell>
          <cell r="BI48">
            <v>4.5714285714285712</v>
          </cell>
          <cell r="BJ48" t="str">
            <v>BETTER</v>
          </cell>
          <cell r="BK48">
            <v>677.3</v>
          </cell>
          <cell r="BL48">
            <v>1</v>
          </cell>
          <cell r="BM48">
            <v>65</v>
          </cell>
          <cell r="BN48">
            <v>670</v>
          </cell>
          <cell r="BO48">
            <v>741.5</v>
          </cell>
          <cell r="BP48">
            <v>677.3</v>
          </cell>
          <cell r="BQ48">
            <v>696.26666666666677</v>
          </cell>
          <cell r="BR48" t="e">
            <v>#REF!</v>
          </cell>
          <cell r="BS48">
            <v>19</v>
          </cell>
        </row>
        <row r="49">
          <cell r="E49" t="str">
            <v>MST.SHAIDA PERVIN</v>
          </cell>
          <cell r="F49">
            <v>20</v>
          </cell>
          <cell r="G49">
            <v>20</v>
          </cell>
          <cell r="H49">
            <v>60</v>
          </cell>
          <cell r="I49">
            <v>100</v>
          </cell>
          <cell r="J49">
            <v>10</v>
          </cell>
          <cell r="K49">
            <v>10</v>
          </cell>
          <cell r="L49">
            <v>30</v>
          </cell>
          <cell r="M49">
            <v>50</v>
          </cell>
          <cell r="N49">
            <v>150</v>
          </cell>
          <cell r="O49">
            <v>0</v>
          </cell>
          <cell r="P49">
            <v>5</v>
          </cell>
          <cell r="Q49">
            <v>20</v>
          </cell>
          <cell r="R49">
            <v>20</v>
          </cell>
          <cell r="S49">
            <v>59</v>
          </cell>
          <cell r="T49">
            <v>99</v>
          </cell>
          <cell r="U49">
            <v>9</v>
          </cell>
          <cell r="V49">
            <v>10</v>
          </cell>
          <cell r="W49">
            <v>48</v>
          </cell>
          <cell r="X49">
            <v>24</v>
          </cell>
          <cell r="Y49">
            <v>43</v>
          </cell>
          <cell r="Z49">
            <v>142</v>
          </cell>
          <cell r="AA49">
            <v>0</v>
          </cell>
          <cell r="AB49">
            <v>5</v>
          </cell>
          <cell r="AC49">
            <v>19</v>
          </cell>
          <cell r="AD49">
            <v>20</v>
          </cell>
          <cell r="AE49">
            <v>60</v>
          </cell>
          <cell r="AF49">
            <v>99</v>
          </cell>
          <cell r="AG49">
            <v>0</v>
          </cell>
          <cell r="AH49">
            <v>5</v>
          </cell>
          <cell r="AI49">
            <v>19</v>
          </cell>
          <cell r="AJ49">
            <v>20</v>
          </cell>
          <cell r="AK49">
            <v>57</v>
          </cell>
          <cell r="AL49">
            <v>96</v>
          </cell>
          <cell r="AM49">
            <v>0</v>
          </cell>
          <cell r="AN49">
            <v>5</v>
          </cell>
          <cell r="AO49">
            <v>20</v>
          </cell>
          <cell r="AP49">
            <v>20</v>
          </cell>
          <cell r="AQ49">
            <v>56</v>
          </cell>
          <cell r="AR49">
            <v>96</v>
          </cell>
          <cell r="AS49">
            <v>0</v>
          </cell>
          <cell r="AT49">
            <v>5</v>
          </cell>
          <cell r="AU49">
            <v>20</v>
          </cell>
          <cell r="AV49">
            <v>20</v>
          </cell>
          <cell r="AW49">
            <v>59</v>
          </cell>
          <cell r="AX49">
            <v>99</v>
          </cell>
          <cell r="AY49">
            <v>0</v>
          </cell>
          <cell r="AZ49">
            <v>5</v>
          </cell>
          <cell r="BA49">
            <v>10</v>
          </cell>
          <cell r="BB49">
            <v>10</v>
          </cell>
          <cell r="BC49">
            <v>49</v>
          </cell>
          <cell r="BD49">
            <v>29.4</v>
          </cell>
          <cell r="BE49">
            <v>49.4</v>
          </cell>
          <cell r="BF49">
            <v>0</v>
          </cell>
          <cell r="BG49">
            <v>5</v>
          </cell>
          <cell r="BH49">
            <v>35</v>
          </cell>
          <cell r="BI49">
            <v>5</v>
          </cell>
          <cell r="BJ49" t="str">
            <v>BEST</v>
          </cell>
          <cell r="BK49">
            <v>731.4</v>
          </cell>
          <cell r="BL49">
            <v>5</v>
          </cell>
          <cell r="BM49">
            <v>60</v>
          </cell>
          <cell r="BN49">
            <v>656</v>
          </cell>
          <cell r="BO49">
            <v>729</v>
          </cell>
          <cell r="BP49">
            <v>731.4</v>
          </cell>
          <cell r="BQ49">
            <v>705.4666666666667</v>
          </cell>
          <cell r="BR49" t="e">
            <v>#REF!</v>
          </cell>
          <cell r="BS49">
            <v>6</v>
          </cell>
        </row>
        <row r="50">
          <cell r="E50" t="str">
            <v>NURA SABA</v>
          </cell>
          <cell r="F50">
            <v>20</v>
          </cell>
          <cell r="G50">
            <v>20</v>
          </cell>
          <cell r="H50">
            <v>60</v>
          </cell>
          <cell r="I50">
            <v>100</v>
          </cell>
          <cell r="J50">
            <v>10</v>
          </cell>
          <cell r="K50">
            <v>10</v>
          </cell>
          <cell r="L50">
            <v>30</v>
          </cell>
          <cell r="M50">
            <v>50</v>
          </cell>
          <cell r="N50">
            <v>150</v>
          </cell>
          <cell r="O50">
            <v>0</v>
          </cell>
          <cell r="P50">
            <v>5</v>
          </cell>
          <cell r="Q50">
            <v>20</v>
          </cell>
          <cell r="R50">
            <v>20</v>
          </cell>
          <cell r="S50">
            <v>59</v>
          </cell>
          <cell r="T50">
            <v>99</v>
          </cell>
          <cell r="U50">
            <v>10</v>
          </cell>
          <cell r="V50">
            <v>10</v>
          </cell>
          <cell r="W50">
            <v>58</v>
          </cell>
          <cell r="X50">
            <v>29</v>
          </cell>
          <cell r="Y50">
            <v>49</v>
          </cell>
          <cell r="Z50">
            <v>148</v>
          </cell>
          <cell r="AA50">
            <v>0</v>
          </cell>
          <cell r="AB50">
            <v>5</v>
          </cell>
          <cell r="AC50">
            <v>20</v>
          </cell>
          <cell r="AD50">
            <v>20</v>
          </cell>
          <cell r="AE50">
            <v>60</v>
          </cell>
          <cell r="AF50">
            <v>100</v>
          </cell>
          <cell r="AG50">
            <v>0</v>
          </cell>
          <cell r="AH50">
            <v>5</v>
          </cell>
          <cell r="AI50">
            <v>18</v>
          </cell>
          <cell r="AJ50">
            <v>20</v>
          </cell>
          <cell r="AK50">
            <v>60</v>
          </cell>
          <cell r="AL50">
            <v>98</v>
          </cell>
          <cell r="AM50">
            <v>0</v>
          </cell>
          <cell r="AN50">
            <v>5</v>
          </cell>
          <cell r="AO50">
            <v>20</v>
          </cell>
          <cell r="AP50">
            <v>20</v>
          </cell>
          <cell r="AQ50">
            <v>60</v>
          </cell>
          <cell r="AR50">
            <v>100</v>
          </cell>
          <cell r="AS50">
            <v>0</v>
          </cell>
          <cell r="AT50">
            <v>5</v>
          </cell>
          <cell r="AU50">
            <v>20</v>
          </cell>
          <cell r="AV50">
            <v>20</v>
          </cell>
          <cell r="AW50">
            <v>60</v>
          </cell>
          <cell r="AX50">
            <v>100</v>
          </cell>
          <cell r="AY50">
            <v>0</v>
          </cell>
          <cell r="AZ50">
            <v>5</v>
          </cell>
          <cell r="BA50">
            <v>10</v>
          </cell>
          <cell r="BB50">
            <v>10</v>
          </cell>
          <cell r="BC50">
            <v>50</v>
          </cell>
          <cell r="BD50">
            <v>30</v>
          </cell>
          <cell r="BE50">
            <v>50</v>
          </cell>
          <cell r="BF50">
            <v>0</v>
          </cell>
          <cell r="BG50">
            <v>5</v>
          </cell>
          <cell r="BH50">
            <v>35</v>
          </cell>
          <cell r="BI50">
            <v>5</v>
          </cell>
          <cell r="BJ50" t="str">
            <v>BEST</v>
          </cell>
          <cell r="BK50">
            <v>746</v>
          </cell>
          <cell r="BL50">
            <v>2</v>
          </cell>
          <cell r="BM50">
            <v>65</v>
          </cell>
          <cell r="BN50">
            <v>708</v>
          </cell>
          <cell r="BO50">
            <v>742</v>
          </cell>
          <cell r="BP50">
            <v>746</v>
          </cell>
          <cell r="BQ50">
            <v>732</v>
          </cell>
          <cell r="BR50" t="e">
            <v>#REF!</v>
          </cell>
          <cell r="BS50">
            <v>1</v>
          </cell>
        </row>
        <row r="51">
          <cell r="E51" t="str">
            <v>KHADIJA KHANDAKAR</v>
          </cell>
          <cell r="F51">
            <v>20</v>
          </cell>
          <cell r="G51">
            <v>20</v>
          </cell>
          <cell r="H51">
            <v>53</v>
          </cell>
          <cell r="I51">
            <v>93</v>
          </cell>
          <cell r="J51">
            <v>9</v>
          </cell>
          <cell r="K51">
            <v>10</v>
          </cell>
          <cell r="L51">
            <v>29</v>
          </cell>
          <cell r="M51">
            <v>48</v>
          </cell>
          <cell r="N51">
            <v>141</v>
          </cell>
          <cell r="O51">
            <v>0</v>
          </cell>
          <cell r="P51">
            <v>5</v>
          </cell>
          <cell r="Q51">
            <v>17</v>
          </cell>
          <cell r="R51">
            <v>19</v>
          </cell>
          <cell r="S51">
            <v>50</v>
          </cell>
          <cell r="T51">
            <v>86</v>
          </cell>
          <cell r="U51">
            <v>9</v>
          </cell>
          <cell r="V51">
            <v>10</v>
          </cell>
          <cell r="W51">
            <v>37</v>
          </cell>
          <cell r="X51">
            <v>18.5</v>
          </cell>
          <cell r="Y51">
            <v>37.5</v>
          </cell>
          <cell r="Z51">
            <v>123.5</v>
          </cell>
          <cell r="AA51">
            <v>0</v>
          </cell>
          <cell r="AB51">
            <v>5</v>
          </cell>
          <cell r="AC51">
            <v>19</v>
          </cell>
          <cell r="AD51">
            <v>20</v>
          </cell>
          <cell r="AE51">
            <v>60</v>
          </cell>
          <cell r="AF51">
            <v>99</v>
          </cell>
          <cell r="AG51">
            <v>0</v>
          </cell>
          <cell r="AH51">
            <v>5</v>
          </cell>
          <cell r="AI51">
            <v>15</v>
          </cell>
          <cell r="AJ51">
            <v>20</v>
          </cell>
          <cell r="AK51">
            <v>42</v>
          </cell>
          <cell r="AL51">
            <v>77</v>
          </cell>
          <cell r="AM51">
            <v>0</v>
          </cell>
          <cell r="AN51">
            <v>4</v>
          </cell>
          <cell r="AO51">
            <v>19</v>
          </cell>
          <cell r="AP51">
            <v>20</v>
          </cell>
          <cell r="AQ51">
            <v>52</v>
          </cell>
          <cell r="AR51">
            <v>91</v>
          </cell>
          <cell r="AS51">
            <v>0</v>
          </cell>
          <cell r="AT51">
            <v>5</v>
          </cell>
          <cell r="AU51">
            <v>18</v>
          </cell>
          <cell r="AV51">
            <v>20</v>
          </cell>
          <cell r="AW51">
            <v>57</v>
          </cell>
          <cell r="AX51">
            <v>95</v>
          </cell>
          <cell r="AY51">
            <v>0</v>
          </cell>
          <cell r="AZ51">
            <v>5</v>
          </cell>
          <cell r="BA51">
            <v>10</v>
          </cell>
          <cell r="BB51">
            <v>10</v>
          </cell>
          <cell r="BC51">
            <v>43</v>
          </cell>
          <cell r="BD51">
            <v>25.8</v>
          </cell>
          <cell r="BE51">
            <v>45.8</v>
          </cell>
          <cell r="BF51">
            <v>0</v>
          </cell>
          <cell r="BG51">
            <v>5</v>
          </cell>
          <cell r="BH51">
            <v>34</v>
          </cell>
          <cell r="BI51">
            <v>4.8571428571428568</v>
          </cell>
          <cell r="BJ51" t="str">
            <v>BETTER</v>
          </cell>
          <cell r="BK51">
            <v>672.3</v>
          </cell>
          <cell r="BL51">
            <v>23</v>
          </cell>
          <cell r="BM51">
            <v>58</v>
          </cell>
          <cell r="BN51">
            <v>0</v>
          </cell>
          <cell r="BO51">
            <v>694.1</v>
          </cell>
          <cell r="BP51">
            <v>672.3</v>
          </cell>
          <cell r="BQ51">
            <v>455.4666666666667</v>
          </cell>
          <cell r="BR51" t="e">
            <v>#REF!</v>
          </cell>
          <cell r="BS51">
            <v>77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A67"/>
  <sheetViews>
    <sheetView zoomScale="85" zoomScaleNormal="85" workbookViewId="0">
      <pane ySplit="7" topLeftCell="A44" activePane="bottomLeft" state="frozen"/>
      <selection pane="bottomLeft" activeCell="C63" sqref="C63"/>
    </sheetView>
  </sheetViews>
  <sheetFormatPr defaultRowHeight="15"/>
  <cols>
    <col min="1" max="2" width="3.7109375" style="1" customWidth="1"/>
    <col min="3" max="3" width="19.42578125" style="1" bestFit="1" customWidth="1"/>
    <col min="4" max="4" width="24.42578125" style="1" bestFit="1" customWidth="1"/>
    <col min="5" max="5" width="26.28515625" style="1" bestFit="1" customWidth="1"/>
    <col min="6" max="49" width="3.7109375" style="1" customWidth="1"/>
    <col min="50" max="51" width="7.28515625" style="1" bestFit="1" customWidth="1"/>
    <col min="52" max="52" width="6.85546875" style="1" customWidth="1"/>
    <col min="53" max="53" width="14.5703125" bestFit="1" customWidth="1"/>
    <col min="54" max="16384" width="9.140625" style="1"/>
  </cols>
  <sheetData>
    <row r="1" spans="1:53" ht="20.100000000000001" customHeight="1">
      <c r="A1" s="201" t="s">
        <v>237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2"/>
      <c r="X1" s="202"/>
      <c r="Y1" s="202"/>
      <c r="Z1" s="202"/>
      <c r="AA1" s="202"/>
      <c r="AB1" s="202"/>
      <c r="AC1" s="202"/>
      <c r="AD1" s="202"/>
      <c r="AE1" s="202"/>
      <c r="AF1" s="202"/>
      <c r="AG1" s="202"/>
      <c r="AH1" s="202"/>
      <c r="AI1" s="202"/>
      <c r="AJ1" s="202"/>
      <c r="AK1" s="202"/>
      <c r="AL1" s="202"/>
      <c r="AM1" s="202"/>
      <c r="AN1" s="202"/>
      <c r="AO1" s="202"/>
      <c r="AP1" s="202"/>
      <c r="AQ1" s="202"/>
      <c r="AR1" s="202"/>
      <c r="AS1" s="202"/>
      <c r="AT1" s="202"/>
      <c r="AU1" s="202"/>
      <c r="AV1" s="202"/>
      <c r="AW1" s="202"/>
      <c r="AX1" s="202"/>
      <c r="AY1" s="202"/>
      <c r="AZ1" s="202"/>
      <c r="BA1" s="24"/>
    </row>
    <row r="2" spans="1:53" ht="20.100000000000001" customHeight="1">
      <c r="A2" s="203"/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5"/>
    </row>
    <row r="3" spans="1:53" ht="20.100000000000001" customHeight="1">
      <c r="A3" s="203"/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5"/>
    </row>
    <row r="4" spans="1:53" ht="20.100000000000001" customHeight="1">
      <c r="A4" s="205"/>
      <c r="B4" s="206"/>
      <c r="C4" s="206"/>
      <c r="D4" s="206"/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6"/>
      <c r="AF4" s="206"/>
      <c r="AG4" s="206"/>
      <c r="AH4" s="206"/>
      <c r="AI4" s="206"/>
      <c r="AJ4" s="206"/>
      <c r="AK4" s="206"/>
      <c r="AL4" s="206"/>
      <c r="AM4" s="206"/>
      <c r="AN4" s="206"/>
      <c r="AO4" s="206"/>
      <c r="AP4" s="206"/>
      <c r="AQ4" s="206"/>
      <c r="AR4" s="206"/>
      <c r="AS4" s="206"/>
      <c r="AT4" s="206"/>
      <c r="AU4" s="206"/>
      <c r="AV4" s="206"/>
      <c r="AW4" s="206"/>
      <c r="AX4" s="206"/>
      <c r="AY4" s="206"/>
      <c r="AZ4" s="206"/>
      <c r="BA4" s="26"/>
    </row>
    <row r="5" spans="1:53" s="17" customFormat="1" ht="12.75" customHeight="1">
      <c r="A5" s="207" t="s">
        <v>17</v>
      </c>
      <c r="B5" s="207"/>
      <c r="C5" s="207"/>
      <c r="D5" s="15" t="s">
        <v>30</v>
      </c>
      <c r="E5" s="14" t="s">
        <v>18</v>
      </c>
      <c r="F5" s="208"/>
      <c r="G5" s="209"/>
      <c r="H5" s="210" t="s">
        <v>66</v>
      </c>
      <c r="I5" s="210"/>
      <c r="J5" s="210"/>
      <c r="K5" s="210"/>
      <c r="L5" s="210"/>
      <c r="M5" s="210"/>
      <c r="N5" s="210"/>
      <c r="O5" s="207" t="s">
        <v>19</v>
      </c>
      <c r="P5" s="207"/>
      <c r="Q5" s="207"/>
      <c r="R5" s="207"/>
      <c r="S5" s="207" t="s">
        <v>54</v>
      </c>
      <c r="T5" s="207"/>
      <c r="U5" s="207"/>
      <c r="V5" s="16"/>
      <c r="W5" s="207" t="s">
        <v>20</v>
      </c>
      <c r="X5" s="207"/>
      <c r="Y5" s="207"/>
      <c r="Z5" s="207"/>
      <c r="AA5" s="207"/>
      <c r="AB5" s="15"/>
      <c r="AC5" s="15">
        <v>44</v>
      </c>
      <c r="AD5" s="16"/>
      <c r="AE5" s="207" t="s">
        <v>21</v>
      </c>
      <c r="AF5" s="207"/>
      <c r="AG5" s="207"/>
      <c r="AH5" s="207"/>
      <c r="AI5" s="211" t="s">
        <v>62</v>
      </c>
      <c r="AJ5" s="211"/>
      <c r="AK5" s="211"/>
      <c r="AL5" s="211"/>
      <c r="AM5" s="211"/>
      <c r="AN5" s="212"/>
      <c r="AO5" s="213"/>
      <c r="AP5" s="213"/>
      <c r="AQ5" s="213"/>
      <c r="AR5" s="213"/>
      <c r="AS5" s="213"/>
      <c r="AT5" s="213"/>
      <c r="AU5" s="213"/>
      <c r="AV5" s="213"/>
      <c r="AW5" s="213"/>
      <c r="AX5" s="213"/>
      <c r="AY5" s="213"/>
      <c r="AZ5" s="214"/>
      <c r="BA5" s="16"/>
    </row>
    <row r="6" spans="1:53" ht="24" customHeight="1">
      <c r="A6" s="190" t="s">
        <v>0</v>
      </c>
      <c r="B6" s="190" t="s">
        <v>1</v>
      </c>
      <c r="C6" s="192" t="s">
        <v>2</v>
      </c>
      <c r="D6" s="193" t="s">
        <v>24</v>
      </c>
      <c r="E6" s="193" t="s">
        <v>25</v>
      </c>
      <c r="F6" s="191" t="s">
        <v>27</v>
      </c>
      <c r="G6" s="191"/>
      <c r="H6" s="195" t="s">
        <v>26</v>
      </c>
      <c r="I6" s="196"/>
      <c r="J6" s="193" t="s">
        <v>3</v>
      </c>
      <c r="K6" s="190" t="s">
        <v>4</v>
      </c>
      <c r="L6" s="190" t="s">
        <v>64</v>
      </c>
      <c r="M6" s="191" t="s">
        <v>12</v>
      </c>
      <c r="N6" s="191"/>
      <c r="O6" s="191" t="s">
        <v>13</v>
      </c>
      <c r="P6" s="191"/>
      <c r="Q6" s="190" t="s">
        <v>3</v>
      </c>
      <c r="R6" s="190" t="s">
        <v>4</v>
      </c>
      <c r="S6" s="190" t="s">
        <v>64</v>
      </c>
      <c r="T6" s="191" t="s">
        <v>14</v>
      </c>
      <c r="U6" s="191"/>
      <c r="V6" s="191"/>
      <c r="W6" s="191"/>
      <c r="X6" s="191"/>
      <c r="Y6" s="191" t="s">
        <v>6</v>
      </c>
      <c r="Z6" s="191"/>
      <c r="AA6" s="191"/>
      <c r="AB6" s="191"/>
      <c r="AC6" s="191"/>
      <c r="AD6" s="191" t="s">
        <v>7</v>
      </c>
      <c r="AE6" s="191"/>
      <c r="AF6" s="191"/>
      <c r="AG6" s="191"/>
      <c r="AH6" s="191"/>
      <c r="AI6" s="195" t="s">
        <v>8</v>
      </c>
      <c r="AJ6" s="196"/>
      <c r="AK6" s="196"/>
      <c r="AL6" s="196"/>
      <c r="AM6" s="215"/>
      <c r="AN6" s="216" t="s">
        <v>31</v>
      </c>
      <c r="AO6" s="216"/>
      <c r="AP6" s="216"/>
      <c r="AQ6" s="216"/>
      <c r="AR6" s="216"/>
      <c r="AS6" s="217" t="s">
        <v>28</v>
      </c>
      <c r="AT6" s="218"/>
      <c r="AU6" s="219"/>
      <c r="AV6" s="190" t="s">
        <v>9</v>
      </c>
      <c r="AW6" s="193" t="s">
        <v>10</v>
      </c>
      <c r="AX6" s="190" t="s">
        <v>16</v>
      </c>
      <c r="AY6" s="190" t="s">
        <v>15</v>
      </c>
      <c r="AZ6" s="200" t="s">
        <v>22</v>
      </c>
      <c r="BA6" s="198" t="s">
        <v>23</v>
      </c>
    </row>
    <row r="7" spans="1:53" ht="45">
      <c r="A7" s="190"/>
      <c r="B7" s="190"/>
      <c r="C7" s="192"/>
      <c r="D7" s="194"/>
      <c r="E7" s="194"/>
      <c r="F7" s="19" t="s">
        <v>11</v>
      </c>
      <c r="G7" s="20" t="s">
        <v>5</v>
      </c>
      <c r="H7" s="19" t="s">
        <v>11</v>
      </c>
      <c r="I7" s="20" t="s">
        <v>5</v>
      </c>
      <c r="J7" s="197"/>
      <c r="K7" s="190"/>
      <c r="L7" s="190"/>
      <c r="M7" s="20" t="s">
        <v>11</v>
      </c>
      <c r="N7" s="20" t="s">
        <v>5</v>
      </c>
      <c r="O7" s="20" t="s">
        <v>11</v>
      </c>
      <c r="P7" s="20" t="s">
        <v>5</v>
      </c>
      <c r="Q7" s="190"/>
      <c r="R7" s="190"/>
      <c r="S7" s="190"/>
      <c r="T7" s="19" t="s">
        <v>11</v>
      </c>
      <c r="U7" s="20" t="s">
        <v>5</v>
      </c>
      <c r="V7" s="19" t="s">
        <v>3</v>
      </c>
      <c r="W7" s="19" t="s">
        <v>4</v>
      </c>
      <c r="X7" s="19" t="s">
        <v>64</v>
      </c>
      <c r="Y7" s="19" t="s">
        <v>11</v>
      </c>
      <c r="Z7" s="20" t="s">
        <v>5</v>
      </c>
      <c r="AA7" s="19" t="s">
        <v>3</v>
      </c>
      <c r="AB7" s="19" t="s">
        <v>4</v>
      </c>
      <c r="AC7" s="19" t="s">
        <v>64</v>
      </c>
      <c r="AD7" s="19" t="s">
        <v>11</v>
      </c>
      <c r="AE7" s="20" t="s">
        <v>5</v>
      </c>
      <c r="AF7" s="19" t="s">
        <v>3</v>
      </c>
      <c r="AG7" s="19" t="s">
        <v>4</v>
      </c>
      <c r="AH7" s="19" t="s">
        <v>64</v>
      </c>
      <c r="AI7" s="19" t="s">
        <v>11</v>
      </c>
      <c r="AJ7" s="20" t="s">
        <v>5</v>
      </c>
      <c r="AK7" s="19" t="s">
        <v>3</v>
      </c>
      <c r="AL7" s="19" t="s">
        <v>4</v>
      </c>
      <c r="AM7" s="19" t="s">
        <v>64</v>
      </c>
      <c r="AN7" s="20" t="s">
        <v>11</v>
      </c>
      <c r="AO7" s="20" t="s">
        <v>5</v>
      </c>
      <c r="AP7" s="19" t="s">
        <v>3</v>
      </c>
      <c r="AQ7" s="19" t="s">
        <v>4</v>
      </c>
      <c r="AR7" s="19" t="s">
        <v>64</v>
      </c>
      <c r="AS7" s="20" t="s">
        <v>5</v>
      </c>
      <c r="AT7" s="23" t="s">
        <v>4</v>
      </c>
      <c r="AU7" s="19" t="s">
        <v>64</v>
      </c>
      <c r="AV7" s="190"/>
      <c r="AW7" s="194"/>
      <c r="AX7" s="190"/>
      <c r="AY7" s="190"/>
      <c r="AZ7" s="199"/>
      <c r="BA7" s="199"/>
    </row>
    <row r="8" spans="1:53" s="48" customFormat="1" ht="15.75">
      <c r="A8" s="75">
        <v>1</v>
      </c>
      <c r="B8" s="50">
        <v>1</v>
      </c>
      <c r="C8" s="76" t="s">
        <v>70</v>
      </c>
      <c r="D8" s="76" t="s">
        <v>71</v>
      </c>
      <c r="E8" s="76" t="s">
        <v>72</v>
      </c>
      <c r="F8" s="61">
        <v>19</v>
      </c>
      <c r="G8" s="61">
        <v>68</v>
      </c>
      <c r="H8" s="77">
        <v>9</v>
      </c>
      <c r="I8" s="77">
        <v>43</v>
      </c>
      <c r="J8" s="78">
        <f>F8+G8+H8+I8</f>
        <v>139</v>
      </c>
      <c r="K8" s="77">
        <f>IF(J8&lt;60,"F",IF(J8&lt;75,2,IF(J8&lt;90,3,IF(J8&lt;105,3.5,IF(J8&lt;120,4,5)))))</f>
        <v>5</v>
      </c>
      <c r="L8" s="220">
        <f>MAX(J8:J35)</f>
        <v>145</v>
      </c>
      <c r="M8" s="61">
        <v>19</v>
      </c>
      <c r="N8" s="61">
        <v>72</v>
      </c>
      <c r="O8" s="77">
        <v>9</v>
      </c>
      <c r="P8" s="77">
        <v>35</v>
      </c>
      <c r="Q8" s="78">
        <f>M8+N8+O8+P8</f>
        <v>135</v>
      </c>
      <c r="R8" s="77">
        <f>IF(Q8&lt;60,"F",IF(Q8&lt;75,2,IF(Q8&lt;90,3,IF(Q8&lt;105,3.5,IF(Q8&lt;120,4,5)))))</f>
        <v>5</v>
      </c>
      <c r="S8" s="220">
        <f>MAX(Q8:Q35)</f>
        <v>149</v>
      </c>
      <c r="T8" s="61">
        <v>14</v>
      </c>
      <c r="U8" s="61">
        <v>72</v>
      </c>
      <c r="V8" s="78">
        <f>T8+U8</f>
        <v>86</v>
      </c>
      <c r="W8" s="77">
        <f>IF(V8&lt;40,"F",IF(V8&lt;50,2,IF(V8&lt;60,3,IF(V8&lt;70,3.5,IF(V8&lt;80,4,5)))))</f>
        <v>5</v>
      </c>
      <c r="X8" s="220">
        <f>MAX(V8:V35)</f>
        <v>99</v>
      </c>
      <c r="Y8" s="61">
        <v>19</v>
      </c>
      <c r="Z8" s="61">
        <v>77</v>
      </c>
      <c r="AA8" s="78">
        <f>Y8+Z8</f>
        <v>96</v>
      </c>
      <c r="AB8" s="77">
        <f>IF(AA8&lt;40,"F",IF(AA8&lt;50,2,IF(AA8&lt;60,3,IF(AA8&lt;70,3.5,IF(AA8&lt;80,4,5)))))</f>
        <v>5</v>
      </c>
      <c r="AC8" s="220">
        <f>MAX(AA8:AA35)</f>
        <v>99</v>
      </c>
      <c r="AD8" s="61">
        <v>20</v>
      </c>
      <c r="AE8" s="61">
        <v>73</v>
      </c>
      <c r="AF8" s="78">
        <f>AD8+AE8</f>
        <v>93</v>
      </c>
      <c r="AG8" s="77">
        <f>IF(AF8&lt;40,"F",IF(AF8&lt;50,2,IF(AF8&lt;60,3,IF(AF8&lt;70,3.5,IF(AF8&lt;80,4,5)))))</f>
        <v>5</v>
      </c>
      <c r="AH8" s="220">
        <f>MAX(AF8:AF35)</f>
        <v>98</v>
      </c>
      <c r="AI8" s="61">
        <v>20</v>
      </c>
      <c r="AJ8" s="61">
        <v>70</v>
      </c>
      <c r="AK8" s="78">
        <f>AI8+AJ8</f>
        <v>90</v>
      </c>
      <c r="AL8" s="77">
        <f>IF(AK8&lt;40,"F",IF(AK8&lt;50,2,IF(AK8&lt;60,3,IF(AK8&lt;70,3.5,IF(AK8&lt;80,4,5)))))</f>
        <v>5</v>
      </c>
      <c r="AM8" s="220">
        <f>MAX(AK8:AK35)</f>
        <v>99</v>
      </c>
      <c r="AN8" s="77"/>
      <c r="AO8" s="63">
        <v>42</v>
      </c>
      <c r="AP8" s="78">
        <f>AN8+AO8</f>
        <v>42</v>
      </c>
      <c r="AQ8" s="77">
        <f>IF(AP8&lt;20,"F",IF(AP8&lt;25,2,IF(AP8&lt;30,3,IF(AP8&lt;35,3.5,IF(AP8&lt;40,4,5)))))</f>
        <v>5</v>
      </c>
      <c r="AR8" s="220">
        <f>MAX(AP8:AP35)</f>
        <v>47</v>
      </c>
      <c r="AS8" s="63">
        <v>38</v>
      </c>
      <c r="AT8" s="77">
        <f>IF(AS8&lt;20,"F",IF(AS8&lt;25,2,IF(AS8&lt;30,3,IF(AS8&lt;35,3.5,IF(AS8&lt;40,4,5)))))</f>
        <v>4</v>
      </c>
      <c r="AU8" s="220">
        <f>MAX(AS8:AS35)</f>
        <v>50</v>
      </c>
      <c r="AV8" s="77">
        <f t="shared" ref="AV8:AV21" si="0">IF(K8="F","F",IF(R8="F","F",IF(W8="F","F",IF(AB8="F","F",IF(AG8="F","F",IF(AL8="F","F",IF(AQ8="F","F",SUM(K8,R8,W8,AB8,AG8,AL8,AQ8))))))))</f>
        <v>35</v>
      </c>
      <c r="AW8" s="79">
        <f>IF(AV8="F","F", IF(AV8&gt;=35,5,IF(AV8&lt;35,AV8/7)))</f>
        <v>5</v>
      </c>
      <c r="AX8" s="63">
        <f t="shared" ref="AX8:AX21" si="1">J8+Q8+V8+AA8+AF8+AK8+AP8</f>
        <v>681</v>
      </c>
      <c r="AY8" s="61"/>
      <c r="AZ8" s="61"/>
      <c r="BA8" s="61" t="str">
        <f t="shared" ref="BA8:BA21" si="2">IF(AW8="F","NEED TO PROGRESS",IF(AW8&gt;=5,"BEST",IF(AW8&gt;=4,"BETTER",IF(AW8&gt;2,"GOOD"))))</f>
        <v>BEST</v>
      </c>
    </row>
    <row r="9" spans="1:53" ht="15.75">
      <c r="A9" s="21">
        <v>2</v>
      </c>
      <c r="B9" s="41">
        <v>2</v>
      </c>
      <c r="C9" s="42" t="s">
        <v>73</v>
      </c>
      <c r="D9" s="42" t="s">
        <v>74</v>
      </c>
      <c r="E9" s="42" t="s">
        <v>75</v>
      </c>
      <c r="F9" s="51">
        <v>19</v>
      </c>
      <c r="G9" s="51">
        <v>79</v>
      </c>
      <c r="H9" s="52">
        <v>10</v>
      </c>
      <c r="I9" s="52">
        <v>37</v>
      </c>
      <c r="J9" s="53">
        <f t="shared" ref="J9:J35" si="3">F9+G9+H9+I9</f>
        <v>145</v>
      </c>
      <c r="K9" s="52">
        <f t="shared" ref="K9:K35" si="4">IF(J9&lt;60,"F",IF(J9&lt;75,2,IF(J9&lt;90,3,IF(J9&lt;105,3.5,IF(J9&lt;120,4,5)))))</f>
        <v>5</v>
      </c>
      <c r="L9" s="221"/>
      <c r="M9" s="51">
        <v>20</v>
      </c>
      <c r="N9" s="51">
        <v>75</v>
      </c>
      <c r="O9" s="52">
        <v>10</v>
      </c>
      <c r="P9" s="52">
        <v>39</v>
      </c>
      <c r="Q9" s="53">
        <f t="shared" ref="Q9:Q21" si="5">M9+N9+O9+P9</f>
        <v>144</v>
      </c>
      <c r="R9" s="52">
        <f t="shared" ref="R9:R21" si="6">IF(Q9&lt;60,"F",IF(Q9&lt;75,2,IF(Q9&lt;90,3,IF(Q9&lt;105,3.5,IF(Q9&lt;120,4,5)))))</f>
        <v>5</v>
      </c>
      <c r="S9" s="221"/>
      <c r="T9" s="51">
        <v>20</v>
      </c>
      <c r="U9" s="51">
        <v>79</v>
      </c>
      <c r="V9" s="53">
        <f t="shared" ref="V9:V21" si="7">T9+U9</f>
        <v>99</v>
      </c>
      <c r="W9" s="52">
        <f t="shared" ref="W9:W21" si="8">IF(V9&lt;40,"F",IF(V9&lt;50,2,IF(V9&lt;60,3,IF(V9&lt;70,3.5,IF(V9&lt;80,4,5)))))</f>
        <v>5</v>
      </c>
      <c r="X9" s="221"/>
      <c r="Y9" s="51">
        <v>18</v>
      </c>
      <c r="Z9" s="51">
        <v>79</v>
      </c>
      <c r="AA9" s="53">
        <f t="shared" ref="AA9:AA21" si="9">Y9+Z9</f>
        <v>97</v>
      </c>
      <c r="AB9" s="52">
        <f t="shared" ref="AB9:AB21" si="10">IF(AA9&lt;40,"F",IF(AA9&lt;50,2,IF(AA9&lt;60,3,IF(AA9&lt;70,3.5,IF(AA9&lt;80,4,5)))))</f>
        <v>5</v>
      </c>
      <c r="AC9" s="221"/>
      <c r="AD9" s="51">
        <v>18</v>
      </c>
      <c r="AE9" s="51">
        <v>78</v>
      </c>
      <c r="AF9" s="53">
        <f t="shared" ref="AF9:AF21" si="11">AD9+AE9</f>
        <v>96</v>
      </c>
      <c r="AG9" s="52">
        <f t="shared" ref="AG9:AG21" si="12">IF(AF9&lt;40,"F",IF(AF9&lt;50,2,IF(AF9&lt;60,3,IF(AF9&lt;70,3.5,IF(AF9&lt;80,4,5)))))</f>
        <v>5</v>
      </c>
      <c r="AH9" s="221"/>
      <c r="AI9" s="51">
        <v>20</v>
      </c>
      <c r="AJ9" s="51">
        <v>76</v>
      </c>
      <c r="AK9" s="53">
        <f t="shared" ref="AK9:AK21" si="13">AI9+AJ9</f>
        <v>96</v>
      </c>
      <c r="AL9" s="52">
        <f t="shared" ref="AL9:AL21" si="14">IF(AK9&lt;40,"F",IF(AK9&lt;50,2,IF(AK9&lt;60,3,IF(AK9&lt;70,3.5,IF(AK9&lt;80,4,5)))))</f>
        <v>5</v>
      </c>
      <c r="AM9" s="221"/>
      <c r="AN9" s="52"/>
      <c r="AO9" s="54">
        <v>46</v>
      </c>
      <c r="AP9" s="53">
        <f t="shared" ref="AP9:AP35" si="15">AN9+AO9</f>
        <v>46</v>
      </c>
      <c r="AQ9" s="52">
        <f t="shared" ref="AQ9:AQ35" si="16">IF(AP9&lt;20,"F",IF(AP9&lt;25,2,IF(AP9&lt;30,3,IF(AP9&lt;35,3.5,IF(AP9&lt;40,4,5)))))</f>
        <v>5</v>
      </c>
      <c r="AR9" s="221"/>
      <c r="AS9" s="54">
        <v>48</v>
      </c>
      <c r="AT9" s="52">
        <f t="shared" ref="AT9:AT35" si="17">IF(AS9&lt;20,"F",IF(AS9&lt;25,2,IF(AS9&lt;30,3,IF(AS9&lt;35,3.5,IF(AS9&lt;40,4,5)))))</f>
        <v>5</v>
      </c>
      <c r="AU9" s="221"/>
      <c r="AV9" s="52">
        <f t="shared" si="0"/>
        <v>35</v>
      </c>
      <c r="AW9" s="55">
        <f t="shared" ref="AW9:AW21" si="18">IF(AV9="F","F", IF(AV9&gt;=35,5,IF(AV9&lt;35,AV9/7)))</f>
        <v>5</v>
      </c>
      <c r="AX9" s="54">
        <f t="shared" si="1"/>
        <v>723</v>
      </c>
      <c r="AY9" s="51"/>
      <c r="AZ9" s="51"/>
      <c r="BA9" s="51" t="str">
        <f t="shared" si="2"/>
        <v>BEST</v>
      </c>
    </row>
    <row r="10" spans="1:53" ht="15.75">
      <c r="A10" s="21">
        <v>3</v>
      </c>
      <c r="B10" s="41">
        <v>6</v>
      </c>
      <c r="C10" s="42" t="s">
        <v>76</v>
      </c>
      <c r="D10" s="42" t="s">
        <v>77</v>
      </c>
      <c r="E10" s="42" t="s">
        <v>78</v>
      </c>
      <c r="F10" s="51">
        <v>20</v>
      </c>
      <c r="G10" s="51">
        <v>78</v>
      </c>
      <c r="H10" s="52">
        <v>10</v>
      </c>
      <c r="I10" s="52">
        <v>34</v>
      </c>
      <c r="J10" s="53">
        <f t="shared" si="3"/>
        <v>142</v>
      </c>
      <c r="K10" s="52">
        <f t="shared" si="4"/>
        <v>5</v>
      </c>
      <c r="L10" s="221"/>
      <c r="M10" s="51">
        <v>20</v>
      </c>
      <c r="N10" s="51">
        <v>68</v>
      </c>
      <c r="O10" s="52">
        <v>10</v>
      </c>
      <c r="P10" s="52">
        <v>37</v>
      </c>
      <c r="Q10" s="53">
        <f t="shared" si="5"/>
        <v>135</v>
      </c>
      <c r="R10" s="52">
        <f t="shared" si="6"/>
        <v>5</v>
      </c>
      <c r="S10" s="221"/>
      <c r="T10" s="51">
        <v>19</v>
      </c>
      <c r="U10" s="51">
        <v>59</v>
      </c>
      <c r="V10" s="53">
        <f t="shared" si="7"/>
        <v>78</v>
      </c>
      <c r="W10" s="52">
        <f t="shared" si="8"/>
        <v>4</v>
      </c>
      <c r="X10" s="221"/>
      <c r="Y10" s="51">
        <v>17</v>
      </c>
      <c r="Z10" s="51">
        <v>79</v>
      </c>
      <c r="AA10" s="53">
        <f t="shared" si="9"/>
        <v>96</v>
      </c>
      <c r="AB10" s="52">
        <f t="shared" si="10"/>
        <v>5</v>
      </c>
      <c r="AC10" s="221"/>
      <c r="AD10" s="51">
        <v>20</v>
      </c>
      <c r="AE10" s="51">
        <v>75</v>
      </c>
      <c r="AF10" s="53">
        <f t="shared" si="11"/>
        <v>95</v>
      </c>
      <c r="AG10" s="52">
        <f t="shared" si="12"/>
        <v>5</v>
      </c>
      <c r="AH10" s="221"/>
      <c r="AI10" s="51">
        <v>20</v>
      </c>
      <c r="AJ10" s="51">
        <v>77</v>
      </c>
      <c r="AK10" s="53">
        <f t="shared" si="13"/>
        <v>97</v>
      </c>
      <c r="AL10" s="52">
        <f t="shared" si="14"/>
        <v>5</v>
      </c>
      <c r="AM10" s="221"/>
      <c r="AN10" s="52"/>
      <c r="AO10" s="54">
        <v>41</v>
      </c>
      <c r="AP10" s="53">
        <f t="shared" si="15"/>
        <v>41</v>
      </c>
      <c r="AQ10" s="52">
        <f t="shared" si="16"/>
        <v>5</v>
      </c>
      <c r="AR10" s="221"/>
      <c r="AS10" s="54">
        <v>50</v>
      </c>
      <c r="AT10" s="52">
        <f t="shared" si="17"/>
        <v>5</v>
      </c>
      <c r="AU10" s="221"/>
      <c r="AV10" s="52">
        <f t="shared" si="0"/>
        <v>34</v>
      </c>
      <c r="AW10" s="55">
        <f t="shared" si="18"/>
        <v>4.8571428571428568</v>
      </c>
      <c r="AX10" s="54">
        <f t="shared" si="1"/>
        <v>684</v>
      </c>
      <c r="AY10" s="51"/>
      <c r="AZ10" s="51"/>
      <c r="BA10" s="51" t="str">
        <f t="shared" si="2"/>
        <v>BETTER</v>
      </c>
    </row>
    <row r="11" spans="1:53" ht="15.75">
      <c r="A11" s="21">
        <v>4</v>
      </c>
      <c r="B11" s="41">
        <v>7</v>
      </c>
      <c r="C11" s="42" t="s">
        <v>79</v>
      </c>
      <c r="D11" s="42" t="s">
        <v>80</v>
      </c>
      <c r="E11" s="42" t="s">
        <v>81</v>
      </c>
      <c r="F11" s="51">
        <v>18</v>
      </c>
      <c r="G11" s="51">
        <v>70</v>
      </c>
      <c r="H11" s="52">
        <v>10</v>
      </c>
      <c r="I11" s="52">
        <v>37</v>
      </c>
      <c r="J11" s="53">
        <f t="shared" si="3"/>
        <v>135</v>
      </c>
      <c r="K11" s="52">
        <f t="shared" si="4"/>
        <v>5</v>
      </c>
      <c r="L11" s="221"/>
      <c r="M11" s="51">
        <v>20</v>
      </c>
      <c r="N11" s="51">
        <v>70</v>
      </c>
      <c r="O11" s="52">
        <v>10</v>
      </c>
      <c r="P11" s="52">
        <v>32</v>
      </c>
      <c r="Q11" s="53">
        <f t="shared" si="5"/>
        <v>132</v>
      </c>
      <c r="R11" s="52">
        <f t="shared" si="6"/>
        <v>5</v>
      </c>
      <c r="S11" s="221"/>
      <c r="T11" s="51">
        <v>16</v>
      </c>
      <c r="U11" s="51">
        <v>61</v>
      </c>
      <c r="V11" s="53">
        <f t="shared" si="7"/>
        <v>77</v>
      </c>
      <c r="W11" s="52">
        <f t="shared" si="8"/>
        <v>4</v>
      </c>
      <c r="X11" s="221"/>
      <c r="Y11" s="51">
        <v>20</v>
      </c>
      <c r="Z11" s="51">
        <v>66</v>
      </c>
      <c r="AA11" s="53">
        <f t="shared" si="9"/>
        <v>86</v>
      </c>
      <c r="AB11" s="52">
        <f t="shared" si="10"/>
        <v>5</v>
      </c>
      <c r="AC11" s="221"/>
      <c r="AD11" s="51">
        <v>19</v>
      </c>
      <c r="AE11" s="51">
        <v>73</v>
      </c>
      <c r="AF11" s="53">
        <f t="shared" si="11"/>
        <v>92</v>
      </c>
      <c r="AG11" s="52">
        <f t="shared" si="12"/>
        <v>5</v>
      </c>
      <c r="AH11" s="221"/>
      <c r="AI11" s="51">
        <v>20</v>
      </c>
      <c r="AJ11" s="51">
        <v>68</v>
      </c>
      <c r="AK11" s="53">
        <f t="shared" si="13"/>
        <v>88</v>
      </c>
      <c r="AL11" s="52">
        <f t="shared" si="14"/>
        <v>5</v>
      </c>
      <c r="AM11" s="221"/>
      <c r="AN11" s="52"/>
      <c r="AO11" s="54">
        <v>37</v>
      </c>
      <c r="AP11" s="53">
        <f t="shared" si="15"/>
        <v>37</v>
      </c>
      <c r="AQ11" s="52">
        <f t="shared" si="16"/>
        <v>4</v>
      </c>
      <c r="AR11" s="221"/>
      <c r="AS11" s="54">
        <v>47</v>
      </c>
      <c r="AT11" s="52">
        <f t="shared" si="17"/>
        <v>5</v>
      </c>
      <c r="AU11" s="221"/>
      <c r="AV11" s="52">
        <f t="shared" si="0"/>
        <v>33</v>
      </c>
      <c r="AW11" s="55">
        <f t="shared" si="18"/>
        <v>4.7142857142857144</v>
      </c>
      <c r="AX11" s="54">
        <f t="shared" si="1"/>
        <v>647</v>
      </c>
      <c r="AY11" s="51"/>
      <c r="AZ11" s="51"/>
      <c r="BA11" s="51" t="str">
        <f t="shared" si="2"/>
        <v>BETTER</v>
      </c>
    </row>
    <row r="12" spans="1:53" ht="15.75">
      <c r="A12" s="21">
        <v>5</v>
      </c>
      <c r="B12" s="41">
        <v>8</v>
      </c>
      <c r="C12" s="42" t="s">
        <v>82</v>
      </c>
      <c r="D12" s="42" t="s">
        <v>83</v>
      </c>
      <c r="E12" s="42" t="s">
        <v>63</v>
      </c>
      <c r="F12" s="51">
        <v>19</v>
      </c>
      <c r="G12" s="51">
        <v>78</v>
      </c>
      <c r="H12" s="52">
        <v>10</v>
      </c>
      <c r="I12" s="52">
        <v>34</v>
      </c>
      <c r="J12" s="53">
        <f t="shared" si="3"/>
        <v>141</v>
      </c>
      <c r="K12" s="52">
        <f t="shared" si="4"/>
        <v>5</v>
      </c>
      <c r="L12" s="221"/>
      <c r="M12" s="51">
        <v>19</v>
      </c>
      <c r="N12" s="51">
        <v>62</v>
      </c>
      <c r="O12" s="52">
        <v>10</v>
      </c>
      <c r="P12" s="52">
        <v>33</v>
      </c>
      <c r="Q12" s="53">
        <f t="shared" si="5"/>
        <v>124</v>
      </c>
      <c r="R12" s="52">
        <f t="shared" si="6"/>
        <v>5</v>
      </c>
      <c r="S12" s="221"/>
      <c r="T12" s="51">
        <v>12</v>
      </c>
      <c r="U12" s="51">
        <v>43</v>
      </c>
      <c r="V12" s="53">
        <f t="shared" si="7"/>
        <v>55</v>
      </c>
      <c r="W12" s="52">
        <f t="shared" si="8"/>
        <v>3</v>
      </c>
      <c r="X12" s="221"/>
      <c r="Y12" s="51">
        <v>18</v>
      </c>
      <c r="Z12" s="51">
        <v>77</v>
      </c>
      <c r="AA12" s="53">
        <f t="shared" si="9"/>
        <v>95</v>
      </c>
      <c r="AB12" s="52">
        <f t="shared" si="10"/>
        <v>5</v>
      </c>
      <c r="AC12" s="221"/>
      <c r="AD12" s="51">
        <v>20</v>
      </c>
      <c r="AE12" s="51">
        <v>75</v>
      </c>
      <c r="AF12" s="53">
        <f t="shared" si="11"/>
        <v>95</v>
      </c>
      <c r="AG12" s="52">
        <f t="shared" si="12"/>
        <v>5</v>
      </c>
      <c r="AH12" s="221"/>
      <c r="AI12" s="51">
        <v>20</v>
      </c>
      <c r="AJ12" s="51">
        <v>69</v>
      </c>
      <c r="AK12" s="53">
        <f t="shared" si="13"/>
        <v>89</v>
      </c>
      <c r="AL12" s="52">
        <f t="shared" si="14"/>
        <v>5</v>
      </c>
      <c r="AM12" s="221"/>
      <c r="AN12" s="52"/>
      <c r="AO12" s="54">
        <v>40</v>
      </c>
      <c r="AP12" s="53">
        <f t="shared" si="15"/>
        <v>40</v>
      </c>
      <c r="AQ12" s="52">
        <f t="shared" si="16"/>
        <v>5</v>
      </c>
      <c r="AR12" s="221"/>
      <c r="AS12" s="54">
        <v>45</v>
      </c>
      <c r="AT12" s="52">
        <f t="shared" si="17"/>
        <v>5</v>
      </c>
      <c r="AU12" s="221"/>
      <c r="AV12" s="52">
        <f t="shared" si="0"/>
        <v>33</v>
      </c>
      <c r="AW12" s="55">
        <f t="shared" si="18"/>
        <v>4.7142857142857144</v>
      </c>
      <c r="AX12" s="54">
        <f t="shared" si="1"/>
        <v>639</v>
      </c>
      <c r="AY12" s="51"/>
      <c r="AZ12" s="51"/>
      <c r="BA12" s="51" t="str">
        <f t="shared" si="2"/>
        <v>BETTER</v>
      </c>
    </row>
    <row r="13" spans="1:53" ht="15.75">
      <c r="A13" s="21">
        <v>6</v>
      </c>
      <c r="B13" s="41">
        <v>9</v>
      </c>
      <c r="C13" s="42" t="s">
        <v>84</v>
      </c>
      <c r="D13" s="42" t="s">
        <v>85</v>
      </c>
      <c r="E13" s="42" t="s">
        <v>86</v>
      </c>
      <c r="F13" s="51">
        <v>19</v>
      </c>
      <c r="G13" s="51">
        <v>68</v>
      </c>
      <c r="H13" s="52">
        <v>9</v>
      </c>
      <c r="I13" s="52">
        <v>34</v>
      </c>
      <c r="J13" s="53">
        <f t="shared" si="3"/>
        <v>130</v>
      </c>
      <c r="K13" s="52">
        <f t="shared" si="4"/>
        <v>5</v>
      </c>
      <c r="L13" s="221"/>
      <c r="M13" s="51">
        <v>19</v>
      </c>
      <c r="N13" s="51">
        <v>65</v>
      </c>
      <c r="O13" s="52">
        <v>9</v>
      </c>
      <c r="P13" s="52">
        <v>24</v>
      </c>
      <c r="Q13" s="53">
        <f t="shared" si="5"/>
        <v>117</v>
      </c>
      <c r="R13" s="52">
        <f t="shared" si="6"/>
        <v>4</v>
      </c>
      <c r="S13" s="221"/>
      <c r="T13" s="51">
        <v>14</v>
      </c>
      <c r="U13" s="51">
        <v>68</v>
      </c>
      <c r="V13" s="53">
        <f t="shared" si="7"/>
        <v>82</v>
      </c>
      <c r="W13" s="52">
        <f t="shared" si="8"/>
        <v>5</v>
      </c>
      <c r="X13" s="221"/>
      <c r="Y13" s="51">
        <v>16</v>
      </c>
      <c r="Z13" s="51">
        <v>63</v>
      </c>
      <c r="AA13" s="53">
        <f t="shared" si="9"/>
        <v>79</v>
      </c>
      <c r="AB13" s="52">
        <f t="shared" si="10"/>
        <v>4</v>
      </c>
      <c r="AC13" s="221"/>
      <c r="AD13" s="51">
        <v>19</v>
      </c>
      <c r="AE13" s="51">
        <v>70</v>
      </c>
      <c r="AF13" s="53">
        <f t="shared" si="11"/>
        <v>89</v>
      </c>
      <c r="AG13" s="52">
        <f t="shared" si="12"/>
        <v>5</v>
      </c>
      <c r="AH13" s="221"/>
      <c r="AI13" s="51">
        <v>18</v>
      </c>
      <c r="AJ13" s="51">
        <v>63</v>
      </c>
      <c r="AK13" s="53">
        <f t="shared" si="13"/>
        <v>81</v>
      </c>
      <c r="AL13" s="52">
        <f t="shared" si="14"/>
        <v>5</v>
      </c>
      <c r="AM13" s="221"/>
      <c r="AN13" s="52"/>
      <c r="AO13" s="54">
        <v>37</v>
      </c>
      <c r="AP13" s="53">
        <f t="shared" si="15"/>
        <v>37</v>
      </c>
      <c r="AQ13" s="52">
        <f t="shared" si="16"/>
        <v>4</v>
      </c>
      <c r="AR13" s="221"/>
      <c r="AS13" s="54">
        <v>40</v>
      </c>
      <c r="AT13" s="52">
        <f t="shared" si="17"/>
        <v>5</v>
      </c>
      <c r="AU13" s="221"/>
      <c r="AV13" s="52">
        <f t="shared" si="0"/>
        <v>32</v>
      </c>
      <c r="AW13" s="55">
        <f t="shared" si="18"/>
        <v>4.5714285714285712</v>
      </c>
      <c r="AX13" s="54">
        <f t="shared" si="1"/>
        <v>615</v>
      </c>
      <c r="AY13" s="51"/>
      <c r="AZ13" s="51"/>
      <c r="BA13" s="51" t="str">
        <f t="shared" si="2"/>
        <v>BETTER</v>
      </c>
    </row>
    <row r="14" spans="1:53" s="48" customFormat="1" ht="15.75">
      <c r="A14" s="75">
        <v>7</v>
      </c>
      <c r="B14" s="50">
        <v>11</v>
      </c>
      <c r="C14" s="76" t="s">
        <v>87</v>
      </c>
      <c r="D14" s="76" t="s">
        <v>88</v>
      </c>
      <c r="E14" s="76" t="s">
        <v>89</v>
      </c>
      <c r="F14" s="61">
        <v>20</v>
      </c>
      <c r="G14" s="61">
        <v>62</v>
      </c>
      <c r="H14" s="77">
        <v>8</v>
      </c>
      <c r="I14" s="77">
        <v>33</v>
      </c>
      <c r="J14" s="78">
        <f t="shared" si="3"/>
        <v>123</v>
      </c>
      <c r="K14" s="77">
        <f t="shared" si="4"/>
        <v>5</v>
      </c>
      <c r="L14" s="221"/>
      <c r="M14" s="61">
        <v>16</v>
      </c>
      <c r="N14" s="61">
        <v>64</v>
      </c>
      <c r="O14" s="77">
        <v>8</v>
      </c>
      <c r="P14" s="77">
        <v>17</v>
      </c>
      <c r="Q14" s="78">
        <f t="shared" si="5"/>
        <v>105</v>
      </c>
      <c r="R14" s="77">
        <f t="shared" si="6"/>
        <v>4</v>
      </c>
      <c r="S14" s="221"/>
      <c r="T14" s="61">
        <v>17</v>
      </c>
      <c r="U14" s="61">
        <v>48</v>
      </c>
      <c r="V14" s="78">
        <f t="shared" si="7"/>
        <v>65</v>
      </c>
      <c r="W14" s="77">
        <f t="shared" si="8"/>
        <v>3.5</v>
      </c>
      <c r="X14" s="221"/>
      <c r="Y14" s="61">
        <v>12</v>
      </c>
      <c r="Z14" s="61">
        <v>66</v>
      </c>
      <c r="AA14" s="78">
        <f t="shared" si="9"/>
        <v>78</v>
      </c>
      <c r="AB14" s="77">
        <f t="shared" si="10"/>
        <v>4</v>
      </c>
      <c r="AC14" s="221"/>
      <c r="AD14" s="61">
        <v>19</v>
      </c>
      <c r="AE14" s="61">
        <v>76</v>
      </c>
      <c r="AF14" s="78">
        <f t="shared" si="11"/>
        <v>95</v>
      </c>
      <c r="AG14" s="77">
        <f t="shared" si="12"/>
        <v>5</v>
      </c>
      <c r="AH14" s="221"/>
      <c r="AI14" s="61">
        <v>20</v>
      </c>
      <c r="AJ14" s="61">
        <v>69</v>
      </c>
      <c r="AK14" s="78">
        <f t="shared" si="13"/>
        <v>89</v>
      </c>
      <c r="AL14" s="77">
        <f t="shared" si="14"/>
        <v>5</v>
      </c>
      <c r="AM14" s="221"/>
      <c r="AN14" s="77"/>
      <c r="AO14" s="63">
        <v>37</v>
      </c>
      <c r="AP14" s="78">
        <f t="shared" si="15"/>
        <v>37</v>
      </c>
      <c r="AQ14" s="77">
        <f t="shared" si="16"/>
        <v>4</v>
      </c>
      <c r="AR14" s="221"/>
      <c r="AS14" s="63">
        <v>30</v>
      </c>
      <c r="AT14" s="77">
        <f t="shared" si="17"/>
        <v>3.5</v>
      </c>
      <c r="AU14" s="221"/>
      <c r="AV14" s="77">
        <f t="shared" si="0"/>
        <v>30.5</v>
      </c>
      <c r="AW14" s="79">
        <f t="shared" si="18"/>
        <v>4.3571428571428568</v>
      </c>
      <c r="AX14" s="63">
        <f t="shared" si="1"/>
        <v>592</v>
      </c>
      <c r="AY14" s="61"/>
      <c r="AZ14" s="61"/>
      <c r="BA14" s="61" t="str">
        <f t="shared" si="2"/>
        <v>BETTER</v>
      </c>
    </row>
    <row r="15" spans="1:53" ht="15.75">
      <c r="A15" s="21">
        <v>8</v>
      </c>
      <c r="B15" s="41">
        <v>12</v>
      </c>
      <c r="C15" s="42" t="s">
        <v>90</v>
      </c>
      <c r="D15" s="42" t="s">
        <v>91</v>
      </c>
      <c r="E15" s="42" t="s">
        <v>92</v>
      </c>
      <c r="F15" s="51">
        <v>19</v>
      </c>
      <c r="G15" s="51">
        <v>75</v>
      </c>
      <c r="H15" s="52">
        <v>10</v>
      </c>
      <c r="I15" s="52">
        <v>32</v>
      </c>
      <c r="J15" s="53">
        <f t="shared" si="3"/>
        <v>136</v>
      </c>
      <c r="K15" s="52">
        <f t="shared" si="4"/>
        <v>5</v>
      </c>
      <c r="L15" s="221"/>
      <c r="M15" s="51">
        <v>19</v>
      </c>
      <c r="N15" s="51">
        <v>59</v>
      </c>
      <c r="O15" s="52">
        <v>9</v>
      </c>
      <c r="P15" s="52">
        <v>24</v>
      </c>
      <c r="Q15" s="53">
        <f t="shared" si="5"/>
        <v>111</v>
      </c>
      <c r="R15" s="52">
        <f t="shared" si="6"/>
        <v>4</v>
      </c>
      <c r="S15" s="221"/>
      <c r="T15" s="51">
        <v>12</v>
      </c>
      <c r="U15" s="51">
        <v>37</v>
      </c>
      <c r="V15" s="53">
        <f t="shared" si="7"/>
        <v>49</v>
      </c>
      <c r="W15" s="52">
        <f t="shared" si="8"/>
        <v>2</v>
      </c>
      <c r="X15" s="221"/>
      <c r="Y15" s="51">
        <v>15</v>
      </c>
      <c r="Z15" s="51">
        <v>72</v>
      </c>
      <c r="AA15" s="53">
        <f t="shared" si="9"/>
        <v>87</v>
      </c>
      <c r="AB15" s="52">
        <f t="shared" si="10"/>
        <v>5</v>
      </c>
      <c r="AC15" s="221"/>
      <c r="AD15" s="51">
        <v>18</v>
      </c>
      <c r="AE15" s="51">
        <v>59</v>
      </c>
      <c r="AF15" s="53">
        <f t="shared" si="11"/>
        <v>77</v>
      </c>
      <c r="AG15" s="52">
        <f t="shared" si="12"/>
        <v>4</v>
      </c>
      <c r="AH15" s="221"/>
      <c r="AI15" s="51">
        <v>20</v>
      </c>
      <c r="AJ15" s="51">
        <v>71</v>
      </c>
      <c r="AK15" s="53">
        <f t="shared" si="13"/>
        <v>91</v>
      </c>
      <c r="AL15" s="52">
        <f t="shared" si="14"/>
        <v>5</v>
      </c>
      <c r="AM15" s="221"/>
      <c r="AN15" s="52"/>
      <c r="AO15" s="54">
        <v>42</v>
      </c>
      <c r="AP15" s="53">
        <f t="shared" si="15"/>
        <v>42</v>
      </c>
      <c r="AQ15" s="52">
        <f t="shared" si="16"/>
        <v>5</v>
      </c>
      <c r="AR15" s="221"/>
      <c r="AS15" s="54">
        <v>40</v>
      </c>
      <c r="AT15" s="52">
        <f t="shared" si="17"/>
        <v>5</v>
      </c>
      <c r="AU15" s="221"/>
      <c r="AV15" s="52">
        <f t="shared" si="0"/>
        <v>30</v>
      </c>
      <c r="AW15" s="55">
        <f t="shared" si="18"/>
        <v>4.2857142857142856</v>
      </c>
      <c r="AX15" s="54">
        <f t="shared" si="1"/>
        <v>593</v>
      </c>
      <c r="AY15" s="51"/>
      <c r="AZ15" s="51"/>
      <c r="BA15" s="51" t="str">
        <f t="shared" si="2"/>
        <v>BETTER</v>
      </c>
    </row>
    <row r="16" spans="1:53" ht="15.75">
      <c r="A16" s="21">
        <v>9</v>
      </c>
      <c r="B16" s="41">
        <v>14</v>
      </c>
      <c r="C16" s="42" t="s">
        <v>93</v>
      </c>
      <c r="D16" s="42" t="s">
        <v>94</v>
      </c>
      <c r="E16" s="42" t="s">
        <v>95</v>
      </c>
      <c r="F16" s="51">
        <v>18</v>
      </c>
      <c r="G16" s="51">
        <v>61</v>
      </c>
      <c r="H16" s="52">
        <v>9</v>
      </c>
      <c r="I16" s="52">
        <v>26</v>
      </c>
      <c r="J16" s="53">
        <f t="shared" si="3"/>
        <v>114</v>
      </c>
      <c r="K16" s="52">
        <f t="shared" si="4"/>
        <v>4</v>
      </c>
      <c r="L16" s="221"/>
      <c r="M16" s="51">
        <v>17</v>
      </c>
      <c r="N16" s="51">
        <v>61</v>
      </c>
      <c r="O16" s="52">
        <v>9</v>
      </c>
      <c r="P16" s="52">
        <v>29</v>
      </c>
      <c r="Q16" s="53">
        <f t="shared" si="5"/>
        <v>116</v>
      </c>
      <c r="R16" s="52">
        <f t="shared" si="6"/>
        <v>4</v>
      </c>
      <c r="S16" s="221"/>
      <c r="T16" s="51">
        <v>13</v>
      </c>
      <c r="U16" s="51">
        <v>36</v>
      </c>
      <c r="V16" s="53">
        <f t="shared" si="7"/>
        <v>49</v>
      </c>
      <c r="W16" s="52">
        <f t="shared" si="8"/>
        <v>2</v>
      </c>
      <c r="X16" s="221"/>
      <c r="Y16" s="51">
        <v>17</v>
      </c>
      <c r="Z16" s="51">
        <v>71</v>
      </c>
      <c r="AA16" s="53">
        <f t="shared" si="9"/>
        <v>88</v>
      </c>
      <c r="AB16" s="52">
        <f t="shared" si="10"/>
        <v>5</v>
      </c>
      <c r="AC16" s="221"/>
      <c r="AD16" s="51">
        <v>18</v>
      </c>
      <c r="AE16" s="51">
        <v>71</v>
      </c>
      <c r="AF16" s="53">
        <f t="shared" si="11"/>
        <v>89</v>
      </c>
      <c r="AG16" s="52">
        <f t="shared" si="12"/>
        <v>5</v>
      </c>
      <c r="AH16" s="221"/>
      <c r="AI16" s="51">
        <v>20</v>
      </c>
      <c r="AJ16" s="51">
        <v>63</v>
      </c>
      <c r="AK16" s="53">
        <f t="shared" si="13"/>
        <v>83</v>
      </c>
      <c r="AL16" s="52">
        <f t="shared" si="14"/>
        <v>5</v>
      </c>
      <c r="AM16" s="221"/>
      <c r="AN16" s="52"/>
      <c r="AO16" s="54">
        <v>39</v>
      </c>
      <c r="AP16" s="53">
        <f t="shared" si="15"/>
        <v>39</v>
      </c>
      <c r="AQ16" s="52">
        <f t="shared" si="16"/>
        <v>4</v>
      </c>
      <c r="AR16" s="221"/>
      <c r="AS16" s="54">
        <v>45</v>
      </c>
      <c r="AT16" s="52">
        <f t="shared" si="17"/>
        <v>5</v>
      </c>
      <c r="AU16" s="221"/>
      <c r="AV16" s="52">
        <f t="shared" si="0"/>
        <v>29</v>
      </c>
      <c r="AW16" s="55">
        <f t="shared" si="18"/>
        <v>4.1428571428571432</v>
      </c>
      <c r="AX16" s="54">
        <f t="shared" si="1"/>
        <v>578</v>
      </c>
      <c r="AY16" s="51"/>
      <c r="AZ16" s="51"/>
      <c r="BA16" s="51" t="str">
        <f t="shared" si="2"/>
        <v>BETTER</v>
      </c>
    </row>
    <row r="17" spans="1:53" ht="15.75">
      <c r="A17" s="21">
        <v>10</v>
      </c>
      <c r="B17" s="41">
        <v>16</v>
      </c>
      <c r="C17" s="42" t="s">
        <v>96</v>
      </c>
      <c r="D17" s="42" t="s">
        <v>97</v>
      </c>
      <c r="E17" s="42" t="s">
        <v>98</v>
      </c>
      <c r="F17" s="51">
        <v>19</v>
      </c>
      <c r="G17" s="51">
        <v>67</v>
      </c>
      <c r="H17" s="52">
        <v>7</v>
      </c>
      <c r="I17" s="52">
        <v>32</v>
      </c>
      <c r="J17" s="53">
        <f t="shared" si="3"/>
        <v>125</v>
      </c>
      <c r="K17" s="52">
        <f t="shared" si="4"/>
        <v>5</v>
      </c>
      <c r="L17" s="221"/>
      <c r="M17" s="51">
        <v>19</v>
      </c>
      <c r="N17" s="51">
        <v>56</v>
      </c>
      <c r="O17" s="52">
        <v>9</v>
      </c>
      <c r="P17" s="52">
        <v>28</v>
      </c>
      <c r="Q17" s="53">
        <f t="shared" si="5"/>
        <v>112</v>
      </c>
      <c r="R17" s="52">
        <f t="shared" si="6"/>
        <v>4</v>
      </c>
      <c r="S17" s="221"/>
      <c r="T17" s="51">
        <v>17</v>
      </c>
      <c r="U17" s="51">
        <v>59</v>
      </c>
      <c r="V17" s="53">
        <f t="shared" si="7"/>
        <v>76</v>
      </c>
      <c r="W17" s="52">
        <f t="shared" si="8"/>
        <v>4</v>
      </c>
      <c r="X17" s="221"/>
      <c r="Y17" s="51">
        <v>14</v>
      </c>
      <c r="Z17" s="51">
        <v>72</v>
      </c>
      <c r="AA17" s="53">
        <f t="shared" si="9"/>
        <v>86</v>
      </c>
      <c r="AB17" s="52">
        <f t="shared" si="10"/>
        <v>5</v>
      </c>
      <c r="AC17" s="221"/>
      <c r="AD17" s="51">
        <v>17</v>
      </c>
      <c r="AE17" s="51">
        <v>64</v>
      </c>
      <c r="AF17" s="53">
        <f t="shared" si="11"/>
        <v>81</v>
      </c>
      <c r="AG17" s="52">
        <f t="shared" si="12"/>
        <v>5</v>
      </c>
      <c r="AH17" s="221"/>
      <c r="AI17" s="51">
        <v>20</v>
      </c>
      <c r="AJ17" s="51">
        <v>63</v>
      </c>
      <c r="AK17" s="53">
        <f t="shared" si="13"/>
        <v>83</v>
      </c>
      <c r="AL17" s="52">
        <f t="shared" si="14"/>
        <v>5</v>
      </c>
      <c r="AM17" s="221"/>
      <c r="AN17" s="52"/>
      <c r="AO17" s="54">
        <v>44</v>
      </c>
      <c r="AP17" s="53">
        <f t="shared" si="15"/>
        <v>44</v>
      </c>
      <c r="AQ17" s="52">
        <f t="shared" si="16"/>
        <v>5</v>
      </c>
      <c r="AR17" s="221"/>
      <c r="AS17" s="54">
        <v>48</v>
      </c>
      <c r="AT17" s="52">
        <f t="shared" si="17"/>
        <v>5</v>
      </c>
      <c r="AU17" s="221"/>
      <c r="AV17" s="52">
        <f t="shared" si="0"/>
        <v>33</v>
      </c>
      <c r="AW17" s="55">
        <f t="shared" si="18"/>
        <v>4.7142857142857144</v>
      </c>
      <c r="AX17" s="54">
        <f t="shared" si="1"/>
        <v>607</v>
      </c>
      <c r="AY17" s="51"/>
      <c r="AZ17" s="51"/>
      <c r="BA17" s="51" t="str">
        <f t="shared" si="2"/>
        <v>BETTER</v>
      </c>
    </row>
    <row r="18" spans="1:53" ht="15.75">
      <c r="A18" s="21">
        <v>11</v>
      </c>
      <c r="B18" s="41">
        <v>18</v>
      </c>
      <c r="C18" s="42" t="s">
        <v>99</v>
      </c>
      <c r="D18" s="42" t="s">
        <v>100</v>
      </c>
      <c r="E18" s="42" t="s">
        <v>101</v>
      </c>
      <c r="F18" s="51">
        <v>19</v>
      </c>
      <c r="G18" s="51">
        <v>78</v>
      </c>
      <c r="H18" s="52">
        <v>8</v>
      </c>
      <c r="I18" s="52">
        <v>33</v>
      </c>
      <c r="J18" s="53">
        <f t="shared" si="3"/>
        <v>138</v>
      </c>
      <c r="K18" s="52">
        <f t="shared" si="4"/>
        <v>5</v>
      </c>
      <c r="L18" s="221"/>
      <c r="M18" s="51">
        <v>19</v>
      </c>
      <c r="N18" s="51">
        <v>76</v>
      </c>
      <c r="O18" s="52">
        <v>9</v>
      </c>
      <c r="P18" s="52">
        <v>35</v>
      </c>
      <c r="Q18" s="53">
        <f t="shared" si="5"/>
        <v>139</v>
      </c>
      <c r="R18" s="52">
        <f t="shared" si="6"/>
        <v>5</v>
      </c>
      <c r="S18" s="221"/>
      <c r="T18" s="51">
        <v>15</v>
      </c>
      <c r="U18" s="51">
        <v>72</v>
      </c>
      <c r="V18" s="53">
        <f t="shared" si="7"/>
        <v>87</v>
      </c>
      <c r="W18" s="52">
        <f t="shared" si="8"/>
        <v>5</v>
      </c>
      <c r="X18" s="221"/>
      <c r="Y18" s="51">
        <v>19</v>
      </c>
      <c r="Z18" s="51">
        <v>77</v>
      </c>
      <c r="AA18" s="53">
        <f t="shared" si="9"/>
        <v>96</v>
      </c>
      <c r="AB18" s="52">
        <f t="shared" si="10"/>
        <v>5</v>
      </c>
      <c r="AC18" s="221"/>
      <c r="AD18" s="51">
        <v>18</v>
      </c>
      <c r="AE18" s="51">
        <v>74</v>
      </c>
      <c r="AF18" s="53">
        <f t="shared" si="11"/>
        <v>92</v>
      </c>
      <c r="AG18" s="52">
        <f t="shared" si="12"/>
        <v>5</v>
      </c>
      <c r="AH18" s="221"/>
      <c r="AI18" s="51">
        <v>18</v>
      </c>
      <c r="AJ18" s="51">
        <v>63</v>
      </c>
      <c r="AK18" s="53">
        <f t="shared" si="13"/>
        <v>81</v>
      </c>
      <c r="AL18" s="52">
        <f t="shared" si="14"/>
        <v>5</v>
      </c>
      <c r="AM18" s="221"/>
      <c r="AN18" s="52"/>
      <c r="AO18" s="54">
        <v>45</v>
      </c>
      <c r="AP18" s="53">
        <f t="shared" si="15"/>
        <v>45</v>
      </c>
      <c r="AQ18" s="52">
        <f t="shared" si="16"/>
        <v>5</v>
      </c>
      <c r="AR18" s="221"/>
      <c r="AS18" s="54">
        <v>50</v>
      </c>
      <c r="AT18" s="52">
        <f t="shared" si="17"/>
        <v>5</v>
      </c>
      <c r="AU18" s="221"/>
      <c r="AV18" s="52">
        <f t="shared" si="0"/>
        <v>35</v>
      </c>
      <c r="AW18" s="55">
        <f t="shared" si="18"/>
        <v>5</v>
      </c>
      <c r="AX18" s="54">
        <f t="shared" si="1"/>
        <v>678</v>
      </c>
      <c r="AY18" s="51"/>
      <c r="AZ18" s="51"/>
      <c r="BA18" s="51" t="str">
        <f t="shared" si="2"/>
        <v>BEST</v>
      </c>
    </row>
    <row r="19" spans="1:53" ht="15.75">
      <c r="A19" s="21">
        <v>12</v>
      </c>
      <c r="B19" s="43">
        <v>30</v>
      </c>
      <c r="C19" s="44" t="s">
        <v>102</v>
      </c>
      <c r="D19" s="44" t="s">
        <v>103</v>
      </c>
      <c r="E19" s="44" t="s">
        <v>104</v>
      </c>
      <c r="F19" s="51">
        <v>19</v>
      </c>
      <c r="G19" s="51">
        <v>75</v>
      </c>
      <c r="H19" s="52">
        <v>9</v>
      </c>
      <c r="I19" s="52">
        <v>32</v>
      </c>
      <c r="J19" s="53">
        <f t="shared" si="3"/>
        <v>135</v>
      </c>
      <c r="K19" s="52">
        <f t="shared" si="4"/>
        <v>5</v>
      </c>
      <c r="L19" s="221"/>
      <c r="M19" s="51">
        <v>18</v>
      </c>
      <c r="N19" s="51">
        <v>59</v>
      </c>
      <c r="O19" s="52">
        <v>3</v>
      </c>
      <c r="P19" s="52">
        <v>21</v>
      </c>
      <c r="Q19" s="53">
        <f t="shared" si="5"/>
        <v>101</v>
      </c>
      <c r="R19" s="52">
        <f t="shared" si="6"/>
        <v>3.5</v>
      </c>
      <c r="S19" s="221"/>
      <c r="T19" s="51">
        <v>12</v>
      </c>
      <c r="U19" s="51">
        <v>51</v>
      </c>
      <c r="V19" s="53">
        <f t="shared" si="7"/>
        <v>63</v>
      </c>
      <c r="W19" s="52">
        <f t="shared" si="8"/>
        <v>3.5</v>
      </c>
      <c r="X19" s="221"/>
      <c r="Y19" s="51">
        <v>19</v>
      </c>
      <c r="Z19" s="51">
        <v>64</v>
      </c>
      <c r="AA19" s="53">
        <f t="shared" si="9"/>
        <v>83</v>
      </c>
      <c r="AB19" s="52">
        <f t="shared" si="10"/>
        <v>5</v>
      </c>
      <c r="AC19" s="221"/>
      <c r="AD19" s="51">
        <v>0</v>
      </c>
      <c r="AE19" s="51">
        <v>0</v>
      </c>
      <c r="AF19" s="53">
        <f t="shared" si="11"/>
        <v>0</v>
      </c>
      <c r="AG19" s="52" t="str">
        <f t="shared" si="12"/>
        <v>F</v>
      </c>
      <c r="AH19" s="221"/>
      <c r="AI19" s="51">
        <v>19</v>
      </c>
      <c r="AJ19" s="51">
        <v>62</v>
      </c>
      <c r="AK19" s="53">
        <f t="shared" si="13"/>
        <v>81</v>
      </c>
      <c r="AL19" s="52">
        <f t="shared" si="14"/>
        <v>5</v>
      </c>
      <c r="AM19" s="221"/>
      <c r="AN19" s="52"/>
      <c r="AO19" s="54">
        <v>37</v>
      </c>
      <c r="AP19" s="53">
        <f t="shared" si="15"/>
        <v>37</v>
      </c>
      <c r="AQ19" s="52">
        <f t="shared" si="16"/>
        <v>4</v>
      </c>
      <c r="AR19" s="221"/>
      <c r="AS19" s="54">
        <v>48</v>
      </c>
      <c r="AT19" s="52">
        <f t="shared" si="17"/>
        <v>5</v>
      </c>
      <c r="AU19" s="221"/>
      <c r="AV19" s="52" t="str">
        <f t="shared" si="0"/>
        <v>F</v>
      </c>
      <c r="AW19" s="55" t="str">
        <f t="shared" si="18"/>
        <v>F</v>
      </c>
      <c r="AX19" s="54">
        <f t="shared" si="1"/>
        <v>500</v>
      </c>
      <c r="AY19" s="51"/>
      <c r="AZ19" s="51"/>
      <c r="BA19" s="51" t="str">
        <f t="shared" si="2"/>
        <v>NEED TO PROGRESS</v>
      </c>
    </row>
    <row r="20" spans="1:53" ht="15.75">
      <c r="A20" s="21">
        <v>13</v>
      </c>
      <c r="B20" s="43">
        <v>39</v>
      </c>
      <c r="C20" s="44" t="s">
        <v>105</v>
      </c>
      <c r="D20" s="44" t="s">
        <v>106</v>
      </c>
      <c r="E20" s="44" t="s">
        <v>107</v>
      </c>
      <c r="F20" s="51">
        <v>15</v>
      </c>
      <c r="G20" s="51">
        <v>64</v>
      </c>
      <c r="H20" s="52">
        <v>10</v>
      </c>
      <c r="I20" s="52">
        <v>33</v>
      </c>
      <c r="J20" s="53">
        <f t="shared" si="3"/>
        <v>122</v>
      </c>
      <c r="K20" s="52">
        <f t="shared" si="4"/>
        <v>5</v>
      </c>
      <c r="L20" s="221"/>
      <c r="M20" s="51">
        <v>19</v>
      </c>
      <c r="N20" s="51">
        <v>72</v>
      </c>
      <c r="O20" s="52">
        <v>8</v>
      </c>
      <c r="P20" s="52">
        <v>28</v>
      </c>
      <c r="Q20" s="53">
        <f t="shared" si="5"/>
        <v>127</v>
      </c>
      <c r="R20" s="52">
        <f t="shared" si="6"/>
        <v>5</v>
      </c>
      <c r="S20" s="221"/>
      <c r="T20" s="51">
        <v>18</v>
      </c>
      <c r="U20" s="51">
        <v>58</v>
      </c>
      <c r="V20" s="53">
        <f t="shared" si="7"/>
        <v>76</v>
      </c>
      <c r="W20" s="52">
        <f t="shared" si="8"/>
        <v>4</v>
      </c>
      <c r="X20" s="221"/>
      <c r="Y20" s="51">
        <v>20</v>
      </c>
      <c r="Z20" s="51">
        <v>69</v>
      </c>
      <c r="AA20" s="53">
        <f t="shared" si="9"/>
        <v>89</v>
      </c>
      <c r="AB20" s="52">
        <f t="shared" si="10"/>
        <v>5</v>
      </c>
      <c r="AC20" s="221"/>
      <c r="AD20" s="51">
        <v>19</v>
      </c>
      <c r="AE20" s="51">
        <v>73</v>
      </c>
      <c r="AF20" s="53">
        <f t="shared" si="11"/>
        <v>92</v>
      </c>
      <c r="AG20" s="52">
        <f t="shared" si="12"/>
        <v>5</v>
      </c>
      <c r="AH20" s="221"/>
      <c r="AI20" s="51">
        <v>19</v>
      </c>
      <c r="AJ20" s="51">
        <v>77</v>
      </c>
      <c r="AK20" s="53">
        <f t="shared" si="13"/>
        <v>96</v>
      </c>
      <c r="AL20" s="52">
        <f t="shared" si="14"/>
        <v>5</v>
      </c>
      <c r="AM20" s="221"/>
      <c r="AN20" s="52"/>
      <c r="AO20" s="54">
        <v>45</v>
      </c>
      <c r="AP20" s="53">
        <f t="shared" si="15"/>
        <v>45</v>
      </c>
      <c r="AQ20" s="52">
        <f t="shared" si="16"/>
        <v>5</v>
      </c>
      <c r="AR20" s="221"/>
      <c r="AS20" s="54">
        <v>43</v>
      </c>
      <c r="AT20" s="52">
        <f t="shared" si="17"/>
        <v>5</v>
      </c>
      <c r="AU20" s="221"/>
      <c r="AV20" s="52">
        <f t="shared" si="0"/>
        <v>34</v>
      </c>
      <c r="AW20" s="55">
        <f t="shared" si="18"/>
        <v>4.8571428571428568</v>
      </c>
      <c r="AX20" s="54">
        <f t="shared" si="1"/>
        <v>647</v>
      </c>
      <c r="AY20" s="51"/>
      <c r="AZ20" s="51"/>
      <c r="BA20" s="51" t="str">
        <f t="shared" si="2"/>
        <v>BETTER</v>
      </c>
    </row>
    <row r="21" spans="1:53" ht="15.75">
      <c r="A21" s="21">
        <v>14</v>
      </c>
      <c r="B21" s="43">
        <v>40</v>
      </c>
      <c r="C21" s="44" t="s">
        <v>108</v>
      </c>
      <c r="D21" s="44" t="s">
        <v>109</v>
      </c>
      <c r="E21" s="44" t="s">
        <v>110</v>
      </c>
      <c r="F21" s="51">
        <v>20</v>
      </c>
      <c r="G21" s="51">
        <v>77</v>
      </c>
      <c r="H21" s="52">
        <v>8</v>
      </c>
      <c r="I21" s="52">
        <v>36</v>
      </c>
      <c r="J21" s="53">
        <f t="shared" si="3"/>
        <v>141</v>
      </c>
      <c r="K21" s="52">
        <f t="shared" si="4"/>
        <v>5</v>
      </c>
      <c r="L21" s="221"/>
      <c r="M21" s="51">
        <v>20</v>
      </c>
      <c r="N21" s="51">
        <v>57</v>
      </c>
      <c r="O21" s="52">
        <v>10</v>
      </c>
      <c r="P21" s="52">
        <v>29</v>
      </c>
      <c r="Q21" s="53">
        <f t="shared" si="5"/>
        <v>116</v>
      </c>
      <c r="R21" s="52">
        <f t="shared" si="6"/>
        <v>4</v>
      </c>
      <c r="S21" s="221"/>
      <c r="T21" s="51">
        <v>15</v>
      </c>
      <c r="U21" s="51">
        <v>51</v>
      </c>
      <c r="V21" s="53">
        <f t="shared" si="7"/>
        <v>66</v>
      </c>
      <c r="W21" s="52">
        <f t="shared" si="8"/>
        <v>3.5</v>
      </c>
      <c r="X21" s="221"/>
      <c r="Y21" s="51">
        <v>17</v>
      </c>
      <c r="Z21" s="51">
        <v>76</v>
      </c>
      <c r="AA21" s="53">
        <f t="shared" si="9"/>
        <v>93</v>
      </c>
      <c r="AB21" s="52">
        <f t="shared" si="10"/>
        <v>5</v>
      </c>
      <c r="AC21" s="221"/>
      <c r="AD21" s="51">
        <v>19</v>
      </c>
      <c r="AE21" s="51">
        <v>70</v>
      </c>
      <c r="AF21" s="53">
        <f t="shared" si="11"/>
        <v>89</v>
      </c>
      <c r="AG21" s="52">
        <f t="shared" si="12"/>
        <v>5</v>
      </c>
      <c r="AH21" s="221"/>
      <c r="AI21" s="51">
        <v>19</v>
      </c>
      <c r="AJ21" s="51">
        <v>66</v>
      </c>
      <c r="AK21" s="53">
        <f t="shared" si="13"/>
        <v>85</v>
      </c>
      <c r="AL21" s="52">
        <f t="shared" si="14"/>
        <v>5</v>
      </c>
      <c r="AM21" s="221"/>
      <c r="AN21" s="52"/>
      <c r="AO21" s="54">
        <v>35</v>
      </c>
      <c r="AP21" s="53">
        <f t="shared" si="15"/>
        <v>35</v>
      </c>
      <c r="AQ21" s="52">
        <f t="shared" si="16"/>
        <v>4</v>
      </c>
      <c r="AR21" s="221"/>
      <c r="AS21" s="54">
        <v>48</v>
      </c>
      <c r="AT21" s="52">
        <f t="shared" si="17"/>
        <v>5</v>
      </c>
      <c r="AU21" s="221"/>
      <c r="AV21" s="52">
        <f t="shared" si="0"/>
        <v>31.5</v>
      </c>
      <c r="AW21" s="55">
        <f t="shared" si="18"/>
        <v>4.5</v>
      </c>
      <c r="AX21" s="54">
        <f t="shared" si="1"/>
        <v>625</v>
      </c>
      <c r="AY21" s="51"/>
      <c r="AZ21" s="51"/>
      <c r="BA21" s="51" t="str">
        <f t="shared" si="2"/>
        <v>BETTER</v>
      </c>
    </row>
    <row r="22" spans="1:53" ht="15.75">
      <c r="A22" s="21">
        <v>15</v>
      </c>
      <c r="B22" s="43">
        <v>42</v>
      </c>
      <c r="C22" s="44" t="s">
        <v>111</v>
      </c>
      <c r="D22" s="44" t="s">
        <v>112</v>
      </c>
      <c r="E22" s="44" t="s">
        <v>113</v>
      </c>
      <c r="F22" s="51">
        <v>20</v>
      </c>
      <c r="G22" s="51">
        <v>78</v>
      </c>
      <c r="H22" s="52">
        <v>10</v>
      </c>
      <c r="I22" s="52">
        <v>28</v>
      </c>
      <c r="J22" s="53">
        <f t="shared" si="3"/>
        <v>136</v>
      </c>
      <c r="K22" s="52">
        <f t="shared" si="4"/>
        <v>5</v>
      </c>
      <c r="L22" s="221"/>
      <c r="M22" s="51">
        <v>18</v>
      </c>
      <c r="N22" s="51">
        <v>39</v>
      </c>
      <c r="O22" s="52">
        <v>8</v>
      </c>
      <c r="P22" s="52">
        <v>20</v>
      </c>
      <c r="Q22" s="53">
        <f t="shared" ref="Q22:Q35" si="19">M22+N22+O22+P22</f>
        <v>85</v>
      </c>
      <c r="R22" s="52">
        <f t="shared" ref="R22:R35" si="20">IF(Q22&lt;60,"F",IF(Q22&lt;75,2,IF(Q22&lt;90,3,IF(Q22&lt;105,3.5,IF(Q22&lt;120,4,5)))))</f>
        <v>3</v>
      </c>
      <c r="S22" s="221"/>
      <c r="T22" s="51">
        <v>15</v>
      </c>
      <c r="U22" s="51">
        <v>54</v>
      </c>
      <c r="V22" s="53">
        <f t="shared" ref="V22:V35" si="21">T22+U22</f>
        <v>69</v>
      </c>
      <c r="W22" s="52">
        <f t="shared" ref="W22:W35" si="22">IF(V22&lt;40,"F",IF(V22&lt;50,2,IF(V22&lt;60,3,IF(V22&lt;70,3.5,IF(V22&lt;80,4,5)))))</f>
        <v>3.5</v>
      </c>
      <c r="X22" s="221"/>
      <c r="Y22" s="51">
        <v>18</v>
      </c>
      <c r="Z22" s="51">
        <v>69</v>
      </c>
      <c r="AA22" s="53">
        <f t="shared" ref="AA22:AA35" si="23">Y22+Z22</f>
        <v>87</v>
      </c>
      <c r="AB22" s="52">
        <f t="shared" ref="AB22:AB35" si="24">IF(AA22&lt;40,"F",IF(AA22&lt;50,2,IF(AA22&lt;60,3,IF(AA22&lt;70,3.5,IF(AA22&lt;80,4,5)))))</f>
        <v>5</v>
      </c>
      <c r="AC22" s="221"/>
      <c r="AD22" s="51">
        <v>19</v>
      </c>
      <c r="AE22" s="51">
        <v>72</v>
      </c>
      <c r="AF22" s="53">
        <f t="shared" ref="AF22:AF35" si="25">AD22+AE22</f>
        <v>91</v>
      </c>
      <c r="AG22" s="52">
        <f t="shared" ref="AG22:AG35" si="26">IF(AF22&lt;40,"F",IF(AF22&lt;50,2,IF(AF22&lt;60,3,IF(AF22&lt;70,3.5,IF(AF22&lt;80,4,5)))))</f>
        <v>5</v>
      </c>
      <c r="AH22" s="221"/>
      <c r="AI22" s="51">
        <v>19</v>
      </c>
      <c r="AJ22" s="51">
        <v>64</v>
      </c>
      <c r="AK22" s="53">
        <f t="shared" ref="AK22:AK35" si="27">AI22+AJ22</f>
        <v>83</v>
      </c>
      <c r="AL22" s="52">
        <f t="shared" ref="AL22:AL35" si="28">IF(AK22&lt;40,"F",IF(AK22&lt;50,2,IF(AK22&lt;60,3,IF(AK22&lt;70,3.5,IF(AK22&lt;80,4,5)))))</f>
        <v>5</v>
      </c>
      <c r="AM22" s="221"/>
      <c r="AN22" s="52"/>
      <c r="AO22" s="54">
        <v>37</v>
      </c>
      <c r="AP22" s="53">
        <f t="shared" si="15"/>
        <v>37</v>
      </c>
      <c r="AQ22" s="52">
        <f t="shared" si="16"/>
        <v>4</v>
      </c>
      <c r="AR22" s="221"/>
      <c r="AS22" s="54">
        <v>40</v>
      </c>
      <c r="AT22" s="52">
        <f t="shared" si="17"/>
        <v>5</v>
      </c>
      <c r="AU22" s="221"/>
      <c r="AV22" s="52">
        <f t="shared" ref="AV22:AV67" si="29">IF(K22="F","F",IF(R22="F","F",IF(W22="F","F",IF(AB22="F","F",IF(AG22="F","F",IF(AL22="F","F",IF(AQ22="F","F",SUM(K22,R22,W22,AB22,AG22,AL22,AQ22))))))))</f>
        <v>30.5</v>
      </c>
      <c r="AW22" s="55">
        <f t="shared" ref="AW22:AW35" si="30">IF(AV22="F","F", IF(AV22&gt;=35,5,IF(AV22&lt;35,AV22/7)))</f>
        <v>4.3571428571428568</v>
      </c>
      <c r="AX22" s="54">
        <f t="shared" ref="AX22:AX67" si="31">J22+Q22+V22+AA22+AF22+AK22+AP22</f>
        <v>588</v>
      </c>
      <c r="AY22" s="51"/>
      <c r="AZ22" s="51"/>
      <c r="BA22" s="51" t="str">
        <f t="shared" ref="BA22:BA67" si="32">IF(AW22="F","NEED TO PROGRESS",IF(AW22&gt;=5,"BEST",IF(AW22&gt;=4,"BETTER",IF(AW22&gt;2,"GOOD"))))</f>
        <v>BETTER</v>
      </c>
    </row>
    <row r="23" spans="1:53" ht="15.75">
      <c r="A23" s="21">
        <v>16</v>
      </c>
      <c r="B23" s="43">
        <v>43</v>
      </c>
      <c r="C23" s="44" t="s">
        <v>114</v>
      </c>
      <c r="D23" s="44" t="s">
        <v>115</v>
      </c>
      <c r="E23" s="44" t="s">
        <v>116</v>
      </c>
      <c r="F23" s="51">
        <v>20</v>
      </c>
      <c r="G23" s="51">
        <v>67</v>
      </c>
      <c r="H23" s="52">
        <v>10</v>
      </c>
      <c r="I23" s="52">
        <v>31</v>
      </c>
      <c r="J23" s="53">
        <f t="shared" si="3"/>
        <v>128</v>
      </c>
      <c r="K23" s="52">
        <f t="shared" si="4"/>
        <v>5</v>
      </c>
      <c r="L23" s="221"/>
      <c r="M23" s="51">
        <v>20</v>
      </c>
      <c r="N23" s="51">
        <v>71</v>
      </c>
      <c r="O23" s="52">
        <v>8</v>
      </c>
      <c r="P23" s="52">
        <v>29</v>
      </c>
      <c r="Q23" s="53">
        <f t="shared" si="19"/>
        <v>128</v>
      </c>
      <c r="R23" s="52">
        <f t="shared" si="20"/>
        <v>5</v>
      </c>
      <c r="S23" s="221"/>
      <c r="T23" s="51">
        <v>10</v>
      </c>
      <c r="U23" s="51">
        <v>48</v>
      </c>
      <c r="V23" s="53">
        <f t="shared" si="21"/>
        <v>58</v>
      </c>
      <c r="W23" s="52">
        <f t="shared" si="22"/>
        <v>3</v>
      </c>
      <c r="X23" s="221"/>
      <c r="Y23" s="51">
        <v>19</v>
      </c>
      <c r="Z23" s="51">
        <v>76</v>
      </c>
      <c r="AA23" s="53">
        <f t="shared" si="23"/>
        <v>95</v>
      </c>
      <c r="AB23" s="52">
        <f t="shared" si="24"/>
        <v>5</v>
      </c>
      <c r="AC23" s="221"/>
      <c r="AD23" s="51">
        <v>16</v>
      </c>
      <c r="AE23" s="51">
        <v>74</v>
      </c>
      <c r="AF23" s="53">
        <f t="shared" si="25"/>
        <v>90</v>
      </c>
      <c r="AG23" s="52">
        <f t="shared" si="26"/>
        <v>5</v>
      </c>
      <c r="AH23" s="221"/>
      <c r="AI23" s="51">
        <v>20</v>
      </c>
      <c r="AJ23" s="51">
        <v>66</v>
      </c>
      <c r="AK23" s="53">
        <f t="shared" si="27"/>
        <v>86</v>
      </c>
      <c r="AL23" s="52">
        <f t="shared" si="28"/>
        <v>5</v>
      </c>
      <c r="AM23" s="221"/>
      <c r="AN23" s="52"/>
      <c r="AO23" s="54">
        <v>44</v>
      </c>
      <c r="AP23" s="53">
        <f t="shared" si="15"/>
        <v>44</v>
      </c>
      <c r="AQ23" s="52">
        <f t="shared" si="16"/>
        <v>5</v>
      </c>
      <c r="AR23" s="221"/>
      <c r="AS23" s="54">
        <v>45</v>
      </c>
      <c r="AT23" s="52">
        <f t="shared" si="17"/>
        <v>5</v>
      </c>
      <c r="AU23" s="221"/>
      <c r="AV23" s="52">
        <f t="shared" si="29"/>
        <v>33</v>
      </c>
      <c r="AW23" s="55">
        <f t="shared" si="30"/>
        <v>4.7142857142857144</v>
      </c>
      <c r="AX23" s="54">
        <f t="shared" si="31"/>
        <v>629</v>
      </c>
      <c r="AY23" s="51"/>
      <c r="AZ23" s="51"/>
      <c r="BA23" s="51" t="str">
        <f t="shared" si="32"/>
        <v>BETTER</v>
      </c>
    </row>
    <row r="24" spans="1:53" ht="15.75">
      <c r="A24" s="21">
        <v>17</v>
      </c>
      <c r="B24" s="43">
        <v>44</v>
      </c>
      <c r="C24" s="44" t="s">
        <v>117</v>
      </c>
      <c r="D24" s="44" t="s">
        <v>118</v>
      </c>
      <c r="E24" s="44" t="s">
        <v>119</v>
      </c>
      <c r="F24" s="51">
        <v>20</v>
      </c>
      <c r="G24" s="51">
        <v>78</v>
      </c>
      <c r="H24" s="52">
        <v>9</v>
      </c>
      <c r="I24" s="52">
        <v>32</v>
      </c>
      <c r="J24" s="53">
        <f t="shared" si="3"/>
        <v>139</v>
      </c>
      <c r="K24" s="52">
        <f t="shared" si="4"/>
        <v>5</v>
      </c>
      <c r="L24" s="221"/>
      <c r="M24" s="51">
        <v>19</v>
      </c>
      <c r="N24" s="51">
        <v>40</v>
      </c>
      <c r="O24" s="52">
        <v>9</v>
      </c>
      <c r="P24" s="52">
        <v>20</v>
      </c>
      <c r="Q24" s="53">
        <f t="shared" si="19"/>
        <v>88</v>
      </c>
      <c r="R24" s="52">
        <f t="shared" si="20"/>
        <v>3</v>
      </c>
      <c r="S24" s="221"/>
      <c r="T24" s="51">
        <v>20</v>
      </c>
      <c r="U24" s="51">
        <v>57</v>
      </c>
      <c r="V24" s="53">
        <f t="shared" si="21"/>
        <v>77</v>
      </c>
      <c r="W24" s="52">
        <f t="shared" si="22"/>
        <v>4</v>
      </c>
      <c r="X24" s="221"/>
      <c r="Y24" s="51">
        <v>18</v>
      </c>
      <c r="Z24" s="51">
        <v>72</v>
      </c>
      <c r="AA24" s="53">
        <f t="shared" si="23"/>
        <v>90</v>
      </c>
      <c r="AB24" s="52">
        <f t="shared" si="24"/>
        <v>5</v>
      </c>
      <c r="AC24" s="221"/>
      <c r="AD24" s="51">
        <v>18</v>
      </c>
      <c r="AE24" s="51">
        <v>71</v>
      </c>
      <c r="AF24" s="53">
        <f t="shared" si="25"/>
        <v>89</v>
      </c>
      <c r="AG24" s="52">
        <f t="shared" si="26"/>
        <v>5</v>
      </c>
      <c r="AH24" s="221"/>
      <c r="AI24" s="51">
        <v>19</v>
      </c>
      <c r="AJ24" s="51">
        <v>73</v>
      </c>
      <c r="AK24" s="53">
        <f t="shared" si="27"/>
        <v>92</v>
      </c>
      <c r="AL24" s="52">
        <f t="shared" si="28"/>
        <v>5</v>
      </c>
      <c r="AM24" s="221"/>
      <c r="AN24" s="52"/>
      <c r="AO24" s="54">
        <v>27</v>
      </c>
      <c r="AP24" s="53">
        <f t="shared" si="15"/>
        <v>27</v>
      </c>
      <c r="AQ24" s="52">
        <f t="shared" si="16"/>
        <v>3</v>
      </c>
      <c r="AR24" s="221"/>
      <c r="AS24" s="54">
        <v>45</v>
      </c>
      <c r="AT24" s="52">
        <f t="shared" si="17"/>
        <v>5</v>
      </c>
      <c r="AU24" s="221"/>
      <c r="AV24" s="52">
        <f t="shared" si="29"/>
        <v>30</v>
      </c>
      <c r="AW24" s="55">
        <f t="shared" si="30"/>
        <v>4.2857142857142856</v>
      </c>
      <c r="AX24" s="54">
        <f t="shared" si="31"/>
        <v>602</v>
      </c>
      <c r="AY24" s="51"/>
      <c r="AZ24" s="51"/>
      <c r="BA24" s="51" t="str">
        <f t="shared" si="32"/>
        <v>BETTER</v>
      </c>
    </row>
    <row r="25" spans="1:53" ht="15.75">
      <c r="A25" s="21">
        <v>18</v>
      </c>
      <c r="B25" s="43">
        <v>46</v>
      </c>
      <c r="C25" s="44" t="s">
        <v>120</v>
      </c>
      <c r="D25" s="44" t="s">
        <v>121</v>
      </c>
      <c r="E25" s="44" t="s">
        <v>122</v>
      </c>
      <c r="F25" s="51">
        <v>18</v>
      </c>
      <c r="G25" s="51">
        <v>74</v>
      </c>
      <c r="H25" s="52">
        <v>1</v>
      </c>
      <c r="I25" s="52">
        <v>30</v>
      </c>
      <c r="J25" s="53">
        <f t="shared" si="3"/>
        <v>123</v>
      </c>
      <c r="K25" s="52">
        <f t="shared" si="4"/>
        <v>5</v>
      </c>
      <c r="L25" s="221"/>
      <c r="M25" s="51">
        <v>16</v>
      </c>
      <c r="N25" s="51">
        <v>51</v>
      </c>
      <c r="O25" s="52">
        <v>6</v>
      </c>
      <c r="P25" s="52">
        <v>35</v>
      </c>
      <c r="Q25" s="53">
        <f t="shared" si="19"/>
        <v>108</v>
      </c>
      <c r="R25" s="52">
        <f t="shared" si="20"/>
        <v>4</v>
      </c>
      <c r="S25" s="221"/>
      <c r="T25" s="51">
        <v>12</v>
      </c>
      <c r="U25" s="51">
        <v>63</v>
      </c>
      <c r="V25" s="53">
        <f t="shared" si="21"/>
        <v>75</v>
      </c>
      <c r="W25" s="52">
        <f t="shared" si="22"/>
        <v>4</v>
      </c>
      <c r="X25" s="221"/>
      <c r="Y25" s="51">
        <v>18</v>
      </c>
      <c r="Z25" s="51">
        <v>70</v>
      </c>
      <c r="AA25" s="53">
        <f t="shared" si="23"/>
        <v>88</v>
      </c>
      <c r="AB25" s="52">
        <f t="shared" si="24"/>
        <v>5</v>
      </c>
      <c r="AC25" s="221"/>
      <c r="AD25" s="51">
        <v>18</v>
      </c>
      <c r="AE25" s="51">
        <v>74</v>
      </c>
      <c r="AF25" s="53">
        <f t="shared" si="25"/>
        <v>92</v>
      </c>
      <c r="AG25" s="52">
        <f t="shared" si="26"/>
        <v>5</v>
      </c>
      <c r="AH25" s="221"/>
      <c r="AI25" s="51">
        <v>20</v>
      </c>
      <c r="AJ25" s="51">
        <v>70</v>
      </c>
      <c r="AK25" s="53">
        <f t="shared" si="27"/>
        <v>90</v>
      </c>
      <c r="AL25" s="52">
        <f t="shared" si="28"/>
        <v>5</v>
      </c>
      <c r="AM25" s="221"/>
      <c r="AN25" s="52"/>
      <c r="AO25" s="54">
        <v>41</v>
      </c>
      <c r="AP25" s="53">
        <f t="shared" si="15"/>
        <v>41</v>
      </c>
      <c r="AQ25" s="52">
        <f t="shared" si="16"/>
        <v>5</v>
      </c>
      <c r="AR25" s="221"/>
      <c r="AS25" s="54">
        <v>46</v>
      </c>
      <c r="AT25" s="52">
        <f t="shared" si="17"/>
        <v>5</v>
      </c>
      <c r="AU25" s="221"/>
      <c r="AV25" s="52">
        <f t="shared" si="29"/>
        <v>33</v>
      </c>
      <c r="AW25" s="55">
        <f t="shared" si="30"/>
        <v>4.7142857142857144</v>
      </c>
      <c r="AX25" s="54">
        <f t="shared" si="31"/>
        <v>617</v>
      </c>
      <c r="AY25" s="51"/>
      <c r="AZ25" s="51"/>
      <c r="BA25" s="51" t="str">
        <f t="shared" si="32"/>
        <v>BETTER</v>
      </c>
    </row>
    <row r="26" spans="1:53" ht="15.75">
      <c r="A26" s="21">
        <v>19</v>
      </c>
      <c r="B26" s="43">
        <v>49</v>
      </c>
      <c r="C26" s="44" t="s">
        <v>123</v>
      </c>
      <c r="D26" s="44" t="s">
        <v>124</v>
      </c>
      <c r="E26" s="44" t="s">
        <v>125</v>
      </c>
      <c r="F26" s="51">
        <v>20</v>
      </c>
      <c r="G26" s="51">
        <v>77</v>
      </c>
      <c r="H26" s="52">
        <v>10</v>
      </c>
      <c r="I26" s="52">
        <v>35</v>
      </c>
      <c r="J26" s="53">
        <f t="shared" si="3"/>
        <v>142</v>
      </c>
      <c r="K26" s="52">
        <f t="shared" si="4"/>
        <v>5</v>
      </c>
      <c r="L26" s="221"/>
      <c r="M26" s="51">
        <v>20</v>
      </c>
      <c r="N26" s="51">
        <v>79</v>
      </c>
      <c r="O26" s="52">
        <v>10</v>
      </c>
      <c r="P26" s="52">
        <v>40</v>
      </c>
      <c r="Q26" s="53">
        <f t="shared" si="19"/>
        <v>149</v>
      </c>
      <c r="R26" s="52">
        <f t="shared" si="20"/>
        <v>5</v>
      </c>
      <c r="S26" s="221"/>
      <c r="T26" s="51">
        <v>20</v>
      </c>
      <c r="U26" s="51">
        <v>78</v>
      </c>
      <c r="V26" s="53">
        <f t="shared" si="21"/>
        <v>98</v>
      </c>
      <c r="W26" s="52">
        <f t="shared" si="22"/>
        <v>5</v>
      </c>
      <c r="X26" s="221"/>
      <c r="Y26" s="51">
        <v>20</v>
      </c>
      <c r="Z26" s="51">
        <v>72</v>
      </c>
      <c r="AA26" s="53">
        <f t="shared" si="23"/>
        <v>92</v>
      </c>
      <c r="AB26" s="52">
        <f t="shared" si="24"/>
        <v>5</v>
      </c>
      <c r="AC26" s="221"/>
      <c r="AD26" s="51">
        <v>20</v>
      </c>
      <c r="AE26" s="51">
        <v>78</v>
      </c>
      <c r="AF26" s="53">
        <f t="shared" si="25"/>
        <v>98</v>
      </c>
      <c r="AG26" s="52">
        <f t="shared" si="26"/>
        <v>5</v>
      </c>
      <c r="AH26" s="221"/>
      <c r="AI26" s="51">
        <v>20</v>
      </c>
      <c r="AJ26" s="51">
        <v>79</v>
      </c>
      <c r="AK26" s="53">
        <f t="shared" si="27"/>
        <v>99</v>
      </c>
      <c r="AL26" s="52">
        <f t="shared" si="28"/>
        <v>5</v>
      </c>
      <c r="AM26" s="221"/>
      <c r="AN26" s="52"/>
      <c r="AO26" s="54">
        <v>46</v>
      </c>
      <c r="AP26" s="53">
        <f t="shared" si="15"/>
        <v>46</v>
      </c>
      <c r="AQ26" s="52">
        <f t="shared" si="16"/>
        <v>5</v>
      </c>
      <c r="AR26" s="221"/>
      <c r="AS26" s="54">
        <v>50</v>
      </c>
      <c r="AT26" s="52">
        <f t="shared" si="17"/>
        <v>5</v>
      </c>
      <c r="AU26" s="221"/>
      <c r="AV26" s="52">
        <f t="shared" si="29"/>
        <v>35</v>
      </c>
      <c r="AW26" s="55">
        <f t="shared" si="30"/>
        <v>5</v>
      </c>
      <c r="AX26" s="54">
        <f t="shared" si="31"/>
        <v>724</v>
      </c>
      <c r="AY26" s="51"/>
      <c r="AZ26" s="51"/>
      <c r="BA26" s="51" t="str">
        <f t="shared" si="32"/>
        <v>BEST</v>
      </c>
    </row>
    <row r="27" spans="1:53" ht="15.75">
      <c r="A27" s="21">
        <v>20</v>
      </c>
      <c r="B27" s="43">
        <v>51</v>
      </c>
      <c r="C27" s="44" t="s">
        <v>126</v>
      </c>
      <c r="D27" s="44" t="s">
        <v>127</v>
      </c>
      <c r="E27" s="44" t="s">
        <v>128</v>
      </c>
      <c r="F27" s="51">
        <v>20</v>
      </c>
      <c r="G27" s="51">
        <v>61</v>
      </c>
      <c r="H27" s="52">
        <v>9</v>
      </c>
      <c r="I27" s="52">
        <v>34</v>
      </c>
      <c r="J27" s="53">
        <f t="shared" si="3"/>
        <v>124</v>
      </c>
      <c r="K27" s="52">
        <f t="shared" si="4"/>
        <v>5</v>
      </c>
      <c r="L27" s="221"/>
      <c r="M27" s="51">
        <v>19</v>
      </c>
      <c r="N27" s="51">
        <v>61</v>
      </c>
      <c r="O27" s="52">
        <v>8</v>
      </c>
      <c r="P27" s="52">
        <v>25</v>
      </c>
      <c r="Q27" s="53">
        <f t="shared" si="19"/>
        <v>113</v>
      </c>
      <c r="R27" s="52">
        <f t="shared" si="20"/>
        <v>4</v>
      </c>
      <c r="S27" s="221"/>
      <c r="T27" s="51">
        <v>17</v>
      </c>
      <c r="U27" s="51">
        <v>72</v>
      </c>
      <c r="V27" s="53">
        <f t="shared" si="21"/>
        <v>89</v>
      </c>
      <c r="W27" s="52">
        <f t="shared" si="22"/>
        <v>5</v>
      </c>
      <c r="X27" s="221"/>
      <c r="Y27" s="51">
        <v>16</v>
      </c>
      <c r="Z27" s="51">
        <v>45</v>
      </c>
      <c r="AA27" s="53">
        <f t="shared" si="23"/>
        <v>61</v>
      </c>
      <c r="AB27" s="52">
        <f t="shared" si="24"/>
        <v>3.5</v>
      </c>
      <c r="AC27" s="221"/>
      <c r="AD27" s="51">
        <v>20</v>
      </c>
      <c r="AE27" s="51">
        <v>53</v>
      </c>
      <c r="AF27" s="53">
        <f t="shared" si="25"/>
        <v>73</v>
      </c>
      <c r="AG27" s="52">
        <f t="shared" si="26"/>
        <v>4</v>
      </c>
      <c r="AH27" s="221"/>
      <c r="AI27" s="51">
        <v>20</v>
      </c>
      <c r="AJ27" s="51">
        <v>58</v>
      </c>
      <c r="AK27" s="53">
        <f t="shared" si="27"/>
        <v>78</v>
      </c>
      <c r="AL27" s="52">
        <f t="shared" si="28"/>
        <v>4</v>
      </c>
      <c r="AM27" s="221"/>
      <c r="AN27" s="52"/>
      <c r="AO27" s="54">
        <v>40</v>
      </c>
      <c r="AP27" s="53">
        <f t="shared" si="15"/>
        <v>40</v>
      </c>
      <c r="AQ27" s="52">
        <f t="shared" si="16"/>
        <v>5</v>
      </c>
      <c r="AR27" s="221"/>
      <c r="AS27" s="54">
        <v>40</v>
      </c>
      <c r="AT27" s="52">
        <f t="shared" si="17"/>
        <v>5</v>
      </c>
      <c r="AU27" s="221"/>
      <c r="AV27" s="52">
        <f t="shared" si="29"/>
        <v>30.5</v>
      </c>
      <c r="AW27" s="55">
        <f t="shared" si="30"/>
        <v>4.3571428571428568</v>
      </c>
      <c r="AX27" s="54">
        <f t="shared" si="31"/>
        <v>578</v>
      </c>
      <c r="AY27" s="51"/>
      <c r="AZ27" s="51"/>
      <c r="BA27" s="51" t="str">
        <f t="shared" si="32"/>
        <v>BETTER</v>
      </c>
    </row>
    <row r="28" spans="1:53" ht="15.75">
      <c r="A28" s="21">
        <v>21</v>
      </c>
      <c r="B28" s="43">
        <v>53</v>
      </c>
      <c r="C28" s="44" t="s">
        <v>129</v>
      </c>
      <c r="D28" s="44" t="s">
        <v>130</v>
      </c>
      <c r="E28" s="44" t="s">
        <v>131</v>
      </c>
      <c r="F28" s="51">
        <v>20</v>
      </c>
      <c r="G28" s="51">
        <v>74</v>
      </c>
      <c r="H28" s="52">
        <v>10</v>
      </c>
      <c r="I28" s="52">
        <v>35</v>
      </c>
      <c r="J28" s="53">
        <f t="shared" si="3"/>
        <v>139</v>
      </c>
      <c r="K28" s="52">
        <f t="shared" si="4"/>
        <v>5</v>
      </c>
      <c r="L28" s="221"/>
      <c r="M28" s="51">
        <v>20</v>
      </c>
      <c r="N28" s="51">
        <v>78</v>
      </c>
      <c r="O28" s="52">
        <v>10</v>
      </c>
      <c r="P28" s="52">
        <v>40</v>
      </c>
      <c r="Q28" s="53">
        <f t="shared" si="19"/>
        <v>148</v>
      </c>
      <c r="R28" s="52">
        <f t="shared" si="20"/>
        <v>5</v>
      </c>
      <c r="S28" s="221"/>
      <c r="T28" s="51">
        <v>17</v>
      </c>
      <c r="U28" s="51">
        <v>55</v>
      </c>
      <c r="V28" s="53">
        <f t="shared" si="21"/>
        <v>72</v>
      </c>
      <c r="W28" s="52">
        <f t="shared" si="22"/>
        <v>4</v>
      </c>
      <c r="X28" s="221"/>
      <c r="Y28" s="51">
        <v>14</v>
      </c>
      <c r="Z28" s="51">
        <v>60</v>
      </c>
      <c r="AA28" s="53">
        <f t="shared" si="23"/>
        <v>74</v>
      </c>
      <c r="AB28" s="52">
        <f t="shared" si="24"/>
        <v>4</v>
      </c>
      <c r="AC28" s="221"/>
      <c r="AD28" s="51">
        <v>19</v>
      </c>
      <c r="AE28" s="51">
        <v>78</v>
      </c>
      <c r="AF28" s="53">
        <f t="shared" si="25"/>
        <v>97</v>
      </c>
      <c r="AG28" s="52">
        <f t="shared" si="26"/>
        <v>5</v>
      </c>
      <c r="AH28" s="221"/>
      <c r="AI28" s="51">
        <v>20</v>
      </c>
      <c r="AJ28" s="51">
        <v>78</v>
      </c>
      <c r="AK28" s="53">
        <f t="shared" si="27"/>
        <v>98</v>
      </c>
      <c r="AL28" s="52">
        <f t="shared" si="28"/>
        <v>5</v>
      </c>
      <c r="AM28" s="221"/>
      <c r="AN28" s="52"/>
      <c r="AO28" s="54">
        <v>44</v>
      </c>
      <c r="AP28" s="53">
        <f t="shared" si="15"/>
        <v>44</v>
      </c>
      <c r="AQ28" s="52">
        <f t="shared" si="16"/>
        <v>5</v>
      </c>
      <c r="AR28" s="221"/>
      <c r="AS28" s="54">
        <v>50</v>
      </c>
      <c r="AT28" s="52">
        <f t="shared" si="17"/>
        <v>5</v>
      </c>
      <c r="AU28" s="221"/>
      <c r="AV28" s="52">
        <f t="shared" si="29"/>
        <v>33</v>
      </c>
      <c r="AW28" s="55">
        <f t="shared" si="30"/>
        <v>4.7142857142857144</v>
      </c>
      <c r="AX28" s="54">
        <f t="shared" si="31"/>
        <v>672</v>
      </c>
      <c r="AY28" s="51"/>
      <c r="AZ28" s="51"/>
      <c r="BA28" s="51" t="str">
        <f t="shared" si="32"/>
        <v>BETTER</v>
      </c>
    </row>
    <row r="29" spans="1:53" ht="15.75">
      <c r="A29" s="21">
        <v>22</v>
      </c>
      <c r="B29" s="43">
        <v>55</v>
      </c>
      <c r="C29" s="44" t="s">
        <v>132</v>
      </c>
      <c r="D29" s="44" t="s">
        <v>130</v>
      </c>
      <c r="E29" s="44" t="s">
        <v>131</v>
      </c>
      <c r="F29" s="51">
        <v>20</v>
      </c>
      <c r="G29" s="51">
        <v>74</v>
      </c>
      <c r="H29" s="52">
        <v>10</v>
      </c>
      <c r="I29" s="52">
        <v>34</v>
      </c>
      <c r="J29" s="53">
        <f t="shared" si="3"/>
        <v>138</v>
      </c>
      <c r="K29" s="52">
        <f t="shared" si="4"/>
        <v>5</v>
      </c>
      <c r="L29" s="221"/>
      <c r="M29" s="51">
        <v>20</v>
      </c>
      <c r="N29" s="51">
        <v>78</v>
      </c>
      <c r="O29" s="52">
        <v>10</v>
      </c>
      <c r="P29" s="52">
        <v>38</v>
      </c>
      <c r="Q29" s="53">
        <f t="shared" si="19"/>
        <v>146</v>
      </c>
      <c r="R29" s="52">
        <f t="shared" si="20"/>
        <v>5</v>
      </c>
      <c r="S29" s="221"/>
      <c r="T29" s="51">
        <v>18</v>
      </c>
      <c r="U29" s="51">
        <v>74</v>
      </c>
      <c r="V29" s="53">
        <f t="shared" si="21"/>
        <v>92</v>
      </c>
      <c r="W29" s="52">
        <f t="shared" si="22"/>
        <v>5</v>
      </c>
      <c r="X29" s="221"/>
      <c r="Y29" s="51">
        <v>16</v>
      </c>
      <c r="Z29" s="51">
        <v>78</v>
      </c>
      <c r="AA29" s="53">
        <f t="shared" si="23"/>
        <v>94</v>
      </c>
      <c r="AB29" s="52">
        <f t="shared" si="24"/>
        <v>5</v>
      </c>
      <c r="AC29" s="221"/>
      <c r="AD29" s="51">
        <v>20</v>
      </c>
      <c r="AE29" s="51">
        <v>77</v>
      </c>
      <c r="AF29" s="53">
        <f t="shared" si="25"/>
        <v>97</v>
      </c>
      <c r="AG29" s="52">
        <f t="shared" si="26"/>
        <v>5</v>
      </c>
      <c r="AH29" s="221"/>
      <c r="AI29" s="51">
        <v>19</v>
      </c>
      <c r="AJ29" s="51">
        <v>79</v>
      </c>
      <c r="AK29" s="53">
        <f t="shared" si="27"/>
        <v>98</v>
      </c>
      <c r="AL29" s="52">
        <f t="shared" si="28"/>
        <v>5</v>
      </c>
      <c r="AM29" s="221"/>
      <c r="AN29" s="52"/>
      <c r="AO29" s="54">
        <v>47</v>
      </c>
      <c r="AP29" s="53">
        <f t="shared" si="15"/>
        <v>47</v>
      </c>
      <c r="AQ29" s="52">
        <f t="shared" si="16"/>
        <v>5</v>
      </c>
      <c r="AR29" s="221"/>
      <c r="AS29" s="54">
        <v>50</v>
      </c>
      <c r="AT29" s="52">
        <f t="shared" si="17"/>
        <v>5</v>
      </c>
      <c r="AU29" s="221"/>
      <c r="AV29" s="52">
        <f t="shared" si="29"/>
        <v>35</v>
      </c>
      <c r="AW29" s="55">
        <f t="shared" si="30"/>
        <v>5</v>
      </c>
      <c r="AX29" s="54">
        <f t="shared" si="31"/>
        <v>712</v>
      </c>
      <c r="AY29" s="51"/>
      <c r="AZ29" s="51"/>
      <c r="BA29" s="51" t="str">
        <f t="shared" si="32"/>
        <v>BEST</v>
      </c>
    </row>
    <row r="30" spans="1:53" ht="15.75">
      <c r="A30" s="21">
        <v>23</v>
      </c>
      <c r="B30" s="43">
        <v>57</v>
      </c>
      <c r="C30" s="44" t="s">
        <v>133</v>
      </c>
      <c r="D30" s="44" t="s">
        <v>134</v>
      </c>
      <c r="E30" s="44" t="s">
        <v>135</v>
      </c>
      <c r="F30" s="51">
        <v>19</v>
      </c>
      <c r="G30" s="51">
        <v>70</v>
      </c>
      <c r="H30" s="52">
        <v>10</v>
      </c>
      <c r="I30" s="52">
        <v>37</v>
      </c>
      <c r="J30" s="53">
        <f t="shared" si="3"/>
        <v>136</v>
      </c>
      <c r="K30" s="52">
        <f t="shared" si="4"/>
        <v>5</v>
      </c>
      <c r="L30" s="221"/>
      <c r="M30" s="51">
        <v>20</v>
      </c>
      <c r="N30" s="51">
        <v>75</v>
      </c>
      <c r="O30" s="52">
        <v>9</v>
      </c>
      <c r="P30" s="52">
        <v>28</v>
      </c>
      <c r="Q30" s="53">
        <f t="shared" si="19"/>
        <v>132</v>
      </c>
      <c r="R30" s="52">
        <f t="shared" si="20"/>
        <v>5</v>
      </c>
      <c r="S30" s="221"/>
      <c r="T30" s="51">
        <v>15</v>
      </c>
      <c r="U30" s="51">
        <v>65</v>
      </c>
      <c r="V30" s="53">
        <f t="shared" si="21"/>
        <v>80</v>
      </c>
      <c r="W30" s="52">
        <f t="shared" si="22"/>
        <v>5</v>
      </c>
      <c r="X30" s="221"/>
      <c r="Y30" s="51">
        <v>18</v>
      </c>
      <c r="Z30" s="51">
        <v>58</v>
      </c>
      <c r="AA30" s="53">
        <f t="shared" si="23"/>
        <v>76</v>
      </c>
      <c r="AB30" s="52">
        <f t="shared" si="24"/>
        <v>4</v>
      </c>
      <c r="AC30" s="221"/>
      <c r="AD30" s="51">
        <v>19</v>
      </c>
      <c r="AE30" s="51">
        <v>77</v>
      </c>
      <c r="AF30" s="53">
        <f t="shared" si="25"/>
        <v>96</v>
      </c>
      <c r="AG30" s="52">
        <f t="shared" si="26"/>
        <v>5</v>
      </c>
      <c r="AH30" s="221"/>
      <c r="AI30" s="51">
        <v>18</v>
      </c>
      <c r="AJ30" s="51">
        <v>74</v>
      </c>
      <c r="AK30" s="53">
        <f t="shared" si="27"/>
        <v>92</v>
      </c>
      <c r="AL30" s="52">
        <f t="shared" si="28"/>
        <v>5</v>
      </c>
      <c r="AM30" s="221"/>
      <c r="AN30" s="52"/>
      <c r="AO30" s="54">
        <v>37</v>
      </c>
      <c r="AP30" s="53">
        <f t="shared" si="15"/>
        <v>37</v>
      </c>
      <c r="AQ30" s="52">
        <f t="shared" si="16"/>
        <v>4</v>
      </c>
      <c r="AR30" s="221"/>
      <c r="AS30" s="54">
        <v>37</v>
      </c>
      <c r="AT30" s="52">
        <f t="shared" si="17"/>
        <v>4</v>
      </c>
      <c r="AU30" s="221"/>
      <c r="AV30" s="52">
        <f t="shared" si="29"/>
        <v>33</v>
      </c>
      <c r="AW30" s="55">
        <f t="shared" si="30"/>
        <v>4.7142857142857144</v>
      </c>
      <c r="AX30" s="54">
        <f t="shared" si="31"/>
        <v>649</v>
      </c>
      <c r="AY30" s="51"/>
      <c r="AZ30" s="51"/>
      <c r="BA30" s="51" t="str">
        <f t="shared" si="32"/>
        <v>BETTER</v>
      </c>
    </row>
    <row r="31" spans="1:53" ht="15.75">
      <c r="A31" s="21">
        <v>24</v>
      </c>
      <c r="B31" s="43">
        <v>58</v>
      </c>
      <c r="C31" s="44" t="s">
        <v>136</v>
      </c>
      <c r="D31" s="44" t="s">
        <v>137</v>
      </c>
      <c r="E31" s="44" t="s">
        <v>138</v>
      </c>
      <c r="F31" s="51">
        <v>19</v>
      </c>
      <c r="G31" s="51">
        <v>77</v>
      </c>
      <c r="H31" s="52">
        <v>10</v>
      </c>
      <c r="I31" s="52">
        <v>34</v>
      </c>
      <c r="J31" s="53">
        <f t="shared" si="3"/>
        <v>140</v>
      </c>
      <c r="K31" s="52">
        <f t="shared" si="4"/>
        <v>5</v>
      </c>
      <c r="L31" s="221"/>
      <c r="M31" s="51">
        <v>19</v>
      </c>
      <c r="N31" s="51">
        <v>65</v>
      </c>
      <c r="O31" s="52">
        <v>9</v>
      </c>
      <c r="P31" s="52">
        <v>34</v>
      </c>
      <c r="Q31" s="53">
        <f t="shared" si="19"/>
        <v>127</v>
      </c>
      <c r="R31" s="52">
        <f t="shared" si="20"/>
        <v>5</v>
      </c>
      <c r="S31" s="221"/>
      <c r="T31" s="51">
        <v>17</v>
      </c>
      <c r="U31" s="51">
        <v>63</v>
      </c>
      <c r="V31" s="53">
        <f t="shared" si="21"/>
        <v>80</v>
      </c>
      <c r="W31" s="52">
        <f t="shared" si="22"/>
        <v>5</v>
      </c>
      <c r="X31" s="221"/>
      <c r="Y31" s="51">
        <v>20</v>
      </c>
      <c r="Z31" s="51">
        <v>79</v>
      </c>
      <c r="AA31" s="53">
        <f t="shared" si="23"/>
        <v>99</v>
      </c>
      <c r="AB31" s="52">
        <f t="shared" si="24"/>
        <v>5</v>
      </c>
      <c r="AC31" s="221"/>
      <c r="AD31" s="51">
        <v>18</v>
      </c>
      <c r="AE31" s="51">
        <v>78</v>
      </c>
      <c r="AF31" s="53">
        <f t="shared" si="25"/>
        <v>96</v>
      </c>
      <c r="AG31" s="52">
        <f t="shared" si="26"/>
        <v>5</v>
      </c>
      <c r="AH31" s="221"/>
      <c r="AI31" s="51">
        <v>20</v>
      </c>
      <c r="AJ31" s="51">
        <v>72</v>
      </c>
      <c r="AK31" s="53">
        <f t="shared" si="27"/>
        <v>92</v>
      </c>
      <c r="AL31" s="52">
        <f t="shared" si="28"/>
        <v>5</v>
      </c>
      <c r="AM31" s="221"/>
      <c r="AN31" s="52"/>
      <c r="AO31" s="54">
        <v>44</v>
      </c>
      <c r="AP31" s="53">
        <f t="shared" si="15"/>
        <v>44</v>
      </c>
      <c r="AQ31" s="52">
        <f t="shared" si="16"/>
        <v>5</v>
      </c>
      <c r="AR31" s="221"/>
      <c r="AS31" s="54">
        <v>40</v>
      </c>
      <c r="AT31" s="52">
        <f t="shared" si="17"/>
        <v>5</v>
      </c>
      <c r="AU31" s="221"/>
      <c r="AV31" s="52">
        <f t="shared" si="29"/>
        <v>35</v>
      </c>
      <c r="AW31" s="55">
        <f t="shared" si="30"/>
        <v>5</v>
      </c>
      <c r="AX31" s="54">
        <f t="shared" si="31"/>
        <v>678</v>
      </c>
      <c r="AY31" s="51"/>
      <c r="AZ31" s="51"/>
      <c r="BA31" s="51" t="str">
        <f t="shared" si="32"/>
        <v>BEST</v>
      </c>
    </row>
    <row r="32" spans="1:53" ht="15.75">
      <c r="A32" s="21">
        <v>25</v>
      </c>
      <c r="B32" s="43">
        <v>59</v>
      </c>
      <c r="C32" s="44" t="s">
        <v>139</v>
      </c>
      <c r="D32" s="44" t="s">
        <v>140</v>
      </c>
      <c r="E32" s="44" t="s">
        <v>141</v>
      </c>
      <c r="F32" s="51">
        <v>20</v>
      </c>
      <c r="G32" s="51">
        <v>75</v>
      </c>
      <c r="H32" s="52">
        <v>9</v>
      </c>
      <c r="I32" s="52">
        <v>37</v>
      </c>
      <c r="J32" s="53">
        <f t="shared" si="3"/>
        <v>141</v>
      </c>
      <c r="K32" s="52">
        <f t="shared" si="4"/>
        <v>5</v>
      </c>
      <c r="L32" s="221"/>
      <c r="M32" s="51">
        <v>19</v>
      </c>
      <c r="N32" s="51">
        <v>76</v>
      </c>
      <c r="O32" s="52">
        <v>9</v>
      </c>
      <c r="P32" s="52">
        <v>38</v>
      </c>
      <c r="Q32" s="53">
        <f t="shared" si="19"/>
        <v>142</v>
      </c>
      <c r="R32" s="52">
        <f t="shared" si="20"/>
        <v>5</v>
      </c>
      <c r="S32" s="221"/>
      <c r="T32" s="51">
        <v>19</v>
      </c>
      <c r="U32" s="51">
        <v>68</v>
      </c>
      <c r="V32" s="53">
        <f t="shared" si="21"/>
        <v>87</v>
      </c>
      <c r="W32" s="52">
        <f t="shared" si="22"/>
        <v>5</v>
      </c>
      <c r="X32" s="221"/>
      <c r="Y32" s="51">
        <v>20</v>
      </c>
      <c r="Z32" s="51">
        <v>76</v>
      </c>
      <c r="AA32" s="53">
        <f t="shared" si="23"/>
        <v>96</v>
      </c>
      <c r="AB32" s="52">
        <f t="shared" si="24"/>
        <v>5</v>
      </c>
      <c r="AC32" s="221"/>
      <c r="AD32" s="51">
        <v>20</v>
      </c>
      <c r="AE32" s="51">
        <v>75</v>
      </c>
      <c r="AF32" s="53">
        <f t="shared" si="25"/>
        <v>95</v>
      </c>
      <c r="AG32" s="52">
        <f t="shared" si="26"/>
        <v>5</v>
      </c>
      <c r="AH32" s="221"/>
      <c r="AI32" s="51">
        <v>20</v>
      </c>
      <c r="AJ32" s="51">
        <v>78</v>
      </c>
      <c r="AK32" s="53">
        <f t="shared" si="27"/>
        <v>98</v>
      </c>
      <c r="AL32" s="52">
        <f t="shared" si="28"/>
        <v>5</v>
      </c>
      <c r="AM32" s="221"/>
      <c r="AN32" s="52"/>
      <c r="AO32" s="54">
        <v>44</v>
      </c>
      <c r="AP32" s="53">
        <f t="shared" si="15"/>
        <v>44</v>
      </c>
      <c r="AQ32" s="52">
        <f t="shared" si="16"/>
        <v>5</v>
      </c>
      <c r="AR32" s="221"/>
      <c r="AS32" s="54">
        <v>50</v>
      </c>
      <c r="AT32" s="52">
        <f t="shared" si="17"/>
        <v>5</v>
      </c>
      <c r="AU32" s="221"/>
      <c r="AV32" s="52">
        <f t="shared" si="29"/>
        <v>35</v>
      </c>
      <c r="AW32" s="55">
        <f t="shared" si="30"/>
        <v>5</v>
      </c>
      <c r="AX32" s="54">
        <f t="shared" si="31"/>
        <v>703</v>
      </c>
      <c r="AY32" s="51"/>
      <c r="AZ32" s="51"/>
      <c r="BA32" s="51" t="str">
        <f t="shared" si="32"/>
        <v>BEST</v>
      </c>
    </row>
    <row r="33" spans="1:53" ht="15.75">
      <c r="A33" s="21">
        <v>26</v>
      </c>
      <c r="B33" s="43">
        <v>62</v>
      </c>
      <c r="C33" s="44" t="s">
        <v>142</v>
      </c>
      <c r="D33" s="44" t="s">
        <v>143</v>
      </c>
      <c r="E33" s="44" t="s">
        <v>144</v>
      </c>
      <c r="F33" s="51">
        <v>19</v>
      </c>
      <c r="G33" s="51">
        <v>79</v>
      </c>
      <c r="H33" s="52">
        <v>8</v>
      </c>
      <c r="I33" s="52">
        <v>36</v>
      </c>
      <c r="J33" s="53">
        <f t="shared" si="3"/>
        <v>142</v>
      </c>
      <c r="K33" s="52">
        <f t="shared" si="4"/>
        <v>5</v>
      </c>
      <c r="L33" s="221"/>
      <c r="M33" s="51">
        <v>18</v>
      </c>
      <c r="N33" s="51">
        <v>59</v>
      </c>
      <c r="O33" s="52">
        <v>9</v>
      </c>
      <c r="P33" s="52">
        <v>23</v>
      </c>
      <c r="Q33" s="53">
        <f t="shared" si="19"/>
        <v>109</v>
      </c>
      <c r="R33" s="52">
        <f t="shared" si="20"/>
        <v>4</v>
      </c>
      <c r="S33" s="221"/>
      <c r="T33" s="51">
        <v>17</v>
      </c>
      <c r="U33" s="51">
        <v>70</v>
      </c>
      <c r="V33" s="53">
        <f t="shared" si="21"/>
        <v>87</v>
      </c>
      <c r="W33" s="52">
        <f t="shared" si="22"/>
        <v>5</v>
      </c>
      <c r="X33" s="221"/>
      <c r="Y33" s="51">
        <v>19</v>
      </c>
      <c r="Z33" s="51">
        <v>80</v>
      </c>
      <c r="AA33" s="53">
        <f t="shared" si="23"/>
        <v>99</v>
      </c>
      <c r="AB33" s="52">
        <f t="shared" si="24"/>
        <v>5</v>
      </c>
      <c r="AC33" s="221"/>
      <c r="AD33" s="51">
        <v>19</v>
      </c>
      <c r="AE33" s="51">
        <v>78</v>
      </c>
      <c r="AF33" s="53">
        <f t="shared" si="25"/>
        <v>97</v>
      </c>
      <c r="AG33" s="52">
        <f t="shared" si="26"/>
        <v>5</v>
      </c>
      <c r="AH33" s="221"/>
      <c r="AI33" s="51">
        <v>20</v>
      </c>
      <c r="AJ33" s="51">
        <v>69</v>
      </c>
      <c r="AK33" s="53">
        <f t="shared" si="27"/>
        <v>89</v>
      </c>
      <c r="AL33" s="52">
        <f t="shared" si="28"/>
        <v>5</v>
      </c>
      <c r="AM33" s="221"/>
      <c r="AN33" s="52"/>
      <c r="AO33" s="54">
        <v>42</v>
      </c>
      <c r="AP33" s="53">
        <f t="shared" si="15"/>
        <v>42</v>
      </c>
      <c r="AQ33" s="52">
        <f t="shared" si="16"/>
        <v>5</v>
      </c>
      <c r="AR33" s="221"/>
      <c r="AS33" s="54">
        <v>27</v>
      </c>
      <c r="AT33" s="52">
        <f t="shared" si="17"/>
        <v>3</v>
      </c>
      <c r="AU33" s="221"/>
      <c r="AV33" s="52">
        <f t="shared" si="29"/>
        <v>34</v>
      </c>
      <c r="AW33" s="55">
        <f t="shared" si="30"/>
        <v>4.8571428571428568</v>
      </c>
      <c r="AX33" s="54">
        <f t="shared" si="31"/>
        <v>665</v>
      </c>
      <c r="AY33" s="51"/>
      <c r="AZ33" s="51"/>
      <c r="BA33" s="51" t="str">
        <f t="shared" si="32"/>
        <v>BETTER</v>
      </c>
    </row>
    <row r="34" spans="1:53" ht="15.75">
      <c r="A34" s="21">
        <v>27</v>
      </c>
      <c r="B34" s="43">
        <v>66</v>
      </c>
      <c r="C34" s="44" t="s">
        <v>145</v>
      </c>
      <c r="D34" s="44" t="s">
        <v>146</v>
      </c>
      <c r="E34" s="44" t="s">
        <v>147</v>
      </c>
      <c r="F34" s="51">
        <v>18</v>
      </c>
      <c r="G34" s="51">
        <v>78</v>
      </c>
      <c r="H34" s="52">
        <v>9</v>
      </c>
      <c r="I34" s="52">
        <v>35</v>
      </c>
      <c r="J34" s="53">
        <f t="shared" si="3"/>
        <v>140</v>
      </c>
      <c r="K34" s="52">
        <f t="shared" si="4"/>
        <v>5</v>
      </c>
      <c r="L34" s="221"/>
      <c r="M34" s="51">
        <v>19</v>
      </c>
      <c r="N34" s="51">
        <v>67</v>
      </c>
      <c r="O34" s="52">
        <v>10</v>
      </c>
      <c r="P34" s="52">
        <v>33</v>
      </c>
      <c r="Q34" s="53">
        <f t="shared" si="19"/>
        <v>129</v>
      </c>
      <c r="R34" s="52">
        <f t="shared" si="20"/>
        <v>5</v>
      </c>
      <c r="S34" s="221"/>
      <c r="T34" s="51">
        <v>11</v>
      </c>
      <c r="U34" s="51">
        <v>74</v>
      </c>
      <c r="V34" s="53">
        <f t="shared" si="21"/>
        <v>85</v>
      </c>
      <c r="W34" s="52">
        <f t="shared" si="22"/>
        <v>5</v>
      </c>
      <c r="X34" s="221"/>
      <c r="Y34" s="51">
        <v>18</v>
      </c>
      <c r="Z34" s="51">
        <v>75</v>
      </c>
      <c r="AA34" s="53">
        <f t="shared" si="23"/>
        <v>93</v>
      </c>
      <c r="AB34" s="52">
        <f t="shared" si="24"/>
        <v>5</v>
      </c>
      <c r="AC34" s="221"/>
      <c r="AD34" s="51">
        <v>18</v>
      </c>
      <c r="AE34" s="51">
        <v>58</v>
      </c>
      <c r="AF34" s="53">
        <f t="shared" si="25"/>
        <v>76</v>
      </c>
      <c r="AG34" s="52">
        <f t="shared" si="26"/>
        <v>4</v>
      </c>
      <c r="AH34" s="221"/>
      <c r="AI34" s="51">
        <v>20</v>
      </c>
      <c r="AJ34" s="51">
        <v>75</v>
      </c>
      <c r="AK34" s="53">
        <f t="shared" si="27"/>
        <v>95</v>
      </c>
      <c r="AL34" s="52">
        <f t="shared" si="28"/>
        <v>5</v>
      </c>
      <c r="AM34" s="221"/>
      <c r="AN34" s="52"/>
      <c r="AO34" s="54">
        <v>42</v>
      </c>
      <c r="AP34" s="53">
        <f t="shared" si="15"/>
        <v>42</v>
      </c>
      <c r="AQ34" s="52">
        <f t="shared" si="16"/>
        <v>5</v>
      </c>
      <c r="AR34" s="221"/>
      <c r="AS34" s="54">
        <v>40</v>
      </c>
      <c r="AT34" s="52">
        <f t="shared" si="17"/>
        <v>5</v>
      </c>
      <c r="AU34" s="221"/>
      <c r="AV34" s="52">
        <f t="shared" si="29"/>
        <v>34</v>
      </c>
      <c r="AW34" s="55">
        <f t="shared" si="30"/>
        <v>4.8571428571428568</v>
      </c>
      <c r="AX34" s="54">
        <f t="shared" si="31"/>
        <v>660</v>
      </c>
      <c r="AY34" s="51"/>
      <c r="AZ34" s="51"/>
      <c r="BA34" s="51" t="str">
        <f t="shared" si="32"/>
        <v>BETTER</v>
      </c>
    </row>
    <row r="35" spans="1:53" ht="16.5" thickBot="1">
      <c r="A35" s="64">
        <v>28</v>
      </c>
      <c r="B35" s="65">
        <v>67</v>
      </c>
      <c r="C35" s="66" t="s">
        <v>148</v>
      </c>
      <c r="D35" s="66" t="s">
        <v>149</v>
      </c>
      <c r="E35" s="66" t="s">
        <v>150</v>
      </c>
      <c r="F35" s="67">
        <v>18</v>
      </c>
      <c r="G35" s="67">
        <v>68</v>
      </c>
      <c r="H35" s="68">
        <v>8</v>
      </c>
      <c r="I35" s="68">
        <v>36</v>
      </c>
      <c r="J35" s="80">
        <f t="shared" si="3"/>
        <v>130</v>
      </c>
      <c r="K35" s="68">
        <f t="shared" si="4"/>
        <v>5</v>
      </c>
      <c r="L35" s="221"/>
      <c r="M35" s="67">
        <v>17</v>
      </c>
      <c r="N35" s="67">
        <v>66</v>
      </c>
      <c r="O35" s="68">
        <v>10</v>
      </c>
      <c r="P35" s="68">
        <v>26</v>
      </c>
      <c r="Q35" s="80">
        <f t="shared" si="19"/>
        <v>119</v>
      </c>
      <c r="R35" s="68">
        <f t="shared" si="20"/>
        <v>4</v>
      </c>
      <c r="S35" s="221"/>
      <c r="T35" s="67">
        <v>16</v>
      </c>
      <c r="U35" s="67">
        <v>62</v>
      </c>
      <c r="V35" s="80">
        <f t="shared" si="21"/>
        <v>78</v>
      </c>
      <c r="W35" s="68">
        <f t="shared" si="22"/>
        <v>4</v>
      </c>
      <c r="X35" s="221"/>
      <c r="Y35" s="67">
        <v>16</v>
      </c>
      <c r="Z35" s="67">
        <v>64</v>
      </c>
      <c r="AA35" s="80">
        <f t="shared" si="23"/>
        <v>80</v>
      </c>
      <c r="AB35" s="68">
        <f t="shared" si="24"/>
        <v>5</v>
      </c>
      <c r="AC35" s="221"/>
      <c r="AD35" s="67">
        <v>19</v>
      </c>
      <c r="AE35" s="67">
        <v>76</v>
      </c>
      <c r="AF35" s="80">
        <f t="shared" si="25"/>
        <v>95</v>
      </c>
      <c r="AG35" s="68">
        <f t="shared" si="26"/>
        <v>5</v>
      </c>
      <c r="AH35" s="221"/>
      <c r="AI35" s="67">
        <v>19</v>
      </c>
      <c r="AJ35" s="67">
        <v>72</v>
      </c>
      <c r="AK35" s="80">
        <f t="shared" si="27"/>
        <v>91</v>
      </c>
      <c r="AL35" s="68">
        <f t="shared" si="28"/>
        <v>5</v>
      </c>
      <c r="AM35" s="221"/>
      <c r="AN35" s="68"/>
      <c r="AO35" s="81">
        <v>41</v>
      </c>
      <c r="AP35" s="80">
        <f t="shared" si="15"/>
        <v>41</v>
      </c>
      <c r="AQ35" s="68">
        <f t="shared" si="16"/>
        <v>5</v>
      </c>
      <c r="AR35" s="221"/>
      <c r="AS35" s="81">
        <v>50</v>
      </c>
      <c r="AT35" s="68">
        <f t="shared" si="17"/>
        <v>5</v>
      </c>
      <c r="AU35" s="221"/>
      <c r="AV35" s="68">
        <f t="shared" si="29"/>
        <v>33</v>
      </c>
      <c r="AW35" s="82">
        <f t="shared" si="30"/>
        <v>4.7142857142857144</v>
      </c>
      <c r="AX35" s="81">
        <f t="shared" si="31"/>
        <v>634</v>
      </c>
      <c r="AY35" s="67"/>
      <c r="AZ35" s="67"/>
      <c r="BA35" s="67" t="str">
        <f t="shared" si="32"/>
        <v>BETTER</v>
      </c>
    </row>
    <row r="36" spans="1:53" s="74" customFormat="1" ht="15.75" thickTop="1">
      <c r="A36" s="70">
        <v>29</v>
      </c>
      <c r="B36" s="71">
        <v>13</v>
      </c>
      <c r="C36" s="72" t="s">
        <v>151</v>
      </c>
      <c r="D36" s="72" t="s">
        <v>152</v>
      </c>
      <c r="E36" s="72" t="s">
        <v>153</v>
      </c>
      <c r="F36" s="83">
        <v>20</v>
      </c>
      <c r="G36" s="83">
        <v>65</v>
      </c>
      <c r="H36" s="83">
        <v>9</v>
      </c>
      <c r="I36" s="56">
        <v>32</v>
      </c>
      <c r="J36" s="83">
        <f>F36+G36+H36+I36</f>
        <v>126</v>
      </c>
      <c r="K36" s="84">
        <f>IF(J36&lt;60,"F",IF(J36&lt;75,2,IF(J36&lt;90,3,IF(J36&lt;105,3.5,IF(J36&lt;120,4,5)))))</f>
        <v>5</v>
      </c>
      <c r="L36" s="221"/>
      <c r="M36" s="83">
        <v>19</v>
      </c>
      <c r="N36" s="83">
        <v>60</v>
      </c>
      <c r="O36" s="83">
        <v>9</v>
      </c>
      <c r="P36" s="83">
        <v>15</v>
      </c>
      <c r="Q36" s="83">
        <f>M36+N36+O36+P36</f>
        <v>103</v>
      </c>
      <c r="R36" s="84">
        <f>IF(Q36&lt;60,"F",IF(Q36&lt;75,2,IF(Q36&lt;90,3,IF(Q36&lt;105,3.5,IF(Q36&lt;120,4,5)))))</f>
        <v>3.5</v>
      </c>
      <c r="S36" s="221"/>
      <c r="T36" s="83">
        <v>12</v>
      </c>
      <c r="U36" s="83">
        <v>41</v>
      </c>
      <c r="V36" s="83">
        <f>T36+U36</f>
        <v>53</v>
      </c>
      <c r="W36" s="84">
        <f>IF(V36&lt;40,"F",IF(V36&lt;50,2,IF(V36&lt;60,3,IF(V36&lt;70,3.5,IF(V36&lt;80,4,5)))))</f>
        <v>3</v>
      </c>
      <c r="X36" s="221"/>
      <c r="Y36" s="83">
        <v>16</v>
      </c>
      <c r="Z36" s="83">
        <v>56</v>
      </c>
      <c r="AA36" s="83">
        <f>Y36+Z36</f>
        <v>72</v>
      </c>
      <c r="AB36" s="84">
        <f>IF(AA36&lt;40,"F",IF(AA36&lt;50,2,IF(AA36&lt;60,3,IF(AA36&lt;70,3.5,IF(AA36&lt;80,4,5)))))</f>
        <v>4</v>
      </c>
      <c r="AC36" s="221"/>
      <c r="AD36" s="83">
        <v>19</v>
      </c>
      <c r="AE36" s="83">
        <v>74</v>
      </c>
      <c r="AF36" s="83">
        <f>AD36+AE36</f>
        <v>93</v>
      </c>
      <c r="AG36" s="84">
        <f>IF(AF36&lt;40,"F",IF(AF36&lt;50,2,IF(AF36&lt;60,3,IF(AF36&lt;70,3.5,IF(AF36&lt;80,4,5)))))</f>
        <v>5</v>
      </c>
      <c r="AH36" s="221"/>
      <c r="AI36" s="83">
        <v>20</v>
      </c>
      <c r="AJ36" s="83">
        <v>53</v>
      </c>
      <c r="AK36" s="83">
        <f>AI36+AJ36</f>
        <v>73</v>
      </c>
      <c r="AL36" s="84">
        <f>IF(AK36&lt;40,"F",IF(AK36&lt;50,2,IF(AK36&lt;60,3,IF(AK36&lt;70,3.5,IF(AK36&lt;80,4,5)))))</f>
        <v>4</v>
      </c>
      <c r="AM36" s="221"/>
      <c r="AN36" s="85"/>
      <c r="AO36" s="83">
        <v>33</v>
      </c>
      <c r="AP36" s="83">
        <f t="shared" ref="AP36:AP67" si="33">AO36*1</f>
        <v>33</v>
      </c>
      <c r="AQ36" s="84">
        <f>IF(AP36&lt;20,"F",IF(AP36&lt;25,2,IF(AP36&lt;30,3,IF(AP36&lt;35,3.5,IF(AP36&lt;40,4,5)))))</f>
        <v>3.5</v>
      </c>
      <c r="AR36" s="221"/>
      <c r="AS36" s="83">
        <v>37</v>
      </c>
      <c r="AT36" s="84">
        <f>IF(AS36&lt;20,"F",IF(AS36&lt;25,2,IF(AS36&lt;30,3,IF(AS36&lt;35,3.5,IF(AS36&lt;40,4,5)))))</f>
        <v>4</v>
      </c>
      <c r="AU36" s="221"/>
      <c r="AV36" s="85">
        <f t="shared" si="29"/>
        <v>28</v>
      </c>
      <c r="AW36" s="86">
        <f>IF(AV36="F","F", IF(AV36&gt;=35,5,IF(AV36&lt;35,AV36/7)))</f>
        <v>4</v>
      </c>
      <c r="AX36" s="87">
        <f t="shared" si="31"/>
        <v>553</v>
      </c>
      <c r="AY36" s="67"/>
      <c r="AZ36" s="67"/>
      <c r="BA36" s="85" t="str">
        <f t="shared" si="32"/>
        <v>BETTER</v>
      </c>
    </row>
    <row r="37" spans="1:53">
      <c r="A37" s="21">
        <v>30</v>
      </c>
      <c r="B37" s="41">
        <v>15</v>
      </c>
      <c r="C37" s="42" t="s">
        <v>154</v>
      </c>
      <c r="D37" s="42" t="s">
        <v>155</v>
      </c>
      <c r="E37" s="42" t="s">
        <v>156</v>
      </c>
      <c r="F37" s="56">
        <v>20</v>
      </c>
      <c r="G37" s="56">
        <v>66</v>
      </c>
      <c r="H37" s="56">
        <v>10</v>
      </c>
      <c r="I37" s="56">
        <v>31</v>
      </c>
      <c r="J37" s="56">
        <f t="shared" ref="J37:J67" si="34">F37+G37+H37+I37</f>
        <v>127</v>
      </c>
      <c r="K37" s="57">
        <f t="shared" ref="K37:K67" si="35">IF(J37&lt;60,"F",IF(J37&lt;75,2,IF(J37&lt;90,3,IF(J37&lt;105,3.5,IF(J37&lt;120,4,5)))))</f>
        <v>5</v>
      </c>
      <c r="L37" s="221"/>
      <c r="M37" s="56">
        <v>19</v>
      </c>
      <c r="N37" s="56">
        <v>62</v>
      </c>
      <c r="O37" s="56">
        <v>9</v>
      </c>
      <c r="P37" s="56">
        <v>20</v>
      </c>
      <c r="Q37" s="56">
        <f t="shared" ref="Q37:Q67" si="36">M37+N37+O37+P37</f>
        <v>110</v>
      </c>
      <c r="R37" s="57">
        <f t="shared" ref="R37:R67" si="37">IF(Q37&lt;60,"F",IF(Q37&lt;75,2,IF(Q37&lt;90,3,IF(Q37&lt;105,3.5,IF(Q37&lt;120,4,5)))))</f>
        <v>4</v>
      </c>
      <c r="S37" s="221"/>
      <c r="T37" s="56">
        <v>14</v>
      </c>
      <c r="U37" s="56">
        <v>49</v>
      </c>
      <c r="V37" s="56">
        <f t="shared" ref="V37:V67" si="38">T37+U37</f>
        <v>63</v>
      </c>
      <c r="W37" s="57">
        <f t="shared" ref="W37:W67" si="39">IF(V37&lt;40,"F",IF(V37&lt;50,2,IF(V37&lt;60,3,IF(V37&lt;70,3.5,IF(V37&lt;80,4,5)))))</f>
        <v>3.5</v>
      </c>
      <c r="X37" s="221"/>
      <c r="Y37" s="56">
        <v>12</v>
      </c>
      <c r="Z37" s="56">
        <v>36</v>
      </c>
      <c r="AA37" s="56">
        <f t="shared" ref="AA37:AA67" si="40">Y37+Z37</f>
        <v>48</v>
      </c>
      <c r="AB37" s="57">
        <f t="shared" ref="AB37:AB67" si="41">IF(AA37&lt;40,"F",IF(AA37&lt;50,2,IF(AA37&lt;60,3,IF(AA37&lt;70,3.5,IF(AA37&lt;80,4,5)))))</f>
        <v>2</v>
      </c>
      <c r="AC37" s="221"/>
      <c r="AD37" s="56">
        <v>19</v>
      </c>
      <c r="AE37" s="56">
        <v>57</v>
      </c>
      <c r="AF37" s="56">
        <f t="shared" ref="AF37:AF67" si="42">AD37+AE37</f>
        <v>76</v>
      </c>
      <c r="AG37" s="57">
        <f t="shared" ref="AG37:AG67" si="43">IF(AF37&lt;40,"F",IF(AF37&lt;50,2,IF(AF37&lt;60,3,IF(AF37&lt;70,3.5,IF(AF37&lt;80,4,5)))))</f>
        <v>4</v>
      </c>
      <c r="AH37" s="221"/>
      <c r="AI37" s="56">
        <v>19</v>
      </c>
      <c r="AJ37" s="56">
        <v>51</v>
      </c>
      <c r="AK37" s="56">
        <f t="shared" ref="AK37:AK67" si="44">AI37+AJ37</f>
        <v>70</v>
      </c>
      <c r="AL37" s="57">
        <f t="shared" ref="AL37:AL67" si="45">IF(AK37&lt;40,"F",IF(AK37&lt;50,2,IF(AK37&lt;60,3,IF(AK37&lt;70,3.5,IF(AK37&lt;80,4,5)))))</f>
        <v>4</v>
      </c>
      <c r="AM37" s="221"/>
      <c r="AN37" s="51"/>
      <c r="AO37" s="56">
        <v>31</v>
      </c>
      <c r="AP37" s="56">
        <f t="shared" si="33"/>
        <v>31</v>
      </c>
      <c r="AQ37" s="57">
        <f t="shared" ref="AQ37:AQ67" si="46">IF(AP37&lt;20,"F",IF(AP37&lt;25,2,IF(AP37&lt;30,3,IF(AP37&lt;35,3.5,IF(AP37&lt;40,4,5)))))</f>
        <v>3.5</v>
      </c>
      <c r="AR37" s="221"/>
      <c r="AS37" s="56">
        <v>37</v>
      </c>
      <c r="AT37" s="57">
        <f t="shared" ref="AT37:AT67" si="47">IF(AS37&lt;20,"F",IF(AS37&lt;25,2,IF(AS37&lt;30,3,IF(AS37&lt;35,3.5,IF(AS37&lt;40,4,5)))))</f>
        <v>4</v>
      </c>
      <c r="AU37" s="221"/>
      <c r="AV37" s="51">
        <f t="shared" si="29"/>
        <v>26</v>
      </c>
      <c r="AW37" s="58">
        <f t="shared" ref="AW37:AW67" si="48">IF(AV37="F","F", IF(AV37&gt;=35,5,IF(AV37&lt;35,AV37/7)))</f>
        <v>3.7142857142857144</v>
      </c>
      <c r="AX37" s="54">
        <f t="shared" si="31"/>
        <v>525</v>
      </c>
      <c r="AY37" s="67"/>
      <c r="AZ37" s="67"/>
      <c r="BA37" s="51" t="str">
        <f t="shared" si="32"/>
        <v>GOOD</v>
      </c>
    </row>
    <row r="38" spans="1:53">
      <c r="A38" s="21">
        <v>31</v>
      </c>
      <c r="B38" s="41">
        <v>17</v>
      </c>
      <c r="C38" s="42" t="s">
        <v>157</v>
      </c>
      <c r="D38" s="42" t="s">
        <v>158</v>
      </c>
      <c r="E38" s="42" t="s">
        <v>159</v>
      </c>
      <c r="F38" s="56">
        <v>18</v>
      </c>
      <c r="G38" s="56">
        <v>48</v>
      </c>
      <c r="H38" s="56">
        <v>5</v>
      </c>
      <c r="I38" s="56">
        <v>25</v>
      </c>
      <c r="J38" s="56">
        <f t="shared" si="34"/>
        <v>96</v>
      </c>
      <c r="K38" s="57">
        <f t="shared" si="35"/>
        <v>3.5</v>
      </c>
      <c r="L38" s="221"/>
      <c r="M38" s="56">
        <v>16</v>
      </c>
      <c r="N38" s="56">
        <v>52</v>
      </c>
      <c r="O38" s="56">
        <v>7</v>
      </c>
      <c r="P38" s="56">
        <v>14</v>
      </c>
      <c r="Q38" s="56">
        <f t="shared" si="36"/>
        <v>89</v>
      </c>
      <c r="R38" s="57">
        <f t="shared" si="37"/>
        <v>3</v>
      </c>
      <c r="S38" s="221"/>
      <c r="T38" s="56">
        <v>12</v>
      </c>
      <c r="U38" s="56">
        <v>55</v>
      </c>
      <c r="V38" s="56">
        <f t="shared" si="38"/>
        <v>67</v>
      </c>
      <c r="W38" s="57">
        <f t="shared" si="39"/>
        <v>3.5</v>
      </c>
      <c r="X38" s="221"/>
      <c r="Y38" s="56">
        <v>11</v>
      </c>
      <c r="Z38" s="56">
        <v>44</v>
      </c>
      <c r="AA38" s="56">
        <f t="shared" si="40"/>
        <v>55</v>
      </c>
      <c r="AB38" s="57">
        <f t="shared" si="41"/>
        <v>3</v>
      </c>
      <c r="AC38" s="221"/>
      <c r="AD38" s="56">
        <v>17</v>
      </c>
      <c r="AE38" s="56">
        <v>46</v>
      </c>
      <c r="AF38" s="56">
        <f t="shared" si="42"/>
        <v>63</v>
      </c>
      <c r="AG38" s="57">
        <f t="shared" si="43"/>
        <v>3.5</v>
      </c>
      <c r="AH38" s="221"/>
      <c r="AI38" s="56">
        <v>16</v>
      </c>
      <c r="AJ38" s="56">
        <v>45</v>
      </c>
      <c r="AK38" s="56">
        <f t="shared" si="44"/>
        <v>61</v>
      </c>
      <c r="AL38" s="57">
        <f t="shared" si="45"/>
        <v>3.5</v>
      </c>
      <c r="AM38" s="221"/>
      <c r="AN38" s="51"/>
      <c r="AO38" s="56">
        <v>20</v>
      </c>
      <c r="AP38" s="56">
        <f t="shared" si="33"/>
        <v>20</v>
      </c>
      <c r="AQ38" s="57">
        <f t="shared" si="46"/>
        <v>2</v>
      </c>
      <c r="AR38" s="221"/>
      <c r="AS38" s="56">
        <v>35</v>
      </c>
      <c r="AT38" s="57">
        <f t="shared" si="47"/>
        <v>4</v>
      </c>
      <c r="AU38" s="221"/>
      <c r="AV38" s="51">
        <f t="shared" si="29"/>
        <v>22</v>
      </c>
      <c r="AW38" s="58">
        <f t="shared" si="48"/>
        <v>3.1428571428571428</v>
      </c>
      <c r="AX38" s="54">
        <f t="shared" si="31"/>
        <v>451</v>
      </c>
      <c r="AY38" s="67"/>
      <c r="AZ38" s="67"/>
      <c r="BA38" s="51" t="str">
        <f t="shared" si="32"/>
        <v>GOOD</v>
      </c>
    </row>
    <row r="39" spans="1:53">
      <c r="A39" s="21">
        <v>32</v>
      </c>
      <c r="B39" s="41">
        <v>19</v>
      </c>
      <c r="C39" s="42" t="s">
        <v>160</v>
      </c>
      <c r="D39" s="42" t="s">
        <v>161</v>
      </c>
      <c r="E39" s="42" t="s">
        <v>162</v>
      </c>
      <c r="F39" s="56">
        <v>13</v>
      </c>
      <c r="G39" s="56">
        <v>56</v>
      </c>
      <c r="H39" s="56">
        <v>5</v>
      </c>
      <c r="I39" s="56">
        <v>20</v>
      </c>
      <c r="J39" s="56">
        <f t="shared" si="34"/>
        <v>94</v>
      </c>
      <c r="K39" s="57">
        <f t="shared" si="35"/>
        <v>3.5</v>
      </c>
      <c r="L39" s="221"/>
      <c r="M39" s="56">
        <v>13</v>
      </c>
      <c r="N39" s="56">
        <v>33</v>
      </c>
      <c r="O39" s="56">
        <v>5</v>
      </c>
      <c r="P39" s="56">
        <v>16</v>
      </c>
      <c r="Q39" s="56">
        <f t="shared" si="36"/>
        <v>67</v>
      </c>
      <c r="R39" s="57">
        <f t="shared" si="37"/>
        <v>2</v>
      </c>
      <c r="S39" s="221"/>
      <c r="T39" s="56">
        <v>10</v>
      </c>
      <c r="U39" s="56">
        <v>32</v>
      </c>
      <c r="V39" s="56">
        <f t="shared" si="38"/>
        <v>42</v>
      </c>
      <c r="W39" s="57">
        <f t="shared" si="39"/>
        <v>2</v>
      </c>
      <c r="X39" s="221"/>
      <c r="Y39" s="56">
        <v>10</v>
      </c>
      <c r="Z39" s="56">
        <v>36</v>
      </c>
      <c r="AA39" s="56">
        <f t="shared" si="40"/>
        <v>46</v>
      </c>
      <c r="AB39" s="57">
        <f t="shared" si="41"/>
        <v>2</v>
      </c>
      <c r="AC39" s="221"/>
      <c r="AD39" s="56">
        <v>19</v>
      </c>
      <c r="AE39" s="56">
        <v>43</v>
      </c>
      <c r="AF39" s="56">
        <f t="shared" si="42"/>
        <v>62</v>
      </c>
      <c r="AG39" s="57">
        <f t="shared" si="43"/>
        <v>3.5</v>
      </c>
      <c r="AH39" s="221"/>
      <c r="AI39" s="56">
        <v>11</v>
      </c>
      <c r="AJ39" s="56">
        <v>47</v>
      </c>
      <c r="AK39" s="56">
        <f t="shared" si="44"/>
        <v>58</v>
      </c>
      <c r="AL39" s="57">
        <f t="shared" si="45"/>
        <v>3</v>
      </c>
      <c r="AM39" s="221"/>
      <c r="AN39" s="51"/>
      <c r="AO39" s="56">
        <v>20</v>
      </c>
      <c r="AP39" s="56">
        <f t="shared" si="33"/>
        <v>20</v>
      </c>
      <c r="AQ39" s="57">
        <f t="shared" si="46"/>
        <v>2</v>
      </c>
      <c r="AR39" s="221"/>
      <c r="AS39" s="56">
        <v>35</v>
      </c>
      <c r="AT39" s="57">
        <f t="shared" si="47"/>
        <v>4</v>
      </c>
      <c r="AU39" s="221"/>
      <c r="AV39" s="51">
        <f t="shared" si="29"/>
        <v>18</v>
      </c>
      <c r="AW39" s="58">
        <f t="shared" si="48"/>
        <v>2.5714285714285716</v>
      </c>
      <c r="AX39" s="54">
        <f t="shared" si="31"/>
        <v>389</v>
      </c>
      <c r="AY39" s="67"/>
      <c r="AZ39" s="67"/>
      <c r="BA39" s="51" t="str">
        <f t="shared" si="32"/>
        <v>GOOD</v>
      </c>
    </row>
    <row r="40" spans="1:53">
      <c r="A40" s="21">
        <v>33</v>
      </c>
      <c r="B40" s="41">
        <v>21</v>
      </c>
      <c r="C40" s="42" t="s">
        <v>163</v>
      </c>
      <c r="D40" s="42" t="s">
        <v>164</v>
      </c>
      <c r="E40" s="42" t="s">
        <v>165</v>
      </c>
      <c r="F40" s="56">
        <v>20</v>
      </c>
      <c r="G40" s="56">
        <v>43</v>
      </c>
      <c r="H40" s="56">
        <v>7</v>
      </c>
      <c r="I40" s="56">
        <v>20</v>
      </c>
      <c r="J40" s="56">
        <f t="shared" si="34"/>
        <v>90</v>
      </c>
      <c r="K40" s="57">
        <f t="shared" si="35"/>
        <v>3.5</v>
      </c>
      <c r="L40" s="221"/>
      <c r="M40" s="56">
        <v>19</v>
      </c>
      <c r="N40" s="56">
        <v>44</v>
      </c>
      <c r="O40" s="56">
        <v>7</v>
      </c>
      <c r="P40" s="56">
        <v>20</v>
      </c>
      <c r="Q40" s="56">
        <f t="shared" si="36"/>
        <v>90</v>
      </c>
      <c r="R40" s="57">
        <f t="shared" si="37"/>
        <v>3.5</v>
      </c>
      <c r="S40" s="221"/>
      <c r="T40" s="56">
        <v>14</v>
      </c>
      <c r="U40" s="56">
        <v>50</v>
      </c>
      <c r="V40" s="56">
        <f t="shared" si="38"/>
        <v>64</v>
      </c>
      <c r="W40" s="57">
        <f t="shared" si="39"/>
        <v>3.5</v>
      </c>
      <c r="X40" s="221"/>
      <c r="Y40" s="56">
        <v>11</v>
      </c>
      <c r="Z40" s="56">
        <v>32</v>
      </c>
      <c r="AA40" s="56">
        <f t="shared" si="40"/>
        <v>43</v>
      </c>
      <c r="AB40" s="57">
        <f t="shared" si="41"/>
        <v>2</v>
      </c>
      <c r="AC40" s="221"/>
      <c r="AD40" s="56">
        <v>19</v>
      </c>
      <c r="AE40" s="56">
        <v>50</v>
      </c>
      <c r="AF40" s="56">
        <f t="shared" si="42"/>
        <v>69</v>
      </c>
      <c r="AG40" s="57">
        <f t="shared" si="43"/>
        <v>3.5</v>
      </c>
      <c r="AH40" s="221"/>
      <c r="AI40" s="56">
        <v>18</v>
      </c>
      <c r="AJ40" s="56">
        <v>50</v>
      </c>
      <c r="AK40" s="56">
        <f t="shared" si="44"/>
        <v>68</v>
      </c>
      <c r="AL40" s="57">
        <f t="shared" si="45"/>
        <v>3.5</v>
      </c>
      <c r="AM40" s="221"/>
      <c r="AN40" s="51"/>
      <c r="AO40" s="56">
        <v>21</v>
      </c>
      <c r="AP40" s="56">
        <f t="shared" si="33"/>
        <v>21</v>
      </c>
      <c r="AQ40" s="57">
        <f t="shared" si="46"/>
        <v>2</v>
      </c>
      <c r="AR40" s="221"/>
      <c r="AS40" s="56">
        <v>28</v>
      </c>
      <c r="AT40" s="57">
        <f t="shared" si="47"/>
        <v>3</v>
      </c>
      <c r="AU40" s="221"/>
      <c r="AV40" s="51">
        <f t="shared" si="29"/>
        <v>21.5</v>
      </c>
      <c r="AW40" s="58">
        <f t="shared" si="48"/>
        <v>3.0714285714285716</v>
      </c>
      <c r="AX40" s="54">
        <f t="shared" si="31"/>
        <v>445</v>
      </c>
      <c r="AY40" s="67"/>
      <c r="AZ40" s="67"/>
      <c r="BA40" s="51" t="str">
        <f t="shared" si="32"/>
        <v>GOOD</v>
      </c>
    </row>
    <row r="41" spans="1:53">
      <c r="A41" s="21">
        <v>34</v>
      </c>
      <c r="B41" s="41">
        <v>25</v>
      </c>
      <c r="C41" s="42" t="s">
        <v>166</v>
      </c>
      <c r="D41" s="42" t="s">
        <v>167</v>
      </c>
      <c r="E41" s="42" t="s">
        <v>168</v>
      </c>
      <c r="F41" s="56">
        <v>0</v>
      </c>
      <c r="G41" s="56">
        <v>40</v>
      </c>
      <c r="H41" s="56">
        <v>0</v>
      </c>
      <c r="I41" s="56">
        <v>18</v>
      </c>
      <c r="J41" s="56">
        <f t="shared" si="34"/>
        <v>58</v>
      </c>
      <c r="K41" s="57" t="str">
        <f t="shared" si="35"/>
        <v>F</v>
      </c>
      <c r="L41" s="221"/>
      <c r="M41" s="56">
        <v>0</v>
      </c>
      <c r="N41" s="56">
        <v>52</v>
      </c>
      <c r="O41" s="56">
        <v>0</v>
      </c>
      <c r="P41" s="56">
        <v>7</v>
      </c>
      <c r="Q41" s="56">
        <f t="shared" si="36"/>
        <v>59</v>
      </c>
      <c r="R41" s="57" t="str">
        <f t="shared" si="37"/>
        <v>F</v>
      </c>
      <c r="S41" s="221"/>
      <c r="T41" s="56">
        <v>4</v>
      </c>
      <c r="U41" s="56">
        <v>14</v>
      </c>
      <c r="V41" s="56">
        <f t="shared" si="38"/>
        <v>18</v>
      </c>
      <c r="W41" s="57" t="str">
        <f t="shared" si="39"/>
        <v>F</v>
      </c>
      <c r="X41" s="221"/>
      <c r="Y41" s="56">
        <v>3</v>
      </c>
      <c r="Z41" s="56">
        <v>9</v>
      </c>
      <c r="AA41" s="56">
        <f t="shared" si="40"/>
        <v>12</v>
      </c>
      <c r="AB41" s="57" t="str">
        <f t="shared" si="41"/>
        <v>F</v>
      </c>
      <c r="AC41" s="221"/>
      <c r="AD41" s="56">
        <v>0</v>
      </c>
      <c r="AE41" s="56">
        <v>18</v>
      </c>
      <c r="AF41" s="56">
        <f t="shared" si="42"/>
        <v>18</v>
      </c>
      <c r="AG41" s="57" t="str">
        <f t="shared" si="43"/>
        <v>F</v>
      </c>
      <c r="AH41" s="221"/>
      <c r="AI41" s="56">
        <v>4</v>
      </c>
      <c r="AJ41" s="56">
        <v>26</v>
      </c>
      <c r="AK41" s="56">
        <f t="shared" si="44"/>
        <v>30</v>
      </c>
      <c r="AL41" s="57" t="str">
        <f t="shared" si="45"/>
        <v>F</v>
      </c>
      <c r="AM41" s="221"/>
      <c r="AN41" s="51"/>
      <c r="AO41" s="56">
        <v>13</v>
      </c>
      <c r="AP41" s="56">
        <f t="shared" si="33"/>
        <v>13</v>
      </c>
      <c r="AQ41" s="57" t="str">
        <f t="shared" si="46"/>
        <v>F</v>
      </c>
      <c r="AR41" s="221"/>
      <c r="AS41" s="56">
        <v>37</v>
      </c>
      <c r="AT41" s="57">
        <f t="shared" si="47"/>
        <v>4</v>
      </c>
      <c r="AU41" s="221"/>
      <c r="AV41" s="51" t="str">
        <f t="shared" si="29"/>
        <v>F</v>
      </c>
      <c r="AW41" s="58" t="str">
        <f t="shared" si="48"/>
        <v>F</v>
      </c>
      <c r="AX41" s="54">
        <f t="shared" si="31"/>
        <v>208</v>
      </c>
      <c r="AY41" s="67"/>
      <c r="AZ41" s="67"/>
      <c r="BA41" s="51" t="str">
        <f t="shared" si="32"/>
        <v>NEED TO PROGRESS</v>
      </c>
    </row>
    <row r="42" spans="1:53">
      <c r="A42" s="21">
        <v>35</v>
      </c>
      <c r="B42" s="41">
        <v>26</v>
      </c>
      <c r="C42" s="42" t="s">
        <v>169</v>
      </c>
      <c r="D42" s="42" t="s">
        <v>170</v>
      </c>
      <c r="E42" s="42" t="s">
        <v>171</v>
      </c>
      <c r="F42" s="56">
        <v>18</v>
      </c>
      <c r="G42" s="56">
        <v>54</v>
      </c>
      <c r="H42" s="56">
        <v>0</v>
      </c>
      <c r="I42" s="56">
        <v>0</v>
      </c>
      <c r="J42" s="56">
        <f t="shared" si="34"/>
        <v>72</v>
      </c>
      <c r="K42" s="57">
        <f t="shared" si="35"/>
        <v>2</v>
      </c>
      <c r="L42" s="221"/>
      <c r="M42" s="56">
        <v>18</v>
      </c>
      <c r="N42" s="56">
        <v>24</v>
      </c>
      <c r="O42" s="56">
        <v>10</v>
      </c>
      <c r="P42" s="56">
        <v>23</v>
      </c>
      <c r="Q42" s="56">
        <f t="shared" si="36"/>
        <v>75</v>
      </c>
      <c r="R42" s="57">
        <f t="shared" si="37"/>
        <v>3</v>
      </c>
      <c r="S42" s="221"/>
      <c r="T42" s="56">
        <v>15</v>
      </c>
      <c r="U42" s="56">
        <v>26</v>
      </c>
      <c r="V42" s="56">
        <f t="shared" si="38"/>
        <v>41</v>
      </c>
      <c r="W42" s="57">
        <f t="shared" si="39"/>
        <v>2</v>
      </c>
      <c r="X42" s="221"/>
      <c r="Y42" s="56">
        <v>0</v>
      </c>
      <c r="Z42" s="56">
        <v>0</v>
      </c>
      <c r="AA42" s="56">
        <f t="shared" si="40"/>
        <v>0</v>
      </c>
      <c r="AB42" s="57" t="str">
        <f t="shared" si="41"/>
        <v>F</v>
      </c>
      <c r="AC42" s="221"/>
      <c r="AD42" s="56">
        <v>19</v>
      </c>
      <c r="AE42" s="56">
        <v>79</v>
      </c>
      <c r="AF42" s="56">
        <f t="shared" si="42"/>
        <v>98</v>
      </c>
      <c r="AG42" s="57">
        <f t="shared" si="43"/>
        <v>5</v>
      </c>
      <c r="AH42" s="221"/>
      <c r="AI42" s="56">
        <v>19</v>
      </c>
      <c r="AJ42" s="56">
        <v>33</v>
      </c>
      <c r="AK42" s="56">
        <f t="shared" si="44"/>
        <v>52</v>
      </c>
      <c r="AL42" s="57">
        <f t="shared" si="45"/>
        <v>3</v>
      </c>
      <c r="AM42" s="221"/>
      <c r="AN42" s="51"/>
      <c r="AO42" s="56">
        <v>24</v>
      </c>
      <c r="AP42" s="56">
        <f t="shared" si="33"/>
        <v>24</v>
      </c>
      <c r="AQ42" s="57">
        <f t="shared" si="46"/>
        <v>2</v>
      </c>
      <c r="AR42" s="221"/>
      <c r="AS42" s="56">
        <v>40</v>
      </c>
      <c r="AT42" s="57">
        <f t="shared" si="47"/>
        <v>5</v>
      </c>
      <c r="AU42" s="221"/>
      <c r="AV42" s="51" t="str">
        <f t="shared" si="29"/>
        <v>F</v>
      </c>
      <c r="AW42" s="58" t="str">
        <f t="shared" si="48"/>
        <v>F</v>
      </c>
      <c r="AX42" s="54">
        <f t="shared" si="31"/>
        <v>362</v>
      </c>
      <c r="AY42" s="67"/>
      <c r="AZ42" s="67"/>
      <c r="BA42" s="51" t="str">
        <f t="shared" si="32"/>
        <v>NEED TO PROGRESS</v>
      </c>
    </row>
    <row r="43" spans="1:53">
      <c r="A43" s="21">
        <v>36</v>
      </c>
      <c r="B43" s="43">
        <v>31</v>
      </c>
      <c r="C43" s="44" t="s">
        <v>172</v>
      </c>
      <c r="D43" s="44" t="s">
        <v>173</v>
      </c>
      <c r="E43" s="44" t="s">
        <v>174</v>
      </c>
      <c r="F43" s="56">
        <v>18</v>
      </c>
      <c r="G43" s="56">
        <v>48</v>
      </c>
      <c r="H43" s="56">
        <v>5</v>
      </c>
      <c r="I43" s="56">
        <v>19</v>
      </c>
      <c r="J43" s="56">
        <f t="shared" si="34"/>
        <v>90</v>
      </c>
      <c r="K43" s="57">
        <f t="shared" si="35"/>
        <v>3.5</v>
      </c>
      <c r="L43" s="221"/>
      <c r="M43" s="56">
        <v>15</v>
      </c>
      <c r="N43" s="56">
        <v>54</v>
      </c>
      <c r="O43" s="56">
        <v>7</v>
      </c>
      <c r="P43" s="56">
        <v>16</v>
      </c>
      <c r="Q43" s="56">
        <f t="shared" si="36"/>
        <v>92</v>
      </c>
      <c r="R43" s="57">
        <f t="shared" si="37"/>
        <v>3.5</v>
      </c>
      <c r="S43" s="221"/>
      <c r="T43" s="56">
        <v>9</v>
      </c>
      <c r="U43" s="56">
        <v>42</v>
      </c>
      <c r="V43" s="56">
        <f t="shared" si="38"/>
        <v>51</v>
      </c>
      <c r="W43" s="57">
        <f t="shared" si="39"/>
        <v>3</v>
      </c>
      <c r="X43" s="221"/>
      <c r="Y43" s="56">
        <v>14</v>
      </c>
      <c r="Z43" s="56">
        <v>26</v>
      </c>
      <c r="AA43" s="56">
        <f t="shared" si="40"/>
        <v>40</v>
      </c>
      <c r="AB43" s="57">
        <f t="shared" si="41"/>
        <v>2</v>
      </c>
      <c r="AC43" s="221"/>
      <c r="AD43" s="56">
        <v>14</v>
      </c>
      <c r="AE43" s="56">
        <v>46</v>
      </c>
      <c r="AF43" s="56">
        <f t="shared" si="42"/>
        <v>60</v>
      </c>
      <c r="AG43" s="57">
        <f t="shared" si="43"/>
        <v>3.5</v>
      </c>
      <c r="AH43" s="221"/>
      <c r="AI43" s="56">
        <v>16</v>
      </c>
      <c r="AJ43" s="56">
        <v>50</v>
      </c>
      <c r="AK43" s="56">
        <f t="shared" si="44"/>
        <v>66</v>
      </c>
      <c r="AL43" s="57">
        <f t="shared" si="45"/>
        <v>3.5</v>
      </c>
      <c r="AM43" s="221"/>
      <c r="AN43" s="51"/>
      <c r="AO43" s="56">
        <v>27</v>
      </c>
      <c r="AP43" s="56">
        <f t="shared" si="33"/>
        <v>27</v>
      </c>
      <c r="AQ43" s="57">
        <f t="shared" si="46"/>
        <v>3</v>
      </c>
      <c r="AR43" s="221"/>
      <c r="AS43" s="56">
        <v>38</v>
      </c>
      <c r="AT43" s="57">
        <f t="shared" si="47"/>
        <v>4</v>
      </c>
      <c r="AU43" s="221"/>
      <c r="AV43" s="51">
        <f t="shared" si="29"/>
        <v>22</v>
      </c>
      <c r="AW43" s="58">
        <f t="shared" si="48"/>
        <v>3.1428571428571428</v>
      </c>
      <c r="AX43" s="54">
        <f t="shared" si="31"/>
        <v>426</v>
      </c>
      <c r="AY43" s="67"/>
      <c r="AZ43" s="67"/>
      <c r="BA43" s="51" t="str">
        <f t="shared" si="32"/>
        <v>GOOD</v>
      </c>
    </row>
    <row r="44" spans="1:53">
      <c r="A44" s="21">
        <v>37</v>
      </c>
      <c r="B44" s="43">
        <v>34</v>
      </c>
      <c r="C44" s="44" t="s">
        <v>175</v>
      </c>
      <c r="D44" s="44" t="s">
        <v>176</v>
      </c>
      <c r="E44" s="44" t="s">
        <v>177</v>
      </c>
      <c r="F44" s="56">
        <v>19</v>
      </c>
      <c r="G44" s="56">
        <v>51</v>
      </c>
      <c r="H44" s="56">
        <v>9</v>
      </c>
      <c r="I44" s="56">
        <v>33</v>
      </c>
      <c r="J44" s="56">
        <f t="shared" si="34"/>
        <v>112</v>
      </c>
      <c r="K44" s="57">
        <f t="shared" si="35"/>
        <v>4</v>
      </c>
      <c r="L44" s="221"/>
      <c r="M44" s="56">
        <v>19</v>
      </c>
      <c r="N44" s="56">
        <v>27</v>
      </c>
      <c r="O44" s="56">
        <v>9</v>
      </c>
      <c r="P44" s="56">
        <v>28</v>
      </c>
      <c r="Q44" s="56">
        <f t="shared" si="36"/>
        <v>83</v>
      </c>
      <c r="R44" s="57">
        <f t="shared" si="37"/>
        <v>3</v>
      </c>
      <c r="S44" s="221"/>
      <c r="T44" s="56">
        <v>12</v>
      </c>
      <c r="U44" s="56">
        <v>32</v>
      </c>
      <c r="V44" s="56">
        <f t="shared" si="38"/>
        <v>44</v>
      </c>
      <c r="W44" s="57">
        <f t="shared" si="39"/>
        <v>2</v>
      </c>
      <c r="X44" s="221"/>
      <c r="Y44" s="56">
        <v>15</v>
      </c>
      <c r="Z44" s="56">
        <v>40</v>
      </c>
      <c r="AA44" s="56">
        <f t="shared" si="40"/>
        <v>55</v>
      </c>
      <c r="AB44" s="57">
        <f t="shared" si="41"/>
        <v>3</v>
      </c>
      <c r="AC44" s="221"/>
      <c r="AD44" s="56">
        <v>13</v>
      </c>
      <c r="AE44" s="56">
        <v>42</v>
      </c>
      <c r="AF44" s="56">
        <f t="shared" si="42"/>
        <v>55</v>
      </c>
      <c r="AG44" s="57">
        <f t="shared" si="43"/>
        <v>3</v>
      </c>
      <c r="AH44" s="221"/>
      <c r="AI44" s="56">
        <v>18</v>
      </c>
      <c r="AJ44" s="56">
        <v>46</v>
      </c>
      <c r="AK44" s="56">
        <f t="shared" si="44"/>
        <v>64</v>
      </c>
      <c r="AL44" s="57">
        <f t="shared" si="45"/>
        <v>3.5</v>
      </c>
      <c r="AM44" s="221"/>
      <c r="AN44" s="51"/>
      <c r="AO44" s="56">
        <v>38</v>
      </c>
      <c r="AP44" s="56">
        <f t="shared" si="33"/>
        <v>38</v>
      </c>
      <c r="AQ44" s="57">
        <f t="shared" si="46"/>
        <v>4</v>
      </c>
      <c r="AR44" s="221"/>
      <c r="AS44" s="56">
        <v>40</v>
      </c>
      <c r="AT44" s="57">
        <f t="shared" si="47"/>
        <v>5</v>
      </c>
      <c r="AU44" s="221"/>
      <c r="AV44" s="51">
        <f t="shared" si="29"/>
        <v>22.5</v>
      </c>
      <c r="AW44" s="58">
        <f t="shared" si="48"/>
        <v>3.2142857142857144</v>
      </c>
      <c r="AX44" s="54">
        <f t="shared" si="31"/>
        <v>451</v>
      </c>
      <c r="AY44" s="67"/>
      <c r="AZ44" s="67"/>
      <c r="BA44" s="51" t="str">
        <f t="shared" si="32"/>
        <v>GOOD</v>
      </c>
    </row>
    <row r="45" spans="1:53">
      <c r="A45" s="21">
        <v>38</v>
      </c>
      <c r="B45" s="43">
        <v>36</v>
      </c>
      <c r="C45" s="44" t="s">
        <v>178</v>
      </c>
      <c r="D45" s="44" t="s">
        <v>179</v>
      </c>
      <c r="E45" s="44" t="s">
        <v>180</v>
      </c>
      <c r="F45" s="56">
        <v>18</v>
      </c>
      <c r="G45" s="56">
        <v>49</v>
      </c>
      <c r="H45" s="56">
        <v>5</v>
      </c>
      <c r="I45" s="56">
        <v>23</v>
      </c>
      <c r="J45" s="56">
        <f t="shared" si="34"/>
        <v>95</v>
      </c>
      <c r="K45" s="57">
        <f t="shared" si="35"/>
        <v>3.5</v>
      </c>
      <c r="L45" s="221"/>
      <c r="M45" s="56">
        <v>13</v>
      </c>
      <c r="N45" s="56">
        <v>27</v>
      </c>
      <c r="O45" s="56">
        <v>8</v>
      </c>
      <c r="P45" s="56">
        <v>17</v>
      </c>
      <c r="Q45" s="56">
        <f t="shared" si="36"/>
        <v>65</v>
      </c>
      <c r="R45" s="57">
        <f t="shared" si="37"/>
        <v>2</v>
      </c>
      <c r="S45" s="221"/>
      <c r="T45" s="56">
        <v>13</v>
      </c>
      <c r="U45" s="56">
        <v>21</v>
      </c>
      <c r="V45" s="56">
        <f t="shared" si="38"/>
        <v>34</v>
      </c>
      <c r="W45" s="57" t="str">
        <f t="shared" si="39"/>
        <v>F</v>
      </c>
      <c r="X45" s="221"/>
      <c r="Y45" s="56">
        <v>13</v>
      </c>
      <c r="Z45" s="56">
        <v>52</v>
      </c>
      <c r="AA45" s="56">
        <f t="shared" si="40"/>
        <v>65</v>
      </c>
      <c r="AB45" s="57">
        <f t="shared" si="41"/>
        <v>3.5</v>
      </c>
      <c r="AC45" s="221"/>
      <c r="AD45" s="56">
        <v>12</v>
      </c>
      <c r="AE45" s="56">
        <v>32</v>
      </c>
      <c r="AF45" s="56">
        <f t="shared" si="42"/>
        <v>44</v>
      </c>
      <c r="AG45" s="57">
        <f t="shared" si="43"/>
        <v>2</v>
      </c>
      <c r="AH45" s="221"/>
      <c r="AI45" s="56">
        <v>17</v>
      </c>
      <c r="AJ45" s="56">
        <v>36</v>
      </c>
      <c r="AK45" s="56">
        <f t="shared" si="44"/>
        <v>53</v>
      </c>
      <c r="AL45" s="57">
        <f t="shared" si="45"/>
        <v>3</v>
      </c>
      <c r="AM45" s="221"/>
      <c r="AN45" s="51"/>
      <c r="AO45" s="56">
        <v>21</v>
      </c>
      <c r="AP45" s="56">
        <f t="shared" si="33"/>
        <v>21</v>
      </c>
      <c r="AQ45" s="57">
        <f t="shared" si="46"/>
        <v>2</v>
      </c>
      <c r="AR45" s="221"/>
      <c r="AS45" s="56">
        <v>40</v>
      </c>
      <c r="AT45" s="57">
        <f t="shared" si="47"/>
        <v>5</v>
      </c>
      <c r="AU45" s="221"/>
      <c r="AV45" s="51" t="str">
        <f t="shared" si="29"/>
        <v>F</v>
      </c>
      <c r="AW45" s="58" t="str">
        <f t="shared" si="48"/>
        <v>F</v>
      </c>
      <c r="AX45" s="54">
        <f t="shared" si="31"/>
        <v>377</v>
      </c>
      <c r="AY45" s="67"/>
      <c r="AZ45" s="67"/>
      <c r="BA45" s="51" t="str">
        <f t="shared" si="32"/>
        <v>NEED TO PROGRESS</v>
      </c>
    </row>
    <row r="46" spans="1:53">
      <c r="A46" s="21">
        <v>39</v>
      </c>
      <c r="B46" s="45">
        <v>38</v>
      </c>
      <c r="C46" s="46" t="s">
        <v>181</v>
      </c>
      <c r="D46" s="46" t="s">
        <v>182</v>
      </c>
      <c r="E46" s="46" t="s">
        <v>183</v>
      </c>
      <c r="F46" s="59">
        <v>13</v>
      </c>
      <c r="G46" s="59">
        <v>58</v>
      </c>
      <c r="H46" s="59">
        <v>5</v>
      </c>
      <c r="I46" s="59">
        <v>23</v>
      </c>
      <c r="J46" s="59">
        <f t="shared" si="34"/>
        <v>99</v>
      </c>
      <c r="K46" s="60">
        <f t="shared" si="35"/>
        <v>3.5</v>
      </c>
      <c r="L46" s="221"/>
      <c r="M46" s="59">
        <v>12</v>
      </c>
      <c r="N46" s="59">
        <v>31</v>
      </c>
      <c r="O46" s="59">
        <v>5</v>
      </c>
      <c r="P46" s="59">
        <v>18</v>
      </c>
      <c r="Q46" s="59">
        <f t="shared" si="36"/>
        <v>66</v>
      </c>
      <c r="R46" s="60">
        <f t="shared" si="37"/>
        <v>2</v>
      </c>
      <c r="S46" s="221"/>
      <c r="T46" s="59">
        <v>17</v>
      </c>
      <c r="U46" s="59">
        <v>24</v>
      </c>
      <c r="V46" s="59">
        <f t="shared" si="38"/>
        <v>41</v>
      </c>
      <c r="W46" s="60">
        <f t="shared" si="39"/>
        <v>2</v>
      </c>
      <c r="X46" s="221"/>
      <c r="Y46" s="59">
        <v>11</v>
      </c>
      <c r="Z46" s="59">
        <v>32</v>
      </c>
      <c r="AA46" s="59">
        <f t="shared" si="40"/>
        <v>43</v>
      </c>
      <c r="AB46" s="60">
        <f t="shared" si="41"/>
        <v>2</v>
      </c>
      <c r="AC46" s="221"/>
      <c r="AD46" s="59">
        <v>11</v>
      </c>
      <c r="AE46" s="59">
        <v>32</v>
      </c>
      <c r="AF46" s="56">
        <f t="shared" si="42"/>
        <v>43</v>
      </c>
      <c r="AG46" s="60">
        <f t="shared" si="43"/>
        <v>2</v>
      </c>
      <c r="AH46" s="221"/>
      <c r="AI46" s="59">
        <v>12</v>
      </c>
      <c r="AJ46" s="59">
        <v>28</v>
      </c>
      <c r="AK46" s="59">
        <f t="shared" si="44"/>
        <v>40</v>
      </c>
      <c r="AL46" s="60">
        <f t="shared" si="45"/>
        <v>2</v>
      </c>
      <c r="AM46" s="221"/>
      <c r="AN46" s="61"/>
      <c r="AO46" s="59">
        <v>16</v>
      </c>
      <c r="AP46" s="59">
        <f t="shared" si="33"/>
        <v>16</v>
      </c>
      <c r="AQ46" s="60" t="str">
        <f t="shared" si="46"/>
        <v>F</v>
      </c>
      <c r="AR46" s="221"/>
      <c r="AS46" s="59">
        <v>40</v>
      </c>
      <c r="AT46" s="60">
        <f t="shared" si="47"/>
        <v>5</v>
      </c>
      <c r="AU46" s="221"/>
      <c r="AV46" s="61" t="str">
        <f t="shared" si="29"/>
        <v>F</v>
      </c>
      <c r="AW46" s="62" t="str">
        <f t="shared" si="48"/>
        <v>F</v>
      </c>
      <c r="AX46" s="63">
        <f t="shared" si="31"/>
        <v>348</v>
      </c>
      <c r="AY46" s="67"/>
      <c r="AZ46" s="67"/>
      <c r="BA46" s="51" t="str">
        <f t="shared" si="32"/>
        <v>NEED TO PROGRESS</v>
      </c>
    </row>
    <row r="47" spans="1:53">
      <c r="A47" s="21">
        <v>40</v>
      </c>
      <c r="B47" s="43">
        <v>41</v>
      </c>
      <c r="C47" s="44" t="s">
        <v>184</v>
      </c>
      <c r="D47" s="44" t="s">
        <v>185</v>
      </c>
      <c r="E47" s="44" t="s">
        <v>186</v>
      </c>
      <c r="F47" s="56">
        <v>16</v>
      </c>
      <c r="G47" s="56">
        <v>36</v>
      </c>
      <c r="H47" s="56">
        <v>4</v>
      </c>
      <c r="I47" s="56">
        <v>21</v>
      </c>
      <c r="J47" s="56">
        <f t="shared" si="34"/>
        <v>77</v>
      </c>
      <c r="K47" s="57">
        <f t="shared" si="35"/>
        <v>3</v>
      </c>
      <c r="L47" s="221"/>
      <c r="M47" s="56">
        <v>15</v>
      </c>
      <c r="N47" s="56">
        <v>35</v>
      </c>
      <c r="O47" s="56">
        <v>4</v>
      </c>
      <c r="P47" s="56">
        <v>8</v>
      </c>
      <c r="Q47" s="56">
        <f t="shared" si="36"/>
        <v>62</v>
      </c>
      <c r="R47" s="57">
        <f t="shared" si="37"/>
        <v>2</v>
      </c>
      <c r="S47" s="221"/>
      <c r="T47" s="56">
        <v>8</v>
      </c>
      <c r="U47" s="56">
        <v>38</v>
      </c>
      <c r="V47" s="56">
        <f t="shared" si="38"/>
        <v>46</v>
      </c>
      <c r="W47" s="57">
        <f t="shared" si="39"/>
        <v>2</v>
      </c>
      <c r="X47" s="221"/>
      <c r="Y47" s="56">
        <v>11</v>
      </c>
      <c r="Z47" s="56">
        <v>48</v>
      </c>
      <c r="AA47" s="56">
        <f t="shared" si="40"/>
        <v>59</v>
      </c>
      <c r="AB47" s="57">
        <f t="shared" si="41"/>
        <v>3</v>
      </c>
      <c r="AC47" s="221"/>
      <c r="AD47" s="56">
        <v>14</v>
      </c>
      <c r="AE47" s="56">
        <v>53</v>
      </c>
      <c r="AF47" s="56">
        <f t="shared" si="42"/>
        <v>67</v>
      </c>
      <c r="AG47" s="57">
        <f t="shared" si="43"/>
        <v>3.5</v>
      </c>
      <c r="AH47" s="221"/>
      <c r="AI47" s="56">
        <v>11</v>
      </c>
      <c r="AJ47" s="56">
        <v>40</v>
      </c>
      <c r="AK47" s="56">
        <f t="shared" si="44"/>
        <v>51</v>
      </c>
      <c r="AL47" s="57">
        <f t="shared" si="45"/>
        <v>3</v>
      </c>
      <c r="AM47" s="221"/>
      <c r="AN47" s="51"/>
      <c r="AO47" s="56">
        <v>24</v>
      </c>
      <c r="AP47" s="56">
        <f t="shared" si="33"/>
        <v>24</v>
      </c>
      <c r="AQ47" s="57">
        <f t="shared" si="46"/>
        <v>2</v>
      </c>
      <c r="AR47" s="221"/>
      <c r="AS47" s="56">
        <v>30</v>
      </c>
      <c r="AT47" s="57">
        <f t="shared" si="47"/>
        <v>3.5</v>
      </c>
      <c r="AU47" s="221"/>
      <c r="AV47" s="51">
        <f t="shared" si="29"/>
        <v>18.5</v>
      </c>
      <c r="AW47" s="58">
        <f t="shared" si="48"/>
        <v>2.6428571428571428</v>
      </c>
      <c r="AX47" s="54">
        <f t="shared" si="31"/>
        <v>386</v>
      </c>
      <c r="AY47" s="67"/>
      <c r="AZ47" s="67"/>
      <c r="BA47" s="51" t="str">
        <f t="shared" si="32"/>
        <v>GOOD</v>
      </c>
    </row>
    <row r="48" spans="1:53">
      <c r="A48" s="21">
        <v>41</v>
      </c>
      <c r="B48" s="45">
        <v>45</v>
      </c>
      <c r="C48" s="46" t="s">
        <v>187</v>
      </c>
      <c r="D48" s="46" t="s">
        <v>188</v>
      </c>
      <c r="E48" s="46" t="s">
        <v>189</v>
      </c>
      <c r="F48" s="59">
        <v>20</v>
      </c>
      <c r="G48" s="59">
        <v>44</v>
      </c>
      <c r="H48" s="59">
        <v>9</v>
      </c>
      <c r="I48" s="59">
        <v>26</v>
      </c>
      <c r="J48" s="59">
        <f t="shared" si="34"/>
        <v>99</v>
      </c>
      <c r="K48" s="60">
        <f t="shared" si="35"/>
        <v>3.5</v>
      </c>
      <c r="L48" s="221"/>
      <c r="M48" s="59">
        <v>18</v>
      </c>
      <c r="N48" s="59">
        <v>58</v>
      </c>
      <c r="O48" s="59">
        <v>6</v>
      </c>
      <c r="P48" s="59">
        <v>20</v>
      </c>
      <c r="Q48" s="59">
        <f t="shared" si="36"/>
        <v>102</v>
      </c>
      <c r="R48" s="60">
        <f t="shared" si="37"/>
        <v>3.5</v>
      </c>
      <c r="S48" s="221"/>
      <c r="T48" s="59">
        <v>17</v>
      </c>
      <c r="U48" s="59">
        <v>42</v>
      </c>
      <c r="V48" s="59">
        <f t="shared" si="38"/>
        <v>59</v>
      </c>
      <c r="W48" s="60">
        <f t="shared" si="39"/>
        <v>3</v>
      </c>
      <c r="X48" s="221"/>
      <c r="Y48" s="59">
        <v>12</v>
      </c>
      <c r="Z48" s="59">
        <v>28</v>
      </c>
      <c r="AA48" s="59">
        <f t="shared" si="40"/>
        <v>40</v>
      </c>
      <c r="AB48" s="60">
        <f t="shared" si="41"/>
        <v>2</v>
      </c>
      <c r="AC48" s="221"/>
      <c r="AD48" s="59">
        <v>17</v>
      </c>
      <c r="AE48" s="59">
        <v>26</v>
      </c>
      <c r="AF48" s="56">
        <f t="shared" si="42"/>
        <v>43</v>
      </c>
      <c r="AG48" s="60">
        <f t="shared" si="43"/>
        <v>2</v>
      </c>
      <c r="AH48" s="221"/>
      <c r="AI48" s="59">
        <v>16</v>
      </c>
      <c r="AJ48" s="59">
        <v>30</v>
      </c>
      <c r="AK48" s="59">
        <f t="shared" si="44"/>
        <v>46</v>
      </c>
      <c r="AL48" s="60">
        <f t="shared" si="45"/>
        <v>2</v>
      </c>
      <c r="AM48" s="221"/>
      <c r="AN48" s="61"/>
      <c r="AO48" s="59">
        <v>28</v>
      </c>
      <c r="AP48" s="59">
        <f t="shared" si="33"/>
        <v>28</v>
      </c>
      <c r="AQ48" s="60">
        <f t="shared" si="46"/>
        <v>3</v>
      </c>
      <c r="AR48" s="221"/>
      <c r="AS48" s="59">
        <v>35</v>
      </c>
      <c r="AT48" s="60">
        <f t="shared" si="47"/>
        <v>4</v>
      </c>
      <c r="AU48" s="221"/>
      <c r="AV48" s="61">
        <f t="shared" si="29"/>
        <v>19</v>
      </c>
      <c r="AW48" s="62">
        <f t="shared" si="48"/>
        <v>2.7142857142857144</v>
      </c>
      <c r="AX48" s="63">
        <f t="shared" si="31"/>
        <v>417</v>
      </c>
      <c r="AY48" s="67"/>
      <c r="AZ48" s="67"/>
      <c r="BA48" s="51" t="str">
        <f t="shared" si="32"/>
        <v>GOOD</v>
      </c>
    </row>
    <row r="49" spans="1:53">
      <c r="A49" s="21">
        <v>42</v>
      </c>
      <c r="B49" s="43">
        <v>47</v>
      </c>
      <c r="C49" s="44" t="s">
        <v>190</v>
      </c>
      <c r="D49" s="44" t="s">
        <v>191</v>
      </c>
      <c r="E49" s="44" t="s">
        <v>192</v>
      </c>
      <c r="F49" s="56">
        <v>20</v>
      </c>
      <c r="G49" s="56">
        <v>68</v>
      </c>
      <c r="H49" s="56">
        <v>10</v>
      </c>
      <c r="I49" s="56">
        <v>25</v>
      </c>
      <c r="J49" s="56">
        <f t="shared" si="34"/>
        <v>123</v>
      </c>
      <c r="K49" s="57">
        <f t="shared" si="35"/>
        <v>5</v>
      </c>
      <c r="L49" s="221"/>
      <c r="M49" s="56">
        <v>19</v>
      </c>
      <c r="N49" s="56">
        <v>63</v>
      </c>
      <c r="O49" s="56">
        <v>8</v>
      </c>
      <c r="P49" s="56">
        <v>22</v>
      </c>
      <c r="Q49" s="56">
        <f t="shared" si="36"/>
        <v>112</v>
      </c>
      <c r="R49" s="57">
        <f t="shared" si="37"/>
        <v>4</v>
      </c>
      <c r="S49" s="221"/>
      <c r="T49" s="56">
        <v>12</v>
      </c>
      <c r="U49" s="56">
        <v>56</v>
      </c>
      <c r="V49" s="56">
        <f t="shared" si="38"/>
        <v>68</v>
      </c>
      <c r="W49" s="57">
        <f t="shared" si="39"/>
        <v>3.5</v>
      </c>
      <c r="X49" s="221"/>
      <c r="Y49" s="56">
        <v>16</v>
      </c>
      <c r="Z49" s="56">
        <v>55</v>
      </c>
      <c r="AA49" s="56">
        <f t="shared" si="40"/>
        <v>71</v>
      </c>
      <c r="AB49" s="57">
        <f t="shared" si="41"/>
        <v>4</v>
      </c>
      <c r="AC49" s="221"/>
      <c r="AD49" s="56">
        <v>19</v>
      </c>
      <c r="AE49" s="56">
        <v>64</v>
      </c>
      <c r="AF49" s="56">
        <f t="shared" si="42"/>
        <v>83</v>
      </c>
      <c r="AG49" s="57">
        <f t="shared" si="43"/>
        <v>5</v>
      </c>
      <c r="AH49" s="221"/>
      <c r="AI49" s="56">
        <v>17</v>
      </c>
      <c r="AJ49" s="56">
        <v>60</v>
      </c>
      <c r="AK49" s="56">
        <f t="shared" si="44"/>
        <v>77</v>
      </c>
      <c r="AL49" s="57">
        <f t="shared" si="45"/>
        <v>4</v>
      </c>
      <c r="AM49" s="221"/>
      <c r="AN49" s="51"/>
      <c r="AO49" s="56">
        <v>39</v>
      </c>
      <c r="AP49" s="56">
        <f t="shared" si="33"/>
        <v>39</v>
      </c>
      <c r="AQ49" s="57">
        <f t="shared" si="46"/>
        <v>4</v>
      </c>
      <c r="AR49" s="221"/>
      <c r="AS49" s="56">
        <v>38</v>
      </c>
      <c r="AT49" s="57">
        <f t="shared" si="47"/>
        <v>4</v>
      </c>
      <c r="AU49" s="221"/>
      <c r="AV49" s="51">
        <f t="shared" si="29"/>
        <v>29.5</v>
      </c>
      <c r="AW49" s="58">
        <f t="shared" si="48"/>
        <v>4.2142857142857144</v>
      </c>
      <c r="AX49" s="54">
        <f t="shared" si="31"/>
        <v>573</v>
      </c>
      <c r="AY49" s="67"/>
      <c r="AZ49" s="67"/>
      <c r="BA49" s="51" t="str">
        <f t="shared" si="32"/>
        <v>BETTER</v>
      </c>
    </row>
    <row r="50" spans="1:53">
      <c r="A50" s="21">
        <v>43</v>
      </c>
      <c r="B50" s="43">
        <v>48</v>
      </c>
      <c r="C50" s="44" t="s">
        <v>193</v>
      </c>
      <c r="D50" s="44" t="s">
        <v>194</v>
      </c>
      <c r="E50" s="44" t="s">
        <v>195</v>
      </c>
      <c r="F50" s="56">
        <v>13</v>
      </c>
      <c r="G50" s="56">
        <v>43</v>
      </c>
      <c r="H50" s="56">
        <v>7</v>
      </c>
      <c r="I50" s="56">
        <v>19</v>
      </c>
      <c r="J50" s="56">
        <f t="shared" si="34"/>
        <v>82</v>
      </c>
      <c r="K50" s="57">
        <f t="shared" si="35"/>
        <v>3</v>
      </c>
      <c r="L50" s="221"/>
      <c r="M50" s="56">
        <v>11</v>
      </c>
      <c r="N50" s="56">
        <v>14</v>
      </c>
      <c r="O50" s="56">
        <v>6</v>
      </c>
      <c r="P50" s="56">
        <v>10</v>
      </c>
      <c r="Q50" s="56">
        <f t="shared" si="36"/>
        <v>41</v>
      </c>
      <c r="R50" s="57" t="str">
        <f t="shared" si="37"/>
        <v>F</v>
      </c>
      <c r="S50" s="221"/>
      <c r="T50" s="56">
        <v>11</v>
      </c>
      <c r="U50" s="56">
        <v>36</v>
      </c>
      <c r="V50" s="56">
        <f t="shared" si="38"/>
        <v>47</v>
      </c>
      <c r="W50" s="57">
        <f t="shared" si="39"/>
        <v>2</v>
      </c>
      <c r="X50" s="221"/>
      <c r="Y50" s="56">
        <v>14</v>
      </c>
      <c r="Z50" s="56">
        <v>47</v>
      </c>
      <c r="AA50" s="56">
        <f t="shared" si="40"/>
        <v>61</v>
      </c>
      <c r="AB50" s="57">
        <f t="shared" si="41"/>
        <v>3.5</v>
      </c>
      <c r="AC50" s="221"/>
      <c r="AD50" s="56">
        <v>14</v>
      </c>
      <c r="AE50" s="56">
        <v>37</v>
      </c>
      <c r="AF50" s="56">
        <f t="shared" si="42"/>
        <v>51</v>
      </c>
      <c r="AG50" s="57">
        <f t="shared" si="43"/>
        <v>3</v>
      </c>
      <c r="AH50" s="221"/>
      <c r="AI50" s="56">
        <v>19</v>
      </c>
      <c r="AJ50" s="56">
        <v>32</v>
      </c>
      <c r="AK50" s="56">
        <f t="shared" si="44"/>
        <v>51</v>
      </c>
      <c r="AL50" s="57">
        <f t="shared" si="45"/>
        <v>3</v>
      </c>
      <c r="AM50" s="221"/>
      <c r="AN50" s="51"/>
      <c r="AO50" s="56">
        <v>25</v>
      </c>
      <c r="AP50" s="56">
        <f t="shared" si="33"/>
        <v>25</v>
      </c>
      <c r="AQ50" s="57">
        <f t="shared" si="46"/>
        <v>3</v>
      </c>
      <c r="AR50" s="221"/>
      <c r="AS50" s="56">
        <v>30</v>
      </c>
      <c r="AT50" s="57">
        <f t="shared" si="47"/>
        <v>3.5</v>
      </c>
      <c r="AU50" s="221"/>
      <c r="AV50" s="51" t="str">
        <f t="shared" si="29"/>
        <v>F</v>
      </c>
      <c r="AW50" s="58" t="str">
        <f t="shared" si="48"/>
        <v>F</v>
      </c>
      <c r="AX50" s="54">
        <f t="shared" si="31"/>
        <v>358</v>
      </c>
      <c r="AY50" s="67"/>
      <c r="AZ50" s="67"/>
      <c r="BA50" s="51" t="str">
        <f t="shared" si="32"/>
        <v>NEED TO PROGRESS</v>
      </c>
    </row>
    <row r="51" spans="1:53">
      <c r="A51" s="21">
        <v>44</v>
      </c>
      <c r="B51" s="45">
        <v>50</v>
      </c>
      <c r="C51" s="46" t="s">
        <v>196</v>
      </c>
      <c r="D51" s="46" t="s">
        <v>197</v>
      </c>
      <c r="E51" s="46" t="s">
        <v>198</v>
      </c>
      <c r="F51" s="59">
        <v>17</v>
      </c>
      <c r="G51" s="59">
        <v>47</v>
      </c>
      <c r="H51" s="59">
        <v>5</v>
      </c>
      <c r="I51" s="59">
        <v>19</v>
      </c>
      <c r="J51" s="59">
        <f t="shared" si="34"/>
        <v>88</v>
      </c>
      <c r="K51" s="60">
        <f t="shared" si="35"/>
        <v>3</v>
      </c>
      <c r="L51" s="221"/>
      <c r="M51" s="59">
        <v>19</v>
      </c>
      <c r="N51" s="59">
        <v>65</v>
      </c>
      <c r="O51" s="59">
        <v>6</v>
      </c>
      <c r="P51" s="59">
        <v>9</v>
      </c>
      <c r="Q51" s="59">
        <f t="shared" si="36"/>
        <v>99</v>
      </c>
      <c r="R51" s="60">
        <f t="shared" si="37"/>
        <v>3.5</v>
      </c>
      <c r="S51" s="221"/>
      <c r="T51" s="59">
        <v>12</v>
      </c>
      <c r="U51" s="59">
        <v>12</v>
      </c>
      <c r="V51" s="59">
        <f t="shared" si="38"/>
        <v>24</v>
      </c>
      <c r="W51" s="60" t="str">
        <f t="shared" si="39"/>
        <v>F</v>
      </c>
      <c r="X51" s="221"/>
      <c r="Y51" s="59">
        <v>16</v>
      </c>
      <c r="Z51" s="59">
        <v>71</v>
      </c>
      <c r="AA51" s="59">
        <f t="shared" si="40"/>
        <v>87</v>
      </c>
      <c r="AB51" s="60">
        <f t="shared" si="41"/>
        <v>5</v>
      </c>
      <c r="AC51" s="221"/>
      <c r="AD51" s="59">
        <v>13</v>
      </c>
      <c r="AE51" s="59">
        <v>56</v>
      </c>
      <c r="AF51" s="56">
        <f t="shared" si="42"/>
        <v>69</v>
      </c>
      <c r="AG51" s="60">
        <f t="shared" si="43"/>
        <v>3.5</v>
      </c>
      <c r="AH51" s="221"/>
      <c r="AI51" s="59">
        <v>15</v>
      </c>
      <c r="AJ51" s="59">
        <v>38</v>
      </c>
      <c r="AK51" s="59">
        <f t="shared" si="44"/>
        <v>53</v>
      </c>
      <c r="AL51" s="60">
        <f t="shared" si="45"/>
        <v>3</v>
      </c>
      <c r="AM51" s="221"/>
      <c r="AN51" s="61"/>
      <c r="AO51" s="59">
        <v>24</v>
      </c>
      <c r="AP51" s="59">
        <f t="shared" si="33"/>
        <v>24</v>
      </c>
      <c r="AQ51" s="60">
        <f t="shared" si="46"/>
        <v>2</v>
      </c>
      <c r="AR51" s="221"/>
      <c r="AS51" s="59">
        <v>37</v>
      </c>
      <c r="AT51" s="60">
        <f t="shared" si="47"/>
        <v>4</v>
      </c>
      <c r="AU51" s="221"/>
      <c r="AV51" s="61" t="str">
        <f t="shared" si="29"/>
        <v>F</v>
      </c>
      <c r="AW51" s="62" t="str">
        <f t="shared" si="48"/>
        <v>F</v>
      </c>
      <c r="AX51" s="63">
        <f t="shared" si="31"/>
        <v>444</v>
      </c>
      <c r="AY51" s="67"/>
      <c r="AZ51" s="67"/>
      <c r="BA51" s="51" t="str">
        <f t="shared" si="32"/>
        <v>NEED TO PROGRESS</v>
      </c>
    </row>
    <row r="52" spans="1:53">
      <c r="A52" s="21">
        <v>45</v>
      </c>
      <c r="B52" s="43">
        <v>60</v>
      </c>
      <c r="C52" s="44" t="s">
        <v>199</v>
      </c>
      <c r="D52" s="44" t="s">
        <v>200</v>
      </c>
      <c r="E52" s="44" t="s">
        <v>201</v>
      </c>
      <c r="F52" s="56">
        <v>20</v>
      </c>
      <c r="G52" s="56">
        <v>66</v>
      </c>
      <c r="H52" s="56">
        <v>5</v>
      </c>
      <c r="I52" s="56">
        <v>32</v>
      </c>
      <c r="J52" s="56">
        <f t="shared" si="34"/>
        <v>123</v>
      </c>
      <c r="K52" s="57">
        <f t="shared" si="35"/>
        <v>5</v>
      </c>
      <c r="L52" s="221"/>
      <c r="M52" s="56">
        <v>18</v>
      </c>
      <c r="N52" s="56">
        <v>62</v>
      </c>
      <c r="O52" s="56">
        <v>9</v>
      </c>
      <c r="P52" s="56">
        <v>28</v>
      </c>
      <c r="Q52" s="56">
        <f t="shared" si="36"/>
        <v>117</v>
      </c>
      <c r="R52" s="57">
        <f t="shared" si="37"/>
        <v>4</v>
      </c>
      <c r="S52" s="221"/>
      <c r="T52" s="56">
        <v>13</v>
      </c>
      <c r="U52" s="56">
        <v>28</v>
      </c>
      <c r="V52" s="56">
        <f t="shared" si="38"/>
        <v>41</v>
      </c>
      <c r="W52" s="57">
        <f t="shared" si="39"/>
        <v>2</v>
      </c>
      <c r="X52" s="221"/>
      <c r="Y52" s="56">
        <v>14</v>
      </c>
      <c r="Z52" s="56">
        <v>57</v>
      </c>
      <c r="AA52" s="56">
        <f t="shared" si="40"/>
        <v>71</v>
      </c>
      <c r="AB52" s="57">
        <f t="shared" si="41"/>
        <v>4</v>
      </c>
      <c r="AC52" s="221"/>
      <c r="AD52" s="56">
        <v>19</v>
      </c>
      <c r="AE52" s="56">
        <v>55</v>
      </c>
      <c r="AF52" s="56">
        <f t="shared" si="42"/>
        <v>74</v>
      </c>
      <c r="AG52" s="57">
        <f t="shared" si="43"/>
        <v>4</v>
      </c>
      <c r="AH52" s="221"/>
      <c r="AI52" s="56">
        <v>15</v>
      </c>
      <c r="AJ52" s="56">
        <v>41</v>
      </c>
      <c r="AK52" s="56">
        <f t="shared" si="44"/>
        <v>56</v>
      </c>
      <c r="AL52" s="57">
        <f t="shared" si="45"/>
        <v>3</v>
      </c>
      <c r="AM52" s="221"/>
      <c r="AN52" s="51"/>
      <c r="AO52" s="56">
        <v>31</v>
      </c>
      <c r="AP52" s="56">
        <f t="shared" si="33"/>
        <v>31</v>
      </c>
      <c r="AQ52" s="57">
        <f t="shared" si="46"/>
        <v>3.5</v>
      </c>
      <c r="AR52" s="221"/>
      <c r="AS52" s="56">
        <v>40</v>
      </c>
      <c r="AT52" s="57">
        <f t="shared" si="47"/>
        <v>5</v>
      </c>
      <c r="AU52" s="221"/>
      <c r="AV52" s="51">
        <f t="shared" si="29"/>
        <v>25.5</v>
      </c>
      <c r="AW52" s="58">
        <f t="shared" si="48"/>
        <v>3.6428571428571428</v>
      </c>
      <c r="AX52" s="54">
        <f t="shared" si="31"/>
        <v>513</v>
      </c>
      <c r="AY52" s="67"/>
      <c r="AZ52" s="67"/>
      <c r="BA52" s="51" t="str">
        <f t="shared" si="32"/>
        <v>GOOD</v>
      </c>
    </row>
    <row r="53" spans="1:53">
      <c r="A53" s="21">
        <v>46</v>
      </c>
      <c r="B53" s="43">
        <v>61</v>
      </c>
      <c r="C53" s="44" t="s">
        <v>202</v>
      </c>
      <c r="D53" s="44" t="s">
        <v>203</v>
      </c>
      <c r="E53" s="44" t="s">
        <v>204</v>
      </c>
      <c r="F53" s="56">
        <v>15</v>
      </c>
      <c r="G53" s="56">
        <v>38</v>
      </c>
      <c r="H53" s="56">
        <v>6</v>
      </c>
      <c r="I53" s="56">
        <v>16</v>
      </c>
      <c r="J53" s="56">
        <f t="shared" si="34"/>
        <v>75</v>
      </c>
      <c r="K53" s="57">
        <f t="shared" si="35"/>
        <v>3</v>
      </c>
      <c r="L53" s="221"/>
      <c r="M53" s="56">
        <v>9</v>
      </c>
      <c r="N53" s="56">
        <v>18</v>
      </c>
      <c r="O53" s="56">
        <v>6</v>
      </c>
      <c r="P53" s="56">
        <v>14</v>
      </c>
      <c r="Q53" s="56">
        <f t="shared" si="36"/>
        <v>47</v>
      </c>
      <c r="R53" s="57" t="str">
        <f t="shared" si="37"/>
        <v>F</v>
      </c>
      <c r="S53" s="221"/>
      <c r="T53" s="56">
        <v>10</v>
      </c>
      <c r="U53" s="56">
        <v>36</v>
      </c>
      <c r="V53" s="56">
        <f t="shared" si="38"/>
        <v>46</v>
      </c>
      <c r="W53" s="57">
        <f t="shared" si="39"/>
        <v>2</v>
      </c>
      <c r="X53" s="221"/>
      <c r="Y53" s="56">
        <v>10</v>
      </c>
      <c r="Z53" s="56">
        <v>30</v>
      </c>
      <c r="AA53" s="56">
        <f t="shared" si="40"/>
        <v>40</v>
      </c>
      <c r="AB53" s="57">
        <f t="shared" si="41"/>
        <v>2</v>
      </c>
      <c r="AC53" s="221"/>
      <c r="AD53" s="56">
        <v>13</v>
      </c>
      <c r="AE53" s="56">
        <v>33</v>
      </c>
      <c r="AF53" s="56">
        <f t="shared" si="42"/>
        <v>46</v>
      </c>
      <c r="AG53" s="57">
        <f t="shared" si="43"/>
        <v>2</v>
      </c>
      <c r="AH53" s="221"/>
      <c r="AI53" s="56">
        <v>19</v>
      </c>
      <c r="AJ53" s="56">
        <v>58</v>
      </c>
      <c r="AK53" s="56">
        <f t="shared" si="44"/>
        <v>77</v>
      </c>
      <c r="AL53" s="57">
        <f t="shared" si="45"/>
        <v>4</v>
      </c>
      <c r="AM53" s="221"/>
      <c r="AN53" s="51"/>
      <c r="AO53" s="56">
        <v>27</v>
      </c>
      <c r="AP53" s="56">
        <f t="shared" si="33"/>
        <v>27</v>
      </c>
      <c r="AQ53" s="57">
        <f t="shared" si="46"/>
        <v>3</v>
      </c>
      <c r="AR53" s="221"/>
      <c r="AS53" s="56">
        <v>34</v>
      </c>
      <c r="AT53" s="57">
        <f t="shared" si="47"/>
        <v>3.5</v>
      </c>
      <c r="AU53" s="221"/>
      <c r="AV53" s="51" t="str">
        <f t="shared" si="29"/>
        <v>F</v>
      </c>
      <c r="AW53" s="58" t="str">
        <f t="shared" si="48"/>
        <v>F</v>
      </c>
      <c r="AX53" s="54">
        <f t="shared" si="31"/>
        <v>358</v>
      </c>
      <c r="AY53" s="67"/>
      <c r="AZ53" s="67"/>
      <c r="BA53" s="51" t="str">
        <f t="shared" si="32"/>
        <v>NEED TO PROGRESS</v>
      </c>
    </row>
    <row r="54" spans="1:53">
      <c r="A54" s="21">
        <v>47</v>
      </c>
      <c r="B54" s="43">
        <v>63</v>
      </c>
      <c r="C54" s="44" t="s">
        <v>205</v>
      </c>
      <c r="D54" s="44" t="s">
        <v>206</v>
      </c>
      <c r="E54" s="44" t="s">
        <v>207</v>
      </c>
      <c r="F54" s="56">
        <v>16</v>
      </c>
      <c r="G54" s="56">
        <v>46</v>
      </c>
      <c r="H54" s="56">
        <v>9</v>
      </c>
      <c r="I54" s="56">
        <v>25</v>
      </c>
      <c r="J54" s="56">
        <f t="shared" si="34"/>
        <v>96</v>
      </c>
      <c r="K54" s="57">
        <f t="shared" si="35"/>
        <v>3.5</v>
      </c>
      <c r="L54" s="221"/>
      <c r="M54" s="56">
        <v>16</v>
      </c>
      <c r="N54" s="56">
        <v>56</v>
      </c>
      <c r="O54" s="56">
        <v>5</v>
      </c>
      <c r="P54" s="56">
        <v>15</v>
      </c>
      <c r="Q54" s="56">
        <f t="shared" si="36"/>
        <v>92</v>
      </c>
      <c r="R54" s="57">
        <f t="shared" si="37"/>
        <v>3.5</v>
      </c>
      <c r="S54" s="221"/>
      <c r="T54" s="56">
        <v>11</v>
      </c>
      <c r="U54" s="56">
        <v>35</v>
      </c>
      <c r="V54" s="56">
        <f t="shared" si="38"/>
        <v>46</v>
      </c>
      <c r="W54" s="57">
        <f t="shared" si="39"/>
        <v>2</v>
      </c>
      <c r="X54" s="221"/>
      <c r="Y54" s="56">
        <v>16</v>
      </c>
      <c r="Z54" s="56">
        <v>52</v>
      </c>
      <c r="AA54" s="56">
        <f t="shared" si="40"/>
        <v>68</v>
      </c>
      <c r="AB54" s="57">
        <f t="shared" si="41"/>
        <v>3.5</v>
      </c>
      <c r="AC54" s="221"/>
      <c r="AD54" s="56">
        <v>16</v>
      </c>
      <c r="AE54" s="56">
        <v>55</v>
      </c>
      <c r="AF54" s="56">
        <f t="shared" si="42"/>
        <v>71</v>
      </c>
      <c r="AG54" s="57">
        <f t="shared" si="43"/>
        <v>4</v>
      </c>
      <c r="AH54" s="221"/>
      <c r="AI54" s="56">
        <v>13</v>
      </c>
      <c r="AJ54" s="56">
        <v>42</v>
      </c>
      <c r="AK54" s="56">
        <f t="shared" si="44"/>
        <v>55</v>
      </c>
      <c r="AL54" s="57">
        <f t="shared" si="45"/>
        <v>3</v>
      </c>
      <c r="AM54" s="221"/>
      <c r="AN54" s="51"/>
      <c r="AO54" s="56">
        <v>29</v>
      </c>
      <c r="AP54" s="56">
        <f t="shared" si="33"/>
        <v>29</v>
      </c>
      <c r="AQ54" s="57">
        <f t="shared" si="46"/>
        <v>3</v>
      </c>
      <c r="AR54" s="221"/>
      <c r="AS54" s="56">
        <v>37</v>
      </c>
      <c r="AT54" s="57">
        <f t="shared" si="47"/>
        <v>4</v>
      </c>
      <c r="AU54" s="221"/>
      <c r="AV54" s="51">
        <f t="shared" si="29"/>
        <v>22.5</v>
      </c>
      <c r="AW54" s="58">
        <f t="shared" si="48"/>
        <v>3.2142857142857144</v>
      </c>
      <c r="AX54" s="54">
        <f t="shared" si="31"/>
        <v>457</v>
      </c>
      <c r="AY54" s="67"/>
      <c r="AZ54" s="67"/>
      <c r="BA54" s="51" t="str">
        <f t="shared" si="32"/>
        <v>GOOD</v>
      </c>
    </row>
    <row r="55" spans="1:53">
      <c r="A55" s="21">
        <v>48</v>
      </c>
      <c r="B55" s="43">
        <v>64</v>
      </c>
      <c r="C55" s="44" t="s">
        <v>208</v>
      </c>
      <c r="D55" s="44" t="s">
        <v>209</v>
      </c>
      <c r="E55" s="44" t="s">
        <v>210</v>
      </c>
      <c r="F55" s="56">
        <v>0</v>
      </c>
      <c r="G55" s="56">
        <v>16</v>
      </c>
      <c r="H55" s="56">
        <v>2</v>
      </c>
      <c r="I55" s="56">
        <v>1</v>
      </c>
      <c r="J55" s="56">
        <f t="shared" si="34"/>
        <v>19</v>
      </c>
      <c r="K55" s="57" t="str">
        <f t="shared" si="35"/>
        <v>F</v>
      </c>
      <c r="L55" s="221"/>
      <c r="M55" s="56">
        <v>13</v>
      </c>
      <c r="N55" s="56">
        <v>33</v>
      </c>
      <c r="O55" s="56">
        <v>5</v>
      </c>
      <c r="P55" s="56">
        <v>9</v>
      </c>
      <c r="Q55" s="56">
        <f t="shared" si="36"/>
        <v>60</v>
      </c>
      <c r="R55" s="57">
        <f t="shared" si="37"/>
        <v>2</v>
      </c>
      <c r="S55" s="221"/>
      <c r="T55" s="56">
        <v>11</v>
      </c>
      <c r="U55" s="56">
        <v>11</v>
      </c>
      <c r="V55" s="56">
        <f t="shared" si="38"/>
        <v>22</v>
      </c>
      <c r="W55" s="57" t="str">
        <f t="shared" si="39"/>
        <v>F</v>
      </c>
      <c r="X55" s="221"/>
      <c r="Y55" s="56">
        <v>5</v>
      </c>
      <c r="Z55" s="56">
        <v>16</v>
      </c>
      <c r="AA55" s="56">
        <f t="shared" si="40"/>
        <v>21</v>
      </c>
      <c r="AB55" s="57" t="str">
        <f t="shared" si="41"/>
        <v>F</v>
      </c>
      <c r="AC55" s="221"/>
      <c r="AD55" s="56">
        <v>1</v>
      </c>
      <c r="AE55" s="56">
        <v>22</v>
      </c>
      <c r="AF55" s="56">
        <f t="shared" si="42"/>
        <v>23</v>
      </c>
      <c r="AG55" s="57" t="str">
        <f t="shared" si="43"/>
        <v>F</v>
      </c>
      <c r="AH55" s="221"/>
      <c r="AI55" s="56">
        <v>2</v>
      </c>
      <c r="AJ55" s="56">
        <v>18</v>
      </c>
      <c r="AK55" s="56">
        <f t="shared" si="44"/>
        <v>20</v>
      </c>
      <c r="AL55" s="57" t="str">
        <f t="shared" si="45"/>
        <v>F</v>
      </c>
      <c r="AM55" s="221"/>
      <c r="AN55" s="51"/>
      <c r="AO55" s="56">
        <v>26</v>
      </c>
      <c r="AP55" s="56">
        <f t="shared" si="33"/>
        <v>26</v>
      </c>
      <c r="AQ55" s="57">
        <f t="shared" si="46"/>
        <v>3</v>
      </c>
      <c r="AR55" s="221"/>
      <c r="AS55" s="56">
        <v>30</v>
      </c>
      <c r="AT55" s="57">
        <f t="shared" si="47"/>
        <v>3.5</v>
      </c>
      <c r="AU55" s="221"/>
      <c r="AV55" s="51" t="str">
        <f t="shared" si="29"/>
        <v>F</v>
      </c>
      <c r="AW55" s="58" t="str">
        <f t="shared" si="48"/>
        <v>F</v>
      </c>
      <c r="AX55" s="54">
        <f t="shared" si="31"/>
        <v>191</v>
      </c>
      <c r="AY55" s="67"/>
      <c r="AZ55" s="67"/>
      <c r="BA55" s="51" t="str">
        <f t="shared" si="32"/>
        <v>NEED TO PROGRESS</v>
      </c>
    </row>
    <row r="56" spans="1:53">
      <c r="A56" s="21">
        <v>49</v>
      </c>
      <c r="B56" s="43">
        <v>65</v>
      </c>
      <c r="C56" s="44" t="s">
        <v>211</v>
      </c>
      <c r="D56" s="44" t="s">
        <v>212</v>
      </c>
      <c r="E56" s="44" t="s">
        <v>213</v>
      </c>
      <c r="F56" s="56">
        <v>20</v>
      </c>
      <c r="G56" s="56">
        <v>48</v>
      </c>
      <c r="H56" s="56">
        <v>6</v>
      </c>
      <c r="I56" s="56">
        <v>18</v>
      </c>
      <c r="J56" s="56">
        <f t="shared" si="34"/>
        <v>92</v>
      </c>
      <c r="K56" s="57">
        <f t="shared" si="35"/>
        <v>3.5</v>
      </c>
      <c r="L56" s="221"/>
      <c r="M56" s="56">
        <v>14</v>
      </c>
      <c r="N56" s="56">
        <v>53</v>
      </c>
      <c r="O56" s="56">
        <v>5</v>
      </c>
      <c r="P56" s="56">
        <v>15</v>
      </c>
      <c r="Q56" s="56">
        <f t="shared" si="36"/>
        <v>87</v>
      </c>
      <c r="R56" s="57">
        <f t="shared" si="37"/>
        <v>3</v>
      </c>
      <c r="S56" s="221"/>
      <c r="T56" s="56">
        <v>10</v>
      </c>
      <c r="U56" s="56">
        <v>13</v>
      </c>
      <c r="V56" s="56">
        <f t="shared" si="38"/>
        <v>23</v>
      </c>
      <c r="W56" s="57" t="str">
        <f t="shared" si="39"/>
        <v>F</v>
      </c>
      <c r="X56" s="221"/>
      <c r="Y56" s="56">
        <v>11</v>
      </c>
      <c r="Z56" s="56">
        <v>40</v>
      </c>
      <c r="AA56" s="56">
        <f t="shared" si="40"/>
        <v>51</v>
      </c>
      <c r="AB56" s="57">
        <f t="shared" si="41"/>
        <v>3</v>
      </c>
      <c r="AC56" s="221"/>
      <c r="AD56" s="56">
        <v>17</v>
      </c>
      <c r="AE56" s="56">
        <v>59</v>
      </c>
      <c r="AF56" s="56">
        <f t="shared" si="42"/>
        <v>76</v>
      </c>
      <c r="AG56" s="57">
        <f t="shared" si="43"/>
        <v>4</v>
      </c>
      <c r="AH56" s="221"/>
      <c r="AI56" s="56">
        <v>11</v>
      </c>
      <c r="AJ56" s="56">
        <v>44</v>
      </c>
      <c r="AK56" s="56">
        <f t="shared" si="44"/>
        <v>55</v>
      </c>
      <c r="AL56" s="57">
        <f t="shared" si="45"/>
        <v>3</v>
      </c>
      <c r="AM56" s="221"/>
      <c r="AN56" s="51"/>
      <c r="AO56" s="56">
        <v>22</v>
      </c>
      <c r="AP56" s="56">
        <f t="shared" si="33"/>
        <v>22</v>
      </c>
      <c r="AQ56" s="57">
        <f t="shared" si="46"/>
        <v>2</v>
      </c>
      <c r="AR56" s="221"/>
      <c r="AS56" s="56">
        <v>44</v>
      </c>
      <c r="AT56" s="57">
        <f t="shared" si="47"/>
        <v>5</v>
      </c>
      <c r="AU56" s="221"/>
      <c r="AV56" s="51" t="str">
        <f t="shared" si="29"/>
        <v>F</v>
      </c>
      <c r="AW56" s="58" t="str">
        <f t="shared" si="48"/>
        <v>F</v>
      </c>
      <c r="AX56" s="54">
        <f t="shared" si="31"/>
        <v>406</v>
      </c>
      <c r="AY56" s="67"/>
      <c r="AZ56" s="67"/>
      <c r="BA56" s="51" t="str">
        <f t="shared" si="32"/>
        <v>NEED TO PROGRESS</v>
      </c>
    </row>
    <row r="57" spans="1:53">
      <c r="A57" s="21">
        <v>50</v>
      </c>
      <c r="B57" s="43">
        <v>68</v>
      </c>
      <c r="C57" s="44" t="s">
        <v>214</v>
      </c>
      <c r="D57" s="44" t="s">
        <v>215</v>
      </c>
      <c r="E57" s="44" t="s">
        <v>216</v>
      </c>
      <c r="F57" s="56">
        <v>13</v>
      </c>
      <c r="G57" s="56">
        <v>32</v>
      </c>
      <c r="H57" s="56">
        <v>5</v>
      </c>
      <c r="I57" s="56">
        <v>15</v>
      </c>
      <c r="J57" s="56">
        <f t="shared" si="34"/>
        <v>65</v>
      </c>
      <c r="K57" s="57">
        <f t="shared" si="35"/>
        <v>2</v>
      </c>
      <c r="L57" s="221"/>
      <c r="M57" s="56">
        <v>14</v>
      </c>
      <c r="N57" s="56">
        <v>26</v>
      </c>
      <c r="O57" s="56">
        <v>5</v>
      </c>
      <c r="P57" s="56">
        <v>5</v>
      </c>
      <c r="Q57" s="56">
        <f t="shared" si="36"/>
        <v>50</v>
      </c>
      <c r="R57" s="57" t="str">
        <f t="shared" si="37"/>
        <v>F</v>
      </c>
      <c r="S57" s="221"/>
      <c r="T57" s="56">
        <v>11</v>
      </c>
      <c r="U57" s="56">
        <v>74</v>
      </c>
      <c r="V57" s="56">
        <f t="shared" si="38"/>
        <v>85</v>
      </c>
      <c r="W57" s="57">
        <f t="shared" si="39"/>
        <v>5</v>
      </c>
      <c r="X57" s="221"/>
      <c r="Y57" s="56">
        <v>6</v>
      </c>
      <c r="Z57" s="56">
        <v>54</v>
      </c>
      <c r="AA57" s="56">
        <f t="shared" si="40"/>
        <v>60</v>
      </c>
      <c r="AB57" s="57">
        <f t="shared" si="41"/>
        <v>3.5</v>
      </c>
      <c r="AC57" s="221"/>
      <c r="AD57" s="56">
        <v>13</v>
      </c>
      <c r="AE57" s="56">
        <v>30</v>
      </c>
      <c r="AF57" s="56">
        <f t="shared" si="42"/>
        <v>43</v>
      </c>
      <c r="AG57" s="57">
        <f t="shared" si="43"/>
        <v>2</v>
      </c>
      <c r="AH57" s="221"/>
      <c r="AI57" s="56">
        <v>16</v>
      </c>
      <c r="AJ57" s="56">
        <v>32</v>
      </c>
      <c r="AK57" s="56">
        <f t="shared" si="44"/>
        <v>48</v>
      </c>
      <c r="AL57" s="57">
        <f t="shared" si="45"/>
        <v>2</v>
      </c>
      <c r="AM57" s="221"/>
      <c r="AN57" s="51"/>
      <c r="AO57" s="56">
        <v>21</v>
      </c>
      <c r="AP57" s="56">
        <f t="shared" si="33"/>
        <v>21</v>
      </c>
      <c r="AQ57" s="57">
        <f t="shared" si="46"/>
        <v>2</v>
      </c>
      <c r="AR57" s="221"/>
      <c r="AS57" s="56">
        <v>34</v>
      </c>
      <c r="AT57" s="57">
        <f t="shared" si="47"/>
        <v>3.5</v>
      </c>
      <c r="AU57" s="221"/>
      <c r="AV57" s="51" t="str">
        <f t="shared" si="29"/>
        <v>F</v>
      </c>
      <c r="AW57" s="58" t="str">
        <f t="shared" si="48"/>
        <v>F</v>
      </c>
      <c r="AX57" s="54">
        <f t="shared" si="31"/>
        <v>372</v>
      </c>
      <c r="AY57" s="67"/>
      <c r="AZ57" s="67"/>
      <c r="BA57" s="51" t="str">
        <f t="shared" si="32"/>
        <v>NEED TO PROGRESS</v>
      </c>
    </row>
    <row r="58" spans="1:53">
      <c r="A58" s="21">
        <v>51</v>
      </c>
      <c r="B58" s="43">
        <v>70</v>
      </c>
      <c r="C58" s="44" t="s">
        <v>217</v>
      </c>
      <c r="D58" s="44" t="s">
        <v>218</v>
      </c>
      <c r="E58" s="44" t="s">
        <v>219</v>
      </c>
      <c r="F58" s="56">
        <v>0</v>
      </c>
      <c r="G58" s="56">
        <v>60</v>
      </c>
      <c r="H58" s="56">
        <v>0</v>
      </c>
      <c r="I58" s="56">
        <v>15</v>
      </c>
      <c r="J58" s="56">
        <f t="shared" si="34"/>
        <v>75</v>
      </c>
      <c r="K58" s="57">
        <f t="shared" si="35"/>
        <v>3</v>
      </c>
      <c r="L58" s="221"/>
      <c r="M58" s="56">
        <v>0</v>
      </c>
      <c r="N58" s="56">
        <v>30</v>
      </c>
      <c r="O58" s="56">
        <v>0</v>
      </c>
      <c r="P58" s="56">
        <v>9</v>
      </c>
      <c r="Q58" s="56">
        <f t="shared" si="36"/>
        <v>39</v>
      </c>
      <c r="R58" s="57" t="str">
        <f t="shared" si="37"/>
        <v>F</v>
      </c>
      <c r="S58" s="221"/>
      <c r="T58" s="56">
        <v>0</v>
      </c>
      <c r="U58" s="56">
        <v>15</v>
      </c>
      <c r="V58" s="56">
        <f t="shared" si="38"/>
        <v>15</v>
      </c>
      <c r="W58" s="57" t="str">
        <f t="shared" si="39"/>
        <v>F</v>
      </c>
      <c r="X58" s="221"/>
      <c r="Y58" s="56">
        <v>0</v>
      </c>
      <c r="Z58" s="56">
        <v>0</v>
      </c>
      <c r="AA58" s="56">
        <f t="shared" si="40"/>
        <v>0</v>
      </c>
      <c r="AB58" s="57" t="str">
        <f t="shared" si="41"/>
        <v>F</v>
      </c>
      <c r="AC58" s="221"/>
      <c r="AD58" s="56">
        <v>0</v>
      </c>
      <c r="AE58" s="56">
        <v>0</v>
      </c>
      <c r="AF58" s="56">
        <f t="shared" si="42"/>
        <v>0</v>
      </c>
      <c r="AG58" s="57" t="str">
        <f t="shared" si="43"/>
        <v>F</v>
      </c>
      <c r="AH58" s="221"/>
      <c r="AI58" s="56">
        <v>0</v>
      </c>
      <c r="AJ58" s="56">
        <v>0</v>
      </c>
      <c r="AK58" s="56">
        <f t="shared" si="44"/>
        <v>0</v>
      </c>
      <c r="AL58" s="57" t="str">
        <f t="shared" si="45"/>
        <v>F</v>
      </c>
      <c r="AM58" s="221"/>
      <c r="AN58" s="51"/>
      <c r="AO58" s="56">
        <v>19</v>
      </c>
      <c r="AP58" s="56">
        <f t="shared" si="33"/>
        <v>19</v>
      </c>
      <c r="AQ58" s="57" t="str">
        <f t="shared" si="46"/>
        <v>F</v>
      </c>
      <c r="AR58" s="221"/>
      <c r="AS58" s="56">
        <v>34</v>
      </c>
      <c r="AT58" s="57">
        <f t="shared" si="47"/>
        <v>3.5</v>
      </c>
      <c r="AU58" s="221"/>
      <c r="AV58" s="51" t="str">
        <f t="shared" si="29"/>
        <v>F</v>
      </c>
      <c r="AW58" s="58" t="str">
        <f t="shared" si="48"/>
        <v>F</v>
      </c>
      <c r="AX58" s="54">
        <f t="shared" si="31"/>
        <v>148</v>
      </c>
      <c r="AY58" s="67"/>
      <c r="AZ58" s="67"/>
      <c r="BA58" s="51" t="str">
        <f t="shared" si="32"/>
        <v>NEED TO PROGRESS</v>
      </c>
    </row>
    <row r="59" spans="1:53">
      <c r="A59" s="21">
        <v>52</v>
      </c>
      <c r="B59" s="43">
        <v>71</v>
      </c>
      <c r="C59" s="44" t="s">
        <v>220</v>
      </c>
      <c r="D59" s="44" t="s">
        <v>221</v>
      </c>
      <c r="E59" s="44" t="s">
        <v>222</v>
      </c>
      <c r="F59" s="56">
        <v>0</v>
      </c>
      <c r="G59" s="56">
        <v>40</v>
      </c>
      <c r="H59" s="56">
        <v>0</v>
      </c>
      <c r="I59" s="56">
        <v>0</v>
      </c>
      <c r="J59" s="56">
        <f t="shared" si="34"/>
        <v>40</v>
      </c>
      <c r="K59" s="57" t="str">
        <f t="shared" si="35"/>
        <v>F</v>
      </c>
      <c r="L59" s="221"/>
      <c r="M59" s="56">
        <v>0</v>
      </c>
      <c r="N59" s="56">
        <v>62</v>
      </c>
      <c r="O59" s="56">
        <v>0</v>
      </c>
      <c r="P59" s="56">
        <v>15</v>
      </c>
      <c r="Q59" s="56">
        <f t="shared" si="36"/>
        <v>77</v>
      </c>
      <c r="R59" s="57">
        <f t="shared" si="37"/>
        <v>3</v>
      </c>
      <c r="S59" s="221"/>
      <c r="T59" s="56">
        <v>0</v>
      </c>
      <c r="U59" s="56">
        <v>14</v>
      </c>
      <c r="V59" s="56">
        <f t="shared" si="38"/>
        <v>14</v>
      </c>
      <c r="W59" s="57" t="str">
        <f t="shared" si="39"/>
        <v>F</v>
      </c>
      <c r="X59" s="221"/>
      <c r="Y59" s="56">
        <v>0</v>
      </c>
      <c r="Z59" s="56">
        <v>21</v>
      </c>
      <c r="AA59" s="56">
        <f t="shared" si="40"/>
        <v>21</v>
      </c>
      <c r="AB59" s="57" t="str">
        <f t="shared" si="41"/>
        <v>F</v>
      </c>
      <c r="AC59" s="221"/>
      <c r="AD59" s="56">
        <v>0</v>
      </c>
      <c r="AE59" s="56">
        <v>30</v>
      </c>
      <c r="AF59" s="56">
        <f t="shared" si="42"/>
        <v>30</v>
      </c>
      <c r="AG59" s="57" t="str">
        <f t="shared" si="43"/>
        <v>F</v>
      </c>
      <c r="AH59" s="221"/>
      <c r="AI59" s="56">
        <v>0</v>
      </c>
      <c r="AJ59" s="56">
        <v>26</v>
      </c>
      <c r="AK59" s="56">
        <f t="shared" si="44"/>
        <v>26</v>
      </c>
      <c r="AL59" s="57" t="str">
        <f t="shared" si="45"/>
        <v>F</v>
      </c>
      <c r="AM59" s="221"/>
      <c r="AN59" s="51"/>
      <c r="AO59" s="56">
        <v>23</v>
      </c>
      <c r="AP59" s="56">
        <f t="shared" si="33"/>
        <v>23</v>
      </c>
      <c r="AQ59" s="57">
        <f t="shared" si="46"/>
        <v>2</v>
      </c>
      <c r="AR59" s="221"/>
      <c r="AS59" s="56">
        <v>30</v>
      </c>
      <c r="AT59" s="57">
        <f t="shared" si="47"/>
        <v>3.5</v>
      </c>
      <c r="AU59" s="221"/>
      <c r="AV59" s="51" t="str">
        <f t="shared" si="29"/>
        <v>F</v>
      </c>
      <c r="AW59" s="58" t="str">
        <f t="shared" si="48"/>
        <v>F</v>
      </c>
      <c r="AX59" s="54">
        <f t="shared" si="31"/>
        <v>231</v>
      </c>
      <c r="AY59" s="67"/>
      <c r="AZ59" s="67"/>
      <c r="BA59" s="51" t="str">
        <f t="shared" si="32"/>
        <v>NEED TO PROGRESS</v>
      </c>
    </row>
    <row r="60" spans="1:53" s="48" customFormat="1">
      <c r="A60" s="75">
        <v>53</v>
      </c>
      <c r="B60" s="45">
        <v>72</v>
      </c>
      <c r="C60" s="46" t="s">
        <v>223</v>
      </c>
      <c r="D60" s="46" t="s">
        <v>224</v>
      </c>
      <c r="E60" s="46" t="s">
        <v>225</v>
      </c>
      <c r="F60" s="59">
        <v>0</v>
      </c>
      <c r="G60" s="59">
        <v>0</v>
      </c>
      <c r="H60" s="59">
        <v>0</v>
      </c>
      <c r="I60" s="59">
        <v>0</v>
      </c>
      <c r="J60" s="59">
        <f t="shared" si="34"/>
        <v>0</v>
      </c>
      <c r="K60" s="60" t="str">
        <f t="shared" si="35"/>
        <v>F</v>
      </c>
      <c r="L60" s="221"/>
      <c r="M60" s="59">
        <v>0</v>
      </c>
      <c r="N60" s="59">
        <v>0</v>
      </c>
      <c r="O60" s="59">
        <v>0</v>
      </c>
      <c r="P60" s="59">
        <v>0</v>
      </c>
      <c r="Q60" s="59">
        <f t="shared" si="36"/>
        <v>0</v>
      </c>
      <c r="R60" s="60" t="str">
        <f t="shared" si="37"/>
        <v>F</v>
      </c>
      <c r="S60" s="221"/>
      <c r="T60" s="59">
        <v>0</v>
      </c>
      <c r="U60" s="59">
        <v>0</v>
      </c>
      <c r="V60" s="59">
        <f t="shared" si="38"/>
        <v>0</v>
      </c>
      <c r="W60" s="60" t="str">
        <f t="shared" si="39"/>
        <v>F</v>
      </c>
      <c r="X60" s="221"/>
      <c r="Y60" s="59">
        <v>0</v>
      </c>
      <c r="Z60" s="59">
        <v>0</v>
      </c>
      <c r="AA60" s="59">
        <f t="shared" si="40"/>
        <v>0</v>
      </c>
      <c r="AB60" s="60" t="str">
        <f t="shared" si="41"/>
        <v>F</v>
      </c>
      <c r="AC60" s="221"/>
      <c r="AD60" s="59">
        <v>0</v>
      </c>
      <c r="AE60" s="59">
        <v>0</v>
      </c>
      <c r="AF60" s="59">
        <f t="shared" si="42"/>
        <v>0</v>
      </c>
      <c r="AG60" s="60" t="str">
        <f t="shared" si="43"/>
        <v>F</v>
      </c>
      <c r="AH60" s="221"/>
      <c r="AI60" s="59">
        <v>0</v>
      </c>
      <c r="AJ60" s="59">
        <v>0</v>
      </c>
      <c r="AK60" s="59">
        <f t="shared" si="44"/>
        <v>0</v>
      </c>
      <c r="AL60" s="60" t="str">
        <f t="shared" si="45"/>
        <v>F</v>
      </c>
      <c r="AM60" s="221"/>
      <c r="AN60" s="61"/>
      <c r="AO60" s="59">
        <v>0</v>
      </c>
      <c r="AP60" s="59">
        <f t="shared" si="33"/>
        <v>0</v>
      </c>
      <c r="AQ60" s="60" t="str">
        <f t="shared" si="46"/>
        <v>F</v>
      </c>
      <c r="AR60" s="221"/>
      <c r="AS60" s="59">
        <v>0</v>
      </c>
      <c r="AT60" s="60" t="str">
        <f t="shared" si="47"/>
        <v>F</v>
      </c>
      <c r="AU60" s="221"/>
      <c r="AV60" s="61" t="str">
        <f t="shared" si="29"/>
        <v>F</v>
      </c>
      <c r="AW60" s="62" t="str">
        <f t="shared" si="48"/>
        <v>F</v>
      </c>
      <c r="AX60" s="63">
        <f t="shared" si="31"/>
        <v>0</v>
      </c>
      <c r="AY60" s="67"/>
      <c r="AZ60" s="67"/>
      <c r="BA60" s="61" t="str">
        <f t="shared" si="32"/>
        <v>NEED TO PROGRESS</v>
      </c>
    </row>
    <row r="61" spans="1:53" s="48" customFormat="1">
      <c r="A61" s="75">
        <v>54</v>
      </c>
      <c r="B61" s="45">
        <v>73</v>
      </c>
      <c r="C61" s="46" t="s">
        <v>226</v>
      </c>
      <c r="D61" s="46" t="s">
        <v>227</v>
      </c>
      <c r="E61" s="46" t="s">
        <v>228</v>
      </c>
      <c r="F61" s="59">
        <v>0</v>
      </c>
      <c r="G61" s="59">
        <v>0</v>
      </c>
      <c r="H61" s="59">
        <v>0</v>
      </c>
      <c r="I61" s="59">
        <v>0</v>
      </c>
      <c r="J61" s="59">
        <f t="shared" si="34"/>
        <v>0</v>
      </c>
      <c r="K61" s="60" t="str">
        <f t="shared" si="35"/>
        <v>F</v>
      </c>
      <c r="L61" s="221"/>
      <c r="M61" s="59">
        <v>0</v>
      </c>
      <c r="N61" s="59">
        <v>0</v>
      </c>
      <c r="O61" s="59">
        <v>0</v>
      </c>
      <c r="P61" s="59">
        <v>0</v>
      </c>
      <c r="Q61" s="59">
        <f t="shared" si="36"/>
        <v>0</v>
      </c>
      <c r="R61" s="60" t="str">
        <f t="shared" si="37"/>
        <v>F</v>
      </c>
      <c r="S61" s="221"/>
      <c r="T61" s="59">
        <v>0</v>
      </c>
      <c r="U61" s="59">
        <v>0</v>
      </c>
      <c r="V61" s="59">
        <f t="shared" si="38"/>
        <v>0</v>
      </c>
      <c r="W61" s="60" t="str">
        <f t="shared" si="39"/>
        <v>F</v>
      </c>
      <c r="X61" s="221"/>
      <c r="Y61" s="59">
        <v>0</v>
      </c>
      <c r="Z61" s="59">
        <v>0</v>
      </c>
      <c r="AA61" s="59">
        <f t="shared" si="40"/>
        <v>0</v>
      </c>
      <c r="AB61" s="60" t="str">
        <f t="shared" si="41"/>
        <v>F</v>
      </c>
      <c r="AC61" s="221"/>
      <c r="AD61" s="59">
        <v>0</v>
      </c>
      <c r="AE61" s="59">
        <v>0</v>
      </c>
      <c r="AF61" s="59">
        <f t="shared" si="42"/>
        <v>0</v>
      </c>
      <c r="AG61" s="60" t="str">
        <f t="shared" si="43"/>
        <v>F</v>
      </c>
      <c r="AH61" s="221"/>
      <c r="AI61" s="59">
        <v>0</v>
      </c>
      <c r="AJ61" s="59">
        <v>0</v>
      </c>
      <c r="AK61" s="59">
        <f t="shared" si="44"/>
        <v>0</v>
      </c>
      <c r="AL61" s="60" t="str">
        <f t="shared" si="45"/>
        <v>F</v>
      </c>
      <c r="AM61" s="221"/>
      <c r="AN61" s="61"/>
      <c r="AO61" s="59">
        <v>0</v>
      </c>
      <c r="AP61" s="59">
        <f t="shared" si="33"/>
        <v>0</v>
      </c>
      <c r="AQ61" s="60" t="str">
        <f t="shared" si="46"/>
        <v>F</v>
      </c>
      <c r="AR61" s="221"/>
      <c r="AS61" s="59">
        <v>0</v>
      </c>
      <c r="AT61" s="60" t="str">
        <f t="shared" si="47"/>
        <v>F</v>
      </c>
      <c r="AU61" s="221"/>
      <c r="AV61" s="61" t="str">
        <f t="shared" si="29"/>
        <v>F</v>
      </c>
      <c r="AW61" s="62" t="str">
        <f t="shared" si="48"/>
        <v>F</v>
      </c>
      <c r="AX61" s="63">
        <f t="shared" si="31"/>
        <v>0</v>
      </c>
      <c r="AY61" s="67"/>
      <c r="AZ61" s="67"/>
      <c r="BA61" s="61" t="str">
        <f t="shared" si="32"/>
        <v>NEED TO PROGRESS</v>
      </c>
    </row>
    <row r="62" spans="1:53" s="48" customFormat="1">
      <c r="A62" s="75">
        <v>55</v>
      </c>
      <c r="B62" s="45">
        <v>75</v>
      </c>
      <c r="C62" s="46" t="s">
        <v>229</v>
      </c>
      <c r="D62" s="46" t="s">
        <v>230</v>
      </c>
      <c r="E62" s="46" t="s">
        <v>231</v>
      </c>
      <c r="F62" s="59">
        <v>0</v>
      </c>
      <c r="G62" s="59">
        <v>0</v>
      </c>
      <c r="H62" s="59">
        <v>0</v>
      </c>
      <c r="I62" s="59">
        <v>0</v>
      </c>
      <c r="J62" s="59">
        <f t="shared" si="34"/>
        <v>0</v>
      </c>
      <c r="K62" s="60" t="str">
        <f t="shared" si="35"/>
        <v>F</v>
      </c>
      <c r="L62" s="221"/>
      <c r="M62" s="59">
        <v>0</v>
      </c>
      <c r="N62" s="59">
        <v>0</v>
      </c>
      <c r="O62" s="59">
        <v>0</v>
      </c>
      <c r="P62" s="59">
        <v>0</v>
      </c>
      <c r="Q62" s="59">
        <f t="shared" si="36"/>
        <v>0</v>
      </c>
      <c r="R62" s="60" t="str">
        <f t="shared" si="37"/>
        <v>F</v>
      </c>
      <c r="S62" s="221"/>
      <c r="T62" s="59">
        <v>0</v>
      </c>
      <c r="U62" s="59">
        <v>0</v>
      </c>
      <c r="V62" s="59">
        <f t="shared" si="38"/>
        <v>0</v>
      </c>
      <c r="W62" s="60" t="str">
        <f t="shared" si="39"/>
        <v>F</v>
      </c>
      <c r="X62" s="221"/>
      <c r="Y62" s="59">
        <v>0</v>
      </c>
      <c r="Z62" s="59">
        <v>0</v>
      </c>
      <c r="AA62" s="59">
        <f t="shared" si="40"/>
        <v>0</v>
      </c>
      <c r="AB62" s="60" t="str">
        <f t="shared" si="41"/>
        <v>F</v>
      </c>
      <c r="AC62" s="221"/>
      <c r="AD62" s="59">
        <v>0</v>
      </c>
      <c r="AE62" s="59">
        <v>0</v>
      </c>
      <c r="AF62" s="59">
        <f t="shared" si="42"/>
        <v>0</v>
      </c>
      <c r="AG62" s="60" t="str">
        <f t="shared" si="43"/>
        <v>F</v>
      </c>
      <c r="AH62" s="221"/>
      <c r="AI62" s="59">
        <v>0</v>
      </c>
      <c r="AJ62" s="59">
        <v>0</v>
      </c>
      <c r="AK62" s="59">
        <f t="shared" si="44"/>
        <v>0</v>
      </c>
      <c r="AL62" s="60" t="str">
        <f t="shared" si="45"/>
        <v>F</v>
      </c>
      <c r="AM62" s="221"/>
      <c r="AN62" s="61"/>
      <c r="AO62" s="59">
        <v>0</v>
      </c>
      <c r="AP62" s="59">
        <f t="shared" si="33"/>
        <v>0</v>
      </c>
      <c r="AQ62" s="60" t="str">
        <f t="shared" si="46"/>
        <v>F</v>
      </c>
      <c r="AR62" s="221"/>
      <c r="AS62" s="59">
        <v>0</v>
      </c>
      <c r="AT62" s="60" t="str">
        <f t="shared" si="47"/>
        <v>F</v>
      </c>
      <c r="AU62" s="221"/>
      <c r="AV62" s="61" t="str">
        <f t="shared" si="29"/>
        <v>F</v>
      </c>
      <c r="AW62" s="62" t="str">
        <f t="shared" si="48"/>
        <v>F</v>
      </c>
      <c r="AX62" s="63">
        <f t="shared" si="31"/>
        <v>0</v>
      </c>
      <c r="AY62" s="67"/>
      <c r="AZ62" s="67"/>
      <c r="BA62" s="61" t="str">
        <f t="shared" si="32"/>
        <v>NEED TO PROGRESS</v>
      </c>
    </row>
    <row r="63" spans="1:53" s="48" customFormat="1">
      <c r="A63" s="75">
        <v>56</v>
      </c>
      <c r="B63" s="45">
        <v>76</v>
      </c>
      <c r="C63" s="46" t="s">
        <v>232</v>
      </c>
      <c r="D63" s="46"/>
      <c r="E63" s="46"/>
      <c r="F63" s="59">
        <v>0</v>
      </c>
      <c r="G63" s="59">
        <v>0</v>
      </c>
      <c r="H63" s="59">
        <v>0</v>
      </c>
      <c r="I63" s="59">
        <v>0</v>
      </c>
      <c r="J63" s="59">
        <f t="shared" si="34"/>
        <v>0</v>
      </c>
      <c r="K63" s="60" t="str">
        <f t="shared" si="35"/>
        <v>F</v>
      </c>
      <c r="L63" s="221"/>
      <c r="M63" s="59">
        <v>0</v>
      </c>
      <c r="N63" s="59">
        <v>0</v>
      </c>
      <c r="O63" s="59">
        <v>0</v>
      </c>
      <c r="P63" s="59">
        <v>0</v>
      </c>
      <c r="Q63" s="59">
        <f t="shared" si="36"/>
        <v>0</v>
      </c>
      <c r="R63" s="60" t="str">
        <f t="shared" si="37"/>
        <v>F</v>
      </c>
      <c r="S63" s="221"/>
      <c r="T63" s="59">
        <v>0</v>
      </c>
      <c r="U63" s="59">
        <v>0</v>
      </c>
      <c r="V63" s="59">
        <f t="shared" si="38"/>
        <v>0</v>
      </c>
      <c r="W63" s="60" t="str">
        <f t="shared" si="39"/>
        <v>F</v>
      </c>
      <c r="X63" s="221"/>
      <c r="Y63" s="59">
        <v>0</v>
      </c>
      <c r="Z63" s="59">
        <v>0</v>
      </c>
      <c r="AA63" s="59">
        <f t="shared" si="40"/>
        <v>0</v>
      </c>
      <c r="AB63" s="60" t="str">
        <f t="shared" si="41"/>
        <v>F</v>
      </c>
      <c r="AC63" s="221"/>
      <c r="AD63" s="59">
        <v>0</v>
      </c>
      <c r="AE63" s="59">
        <v>0</v>
      </c>
      <c r="AF63" s="59">
        <f t="shared" si="42"/>
        <v>0</v>
      </c>
      <c r="AG63" s="60" t="str">
        <f t="shared" si="43"/>
        <v>F</v>
      </c>
      <c r="AH63" s="221"/>
      <c r="AI63" s="59">
        <v>0</v>
      </c>
      <c r="AJ63" s="59">
        <v>0</v>
      </c>
      <c r="AK63" s="59">
        <f t="shared" si="44"/>
        <v>0</v>
      </c>
      <c r="AL63" s="60" t="str">
        <f t="shared" si="45"/>
        <v>F</v>
      </c>
      <c r="AM63" s="221"/>
      <c r="AN63" s="61"/>
      <c r="AO63" s="59">
        <v>0</v>
      </c>
      <c r="AP63" s="59">
        <f t="shared" si="33"/>
        <v>0</v>
      </c>
      <c r="AQ63" s="60" t="str">
        <f t="shared" si="46"/>
        <v>F</v>
      </c>
      <c r="AR63" s="221"/>
      <c r="AS63" s="59">
        <v>0</v>
      </c>
      <c r="AT63" s="60" t="str">
        <f t="shared" si="47"/>
        <v>F</v>
      </c>
      <c r="AU63" s="221"/>
      <c r="AV63" s="61" t="str">
        <f t="shared" si="29"/>
        <v>F</v>
      </c>
      <c r="AW63" s="62" t="str">
        <f t="shared" si="48"/>
        <v>F</v>
      </c>
      <c r="AX63" s="63">
        <f t="shared" si="31"/>
        <v>0</v>
      </c>
      <c r="AY63" s="67"/>
      <c r="AZ63" s="67"/>
      <c r="BA63" s="61" t="str">
        <f t="shared" si="32"/>
        <v>NEED TO PROGRESS</v>
      </c>
    </row>
    <row r="64" spans="1:53" s="48" customFormat="1">
      <c r="A64" s="75">
        <v>57</v>
      </c>
      <c r="B64" s="45">
        <v>77</v>
      </c>
      <c r="C64" s="46" t="s">
        <v>233</v>
      </c>
      <c r="D64" s="46"/>
      <c r="E64" s="46"/>
      <c r="F64" s="59">
        <v>0</v>
      </c>
      <c r="G64" s="59">
        <v>0</v>
      </c>
      <c r="H64" s="59">
        <v>0</v>
      </c>
      <c r="I64" s="59">
        <v>0</v>
      </c>
      <c r="J64" s="59">
        <f t="shared" si="34"/>
        <v>0</v>
      </c>
      <c r="K64" s="60" t="str">
        <f t="shared" si="35"/>
        <v>F</v>
      </c>
      <c r="L64" s="221"/>
      <c r="M64" s="59">
        <v>0</v>
      </c>
      <c r="N64" s="59">
        <v>0</v>
      </c>
      <c r="O64" s="59">
        <v>0</v>
      </c>
      <c r="P64" s="59">
        <v>0</v>
      </c>
      <c r="Q64" s="59">
        <f t="shared" si="36"/>
        <v>0</v>
      </c>
      <c r="R64" s="60" t="str">
        <f t="shared" si="37"/>
        <v>F</v>
      </c>
      <c r="S64" s="221"/>
      <c r="T64" s="59">
        <v>0</v>
      </c>
      <c r="U64" s="59">
        <v>0</v>
      </c>
      <c r="V64" s="59">
        <f t="shared" si="38"/>
        <v>0</v>
      </c>
      <c r="W64" s="60" t="str">
        <f t="shared" si="39"/>
        <v>F</v>
      </c>
      <c r="X64" s="221"/>
      <c r="Y64" s="59">
        <v>0</v>
      </c>
      <c r="Z64" s="59">
        <v>0</v>
      </c>
      <c r="AA64" s="59">
        <f t="shared" si="40"/>
        <v>0</v>
      </c>
      <c r="AB64" s="60" t="str">
        <f t="shared" si="41"/>
        <v>F</v>
      </c>
      <c r="AC64" s="221"/>
      <c r="AD64" s="59">
        <v>0</v>
      </c>
      <c r="AE64" s="59">
        <v>0</v>
      </c>
      <c r="AF64" s="59">
        <f t="shared" si="42"/>
        <v>0</v>
      </c>
      <c r="AG64" s="60" t="str">
        <f t="shared" si="43"/>
        <v>F</v>
      </c>
      <c r="AH64" s="221"/>
      <c r="AI64" s="59">
        <v>0</v>
      </c>
      <c r="AJ64" s="59">
        <v>0</v>
      </c>
      <c r="AK64" s="59">
        <f t="shared" si="44"/>
        <v>0</v>
      </c>
      <c r="AL64" s="60" t="str">
        <f t="shared" si="45"/>
        <v>F</v>
      </c>
      <c r="AM64" s="221"/>
      <c r="AN64" s="61"/>
      <c r="AO64" s="59">
        <v>0</v>
      </c>
      <c r="AP64" s="59">
        <f t="shared" si="33"/>
        <v>0</v>
      </c>
      <c r="AQ64" s="60" t="str">
        <f t="shared" si="46"/>
        <v>F</v>
      </c>
      <c r="AR64" s="221"/>
      <c r="AS64" s="59">
        <v>0</v>
      </c>
      <c r="AT64" s="60" t="str">
        <f t="shared" si="47"/>
        <v>F</v>
      </c>
      <c r="AU64" s="221"/>
      <c r="AV64" s="61" t="str">
        <f t="shared" si="29"/>
        <v>F</v>
      </c>
      <c r="AW64" s="62" t="str">
        <f t="shared" si="48"/>
        <v>F</v>
      </c>
      <c r="AX64" s="63">
        <f t="shared" si="31"/>
        <v>0</v>
      </c>
      <c r="AY64" s="67"/>
      <c r="AZ64" s="67"/>
      <c r="BA64" s="61" t="str">
        <f t="shared" si="32"/>
        <v>NEED TO PROGRESS</v>
      </c>
    </row>
    <row r="65" spans="1:53" s="48" customFormat="1">
      <c r="A65" s="75">
        <v>58</v>
      </c>
      <c r="B65" s="45">
        <v>78</v>
      </c>
      <c r="C65" s="46" t="s">
        <v>234</v>
      </c>
      <c r="D65" s="46"/>
      <c r="E65" s="46"/>
      <c r="F65" s="59">
        <v>0</v>
      </c>
      <c r="G65" s="59">
        <v>0</v>
      </c>
      <c r="H65" s="59">
        <v>0</v>
      </c>
      <c r="I65" s="59">
        <v>0</v>
      </c>
      <c r="J65" s="59">
        <f t="shared" si="34"/>
        <v>0</v>
      </c>
      <c r="K65" s="60" t="str">
        <f t="shared" si="35"/>
        <v>F</v>
      </c>
      <c r="L65" s="221"/>
      <c r="M65" s="59">
        <v>0</v>
      </c>
      <c r="N65" s="59">
        <v>0</v>
      </c>
      <c r="O65" s="59">
        <v>0</v>
      </c>
      <c r="P65" s="59">
        <v>0</v>
      </c>
      <c r="Q65" s="59">
        <f t="shared" si="36"/>
        <v>0</v>
      </c>
      <c r="R65" s="60" t="str">
        <f t="shared" si="37"/>
        <v>F</v>
      </c>
      <c r="S65" s="221"/>
      <c r="T65" s="59">
        <v>0</v>
      </c>
      <c r="U65" s="59">
        <v>0</v>
      </c>
      <c r="V65" s="59">
        <f t="shared" si="38"/>
        <v>0</v>
      </c>
      <c r="W65" s="60" t="str">
        <f t="shared" si="39"/>
        <v>F</v>
      </c>
      <c r="X65" s="221"/>
      <c r="Y65" s="59">
        <v>0</v>
      </c>
      <c r="Z65" s="59">
        <v>0</v>
      </c>
      <c r="AA65" s="59">
        <f t="shared" si="40"/>
        <v>0</v>
      </c>
      <c r="AB65" s="60" t="str">
        <f t="shared" si="41"/>
        <v>F</v>
      </c>
      <c r="AC65" s="221"/>
      <c r="AD65" s="59">
        <v>0</v>
      </c>
      <c r="AE65" s="59">
        <v>0</v>
      </c>
      <c r="AF65" s="59">
        <f t="shared" si="42"/>
        <v>0</v>
      </c>
      <c r="AG65" s="60" t="str">
        <f t="shared" si="43"/>
        <v>F</v>
      </c>
      <c r="AH65" s="221"/>
      <c r="AI65" s="59">
        <v>0</v>
      </c>
      <c r="AJ65" s="59">
        <v>0</v>
      </c>
      <c r="AK65" s="59">
        <f t="shared" si="44"/>
        <v>0</v>
      </c>
      <c r="AL65" s="60" t="str">
        <f t="shared" si="45"/>
        <v>F</v>
      </c>
      <c r="AM65" s="221"/>
      <c r="AN65" s="61"/>
      <c r="AO65" s="59">
        <v>0</v>
      </c>
      <c r="AP65" s="59">
        <f t="shared" si="33"/>
        <v>0</v>
      </c>
      <c r="AQ65" s="60" t="str">
        <f t="shared" si="46"/>
        <v>F</v>
      </c>
      <c r="AR65" s="221"/>
      <c r="AS65" s="59">
        <v>0</v>
      </c>
      <c r="AT65" s="60" t="str">
        <f t="shared" si="47"/>
        <v>F</v>
      </c>
      <c r="AU65" s="221"/>
      <c r="AV65" s="61" t="str">
        <f t="shared" si="29"/>
        <v>F</v>
      </c>
      <c r="AW65" s="62" t="str">
        <f t="shared" si="48"/>
        <v>F</v>
      </c>
      <c r="AX65" s="63">
        <f t="shared" si="31"/>
        <v>0</v>
      </c>
      <c r="AY65" s="67"/>
      <c r="AZ65" s="67"/>
      <c r="BA65" s="61" t="str">
        <f t="shared" si="32"/>
        <v>NEED TO PROGRESS</v>
      </c>
    </row>
    <row r="66" spans="1:53" s="48" customFormat="1">
      <c r="A66" s="75">
        <v>59</v>
      </c>
      <c r="B66" s="45">
        <v>79</v>
      </c>
      <c r="C66" s="46" t="s">
        <v>235</v>
      </c>
      <c r="D66" s="46"/>
      <c r="E66" s="46"/>
      <c r="F66" s="59">
        <v>0</v>
      </c>
      <c r="G66" s="59">
        <v>0</v>
      </c>
      <c r="H66" s="59">
        <v>0</v>
      </c>
      <c r="I66" s="59">
        <v>0</v>
      </c>
      <c r="J66" s="59">
        <f t="shared" si="34"/>
        <v>0</v>
      </c>
      <c r="K66" s="60" t="str">
        <f t="shared" si="35"/>
        <v>F</v>
      </c>
      <c r="L66" s="221"/>
      <c r="M66" s="59">
        <v>0</v>
      </c>
      <c r="N66" s="59">
        <v>0</v>
      </c>
      <c r="O66" s="59">
        <v>0</v>
      </c>
      <c r="P66" s="59">
        <v>0</v>
      </c>
      <c r="Q66" s="59">
        <f t="shared" si="36"/>
        <v>0</v>
      </c>
      <c r="R66" s="60" t="str">
        <f t="shared" si="37"/>
        <v>F</v>
      </c>
      <c r="S66" s="221"/>
      <c r="T66" s="59">
        <v>0</v>
      </c>
      <c r="U66" s="59">
        <v>0</v>
      </c>
      <c r="V66" s="59">
        <f t="shared" si="38"/>
        <v>0</v>
      </c>
      <c r="W66" s="60" t="str">
        <f t="shared" si="39"/>
        <v>F</v>
      </c>
      <c r="X66" s="221"/>
      <c r="Y66" s="59">
        <v>0</v>
      </c>
      <c r="Z66" s="59">
        <v>0</v>
      </c>
      <c r="AA66" s="59">
        <f t="shared" si="40"/>
        <v>0</v>
      </c>
      <c r="AB66" s="60" t="str">
        <f t="shared" si="41"/>
        <v>F</v>
      </c>
      <c r="AC66" s="221"/>
      <c r="AD66" s="59">
        <v>0</v>
      </c>
      <c r="AE66" s="59">
        <v>0</v>
      </c>
      <c r="AF66" s="59">
        <f t="shared" si="42"/>
        <v>0</v>
      </c>
      <c r="AG66" s="60" t="str">
        <f t="shared" si="43"/>
        <v>F</v>
      </c>
      <c r="AH66" s="221"/>
      <c r="AI66" s="59">
        <v>0</v>
      </c>
      <c r="AJ66" s="59">
        <v>0</v>
      </c>
      <c r="AK66" s="59">
        <f t="shared" si="44"/>
        <v>0</v>
      </c>
      <c r="AL66" s="60" t="str">
        <f t="shared" si="45"/>
        <v>F</v>
      </c>
      <c r="AM66" s="221"/>
      <c r="AN66" s="61"/>
      <c r="AO66" s="59">
        <v>0</v>
      </c>
      <c r="AP66" s="59">
        <f t="shared" si="33"/>
        <v>0</v>
      </c>
      <c r="AQ66" s="60" t="str">
        <f t="shared" si="46"/>
        <v>F</v>
      </c>
      <c r="AR66" s="221"/>
      <c r="AS66" s="59">
        <v>0</v>
      </c>
      <c r="AT66" s="60" t="str">
        <f t="shared" si="47"/>
        <v>F</v>
      </c>
      <c r="AU66" s="221"/>
      <c r="AV66" s="61" t="str">
        <f t="shared" si="29"/>
        <v>F</v>
      </c>
      <c r="AW66" s="62" t="str">
        <f t="shared" si="48"/>
        <v>F</v>
      </c>
      <c r="AX66" s="63">
        <f t="shared" si="31"/>
        <v>0</v>
      </c>
      <c r="AY66" s="67"/>
      <c r="AZ66" s="67"/>
      <c r="BA66" s="61" t="str">
        <f t="shared" si="32"/>
        <v>NEED TO PROGRESS</v>
      </c>
    </row>
    <row r="67" spans="1:53" s="48" customFormat="1">
      <c r="A67" s="75">
        <v>60</v>
      </c>
      <c r="B67" s="45">
        <v>80</v>
      </c>
      <c r="C67" s="46" t="s">
        <v>236</v>
      </c>
      <c r="D67" s="76"/>
      <c r="E67" s="76"/>
      <c r="F67" s="59">
        <v>0</v>
      </c>
      <c r="G67" s="59">
        <v>0</v>
      </c>
      <c r="H67" s="59">
        <v>0</v>
      </c>
      <c r="I67" s="59">
        <v>0</v>
      </c>
      <c r="J67" s="59">
        <f t="shared" si="34"/>
        <v>0</v>
      </c>
      <c r="K67" s="60" t="str">
        <f t="shared" si="35"/>
        <v>F</v>
      </c>
      <c r="L67" s="222"/>
      <c r="M67" s="59">
        <v>0</v>
      </c>
      <c r="N67" s="59">
        <v>0</v>
      </c>
      <c r="O67" s="59">
        <v>0</v>
      </c>
      <c r="P67" s="59">
        <v>0</v>
      </c>
      <c r="Q67" s="59">
        <f t="shared" si="36"/>
        <v>0</v>
      </c>
      <c r="R67" s="60" t="str">
        <f t="shared" si="37"/>
        <v>F</v>
      </c>
      <c r="S67" s="222"/>
      <c r="T67" s="59">
        <v>0</v>
      </c>
      <c r="U67" s="59">
        <v>0</v>
      </c>
      <c r="V67" s="59">
        <f t="shared" si="38"/>
        <v>0</v>
      </c>
      <c r="W67" s="60" t="str">
        <f t="shared" si="39"/>
        <v>F</v>
      </c>
      <c r="X67" s="222"/>
      <c r="Y67" s="59">
        <v>0</v>
      </c>
      <c r="Z67" s="59">
        <v>0</v>
      </c>
      <c r="AA67" s="59">
        <f t="shared" si="40"/>
        <v>0</v>
      </c>
      <c r="AB67" s="60" t="str">
        <f t="shared" si="41"/>
        <v>F</v>
      </c>
      <c r="AC67" s="222"/>
      <c r="AD67" s="59">
        <v>0</v>
      </c>
      <c r="AE67" s="59">
        <v>0</v>
      </c>
      <c r="AF67" s="59">
        <f t="shared" si="42"/>
        <v>0</v>
      </c>
      <c r="AG67" s="60" t="str">
        <f t="shared" si="43"/>
        <v>F</v>
      </c>
      <c r="AH67" s="222"/>
      <c r="AI67" s="59">
        <v>0</v>
      </c>
      <c r="AJ67" s="59">
        <v>0</v>
      </c>
      <c r="AK67" s="59">
        <f t="shared" si="44"/>
        <v>0</v>
      </c>
      <c r="AL67" s="60" t="str">
        <f t="shared" si="45"/>
        <v>F</v>
      </c>
      <c r="AM67" s="222"/>
      <c r="AN67" s="61"/>
      <c r="AO67" s="59">
        <v>0</v>
      </c>
      <c r="AP67" s="59">
        <f t="shared" si="33"/>
        <v>0</v>
      </c>
      <c r="AQ67" s="60" t="str">
        <f t="shared" si="46"/>
        <v>F</v>
      </c>
      <c r="AR67" s="222"/>
      <c r="AS67" s="59">
        <v>0</v>
      </c>
      <c r="AT67" s="60" t="str">
        <f t="shared" si="47"/>
        <v>F</v>
      </c>
      <c r="AU67" s="222"/>
      <c r="AV67" s="61" t="str">
        <f t="shared" si="29"/>
        <v>F</v>
      </c>
      <c r="AW67" s="62" t="str">
        <f t="shared" si="48"/>
        <v>F</v>
      </c>
      <c r="AX67" s="63">
        <f t="shared" si="31"/>
        <v>0</v>
      </c>
      <c r="AY67" s="67"/>
      <c r="AZ67" s="67"/>
      <c r="BA67" s="61" t="str">
        <f t="shared" si="32"/>
        <v>NEED TO PROGRESS</v>
      </c>
    </row>
  </sheetData>
  <mergeCells count="45">
    <mergeCell ref="AM8:AM67"/>
    <mergeCell ref="AR8:AR67"/>
    <mergeCell ref="AU8:AU67"/>
    <mergeCell ref="L8:L67"/>
    <mergeCell ref="S8:S67"/>
    <mergeCell ref="X8:X67"/>
    <mergeCell ref="AC8:AC67"/>
    <mergeCell ref="AH8:AH67"/>
    <mergeCell ref="Y6:AC6"/>
    <mergeCell ref="AD6:AH6"/>
    <mergeCell ref="AI6:AM6"/>
    <mergeCell ref="AN6:AR6"/>
    <mergeCell ref="AS6:AU6"/>
    <mergeCell ref="A1:AZ4"/>
    <mergeCell ref="A5:C5"/>
    <mergeCell ref="F5:G5"/>
    <mergeCell ref="H5:N5"/>
    <mergeCell ref="O5:R5"/>
    <mergeCell ref="S5:U5"/>
    <mergeCell ref="W5:AA5"/>
    <mergeCell ref="AE5:AH5"/>
    <mergeCell ref="AI5:AM5"/>
    <mergeCell ref="AN5:AZ5"/>
    <mergeCell ref="BA6:BA7"/>
    <mergeCell ref="AV6:AV7"/>
    <mergeCell ref="AW6:AW7"/>
    <mergeCell ref="AX6:AX7"/>
    <mergeCell ref="AY6:AY7"/>
    <mergeCell ref="AZ6:AZ7"/>
    <mergeCell ref="S6:S7"/>
    <mergeCell ref="T6:X6"/>
    <mergeCell ref="F6:G6"/>
    <mergeCell ref="A6:A7"/>
    <mergeCell ref="B6:B7"/>
    <mergeCell ref="C6:C7"/>
    <mergeCell ref="D6:D7"/>
    <mergeCell ref="E6:E7"/>
    <mergeCell ref="O6:P6"/>
    <mergeCell ref="Q6:Q7"/>
    <mergeCell ref="R6:R7"/>
    <mergeCell ref="H6:I6"/>
    <mergeCell ref="J6:J7"/>
    <mergeCell ref="K6:K7"/>
    <mergeCell ref="L6:L7"/>
    <mergeCell ref="M6:N6"/>
  </mergeCells>
  <conditionalFormatting sqref="B8:B18">
    <cfRule type="duplicateValues" dxfId="110" priority="36"/>
  </conditionalFormatting>
  <conditionalFormatting sqref="T8:T35 Y8:Y35 AD8:AD35 M8:M35 F8:F35 AI8:AI35">
    <cfRule type="cellIs" dxfId="109" priority="32" operator="greaterThan">
      <formula>20</formula>
    </cfRule>
  </conditionalFormatting>
  <conditionalFormatting sqref="G8:G35 N8:N35 U8:V35 Z8:AA35 AE8:AF35 AJ8:AK35">
    <cfRule type="cellIs" dxfId="108" priority="29" operator="greaterThan">
      <formula>100</formula>
    </cfRule>
  </conditionalFormatting>
  <conditionalFormatting sqref="H8:H35 O8:O35 AN8:AN35">
    <cfRule type="cellIs" dxfId="107" priority="33" operator="greaterThan">
      <formula>10</formula>
    </cfRule>
  </conditionalFormatting>
  <conditionalFormatting sqref="I8:I35 P8:P35">
    <cfRule type="cellIs" dxfId="106" priority="30" operator="greaterThan">
      <formula>50</formula>
    </cfRule>
  </conditionalFormatting>
  <conditionalFormatting sqref="J8:J35 Q8:Q35">
    <cfRule type="cellIs" dxfId="105" priority="31" operator="greaterThan">
      <formula>150</formula>
    </cfRule>
  </conditionalFormatting>
  <conditionalFormatting sqref="AO8:AP35 AS8:AS35">
    <cfRule type="cellIs" dxfId="104" priority="27" operator="greaterThan">
      <formula>50</formula>
    </cfRule>
  </conditionalFormatting>
  <conditionalFormatting sqref="AV6:AV7">
    <cfRule type="cellIs" dxfId="103" priority="34" operator="equal">
      <formula>"F"</formula>
    </cfRule>
  </conditionalFormatting>
  <conditionalFormatting sqref="B8:B19">
    <cfRule type="duplicateValues" dxfId="102" priority="26"/>
  </conditionalFormatting>
  <conditionalFormatting sqref="B19">
    <cfRule type="duplicateValues" dxfId="101" priority="25"/>
  </conditionalFormatting>
  <conditionalFormatting sqref="B20:B26">
    <cfRule type="duplicateValues" dxfId="100" priority="24"/>
  </conditionalFormatting>
  <conditionalFormatting sqref="B27:B33">
    <cfRule type="duplicateValues" dxfId="99" priority="23"/>
  </conditionalFormatting>
  <conditionalFormatting sqref="B34">
    <cfRule type="duplicateValues" dxfId="98" priority="22"/>
  </conditionalFormatting>
  <conditionalFormatting sqref="B35">
    <cfRule type="duplicateValues" dxfId="97" priority="21"/>
  </conditionalFormatting>
  <conditionalFormatting sqref="AP8:AP35">
    <cfRule type="cellIs" dxfId="96" priority="20" operator="greaterThan">
      <formula>100</formula>
    </cfRule>
  </conditionalFormatting>
  <conditionalFormatting sqref="J36 Q36">
    <cfRule type="cellIs" dxfId="95" priority="19" operator="greaterThan">
      <formula>150</formula>
    </cfRule>
  </conditionalFormatting>
  <conditionalFormatting sqref="AN36">
    <cfRule type="cellIs" dxfId="94" priority="18" operator="greaterThan">
      <formula>10</formula>
    </cfRule>
  </conditionalFormatting>
  <conditionalFormatting sqref="M36 T36 AD36 AI36 H36:I36 O36:P36 Y36:Z36 AS36 F36">
    <cfRule type="cellIs" dxfId="93" priority="17" operator="greaterThan">
      <formula>20</formula>
    </cfRule>
  </conditionalFormatting>
  <conditionalFormatting sqref="G36 N36 AA36 U36:V36 AE36:AF36 AJ36:AK36">
    <cfRule type="cellIs" dxfId="92" priority="16" operator="greaterThan">
      <formula>100</formula>
    </cfRule>
  </conditionalFormatting>
  <conditionalFormatting sqref="AO36:AP36">
    <cfRule type="cellIs" dxfId="91" priority="15" operator="greaterThan">
      <formula>50</formula>
    </cfRule>
  </conditionalFormatting>
  <conditionalFormatting sqref="B36:B44">
    <cfRule type="duplicateValues" dxfId="90" priority="14"/>
  </conditionalFormatting>
  <conditionalFormatting sqref="M36:M67 AD36:AD67 AI36:AI67 F36:F67 T36:T67 Y36:Y67">
    <cfRule type="cellIs" dxfId="89" priority="13" operator="greaterThan">
      <formula>20</formula>
    </cfRule>
  </conditionalFormatting>
  <conditionalFormatting sqref="N36:N67 G36:G67 U36:V67 Z36:AA67 AJ36:AK67 AE36:AF67">
    <cfRule type="cellIs" dxfId="88" priority="12" operator="greaterThan">
      <formula>100</formula>
    </cfRule>
  </conditionalFormatting>
  <conditionalFormatting sqref="H36:H67 AN36:AN67 O36:O67">
    <cfRule type="cellIs" dxfId="87" priority="11" operator="greaterThan">
      <formula>10</formula>
    </cfRule>
  </conditionalFormatting>
  <conditionalFormatting sqref="J36:J67 Q36:Q67">
    <cfRule type="cellIs" dxfId="86" priority="10" operator="greaterThan">
      <formula>150</formula>
    </cfRule>
  </conditionalFormatting>
  <conditionalFormatting sqref="AS36:AS67 AP36:AP67">
    <cfRule type="cellIs" dxfId="85" priority="9" operator="greaterThan">
      <formula>50</formula>
    </cfRule>
  </conditionalFormatting>
  <conditionalFormatting sqref="AS36:AS67 P36:P67 AO36:AO67 I36:I67">
    <cfRule type="cellIs" dxfId="84" priority="8" operator="greaterThan">
      <formula>50</formula>
    </cfRule>
  </conditionalFormatting>
  <conditionalFormatting sqref="B43">
    <cfRule type="duplicateValues" dxfId="83" priority="7"/>
  </conditionalFormatting>
  <conditionalFormatting sqref="B44:B51">
    <cfRule type="duplicateValues" dxfId="82" priority="6"/>
  </conditionalFormatting>
  <conditionalFormatting sqref="B52:B54">
    <cfRule type="duplicateValues" dxfId="81" priority="5"/>
  </conditionalFormatting>
  <conditionalFormatting sqref="B55">
    <cfRule type="duplicateValues" dxfId="80" priority="4"/>
  </conditionalFormatting>
  <conditionalFormatting sqref="B56">
    <cfRule type="duplicateValues" dxfId="79" priority="3"/>
  </conditionalFormatting>
  <conditionalFormatting sqref="B59">
    <cfRule type="duplicateValues" dxfId="78" priority="2"/>
  </conditionalFormatting>
  <conditionalFormatting sqref="B57:B58 B60:B67">
    <cfRule type="duplicateValues" dxfId="77" priority="1"/>
  </conditionalFormatting>
  <pageMargins left="0.23622047244094491" right="0.23622047244094491" top="0.74803149606299213" bottom="0.74803149606299213" header="0.31496062992125984" footer="0.31496062992125984"/>
  <pageSetup paperSize="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BS67"/>
  <sheetViews>
    <sheetView topLeftCell="A2" zoomScale="85" zoomScaleNormal="85" workbookViewId="0">
      <pane ySplit="6" topLeftCell="A35" activePane="bottomLeft" state="frozen"/>
      <selection activeCell="A2" sqref="A2"/>
      <selection pane="bottomLeft" activeCell="AS68" sqref="AS68"/>
    </sheetView>
  </sheetViews>
  <sheetFormatPr defaultColWidth="4.7109375" defaultRowHeight="15"/>
  <cols>
    <col min="1" max="2" width="4.7109375" style="1"/>
    <col min="3" max="3" width="23.140625" style="1" bestFit="1" customWidth="1"/>
    <col min="4" max="4" width="24.42578125" style="1" hidden="1" customWidth="1"/>
    <col min="5" max="5" width="26.28515625" style="1" hidden="1" customWidth="1"/>
    <col min="6" max="10" width="4.7109375" style="1"/>
    <col min="11" max="11" width="5.140625" style="1" bestFit="1" customWidth="1"/>
    <col min="12" max="42" width="4.7109375" style="1"/>
    <col min="43" max="43" width="5.140625" style="1" bestFit="1" customWidth="1"/>
    <col min="44" max="45" width="4.7109375" style="1"/>
    <col min="46" max="46" width="5.140625" style="1" bestFit="1" customWidth="1"/>
    <col min="47" max="49" width="4.7109375" style="1"/>
    <col min="50" max="50" width="5.28515625" style="1" bestFit="1" customWidth="1"/>
    <col min="51" max="51" width="5" style="1" bestFit="1" customWidth="1"/>
    <col min="52" max="52" width="8.7109375" style="1" bestFit="1" customWidth="1"/>
    <col min="53" max="53" width="17.28515625" style="1" bestFit="1" customWidth="1"/>
    <col min="54" max="16384" width="4.7109375" style="1"/>
  </cols>
  <sheetData>
    <row r="1" spans="1:71" ht="15" customHeight="1">
      <c r="A1" s="201" t="s">
        <v>65</v>
      </c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234"/>
      <c r="Y1" s="234"/>
      <c r="Z1" s="234"/>
      <c r="AA1" s="234"/>
      <c r="AB1" s="234"/>
      <c r="AC1" s="234"/>
      <c r="AD1" s="234"/>
      <c r="AE1" s="234"/>
      <c r="AF1" s="234"/>
      <c r="AG1" s="234"/>
      <c r="AH1" s="234"/>
      <c r="AI1" s="234"/>
      <c r="AJ1" s="234"/>
      <c r="AK1" s="234"/>
      <c r="AL1" s="234"/>
      <c r="AM1" s="234"/>
      <c r="AN1" s="234"/>
      <c r="AO1" s="234"/>
      <c r="AP1" s="234"/>
      <c r="AQ1" s="234"/>
      <c r="AR1" s="234"/>
      <c r="AS1" s="234"/>
      <c r="AT1" s="234"/>
      <c r="AU1" s="234"/>
      <c r="AV1" s="234"/>
      <c r="AW1" s="234"/>
      <c r="AX1" s="234"/>
      <c r="AY1" s="234"/>
      <c r="AZ1" s="234"/>
      <c r="BA1" s="234"/>
      <c r="BB1" s="29"/>
      <c r="BC1" s="29"/>
      <c r="BD1" s="29"/>
      <c r="BE1" s="29"/>
      <c r="BF1" s="29"/>
      <c r="BG1" s="29"/>
      <c r="BH1" s="29"/>
      <c r="BI1" s="29"/>
      <c r="BJ1" s="3"/>
    </row>
    <row r="2" spans="1:71" ht="15" customHeight="1">
      <c r="A2" s="235"/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36"/>
      <c r="M2" s="236"/>
      <c r="N2" s="236"/>
      <c r="O2" s="236"/>
      <c r="P2" s="236"/>
      <c r="Q2" s="236"/>
      <c r="R2" s="236"/>
      <c r="S2" s="236"/>
      <c r="T2" s="236"/>
      <c r="U2" s="236"/>
      <c r="V2" s="236"/>
      <c r="W2" s="236"/>
      <c r="X2" s="236"/>
      <c r="Y2" s="236"/>
      <c r="Z2" s="236"/>
      <c r="AA2" s="236"/>
      <c r="AB2" s="236"/>
      <c r="AC2" s="236"/>
      <c r="AD2" s="236"/>
      <c r="AE2" s="236"/>
      <c r="AF2" s="236"/>
      <c r="AG2" s="236"/>
      <c r="AH2" s="236"/>
      <c r="AI2" s="236"/>
      <c r="AJ2" s="236"/>
      <c r="AK2" s="236"/>
      <c r="AL2" s="236"/>
      <c r="AM2" s="236"/>
      <c r="AN2" s="236"/>
      <c r="AO2" s="236"/>
      <c r="AP2" s="236"/>
      <c r="AQ2" s="236"/>
      <c r="AR2" s="236"/>
      <c r="AS2" s="236"/>
      <c r="AT2" s="236"/>
      <c r="AU2" s="236"/>
      <c r="AV2" s="236"/>
      <c r="AW2" s="236"/>
      <c r="AX2" s="236"/>
      <c r="AY2" s="236"/>
      <c r="AZ2" s="236"/>
      <c r="BA2" s="236"/>
    </row>
    <row r="3" spans="1:71" ht="15" customHeight="1">
      <c r="A3" s="235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  <c r="AF3" s="236"/>
      <c r="AG3" s="236"/>
      <c r="AH3" s="236"/>
      <c r="AI3" s="236"/>
      <c r="AJ3" s="236"/>
      <c r="AK3" s="236"/>
      <c r="AL3" s="236"/>
      <c r="AM3" s="236"/>
      <c r="AN3" s="236"/>
      <c r="AO3" s="236"/>
      <c r="AP3" s="236"/>
      <c r="AQ3" s="236"/>
      <c r="AR3" s="236"/>
      <c r="AS3" s="236"/>
      <c r="AT3" s="236"/>
      <c r="AU3" s="236"/>
      <c r="AV3" s="236"/>
      <c r="AW3" s="236"/>
      <c r="AX3" s="236"/>
      <c r="AY3" s="236"/>
      <c r="AZ3" s="236"/>
      <c r="BA3" s="236"/>
    </row>
    <row r="4" spans="1:71" ht="15" customHeight="1">
      <c r="A4" s="237"/>
      <c r="B4" s="238"/>
      <c r="C4" s="238"/>
      <c r="D4" s="238"/>
      <c r="E4" s="238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8"/>
      <c r="U4" s="238"/>
      <c r="V4" s="238"/>
      <c r="W4" s="238"/>
      <c r="X4" s="238"/>
      <c r="Y4" s="238"/>
      <c r="Z4" s="238"/>
      <c r="AA4" s="238"/>
      <c r="AB4" s="238"/>
      <c r="AC4" s="238"/>
      <c r="AD4" s="238"/>
      <c r="AE4" s="238"/>
      <c r="AF4" s="238"/>
      <c r="AG4" s="238"/>
      <c r="AH4" s="238"/>
      <c r="AI4" s="238"/>
      <c r="AJ4" s="238"/>
      <c r="AK4" s="238"/>
      <c r="AL4" s="238"/>
      <c r="AM4" s="238"/>
      <c r="AN4" s="238"/>
      <c r="AO4" s="238"/>
      <c r="AP4" s="238"/>
      <c r="AQ4" s="238"/>
      <c r="AR4" s="238"/>
      <c r="AS4" s="238"/>
      <c r="AT4" s="238"/>
      <c r="AU4" s="238"/>
      <c r="AV4" s="238"/>
      <c r="AW4" s="238"/>
      <c r="AX4" s="238"/>
      <c r="AY4" s="238"/>
      <c r="AZ4" s="238"/>
      <c r="BA4" s="238"/>
    </row>
    <row r="5" spans="1:71" s="28" customFormat="1" ht="18.75" customHeight="1">
      <c r="A5" s="210" t="s">
        <v>17</v>
      </c>
      <c r="B5" s="210"/>
      <c r="C5" s="210"/>
      <c r="D5" s="15" t="s">
        <v>30</v>
      </c>
      <c r="E5" s="15" t="s">
        <v>18</v>
      </c>
      <c r="F5" s="239"/>
      <c r="G5" s="240"/>
      <c r="H5" s="210" t="s">
        <v>29</v>
      </c>
      <c r="I5" s="210"/>
      <c r="J5" s="210"/>
      <c r="K5" s="210"/>
      <c r="L5" s="210"/>
      <c r="M5" s="210"/>
      <c r="N5" s="210"/>
      <c r="O5" s="210" t="s">
        <v>19</v>
      </c>
      <c r="P5" s="210"/>
      <c r="Q5" s="210"/>
      <c r="R5" s="210"/>
      <c r="S5" s="210" t="s">
        <v>54</v>
      </c>
      <c r="T5" s="210"/>
      <c r="U5" s="210"/>
      <c r="V5" s="18"/>
      <c r="W5" s="210" t="s">
        <v>20</v>
      </c>
      <c r="X5" s="210"/>
      <c r="Y5" s="210"/>
      <c r="Z5" s="210"/>
      <c r="AA5" s="210"/>
      <c r="AB5" s="15"/>
      <c r="AC5" s="15">
        <v>44</v>
      </c>
      <c r="AD5" s="18"/>
      <c r="AE5" s="210" t="s">
        <v>21</v>
      </c>
      <c r="AF5" s="210"/>
      <c r="AG5" s="210"/>
      <c r="AH5" s="210"/>
      <c r="AI5" s="230" t="s">
        <v>62</v>
      </c>
      <c r="AJ5" s="230"/>
      <c r="AK5" s="230"/>
      <c r="AL5" s="230"/>
      <c r="AM5" s="230"/>
      <c r="AN5" s="231"/>
      <c r="AO5" s="232"/>
      <c r="AP5" s="232"/>
      <c r="AQ5" s="232"/>
      <c r="AR5" s="232"/>
      <c r="AS5" s="232"/>
      <c r="AT5" s="232"/>
      <c r="AU5" s="232"/>
      <c r="AV5" s="232"/>
      <c r="AW5" s="232"/>
      <c r="AX5" s="232"/>
      <c r="AY5" s="232"/>
      <c r="AZ5" s="233"/>
      <c r="BA5" s="32"/>
    </row>
    <row r="6" spans="1:71" s="4" customFormat="1" ht="21" customHeight="1">
      <c r="A6" s="191" t="s">
        <v>0</v>
      </c>
      <c r="B6" s="191" t="s">
        <v>1</v>
      </c>
      <c r="C6" s="228" t="s">
        <v>2</v>
      </c>
      <c r="D6" s="225" t="s">
        <v>24</v>
      </c>
      <c r="E6" s="225" t="s">
        <v>25</v>
      </c>
      <c r="F6" s="191" t="s">
        <v>27</v>
      </c>
      <c r="G6" s="191"/>
      <c r="H6" s="195" t="s">
        <v>26</v>
      </c>
      <c r="I6" s="196"/>
      <c r="J6" s="225" t="s">
        <v>3</v>
      </c>
      <c r="K6" s="191" t="s">
        <v>4</v>
      </c>
      <c r="L6" s="191" t="s">
        <v>64</v>
      </c>
      <c r="M6" s="191" t="s">
        <v>12</v>
      </c>
      <c r="N6" s="191"/>
      <c r="O6" s="191" t="s">
        <v>13</v>
      </c>
      <c r="P6" s="191"/>
      <c r="Q6" s="191" t="s">
        <v>3</v>
      </c>
      <c r="R6" s="191" t="s">
        <v>4</v>
      </c>
      <c r="S6" s="191" t="s">
        <v>64</v>
      </c>
      <c r="T6" s="195" t="s">
        <v>14</v>
      </c>
      <c r="U6" s="196"/>
      <c r="V6" s="196"/>
      <c r="W6" s="215"/>
      <c r="X6" s="191" t="s">
        <v>64</v>
      </c>
      <c r="Y6" s="195" t="s">
        <v>6</v>
      </c>
      <c r="Z6" s="196"/>
      <c r="AA6" s="196"/>
      <c r="AB6" s="215"/>
      <c r="AC6" s="191" t="s">
        <v>64</v>
      </c>
      <c r="AD6" s="195" t="s">
        <v>7</v>
      </c>
      <c r="AE6" s="196"/>
      <c r="AF6" s="196"/>
      <c r="AG6" s="215"/>
      <c r="AH6" s="191" t="s">
        <v>64</v>
      </c>
      <c r="AI6" s="195" t="s">
        <v>8</v>
      </c>
      <c r="AJ6" s="196"/>
      <c r="AK6" s="196"/>
      <c r="AL6" s="196"/>
      <c r="AM6" s="191" t="s">
        <v>64</v>
      </c>
      <c r="AN6" s="217" t="s">
        <v>31</v>
      </c>
      <c r="AO6" s="218"/>
      <c r="AP6" s="218"/>
      <c r="AQ6" s="219"/>
      <c r="AR6" s="191" t="s">
        <v>64</v>
      </c>
      <c r="AS6" s="217" t="s">
        <v>28</v>
      </c>
      <c r="AT6" s="218"/>
      <c r="AU6" s="191" t="s">
        <v>64</v>
      </c>
      <c r="AV6" s="191" t="s">
        <v>9</v>
      </c>
      <c r="AW6" s="225" t="s">
        <v>10</v>
      </c>
      <c r="AX6" s="191" t="s">
        <v>16</v>
      </c>
      <c r="AY6" s="191" t="s">
        <v>15</v>
      </c>
      <c r="AZ6" s="227" t="s">
        <v>22</v>
      </c>
      <c r="BA6" s="223" t="s">
        <v>23</v>
      </c>
    </row>
    <row r="7" spans="1:71" s="5" customFormat="1" ht="27.75" customHeight="1">
      <c r="A7" s="191"/>
      <c r="B7" s="191"/>
      <c r="C7" s="228"/>
      <c r="D7" s="226"/>
      <c r="E7" s="226"/>
      <c r="F7" s="22" t="s">
        <v>11</v>
      </c>
      <c r="G7" s="30" t="s">
        <v>5</v>
      </c>
      <c r="H7" s="22" t="s">
        <v>11</v>
      </c>
      <c r="I7" s="30" t="s">
        <v>5</v>
      </c>
      <c r="J7" s="229"/>
      <c r="K7" s="191"/>
      <c r="L7" s="191"/>
      <c r="M7" s="30" t="s">
        <v>11</v>
      </c>
      <c r="N7" s="30" t="s">
        <v>5</v>
      </c>
      <c r="O7" s="30" t="s">
        <v>11</v>
      </c>
      <c r="P7" s="30" t="s">
        <v>5</v>
      </c>
      <c r="Q7" s="191"/>
      <c r="R7" s="191"/>
      <c r="S7" s="191"/>
      <c r="T7" s="22" t="s">
        <v>11</v>
      </c>
      <c r="U7" s="30" t="s">
        <v>5</v>
      </c>
      <c r="V7" s="22" t="s">
        <v>3</v>
      </c>
      <c r="W7" s="22" t="s">
        <v>4</v>
      </c>
      <c r="X7" s="191"/>
      <c r="Y7" s="22" t="s">
        <v>11</v>
      </c>
      <c r="Z7" s="30" t="s">
        <v>5</v>
      </c>
      <c r="AA7" s="22" t="s">
        <v>3</v>
      </c>
      <c r="AB7" s="22" t="s">
        <v>4</v>
      </c>
      <c r="AC7" s="191"/>
      <c r="AD7" s="22" t="s">
        <v>11</v>
      </c>
      <c r="AE7" s="30" t="s">
        <v>5</v>
      </c>
      <c r="AF7" s="22" t="s">
        <v>3</v>
      </c>
      <c r="AG7" s="22" t="s">
        <v>4</v>
      </c>
      <c r="AH7" s="191"/>
      <c r="AI7" s="22" t="s">
        <v>11</v>
      </c>
      <c r="AJ7" s="30" t="s">
        <v>5</v>
      </c>
      <c r="AK7" s="22" t="s">
        <v>3</v>
      </c>
      <c r="AL7" s="22" t="s">
        <v>4</v>
      </c>
      <c r="AM7" s="191"/>
      <c r="AN7" s="30" t="s">
        <v>11</v>
      </c>
      <c r="AO7" s="30" t="s">
        <v>5</v>
      </c>
      <c r="AP7" s="22" t="s">
        <v>3</v>
      </c>
      <c r="AQ7" s="22" t="s">
        <v>4</v>
      </c>
      <c r="AR7" s="191"/>
      <c r="AS7" s="30" t="s">
        <v>5</v>
      </c>
      <c r="AT7" s="31" t="s">
        <v>4</v>
      </c>
      <c r="AU7" s="191"/>
      <c r="AV7" s="191"/>
      <c r="AW7" s="226"/>
      <c r="AX7" s="191"/>
      <c r="AY7" s="191"/>
      <c r="AZ7" s="224"/>
      <c r="BA7" s="224"/>
    </row>
    <row r="8" spans="1:71" s="48" customFormat="1" ht="14.1" customHeight="1">
      <c r="A8" s="75">
        <v>1</v>
      </c>
      <c r="B8" s="50">
        <v>1</v>
      </c>
      <c r="C8" s="76" t="s">
        <v>70</v>
      </c>
      <c r="D8" s="76" t="s">
        <v>71</v>
      </c>
      <c r="E8" s="76" t="s">
        <v>72</v>
      </c>
      <c r="F8" s="88">
        <v>20</v>
      </c>
      <c r="G8" s="88">
        <v>71</v>
      </c>
      <c r="H8" s="89">
        <v>10</v>
      </c>
      <c r="I8" s="89">
        <v>34</v>
      </c>
      <c r="J8" s="92">
        <f>F8+G8+H8+I8</f>
        <v>135</v>
      </c>
      <c r="K8" s="93">
        <f>IF(J8&lt;60,"F",IF(J8&lt;75,2,IF(J8&lt;90,3,IF(J8&lt;105,3.5,IF(J8&lt;120,4,5)))))</f>
        <v>5</v>
      </c>
      <c r="L8" s="241">
        <f>MAX(J8:J37)</f>
        <v>149</v>
      </c>
      <c r="M8" s="94">
        <v>20</v>
      </c>
      <c r="N8" s="94">
        <v>78</v>
      </c>
      <c r="O8" s="92">
        <v>10</v>
      </c>
      <c r="P8" s="92">
        <v>27</v>
      </c>
      <c r="Q8" s="92">
        <f>M8+N8+O8+P8</f>
        <v>135</v>
      </c>
      <c r="R8" s="93">
        <f>IF(Q8&lt;60,"F",IF(Q8&lt;75,2,IF(Q8&lt;90,3,IF(Q8&lt;105,3.5,IF(Q8&lt;120,4,5)))))</f>
        <v>5</v>
      </c>
      <c r="S8" s="241">
        <f>MAX(Q8:Q37)</f>
        <v>149</v>
      </c>
      <c r="T8" s="94">
        <v>19</v>
      </c>
      <c r="U8" s="94">
        <v>61</v>
      </c>
      <c r="V8" s="92">
        <f>T8+U8</f>
        <v>80</v>
      </c>
      <c r="W8" s="93">
        <f>IF(V8&lt;40,"F",IF(V8&lt;50,2,IF(V8&lt;60,3,IF(V8&lt;70,3.5,IF(V8&lt;80,4,5)))))</f>
        <v>5</v>
      </c>
      <c r="X8" s="241">
        <f>MAX(V8:V37)</f>
        <v>99</v>
      </c>
      <c r="Y8" s="94">
        <v>18</v>
      </c>
      <c r="Z8" s="94">
        <v>57</v>
      </c>
      <c r="AA8" s="92">
        <f>Y8+Z8</f>
        <v>75</v>
      </c>
      <c r="AB8" s="93">
        <f>IF(AA8&lt;40,"F",IF(AA8&lt;50,2,IF(AA8&lt;60,3,IF(AA8&lt;70,3.5,IF(AA8&lt;80,4,5)))))</f>
        <v>4</v>
      </c>
      <c r="AC8" s="241">
        <f>MAX(AA8:AA37)</f>
        <v>93</v>
      </c>
      <c r="AD8" s="94">
        <v>20</v>
      </c>
      <c r="AE8" s="94">
        <v>74</v>
      </c>
      <c r="AF8" s="92">
        <f>AD8+AE8</f>
        <v>94</v>
      </c>
      <c r="AG8" s="93">
        <f>IF(AF8&lt;40,"F",IF(AF8&lt;50,2,IF(AF8&lt;60,3,IF(AF8&lt;70,3.5,IF(AF8&lt;80,4,5)))))</f>
        <v>5</v>
      </c>
      <c r="AH8" s="241">
        <f>MAX(AF8:AF37)</f>
        <v>99</v>
      </c>
      <c r="AI8" s="94">
        <v>20</v>
      </c>
      <c r="AJ8" s="94">
        <v>68</v>
      </c>
      <c r="AK8" s="92">
        <f>AI8+AJ8</f>
        <v>88</v>
      </c>
      <c r="AL8" s="93">
        <f>IF(AK8&lt;40,"F",IF(AK8&lt;50,2,IF(AK8&lt;60,3,IF(AK8&lt;70,3.5,IF(AK8&lt;80,4,5)))))</f>
        <v>5</v>
      </c>
      <c r="AM8" s="241">
        <f>MAX(AK8:AK37)</f>
        <v>100</v>
      </c>
      <c r="AN8" s="95"/>
      <c r="AO8" s="94">
        <v>50</v>
      </c>
      <c r="AP8" s="92">
        <f>AN8+AO8</f>
        <v>50</v>
      </c>
      <c r="AQ8" s="93">
        <f>IF(AP8&lt;20,"F",IF(AP8&lt;25,2,IF(AP8&lt;30,3,IF(AP8&lt;35,3.5,IF(AP8&lt;40,4,5)))))</f>
        <v>5</v>
      </c>
      <c r="AR8" s="241">
        <f>MAX(AP8:AP37)</f>
        <v>50</v>
      </c>
      <c r="AS8" s="94">
        <v>46</v>
      </c>
      <c r="AT8" s="93">
        <f>IF(AS8&lt;20,"F",IF(AS8&lt;25,2,IF(AS8&lt;30,3,IF(AS8&lt;35,3.5,IF(AS8&lt;40,4,5)))))</f>
        <v>5</v>
      </c>
      <c r="AU8" s="241">
        <f>MAX(AS8:AS37)</f>
        <v>50</v>
      </c>
      <c r="AV8" s="95">
        <f>IF(K8="F","F",IF(R8="F","F",IF(W8="F","F",IF(AB8="F","F",IF(AG8="F","F",IF(AL8="F","F",IF(AQ8="F","F",SUM(K8,R8,W8,AB8,AG8,AL8,AQ8))))))))</f>
        <v>34</v>
      </c>
      <c r="AW8" s="96">
        <f>IF(AV8="F","F", IF(AV8&gt;=35,5,IF(AV8&lt;35,AV8/7)))</f>
        <v>4.8571428571428568</v>
      </c>
      <c r="AX8" s="97">
        <f>J8+Q8+V8+AA8+AF8+AK8+AP8</f>
        <v>657</v>
      </c>
      <c r="AY8" s="98"/>
      <c r="AZ8" s="98"/>
      <c r="BA8" s="47" t="str">
        <f t="shared" ref="BA8:BA67" si="0">IF(AW8="F","NEED TO PROGRESS",IF(AW8&gt;=5,"BEST",IF(AW8&gt;=4,"BETTER",IF(AW8&gt;2,"GOOD"))))</f>
        <v>BETTER</v>
      </c>
    </row>
    <row r="9" spans="1:71" ht="14.1" customHeight="1">
      <c r="A9" s="21">
        <v>2</v>
      </c>
      <c r="B9" s="41">
        <v>2</v>
      </c>
      <c r="C9" s="42" t="s">
        <v>73</v>
      </c>
      <c r="D9" s="42" t="s">
        <v>74</v>
      </c>
      <c r="E9" s="42" t="s">
        <v>75</v>
      </c>
      <c r="F9" s="99">
        <v>20</v>
      </c>
      <c r="G9" s="99">
        <v>75</v>
      </c>
      <c r="H9" s="99">
        <v>10</v>
      </c>
      <c r="I9" s="99">
        <v>38</v>
      </c>
      <c r="J9" s="100">
        <f t="shared" ref="J9:J35" si="1">F9+G9+H9+I9</f>
        <v>143</v>
      </c>
      <c r="K9" s="101">
        <f t="shared" ref="K9:K35" si="2">IF(J9&lt;60,"F",IF(J9&lt;75,2,IF(J9&lt;90,3,IF(J9&lt;105,3.5,IF(J9&lt;120,4,5)))))</f>
        <v>5</v>
      </c>
      <c r="L9" s="242"/>
      <c r="M9" s="102">
        <v>20</v>
      </c>
      <c r="N9" s="102">
        <v>77</v>
      </c>
      <c r="O9" s="100">
        <v>10</v>
      </c>
      <c r="P9" s="100">
        <v>38</v>
      </c>
      <c r="Q9" s="100">
        <f t="shared" ref="Q9:Q22" si="3">M9+N9+O9+P9</f>
        <v>145</v>
      </c>
      <c r="R9" s="101">
        <f t="shared" ref="R9:R22" si="4">IF(Q9&lt;60,"F",IF(Q9&lt;75,2,IF(Q9&lt;90,3,IF(Q9&lt;105,3.5,IF(Q9&lt;120,4,5)))))</f>
        <v>5</v>
      </c>
      <c r="S9" s="242"/>
      <c r="T9" s="102">
        <v>20</v>
      </c>
      <c r="U9" s="102">
        <v>79</v>
      </c>
      <c r="V9" s="100">
        <f t="shared" ref="V9:V22" si="5">T9+U9</f>
        <v>99</v>
      </c>
      <c r="W9" s="101">
        <f t="shared" ref="W9:W22" si="6">IF(V9&lt;40,"F",IF(V9&lt;50,2,IF(V9&lt;60,3,IF(V9&lt;70,3.5,IF(V9&lt;80,4,5)))))</f>
        <v>5</v>
      </c>
      <c r="X9" s="242"/>
      <c r="Y9" s="102">
        <v>18</v>
      </c>
      <c r="Z9" s="102">
        <v>70</v>
      </c>
      <c r="AA9" s="100">
        <f t="shared" ref="AA9:AA35" si="7">Y9+Z9</f>
        <v>88</v>
      </c>
      <c r="AB9" s="101">
        <f t="shared" ref="AB9:AB35" si="8">IF(AA9&lt;40,"F",IF(AA9&lt;50,2,IF(AA9&lt;60,3,IF(AA9&lt;70,3.5,IF(AA9&lt;80,4,5)))))</f>
        <v>5</v>
      </c>
      <c r="AC9" s="242"/>
      <c r="AD9" s="102">
        <v>20</v>
      </c>
      <c r="AE9" s="102">
        <v>78</v>
      </c>
      <c r="AF9" s="100">
        <f t="shared" ref="AF9:AF35" si="9">AD9+AE9</f>
        <v>98</v>
      </c>
      <c r="AG9" s="101">
        <f t="shared" ref="AG9:AG35" si="10">IF(AF9&lt;40,"F",IF(AF9&lt;50,2,IF(AF9&lt;60,3,IF(AF9&lt;70,3.5,IF(AF9&lt;80,4,5)))))</f>
        <v>5</v>
      </c>
      <c r="AH9" s="242"/>
      <c r="AI9" s="102">
        <v>19</v>
      </c>
      <c r="AJ9" s="102">
        <v>79</v>
      </c>
      <c r="AK9" s="100">
        <f t="shared" ref="AK9:AK35" si="11">AI9+AJ9</f>
        <v>98</v>
      </c>
      <c r="AL9" s="101">
        <f t="shared" ref="AL9:AL35" si="12">IF(AK9&lt;40,"F",IF(AK9&lt;50,2,IF(AK9&lt;60,3,IF(AK9&lt;70,3.5,IF(AK9&lt;80,4,5)))))</f>
        <v>5</v>
      </c>
      <c r="AM9" s="242"/>
      <c r="AN9" s="103"/>
      <c r="AO9" s="102">
        <v>50</v>
      </c>
      <c r="AP9" s="92">
        <f t="shared" ref="AP9:AP67" si="13">AN9+AO9</f>
        <v>50</v>
      </c>
      <c r="AQ9" s="101">
        <f t="shared" ref="AQ9:AQ35" si="14">IF(AP9&lt;20,"F",IF(AP9&lt;25,2,IF(AP9&lt;30,3,IF(AP9&lt;35,3.5,IF(AP9&lt;40,4,5)))))</f>
        <v>5</v>
      </c>
      <c r="AR9" s="242"/>
      <c r="AS9" s="102">
        <v>48</v>
      </c>
      <c r="AT9" s="101">
        <f t="shared" ref="AT9:AT67" si="15">IF(AS9&lt;20,"F",IF(AS9&lt;25,2,IF(AS9&lt;30,3,IF(AS9&lt;35,3.5,IF(AS9&lt;40,4,5)))))</f>
        <v>5</v>
      </c>
      <c r="AU9" s="242"/>
      <c r="AV9" s="103">
        <f t="shared" ref="AV9:AV67" si="16">IF(K9="F","F",IF(R9="F","F",IF(W9="F","F",IF(AB9="F","F",IF(AG9="F","F",IF(AL9="F","F",IF(AQ9="F","F",SUM(K9,R9,W9,AB9,AG9,AL9,AQ9))))))))</f>
        <v>35</v>
      </c>
      <c r="AW9" s="104">
        <f t="shared" ref="AW9:AW35" si="17">IF(AV9="F","F", IF(AV9&gt;=35,5,IF(AV9&lt;35,AV9/7)))</f>
        <v>5</v>
      </c>
      <c r="AX9" s="105">
        <f t="shared" ref="AX9:AX67" si="18">J9+Q9+V9+AA9+AF9+AK9+AP9</f>
        <v>721</v>
      </c>
      <c r="AY9" s="99"/>
      <c r="AZ9" s="99"/>
      <c r="BA9" s="27" t="str">
        <f t="shared" si="0"/>
        <v>BEST</v>
      </c>
    </row>
    <row r="10" spans="1:71" ht="14.1" customHeight="1">
      <c r="A10" s="21">
        <v>3</v>
      </c>
      <c r="B10" s="41">
        <v>6</v>
      </c>
      <c r="C10" s="42" t="s">
        <v>76</v>
      </c>
      <c r="D10" s="42" t="s">
        <v>77</v>
      </c>
      <c r="E10" s="42" t="s">
        <v>78</v>
      </c>
      <c r="F10" s="99">
        <v>19</v>
      </c>
      <c r="G10" s="99">
        <v>73</v>
      </c>
      <c r="H10" s="99">
        <v>10</v>
      </c>
      <c r="I10" s="99">
        <v>36</v>
      </c>
      <c r="J10" s="100">
        <f t="shared" si="1"/>
        <v>138</v>
      </c>
      <c r="K10" s="101">
        <f t="shared" si="2"/>
        <v>5</v>
      </c>
      <c r="L10" s="242"/>
      <c r="M10" s="102">
        <v>20</v>
      </c>
      <c r="N10" s="102">
        <v>78</v>
      </c>
      <c r="O10" s="100">
        <v>10</v>
      </c>
      <c r="P10" s="100">
        <v>33</v>
      </c>
      <c r="Q10" s="100">
        <f t="shared" si="3"/>
        <v>141</v>
      </c>
      <c r="R10" s="101">
        <f t="shared" si="4"/>
        <v>5</v>
      </c>
      <c r="S10" s="242"/>
      <c r="T10" s="102">
        <v>20</v>
      </c>
      <c r="U10" s="102">
        <v>60</v>
      </c>
      <c r="V10" s="100">
        <f t="shared" si="5"/>
        <v>80</v>
      </c>
      <c r="W10" s="101">
        <f t="shared" si="6"/>
        <v>5</v>
      </c>
      <c r="X10" s="242"/>
      <c r="Y10" s="102">
        <v>19</v>
      </c>
      <c r="Z10" s="102">
        <v>64</v>
      </c>
      <c r="AA10" s="100">
        <f t="shared" si="7"/>
        <v>83</v>
      </c>
      <c r="AB10" s="101">
        <f t="shared" si="8"/>
        <v>5</v>
      </c>
      <c r="AC10" s="242"/>
      <c r="AD10" s="102">
        <v>20</v>
      </c>
      <c r="AE10" s="102">
        <v>74</v>
      </c>
      <c r="AF10" s="100">
        <f t="shared" si="9"/>
        <v>94</v>
      </c>
      <c r="AG10" s="101">
        <f t="shared" si="10"/>
        <v>5</v>
      </c>
      <c r="AH10" s="242"/>
      <c r="AI10" s="102">
        <v>19</v>
      </c>
      <c r="AJ10" s="102">
        <v>77</v>
      </c>
      <c r="AK10" s="100">
        <f t="shared" si="11"/>
        <v>96</v>
      </c>
      <c r="AL10" s="101">
        <f t="shared" si="12"/>
        <v>5</v>
      </c>
      <c r="AM10" s="242"/>
      <c r="AN10" s="103"/>
      <c r="AO10" s="102">
        <v>50</v>
      </c>
      <c r="AP10" s="92">
        <f t="shared" si="13"/>
        <v>50</v>
      </c>
      <c r="AQ10" s="101">
        <f t="shared" si="14"/>
        <v>5</v>
      </c>
      <c r="AR10" s="242"/>
      <c r="AS10" s="102">
        <v>50</v>
      </c>
      <c r="AT10" s="101">
        <f t="shared" si="15"/>
        <v>5</v>
      </c>
      <c r="AU10" s="242"/>
      <c r="AV10" s="103">
        <f t="shared" si="16"/>
        <v>35</v>
      </c>
      <c r="AW10" s="104">
        <f t="shared" si="17"/>
        <v>5</v>
      </c>
      <c r="AX10" s="105">
        <f t="shared" si="18"/>
        <v>682</v>
      </c>
      <c r="AY10" s="99"/>
      <c r="AZ10" s="99"/>
      <c r="BA10" s="27" t="str">
        <f t="shared" si="0"/>
        <v>BEST</v>
      </c>
    </row>
    <row r="11" spans="1:71" ht="14.1" customHeight="1">
      <c r="A11" s="21">
        <v>4</v>
      </c>
      <c r="B11" s="41">
        <v>7</v>
      </c>
      <c r="C11" s="42" t="s">
        <v>79</v>
      </c>
      <c r="D11" s="42" t="s">
        <v>80</v>
      </c>
      <c r="E11" s="42" t="s">
        <v>81</v>
      </c>
      <c r="F11" s="99">
        <v>20</v>
      </c>
      <c r="G11" s="99">
        <v>67</v>
      </c>
      <c r="H11" s="99">
        <v>10</v>
      </c>
      <c r="I11" s="99">
        <v>35</v>
      </c>
      <c r="J11" s="100">
        <f t="shared" si="1"/>
        <v>132</v>
      </c>
      <c r="K11" s="101">
        <f t="shared" si="2"/>
        <v>5</v>
      </c>
      <c r="L11" s="242"/>
      <c r="M11" s="102">
        <v>20</v>
      </c>
      <c r="N11" s="102">
        <v>70</v>
      </c>
      <c r="O11" s="100">
        <v>8</v>
      </c>
      <c r="P11" s="100">
        <v>23</v>
      </c>
      <c r="Q11" s="100">
        <f t="shared" si="3"/>
        <v>121</v>
      </c>
      <c r="R11" s="101">
        <f t="shared" si="4"/>
        <v>5</v>
      </c>
      <c r="S11" s="242"/>
      <c r="T11" s="102">
        <v>16</v>
      </c>
      <c r="U11" s="102">
        <v>70</v>
      </c>
      <c r="V11" s="100">
        <f t="shared" si="5"/>
        <v>86</v>
      </c>
      <c r="W11" s="101">
        <f t="shared" si="6"/>
        <v>5</v>
      </c>
      <c r="X11" s="242"/>
      <c r="Y11" s="102">
        <v>17</v>
      </c>
      <c r="Z11" s="102">
        <v>60</v>
      </c>
      <c r="AA11" s="100">
        <f t="shared" si="7"/>
        <v>77</v>
      </c>
      <c r="AB11" s="101">
        <f t="shared" si="8"/>
        <v>4</v>
      </c>
      <c r="AC11" s="242"/>
      <c r="AD11" s="102">
        <v>19</v>
      </c>
      <c r="AE11" s="102">
        <v>74</v>
      </c>
      <c r="AF11" s="100">
        <f t="shared" si="9"/>
        <v>93</v>
      </c>
      <c r="AG11" s="101">
        <f t="shared" si="10"/>
        <v>5</v>
      </c>
      <c r="AH11" s="242"/>
      <c r="AI11" s="102">
        <v>19</v>
      </c>
      <c r="AJ11" s="102">
        <v>73</v>
      </c>
      <c r="AK11" s="100">
        <f t="shared" si="11"/>
        <v>92</v>
      </c>
      <c r="AL11" s="101">
        <f t="shared" si="12"/>
        <v>5</v>
      </c>
      <c r="AM11" s="242"/>
      <c r="AN11" s="103"/>
      <c r="AO11" s="102">
        <v>40</v>
      </c>
      <c r="AP11" s="92">
        <f t="shared" si="13"/>
        <v>40</v>
      </c>
      <c r="AQ11" s="101">
        <f t="shared" si="14"/>
        <v>5</v>
      </c>
      <c r="AR11" s="242"/>
      <c r="AS11" s="102">
        <v>49</v>
      </c>
      <c r="AT11" s="101">
        <f t="shared" si="15"/>
        <v>5</v>
      </c>
      <c r="AU11" s="242"/>
      <c r="AV11" s="103">
        <f t="shared" si="16"/>
        <v>34</v>
      </c>
      <c r="AW11" s="104">
        <f t="shared" si="17"/>
        <v>4.8571428571428568</v>
      </c>
      <c r="AX11" s="105">
        <f t="shared" si="18"/>
        <v>641</v>
      </c>
      <c r="AY11" s="99"/>
      <c r="AZ11" s="99"/>
      <c r="BA11" s="27" t="str">
        <f t="shared" si="0"/>
        <v>BETTER</v>
      </c>
    </row>
    <row r="12" spans="1:71" ht="14.1" customHeight="1">
      <c r="A12" s="21">
        <v>5</v>
      </c>
      <c r="B12" s="41">
        <v>8</v>
      </c>
      <c r="C12" s="42" t="s">
        <v>82</v>
      </c>
      <c r="D12" s="42" t="s">
        <v>83</v>
      </c>
      <c r="E12" s="42" t="s">
        <v>63</v>
      </c>
      <c r="F12" s="99">
        <v>20</v>
      </c>
      <c r="G12" s="99">
        <v>61</v>
      </c>
      <c r="H12" s="99">
        <v>10</v>
      </c>
      <c r="I12" s="99">
        <v>36</v>
      </c>
      <c r="J12" s="100">
        <f t="shared" si="1"/>
        <v>127</v>
      </c>
      <c r="K12" s="101">
        <f t="shared" si="2"/>
        <v>5</v>
      </c>
      <c r="L12" s="242"/>
      <c r="M12" s="102">
        <v>20</v>
      </c>
      <c r="N12" s="102">
        <v>53</v>
      </c>
      <c r="O12" s="100">
        <v>9</v>
      </c>
      <c r="P12" s="100">
        <v>25</v>
      </c>
      <c r="Q12" s="100">
        <f t="shared" si="3"/>
        <v>107</v>
      </c>
      <c r="R12" s="101">
        <f t="shared" si="4"/>
        <v>4</v>
      </c>
      <c r="S12" s="242"/>
      <c r="T12" s="102">
        <v>15</v>
      </c>
      <c r="U12" s="102">
        <v>46</v>
      </c>
      <c r="V12" s="100">
        <f t="shared" si="5"/>
        <v>61</v>
      </c>
      <c r="W12" s="101">
        <f t="shared" si="6"/>
        <v>3.5</v>
      </c>
      <c r="X12" s="242"/>
      <c r="Y12" s="102">
        <v>17</v>
      </c>
      <c r="Z12" s="102">
        <v>57</v>
      </c>
      <c r="AA12" s="100">
        <f t="shared" si="7"/>
        <v>74</v>
      </c>
      <c r="AB12" s="101">
        <f t="shared" si="8"/>
        <v>4</v>
      </c>
      <c r="AC12" s="242"/>
      <c r="AD12" s="102">
        <v>19</v>
      </c>
      <c r="AE12" s="102">
        <v>72</v>
      </c>
      <c r="AF12" s="100">
        <f t="shared" si="9"/>
        <v>91</v>
      </c>
      <c r="AG12" s="101">
        <f t="shared" si="10"/>
        <v>5</v>
      </c>
      <c r="AH12" s="242"/>
      <c r="AI12" s="102">
        <v>19</v>
      </c>
      <c r="AJ12" s="102">
        <v>62</v>
      </c>
      <c r="AK12" s="100">
        <f t="shared" si="11"/>
        <v>81</v>
      </c>
      <c r="AL12" s="101">
        <f t="shared" si="12"/>
        <v>5</v>
      </c>
      <c r="AM12" s="242"/>
      <c r="AN12" s="103"/>
      <c r="AO12" s="102">
        <v>47</v>
      </c>
      <c r="AP12" s="92">
        <f t="shared" si="13"/>
        <v>47</v>
      </c>
      <c r="AQ12" s="101">
        <f t="shared" si="14"/>
        <v>5</v>
      </c>
      <c r="AR12" s="242"/>
      <c r="AS12" s="102">
        <v>49</v>
      </c>
      <c r="AT12" s="101">
        <f t="shared" si="15"/>
        <v>5</v>
      </c>
      <c r="AU12" s="242"/>
      <c r="AV12" s="103">
        <f t="shared" si="16"/>
        <v>31.5</v>
      </c>
      <c r="AW12" s="104">
        <f t="shared" si="17"/>
        <v>4.5</v>
      </c>
      <c r="AX12" s="105">
        <f t="shared" si="18"/>
        <v>588</v>
      </c>
      <c r="AY12" s="99"/>
      <c r="AZ12" s="99"/>
      <c r="BA12" s="27" t="str">
        <f t="shared" si="0"/>
        <v>BETTER</v>
      </c>
    </row>
    <row r="13" spans="1:71">
      <c r="A13" s="21">
        <v>6</v>
      </c>
      <c r="B13" s="41">
        <v>9</v>
      </c>
      <c r="C13" s="42" t="s">
        <v>84</v>
      </c>
      <c r="D13" s="42" t="s">
        <v>85</v>
      </c>
      <c r="E13" s="42" t="s">
        <v>86</v>
      </c>
      <c r="F13" s="99">
        <v>19</v>
      </c>
      <c r="G13" s="99">
        <v>70</v>
      </c>
      <c r="H13" s="99">
        <v>10</v>
      </c>
      <c r="I13" s="99">
        <v>36</v>
      </c>
      <c r="J13" s="100">
        <f t="shared" si="1"/>
        <v>135</v>
      </c>
      <c r="K13" s="101">
        <f t="shared" si="2"/>
        <v>5</v>
      </c>
      <c r="L13" s="242"/>
      <c r="M13" s="102">
        <v>20</v>
      </c>
      <c r="N13" s="102">
        <v>72</v>
      </c>
      <c r="O13" s="100">
        <v>9</v>
      </c>
      <c r="P13" s="100">
        <v>36</v>
      </c>
      <c r="Q13" s="100">
        <f t="shared" si="3"/>
        <v>137</v>
      </c>
      <c r="R13" s="101">
        <f t="shared" si="4"/>
        <v>5</v>
      </c>
      <c r="S13" s="242"/>
      <c r="T13" s="102">
        <v>15</v>
      </c>
      <c r="U13" s="102">
        <v>64</v>
      </c>
      <c r="V13" s="100">
        <f t="shared" si="5"/>
        <v>79</v>
      </c>
      <c r="W13" s="101">
        <f t="shared" si="6"/>
        <v>4</v>
      </c>
      <c r="X13" s="242"/>
      <c r="Y13" s="102">
        <v>18</v>
      </c>
      <c r="Z13" s="102">
        <v>68</v>
      </c>
      <c r="AA13" s="100">
        <f t="shared" si="7"/>
        <v>86</v>
      </c>
      <c r="AB13" s="101">
        <f t="shared" si="8"/>
        <v>5</v>
      </c>
      <c r="AC13" s="242"/>
      <c r="AD13" s="102">
        <v>19</v>
      </c>
      <c r="AE13" s="102">
        <v>66</v>
      </c>
      <c r="AF13" s="100">
        <f t="shared" si="9"/>
        <v>85</v>
      </c>
      <c r="AG13" s="101">
        <f t="shared" si="10"/>
        <v>5</v>
      </c>
      <c r="AH13" s="242"/>
      <c r="AI13" s="102">
        <v>18</v>
      </c>
      <c r="AJ13" s="102">
        <v>72</v>
      </c>
      <c r="AK13" s="100">
        <f t="shared" si="11"/>
        <v>90</v>
      </c>
      <c r="AL13" s="101">
        <f t="shared" si="12"/>
        <v>5</v>
      </c>
      <c r="AM13" s="242"/>
      <c r="AN13" s="103"/>
      <c r="AO13" s="102">
        <v>49</v>
      </c>
      <c r="AP13" s="92">
        <f t="shared" si="13"/>
        <v>49</v>
      </c>
      <c r="AQ13" s="101">
        <f t="shared" si="14"/>
        <v>5</v>
      </c>
      <c r="AR13" s="242"/>
      <c r="AS13" s="102">
        <v>50</v>
      </c>
      <c r="AT13" s="101">
        <f t="shared" si="15"/>
        <v>5</v>
      </c>
      <c r="AU13" s="242"/>
      <c r="AV13" s="103">
        <f t="shared" si="16"/>
        <v>34</v>
      </c>
      <c r="AW13" s="104">
        <f t="shared" si="17"/>
        <v>4.8571428571428568</v>
      </c>
      <c r="AX13" s="105">
        <f t="shared" si="18"/>
        <v>661</v>
      </c>
      <c r="AY13" s="99"/>
      <c r="AZ13" s="99"/>
      <c r="BA13" s="27" t="str">
        <f t="shared" si="0"/>
        <v>BETTER</v>
      </c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</row>
    <row r="14" spans="1:71">
      <c r="A14" s="21">
        <v>7</v>
      </c>
      <c r="B14" s="41">
        <v>11</v>
      </c>
      <c r="C14" s="42" t="s">
        <v>87</v>
      </c>
      <c r="D14" s="42" t="s">
        <v>88</v>
      </c>
      <c r="E14" s="42" t="s">
        <v>89</v>
      </c>
      <c r="F14" s="99">
        <v>20</v>
      </c>
      <c r="G14" s="99">
        <v>69</v>
      </c>
      <c r="H14" s="99">
        <v>10</v>
      </c>
      <c r="I14" s="99">
        <v>34</v>
      </c>
      <c r="J14" s="100">
        <f t="shared" si="1"/>
        <v>133</v>
      </c>
      <c r="K14" s="101">
        <f t="shared" si="2"/>
        <v>5</v>
      </c>
      <c r="L14" s="242"/>
      <c r="M14" s="102">
        <v>20</v>
      </c>
      <c r="N14" s="102">
        <v>60</v>
      </c>
      <c r="O14" s="100">
        <v>10</v>
      </c>
      <c r="P14" s="100">
        <v>26</v>
      </c>
      <c r="Q14" s="100">
        <f t="shared" si="3"/>
        <v>116</v>
      </c>
      <c r="R14" s="101">
        <f t="shared" si="4"/>
        <v>4</v>
      </c>
      <c r="S14" s="242"/>
      <c r="T14" s="102">
        <v>18</v>
      </c>
      <c r="U14" s="102">
        <v>64</v>
      </c>
      <c r="V14" s="100">
        <f t="shared" si="5"/>
        <v>82</v>
      </c>
      <c r="W14" s="101">
        <f t="shared" si="6"/>
        <v>5</v>
      </c>
      <c r="X14" s="242"/>
      <c r="Y14" s="102">
        <v>16</v>
      </c>
      <c r="Z14" s="102">
        <v>60</v>
      </c>
      <c r="AA14" s="100">
        <f t="shared" si="7"/>
        <v>76</v>
      </c>
      <c r="AB14" s="101">
        <f t="shared" si="8"/>
        <v>4</v>
      </c>
      <c r="AC14" s="242"/>
      <c r="AD14" s="102">
        <v>19</v>
      </c>
      <c r="AE14" s="102">
        <v>78</v>
      </c>
      <c r="AF14" s="100">
        <f t="shared" si="9"/>
        <v>97</v>
      </c>
      <c r="AG14" s="101">
        <f t="shared" si="10"/>
        <v>5</v>
      </c>
      <c r="AH14" s="242"/>
      <c r="AI14" s="102">
        <v>19</v>
      </c>
      <c r="AJ14" s="102">
        <v>77</v>
      </c>
      <c r="AK14" s="100">
        <f t="shared" si="11"/>
        <v>96</v>
      </c>
      <c r="AL14" s="101">
        <f t="shared" si="12"/>
        <v>5</v>
      </c>
      <c r="AM14" s="242"/>
      <c r="AN14" s="103"/>
      <c r="AO14" s="102">
        <v>49</v>
      </c>
      <c r="AP14" s="92">
        <f t="shared" si="13"/>
        <v>49</v>
      </c>
      <c r="AQ14" s="101">
        <f t="shared" si="14"/>
        <v>5</v>
      </c>
      <c r="AR14" s="242"/>
      <c r="AS14" s="102">
        <v>42</v>
      </c>
      <c r="AT14" s="101">
        <f t="shared" si="15"/>
        <v>5</v>
      </c>
      <c r="AU14" s="242"/>
      <c r="AV14" s="103">
        <f t="shared" si="16"/>
        <v>33</v>
      </c>
      <c r="AW14" s="104">
        <f t="shared" si="17"/>
        <v>4.7142857142857144</v>
      </c>
      <c r="AX14" s="105">
        <f t="shared" si="18"/>
        <v>649</v>
      </c>
      <c r="AY14" s="99"/>
      <c r="AZ14" s="99"/>
      <c r="BA14" s="27" t="str">
        <f t="shared" si="0"/>
        <v>BETTER</v>
      </c>
    </row>
    <row r="15" spans="1:71">
      <c r="A15" s="21">
        <v>8</v>
      </c>
      <c r="B15" s="41">
        <v>12</v>
      </c>
      <c r="C15" s="42" t="s">
        <v>90</v>
      </c>
      <c r="D15" s="42" t="s">
        <v>91</v>
      </c>
      <c r="E15" s="42" t="s">
        <v>92</v>
      </c>
      <c r="F15" s="99">
        <v>20</v>
      </c>
      <c r="G15" s="99">
        <v>70</v>
      </c>
      <c r="H15" s="99">
        <v>10</v>
      </c>
      <c r="I15" s="99">
        <v>34</v>
      </c>
      <c r="J15" s="100">
        <f t="shared" si="1"/>
        <v>134</v>
      </c>
      <c r="K15" s="101">
        <f t="shared" si="2"/>
        <v>5</v>
      </c>
      <c r="L15" s="242"/>
      <c r="M15" s="102">
        <v>19</v>
      </c>
      <c r="N15" s="102">
        <v>40</v>
      </c>
      <c r="O15" s="100">
        <v>7</v>
      </c>
      <c r="P15" s="100">
        <v>26</v>
      </c>
      <c r="Q15" s="100">
        <f t="shared" si="3"/>
        <v>92</v>
      </c>
      <c r="R15" s="101">
        <f t="shared" si="4"/>
        <v>3.5</v>
      </c>
      <c r="S15" s="242"/>
      <c r="T15" s="102">
        <v>16</v>
      </c>
      <c r="U15" s="102">
        <v>42</v>
      </c>
      <c r="V15" s="100">
        <f t="shared" si="5"/>
        <v>58</v>
      </c>
      <c r="W15" s="101">
        <f t="shared" si="6"/>
        <v>3</v>
      </c>
      <c r="X15" s="242"/>
      <c r="Y15" s="102">
        <v>16</v>
      </c>
      <c r="Z15" s="102">
        <v>40</v>
      </c>
      <c r="AA15" s="100">
        <f t="shared" si="7"/>
        <v>56</v>
      </c>
      <c r="AB15" s="101">
        <f t="shared" si="8"/>
        <v>3</v>
      </c>
      <c r="AC15" s="242"/>
      <c r="AD15" s="102">
        <v>19</v>
      </c>
      <c r="AE15" s="102">
        <v>64</v>
      </c>
      <c r="AF15" s="100">
        <f t="shared" si="9"/>
        <v>83</v>
      </c>
      <c r="AG15" s="101">
        <f t="shared" si="10"/>
        <v>5</v>
      </c>
      <c r="AH15" s="242"/>
      <c r="AI15" s="102">
        <v>19</v>
      </c>
      <c r="AJ15" s="102">
        <v>73</v>
      </c>
      <c r="AK15" s="100">
        <f t="shared" si="11"/>
        <v>92</v>
      </c>
      <c r="AL15" s="101">
        <f t="shared" si="12"/>
        <v>5</v>
      </c>
      <c r="AM15" s="242"/>
      <c r="AN15" s="103"/>
      <c r="AO15" s="102">
        <v>47</v>
      </c>
      <c r="AP15" s="92">
        <f t="shared" si="13"/>
        <v>47</v>
      </c>
      <c r="AQ15" s="101">
        <f t="shared" si="14"/>
        <v>5</v>
      </c>
      <c r="AR15" s="242"/>
      <c r="AS15" s="102">
        <v>48</v>
      </c>
      <c r="AT15" s="101">
        <f t="shared" si="15"/>
        <v>5</v>
      </c>
      <c r="AU15" s="242"/>
      <c r="AV15" s="103">
        <f t="shared" si="16"/>
        <v>29.5</v>
      </c>
      <c r="AW15" s="104">
        <f t="shared" si="17"/>
        <v>4.2142857142857144</v>
      </c>
      <c r="AX15" s="105">
        <f t="shared" si="18"/>
        <v>562</v>
      </c>
      <c r="AY15" s="99"/>
      <c r="AZ15" s="99"/>
      <c r="BA15" s="27" t="str">
        <f t="shared" si="0"/>
        <v>BETTER</v>
      </c>
    </row>
    <row r="16" spans="1:71">
      <c r="A16" s="21">
        <v>9</v>
      </c>
      <c r="B16" s="41">
        <v>14</v>
      </c>
      <c r="C16" s="42" t="s">
        <v>93</v>
      </c>
      <c r="D16" s="42" t="s">
        <v>94</v>
      </c>
      <c r="E16" s="42" t="s">
        <v>95</v>
      </c>
      <c r="F16" s="99">
        <v>20</v>
      </c>
      <c r="G16" s="99">
        <v>61</v>
      </c>
      <c r="H16" s="99">
        <v>10</v>
      </c>
      <c r="I16" s="99">
        <v>34</v>
      </c>
      <c r="J16" s="100">
        <f t="shared" si="1"/>
        <v>125</v>
      </c>
      <c r="K16" s="101">
        <f t="shared" si="2"/>
        <v>5</v>
      </c>
      <c r="L16" s="242"/>
      <c r="M16" s="102">
        <v>20</v>
      </c>
      <c r="N16" s="102">
        <v>34</v>
      </c>
      <c r="O16" s="100">
        <v>7</v>
      </c>
      <c r="P16" s="100">
        <v>22</v>
      </c>
      <c r="Q16" s="100">
        <f t="shared" si="3"/>
        <v>83</v>
      </c>
      <c r="R16" s="101">
        <f t="shared" si="4"/>
        <v>3</v>
      </c>
      <c r="S16" s="242"/>
      <c r="T16" s="102">
        <v>13</v>
      </c>
      <c r="U16" s="102">
        <v>46</v>
      </c>
      <c r="V16" s="100">
        <f t="shared" si="5"/>
        <v>59</v>
      </c>
      <c r="W16" s="101">
        <f t="shared" si="6"/>
        <v>3</v>
      </c>
      <c r="X16" s="242"/>
      <c r="Y16" s="102">
        <v>16</v>
      </c>
      <c r="Z16" s="102">
        <v>44</v>
      </c>
      <c r="AA16" s="100">
        <f t="shared" si="7"/>
        <v>60</v>
      </c>
      <c r="AB16" s="101">
        <f t="shared" si="8"/>
        <v>3.5</v>
      </c>
      <c r="AC16" s="242"/>
      <c r="AD16" s="102">
        <v>20</v>
      </c>
      <c r="AE16" s="102">
        <v>67</v>
      </c>
      <c r="AF16" s="100">
        <f t="shared" si="9"/>
        <v>87</v>
      </c>
      <c r="AG16" s="101">
        <f t="shared" si="10"/>
        <v>5</v>
      </c>
      <c r="AH16" s="242"/>
      <c r="AI16" s="102">
        <v>19</v>
      </c>
      <c r="AJ16" s="102">
        <v>64</v>
      </c>
      <c r="AK16" s="100">
        <f t="shared" si="11"/>
        <v>83</v>
      </c>
      <c r="AL16" s="101">
        <f t="shared" si="12"/>
        <v>5</v>
      </c>
      <c r="AM16" s="242"/>
      <c r="AN16" s="103"/>
      <c r="AO16" s="102">
        <v>49</v>
      </c>
      <c r="AP16" s="92">
        <f t="shared" si="13"/>
        <v>49</v>
      </c>
      <c r="AQ16" s="101">
        <f t="shared" si="14"/>
        <v>5</v>
      </c>
      <c r="AR16" s="242"/>
      <c r="AS16" s="102">
        <v>47</v>
      </c>
      <c r="AT16" s="101">
        <f t="shared" si="15"/>
        <v>5</v>
      </c>
      <c r="AU16" s="242"/>
      <c r="AV16" s="103">
        <f t="shared" si="16"/>
        <v>29.5</v>
      </c>
      <c r="AW16" s="104">
        <f t="shared" si="17"/>
        <v>4.2142857142857144</v>
      </c>
      <c r="AX16" s="105">
        <f t="shared" si="18"/>
        <v>546</v>
      </c>
      <c r="AY16" s="99"/>
      <c r="AZ16" s="99"/>
      <c r="BA16" s="27" t="str">
        <f t="shared" si="0"/>
        <v>BETTER</v>
      </c>
    </row>
    <row r="17" spans="1:53">
      <c r="A17" s="21">
        <v>10</v>
      </c>
      <c r="B17" s="41">
        <v>16</v>
      </c>
      <c r="C17" s="42" t="s">
        <v>96</v>
      </c>
      <c r="D17" s="42" t="s">
        <v>97</v>
      </c>
      <c r="E17" s="42" t="s">
        <v>98</v>
      </c>
      <c r="F17" s="99">
        <v>20</v>
      </c>
      <c r="G17" s="99">
        <v>69</v>
      </c>
      <c r="H17" s="99">
        <v>10</v>
      </c>
      <c r="I17" s="99">
        <v>36</v>
      </c>
      <c r="J17" s="100">
        <f t="shared" si="1"/>
        <v>135</v>
      </c>
      <c r="K17" s="101">
        <f t="shared" si="2"/>
        <v>5</v>
      </c>
      <c r="L17" s="242"/>
      <c r="M17" s="102">
        <v>18</v>
      </c>
      <c r="N17" s="102">
        <v>63</v>
      </c>
      <c r="O17" s="100">
        <v>10</v>
      </c>
      <c r="P17" s="100">
        <v>37</v>
      </c>
      <c r="Q17" s="100">
        <f t="shared" si="3"/>
        <v>128</v>
      </c>
      <c r="R17" s="101">
        <f t="shared" si="4"/>
        <v>5</v>
      </c>
      <c r="S17" s="242"/>
      <c r="T17" s="102">
        <v>19</v>
      </c>
      <c r="U17" s="102">
        <v>61</v>
      </c>
      <c r="V17" s="100">
        <f t="shared" si="5"/>
        <v>80</v>
      </c>
      <c r="W17" s="101">
        <f t="shared" si="6"/>
        <v>5</v>
      </c>
      <c r="X17" s="242"/>
      <c r="Y17" s="102">
        <v>17</v>
      </c>
      <c r="Z17" s="102">
        <v>58</v>
      </c>
      <c r="AA17" s="100">
        <f t="shared" si="7"/>
        <v>75</v>
      </c>
      <c r="AB17" s="101">
        <f t="shared" si="8"/>
        <v>4</v>
      </c>
      <c r="AC17" s="242"/>
      <c r="AD17" s="102">
        <v>19</v>
      </c>
      <c r="AE17" s="102">
        <v>75</v>
      </c>
      <c r="AF17" s="100">
        <f t="shared" si="9"/>
        <v>94</v>
      </c>
      <c r="AG17" s="101">
        <f t="shared" si="10"/>
        <v>5</v>
      </c>
      <c r="AH17" s="242"/>
      <c r="AI17" s="102">
        <v>20</v>
      </c>
      <c r="AJ17" s="102">
        <v>70</v>
      </c>
      <c r="AK17" s="100">
        <f t="shared" si="11"/>
        <v>90</v>
      </c>
      <c r="AL17" s="101">
        <f t="shared" si="12"/>
        <v>5</v>
      </c>
      <c r="AM17" s="242"/>
      <c r="AN17" s="103"/>
      <c r="AO17" s="102">
        <v>49</v>
      </c>
      <c r="AP17" s="92">
        <f t="shared" si="13"/>
        <v>49</v>
      </c>
      <c r="AQ17" s="101">
        <f t="shared" si="14"/>
        <v>5</v>
      </c>
      <c r="AR17" s="242"/>
      <c r="AS17" s="102">
        <v>48</v>
      </c>
      <c r="AT17" s="101">
        <f t="shared" si="15"/>
        <v>5</v>
      </c>
      <c r="AU17" s="242"/>
      <c r="AV17" s="103">
        <f t="shared" si="16"/>
        <v>34</v>
      </c>
      <c r="AW17" s="104">
        <f t="shared" si="17"/>
        <v>4.8571428571428568</v>
      </c>
      <c r="AX17" s="105">
        <f t="shared" si="18"/>
        <v>651</v>
      </c>
      <c r="AY17" s="99"/>
      <c r="AZ17" s="99"/>
      <c r="BA17" s="27" t="str">
        <f t="shared" si="0"/>
        <v>BETTER</v>
      </c>
    </row>
    <row r="18" spans="1:53">
      <c r="A18" s="21">
        <v>11</v>
      </c>
      <c r="B18" s="41">
        <v>18</v>
      </c>
      <c r="C18" s="42" t="s">
        <v>99</v>
      </c>
      <c r="D18" s="42" t="s">
        <v>100</v>
      </c>
      <c r="E18" s="42" t="s">
        <v>101</v>
      </c>
      <c r="F18" s="99">
        <v>20</v>
      </c>
      <c r="G18" s="99">
        <v>69</v>
      </c>
      <c r="H18" s="99">
        <v>10</v>
      </c>
      <c r="I18" s="99">
        <v>36</v>
      </c>
      <c r="J18" s="100">
        <f t="shared" si="1"/>
        <v>135</v>
      </c>
      <c r="K18" s="101">
        <f t="shared" si="2"/>
        <v>5</v>
      </c>
      <c r="L18" s="242"/>
      <c r="M18" s="102">
        <v>19</v>
      </c>
      <c r="N18" s="102">
        <v>72</v>
      </c>
      <c r="O18" s="100">
        <v>10</v>
      </c>
      <c r="P18" s="100">
        <v>38</v>
      </c>
      <c r="Q18" s="100">
        <f t="shared" si="3"/>
        <v>139</v>
      </c>
      <c r="R18" s="101">
        <f t="shared" si="4"/>
        <v>5</v>
      </c>
      <c r="S18" s="242"/>
      <c r="T18" s="102">
        <v>19</v>
      </c>
      <c r="U18" s="102">
        <v>70</v>
      </c>
      <c r="V18" s="100">
        <f t="shared" si="5"/>
        <v>89</v>
      </c>
      <c r="W18" s="101">
        <f t="shared" si="6"/>
        <v>5</v>
      </c>
      <c r="X18" s="242"/>
      <c r="Y18" s="102">
        <v>16</v>
      </c>
      <c r="Z18" s="102">
        <v>69</v>
      </c>
      <c r="AA18" s="100">
        <f t="shared" si="7"/>
        <v>85</v>
      </c>
      <c r="AB18" s="101">
        <f t="shared" si="8"/>
        <v>5</v>
      </c>
      <c r="AC18" s="242"/>
      <c r="AD18" s="102">
        <v>19</v>
      </c>
      <c r="AE18" s="102">
        <v>75</v>
      </c>
      <c r="AF18" s="100">
        <f t="shared" si="9"/>
        <v>94</v>
      </c>
      <c r="AG18" s="101">
        <f t="shared" si="10"/>
        <v>5</v>
      </c>
      <c r="AH18" s="242"/>
      <c r="AI18" s="102">
        <v>19</v>
      </c>
      <c r="AJ18" s="102">
        <v>70</v>
      </c>
      <c r="AK18" s="100">
        <f t="shared" si="11"/>
        <v>89</v>
      </c>
      <c r="AL18" s="101">
        <f t="shared" si="12"/>
        <v>5</v>
      </c>
      <c r="AM18" s="242"/>
      <c r="AN18" s="103"/>
      <c r="AO18" s="102">
        <v>50</v>
      </c>
      <c r="AP18" s="92">
        <f t="shared" si="13"/>
        <v>50</v>
      </c>
      <c r="AQ18" s="101">
        <f t="shared" si="14"/>
        <v>5</v>
      </c>
      <c r="AR18" s="242"/>
      <c r="AS18" s="102">
        <v>49</v>
      </c>
      <c r="AT18" s="101">
        <f t="shared" si="15"/>
        <v>5</v>
      </c>
      <c r="AU18" s="242"/>
      <c r="AV18" s="103">
        <f t="shared" si="16"/>
        <v>35</v>
      </c>
      <c r="AW18" s="104">
        <f t="shared" si="17"/>
        <v>5</v>
      </c>
      <c r="AX18" s="105">
        <f t="shared" si="18"/>
        <v>681</v>
      </c>
      <c r="AY18" s="99"/>
      <c r="AZ18" s="99"/>
      <c r="BA18" s="27" t="str">
        <f t="shared" si="0"/>
        <v>BEST</v>
      </c>
    </row>
    <row r="19" spans="1:53">
      <c r="A19" s="21">
        <v>12</v>
      </c>
      <c r="B19" s="43">
        <v>30</v>
      </c>
      <c r="C19" s="44" t="s">
        <v>102</v>
      </c>
      <c r="D19" s="44" t="s">
        <v>103</v>
      </c>
      <c r="E19" s="44" t="s">
        <v>104</v>
      </c>
      <c r="F19" s="99">
        <v>20</v>
      </c>
      <c r="G19" s="99">
        <v>61</v>
      </c>
      <c r="H19" s="99">
        <v>10</v>
      </c>
      <c r="I19" s="99">
        <v>29</v>
      </c>
      <c r="J19" s="100">
        <f t="shared" si="1"/>
        <v>120</v>
      </c>
      <c r="K19" s="101">
        <f t="shared" si="2"/>
        <v>5</v>
      </c>
      <c r="L19" s="242"/>
      <c r="M19" s="102">
        <v>18</v>
      </c>
      <c r="N19" s="102">
        <v>50</v>
      </c>
      <c r="O19" s="100">
        <v>9</v>
      </c>
      <c r="P19" s="100">
        <v>23</v>
      </c>
      <c r="Q19" s="100">
        <f t="shared" si="3"/>
        <v>100</v>
      </c>
      <c r="R19" s="101">
        <f t="shared" si="4"/>
        <v>3.5</v>
      </c>
      <c r="S19" s="242"/>
      <c r="T19" s="102">
        <v>14</v>
      </c>
      <c r="U19" s="102">
        <v>48</v>
      </c>
      <c r="V19" s="100">
        <f t="shared" si="5"/>
        <v>62</v>
      </c>
      <c r="W19" s="101">
        <f t="shared" si="6"/>
        <v>3.5</v>
      </c>
      <c r="X19" s="242"/>
      <c r="Y19" s="102">
        <v>16</v>
      </c>
      <c r="Z19" s="102">
        <v>58</v>
      </c>
      <c r="AA19" s="100">
        <f t="shared" si="7"/>
        <v>74</v>
      </c>
      <c r="AB19" s="101">
        <f t="shared" si="8"/>
        <v>4</v>
      </c>
      <c r="AC19" s="242"/>
      <c r="AD19" s="102">
        <v>20</v>
      </c>
      <c r="AE19" s="102">
        <v>54</v>
      </c>
      <c r="AF19" s="100">
        <f t="shared" si="9"/>
        <v>74</v>
      </c>
      <c r="AG19" s="101">
        <f t="shared" si="10"/>
        <v>4</v>
      </c>
      <c r="AH19" s="242"/>
      <c r="AI19" s="102">
        <v>19</v>
      </c>
      <c r="AJ19" s="102">
        <v>64</v>
      </c>
      <c r="AK19" s="100">
        <f t="shared" si="11"/>
        <v>83</v>
      </c>
      <c r="AL19" s="101">
        <f t="shared" si="12"/>
        <v>5</v>
      </c>
      <c r="AM19" s="242"/>
      <c r="AN19" s="103"/>
      <c r="AO19" s="102">
        <v>46</v>
      </c>
      <c r="AP19" s="92">
        <f t="shared" si="13"/>
        <v>46</v>
      </c>
      <c r="AQ19" s="101">
        <f t="shared" si="14"/>
        <v>5</v>
      </c>
      <c r="AR19" s="242"/>
      <c r="AS19" s="102">
        <v>49</v>
      </c>
      <c r="AT19" s="101">
        <f t="shared" si="15"/>
        <v>5</v>
      </c>
      <c r="AU19" s="242"/>
      <c r="AV19" s="103">
        <f t="shared" si="16"/>
        <v>30</v>
      </c>
      <c r="AW19" s="104">
        <f t="shared" si="17"/>
        <v>4.2857142857142856</v>
      </c>
      <c r="AX19" s="105">
        <f t="shared" si="18"/>
        <v>559</v>
      </c>
      <c r="AY19" s="99"/>
      <c r="AZ19" s="99"/>
      <c r="BA19" s="27" t="str">
        <f t="shared" si="0"/>
        <v>BETTER</v>
      </c>
    </row>
    <row r="20" spans="1:53">
      <c r="A20" s="21">
        <v>13</v>
      </c>
      <c r="B20" s="43">
        <v>39</v>
      </c>
      <c r="C20" s="44" t="s">
        <v>105</v>
      </c>
      <c r="D20" s="44" t="s">
        <v>106</v>
      </c>
      <c r="E20" s="44" t="s">
        <v>107</v>
      </c>
      <c r="F20" s="99">
        <v>20</v>
      </c>
      <c r="G20" s="99">
        <v>70</v>
      </c>
      <c r="H20" s="99">
        <v>10</v>
      </c>
      <c r="I20" s="99">
        <v>36</v>
      </c>
      <c r="J20" s="100">
        <f t="shared" si="1"/>
        <v>136</v>
      </c>
      <c r="K20" s="101">
        <f t="shared" si="2"/>
        <v>5</v>
      </c>
      <c r="L20" s="242"/>
      <c r="M20" s="102">
        <v>20</v>
      </c>
      <c r="N20" s="102">
        <v>70</v>
      </c>
      <c r="O20" s="100">
        <v>10</v>
      </c>
      <c r="P20" s="100">
        <v>37</v>
      </c>
      <c r="Q20" s="100">
        <f t="shared" si="3"/>
        <v>137</v>
      </c>
      <c r="R20" s="101">
        <f t="shared" si="4"/>
        <v>5</v>
      </c>
      <c r="S20" s="242"/>
      <c r="T20" s="102">
        <v>18</v>
      </c>
      <c r="U20" s="102">
        <v>56</v>
      </c>
      <c r="V20" s="100">
        <f t="shared" si="5"/>
        <v>74</v>
      </c>
      <c r="W20" s="101">
        <f t="shared" si="6"/>
        <v>4</v>
      </c>
      <c r="X20" s="242"/>
      <c r="Y20" s="102">
        <v>19</v>
      </c>
      <c r="Z20" s="102">
        <v>64</v>
      </c>
      <c r="AA20" s="100">
        <f t="shared" si="7"/>
        <v>83</v>
      </c>
      <c r="AB20" s="101">
        <f t="shared" si="8"/>
        <v>5</v>
      </c>
      <c r="AC20" s="242"/>
      <c r="AD20" s="102">
        <v>20</v>
      </c>
      <c r="AE20" s="102">
        <v>78</v>
      </c>
      <c r="AF20" s="100">
        <f t="shared" si="9"/>
        <v>98</v>
      </c>
      <c r="AG20" s="101">
        <f t="shared" si="10"/>
        <v>5</v>
      </c>
      <c r="AH20" s="242"/>
      <c r="AI20" s="102">
        <v>20</v>
      </c>
      <c r="AJ20" s="102">
        <v>77</v>
      </c>
      <c r="AK20" s="100">
        <f t="shared" si="11"/>
        <v>97</v>
      </c>
      <c r="AL20" s="101">
        <f t="shared" si="12"/>
        <v>5</v>
      </c>
      <c r="AM20" s="242"/>
      <c r="AN20" s="103"/>
      <c r="AO20" s="102">
        <v>50</v>
      </c>
      <c r="AP20" s="92">
        <f t="shared" si="13"/>
        <v>50</v>
      </c>
      <c r="AQ20" s="101">
        <f t="shared" si="14"/>
        <v>5</v>
      </c>
      <c r="AR20" s="242"/>
      <c r="AS20" s="102">
        <v>48</v>
      </c>
      <c r="AT20" s="101">
        <f t="shared" si="15"/>
        <v>5</v>
      </c>
      <c r="AU20" s="242"/>
      <c r="AV20" s="103">
        <f t="shared" si="16"/>
        <v>34</v>
      </c>
      <c r="AW20" s="104">
        <f t="shared" si="17"/>
        <v>4.8571428571428568</v>
      </c>
      <c r="AX20" s="105">
        <f t="shared" si="18"/>
        <v>675</v>
      </c>
      <c r="AY20" s="99"/>
      <c r="AZ20" s="99"/>
      <c r="BA20" s="27" t="str">
        <f t="shared" si="0"/>
        <v>BETTER</v>
      </c>
    </row>
    <row r="21" spans="1:53">
      <c r="A21" s="21">
        <v>14</v>
      </c>
      <c r="B21" s="43">
        <v>40</v>
      </c>
      <c r="C21" s="44" t="s">
        <v>108</v>
      </c>
      <c r="D21" s="44" t="s">
        <v>109</v>
      </c>
      <c r="E21" s="44" t="s">
        <v>110</v>
      </c>
      <c r="F21" s="99">
        <v>19</v>
      </c>
      <c r="G21" s="99">
        <v>66</v>
      </c>
      <c r="H21" s="99">
        <v>10</v>
      </c>
      <c r="I21" s="99">
        <v>37</v>
      </c>
      <c r="J21" s="100">
        <f t="shared" si="1"/>
        <v>132</v>
      </c>
      <c r="K21" s="101">
        <f t="shared" si="2"/>
        <v>5</v>
      </c>
      <c r="L21" s="242"/>
      <c r="M21" s="102">
        <v>19</v>
      </c>
      <c r="N21" s="102">
        <v>62</v>
      </c>
      <c r="O21" s="100">
        <v>10</v>
      </c>
      <c r="P21" s="100">
        <v>29</v>
      </c>
      <c r="Q21" s="100">
        <f t="shared" si="3"/>
        <v>120</v>
      </c>
      <c r="R21" s="101">
        <f t="shared" si="4"/>
        <v>5</v>
      </c>
      <c r="S21" s="242"/>
      <c r="T21" s="102">
        <v>13</v>
      </c>
      <c r="U21" s="102">
        <v>45</v>
      </c>
      <c r="V21" s="100">
        <f t="shared" si="5"/>
        <v>58</v>
      </c>
      <c r="W21" s="101">
        <f t="shared" si="6"/>
        <v>3</v>
      </c>
      <c r="X21" s="242"/>
      <c r="Y21" s="102">
        <v>17</v>
      </c>
      <c r="Z21" s="102">
        <v>58</v>
      </c>
      <c r="AA21" s="100">
        <f t="shared" si="7"/>
        <v>75</v>
      </c>
      <c r="AB21" s="101">
        <f t="shared" si="8"/>
        <v>4</v>
      </c>
      <c r="AC21" s="242"/>
      <c r="AD21" s="102">
        <v>20</v>
      </c>
      <c r="AE21" s="102">
        <v>70</v>
      </c>
      <c r="AF21" s="100">
        <f t="shared" si="9"/>
        <v>90</v>
      </c>
      <c r="AG21" s="101">
        <f t="shared" si="10"/>
        <v>5</v>
      </c>
      <c r="AH21" s="242"/>
      <c r="AI21" s="102">
        <v>19</v>
      </c>
      <c r="AJ21" s="102">
        <v>63</v>
      </c>
      <c r="AK21" s="100">
        <f t="shared" si="11"/>
        <v>82</v>
      </c>
      <c r="AL21" s="101">
        <f t="shared" si="12"/>
        <v>5</v>
      </c>
      <c r="AM21" s="242"/>
      <c r="AN21" s="103"/>
      <c r="AO21" s="102">
        <v>46</v>
      </c>
      <c r="AP21" s="92">
        <f t="shared" si="13"/>
        <v>46</v>
      </c>
      <c r="AQ21" s="101">
        <f t="shared" si="14"/>
        <v>5</v>
      </c>
      <c r="AR21" s="242"/>
      <c r="AS21" s="102">
        <v>47</v>
      </c>
      <c r="AT21" s="101">
        <f t="shared" si="15"/>
        <v>5</v>
      </c>
      <c r="AU21" s="242"/>
      <c r="AV21" s="103">
        <f t="shared" si="16"/>
        <v>32</v>
      </c>
      <c r="AW21" s="104">
        <f t="shared" si="17"/>
        <v>4.5714285714285712</v>
      </c>
      <c r="AX21" s="105">
        <f t="shared" si="18"/>
        <v>603</v>
      </c>
      <c r="AY21" s="99"/>
      <c r="AZ21" s="99"/>
      <c r="BA21" s="27" t="str">
        <f t="shared" si="0"/>
        <v>BETTER</v>
      </c>
    </row>
    <row r="22" spans="1:53">
      <c r="A22" s="21">
        <v>15</v>
      </c>
      <c r="B22" s="43">
        <v>42</v>
      </c>
      <c r="C22" s="44" t="s">
        <v>111</v>
      </c>
      <c r="D22" s="44" t="s">
        <v>112</v>
      </c>
      <c r="E22" s="44" t="s">
        <v>113</v>
      </c>
      <c r="F22" s="99">
        <v>20</v>
      </c>
      <c r="G22" s="99">
        <v>68</v>
      </c>
      <c r="H22" s="99">
        <v>10</v>
      </c>
      <c r="I22" s="99">
        <v>31</v>
      </c>
      <c r="J22" s="100">
        <f t="shared" si="1"/>
        <v>129</v>
      </c>
      <c r="K22" s="101">
        <f t="shared" si="2"/>
        <v>5</v>
      </c>
      <c r="L22" s="242"/>
      <c r="M22" s="102">
        <v>18</v>
      </c>
      <c r="N22" s="102">
        <v>54</v>
      </c>
      <c r="O22" s="100">
        <v>9</v>
      </c>
      <c r="P22" s="100">
        <v>25</v>
      </c>
      <c r="Q22" s="100">
        <f t="shared" si="3"/>
        <v>106</v>
      </c>
      <c r="R22" s="101">
        <f t="shared" si="4"/>
        <v>4</v>
      </c>
      <c r="S22" s="242"/>
      <c r="T22" s="102">
        <v>17</v>
      </c>
      <c r="U22" s="102">
        <v>32</v>
      </c>
      <c r="V22" s="100">
        <f t="shared" si="5"/>
        <v>49</v>
      </c>
      <c r="W22" s="101">
        <f t="shared" si="6"/>
        <v>2</v>
      </c>
      <c r="X22" s="242"/>
      <c r="Y22" s="102">
        <v>16</v>
      </c>
      <c r="Z22" s="102">
        <v>58</v>
      </c>
      <c r="AA22" s="100">
        <f t="shared" si="7"/>
        <v>74</v>
      </c>
      <c r="AB22" s="101">
        <f t="shared" si="8"/>
        <v>4</v>
      </c>
      <c r="AC22" s="242"/>
      <c r="AD22" s="102">
        <v>19</v>
      </c>
      <c r="AE22" s="102">
        <v>70</v>
      </c>
      <c r="AF22" s="100">
        <f t="shared" si="9"/>
        <v>89</v>
      </c>
      <c r="AG22" s="101">
        <f t="shared" si="10"/>
        <v>5</v>
      </c>
      <c r="AH22" s="242"/>
      <c r="AI22" s="102">
        <v>19</v>
      </c>
      <c r="AJ22" s="102">
        <v>69</v>
      </c>
      <c r="AK22" s="100">
        <f t="shared" si="11"/>
        <v>88</v>
      </c>
      <c r="AL22" s="101">
        <f t="shared" si="12"/>
        <v>5</v>
      </c>
      <c r="AM22" s="242"/>
      <c r="AN22" s="103"/>
      <c r="AO22" s="102">
        <v>48</v>
      </c>
      <c r="AP22" s="92">
        <f t="shared" si="13"/>
        <v>48</v>
      </c>
      <c r="AQ22" s="101">
        <f t="shared" si="14"/>
        <v>5</v>
      </c>
      <c r="AR22" s="242"/>
      <c r="AS22" s="102">
        <v>46</v>
      </c>
      <c r="AT22" s="101">
        <f t="shared" si="15"/>
        <v>5</v>
      </c>
      <c r="AU22" s="242"/>
      <c r="AV22" s="103">
        <f t="shared" si="16"/>
        <v>30</v>
      </c>
      <c r="AW22" s="104">
        <f t="shared" si="17"/>
        <v>4.2857142857142856</v>
      </c>
      <c r="AX22" s="105">
        <f t="shared" si="18"/>
        <v>583</v>
      </c>
      <c r="AY22" s="99"/>
      <c r="AZ22" s="99"/>
      <c r="BA22" s="27" t="str">
        <f t="shared" si="0"/>
        <v>BETTER</v>
      </c>
    </row>
    <row r="23" spans="1:53">
      <c r="A23" s="21">
        <v>16</v>
      </c>
      <c r="B23" s="43">
        <v>43</v>
      </c>
      <c r="C23" s="44" t="s">
        <v>114</v>
      </c>
      <c r="D23" s="44" t="s">
        <v>115</v>
      </c>
      <c r="E23" s="44" t="s">
        <v>116</v>
      </c>
      <c r="F23" s="99">
        <v>19</v>
      </c>
      <c r="G23" s="99">
        <v>78</v>
      </c>
      <c r="H23" s="99">
        <v>10</v>
      </c>
      <c r="I23" s="99">
        <v>38</v>
      </c>
      <c r="J23" s="100">
        <f t="shared" ref="J23:J31" si="19">F23+G23+H23+I23</f>
        <v>145</v>
      </c>
      <c r="K23" s="101">
        <f t="shared" ref="K23:K31" si="20">IF(J23&lt;60,"F",IF(J23&lt;75,2,IF(J23&lt;90,3,IF(J23&lt;105,3.5,IF(J23&lt;120,4,5)))))</f>
        <v>5</v>
      </c>
      <c r="L23" s="242"/>
      <c r="M23" s="102">
        <v>20</v>
      </c>
      <c r="N23" s="102">
        <v>79</v>
      </c>
      <c r="O23" s="100">
        <v>10</v>
      </c>
      <c r="P23" s="100">
        <v>38</v>
      </c>
      <c r="Q23" s="100">
        <f t="shared" ref="Q23:Q38" si="21">M23+N23+O23+P23</f>
        <v>147</v>
      </c>
      <c r="R23" s="101">
        <f t="shared" ref="R23:R38" si="22">IF(Q23&lt;60,"F",IF(Q23&lt;75,2,IF(Q23&lt;90,3,IF(Q23&lt;105,3.5,IF(Q23&lt;120,4,5)))))</f>
        <v>5</v>
      </c>
      <c r="S23" s="242"/>
      <c r="T23" s="102">
        <v>18</v>
      </c>
      <c r="U23" s="102">
        <v>70</v>
      </c>
      <c r="V23" s="100">
        <f t="shared" ref="V23:V67" si="23">T23+U23</f>
        <v>88</v>
      </c>
      <c r="W23" s="101">
        <f t="shared" ref="W23:W67" si="24">IF(V23&lt;40,"F",IF(V23&lt;50,2,IF(V23&lt;60,3,IF(V23&lt;70,3.5,IF(V23&lt;80,4,5)))))</f>
        <v>5</v>
      </c>
      <c r="X23" s="242"/>
      <c r="Y23" s="102">
        <v>16</v>
      </c>
      <c r="Z23" s="102">
        <v>65</v>
      </c>
      <c r="AA23" s="100">
        <f t="shared" ref="AA23:AA32" si="25">Y23+Z23</f>
        <v>81</v>
      </c>
      <c r="AB23" s="101">
        <f t="shared" ref="AB23:AB32" si="26">IF(AA23&lt;40,"F",IF(AA23&lt;50,2,IF(AA23&lt;60,3,IF(AA23&lt;70,3.5,IF(AA23&lt;80,4,5)))))</f>
        <v>5</v>
      </c>
      <c r="AC23" s="242"/>
      <c r="AD23" s="102">
        <v>20</v>
      </c>
      <c r="AE23" s="102">
        <v>78</v>
      </c>
      <c r="AF23" s="100">
        <f t="shared" ref="AF23:AF30" si="27">AD23+AE23</f>
        <v>98</v>
      </c>
      <c r="AG23" s="101">
        <f t="shared" ref="AG23:AG30" si="28">IF(AF23&lt;40,"F",IF(AF23&lt;50,2,IF(AF23&lt;60,3,IF(AF23&lt;70,3.5,IF(AF23&lt;80,4,5)))))</f>
        <v>5</v>
      </c>
      <c r="AH23" s="242"/>
      <c r="AI23" s="102">
        <v>19</v>
      </c>
      <c r="AJ23" s="102">
        <v>80</v>
      </c>
      <c r="AK23" s="100">
        <f t="shared" ref="AK23:AK31" si="29">AI23+AJ23</f>
        <v>99</v>
      </c>
      <c r="AL23" s="101">
        <f t="shared" ref="AL23:AL31" si="30">IF(AK23&lt;40,"F",IF(AK23&lt;50,2,IF(AK23&lt;60,3,IF(AK23&lt;70,3.5,IF(AK23&lt;80,4,5)))))</f>
        <v>5</v>
      </c>
      <c r="AM23" s="242"/>
      <c r="AN23" s="103"/>
      <c r="AO23" s="102">
        <v>50</v>
      </c>
      <c r="AP23" s="92">
        <f t="shared" si="13"/>
        <v>50</v>
      </c>
      <c r="AQ23" s="101">
        <f t="shared" ref="AQ23:AQ30" si="31">IF(AP23&lt;20,"F",IF(AP23&lt;25,2,IF(AP23&lt;30,3,IF(AP23&lt;35,3.5,IF(AP23&lt;40,4,5)))))</f>
        <v>5</v>
      </c>
      <c r="AR23" s="242"/>
      <c r="AS23" s="102">
        <v>50</v>
      </c>
      <c r="AT23" s="101">
        <f t="shared" si="15"/>
        <v>5</v>
      </c>
      <c r="AU23" s="242"/>
      <c r="AV23" s="103">
        <f t="shared" ref="AV23:AV30" si="32">IF(K23="F","F",IF(R23="F","F",IF(W23="F","F",IF(AB23="F","F",IF(AG23="F","F",IF(AL23="F","F",IF(AQ23="F","F",SUM(K23,R23,W23,AB23,AG23,AL23,AQ23))))))))</f>
        <v>35</v>
      </c>
      <c r="AW23" s="104">
        <f t="shared" ref="AW23:AW30" si="33">IF(AV23="F","F", IF(AV23&gt;=35,5,IF(AV23&lt;35,AV23/7)))</f>
        <v>5</v>
      </c>
      <c r="AX23" s="105">
        <f t="shared" ref="AX23:AX30" si="34">J23+Q23+V23+AA23+AF23+AK23+AP23</f>
        <v>708</v>
      </c>
      <c r="AY23" s="99"/>
      <c r="AZ23" s="99"/>
      <c r="BA23" s="27" t="str">
        <f t="shared" ref="BA23:BA30" si="35">IF(AW23="F","NEED TO PROGRESS",IF(AW23&gt;=5,"BEST",IF(AW23&gt;=4,"BETTER",IF(AW23&gt;2,"GOOD"))))</f>
        <v>BEST</v>
      </c>
    </row>
    <row r="24" spans="1:53">
      <c r="A24" s="21">
        <v>17</v>
      </c>
      <c r="B24" s="43">
        <v>44</v>
      </c>
      <c r="C24" s="44" t="s">
        <v>117</v>
      </c>
      <c r="D24" s="44" t="s">
        <v>118</v>
      </c>
      <c r="E24" s="44" t="s">
        <v>119</v>
      </c>
      <c r="F24" s="99">
        <v>20</v>
      </c>
      <c r="G24" s="99">
        <v>65</v>
      </c>
      <c r="H24" s="99">
        <v>10</v>
      </c>
      <c r="I24" s="99">
        <v>34</v>
      </c>
      <c r="J24" s="100">
        <f t="shared" si="19"/>
        <v>129</v>
      </c>
      <c r="K24" s="101">
        <f t="shared" si="20"/>
        <v>5</v>
      </c>
      <c r="L24" s="242"/>
      <c r="M24" s="102">
        <v>20</v>
      </c>
      <c r="N24" s="102">
        <v>50</v>
      </c>
      <c r="O24" s="100">
        <v>10</v>
      </c>
      <c r="P24" s="100">
        <v>28</v>
      </c>
      <c r="Q24" s="100">
        <f t="shared" si="21"/>
        <v>108</v>
      </c>
      <c r="R24" s="101">
        <f t="shared" si="22"/>
        <v>4</v>
      </c>
      <c r="S24" s="242"/>
      <c r="T24" s="102">
        <v>13</v>
      </c>
      <c r="U24" s="102">
        <v>57</v>
      </c>
      <c r="V24" s="100">
        <f t="shared" si="23"/>
        <v>70</v>
      </c>
      <c r="W24" s="101">
        <f t="shared" si="24"/>
        <v>4</v>
      </c>
      <c r="X24" s="242"/>
      <c r="Y24" s="102">
        <v>16</v>
      </c>
      <c r="Z24" s="102">
        <v>58</v>
      </c>
      <c r="AA24" s="100">
        <f t="shared" si="25"/>
        <v>74</v>
      </c>
      <c r="AB24" s="101">
        <f t="shared" si="26"/>
        <v>4</v>
      </c>
      <c r="AC24" s="242"/>
      <c r="AD24" s="102">
        <v>19</v>
      </c>
      <c r="AE24" s="102">
        <v>67</v>
      </c>
      <c r="AF24" s="100">
        <f t="shared" si="27"/>
        <v>86</v>
      </c>
      <c r="AG24" s="101">
        <f t="shared" si="28"/>
        <v>5</v>
      </c>
      <c r="AH24" s="242"/>
      <c r="AI24" s="102">
        <v>19</v>
      </c>
      <c r="AJ24" s="102">
        <v>69</v>
      </c>
      <c r="AK24" s="100">
        <f t="shared" si="29"/>
        <v>88</v>
      </c>
      <c r="AL24" s="101">
        <f t="shared" si="30"/>
        <v>5</v>
      </c>
      <c r="AM24" s="242"/>
      <c r="AN24" s="103"/>
      <c r="AO24" s="102">
        <v>50</v>
      </c>
      <c r="AP24" s="92">
        <f t="shared" si="13"/>
        <v>50</v>
      </c>
      <c r="AQ24" s="101">
        <f t="shared" si="31"/>
        <v>5</v>
      </c>
      <c r="AR24" s="242"/>
      <c r="AS24" s="102">
        <v>48</v>
      </c>
      <c r="AT24" s="101">
        <f t="shared" si="15"/>
        <v>5</v>
      </c>
      <c r="AU24" s="242"/>
      <c r="AV24" s="103">
        <f t="shared" si="32"/>
        <v>32</v>
      </c>
      <c r="AW24" s="104">
        <f t="shared" si="33"/>
        <v>4.5714285714285712</v>
      </c>
      <c r="AX24" s="105">
        <f t="shared" si="34"/>
        <v>605</v>
      </c>
      <c r="AY24" s="99"/>
      <c r="AZ24" s="99"/>
      <c r="BA24" s="27" t="str">
        <f t="shared" si="35"/>
        <v>BETTER</v>
      </c>
    </row>
    <row r="25" spans="1:53">
      <c r="A25" s="21">
        <v>18</v>
      </c>
      <c r="B25" s="43">
        <v>46</v>
      </c>
      <c r="C25" s="44" t="s">
        <v>120</v>
      </c>
      <c r="D25" s="44" t="s">
        <v>121</v>
      </c>
      <c r="E25" s="44" t="s">
        <v>122</v>
      </c>
      <c r="F25" s="99">
        <v>19</v>
      </c>
      <c r="G25" s="99">
        <v>64</v>
      </c>
      <c r="H25" s="99">
        <v>10</v>
      </c>
      <c r="I25" s="99">
        <v>34</v>
      </c>
      <c r="J25" s="100">
        <f t="shared" si="19"/>
        <v>127</v>
      </c>
      <c r="K25" s="101">
        <f t="shared" si="20"/>
        <v>5</v>
      </c>
      <c r="L25" s="242"/>
      <c r="M25" s="102">
        <v>20</v>
      </c>
      <c r="N25" s="102">
        <v>52</v>
      </c>
      <c r="O25" s="100">
        <v>9</v>
      </c>
      <c r="P25" s="100">
        <v>34</v>
      </c>
      <c r="Q25" s="100">
        <f t="shared" si="21"/>
        <v>115</v>
      </c>
      <c r="R25" s="101">
        <f t="shared" si="22"/>
        <v>4</v>
      </c>
      <c r="S25" s="242"/>
      <c r="T25" s="102">
        <v>17</v>
      </c>
      <c r="U25" s="102">
        <v>58</v>
      </c>
      <c r="V25" s="100">
        <f t="shared" si="23"/>
        <v>75</v>
      </c>
      <c r="W25" s="101">
        <f t="shared" si="24"/>
        <v>4</v>
      </c>
      <c r="X25" s="242"/>
      <c r="Y25" s="102">
        <v>16</v>
      </c>
      <c r="Z25" s="102">
        <v>60</v>
      </c>
      <c r="AA25" s="100">
        <f t="shared" si="25"/>
        <v>76</v>
      </c>
      <c r="AB25" s="101">
        <f t="shared" si="26"/>
        <v>4</v>
      </c>
      <c r="AC25" s="242"/>
      <c r="AD25" s="102">
        <v>19</v>
      </c>
      <c r="AE25" s="102">
        <v>70</v>
      </c>
      <c r="AF25" s="100">
        <f t="shared" si="27"/>
        <v>89</v>
      </c>
      <c r="AG25" s="101">
        <f t="shared" si="28"/>
        <v>5</v>
      </c>
      <c r="AH25" s="242"/>
      <c r="AI25" s="102">
        <v>20</v>
      </c>
      <c r="AJ25" s="102">
        <v>74</v>
      </c>
      <c r="AK25" s="100">
        <f t="shared" si="29"/>
        <v>94</v>
      </c>
      <c r="AL25" s="101">
        <f t="shared" si="30"/>
        <v>5</v>
      </c>
      <c r="AM25" s="242"/>
      <c r="AN25" s="103"/>
      <c r="AO25" s="102">
        <v>47</v>
      </c>
      <c r="AP25" s="92">
        <f t="shared" si="13"/>
        <v>47</v>
      </c>
      <c r="AQ25" s="101">
        <f t="shared" si="31"/>
        <v>5</v>
      </c>
      <c r="AR25" s="242"/>
      <c r="AS25" s="102">
        <v>49</v>
      </c>
      <c r="AT25" s="101">
        <f t="shared" si="15"/>
        <v>5</v>
      </c>
      <c r="AU25" s="242"/>
      <c r="AV25" s="103">
        <f t="shared" si="32"/>
        <v>32</v>
      </c>
      <c r="AW25" s="104">
        <f t="shared" si="33"/>
        <v>4.5714285714285712</v>
      </c>
      <c r="AX25" s="105">
        <f t="shared" si="34"/>
        <v>623</v>
      </c>
      <c r="AY25" s="99"/>
      <c r="AZ25" s="99"/>
      <c r="BA25" s="27" t="str">
        <f t="shared" si="35"/>
        <v>BETTER</v>
      </c>
    </row>
    <row r="26" spans="1:53">
      <c r="A26" s="21">
        <v>19</v>
      </c>
      <c r="B26" s="43">
        <v>49</v>
      </c>
      <c r="C26" s="44" t="s">
        <v>123</v>
      </c>
      <c r="D26" s="44" t="s">
        <v>124</v>
      </c>
      <c r="E26" s="44" t="s">
        <v>125</v>
      </c>
      <c r="F26" s="99">
        <v>20</v>
      </c>
      <c r="G26" s="99">
        <v>80</v>
      </c>
      <c r="H26" s="99">
        <v>10</v>
      </c>
      <c r="I26" s="99">
        <v>39</v>
      </c>
      <c r="J26" s="100">
        <f t="shared" si="19"/>
        <v>149</v>
      </c>
      <c r="K26" s="101">
        <f t="shared" si="20"/>
        <v>5</v>
      </c>
      <c r="L26" s="242"/>
      <c r="M26" s="102">
        <v>20</v>
      </c>
      <c r="N26" s="102">
        <v>80</v>
      </c>
      <c r="O26" s="100">
        <v>10</v>
      </c>
      <c r="P26" s="100">
        <v>39</v>
      </c>
      <c r="Q26" s="100">
        <f t="shared" si="21"/>
        <v>149</v>
      </c>
      <c r="R26" s="101">
        <f t="shared" si="22"/>
        <v>5</v>
      </c>
      <c r="S26" s="242"/>
      <c r="T26" s="102">
        <v>20</v>
      </c>
      <c r="U26" s="102">
        <v>76</v>
      </c>
      <c r="V26" s="100">
        <f t="shared" si="23"/>
        <v>96</v>
      </c>
      <c r="W26" s="101">
        <f t="shared" si="24"/>
        <v>5</v>
      </c>
      <c r="X26" s="242"/>
      <c r="Y26" s="102">
        <v>20</v>
      </c>
      <c r="Z26" s="102">
        <v>73</v>
      </c>
      <c r="AA26" s="100">
        <f t="shared" si="25"/>
        <v>93</v>
      </c>
      <c r="AB26" s="101">
        <f t="shared" si="26"/>
        <v>5</v>
      </c>
      <c r="AC26" s="242"/>
      <c r="AD26" s="102">
        <v>20</v>
      </c>
      <c r="AE26" s="102">
        <v>79</v>
      </c>
      <c r="AF26" s="100">
        <f t="shared" si="27"/>
        <v>99</v>
      </c>
      <c r="AG26" s="101">
        <f t="shared" si="28"/>
        <v>5</v>
      </c>
      <c r="AH26" s="242"/>
      <c r="AI26" s="102">
        <v>20</v>
      </c>
      <c r="AJ26" s="102">
        <v>80</v>
      </c>
      <c r="AK26" s="100">
        <f t="shared" si="29"/>
        <v>100</v>
      </c>
      <c r="AL26" s="101">
        <f t="shared" si="30"/>
        <v>5</v>
      </c>
      <c r="AM26" s="242"/>
      <c r="AN26" s="103"/>
      <c r="AO26" s="102">
        <v>50</v>
      </c>
      <c r="AP26" s="92">
        <f t="shared" si="13"/>
        <v>50</v>
      </c>
      <c r="AQ26" s="101">
        <f t="shared" si="31"/>
        <v>5</v>
      </c>
      <c r="AR26" s="242"/>
      <c r="AS26" s="102">
        <v>50</v>
      </c>
      <c r="AT26" s="101">
        <f t="shared" si="15"/>
        <v>5</v>
      </c>
      <c r="AU26" s="242"/>
      <c r="AV26" s="103">
        <f t="shared" si="32"/>
        <v>35</v>
      </c>
      <c r="AW26" s="104">
        <f t="shared" si="33"/>
        <v>5</v>
      </c>
      <c r="AX26" s="105">
        <f t="shared" si="34"/>
        <v>736</v>
      </c>
      <c r="AY26" s="99"/>
      <c r="AZ26" s="99"/>
      <c r="BA26" s="27" t="str">
        <f t="shared" si="35"/>
        <v>BEST</v>
      </c>
    </row>
    <row r="27" spans="1:53">
      <c r="A27" s="21">
        <v>20</v>
      </c>
      <c r="B27" s="43">
        <v>51</v>
      </c>
      <c r="C27" s="44" t="s">
        <v>126</v>
      </c>
      <c r="D27" s="44" t="s">
        <v>127</v>
      </c>
      <c r="E27" s="44" t="s">
        <v>128</v>
      </c>
      <c r="F27" s="99">
        <v>19</v>
      </c>
      <c r="G27" s="99">
        <v>58</v>
      </c>
      <c r="H27" s="99">
        <v>10</v>
      </c>
      <c r="I27" s="99">
        <v>34</v>
      </c>
      <c r="J27" s="100">
        <f t="shared" si="19"/>
        <v>121</v>
      </c>
      <c r="K27" s="101">
        <f t="shared" si="20"/>
        <v>5</v>
      </c>
      <c r="L27" s="242"/>
      <c r="M27" s="102">
        <v>19</v>
      </c>
      <c r="N27" s="102">
        <v>32</v>
      </c>
      <c r="O27" s="100">
        <v>8</v>
      </c>
      <c r="P27" s="100">
        <v>30</v>
      </c>
      <c r="Q27" s="100">
        <f t="shared" si="21"/>
        <v>89</v>
      </c>
      <c r="R27" s="101">
        <f t="shared" si="22"/>
        <v>3</v>
      </c>
      <c r="S27" s="242"/>
      <c r="T27" s="102">
        <v>18</v>
      </c>
      <c r="U27" s="102">
        <v>58</v>
      </c>
      <c r="V27" s="100">
        <f t="shared" si="23"/>
        <v>76</v>
      </c>
      <c r="W27" s="101">
        <f t="shared" si="24"/>
        <v>4</v>
      </c>
      <c r="X27" s="242"/>
      <c r="Y27" s="102">
        <v>16</v>
      </c>
      <c r="Z27" s="102">
        <v>48</v>
      </c>
      <c r="AA27" s="100">
        <f t="shared" si="25"/>
        <v>64</v>
      </c>
      <c r="AB27" s="101">
        <f t="shared" si="26"/>
        <v>3.5</v>
      </c>
      <c r="AC27" s="242"/>
      <c r="AD27" s="102">
        <v>19</v>
      </c>
      <c r="AE27" s="102">
        <v>44</v>
      </c>
      <c r="AF27" s="100">
        <f t="shared" si="27"/>
        <v>63</v>
      </c>
      <c r="AG27" s="101">
        <f t="shared" si="28"/>
        <v>3.5</v>
      </c>
      <c r="AH27" s="242"/>
      <c r="AI27" s="102">
        <v>19</v>
      </c>
      <c r="AJ27" s="102">
        <v>56</v>
      </c>
      <c r="AK27" s="100">
        <f t="shared" si="29"/>
        <v>75</v>
      </c>
      <c r="AL27" s="101">
        <f t="shared" si="30"/>
        <v>4</v>
      </c>
      <c r="AM27" s="242"/>
      <c r="AN27" s="103"/>
      <c r="AO27" s="102">
        <v>48</v>
      </c>
      <c r="AP27" s="92">
        <f t="shared" si="13"/>
        <v>48</v>
      </c>
      <c r="AQ27" s="101">
        <f t="shared" si="31"/>
        <v>5</v>
      </c>
      <c r="AR27" s="242"/>
      <c r="AS27" s="102">
        <v>50</v>
      </c>
      <c r="AT27" s="101">
        <f t="shared" si="15"/>
        <v>5</v>
      </c>
      <c r="AU27" s="242"/>
      <c r="AV27" s="103">
        <f t="shared" si="32"/>
        <v>28</v>
      </c>
      <c r="AW27" s="104">
        <f t="shared" si="33"/>
        <v>4</v>
      </c>
      <c r="AX27" s="105">
        <f t="shared" si="34"/>
        <v>536</v>
      </c>
      <c r="AY27" s="99"/>
      <c r="AZ27" s="99"/>
      <c r="BA27" s="27" t="str">
        <f t="shared" si="35"/>
        <v>BETTER</v>
      </c>
    </row>
    <row r="28" spans="1:53">
      <c r="A28" s="21">
        <v>21</v>
      </c>
      <c r="B28" s="43">
        <v>53</v>
      </c>
      <c r="C28" s="44" t="s">
        <v>129</v>
      </c>
      <c r="D28" s="44" t="s">
        <v>130</v>
      </c>
      <c r="E28" s="44" t="s">
        <v>131</v>
      </c>
      <c r="F28" s="99">
        <v>20</v>
      </c>
      <c r="G28" s="99">
        <v>71</v>
      </c>
      <c r="H28" s="99">
        <v>10</v>
      </c>
      <c r="I28" s="99">
        <v>37</v>
      </c>
      <c r="J28" s="100">
        <f t="shared" si="19"/>
        <v>138</v>
      </c>
      <c r="K28" s="101">
        <f t="shared" si="20"/>
        <v>5</v>
      </c>
      <c r="L28" s="242"/>
      <c r="M28" s="102">
        <v>20</v>
      </c>
      <c r="N28" s="102">
        <v>78</v>
      </c>
      <c r="O28" s="100">
        <v>10</v>
      </c>
      <c r="P28" s="100">
        <v>36</v>
      </c>
      <c r="Q28" s="100">
        <f t="shared" si="21"/>
        <v>144</v>
      </c>
      <c r="R28" s="101">
        <f t="shared" si="22"/>
        <v>5</v>
      </c>
      <c r="S28" s="242"/>
      <c r="T28" s="102">
        <v>20</v>
      </c>
      <c r="U28" s="102">
        <v>64</v>
      </c>
      <c r="V28" s="100">
        <f t="shared" si="23"/>
        <v>84</v>
      </c>
      <c r="W28" s="101">
        <f t="shared" si="24"/>
        <v>5</v>
      </c>
      <c r="X28" s="242"/>
      <c r="Y28" s="102">
        <v>19</v>
      </c>
      <c r="Z28" s="102">
        <v>64</v>
      </c>
      <c r="AA28" s="100">
        <f t="shared" si="25"/>
        <v>83</v>
      </c>
      <c r="AB28" s="101">
        <f t="shared" si="26"/>
        <v>5</v>
      </c>
      <c r="AC28" s="242"/>
      <c r="AD28" s="102">
        <v>20</v>
      </c>
      <c r="AE28" s="102">
        <v>78</v>
      </c>
      <c r="AF28" s="100">
        <f t="shared" si="27"/>
        <v>98</v>
      </c>
      <c r="AG28" s="101">
        <f t="shared" si="28"/>
        <v>5</v>
      </c>
      <c r="AH28" s="242"/>
      <c r="AI28" s="102">
        <v>20</v>
      </c>
      <c r="AJ28" s="102">
        <v>78</v>
      </c>
      <c r="AK28" s="100">
        <f t="shared" si="29"/>
        <v>98</v>
      </c>
      <c r="AL28" s="101">
        <f t="shared" si="30"/>
        <v>5</v>
      </c>
      <c r="AM28" s="242"/>
      <c r="AN28" s="103"/>
      <c r="AO28" s="102">
        <v>49</v>
      </c>
      <c r="AP28" s="92">
        <f t="shared" si="13"/>
        <v>49</v>
      </c>
      <c r="AQ28" s="101">
        <f t="shared" si="31"/>
        <v>5</v>
      </c>
      <c r="AR28" s="242"/>
      <c r="AS28" s="102">
        <v>50</v>
      </c>
      <c r="AT28" s="101">
        <f t="shared" si="15"/>
        <v>5</v>
      </c>
      <c r="AU28" s="242"/>
      <c r="AV28" s="103">
        <f t="shared" si="32"/>
        <v>35</v>
      </c>
      <c r="AW28" s="104">
        <f t="shared" si="33"/>
        <v>5</v>
      </c>
      <c r="AX28" s="105">
        <f t="shared" si="34"/>
        <v>694</v>
      </c>
      <c r="AY28" s="99"/>
      <c r="AZ28" s="99"/>
      <c r="BA28" s="27" t="str">
        <f t="shared" si="35"/>
        <v>BEST</v>
      </c>
    </row>
    <row r="29" spans="1:53" ht="15" customHeight="1">
      <c r="A29" s="21">
        <v>22</v>
      </c>
      <c r="B29" s="43">
        <v>55</v>
      </c>
      <c r="C29" s="44" t="s">
        <v>132</v>
      </c>
      <c r="D29" s="44" t="s">
        <v>130</v>
      </c>
      <c r="E29" s="44" t="s">
        <v>131</v>
      </c>
      <c r="F29" s="99">
        <v>20</v>
      </c>
      <c r="G29" s="99">
        <v>72</v>
      </c>
      <c r="H29" s="99">
        <v>10</v>
      </c>
      <c r="I29" s="99">
        <v>37</v>
      </c>
      <c r="J29" s="100">
        <f t="shared" si="19"/>
        <v>139</v>
      </c>
      <c r="K29" s="101">
        <f t="shared" si="20"/>
        <v>5</v>
      </c>
      <c r="L29" s="242"/>
      <c r="M29" s="102">
        <v>20</v>
      </c>
      <c r="N29" s="102">
        <v>79</v>
      </c>
      <c r="O29" s="100">
        <v>10</v>
      </c>
      <c r="P29" s="100">
        <v>34</v>
      </c>
      <c r="Q29" s="100">
        <f t="shared" si="21"/>
        <v>143</v>
      </c>
      <c r="R29" s="101">
        <f t="shared" si="22"/>
        <v>5</v>
      </c>
      <c r="S29" s="242"/>
      <c r="T29" s="102">
        <v>19</v>
      </c>
      <c r="U29" s="102">
        <v>64</v>
      </c>
      <c r="V29" s="100">
        <f t="shared" si="23"/>
        <v>83</v>
      </c>
      <c r="W29" s="101">
        <f t="shared" si="24"/>
        <v>5</v>
      </c>
      <c r="X29" s="242"/>
      <c r="Y29" s="102">
        <v>19</v>
      </c>
      <c r="Z29" s="102">
        <v>64</v>
      </c>
      <c r="AA29" s="100">
        <f t="shared" si="25"/>
        <v>83</v>
      </c>
      <c r="AB29" s="101">
        <f t="shared" si="26"/>
        <v>5</v>
      </c>
      <c r="AC29" s="242"/>
      <c r="AD29" s="102">
        <v>20</v>
      </c>
      <c r="AE29" s="102">
        <v>78</v>
      </c>
      <c r="AF29" s="100">
        <f t="shared" si="27"/>
        <v>98</v>
      </c>
      <c r="AG29" s="101">
        <f t="shared" si="28"/>
        <v>5</v>
      </c>
      <c r="AH29" s="242"/>
      <c r="AI29" s="102">
        <v>19</v>
      </c>
      <c r="AJ29" s="102">
        <v>77</v>
      </c>
      <c r="AK29" s="100">
        <f t="shared" si="29"/>
        <v>96</v>
      </c>
      <c r="AL29" s="101">
        <f t="shared" si="30"/>
        <v>5</v>
      </c>
      <c r="AM29" s="242"/>
      <c r="AN29" s="103"/>
      <c r="AO29" s="102">
        <v>50</v>
      </c>
      <c r="AP29" s="92">
        <f t="shared" si="13"/>
        <v>50</v>
      </c>
      <c r="AQ29" s="101">
        <f t="shared" si="31"/>
        <v>5</v>
      </c>
      <c r="AR29" s="242"/>
      <c r="AS29" s="102">
        <v>50</v>
      </c>
      <c r="AT29" s="101">
        <f t="shared" si="15"/>
        <v>5</v>
      </c>
      <c r="AU29" s="242"/>
      <c r="AV29" s="103">
        <f t="shared" si="32"/>
        <v>35</v>
      </c>
      <c r="AW29" s="104">
        <f t="shared" si="33"/>
        <v>5</v>
      </c>
      <c r="AX29" s="105">
        <f t="shared" si="34"/>
        <v>692</v>
      </c>
      <c r="AY29" s="99"/>
      <c r="AZ29" s="99"/>
      <c r="BA29" s="27" t="str">
        <f t="shared" si="35"/>
        <v>BEST</v>
      </c>
    </row>
    <row r="30" spans="1:53">
      <c r="A30" s="21">
        <v>23</v>
      </c>
      <c r="B30" s="43">
        <v>57</v>
      </c>
      <c r="C30" s="44" t="s">
        <v>133</v>
      </c>
      <c r="D30" s="44" t="s">
        <v>134</v>
      </c>
      <c r="E30" s="44" t="s">
        <v>135</v>
      </c>
      <c r="F30" s="99">
        <v>20</v>
      </c>
      <c r="G30" s="99">
        <v>76</v>
      </c>
      <c r="H30" s="99">
        <v>10</v>
      </c>
      <c r="I30" s="99">
        <v>38</v>
      </c>
      <c r="J30" s="100">
        <f t="shared" si="19"/>
        <v>144</v>
      </c>
      <c r="K30" s="101">
        <f t="shared" si="20"/>
        <v>5</v>
      </c>
      <c r="L30" s="242"/>
      <c r="M30" s="102">
        <v>20</v>
      </c>
      <c r="N30" s="102">
        <v>75</v>
      </c>
      <c r="O30" s="100">
        <v>10</v>
      </c>
      <c r="P30" s="100">
        <v>34</v>
      </c>
      <c r="Q30" s="100">
        <f t="shared" si="21"/>
        <v>139</v>
      </c>
      <c r="R30" s="101">
        <f t="shared" si="22"/>
        <v>5</v>
      </c>
      <c r="S30" s="242"/>
      <c r="T30" s="102">
        <v>18</v>
      </c>
      <c r="U30" s="102">
        <v>60</v>
      </c>
      <c r="V30" s="100">
        <f t="shared" si="23"/>
        <v>78</v>
      </c>
      <c r="W30" s="101">
        <f t="shared" si="24"/>
        <v>4</v>
      </c>
      <c r="X30" s="242"/>
      <c r="Y30" s="102">
        <v>20</v>
      </c>
      <c r="Z30" s="102">
        <v>58</v>
      </c>
      <c r="AA30" s="100">
        <f t="shared" si="25"/>
        <v>78</v>
      </c>
      <c r="AB30" s="101">
        <f t="shared" si="26"/>
        <v>4</v>
      </c>
      <c r="AC30" s="242"/>
      <c r="AD30" s="102">
        <v>20</v>
      </c>
      <c r="AE30" s="102">
        <v>75</v>
      </c>
      <c r="AF30" s="100">
        <f t="shared" si="27"/>
        <v>95</v>
      </c>
      <c r="AG30" s="101">
        <f t="shared" si="28"/>
        <v>5</v>
      </c>
      <c r="AH30" s="242"/>
      <c r="AI30" s="102">
        <v>20</v>
      </c>
      <c r="AJ30" s="102">
        <v>74</v>
      </c>
      <c r="AK30" s="100">
        <f t="shared" si="29"/>
        <v>94</v>
      </c>
      <c r="AL30" s="101">
        <f t="shared" si="30"/>
        <v>5</v>
      </c>
      <c r="AM30" s="242"/>
      <c r="AN30" s="103"/>
      <c r="AO30" s="102">
        <v>47</v>
      </c>
      <c r="AP30" s="92">
        <f t="shared" si="13"/>
        <v>47</v>
      </c>
      <c r="AQ30" s="101">
        <f t="shared" si="31"/>
        <v>5</v>
      </c>
      <c r="AR30" s="242"/>
      <c r="AS30" s="102">
        <v>47</v>
      </c>
      <c r="AT30" s="101">
        <f t="shared" si="15"/>
        <v>5</v>
      </c>
      <c r="AU30" s="242"/>
      <c r="AV30" s="103">
        <f t="shared" si="32"/>
        <v>33</v>
      </c>
      <c r="AW30" s="104">
        <f t="shared" si="33"/>
        <v>4.7142857142857144</v>
      </c>
      <c r="AX30" s="105">
        <f t="shared" si="34"/>
        <v>675</v>
      </c>
      <c r="AY30" s="99"/>
      <c r="AZ30" s="99"/>
      <c r="BA30" s="27" t="str">
        <f t="shared" si="35"/>
        <v>BETTER</v>
      </c>
    </row>
    <row r="31" spans="1:53">
      <c r="A31" s="21">
        <v>24</v>
      </c>
      <c r="B31" s="43">
        <v>58</v>
      </c>
      <c r="C31" s="44" t="s">
        <v>136</v>
      </c>
      <c r="D31" s="44" t="s">
        <v>137</v>
      </c>
      <c r="E31" s="44" t="s">
        <v>138</v>
      </c>
      <c r="F31" s="99">
        <v>20</v>
      </c>
      <c r="G31" s="99">
        <v>70</v>
      </c>
      <c r="H31" s="99">
        <v>10</v>
      </c>
      <c r="I31" s="99">
        <v>36</v>
      </c>
      <c r="J31" s="100">
        <f t="shared" si="19"/>
        <v>136</v>
      </c>
      <c r="K31" s="101">
        <f t="shared" si="20"/>
        <v>5</v>
      </c>
      <c r="L31" s="242"/>
      <c r="M31" s="102">
        <v>20</v>
      </c>
      <c r="N31" s="102">
        <v>70</v>
      </c>
      <c r="O31" s="100">
        <v>9</v>
      </c>
      <c r="P31" s="100">
        <v>26</v>
      </c>
      <c r="Q31" s="100">
        <f t="shared" si="21"/>
        <v>125</v>
      </c>
      <c r="R31" s="101">
        <f t="shared" si="22"/>
        <v>5</v>
      </c>
      <c r="S31" s="242"/>
      <c r="T31" s="102">
        <v>18</v>
      </c>
      <c r="U31" s="102">
        <v>67</v>
      </c>
      <c r="V31" s="100">
        <f t="shared" si="23"/>
        <v>85</v>
      </c>
      <c r="W31" s="101">
        <f t="shared" si="24"/>
        <v>5</v>
      </c>
      <c r="X31" s="242"/>
      <c r="Y31" s="102">
        <v>19</v>
      </c>
      <c r="Z31" s="102">
        <v>68</v>
      </c>
      <c r="AA31" s="100">
        <f t="shared" si="25"/>
        <v>87</v>
      </c>
      <c r="AB31" s="101">
        <f t="shared" si="26"/>
        <v>5</v>
      </c>
      <c r="AC31" s="242"/>
      <c r="AD31" s="102">
        <v>20</v>
      </c>
      <c r="AE31" s="102">
        <v>76</v>
      </c>
      <c r="AF31" s="100">
        <f t="shared" si="9"/>
        <v>96</v>
      </c>
      <c r="AG31" s="101">
        <f t="shared" si="10"/>
        <v>5</v>
      </c>
      <c r="AH31" s="242"/>
      <c r="AI31" s="102">
        <v>20</v>
      </c>
      <c r="AJ31" s="102">
        <v>74</v>
      </c>
      <c r="AK31" s="100">
        <f t="shared" si="29"/>
        <v>94</v>
      </c>
      <c r="AL31" s="101">
        <f t="shared" si="30"/>
        <v>5</v>
      </c>
      <c r="AM31" s="242"/>
      <c r="AN31" s="103"/>
      <c r="AO31" s="102">
        <v>49</v>
      </c>
      <c r="AP31" s="92">
        <f t="shared" si="13"/>
        <v>49</v>
      </c>
      <c r="AQ31" s="101">
        <f t="shared" si="14"/>
        <v>5</v>
      </c>
      <c r="AR31" s="242"/>
      <c r="AS31" s="102">
        <v>39</v>
      </c>
      <c r="AT31" s="101">
        <f t="shared" si="15"/>
        <v>4</v>
      </c>
      <c r="AU31" s="242"/>
      <c r="AV31" s="103">
        <f t="shared" si="16"/>
        <v>35</v>
      </c>
      <c r="AW31" s="104">
        <f t="shared" si="17"/>
        <v>5</v>
      </c>
      <c r="AX31" s="105">
        <f t="shared" si="18"/>
        <v>672</v>
      </c>
      <c r="AY31" s="99"/>
      <c r="AZ31" s="99"/>
      <c r="BA31" s="27" t="str">
        <f t="shared" si="0"/>
        <v>BEST</v>
      </c>
    </row>
    <row r="32" spans="1:53">
      <c r="A32" s="21">
        <v>25</v>
      </c>
      <c r="B32" s="43">
        <v>59</v>
      </c>
      <c r="C32" s="44" t="s">
        <v>139</v>
      </c>
      <c r="D32" s="44" t="s">
        <v>140</v>
      </c>
      <c r="E32" s="44" t="s">
        <v>141</v>
      </c>
      <c r="F32" s="99">
        <v>5</v>
      </c>
      <c r="G32" s="99">
        <v>0</v>
      </c>
      <c r="H32" s="99">
        <v>5</v>
      </c>
      <c r="I32" s="99">
        <v>0</v>
      </c>
      <c r="J32" s="100">
        <f t="shared" si="1"/>
        <v>10</v>
      </c>
      <c r="K32" s="101" t="str">
        <f t="shared" si="2"/>
        <v>F</v>
      </c>
      <c r="L32" s="242"/>
      <c r="M32" s="102">
        <v>5</v>
      </c>
      <c r="N32" s="102">
        <v>0</v>
      </c>
      <c r="O32" s="100">
        <v>5</v>
      </c>
      <c r="P32" s="100">
        <v>0</v>
      </c>
      <c r="Q32" s="100">
        <f t="shared" si="21"/>
        <v>10</v>
      </c>
      <c r="R32" s="101" t="str">
        <f t="shared" si="22"/>
        <v>F</v>
      </c>
      <c r="S32" s="242"/>
      <c r="T32" s="102">
        <v>5</v>
      </c>
      <c r="U32" s="102">
        <v>0</v>
      </c>
      <c r="V32" s="100">
        <f t="shared" si="23"/>
        <v>5</v>
      </c>
      <c r="W32" s="101" t="str">
        <f t="shared" si="24"/>
        <v>F</v>
      </c>
      <c r="X32" s="242"/>
      <c r="Y32" s="102">
        <v>5</v>
      </c>
      <c r="Z32" s="102">
        <v>0</v>
      </c>
      <c r="AA32" s="100">
        <f t="shared" si="25"/>
        <v>5</v>
      </c>
      <c r="AB32" s="101" t="str">
        <f t="shared" si="26"/>
        <v>F</v>
      </c>
      <c r="AC32" s="242"/>
      <c r="AD32" s="102">
        <v>5</v>
      </c>
      <c r="AE32" s="102">
        <v>0</v>
      </c>
      <c r="AF32" s="100">
        <f t="shared" si="9"/>
        <v>5</v>
      </c>
      <c r="AG32" s="101" t="str">
        <f t="shared" si="10"/>
        <v>F</v>
      </c>
      <c r="AH32" s="242"/>
      <c r="AI32" s="102">
        <v>5</v>
      </c>
      <c r="AJ32" s="102">
        <v>0</v>
      </c>
      <c r="AK32" s="100">
        <f t="shared" si="11"/>
        <v>5</v>
      </c>
      <c r="AL32" s="101" t="str">
        <f t="shared" si="12"/>
        <v>F</v>
      </c>
      <c r="AM32" s="242"/>
      <c r="AN32" s="103"/>
      <c r="AO32" s="102">
        <v>0</v>
      </c>
      <c r="AP32" s="92">
        <f t="shared" si="13"/>
        <v>0</v>
      </c>
      <c r="AQ32" s="101" t="str">
        <f t="shared" si="14"/>
        <v>F</v>
      </c>
      <c r="AR32" s="242"/>
      <c r="AS32" s="102">
        <v>0</v>
      </c>
      <c r="AT32" s="101" t="str">
        <f t="shared" si="15"/>
        <v>F</v>
      </c>
      <c r="AU32" s="242"/>
      <c r="AV32" s="103" t="str">
        <f t="shared" si="16"/>
        <v>F</v>
      </c>
      <c r="AW32" s="104" t="str">
        <f t="shared" si="17"/>
        <v>F</v>
      </c>
      <c r="AX32" s="105">
        <f t="shared" si="18"/>
        <v>40</v>
      </c>
      <c r="AY32" s="99"/>
      <c r="AZ32" s="99"/>
      <c r="BA32" s="27" t="str">
        <f t="shared" si="0"/>
        <v>NEED TO PROGRESS</v>
      </c>
    </row>
    <row r="33" spans="1:53">
      <c r="A33" s="21">
        <v>26</v>
      </c>
      <c r="B33" s="43">
        <v>62</v>
      </c>
      <c r="C33" s="44" t="s">
        <v>142</v>
      </c>
      <c r="D33" s="44" t="s">
        <v>143</v>
      </c>
      <c r="E33" s="44" t="s">
        <v>144</v>
      </c>
      <c r="F33" s="99">
        <v>20</v>
      </c>
      <c r="G33" s="99">
        <v>73</v>
      </c>
      <c r="H33" s="99">
        <v>10</v>
      </c>
      <c r="I33" s="99">
        <v>37</v>
      </c>
      <c r="J33" s="100">
        <f t="shared" si="1"/>
        <v>140</v>
      </c>
      <c r="K33" s="101">
        <f t="shared" si="2"/>
        <v>5</v>
      </c>
      <c r="L33" s="242"/>
      <c r="M33" s="102">
        <v>20</v>
      </c>
      <c r="N33" s="102">
        <v>76</v>
      </c>
      <c r="O33" s="100">
        <v>10</v>
      </c>
      <c r="P33" s="100">
        <v>32</v>
      </c>
      <c r="Q33" s="100">
        <f t="shared" si="21"/>
        <v>138</v>
      </c>
      <c r="R33" s="101">
        <f t="shared" si="22"/>
        <v>5</v>
      </c>
      <c r="S33" s="242"/>
      <c r="T33" s="102">
        <v>16</v>
      </c>
      <c r="U33" s="102">
        <v>60</v>
      </c>
      <c r="V33" s="100">
        <f t="shared" si="23"/>
        <v>76</v>
      </c>
      <c r="W33" s="101">
        <f t="shared" si="24"/>
        <v>4</v>
      </c>
      <c r="X33" s="242"/>
      <c r="Y33" s="102">
        <v>18</v>
      </c>
      <c r="Z33" s="102">
        <v>66</v>
      </c>
      <c r="AA33" s="100">
        <f t="shared" si="7"/>
        <v>84</v>
      </c>
      <c r="AB33" s="101">
        <f t="shared" si="8"/>
        <v>5</v>
      </c>
      <c r="AC33" s="242"/>
      <c r="AD33" s="102">
        <v>20</v>
      </c>
      <c r="AE33" s="102">
        <v>78</v>
      </c>
      <c r="AF33" s="100">
        <f t="shared" si="9"/>
        <v>98</v>
      </c>
      <c r="AG33" s="101">
        <f t="shared" si="10"/>
        <v>5</v>
      </c>
      <c r="AH33" s="242"/>
      <c r="AI33" s="102">
        <v>20</v>
      </c>
      <c r="AJ33" s="102">
        <v>79</v>
      </c>
      <c r="AK33" s="100">
        <f t="shared" si="11"/>
        <v>99</v>
      </c>
      <c r="AL33" s="101">
        <f t="shared" si="12"/>
        <v>5</v>
      </c>
      <c r="AM33" s="242"/>
      <c r="AN33" s="103"/>
      <c r="AO33" s="102">
        <v>49</v>
      </c>
      <c r="AP33" s="92">
        <f t="shared" si="13"/>
        <v>49</v>
      </c>
      <c r="AQ33" s="101">
        <f t="shared" si="14"/>
        <v>5</v>
      </c>
      <c r="AR33" s="242"/>
      <c r="AS33" s="102">
        <v>49</v>
      </c>
      <c r="AT33" s="101">
        <f t="shared" si="15"/>
        <v>5</v>
      </c>
      <c r="AU33" s="242"/>
      <c r="AV33" s="103">
        <f t="shared" si="16"/>
        <v>34</v>
      </c>
      <c r="AW33" s="104">
        <f t="shared" si="17"/>
        <v>4.8571428571428568</v>
      </c>
      <c r="AX33" s="105">
        <f t="shared" si="18"/>
        <v>684</v>
      </c>
      <c r="AY33" s="99"/>
      <c r="AZ33" s="99"/>
      <c r="BA33" s="27" t="str">
        <f t="shared" si="0"/>
        <v>BETTER</v>
      </c>
    </row>
    <row r="34" spans="1:53">
      <c r="A34" s="21">
        <v>27</v>
      </c>
      <c r="B34" s="43">
        <v>66</v>
      </c>
      <c r="C34" s="44" t="s">
        <v>145</v>
      </c>
      <c r="D34" s="44" t="s">
        <v>146</v>
      </c>
      <c r="E34" s="44" t="s">
        <v>147</v>
      </c>
      <c r="F34" s="99">
        <v>20</v>
      </c>
      <c r="G34" s="99">
        <v>73</v>
      </c>
      <c r="H34" s="99">
        <v>10</v>
      </c>
      <c r="I34" s="99">
        <v>36</v>
      </c>
      <c r="J34" s="100">
        <f t="shared" si="1"/>
        <v>139</v>
      </c>
      <c r="K34" s="101">
        <f t="shared" si="2"/>
        <v>5</v>
      </c>
      <c r="L34" s="242"/>
      <c r="M34" s="102">
        <v>20</v>
      </c>
      <c r="N34" s="102">
        <v>72</v>
      </c>
      <c r="O34" s="100">
        <v>9</v>
      </c>
      <c r="P34" s="100">
        <v>33</v>
      </c>
      <c r="Q34" s="100">
        <f t="shared" si="21"/>
        <v>134</v>
      </c>
      <c r="R34" s="101">
        <f t="shared" si="22"/>
        <v>5</v>
      </c>
      <c r="S34" s="242"/>
      <c r="T34" s="102">
        <v>15</v>
      </c>
      <c r="U34" s="102">
        <v>62</v>
      </c>
      <c r="V34" s="100">
        <f t="shared" si="23"/>
        <v>77</v>
      </c>
      <c r="W34" s="101">
        <f t="shared" si="24"/>
        <v>4</v>
      </c>
      <c r="X34" s="242"/>
      <c r="Y34" s="102">
        <v>16</v>
      </c>
      <c r="Z34" s="102">
        <v>69</v>
      </c>
      <c r="AA34" s="100">
        <f t="shared" si="7"/>
        <v>85</v>
      </c>
      <c r="AB34" s="101">
        <f t="shared" si="8"/>
        <v>5</v>
      </c>
      <c r="AC34" s="242"/>
      <c r="AD34" s="102">
        <v>20</v>
      </c>
      <c r="AE34" s="102">
        <v>77</v>
      </c>
      <c r="AF34" s="100">
        <f t="shared" si="9"/>
        <v>97</v>
      </c>
      <c r="AG34" s="101">
        <f t="shared" si="10"/>
        <v>5</v>
      </c>
      <c r="AH34" s="242"/>
      <c r="AI34" s="102">
        <v>19</v>
      </c>
      <c r="AJ34" s="102">
        <v>67</v>
      </c>
      <c r="AK34" s="100">
        <f t="shared" si="11"/>
        <v>86</v>
      </c>
      <c r="AL34" s="101">
        <f t="shared" si="12"/>
        <v>5</v>
      </c>
      <c r="AM34" s="242"/>
      <c r="AN34" s="103"/>
      <c r="AO34" s="102">
        <v>49</v>
      </c>
      <c r="AP34" s="92">
        <f t="shared" si="13"/>
        <v>49</v>
      </c>
      <c r="AQ34" s="101">
        <f t="shared" si="14"/>
        <v>5</v>
      </c>
      <c r="AR34" s="242"/>
      <c r="AS34" s="102">
        <v>49</v>
      </c>
      <c r="AT34" s="101">
        <f t="shared" si="15"/>
        <v>5</v>
      </c>
      <c r="AU34" s="242"/>
      <c r="AV34" s="103">
        <f t="shared" si="16"/>
        <v>34</v>
      </c>
      <c r="AW34" s="104">
        <f t="shared" si="17"/>
        <v>4.8571428571428568</v>
      </c>
      <c r="AX34" s="105">
        <f t="shared" si="18"/>
        <v>667</v>
      </c>
      <c r="AY34" s="99"/>
      <c r="AZ34" s="99"/>
      <c r="BA34" s="27" t="str">
        <f t="shared" si="0"/>
        <v>BETTER</v>
      </c>
    </row>
    <row r="35" spans="1:53" ht="15.75" thickBot="1">
      <c r="A35" s="64">
        <v>28</v>
      </c>
      <c r="B35" s="65">
        <v>67</v>
      </c>
      <c r="C35" s="66" t="s">
        <v>148</v>
      </c>
      <c r="D35" s="66" t="s">
        <v>149</v>
      </c>
      <c r="E35" s="66" t="s">
        <v>150</v>
      </c>
      <c r="F35" s="90">
        <v>20</v>
      </c>
      <c r="G35" s="90">
        <v>65</v>
      </c>
      <c r="H35" s="99">
        <v>10</v>
      </c>
      <c r="I35" s="91">
        <v>36</v>
      </c>
      <c r="J35" s="106">
        <f t="shared" si="1"/>
        <v>131</v>
      </c>
      <c r="K35" s="107">
        <f t="shared" si="2"/>
        <v>5</v>
      </c>
      <c r="L35" s="242"/>
      <c r="M35" s="108">
        <v>20</v>
      </c>
      <c r="N35" s="108">
        <v>58</v>
      </c>
      <c r="O35" s="106">
        <v>9</v>
      </c>
      <c r="P35" s="106">
        <v>28</v>
      </c>
      <c r="Q35" s="100">
        <f t="shared" si="21"/>
        <v>115</v>
      </c>
      <c r="R35" s="101">
        <f t="shared" si="22"/>
        <v>4</v>
      </c>
      <c r="S35" s="242"/>
      <c r="T35" s="108">
        <v>18</v>
      </c>
      <c r="U35" s="108">
        <v>52</v>
      </c>
      <c r="V35" s="100">
        <f t="shared" si="23"/>
        <v>70</v>
      </c>
      <c r="W35" s="101">
        <f t="shared" si="24"/>
        <v>4</v>
      </c>
      <c r="X35" s="242"/>
      <c r="Y35" s="108">
        <v>19</v>
      </c>
      <c r="Z35" s="108">
        <v>61</v>
      </c>
      <c r="AA35" s="106">
        <f t="shared" si="7"/>
        <v>80</v>
      </c>
      <c r="AB35" s="107">
        <f t="shared" si="8"/>
        <v>5</v>
      </c>
      <c r="AC35" s="242"/>
      <c r="AD35" s="108">
        <v>20</v>
      </c>
      <c r="AE35" s="108">
        <v>72</v>
      </c>
      <c r="AF35" s="106">
        <f t="shared" si="9"/>
        <v>92</v>
      </c>
      <c r="AG35" s="107">
        <f t="shared" si="10"/>
        <v>5</v>
      </c>
      <c r="AH35" s="242"/>
      <c r="AI35" s="108">
        <v>20</v>
      </c>
      <c r="AJ35" s="108">
        <v>65</v>
      </c>
      <c r="AK35" s="106">
        <f t="shared" si="11"/>
        <v>85</v>
      </c>
      <c r="AL35" s="107">
        <f t="shared" si="12"/>
        <v>5</v>
      </c>
      <c r="AM35" s="242"/>
      <c r="AN35" s="109"/>
      <c r="AO35" s="108">
        <v>41</v>
      </c>
      <c r="AP35" s="92">
        <f t="shared" si="13"/>
        <v>41</v>
      </c>
      <c r="AQ35" s="107">
        <f t="shared" si="14"/>
        <v>5</v>
      </c>
      <c r="AR35" s="242"/>
      <c r="AS35" s="108">
        <v>49</v>
      </c>
      <c r="AT35" s="101">
        <f t="shared" si="15"/>
        <v>5</v>
      </c>
      <c r="AU35" s="242"/>
      <c r="AV35" s="109">
        <f t="shared" si="16"/>
        <v>33</v>
      </c>
      <c r="AW35" s="110">
        <f t="shared" si="17"/>
        <v>4.7142857142857144</v>
      </c>
      <c r="AX35" s="111">
        <f t="shared" si="18"/>
        <v>614</v>
      </c>
      <c r="AY35" s="112"/>
      <c r="AZ35" s="112"/>
      <c r="BA35" s="69" t="str">
        <f t="shared" si="0"/>
        <v>BETTER</v>
      </c>
    </row>
    <row r="36" spans="1:53" s="74" customFormat="1" ht="15.75" thickTop="1">
      <c r="A36" s="70">
        <v>29</v>
      </c>
      <c r="B36" s="71">
        <v>13</v>
      </c>
      <c r="C36" s="72" t="s">
        <v>151</v>
      </c>
      <c r="D36" s="72" t="s">
        <v>152</v>
      </c>
      <c r="E36" s="72" t="s">
        <v>153</v>
      </c>
      <c r="F36" s="99">
        <v>20</v>
      </c>
      <c r="G36" s="99">
        <v>72</v>
      </c>
      <c r="H36" s="99">
        <v>10</v>
      </c>
      <c r="I36" s="99">
        <v>30</v>
      </c>
      <c r="J36" s="113">
        <f>F36+G36+H36+I36</f>
        <v>132</v>
      </c>
      <c r="K36" s="114">
        <f>IF(J36&lt;60,"F",IF(J36&lt;75,2,IF(J36&lt;90,3,IF(J36&lt;105,3.5,IF(J36&lt;120,4,5)))))</f>
        <v>5</v>
      </c>
      <c r="L36" s="242"/>
      <c r="M36" s="113">
        <v>15</v>
      </c>
      <c r="N36" s="113">
        <v>49</v>
      </c>
      <c r="O36" s="113">
        <v>10</v>
      </c>
      <c r="P36" s="113">
        <v>20</v>
      </c>
      <c r="Q36" s="100">
        <f t="shared" si="21"/>
        <v>94</v>
      </c>
      <c r="R36" s="101">
        <f t="shared" si="22"/>
        <v>3.5</v>
      </c>
      <c r="S36" s="242"/>
      <c r="T36" s="113">
        <v>20</v>
      </c>
      <c r="U36" s="113">
        <v>44</v>
      </c>
      <c r="V36" s="100">
        <f t="shared" si="23"/>
        <v>64</v>
      </c>
      <c r="W36" s="101">
        <f t="shared" si="24"/>
        <v>3.5</v>
      </c>
      <c r="X36" s="242"/>
      <c r="Y36" s="113">
        <v>19</v>
      </c>
      <c r="Z36" s="113">
        <v>72</v>
      </c>
      <c r="AA36" s="113">
        <f>Y36+Z36</f>
        <v>91</v>
      </c>
      <c r="AB36" s="114">
        <f>IF(AA36&lt;40,"F",IF(AA36&lt;50,2,IF(AA36&lt;60,3,IF(AA36&lt;70,3.5,IF(AA36&lt;80,4,5)))))</f>
        <v>5</v>
      </c>
      <c r="AC36" s="242"/>
      <c r="AD36" s="113">
        <v>20</v>
      </c>
      <c r="AE36" s="113">
        <v>75</v>
      </c>
      <c r="AF36" s="113">
        <f>AD36+AE36</f>
        <v>95</v>
      </c>
      <c r="AG36" s="114">
        <f>IF(AF36&lt;40,"F",IF(AF36&lt;50,2,IF(AF36&lt;60,3,IF(AF36&lt;70,3.5,IF(AF36&lt;80,4,5)))))</f>
        <v>5</v>
      </c>
      <c r="AH36" s="242"/>
      <c r="AI36" s="113">
        <v>19</v>
      </c>
      <c r="AJ36" s="113">
        <v>71</v>
      </c>
      <c r="AK36" s="113">
        <f>AI36+AJ36</f>
        <v>90</v>
      </c>
      <c r="AL36" s="114">
        <f>IF(AK36&lt;40,"F",IF(AK36&lt;50,2,IF(AK36&lt;60,3,IF(AK36&lt;70,3.5,IF(AK36&lt;80,4,5)))))</f>
        <v>5</v>
      </c>
      <c r="AM36" s="242"/>
      <c r="AN36" s="115"/>
      <c r="AO36" s="113">
        <v>42</v>
      </c>
      <c r="AP36" s="92">
        <f t="shared" si="13"/>
        <v>42</v>
      </c>
      <c r="AQ36" s="114">
        <f>IF(AP36&lt;20,"F",IF(AP36&lt;25,2,IF(AP36&lt;30,3,IF(AP36&lt;35,3.5,IF(AP36&lt;40,4,5)))))</f>
        <v>5</v>
      </c>
      <c r="AR36" s="242"/>
      <c r="AS36" s="113">
        <v>46</v>
      </c>
      <c r="AT36" s="101">
        <f t="shared" si="15"/>
        <v>5</v>
      </c>
      <c r="AU36" s="242"/>
      <c r="AV36" s="115">
        <f t="shared" si="16"/>
        <v>32</v>
      </c>
      <c r="AW36" s="116">
        <f>IF(AV36="F","F", IF(AV36&gt;=35,5,IF(AV36&lt;35,AV36/7)))</f>
        <v>4.5714285714285712</v>
      </c>
      <c r="AX36" s="117">
        <f t="shared" si="18"/>
        <v>608</v>
      </c>
      <c r="AY36" s="115"/>
      <c r="AZ36" s="115"/>
      <c r="BA36" s="73" t="str">
        <f t="shared" si="0"/>
        <v>BETTER</v>
      </c>
    </row>
    <row r="37" spans="1:53">
      <c r="A37" s="21">
        <v>30</v>
      </c>
      <c r="B37" s="41">
        <v>15</v>
      </c>
      <c r="C37" s="42" t="s">
        <v>154</v>
      </c>
      <c r="D37" s="42" t="s">
        <v>155</v>
      </c>
      <c r="E37" s="42" t="s">
        <v>156</v>
      </c>
      <c r="F37" s="99">
        <v>20</v>
      </c>
      <c r="G37" s="99">
        <v>65</v>
      </c>
      <c r="H37" s="99">
        <v>10</v>
      </c>
      <c r="I37" s="99">
        <v>29</v>
      </c>
      <c r="J37" s="102">
        <f t="shared" ref="J37:J67" si="36">F37+G37+H37+I37</f>
        <v>124</v>
      </c>
      <c r="K37" s="118">
        <f t="shared" ref="K37:K67" si="37">IF(J37&lt;60,"F",IF(J37&lt;75,2,IF(J37&lt;90,3,IF(J37&lt;105,3.5,IF(J37&lt;120,4,5)))))</f>
        <v>5</v>
      </c>
      <c r="L37" s="242"/>
      <c r="M37" s="102">
        <v>14</v>
      </c>
      <c r="N37" s="102">
        <v>41</v>
      </c>
      <c r="O37" s="102">
        <v>10</v>
      </c>
      <c r="P37" s="102">
        <v>34</v>
      </c>
      <c r="Q37" s="100">
        <f t="shared" si="21"/>
        <v>99</v>
      </c>
      <c r="R37" s="101">
        <f t="shared" si="22"/>
        <v>3.5</v>
      </c>
      <c r="S37" s="242"/>
      <c r="T37" s="102">
        <v>14</v>
      </c>
      <c r="U37" s="102">
        <v>51</v>
      </c>
      <c r="V37" s="100">
        <f t="shared" si="23"/>
        <v>65</v>
      </c>
      <c r="W37" s="101">
        <f t="shared" si="24"/>
        <v>3.5</v>
      </c>
      <c r="X37" s="242"/>
      <c r="Y37" s="102">
        <v>14</v>
      </c>
      <c r="Z37" s="102">
        <v>52</v>
      </c>
      <c r="AA37" s="102">
        <f t="shared" ref="AA37:AA67" si="38">Y37+Z37</f>
        <v>66</v>
      </c>
      <c r="AB37" s="118">
        <f t="shared" ref="AB37:AB67" si="39">IF(AA37&lt;40,"F",IF(AA37&lt;50,2,IF(AA37&lt;60,3,IF(AA37&lt;70,3.5,IF(AA37&lt;80,4,5)))))</f>
        <v>3.5</v>
      </c>
      <c r="AC37" s="242"/>
      <c r="AD37" s="102">
        <v>18</v>
      </c>
      <c r="AE37" s="102">
        <v>64</v>
      </c>
      <c r="AF37" s="102">
        <f t="shared" ref="AF37:AF67" si="40">AD37+AE37</f>
        <v>82</v>
      </c>
      <c r="AG37" s="118">
        <f t="shared" ref="AG37:AG67" si="41">IF(AF37&lt;40,"F",IF(AF37&lt;50,2,IF(AF37&lt;60,3,IF(AF37&lt;70,3.5,IF(AF37&lt;80,4,5)))))</f>
        <v>5</v>
      </c>
      <c r="AH37" s="242"/>
      <c r="AI37" s="102">
        <v>18</v>
      </c>
      <c r="AJ37" s="102">
        <v>70</v>
      </c>
      <c r="AK37" s="102">
        <f t="shared" ref="AK37:AK67" si="42">AI37+AJ37</f>
        <v>88</v>
      </c>
      <c r="AL37" s="118">
        <f t="shared" ref="AL37:AL67" si="43">IF(AK37&lt;40,"F",IF(AK37&lt;50,2,IF(AK37&lt;60,3,IF(AK37&lt;70,3.5,IF(AK37&lt;80,4,5)))))</f>
        <v>5</v>
      </c>
      <c r="AM37" s="242"/>
      <c r="AN37" s="99"/>
      <c r="AO37" s="102">
        <v>33</v>
      </c>
      <c r="AP37" s="92">
        <f t="shared" si="13"/>
        <v>33</v>
      </c>
      <c r="AQ37" s="118">
        <f t="shared" ref="AQ37:AQ67" si="44">IF(AP37&lt;20,"F",IF(AP37&lt;25,2,IF(AP37&lt;30,3,IF(AP37&lt;35,3.5,IF(AP37&lt;40,4,5)))))</f>
        <v>3.5</v>
      </c>
      <c r="AR37" s="242"/>
      <c r="AS37" s="102">
        <v>44</v>
      </c>
      <c r="AT37" s="101">
        <f t="shared" si="15"/>
        <v>5</v>
      </c>
      <c r="AU37" s="242"/>
      <c r="AV37" s="99">
        <f t="shared" si="16"/>
        <v>29</v>
      </c>
      <c r="AW37" s="119">
        <f t="shared" ref="AW37:AW67" si="45">IF(AV37="F","F", IF(AV37&gt;=35,5,IF(AV37&lt;35,AV37/7)))</f>
        <v>4.1428571428571432</v>
      </c>
      <c r="AX37" s="105">
        <f t="shared" si="18"/>
        <v>557</v>
      </c>
      <c r="AY37" s="99"/>
      <c r="AZ37" s="99"/>
      <c r="BA37" s="27" t="str">
        <f t="shared" si="0"/>
        <v>BETTER</v>
      </c>
    </row>
    <row r="38" spans="1:53">
      <c r="A38" s="21">
        <v>31</v>
      </c>
      <c r="B38" s="41">
        <v>17</v>
      </c>
      <c r="C38" s="42" t="s">
        <v>157</v>
      </c>
      <c r="D38" s="42" t="s">
        <v>158</v>
      </c>
      <c r="E38" s="42" t="s">
        <v>159</v>
      </c>
      <c r="F38" s="99">
        <v>18</v>
      </c>
      <c r="G38" s="99">
        <v>45</v>
      </c>
      <c r="H38" s="99">
        <v>10</v>
      </c>
      <c r="I38" s="99">
        <v>31</v>
      </c>
      <c r="J38" s="102">
        <f t="shared" si="36"/>
        <v>104</v>
      </c>
      <c r="K38" s="118">
        <f t="shared" si="37"/>
        <v>3.5</v>
      </c>
      <c r="L38" s="242"/>
      <c r="M38" s="102">
        <v>15</v>
      </c>
      <c r="N38" s="102">
        <v>53</v>
      </c>
      <c r="O38" s="102">
        <v>10</v>
      </c>
      <c r="P38" s="102">
        <v>31</v>
      </c>
      <c r="Q38" s="100">
        <f t="shared" si="21"/>
        <v>109</v>
      </c>
      <c r="R38" s="101">
        <f t="shared" si="22"/>
        <v>4</v>
      </c>
      <c r="S38" s="242"/>
      <c r="T38" s="102">
        <v>19</v>
      </c>
      <c r="U38" s="102">
        <v>58</v>
      </c>
      <c r="V38" s="100">
        <f t="shared" si="23"/>
        <v>77</v>
      </c>
      <c r="W38" s="101">
        <f t="shared" si="24"/>
        <v>4</v>
      </c>
      <c r="X38" s="242"/>
      <c r="Y38" s="102">
        <v>16</v>
      </c>
      <c r="Z38" s="102">
        <v>34</v>
      </c>
      <c r="AA38" s="102">
        <f t="shared" si="38"/>
        <v>50</v>
      </c>
      <c r="AB38" s="118">
        <f t="shared" si="39"/>
        <v>3</v>
      </c>
      <c r="AC38" s="242"/>
      <c r="AD38" s="102">
        <v>16</v>
      </c>
      <c r="AE38" s="102">
        <v>72</v>
      </c>
      <c r="AF38" s="102">
        <f t="shared" si="40"/>
        <v>88</v>
      </c>
      <c r="AG38" s="118">
        <f t="shared" si="41"/>
        <v>5</v>
      </c>
      <c r="AH38" s="242"/>
      <c r="AI38" s="102">
        <v>18</v>
      </c>
      <c r="AJ38" s="102">
        <v>38</v>
      </c>
      <c r="AK38" s="102">
        <f t="shared" si="42"/>
        <v>56</v>
      </c>
      <c r="AL38" s="118">
        <f t="shared" si="43"/>
        <v>3</v>
      </c>
      <c r="AM38" s="242"/>
      <c r="AN38" s="99"/>
      <c r="AO38" s="102">
        <v>25</v>
      </c>
      <c r="AP38" s="92">
        <f t="shared" si="13"/>
        <v>25</v>
      </c>
      <c r="AQ38" s="118">
        <f t="shared" si="44"/>
        <v>3</v>
      </c>
      <c r="AR38" s="242"/>
      <c r="AS38" s="102">
        <v>43</v>
      </c>
      <c r="AT38" s="101">
        <f t="shared" si="15"/>
        <v>5</v>
      </c>
      <c r="AU38" s="242"/>
      <c r="AV38" s="99">
        <f t="shared" si="16"/>
        <v>25.5</v>
      </c>
      <c r="AW38" s="119">
        <f t="shared" si="45"/>
        <v>3.6428571428571428</v>
      </c>
      <c r="AX38" s="105">
        <f t="shared" si="18"/>
        <v>509</v>
      </c>
      <c r="AY38" s="99"/>
      <c r="AZ38" s="99"/>
      <c r="BA38" s="27" t="str">
        <f t="shared" si="0"/>
        <v>GOOD</v>
      </c>
    </row>
    <row r="39" spans="1:53">
      <c r="A39" s="21">
        <v>32</v>
      </c>
      <c r="B39" s="41">
        <v>19</v>
      </c>
      <c r="C39" s="42" t="s">
        <v>160</v>
      </c>
      <c r="D39" s="42" t="s">
        <v>161</v>
      </c>
      <c r="E39" s="42" t="s">
        <v>162</v>
      </c>
      <c r="F39" s="99">
        <v>20</v>
      </c>
      <c r="G39" s="99">
        <v>61</v>
      </c>
      <c r="H39" s="99">
        <v>10</v>
      </c>
      <c r="I39" s="99">
        <v>24</v>
      </c>
      <c r="J39" s="102">
        <f t="shared" si="36"/>
        <v>115</v>
      </c>
      <c r="K39" s="118">
        <f t="shared" si="37"/>
        <v>4</v>
      </c>
      <c r="L39" s="242"/>
      <c r="M39" s="102">
        <v>14</v>
      </c>
      <c r="N39" s="102">
        <v>36</v>
      </c>
      <c r="O39" s="102">
        <v>10</v>
      </c>
      <c r="P39" s="102">
        <v>31</v>
      </c>
      <c r="Q39" s="102">
        <f t="shared" ref="Q39:Q67" si="46">M39+N39+O39+P39</f>
        <v>91</v>
      </c>
      <c r="R39" s="118">
        <f t="shared" ref="R39:R67" si="47">IF(Q39&lt;60,"F",IF(Q39&lt;75,2,IF(Q39&lt;90,3,IF(Q39&lt;105,3.5,IF(Q39&lt;120,4,5)))))</f>
        <v>3.5</v>
      </c>
      <c r="S39" s="242"/>
      <c r="T39" s="102">
        <v>11</v>
      </c>
      <c r="U39" s="102">
        <v>55</v>
      </c>
      <c r="V39" s="100">
        <f t="shared" si="23"/>
        <v>66</v>
      </c>
      <c r="W39" s="101">
        <f t="shared" si="24"/>
        <v>3.5</v>
      </c>
      <c r="X39" s="242"/>
      <c r="Y39" s="102">
        <v>18</v>
      </c>
      <c r="Z39" s="102">
        <v>25</v>
      </c>
      <c r="AA39" s="102">
        <f t="shared" si="38"/>
        <v>43</v>
      </c>
      <c r="AB39" s="118">
        <f t="shared" si="39"/>
        <v>2</v>
      </c>
      <c r="AC39" s="242"/>
      <c r="AD39" s="102">
        <v>16</v>
      </c>
      <c r="AE39" s="102">
        <v>0</v>
      </c>
      <c r="AF39" s="102">
        <f t="shared" si="40"/>
        <v>16</v>
      </c>
      <c r="AG39" s="118" t="str">
        <f t="shared" si="41"/>
        <v>F</v>
      </c>
      <c r="AH39" s="242"/>
      <c r="AI39" s="102">
        <v>17</v>
      </c>
      <c r="AJ39" s="102">
        <v>42</v>
      </c>
      <c r="AK39" s="102">
        <f t="shared" si="42"/>
        <v>59</v>
      </c>
      <c r="AL39" s="118">
        <f t="shared" si="43"/>
        <v>3</v>
      </c>
      <c r="AM39" s="242"/>
      <c r="AN39" s="99"/>
      <c r="AO39" s="102">
        <v>20</v>
      </c>
      <c r="AP39" s="92">
        <f t="shared" si="13"/>
        <v>20</v>
      </c>
      <c r="AQ39" s="118">
        <f t="shared" si="44"/>
        <v>2</v>
      </c>
      <c r="AR39" s="242"/>
      <c r="AS39" s="102">
        <v>39</v>
      </c>
      <c r="AT39" s="101">
        <f t="shared" si="15"/>
        <v>4</v>
      </c>
      <c r="AU39" s="242"/>
      <c r="AV39" s="99" t="str">
        <f t="shared" si="16"/>
        <v>F</v>
      </c>
      <c r="AW39" s="119" t="str">
        <f t="shared" si="45"/>
        <v>F</v>
      </c>
      <c r="AX39" s="105">
        <f t="shared" si="18"/>
        <v>410</v>
      </c>
      <c r="AY39" s="99"/>
      <c r="AZ39" s="99"/>
      <c r="BA39" s="27" t="str">
        <f t="shared" si="0"/>
        <v>NEED TO PROGRESS</v>
      </c>
    </row>
    <row r="40" spans="1:53">
      <c r="A40" s="21">
        <v>33</v>
      </c>
      <c r="B40" s="41">
        <v>21</v>
      </c>
      <c r="C40" s="42" t="s">
        <v>163</v>
      </c>
      <c r="D40" s="42" t="s">
        <v>164</v>
      </c>
      <c r="E40" s="42" t="s">
        <v>165</v>
      </c>
      <c r="F40" s="99">
        <v>20</v>
      </c>
      <c r="G40" s="99">
        <v>47</v>
      </c>
      <c r="H40" s="99">
        <v>10</v>
      </c>
      <c r="I40" s="99">
        <v>25</v>
      </c>
      <c r="J40" s="102">
        <f t="shared" si="36"/>
        <v>102</v>
      </c>
      <c r="K40" s="118">
        <f t="shared" si="37"/>
        <v>3.5</v>
      </c>
      <c r="L40" s="242"/>
      <c r="M40" s="102">
        <v>13</v>
      </c>
      <c r="N40" s="102">
        <v>32</v>
      </c>
      <c r="O40" s="102">
        <v>10</v>
      </c>
      <c r="P40" s="102">
        <v>33</v>
      </c>
      <c r="Q40" s="102">
        <f t="shared" si="46"/>
        <v>88</v>
      </c>
      <c r="R40" s="118">
        <f t="shared" si="47"/>
        <v>3</v>
      </c>
      <c r="S40" s="242"/>
      <c r="T40" s="102">
        <v>11</v>
      </c>
      <c r="U40" s="102">
        <v>55</v>
      </c>
      <c r="V40" s="100">
        <f t="shared" si="23"/>
        <v>66</v>
      </c>
      <c r="W40" s="101">
        <f t="shared" si="24"/>
        <v>3.5</v>
      </c>
      <c r="X40" s="242"/>
      <c r="Y40" s="102">
        <v>13</v>
      </c>
      <c r="Z40" s="102">
        <v>35</v>
      </c>
      <c r="AA40" s="102">
        <f t="shared" si="38"/>
        <v>48</v>
      </c>
      <c r="AB40" s="118">
        <f t="shared" si="39"/>
        <v>2</v>
      </c>
      <c r="AC40" s="242"/>
      <c r="AD40" s="102">
        <v>20</v>
      </c>
      <c r="AE40" s="102">
        <v>49</v>
      </c>
      <c r="AF40" s="102">
        <f t="shared" si="40"/>
        <v>69</v>
      </c>
      <c r="AG40" s="118">
        <f t="shared" si="41"/>
        <v>3.5</v>
      </c>
      <c r="AH40" s="242"/>
      <c r="AI40" s="102">
        <v>20</v>
      </c>
      <c r="AJ40" s="102">
        <v>54</v>
      </c>
      <c r="AK40" s="102">
        <f t="shared" si="42"/>
        <v>74</v>
      </c>
      <c r="AL40" s="118">
        <f t="shared" si="43"/>
        <v>4</v>
      </c>
      <c r="AM40" s="242"/>
      <c r="AN40" s="99"/>
      <c r="AO40" s="102">
        <v>34</v>
      </c>
      <c r="AP40" s="92">
        <f t="shared" si="13"/>
        <v>34</v>
      </c>
      <c r="AQ40" s="118">
        <f t="shared" si="44"/>
        <v>3.5</v>
      </c>
      <c r="AR40" s="242"/>
      <c r="AS40" s="102">
        <v>35</v>
      </c>
      <c r="AT40" s="101">
        <f t="shared" si="15"/>
        <v>4</v>
      </c>
      <c r="AU40" s="242"/>
      <c r="AV40" s="99">
        <f t="shared" si="16"/>
        <v>23</v>
      </c>
      <c r="AW40" s="119">
        <f t="shared" si="45"/>
        <v>3.2857142857142856</v>
      </c>
      <c r="AX40" s="105">
        <f t="shared" si="18"/>
        <v>481</v>
      </c>
      <c r="AY40" s="99"/>
      <c r="AZ40" s="99"/>
      <c r="BA40" s="27" t="str">
        <f t="shared" si="0"/>
        <v>GOOD</v>
      </c>
    </row>
    <row r="41" spans="1:53">
      <c r="A41" s="21">
        <v>34</v>
      </c>
      <c r="B41" s="41">
        <v>25</v>
      </c>
      <c r="C41" s="42" t="s">
        <v>166</v>
      </c>
      <c r="D41" s="42" t="s">
        <v>167</v>
      </c>
      <c r="E41" s="42" t="s">
        <v>168</v>
      </c>
      <c r="F41" s="99">
        <v>19</v>
      </c>
      <c r="G41" s="99">
        <v>35</v>
      </c>
      <c r="H41" s="99">
        <v>8</v>
      </c>
      <c r="I41" s="99">
        <v>27</v>
      </c>
      <c r="J41" s="102">
        <f t="shared" si="36"/>
        <v>89</v>
      </c>
      <c r="K41" s="118">
        <f t="shared" si="37"/>
        <v>3</v>
      </c>
      <c r="L41" s="242"/>
      <c r="M41" s="102">
        <v>12</v>
      </c>
      <c r="N41" s="102">
        <v>42</v>
      </c>
      <c r="O41" s="102">
        <v>10</v>
      </c>
      <c r="P41" s="102">
        <v>32</v>
      </c>
      <c r="Q41" s="102">
        <f t="shared" si="46"/>
        <v>96</v>
      </c>
      <c r="R41" s="118">
        <f t="shared" si="47"/>
        <v>3.5</v>
      </c>
      <c r="S41" s="242"/>
      <c r="T41" s="102">
        <v>18</v>
      </c>
      <c r="U41" s="102">
        <v>28</v>
      </c>
      <c r="V41" s="100">
        <f t="shared" si="23"/>
        <v>46</v>
      </c>
      <c r="W41" s="101">
        <f t="shared" si="24"/>
        <v>2</v>
      </c>
      <c r="X41" s="242"/>
      <c r="Y41" s="102">
        <v>17</v>
      </c>
      <c r="Z41" s="102">
        <v>27</v>
      </c>
      <c r="AA41" s="102">
        <f t="shared" si="38"/>
        <v>44</v>
      </c>
      <c r="AB41" s="118">
        <f t="shared" si="39"/>
        <v>2</v>
      </c>
      <c r="AC41" s="242"/>
      <c r="AD41" s="102">
        <v>16</v>
      </c>
      <c r="AE41" s="102">
        <v>33</v>
      </c>
      <c r="AF41" s="102">
        <f t="shared" si="40"/>
        <v>49</v>
      </c>
      <c r="AG41" s="118">
        <f t="shared" si="41"/>
        <v>2</v>
      </c>
      <c r="AH41" s="242"/>
      <c r="AI41" s="102">
        <v>15</v>
      </c>
      <c r="AJ41" s="102">
        <v>40</v>
      </c>
      <c r="AK41" s="102">
        <f t="shared" si="42"/>
        <v>55</v>
      </c>
      <c r="AL41" s="118">
        <f t="shared" si="43"/>
        <v>3</v>
      </c>
      <c r="AM41" s="242"/>
      <c r="AN41" s="99"/>
      <c r="AO41" s="102">
        <v>26</v>
      </c>
      <c r="AP41" s="92">
        <f t="shared" si="13"/>
        <v>26</v>
      </c>
      <c r="AQ41" s="118">
        <f t="shared" si="44"/>
        <v>3</v>
      </c>
      <c r="AR41" s="242"/>
      <c r="AS41" s="102">
        <v>45</v>
      </c>
      <c r="AT41" s="101">
        <f t="shared" si="15"/>
        <v>5</v>
      </c>
      <c r="AU41" s="242"/>
      <c r="AV41" s="99">
        <f t="shared" si="16"/>
        <v>18.5</v>
      </c>
      <c r="AW41" s="119">
        <f t="shared" si="45"/>
        <v>2.6428571428571428</v>
      </c>
      <c r="AX41" s="105">
        <f t="shared" si="18"/>
        <v>405</v>
      </c>
      <c r="AY41" s="99"/>
      <c r="AZ41" s="99"/>
      <c r="BA41" s="27" t="str">
        <f t="shared" si="0"/>
        <v>GOOD</v>
      </c>
    </row>
    <row r="42" spans="1:53">
      <c r="A42" s="21">
        <v>35</v>
      </c>
      <c r="B42" s="41">
        <v>26</v>
      </c>
      <c r="C42" s="42" t="s">
        <v>169</v>
      </c>
      <c r="D42" s="42" t="s">
        <v>170</v>
      </c>
      <c r="E42" s="42" t="s">
        <v>171</v>
      </c>
      <c r="F42" s="99">
        <v>20</v>
      </c>
      <c r="G42" s="99">
        <v>61</v>
      </c>
      <c r="H42" s="99">
        <v>10</v>
      </c>
      <c r="I42" s="99">
        <v>25</v>
      </c>
      <c r="J42" s="102">
        <f t="shared" si="36"/>
        <v>116</v>
      </c>
      <c r="K42" s="118">
        <f t="shared" si="37"/>
        <v>4</v>
      </c>
      <c r="L42" s="242"/>
      <c r="M42" s="102">
        <v>15</v>
      </c>
      <c r="N42" s="102">
        <v>20</v>
      </c>
      <c r="O42" s="102">
        <v>10</v>
      </c>
      <c r="P42" s="102">
        <v>35</v>
      </c>
      <c r="Q42" s="102">
        <f t="shared" si="46"/>
        <v>80</v>
      </c>
      <c r="R42" s="118">
        <f t="shared" si="47"/>
        <v>3</v>
      </c>
      <c r="S42" s="242"/>
      <c r="T42" s="102">
        <v>8</v>
      </c>
      <c r="U42" s="102">
        <v>40</v>
      </c>
      <c r="V42" s="100">
        <f t="shared" si="23"/>
        <v>48</v>
      </c>
      <c r="W42" s="101">
        <f t="shared" si="24"/>
        <v>2</v>
      </c>
      <c r="X42" s="242"/>
      <c r="Y42" s="102">
        <v>14</v>
      </c>
      <c r="Z42" s="102">
        <v>30</v>
      </c>
      <c r="AA42" s="102">
        <f t="shared" si="38"/>
        <v>44</v>
      </c>
      <c r="AB42" s="118">
        <f t="shared" si="39"/>
        <v>2</v>
      </c>
      <c r="AC42" s="242"/>
      <c r="AD42" s="102">
        <v>13</v>
      </c>
      <c r="AE42" s="102">
        <v>49</v>
      </c>
      <c r="AF42" s="102">
        <f t="shared" si="40"/>
        <v>62</v>
      </c>
      <c r="AG42" s="118">
        <f t="shared" si="41"/>
        <v>3.5</v>
      </c>
      <c r="AH42" s="242"/>
      <c r="AI42" s="102">
        <v>12</v>
      </c>
      <c r="AJ42" s="102">
        <v>44</v>
      </c>
      <c r="AK42" s="102">
        <f t="shared" si="42"/>
        <v>56</v>
      </c>
      <c r="AL42" s="118">
        <f t="shared" si="43"/>
        <v>3</v>
      </c>
      <c r="AM42" s="242"/>
      <c r="AN42" s="99"/>
      <c r="AO42" s="102">
        <v>42</v>
      </c>
      <c r="AP42" s="92">
        <f t="shared" si="13"/>
        <v>42</v>
      </c>
      <c r="AQ42" s="118">
        <f t="shared" si="44"/>
        <v>5</v>
      </c>
      <c r="AR42" s="242"/>
      <c r="AS42" s="102">
        <v>48</v>
      </c>
      <c r="AT42" s="101">
        <f t="shared" si="15"/>
        <v>5</v>
      </c>
      <c r="AU42" s="242"/>
      <c r="AV42" s="99">
        <f t="shared" si="16"/>
        <v>22.5</v>
      </c>
      <c r="AW42" s="119">
        <f t="shared" si="45"/>
        <v>3.2142857142857144</v>
      </c>
      <c r="AX42" s="105">
        <f t="shared" si="18"/>
        <v>448</v>
      </c>
      <c r="AY42" s="99"/>
      <c r="AZ42" s="99"/>
      <c r="BA42" s="27" t="str">
        <f t="shared" si="0"/>
        <v>GOOD</v>
      </c>
    </row>
    <row r="43" spans="1:53">
      <c r="A43" s="21">
        <v>36</v>
      </c>
      <c r="B43" s="43">
        <v>31</v>
      </c>
      <c r="C43" s="44" t="s">
        <v>172</v>
      </c>
      <c r="D43" s="44" t="s">
        <v>173</v>
      </c>
      <c r="E43" s="44" t="s">
        <v>174</v>
      </c>
      <c r="F43" s="99">
        <v>20</v>
      </c>
      <c r="G43" s="99">
        <v>37</v>
      </c>
      <c r="H43" s="99">
        <v>10</v>
      </c>
      <c r="I43" s="99">
        <v>18</v>
      </c>
      <c r="J43" s="102">
        <f t="shared" si="36"/>
        <v>85</v>
      </c>
      <c r="K43" s="118">
        <f t="shared" si="37"/>
        <v>3</v>
      </c>
      <c r="L43" s="242"/>
      <c r="M43" s="102">
        <v>14</v>
      </c>
      <c r="N43" s="102">
        <v>40</v>
      </c>
      <c r="O43" s="102">
        <v>10</v>
      </c>
      <c r="P43" s="102">
        <v>30</v>
      </c>
      <c r="Q43" s="102">
        <f t="shared" si="46"/>
        <v>94</v>
      </c>
      <c r="R43" s="118">
        <f t="shared" si="47"/>
        <v>3.5</v>
      </c>
      <c r="S43" s="242"/>
      <c r="T43" s="102">
        <v>11</v>
      </c>
      <c r="U43" s="102">
        <v>32</v>
      </c>
      <c r="V43" s="100">
        <f t="shared" si="23"/>
        <v>43</v>
      </c>
      <c r="W43" s="101">
        <f t="shared" si="24"/>
        <v>2</v>
      </c>
      <c r="X43" s="242"/>
      <c r="Y43" s="102">
        <v>15</v>
      </c>
      <c r="Z43" s="102">
        <v>25</v>
      </c>
      <c r="AA43" s="102">
        <f t="shared" si="38"/>
        <v>40</v>
      </c>
      <c r="AB43" s="118">
        <f t="shared" si="39"/>
        <v>2</v>
      </c>
      <c r="AC43" s="242"/>
      <c r="AD43" s="102">
        <v>16</v>
      </c>
      <c r="AE43" s="102">
        <v>37</v>
      </c>
      <c r="AF43" s="102">
        <f t="shared" si="40"/>
        <v>53</v>
      </c>
      <c r="AG43" s="118">
        <f t="shared" si="41"/>
        <v>3</v>
      </c>
      <c r="AH43" s="242"/>
      <c r="AI43" s="102">
        <v>15</v>
      </c>
      <c r="AJ43" s="102">
        <v>32</v>
      </c>
      <c r="AK43" s="102">
        <f t="shared" si="42"/>
        <v>47</v>
      </c>
      <c r="AL43" s="118">
        <f t="shared" si="43"/>
        <v>2</v>
      </c>
      <c r="AM43" s="242"/>
      <c r="AN43" s="99"/>
      <c r="AO43" s="102">
        <v>25</v>
      </c>
      <c r="AP43" s="92">
        <f t="shared" si="13"/>
        <v>25</v>
      </c>
      <c r="AQ43" s="118">
        <f t="shared" si="44"/>
        <v>3</v>
      </c>
      <c r="AR43" s="242"/>
      <c r="AS43" s="102">
        <v>38</v>
      </c>
      <c r="AT43" s="101">
        <f t="shared" si="15"/>
        <v>4</v>
      </c>
      <c r="AU43" s="242"/>
      <c r="AV43" s="99">
        <f t="shared" si="16"/>
        <v>18.5</v>
      </c>
      <c r="AW43" s="119">
        <f t="shared" si="45"/>
        <v>2.6428571428571428</v>
      </c>
      <c r="AX43" s="105">
        <f t="shared" si="18"/>
        <v>387</v>
      </c>
      <c r="AY43" s="99"/>
      <c r="AZ43" s="99"/>
      <c r="BA43" s="27" t="str">
        <f t="shared" si="0"/>
        <v>GOOD</v>
      </c>
    </row>
    <row r="44" spans="1:53">
      <c r="A44" s="21">
        <v>37</v>
      </c>
      <c r="B44" s="43">
        <v>34</v>
      </c>
      <c r="C44" s="44" t="s">
        <v>175</v>
      </c>
      <c r="D44" s="44" t="s">
        <v>176</v>
      </c>
      <c r="E44" s="44" t="s">
        <v>177</v>
      </c>
      <c r="F44" s="99">
        <v>20</v>
      </c>
      <c r="G44" s="99">
        <v>65</v>
      </c>
      <c r="H44" s="99">
        <v>10</v>
      </c>
      <c r="I44" s="99">
        <v>26</v>
      </c>
      <c r="J44" s="102">
        <f t="shared" si="36"/>
        <v>121</v>
      </c>
      <c r="K44" s="118">
        <f t="shared" si="37"/>
        <v>5</v>
      </c>
      <c r="L44" s="242"/>
      <c r="M44" s="102">
        <v>13</v>
      </c>
      <c r="N44" s="102">
        <v>35</v>
      </c>
      <c r="O44" s="102">
        <v>10</v>
      </c>
      <c r="P44" s="102">
        <v>30</v>
      </c>
      <c r="Q44" s="102">
        <f t="shared" si="46"/>
        <v>88</v>
      </c>
      <c r="R44" s="118">
        <f t="shared" si="47"/>
        <v>3</v>
      </c>
      <c r="S44" s="242"/>
      <c r="T44" s="102">
        <v>14</v>
      </c>
      <c r="U44" s="102">
        <v>30</v>
      </c>
      <c r="V44" s="100">
        <f t="shared" si="23"/>
        <v>44</v>
      </c>
      <c r="W44" s="101">
        <f t="shared" si="24"/>
        <v>2</v>
      </c>
      <c r="X44" s="242"/>
      <c r="Y44" s="102">
        <v>14</v>
      </c>
      <c r="Z44" s="102">
        <v>48</v>
      </c>
      <c r="AA44" s="102">
        <f t="shared" si="38"/>
        <v>62</v>
      </c>
      <c r="AB44" s="118">
        <f t="shared" si="39"/>
        <v>3.5</v>
      </c>
      <c r="AC44" s="242"/>
      <c r="AD44" s="102">
        <v>19</v>
      </c>
      <c r="AE44" s="102">
        <v>59</v>
      </c>
      <c r="AF44" s="102">
        <f t="shared" si="40"/>
        <v>78</v>
      </c>
      <c r="AG44" s="118">
        <f t="shared" si="41"/>
        <v>4</v>
      </c>
      <c r="AH44" s="242"/>
      <c r="AI44" s="102">
        <v>19</v>
      </c>
      <c r="AJ44" s="102">
        <v>56</v>
      </c>
      <c r="AK44" s="102">
        <f t="shared" si="42"/>
        <v>75</v>
      </c>
      <c r="AL44" s="118">
        <f t="shared" si="43"/>
        <v>4</v>
      </c>
      <c r="AM44" s="242"/>
      <c r="AN44" s="99"/>
      <c r="AO44" s="102">
        <v>42</v>
      </c>
      <c r="AP44" s="92">
        <f t="shared" si="13"/>
        <v>42</v>
      </c>
      <c r="AQ44" s="118">
        <f t="shared" si="44"/>
        <v>5</v>
      </c>
      <c r="AR44" s="242"/>
      <c r="AS44" s="102">
        <v>48</v>
      </c>
      <c r="AT44" s="101">
        <f t="shared" si="15"/>
        <v>5</v>
      </c>
      <c r="AU44" s="242"/>
      <c r="AV44" s="99">
        <f t="shared" si="16"/>
        <v>26.5</v>
      </c>
      <c r="AW44" s="119">
        <f t="shared" si="45"/>
        <v>3.7857142857142856</v>
      </c>
      <c r="AX44" s="105">
        <f t="shared" si="18"/>
        <v>510</v>
      </c>
      <c r="AY44" s="99"/>
      <c r="AZ44" s="99"/>
      <c r="BA44" s="27" t="str">
        <f t="shared" si="0"/>
        <v>GOOD</v>
      </c>
    </row>
    <row r="45" spans="1:53">
      <c r="A45" s="21">
        <v>38</v>
      </c>
      <c r="B45" s="43">
        <v>36</v>
      </c>
      <c r="C45" s="44" t="s">
        <v>178</v>
      </c>
      <c r="D45" s="44" t="s">
        <v>179</v>
      </c>
      <c r="E45" s="44" t="s">
        <v>180</v>
      </c>
      <c r="F45" s="99">
        <v>19</v>
      </c>
      <c r="G45" s="99">
        <v>66</v>
      </c>
      <c r="H45" s="99">
        <v>10</v>
      </c>
      <c r="I45" s="99">
        <v>26</v>
      </c>
      <c r="J45" s="102">
        <f t="shared" si="36"/>
        <v>121</v>
      </c>
      <c r="K45" s="118">
        <f t="shared" si="37"/>
        <v>5</v>
      </c>
      <c r="L45" s="242"/>
      <c r="M45" s="102">
        <v>14</v>
      </c>
      <c r="N45" s="102">
        <v>30</v>
      </c>
      <c r="O45" s="102">
        <v>10</v>
      </c>
      <c r="P45" s="102">
        <v>31</v>
      </c>
      <c r="Q45" s="102">
        <f t="shared" si="46"/>
        <v>85</v>
      </c>
      <c r="R45" s="118">
        <f t="shared" si="47"/>
        <v>3</v>
      </c>
      <c r="S45" s="242"/>
      <c r="T45" s="102">
        <v>12</v>
      </c>
      <c r="U45" s="102">
        <v>30</v>
      </c>
      <c r="V45" s="100">
        <f t="shared" si="23"/>
        <v>42</v>
      </c>
      <c r="W45" s="101">
        <f t="shared" si="24"/>
        <v>2</v>
      </c>
      <c r="X45" s="242"/>
      <c r="Y45" s="102">
        <v>11</v>
      </c>
      <c r="Z45" s="102">
        <v>42</v>
      </c>
      <c r="AA45" s="102">
        <f t="shared" si="38"/>
        <v>53</v>
      </c>
      <c r="AB45" s="118">
        <f t="shared" si="39"/>
        <v>3</v>
      </c>
      <c r="AC45" s="242"/>
      <c r="AD45" s="102">
        <v>16</v>
      </c>
      <c r="AE45" s="102">
        <v>50</v>
      </c>
      <c r="AF45" s="102">
        <f t="shared" si="40"/>
        <v>66</v>
      </c>
      <c r="AG45" s="118">
        <f t="shared" si="41"/>
        <v>3.5</v>
      </c>
      <c r="AH45" s="242"/>
      <c r="AI45" s="102">
        <v>17</v>
      </c>
      <c r="AJ45" s="102">
        <v>49</v>
      </c>
      <c r="AK45" s="102">
        <f t="shared" si="42"/>
        <v>66</v>
      </c>
      <c r="AL45" s="118">
        <f t="shared" si="43"/>
        <v>3.5</v>
      </c>
      <c r="AM45" s="242"/>
      <c r="AN45" s="99"/>
      <c r="AO45" s="102">
        <v>38</v>
      </c>
      <c r="AP45" s="92">
        <f t="shared" si="13"/>
        <v>38</v>
      </c>
      <c r="AQ45" s="118">
        <f t="shared" si="44"/>
        <v>4</v>
      </c>
      <c r="AR45" s="242"/>
      <c r="AS45" s="102">
        <v>47</v>
      </c>
      <c r="AT45" s="101">
        <f t="shared" si="15"/>
        <v>5</v>
      </c>
      <c r="AU45" s="242"/>
      <c r="AV45" s="99">
        <f t="shared" si="16"/>
        <v>24</v>
      </c>
      <c r="AW45" s="119">
        <f t="shared" si="45"/>
        <v>3.4285714285714284</v>
      </c>
      <c r="AX45" s="105">
        <f t="shared" si="18"/>
        <v>471</v>
      </c>
      <c r="AY45" s="99"/>
      <c r="AZ45" s="99"/>
      <c r="BA45" s="27" t="str">
        <f t="shared" si="0"/>
        <v>GOOD</v>
      </c>
    </row>
    <row r="46" spans="1:53">
      <c r="A46" s="21">
        <v>39</v>
      </c>
      <c r="B46" s="45">
        <v>38</v>
      </c>
      <c r="C46" s="46" t="s">
        <v>181</v>
      </c>
      <c r="D46" s="46" t="s">
        <v>182</v>
      </c>
      <c r="E46" s="46" t="s">
        <v>183</v>
      </c>
      <c r="F46" s="99">
        <v>4</v>
      </c>
      <c r="G46" s="99">
        <v>0</v>
      </c>
      <c r="H46" s="99">
        <v>5</v>
      </c>
      <c r="I46" s="99">
        <v>0</v>
      </c>
      <c r="J46" s="94">
        <f t="shared" si="36"/>
        <v>9</v>
      </c>
      <c r="K46" s="120" t="str">
        <f t="shared" si="37"/>
        <v>F</v>
      </c>
      <c r="L46" s="242"/>
      <c r="M46" s="94">
        <v>5</v>
      </c>
      <c r="N46" s="94">
        <v>0</v>
      </c>
      <c r="O46" s="94">
        <v>5</v>
      </c>
      <c r="P46" s="94">
        <v>0</v>
      </c>
      <c r="Q46" s="94">
        <f t="shared" si="46"/>
        <v>10</v>
      </c>
      <c r="R46" s="120" t="str">
        <f t="shared" si="47"/>
        <v>F</v>
      </c>
      <c r="S46" s="242"/>
      <c r="T46" s="94">
        <v>2</v>
      </c>
      <c r="U46" s="94">
        <v>0</v>
      </c>
      <c r="V46" s="100">
        <f t="shared" si="23"/>
        <v>2</v>
      </c>
      <c r="W46" s="101" t="str">
        <f t="shared" si="24"/>
        <v>F</v>
      </c>
      <c r="X46" s="242"/>
      <c r="Y46" s="94">
        <v>4</v>
      </c>
      <c r="Z46" s="94">
        <v>0</v>
      </c>
      <c r="AA46" s="94">
        <f t="shared" si="38"/>
        <v>4</v>
      </c>
      <c r="AB46" s="120" t="str">
        <f t="shared" si="39"/>
        <v>F</v>
      </c>
      <c r="AC46" s="242"/>
      <c r="AD46" s="94">
        <v>0</v>
      </c>
      <c r="AE46" s="94">
        <v>0</v>
      </c>
      <c r="AF46" s="102">
        <f t="shared" si="40"/>
        <v>0</v>
      </c>
      <c r="AG46" s="120" t="str">
        <f t="shared" si="41"/>
        <v>F</v>
      </c>
      <c r="AH46" s="242"/>
      <c r="AI46" s="94">
        <v>3</v>
      </c>
      <c r="AJ46" s="94">
        <v>0</v>
      </c>
      <c r="AK46" s="94">
        <f t="shared" si="42"/>
        <v>3</v>
      </c>
      <c r="AL46" s="120" t="str">
        <f t="shared" si="43"/>
        <v>F</v>
      </c>
      <c r="AM46" s="242"/>
      <c r="AN46" s="98"/>
      <c r="AO46" s="94">
        <v>0</v>
      </c>
      <c r="AP46" s="92">
        <f t="shared" si="13"/>
        <v>0</v>
      </c>
      <c r="AQ46" s="120" t="str">
        <f t="shared" si="44"/>
        <v>F</v>
      </c>
      <c r="AR46" s="242"/>
      <c r="AS46" s="94">
        <v>0</v>
      </c>
      <c r="AT46" s="101" t="str">
        <f t="shared" si="15"/>
        <v>F</v>
      </c>
      <c r="AU46" s="242"/>
      <c r="AV46" s="98" t="str">
        <f t="shared" si="16"/>
        <v>F</v>
      </c>
      <c r="AW46" s="121" t="str">
        <f t="shared" si="45"/>
        <v>F</v>
      </c>
      <c r="AX46" s="97">
        <f t="shared" si="18"/>
        <v>28</v>
      </c>
      <c r="AY46" s="99"/>
      <c r="AZ46" s="99"/>
      <c r="BA46" s="27" t="str">
        <f t="shared" si="0"/>
        <v>NEED TO PROGRESS</v>
      </c>
    </row>
    <row r="47" spans="1:53">
      <c r="A47" s="21">
        <v>40</v>
      </c>
      <c r="B47" s="43">
        <v>41</v>
      </c>
      <c r="C47" s="44" t="s">
        <v>184</v>
      </c>
      <c r="D47" s="44" t="s">
        <v>185</v>
      </c>
      <c r="E47" s="44" t="s">
        <v>186</v>
      </c>
      <c r="F47" s="99">
        <v>17</v>
      </c>
      <c r="G47" s="99">
        <v>60</v>
      </c>
      <c r="H47" s="99">
        <v>10</v>
      </c>
      <c r="I47" s="99">
        <v>30</v>
      </c>
      <c r="J47" s="102">
        <f t="shared" si="36"/>
        <v>117</v>
      </c>
      <c r="K47" s="118">
        <f t="shared" si="37"/>
        <v>4</v>
      </c>
      <c r="L47" s="242"/>
      <c r="M47" s="102">
        <v>16</v>
      </c>
      <c r="N47" s="102">
        <v>50</v>
      </c>
      <c r="O47" s="102">
        <v>10</v>
      </c>
      <c r="P47" s="102">
        <v>30</v>
      </c>
      <c r="Q47" s="102">
        <f t="shared" si="46"/>
        <v>106</v>
      </c>
      <c r="R47" s="118">
        <f t="shared" si="47"/>
        <v>4</v>
      </c>
      <c r="S47" s="242"/>
      <c r="T47" s="102">
        <v>10</v>
      </c>
      <c r="U47" s="102">
        <v>31</v>
      </c>
      <c r="V47" s="100">
        <f t="shared" si="23"/>
        <v>41</v>
      </c>
      <c r="W47" s="101">
        <f t="shared" si="24"/>
        <v>2</v>
      </c>
      <c r="X47" s="242"/>
      <c r="Y47" s="102">
        <v>9</v>
      </c>
      <c r="Z47" s="102">
        <v>51</v>
      </c>
      <c r="AA47" s="102">
        <f t="shared" si="38"/>
        <v>60</v>
      </c>
      <c r="AB47" s="118">
        <f t="shared" si="39"/>
        <v>3.5</v>
      </c>
      <c r="AC47" s="242"/>
      <c r="AD47" s="102">
        <v>11</v>
      </c>
      <c r="AE47" s="102">
        <v>70</v>
      </c>
      <c r="AF47" s="102">
        <f t="shared" si="40"/>
        <v>81</v>
      </c>
      <c r="AG47" s="118">
        <f t="shared" si="41"/>
        <v>5</v>
      </c>
      <c r="AH47" s="242"/>
      <c r="AI47" s="102">
        <v>15</v>
      </c>
      <c r="AJ47" s="102">
        <v>46</v>
      </c>
      <c r="AK47" s="102">
        <f t="shared" si="42"/>
        <v>61</v>
      </c>
      <c r="AL47" s="118">
        <f t="shared" si="43"/>
        <v>3.5</v>
      </c>
      <c r="AM47" s="242"/>
      <c r="AN47" s="99"/>
      <c r="AO47" s="102">
        <v>22</v>
      </c>
      <c r="AP47" s="92">
        <f t="shared" si="13"/>
        <v>22</v>
      </c>
      <c r="AQ47" s="118">
        <f t="shared" si="44"/>
        <v>2</v>
      </c>
      <c r="AR47" s="242"/>
      <c r="AS47" s="102">
        <v>26</v>
      </c>
      <c r="AT47" s="101">
        <f t="shared" si="15"/>
        <v>3</v>
      </c>
      <c r="AU47" s="242"/>
      <c r="AV47" s="99">
        <f t="shared" si="16"/>
        <v>24</v>
      </c>
      <c r="AW47" s="119">
        <f t="shared" si="45"/>
        <v>3.4285714285714284</v>
      </c>
      <c r="AX47" s="105">
        <f t="shared" si="18"/>
        <v>488</v>
      </c>
      <c r="AY47" s="99"/>
      <c r="AZ47" s="99"/>
      <c r="BA47" s="27" t="str">
        <f t="shared" si="0"/>
        <v>GOOD</v>
      </c>
    </row>
    <row r="48" spans="1:53">
      <c r="A48" s="21">
        <v>41</v>
      </c>
      <c r="B48" s="45">
        <v>45</v>
      </c>
      <c r="C48" s="46" t="s">
        <v>187</v>
      </c>
      <c r="D48" s="46" t="s">
        <v>188</v>
      </c>
      <c r="E48" s="46" t="s">
        <v>189</v>
      </c>
      <c r="F48" s="99">
        <v>20</v>
      </c>
      <c r="G48" s="99">
        <v>0</v>
      </c>
      <c r="H48" s="99">
        <v>10</v>
      </c>
      <c r="I48" s="99">
        <v>0</v>
      </c>
      <c r="J48" s="94">
        <f t="shared" si="36"/>
        <v>30</v>
      </c>
      <c r="K48" s="120" t="str">
        <f t="shared" si="37"/>
        <v>F</v>
      </c>
      <c r="L48" s="242"/>
      <c r="M48" s="94">
        <v>18</v>
      </c>
      <c r="N48" s="94">
        <v>0</v>
      </c>
      <c r="O48" s="94">
        <v>8</v>
      </c>
      <c r="P48" s="94">
        <v>0</v>
      </c>
      <c r="Q48" s="94">
        <f t="shared" si="46"/>
        <v>26</v>
      </c>
      <c r="R48" s="120" t="str">
        <f t="shared" si="47"/>
        <v>F</v>
      </c>
      <c r="S48" s="242"/>
      <c r="T48" s="94">
        <v>5</v>
      </c>
      <c r="U48" s="94">
        <v>0</v>
      </c>
      <c r="V48" s="100">
        <f t="shared" si="23"/>
        <v>5</v>
      </c>
      <c r="W48" s="101" t="str">
        <f t="shared" si="24"/>
        <v>F</v>
      </c>
      <c r="X48" s="242"/>
      <c r="Y48" s="94">
        <v>3</v>
      </c>
      <c r="Z48" s="94">
        <v>0</v>
      </c>
      <c r="AA48" s="94">
        <f t="shared" si="38"/>
        <v>3</v>
      </c>
      <c r="AB48" s="120" t="str">
        <f t="shared" si="39"/>
        <v>F</v>
      </c>
      <c r="AC48" s="242"/>
      <c r="AD48" s="94">
        <v>11</v>
      </c>
      <c r="AE48" s="94">
        <v>70</v>
      </c>
      <c r="AF48" s="102">
        <f t="shared" si="40"/>
        <v>81</v>
      </c>
      <c r="AG48" s="120">
        <f t="shared" si="41"/>
        <v>5</v>
      </c>
      <c r="AH48" s="242"/>
      <c r="AI48" s="94">
        <v>5</v>
      </c>
      <c r="AJ48" s="94">
        <v>0</v>
      </c>
      <c r="AK48" s="94">
        <f t="shared" si="42"/>
        <v>5</v>
      </c>
      <c r="AL48" s="120" t="str">
        <f t="shared" si="43"/>
        <v>F</v>
      </c>
      <c r="AM48" s="242"/>
      <c r="AN48" s="98"/>
      <c r="AO48" s="94">
        <v>0</v>
      </c>
      <c r="AP48" s="92">
        <f t="shared" si="13"/>
        <v>0</v>
      </c>
      <c r="AQ48" s="120" t="str">
        <f t="shared" si="44"/>
        <v>F</v>
      </c>
      <c r="AR48" s="242"/>
      <c r="AS48" s="94">
        <v>0</v>
      </c>
      <c r="AT48" s="101" t="str">
        <f t="shared" si="15"/>
        <v>F</v>
      </c>
      <c r="AU48" s="242"/>
      <c r="AV48" s="98" t="str">
        <f t="shared" si="16"/>
        <v>F</v>
      </c>
      <c r="AW48" s="121" t="str">
        <f t="shared" si="45"/>
        <v>F</v>
      </c>
      <c r="AX48" s="97">
        <f t="shared" si="18"/>
        <v>150</v>
      </c>
      <c r="AY48" s="99"/>
      <c r="AZ48" s="99"/>
      <c r="BA48" s="27" t="str">
        <f t="shared" si="0"/>
        <v>NEED TO PROGRESS</v>
      </c>
    </row>
    <row r="49" spans="1:53">
      <c r="A49" s="21">
        <v>42</v>
      </c>
      <c r="B49" s="43">
        <v>47</v>
      </c>
      <c r="C49" s="44" t="s">
        <v>190</v>
      </c>
      <c r="D49" s="44" t="s">
        <v>191</v>
      </c>
      <c r="E49" s="44" t="s">
        <v>192</v>
      </c>
      <c r="F49" s="99">
        <v>20</v>
      </c>
      <c r="G49" s="99">
        <v>66</v>
      </c>
      <c r="H49" s="99">
        <v>10</v>
      </c>
      <c r="I49" s="99">
        <v>21</v>
      </c>
      <c r="J49" s="102">
        <f t="shared" si="36"/>
        <v>117</v>
      </c>
      <c r="K49" s="118">
        <f t="shared" si="37"/>
        <v>4</v>
      </c>
      <c r="L49" s="242"/>
      <c r="M49" s="102">
        <v>20</v>
      </c>
      <c r="N49" s="102">
        <v>55</v>
      </c>
      <c r="O49" s="102">
        <v>10</v>
      </c>
      <c r="P49" s="102">
        <v>30</v>
      </c>
      <c r="Q49" s="102">
        <f t="shared" si="46"/>
        <v>115</v>
      </c>
      <c r="R49" s="118">
        <f t="shared" si="47"/>
        <v>4</v>
      </c>
      <c r="S49" s="242"/>
      <c r="T49" s="102">
        <v>10</v>
      </c>
      <c r="U49" s="102">
        <v>60</v>
      </c>
      <c r="V49" s="100">
        <f t="shared" si="23"/>
        <v>70</v>
      </c>
      <c r="W49" s="101">
        <f t="shared" si="24"/>
        <v>4</v>
      </c>
      <c r="X49" s="242"/>
      <c r="Y49" s="102">
        <v>15</v>
      </c>
      <c r="Z49" s="102">
        <v>38</v>
      </c>
      <c r="AA49" s="102">
        <f t="shared" si="38"/>
        <v>53</v>
      </c>
      <c r="AB49" s="118">
        <f t="shared" si="39"/>
        <v>3</v>
      </c>
      <c r="AC49" s="242"/>
      <c r="AD49" s="102">
        <v>4</v>
      </c>
      <c r="AE49" s="102">
        <v>0</v>
      </c>
      <c r="AF49" s="102">
        <f t="shared" si="40"/>
        <v>4</v>
      </c>
      <c r="AG49" s="118" t="str">
        <f t="shared" si="41"/>
        <v>F</v>
      </c>
      <c r="AH49" s="242"/>
      <c r="AI49" s="102">
        <v>19</v>
      </c>
      <c r="AJ49" s="102">
        <v>59</v>
      </c>
      <c r="AK49" s="102">
        <f t="shared" si="42"/>
        <v>78</v>
      </c>
      <c r="AL49" s="118">
        <f t="shared" si="43"/>
        <v>4</v>
      </c>
      <c r="AM49" s="242"/>
      <c r="AN49" s="99"/>
      <c r="AO49" s="102">
        <v>25</v>
      </c>
      <c r="AP49" s="92">
        <f t="shared" si="13"/>
        <v>25</v>
      </c>
      <c r="AQ49" s="118">
        <f t="shared" si="44"/>
        <v>3</v>
      </c>
      <c r="AR49" s="242"/>
      <c r="AS49" s="102">
        <v>30</v>
      </c>
      <c r="AT49" s="101">
        <f t="shared" si="15"/>
        <v>3.5</v>
      </c>
      <c r="AU49" s="242"/>
      <c r="AV49" s="99" t="str">
        <f t="shared" si="16"/>
        <v>F</v>
      </c>
      <c r="AW49" s="119" t="str">
        <f t="shared" si="45"/>
        <v>F</v>
      </c>
      <c r="AX49" s="105">
        <f t="shared" si="18"/>
        <v>462</v>
      </c>
      <c r="AY49" s="99"/>
      <c r="AZ49" s="99"/>
      <c r="BA49" s="27" t="str">
        <f t="shared" si="0"/>
        <v>NEED TO PROGRESS</v>
      </c>
    </row>
    <row r="50" spans="1:53">
      <c r="A50" s="21">
        <v>43</v>
      </c>
      <c r="B50" s="43">
        <v>48</v>
      </c>
      <c r="C50" s="44" t="s">
        <v>193</v>
      </c>
      <c r="D50" s="44" t="s">
        <v>194</v>
      </c>
      <c r="E50" s="44" t="s">
        <v>195</v>
      </c>
      <c r="F50" s="99">
        <v>18</v>
      </c>
      <c r="G50" s="99">
        <v>54</v>
      </c>
      <c r="H50" s="99">
        <v>10</v>
      </c>
      <c r="I50" s="99">
        <v>32</v>
      </c>
      <c r="J50" s="102">
        <f t="shared" si="36"/>
        <v>114</v>
      </c>
      <c r="K50" s="118">
        <f t="shared" si="37"/>
        <v>4</v>
      </c>
      <c r="L50" s="242"/>
      <c r="M50" s="102">
        <v>17</v>
      </c>
      <c r="N50" s="102">
        <v>35</v>
      </c>
      <c r="O50" s="102">
        <v>9</v>
      </c>
      <c r="P50" s="102">
        <v>29</v>
      </c>
      <c r="Q50" s="102">
        <f t="shared" si="46"/>
        <v>90</v>
      </c>
      <c r="R50" s="118">
        <f t="shared" si="47"/>
        <v>3.5</v>
      </c>
      <c r="S50" s="242"/>
      <c r="T50" s="102">
        <v>13</v>
      </c>
      <c r="U50" s="102">
        <v>39</v>
      </c>
      <c r="V50" s="100">
        <f t="shared" si="23"/>
        <v>52</v>
      </c>
      <c r="W50" s="101">
        <f t="shared" si="24"/>
        <v>3</v>
      </c>
      <c r="X50" s="242"/>
      <c r="Y50" s="102">
        <v>4</v>
      </c>
      <c r="Z50" s="102">
        <v>40</v>
      </c>
      <c r="AA50" s="102">
        <f t="shared" si="38"/>
        <v>44</v>
      </c>
      <c r="AB50" s="118">
        <f t="shared" si="39"/>
        <v>2</v>
      </c>
      <c r="AC50" s="242"/>
      <c r="AD50" s="102">
        <v>14</v>
      </c>
      <c r="AE50" s="102">
        <v>58</v>
      </c>
      <c r="AF50" s="102">
        <f t="shared" si="40"/>
        <v>72</v>
      </c>
      <c r="AG50" s="118">
        <f t="shared" si="41"/>
        <v>4</v>
      </c>
      <c r="AH50" s="242"/>
      <c r="AI50" s="102">
        <v>16</v>
      </c>
      <c r="AJ50" s="102">
        <v>58</v>
      </c>
      <c r="AK50" s="102">
        <f t="shared" si="42"/>
        <v>74</v>
      </c>
      <c r="AL50" s="118">
        <f t="shared" si="43"/>
        <v>4</v>
      </c>
      <c r="AM50" s="242"/>
      <c r="AN50" s="99"/>
      <c r="AO50" s="102">
        <v>28</v>
      </c>
      <c r="AP50" s="92">
        <f t="shared" si="13"/>
        <v>28</v>
      </c>
      <c r="AQ50" s="118">
        <f t="shared" si="44"/>
        <v>3</v>
      </c>
      <c r="AR50" s="242"/>
      <c r="AS50" s="102">
        <v>44</v>
      </c>
      <c r="AT50" s="101">
        <f t="shared" si="15"/>
        <v>5</v>
      </c>
      <c r="AU50" s="242"/>
      <c r="AV50" s="99">
        <f t="shared" si="16"/>
        <v>23.5</v>
      </c>
      <c r="AW50" s="119">
        <f t="shared" si="45"/>
        <v>3.3571428571428572</v>
      </c>
      <c r="AX50" s="105">
        <f t="shared" si="18"/>
        <v>474</v>
      </c>
      <c r="AY50" s="99"/>
      <c r="AZ50" s="99"/>
      <c r="BA50" s="27" t="str">
        <f t="shared" si="0"/>
        <v>GOOD</v>
      </c>
    </row>
    <row r="51" spans="1:53">
      <c r="A51" s="21">
        <v>44</v>
      </c>
      <c r="B51" s="45">
        <v>50</v>
      </c>
      <c r="C51" s="46" t="s">
        <v>196</v>
      </c>
      <c r="D51" s="46" t="s">
        <v>197</v>
      </c>
      <c r="E51" s="46" t="s">
        <v>198</v>
      </c>
      <c r="F51" s="99">
        <v>5</v>
      </c>
      <c r="G51" s="99">
        <v>0</v>
      </c>
      <c r="H51" s="99">
        <v>5</v>
      </c>
      <c r="I51" s="99">
        <v>0</v>
      </c>
      <c r="J51" s="94">
        <f t="shared" si="36"/>
        <v>10</v>
      </c>
      <c r="K51" s="120" t="str">
        <f t="shared" si="37"/>
        <v>F</v>
      </c>
      <c r="L51" s="242"/>
      <c r="M51" s="94">
        <v>5</v>
      </c>
      <c r="N51" s="94">
        <v>0</v>
      </c>
      <c r="O51" s="94">
        <v>5</v>
      </c>
      <c r="P51" s="94">
        <v>0</v>
      </c>
      <c r="Q51" s="94">
        <f t="shared" si="46"/>
        <v>10</v>
      </c>
      <c r="R51" s="120" t="str">
        <f t="shared" si="47"/>
        <v>F</v>
      </c>
      <c r="S51" s="242"/>
      <c r="T51" s="94">
        <v>3</v>
      </c>
      <c r="U51" s="94">
        <v>0</v>
      </c>
      <c r="V51" s="100">
        <f t="shared" si="23"/>
        <v>3</v>
      </c>
      <c r="W51" s="101" t="str">
        <f t="shared" si="24"/>
        <v>F</v>
      </c>
      <c r="X51" s="242"/>
      <c r="Y51" s="94">
        <v>3</v>
      </c>
      <c r="Z51" s="94">
        <v>0</v>
      </c>
      <c r="AA51" s="94">
        <f t="shared" si="38"/>
        <v>3</v>
      </c>
      <c r="AB51" s="120" t="str">
        <f t="shared" si="39"/>
        <v>F</v>
      </c>
      <c r="AC51" s="242"/>
      <c r="AD51" s="94">
        <v>4</v>
      </c>
      <c r="AE51" s="94">
        <v>0</v>
      </c>
      <c r="AF51" s="102">
        <f t="shared" si="40"/>
        <v>4</v>
      </c>
      <c r="AG51" s="120" t="str">
        <f t="shared" si="41"/>
        <v>F</v>
      </c>
      <c r="AH51" s="242"/>
      <c r="AI51" s="94">
        <v>5</v>
      </c>
      <c r="AJ51" s="94">
        <v>0</v>
      </c>
      <c r="AK51" s="94">
        <f t="shared" si="42"/>
        <v>5</v>
      </c>
      <c r="AL51" s="120" t="str">
        <f t="shared" si="43"/>
        <v>F</v>
      </c>
      <c r="AM51" s="242"/>
      <c r="AN51" s="98"/>
      <c r="AO51" s="94">
        <v>0</v>
      </c>
      <c r="AP51" s="92">
        <f t="shared" si="13"/>
        <v>0</v>
      </c>
      <c r="AQ51" s="120" t="str">
        <f t="shared" si="44"/>
        <v>F</v>
      </c>
      <c r="AR51" s="242"/>
      <c r="AS51" s="94">
        <v>0</v>
      </c>
      <c r="AT51" s="101" t="str">
        <f t="shared" si="15"/>
        <v>F</v>
      </c>
      <c r="AU51" s="242"/>
      <c r="AV51" s="98" t="str">
        <f t="shared" si="16"/>
        <v>F</v>
      </c>
      <c r="AW51" s="121" t="str">
        <f t="shared" si="45"/>
        <v>F</v>
      </c>
      <c r="AX51" s="97">
        <f t="shared" si="18"/>
        <v>35</v>
      </c>
      <c r="AY51" s="99"/>
      <c r="AZ51" s="99"/>
      <c r="BA51" s="27" t="str">
        <f t="shared" si="0"/>
        <v>NEED TO PROGRESS</v>
      </c>
    </row>
    <row r="52" spans="1:53">
      <c r="A52" s="21">
        <v>45</v>
      </c>
      <c r="B52" s="43">
        <v>60</v>
      </c>
      <c r="C52" s="44" t="s">
        <v>199</v>
      </c>
      <c r="D52" s="44" t="s">
        <v>200</v>
      </c>
      <c r="E52" s="44" t="s">
        <v>201</v>
      </c>
      <c r="F52" s="99">
        <v>20</v>
      </c>
      <c r="G52" s="99">
        <v>55</v>
      </c>
      <c r="H52" s="99">
        <v>10</v>
      </c>
      <c r="I52" s="99">
        <v>30</v>
      </c>
      <c r="J52" s="102">
        <f t="shared" si="36"/>
        <v>115</v>
      </c>
      <c r="K52" s="118">
        <f t="shared" si="37"/>
        <v>4</v>
      </c>
      <c r="L52" s="242"/>
      <c r="M52" s="102">
        <v>20</v>
      </c>
      <c r="N52" s="102">
        <v>68</v>
      </c>
      <c r="O52" s="102">
        <v>10</v>
      </c>
      <c r="P52" s="102">
        <v>35</v>
      </c>
      <c r="Q52" s="102">
        <f t="shared" si="46"/>
        <v>133</v>
      </c>
      <c r="R52" s="118">
        <f t="shared" si="47"/>
        <v>5</v>
      </c>
      <c r="S52" s="242"/>
      <c r="T52" s="102">
        <v>12</v>
      </c>
      <c r="U52" s="102">
        <v>39</v>
      </c>
      <c r="V52" s="100">
        <f t="shared" si="23"/>
        <v>51</v>
      </c>
      <c r="W52" s="101">
        <f t="shared" si="24"/>
        <v>3</v>
      </c>
      <c r="X52" s="242"/>
      <c r="Y52" s="102">
        <v>11</v>
      </c>
      <c r="Z52" s="102">
        <v>61</v>
      </c>
      <c r="AA52" s="102">
        <f t="shared" si="38"/>
        <v>72</v>
      </c>
      <c r="AB52" s="118">
        <f t="shared" si="39"/>
        <v>4</v>
      </c>
      <c r="AC52" s="242"/>
      <c r="AD52" s="102">
        <v>15</v>
      </c>
      <c r="AE52" s="102">
        <v>66</v>
      </c>
      <c r="AF52" s="102">
        <f t="shared" si="40"/>
        <v>81</v>
      </c>
      <c r="AG52" s="118">
        <f t="shared" si="41"/>
        <v>5</v>
      </c>
      <c r="AH52" s="242"/>
      <c r="AI52" s="102">
        <v>13</v>
      </c>
      <c r="AJ52" s="102">
        <v>65</v>
      </c>
      <c r="AK52" s="102">
        <f t="shared" si="42"/>
        <v>78</v>
      </c>
      <c r="AL52" s="118">
        <f t="shared" si="43"/>
        <v>4</v>
      </c>
      <c r="AM52" s="242"/>
      <c r="AN52" s="99"/>
      <c r="AO52" s="102">
        <v>20</v>
      </c>
      <c r="AP52" s="92">
        <f t="shared" si="13"/>
        <v>20</v>
      </c>
      <c r="AQ52" s="118">
        <f t="shared" si="44"/>
        <v>2</v>
      </c>
      <c r="AR52" s="242"/>
      <c r="AS52" s="102">
        <v>46</v>
      </c>
      <c r="AT52" s="101">
        <f t="shared" si="15"/>
        <v>5</v>
      </c>
      <c r="AU52" s="242"/>
      <c r="AV52" s="99">
        <f t="shared" si="16"/>
        <v>27</v>
      </c>
      <c r="AW52" s="119">
        <f t="shared" si="45"/>
        <v>3.8571428571428572</v>
      </c>
      <c r="AX52" s="105">
        <f t="shared" si="18"/>
        <v>550</v>
      </c>
      <c r="AY52" s="99"/>
      <c r="AZ52" s="99"/>
      <c r="BA52" s="27" t="str">
        <f t="shared" si="0"/>
        <v>GOOD</v>
      </c>
    </row>
    <row r="53" spans="1:53">
      <c r="A53" s="21">
        <v>46</v>
      </c>
      <c r="B53" s="43">
        <v>61</v>
      </c>
      <c r="C53" s="44" t="s">
        <v>202</v>
      </c>
      <c r="D53" s="44" t="s">
        <v>203</v>
      </c>
      <c r="E53" s="44" t="s">
        <v>204</v>
      </c>
      <c r="F53" s="99">
        <v>19</v>
      </c>
      <c r="G53" s="99">
        <v>55</v>
      </c>
      <c r="H53" s="99">
        <v>10</v>
      </c>
      <c r="I53" s="99">
        <v>26</v>
      </c>
      <c r="J53" s="102">
        <f t="shared" si="36"/>
        <v>110</v>
      </c>
      <c r="K53" s="118">
        <f t="shared" si="37"/>
        <v>4</v>
      </c>
      <c r="L53" s="242"/>
      <c r="M53" s="102">
        <v>9</v>
      </c>
      <c r="N53" s="102">
        <v>35</v>
      </c>
      <c r="O53" s="102">
        <v>7</v>
      </c>
      <c r="P53" s="102">
        <v>21</v>
      </c>
      <c r="Q53" s="102">
        <f t="shared" si="46"/>
        <v>72</v>
      </c>
      <c r="R53" s="118">
        <f t="shared" si="47"/>
        <v>2</v>
      </c>
      <c r="S53" s="242"/>
      <c r="T53" s="102">
        <v>15</v>
      </c>
      <c r="U53" s="102">
        <v>25</v>
      </c>
      <c r="V53" s="100">
        <f t="shared" si="23"/>
        <v>40</v>
      </c>
      <c r="W53" s="101">
        <f t="shared" si="24"/>
        <v>2</v>
      </c>
      <c r="X53" s="242"/>
      <c r="Y53" s="102">
        <v>8</v>
      </c>
      <c r="Z53" s="102">
        <v>40</v>
      </c>
      <c r="AA53" s="102">
        <f t="shared" si="38"/>
        <v>48</v>
      </c>
      <c r="AB53" s="118">
        <f t="shared" si="39"/>
        <v>2</v>
      </c>
      <c r="AC53" s="242"/>
      <c r="AD53" s="102">
        <v>10</v>
      </c>
      <c r="AE53" s="102">
        <v>44</v>
      </c>
      <c r="AF53" s="102">
        <f t="shared" si="40"/>
        <v>54</v>
      </c>
      <c r="AG53" s="118">
        <f t="shared" si="41"/>
        <v>3</v>
      </c>
      <c r="AH53" s="242"/>
      <c r="AI53" s="102">
        <v>19</v>
      </c>
      <c r="AJ53" s="102">
        <v>39</v>
      </c>
      <c r="AK53" s="102">
        <f t="shared" si="42"/>
        <v>58</v>
      </c>
      <c r="AL53" s="118">
        <f t="shared" si="43"/>
        <v>3</v>
      </c>
      <c r="AM53" s="242"/>
      <c r="AN53" s="99"/>
      <c r="AO53" s="102">
        <v>28</v>
      </c>
      <c r="AP53" s="92">
        <f t="shared" si="13"/>
        <v>28</v>
      </c>
      <c r="AQ53" s="118">
        <f t="shared" si="44"/>
        <v>3</v>
      </c>
      <c r="AR53" s="242"/>
      <c r="AS53" s="102">
        <v>48</v>
      </c>
      <c r="AT53" s="101">
        <f t="shared" si="15"/>
        <v>5</v>
      </c>
      <c r="AU53" s="242"/>
      <c r="AV53" s="99">
        <f t="shared" si="16"/>
        <v>19</v>
      </c>
      <c r="AW53" s="119">
        <f t="shared" si="45"/>
        <v>2.7142857142857144</v>
      </c>
      <c r="AX53" s="105">
        <f t="shared" si="18"/>
        <v>410</v>
      </c>
      <c r="AY53" s="99"/>
      <c r="AZ53" s="99"/>
      <c r="BA53" s="27" t="str">
        <f t="shared" si="0"/>
        <v>GOOD</v>
      </c>
    </row>
    <row r="54" spans="1:53">
      <c r="A54" s="21">
        <v>47</v>
      </c>
      <c r="B54" s="43">
        <v>63</v>
      </c>
      <c r="C54" s="44" t="s">
        <v>205</v>
      </c>
      <c r="D54" s="44" t="s">
        <v>206</v>
      </c>
      <c r="E54" s="44" t="s">
        <v>207</v>
      </c>
      <c r="F54" s="99">
        <v>19</v>
      </c>
      <c r="G54" s="99">
        <v>43</v>
      </c>
      <c r="H54" s="99">
        <v>10</v>
      </c>
      <c r="I54" s="99">
        <v>26</v>
      </c>
      <c r="J54" s="102">
        <f t="shared" si="36"/>
        <v>98</v>
      </c>
      <c r="K54" s="118">
        <f t="shared" si="37"/>
        <v>3.5</v>
      </c>
      <c r="L54" s="242"/>
      <c r="M54" s="102">
        <v>20</v>
      </c>
      <c r="N54" s="102">
        <v>40</v>
      </c>
      <c r="O54" s="102">
        <v>10</v>
      </c>
      <c r="P54" s="102">
        <v>30</v>
      </c>
      <c r="Q54" s="102">
        <f t="shared" si="46"/>
        <v>100</v>
      </c>
      <c r="R54" s="118">
        <f t="shared" si="47"/>
        <v>3.5</v>
      </c>
      <c r="S54" s="242"/>
      <c r="T54" s="102">
        <v>19</v>
      </c>
      <c r="U54" s="102">
        <v>39</v>
      </c>
      <c r="V54" s="100">
        <f t="shared" si="23"/>
        <v>58</v>
      </c>
      <c r="W54" s="101">
        <f t="shared" si="24"/>
        <v>3</v>
      </c>
      <c r="X54" s="242"/>
      <c r="Y54" s="102">
        <v>17</v>
      </c>
      <c r="Z54" s="102">
        <v>50</v>
      </c>
      <c r="AA54" s="102">
        <f t="shared" si="38"/>
        <v>67</v>
      </c>
      <c r="AB54" s="118">
        <f t="shared" si="39"/>
        <v>3.5</v>
      </c>
      <c r="AC54" s="242"/>
      <c r="AD54" s="102">
        <v>17</v>
      </c>
      <c r="AE54" s="102">
        <v>64</v>
      </c>
      <c r="AF54" s="102">
        <f t="shared" si="40"/>
        <v>81</v>
      </c>
      <c r="AG54" s="118">
        <f t="shared" si="41"/>
        <v>5</v>
      </c>
      <c r="AH54" s="242"/>
      <c r="AI54" s="102">
        <v>19</v>
      </c>
      <c r="AJ54" s="102">
        <v>52</v>
      </c>
      <c r="AK54" s="102">
        <f t="shared" si="42"/>
        <v>71</v>
      </c>
      <c r="AL54" s="118">
        <f t="shared" si="43"/>
        <v>4</v>
      </c>
      <c r="AM54" s="242"/>
      <c r="AN54" s="99"/>
      <c r="AO54" s="102">
        <v>28</v>
      </c>
      <c r="AP54" s="92">
        <f t="shared" si="13"/>
        <v>28</v>
      </c>
      <c r="AQ54" s="118">
        <f t="shared" si="44"/>
        <v>3</v>
      </c>
      <c r="AR54" s="242"/>
      <c r="AS54" s="102">
        <v>48</v>
      </c>
      <c r="AT54" s="101">
        <f t="shared" si="15"/>
        <v>5</v>
      </c>
      <c r="AU54" s="242"/>
      <c r="AV54" s="99">
        <f t="shared" si="16"/>
        <v>25.5</v>
      </c>
      <c r="AW54" s="119">
        <f t="shared" si="45"/>
        <v>3.6428571428571428</v>
      </c>
      <c r="AX54" s="105">
        <f t="shared" si="18"/>
        <v>503</v>
      </c>
      <c r="AY54" s="99"/>
      <c r="AZ54" s="99"/>
      <c r="BA54" s="27" t="str">
        <f t="shared" si="0"/>
        <v>GOOD</v>
      </c>
    </row>
    <row r="55" spans="1:53">
      <c r="A55" s="21">
        <v>48</v>
      </c>
      <c r="B55" s="43">
        <v>64</v>
      </c>
      <c r="C55" s="44" t="s">
        <v>208</v>
      </c>
      <c r="D55" s="44" t="s">
        <v>209</v>
      </c>
      <c r="E55" s="44" t="s">
        <v>210</v>
      </c>
      <c r="F55" s="99">
        <v>9</v>
      </c>
      <c r="G55" s="99">
        <v>33</v>
      </c>
      <c r="H55" s="99">
        <v>7</v>
      </c>
      <c r="I55" s="99">
        <v>20</v>
      </c>
      <c r="J55" s="102">
        <f t="shared" si="36"/>
        <v>69</v>
      </c>
      <c r="K55" s="118">
        <f t="shared" si="37"/>
        <v>2</v>
      </c>
      <c r="L55" s="242"/>
      <c r="M55" s="102">
        <v>5</v>
      </c>
      <c r="N55" s="102">
        <v>29</v>
      </c>
      <c r="O55" s="102">
        <v>9</v>
      </c>
      <c r="P55" s="102">
        <v>22</v>
      </c>
      <c r="Q55" s="102">
        <f t="shared" si="46"/>
        <v>65</v>
      </c>
      <c r="R55" s="118">
        <f t="shared" si="47"/>
        <v>2</v>
      </c>
      <c r="S55" s="242"/>
      <c r="T55" s="102">
        <v>16</v>
      </c>
      <c r="U55" s="102">
        <v>24</v>
      </c>
      <c r="V55" s="100">
        <f t="shared" si="23"/>
        <v>40</v>
      </c>
      <c r="W55" s="101">
        <f t="shared" si="24"/>
        <v>2</v>
      </c>
      <c r="X55" s="242"/>
      <c r="Y55" s="102">
        <v>18</v>
      </c>
      <c r="Z55" s="102">
        <v>26</v>
      </c>
      <c r="AA55" s="102">
        <f t="shared" si="38"/>
        <v>44</v>
      </c>
      <c r="AB55" s="118">
        <f t="shared" si="39"/>
        <v>2</v>
      </c>
      <c r="AC55" s="242"/>
      <c r="AD55" s="102">
        <v>6</v>
      </c>
      <c r="AE55" s="102">
        <v>26</v>
      </c>
      <c r="AF55" s="102">
        <f t="shared" si="40"/>
        <v>32</v>
      </c>
      <c r="AG55" s="118" t="str">
        <f t="shared" si="41"/>
        <v>F</v>
      </c>
      <c r="AH55" s="242"/>
      <c r="AI55" s="102">
        <v>9</v>
      </c>
      <c r="AJ55" s="102">
        <v>32</v>
      </c>
      <c r="AK55" s="102">
        <f t="shared" si="42"/>
        <v>41</v>
      </c>
      <c r="AL55" s="118">
        <f t="shared" si="43"/>
        <v>2</v>
      </c>
      <c r="AM55" s="242"/>
      <c r="AN55" s="99"/>
      <c r="AO55" s="102">
        <v>28</v>
      </c>
      <c r="AP55" s="92">
        <f t="shared" si="13"/>
        <v>28</v>
      </c>
      <c r="AQ55" s="118">
        <f t="shared" si="44"/>
        <v>3</v>
      </c>
      <c r="AR55" s="242"/>
      <c r="AS55" s="102">
        <v>41</v>
      </c>
      <c r="AT55" s="101">
        <f t="shared" si="15"/>
        <v>5</v>
      </c>
      <c r="AU55" s="242"/>
      <c r="AV55" s="99" t="str">
        <f t="shared" si="16"/>
        <v>F</v>
      </c>
      <c r="AW55" s="119" t="str">
        <f t="shared" si="45"/>
        <v>F</v>
      </c>
      <c r="AX55" s="105">
        <f t="shared" si="18"/>
        <v>319</v>
      </c>
      <c r="AY55" s="99"/>
      <c r="AZ55" s="99"/>
      <c r="BA55" s="27" t="str">
        <f t="shared" si="0"/>
        <v>NEED TO PROGRESS</v>
      </c>
    </row>
    <row r="56" spans="1:53">
      <c r="A56" s="21">
        <v>49</v>
      </c>
      <c r="B56" s="43">
        <v>65</v>
      </c>
      <c r="C56" s="44" t="s">
        <v>211</v>
      </c>
      <c r="D56" s="44" t="s">
        <v>212</v>
      </c>
      <c r="E56" s="44" t="s">
        <v>213</v>
      </c>
      <c r="F56" s="99">
        <v>18</v>
      </c>
      <c r="G56" s="99">
        <v>63</v>
      </c>
      <c r="H56" s="99">
        <v>8</v>
      </c>
      <c r="I56" s="99">
        <v>30</v>
      </c>
      <c r="J56" s="102">
        <f t="shared" si="36"/>
        <v>119</v>
      </c>
      <c r="K56" s="118">
        <f t="shared" si="37"/>
        <v>4</v>
      </c>
      <c r="L56" s="242"/>
      <c r="M56" s="102">
        <v>18</v>
      </c>
      <c r="N56" s="102">
        <v>33</v>
      </c>
      <c r="O56" s="102">
        <v>10</v>
      </c>
      <c r="P56" s="102">
        <v>30</v>
      </c>
      <c r="Q56" s="102">
        <f t="shared" si="46"/>
        <v>91</v>
      </c>
      <c r="R56" s="118">
        <f t="shared" si="47"/>
        <v>3.5</v>
      </c>
      <c r="S56" s="242"/>
      <c r="T56" s="102">
        <v>16</v>
      </c>
      <c r="U56" s="102">
        <v>43</v>
      </c>
      <c r="V56" s="100">
        <f t="shared" si="23"/>
        <v>59</v>
      </c>
      <c r="W56" s="101">
        <f t="shared" si="24"/>
        <v>3</v>
      </c>
      <c r="X56" s="242"/>
      <c r="Y56" s="102">
        <v>18</v>
      </c>
      <c r="Z56" s="102">
        <v>36</v>
      </c>
      <c r="AA56" s="102">
        <f t="shared" si="38"/>
        <v>54</v>
      </c>
      <c r="AB56" s="118">
        <f t="shared" si="39"/>
        <v>3</v>
      </c>
      <c r="AC56" s="242"/>
      <c r="AD56" s="102">
        <v>16</v>
      </c>
      <c r="AE56" s="102">
        <v>42</v>
      </c>
      <c r="AF56" s="102">
        <f t="shared" si="40"/>
        <v>58</v>
      </c>
      <c r="AG56" s="118">
        <f t="shared" si="41"/>
        <v>3</v>
      </c>
      <c r="AH56" s="242"/>
      <c r="AI56" s="102">
        <v>19</v>
      </c>
      <c r="AJ56" s="102">
        <v>55</v>
      </c>
      <c r="AK56" s="102">
        <f t="shared" si="42"/>
        <v>74</v>
      </c>
      <c r="AL56" s="118">
        <f t="shared" si="43"/>
        <v>4</v>
      </c>
      <c r="AM56" s="242"/>
      <c r="AN56" s="99"/>
      <c r="AO56" s="102">
        <v>21</v>
      </c>
      <c r="AP56" s="92">
        <f t="shared" si="13"/>
        <v>21</v>
      </c>
      <c r="AQ56" s="118">
        <f t="shared" si="44"/>
        <v>2</v>
      </c>
      <c r="AR56" s="242"/>
      <c r="AS56" s="102">
        <v>41</v>
      </c>
      <c r="AT56" s="101">
        <f t="shared" si="15"/>
        <v>5</v>
      </c>
      <c r="AU56" s="242"/>
      <c r="AV56" s="99">
        <f t="shared" si="16"/>
        <v>22.5</v>
      </c>
      <c r="AW56" s="119">
        <f t="shared" si="45"/>
        <v>3.2142857142857144</v>
      </c>
      <c r="AX56" s="105">
        <f t="shared" si="18"/>
        <v>476</v>
      </c>
      <c r="AY56" s="99"/>
      <c r="AZ56" s="99"/>
      <c r="BA56" s="27" t="str">
        <f t="shared" si="0"/>
        <v>GOOD</v>
      </c>
    </row>
    <row r="57" spans="1:53">
      <c r="A57" s="21">
        <v>50</v>
      </c>
      <c r="B57" s="43">
        <v>68</v>
      </c>
      <c r="C57" s="44" t="s">
        <v>214</v>
      </c>
      <c r="D57" s="44" t="s">
        <v>215</v>
      </c>
      <c r="E57" s="44" t="s">
        <v>216</v>
      </c>
      <c r="F57" s="99">
        <v>19</v>
      </c>
      <c r="G57" s="99">
        <v>45</v>
      </c>
      <c r="H57" s="99">
        <v>10</v>
      </c>
      <c r="I57" s="99">
        <v>21</v>
      </c>
      <c r="J57" s="102">
        <f t="shared" si="36"/>
        <v>95</v>
      </c>
      <c r="K57" s="118">
        <f t="shared" si="37"/>
        <v>3.5</v>
      </c>
      <c r="L57" s="242"/>
      <c r="M57" s="102">
        <v>13</v>
      </c>
      <c r="N57" s="102">
        <v>42</v>
      </c>
      <c r="O57" s="102">
        <v>10</v>
      </c>
      <c r="P57" s="102">
        <v>30</v>
      </c>
      <c r="Q57" s="102">
        <f t="shared" si="46"/>
        <v>95</v>
      </c>
      <c r="R57" s="118">
        <f t="shared" si="47"/>
        <v>3.5</v>
      </c>
      <c r="S57" s="242"/>
      <c r="T57" s="102">
        <v>15</v>
      </c>
      <c r="U57" s="102">
        <v>44</v>
      </c>
      <c r="V57" s="100">
        <f t="shared" si="23"/>
        <v>59</v>
      </c>
      <c r="W57" s="101">
        <f t="shared" si="24"/>
        <v>3</v>
      </c>
      <c r="X57" s="242"/>
      <c r="Y57" s="102">
        <v>15</v>
      </c>
      <c r="Z57" s="102">
        <v>39</v>
      </c>
      <c r="AA57" s="102">
        <f t="shared" si="38"/>
        <v>54</v>
      </c>
      <c r="AB57" s="118">
        <f t="shared" si="39"/>
        <v>3</v>
      </c>
      <c r="AC57" s="242"/>
      <c r="AD57" s="102">
        <v>15</v>
      </c>
      <c r="AE57" s="102">
        <v>70</v>
      </c>
      <c r="AF57" s="102">
        <f t="shared" si="40"/>
        <v>85</v>
      </c>
      <c r="AG57" s="118">
        <f t="shared" si="41"/>
        <v>5</v>
      </c>
      <c r="AH57" s="242"/>
      <c r="AI57" s="102">
        <v>18</v>
      </c>
      <c r="AJ57" s="102">
        <v>43</v>
      </c>
      <c r="AK57" s="102">
        <f t="shared" si="42"/>
        <v>61</v>
      </c>
      <c r="AL57" s="118">
        <f t="shared" si="43"/>
        <v>3.5</v>
      </c>
      <c r="AM57" s="242"/>
      <c r="AN57" s="99"/>
      <c r="AO57" s="102">
        <v>20</v>
      </c>
      <c r="AP57" s="92">
        <f t="shared" si="13"/>
        <v>20</v>
      </c>
      <c r="AQ57" s="118">
        <f t="shared" si="44"/>
        <v>2</v>
      </c>
      <c r="AR57" s="242"/>
      <c r="AS57" s="102">
        <v>47</v>
      </c>
      <c r="AT57" s="101">
        <f t="shared" si="15"/>
        <v>5</v>
      </c>
      <c r="AU57" s="242"/>
      <c r="AV57" s="99">
        <f t="shared" si="16"/>
        <v>23.5</v>
      </c>
      <c r="AW57" s="119">
        <f t="shared" si="45"/>
        <v>3.3571428571428572</v>
      </c>
      <c r="AX57" s="105">
        <f t="shared" si="18"/>
        <v>469</v>
      </c>
      <c r="AY57" s="99"/>
      <c r="AZ57" s="99"/>
      <c r="BA57" s="27" t="str">
        <f t="shared" si="0"/>
        <v>GOOD</v>
      </c>
    </row>
    <row r="58" spans="1:53">
      <c r="A58" s="21">
        <v>51</v>
      </c>
      <c r="B58" s="43">
        <v>70</v>
      </c>
      <c r="C58" s="44" t="s">
        <v>217</v>
      </c>
      <c r="D58" s="44" t="s">
        <v>218</v>
      </c>
      <c r="E58" s="44" t="s">
        <v>219</v>
      </c>
      <c r="F58" s="99">
        <v>18</v>
      </c>
      <c r="G58" s="99">
        <v>47</v>
      </c>
      <c r="H58" s="99">
        <v>8</v>
      </c>
      <c r="I58" s="99">
        <v>24</v>
      </c>
      <c r="J58" s="102">
        <f t="shared" si="36"/>
        <v>97</v>
      </c>
      <c r="K58" s="118">
        <f t="shared" si="37"/>
        <v>3.5</v>
      </c>
      <c r="L58" s="242"/>
      <c r="M58" s="102">
        <v>17</v>
      </c>
      <c r="N58" s="102">
        <v>53</v>
      </c>
      <c r="O58" s="102">
        <v>10</v>
      </c>
      <c r="P58" s="102">
        <v>30</v>
      </c>
      <c r="Q58" s="102">
        <f t="shared" si="46"/>
        <v>110</v>
      </c>
      <c r="R58" s="118">
        <f t="shared" si="47"/>
        <v>4</v>
      </c>
      <c r="S58" s="242"/>
      <c r="T58" s="102">
        <v>14</v>
      </c>
      <c r="U58" s="102">
        <v>29</v>
      </c>
      <c r="V58" s="100">
        <f t="shared" si="23"/>
        <v>43</v>
      </c>
      <c r="W58" s="101">
        <f t="shared" si="24"/>
        <v>2</v>
      </c>
      <c r="X58" s="242"/>
      <c r="Y58" s="102">
        <v>9</v>
      </c>
      <c r="Z58" s="102">
        <v>33</v>
      </c>
      <c r="AA58" s="102">
        <f t="shared" si="38"/>
        <v>42</v>
      </c>
      <c r="AB58" s="118">
        <f t="shared" si="39"/>
        <v>2</v>
      </c>
      <c r="AC58" s="242"/>
      <c r="AD58" s="102">
        <v>16</v>
      </c>
      <c r="AE58" s="102">
        <v>56</v>
      </c>
      <c r="AF58" s="102">
        <f t="shared" si="40"/>
        <v>72</v>
      </c>
      <c r="AG58" s="118">
        <f t="shared" si="41"/>
        <v>4</v>
      </c>
      <c r="AH58" s="242"/>
      <c r="AI58" s="102">
        <v>15</v>
      </c>
      <c r="AJ58" s="102">
        <v>35</v>
      </c>
      <c r="AK58" s="102">
        <f t="shared" si="42"/>
        <v>50</v>
      </c>
      <c r="AL58" s="118">
        <f t="shared" si="43"/>
        <v>3</v>
      </c>
      <c r="AM58" s="242"/>
      <c r="AN58" s="99"/>
      <c r="AO58" s="102">
        <v>20</v>
      </c>
      <c r="AP58" s="92">
        <f t="shared" si="13"/>
        <v>20</v>
      </c>
      <c r="AQ58" s="118">
        <f t="shared" si="44"/>
        <v>2</v>
      </c>
      <c r="AR58" s="242"/>
      <c r="AS58" s="102">
        <v>38</v>
      </c>
      <c r="AT58" s="101">
        <f t="shared" si="15"/>
        <v>4</v>
      </c>
      <c r="AU58" s="242"/>
      <c r="AV58" s="99">
        <f t="shared" si="16"/>
        <v>20.5</v>
      </c>
      <c r="AW58" s="119">
        <f t="shared" si="45"/>
        <v>2.9285714285714284</v>
      </c>
      <c r="AX58" s="105">
        <f t="shared" si="18"/>
        <v>434</v>
      </c>
      <c r="AY58" s="99"/>
      <c r="AZ58" s="99"/>
      <c r="BA58" s="27" t="str">
        <f t="shared" si="0"/>
        <v>GOOD</v>
      </c>
    </row>
    <row r="59" spans="1:53">
      <c r="A59" s="21">
        <v>52</v>
      </c>
      <c r="B59" s="43">
        <v>71</v>
      </c>
      <c r="C59" s="44" t="s">
        <v>220</v>
      </c>
      <c r="D59" s="44" t="s">
        <v>221</v>
      </c>
      <c r="E59" s="44" t="s">
        <v>222</v>
      </c>
      <c r="F59" s="99">
        <v>19</v>
      </c>
      <c r="G59" s="99">
        <v>45</v>
      </c>
      <c r="H59" s="99">
        <v>10</v>
      </c>
      <c r="I59" s="99">
        <v>21</v>
      </c>
      <c r="J59" s="102">
        <f t="shared" si="36"/>
        <v>95</v>
      </c>
      <c r="K59" s="118">
        <f t="shared" si="37"/>
        <v>3.5</v>
      </c>
      <c r="L59" s="242"/>
      <c r="M59" s="102">
        <v>17</v>
      </c>
      <c r="N59" s="102">
        <v>37</v>
      </c>
      <c r="O59" s="102">
        <v>9</v>
      </c>
      <c r="P59" s="102">
        <v>14</v>
      </c>
      <c r="Q59" s="102">
        <f t="shared" si="46"/>
        <v>77</v>
      </c>
      <c r="R59" s="118">
        <f t="shared" si="47"/>
        <v>3</v>
      </c>
      <c r="S59" s="242"/>
      <c r="T59" s="102">
        <v>15</v>
      </c>
      <c r="U59" s="102">
        <v>32</v>
      </c>
      <c r="V59" s="100">
        <f t="shared" si="23"/>
        <v>47</v>
      </c>
      <c r="W59" s="101">
        <f t="shared" si="24"/>
        <v>2</v>
      </c>
      <c r="X59" s="242"/>
      <c r="Y59" s="102">
        <v>13</v>
      </c>
      <c r="Z59" s="102">
        <v>34</v>
      </c>
      <c r="AA59" s="102">
        <f t="shared" si="38"/>
        <v>47</v>
      </c>
      <c r="AB59" s="118">
        <f t="shared" si="39"/>
        <v>2</v>
      </c>
      <c r="AC59" s="242"/>
      <c r="AD59" s="102">
        <v>13</v>
      </c>
      <c r="AE59" s="102">
        <v>49</v>
      </c>
      <c r="AF59" s="102">
        <f t="shared" si="40"/>
        <v>62</v>
      </c>
      <c r="AG59" s="118">
        <f t="shared" si="41"/>
        <v>3.5</v>
      </c>
      <c r="AH59" s="242"/>
      <c r="AI59" s="102">
        <v>10</v>
      </c>
      <c r="AJ59" s="102">
        <v>40</v>
      </c>
      <c r="AK59" s="102">
        <f t="shared" si="42"/>
        <v>50</v>
      </c>
      <c r="AL59" s="118">
        <f t="shared" si="43"/>
        <v>3</v>
      </c>
      <c r="AM59" s="242"/>
      <c r="AN59" s="99"/>
      <c r="AO59" s="102">
        <v>34</v>
      </c>
      <c r="AP59" s="92">
        <f t="shared" si="13"/>
        <v>34</v>
      </c>
      <c r="AQ59" s="118">
        <f t="shared" si="44"/>
        <v>3.5</v>
      </c>
      <c r="AR59" s="242"/>
      <c r="AS59" s="102">
        <v>47</v>
      </c>
      <c r="AT59" s="101">
        <f t="shared" si="15"/>
        <v>5</v>
      </c>
      <c r="AU59" s="242"/>
      <c r="AV59" s="99">
        <f t="shared" si="16"/>
        <v>20.5</v>
      </c>
      <c r="AW59" s="119">
        <f t="shared" si="45"/>
        <v>2.9285714285714284</v>
      </c>
      <c r="AX59" s="105">
        <f t="shared" si="18"/>
        <v>412</v>
      </c>
      <c r="AY59" s="99"/>
      <c r="AZ59" s="99"/>
      <c r="BA59" s="27" t="str">
        <f t="shared" si="0"/>
        <v>GOOD</v>
      </c>
    </row>
    <row r="60" spans="1:53">
      <c r="A60" s="21">
        <v>53</v>
      </c>
      <c r="B60" s="43">
        <v>72</v>
      </c>
      <c r="C60" s="44" t="s">
        <v>223</v>
      </c>
      <c r="D60" s="44" t="s">
        <v>224</v>
      </c>
      <c r="E60" s="44" t="s">
        <v>225</v>
      </c>
      <c r="F60" s="99">
        <v>20</v>
      </c>
      <c r="G60" s="99">
        <v>69</v>
      </c>
      <c r="H60" s="99">
        <v>10</v>
      </c>
      <c r="I60" s="99">
        <v>34</v>
      </c>
      <c r="J60" s="102">
        <f t="shared" si="36"/>
        <v>133</v>
      </c>
      <c r="K60" s="118">
        <f t="shared" si="37"/>
        <v>5</v>
      </c>
      <c r="L60" s="242"/>
      <c r="M60" s="102">
        <v>14</v>
      </c>
      <c r="N60" s="102">
        <v>65</v>
      </c>
      <c r="O60" s="102">
        <v>9</v>
      </c>
      <c r="P60" s="102">
        <v>46</v>
      </c>
      <c r="Q60" s="102">
        <f t="shared" si="46"/>
        <v>134</v>
      </c>
      <c r="R60" s="118">
        <f t="shared" si="47"/>
        <v>5</v>
      </c>
      <c r="S60" s="242"/>
      <c r="T60" s="102">
        <v>18</v>
      </c>
      <c r="U60" s="102">
        <v>51</v>
      </c>
      <c r="V60" s="100">
        <f t="shared" si="23"/>
        <v>69</v>
      </c>
      <c r="W60" s="101">
        <f t="shared" si="24"/>
        <v>3.5</v>
      </c>
      <c r="X60" s="242"/>
      <c r="Y60" s="102">
        <v>18</v>
      </c>
      <c r="Z60" s="102">
        <v>68</v>
      </c>
      <c r="AA60" s="102">
        <f t="shared" si="38"/>
        <v>86</v>
      </c>
      <c r="AB60" s="118">
        <f t="shared" si="39"/>
        <v>5</v>
      </c>
      <c r="AC60" s="242"/>
      <c r="AD60" s="102">
        <v>19</v>
      </c>
      <c r="AE60" s="102">
        <v>78</v>
      </c>
      <c r="AF60" s="102">
        <f t="shared" si="40"/>
        <v>97</v>
      </c>
      <c r="AG60" s="118">
        <f t="shared" si="41"/>
        <v>5</v>
      </c>
      <c r="AH60" s="242"/>
      <c r="AI60" s="102">
        <v>18</v>
      </c>
      <c r="AJ60" s="102">
        <v>74</v>
      </c>
      <c r="AK60" s="102">
        <f t="shared" si="42"/>
        <v>92</v>
      </c>
      <c r="AL60" s="118">
        <f t="shared" si="43"/>
        <v>5</v>
      </c>
      <c r="AM60" s="242"/>
      <c r="AN60" s="99"/>
      <c r="AO60" s="102">
        <v>47</v>
      </c>
      <c r="AP60" s="92">
        <f t="shared" si="13"/>
        <v>47</v>
      </c>
      <c r="AQ60" s="118">
        <f t="shared" si="44"/>
        <v>5</v>
      </c>
      <c r="AR60" s="242"/>
      <c r="AS60" s="102">
        <v>49</v>
      </c>
      <c r="AT60" s="101">
        <f t="shared" si="15"/>
        <v>5</v>
      </c>
      <c r="AU60" s="242"/>
      <c r="AV60" s="99">
        <f t="shared" si="16"/>
        <v>33.5</v>
      </c>
      <c r="AW60" s="119">
        <f t="shared" si="45"/>
        <v>4.7857142857142856</v>
      </c>
      <c r="AX60" s="105">
        <f t="shared" si="18"/>
        <v>658</v>
      </c>
      <c r="AY60" s="99"/>
      <c r="AZ60" s="99"/>
      <c r="BA60" s="27" t="str">
        <f t="shared" si="0"/>
        <v>BETTER</v>
      </c>
    </row>
    <row r="61" spans="1:53">
      <c r="A61" s="21">
        <v>54</v>
      </c>
      <c r="B61" s="43">
        <v>73</v>
      </c>
      <c r="C61" s="44" t="s">
        <v>226</v>
      </c>
      <c r="D61" s="44" t="s">
        <v>227</v>
      </c>
      <c r="E61" s="44" t="s">
        <v>228</v>
      </c>
      <c r="F61" s="99">
        <v>20</v>
      </c>
      <c r="G61" s="99">
        <v>32</v>
      </c>
      <c r="H61" s="99">
        <v>9</v>
      </c>
      <c r="I61" s="99">
        <v>21</v>
      </c>
      <c r="J61" s="102">
        <f t="shared" si="36"/>
        <v>82</v>
      </c>
      <c r="K61" s="118">
        <f t="shared" si="37"/>
        <v>3</v>
      </c>
      <c r="L61" s="242"/>
      <c r="M61" s="102">
        <v>15</v>
      </c>
      <c r="N61" s="102">
        <v>37</v>
      </c>
      <c r="O61" s="102">
        <v>9</v>
      </c>
      <c r="P61" s="102">
        <v>24</v>
      </c>
      <c r="Q61" s="102">
        <f t="shared" si="46"/>
        <v>85</v>
      </c>
      <c r="R61" s="118">
        <f t="shared" si="47"/>
        <v>3</v>
      </c>
      <c r="S61" s="242"/>
      <c r="T61" s="102">
        <v>15</v>
      </c>
      <c r="U61" s="102">
        <v>28</v>
      </c>
      <c r="V61" s="100">
        <f t="shared" si="23"/>
        <v>43</v>
      </c>
      <c r="W61" s="101">
        <f t="shared" si="24"/>
        <v>2</v>
      </c>
      <c r="X61" s="242"/>
      <c r="Y61" s="102">
        <v>12</v>
      </c>
      <c r="Z61" s="102">
        <v>30</v>
      </c>
      <c r="AA61" s="102">
        <f t="shared" si="38"/>
        <v>42</v>
      </c>
      <c r="AB61" s="118">
        <f t="shared" si="39"/>
        <v>2</v>
      </c>
      <c r="AC61" s="242"/>
      <c r="AD61" s="102">
        <v>9</v>
      </c>
      <c r="AE61" s="102">
        <v>36</v>
      </c>
      <c r="AF61" s="102">
        <f t="shared" si="40"/>
        <v>45</v>
      </c>
      <c r="AG61" s="118">
        <f t="shared" si="41"/>
        <v>2</v>
      </c>
      <c r="AH61" s="242"/>
      <c r="AI61" s="102">
        <v>16</v>
      </c>
      <c r="AJ61" s="102">
        <v>46</v>
      </c>
      <c r="AK61" s="102">
        <f t="shared" si="42"/>
        <v>62</v>
      </c>
      <c r="AL61" s="118">
        <f t="shared" si="43"/>
        <v>3.5</v>
      </c>
      <c r="AM61" s="242"/>
      <c r="AN61" s="99"/>
      <c r="AO61" s="102">
        <v>41</v>
      </c>
      <c r="AP61" s="92">
        <f t="shared" si="13"/>
        <v>41</v>
      </c>
      <c r="AQ61" s="118">
        <f t="shared" si="44"/>
        <v>5</v>
      </c>
      <c r="AR61" s="242"/>
      <c r="AS61" s="102">
        <v>43</v>
      </c>
      <c r="AT61" s="101">
        <f t="shared" si="15"/>
        <v>5</v>
      </c>
      <c r="AU61" s="242"/>
      <c r="AV61" s="99">
        <f t="shared" si="16"/>
        <v>20.5</v>
      </c>
      <c r="AW61" s="119">
        <f t="shared" si="45"/>
        <v>2.9285714285714284</v>
      </c>
      <c r="AX61" s="105">
        <f t="shared" si="18"/>
        <v>400</v>
      </c>
      <c r="AY61" s="99"/>
      <c r="AZ61" s="99"/>
      <c r="BA61" s="27" t="str">
        <f t="shared" si="0"/>
        <v>GOOD</v>
      </c>
    </row>
    <row r="62" spans="1:53">
      <c r="A62" s="21">
        <v>55</v>
      </c>
      <c r="B62" s="45">
        <v>75</v>
      </c>
      <c r="C62" s="46" t="s">
        <v>229</v>
      </c>
      <c r="D62" s="46" t="s">
        <v>230</v>
      </c>
      <c r="E62" s="46" t="s">
        <v>231</v>
      </c>
      <c r="F62" s="94">
        <v>10</v>
      </c>
      <c r="G62" s="94">
        <v>0</v>
      </c>
      <c r="H62" s="99">
        <v>6</v>
      </c>
      <c r="I62" s="94">
        <v>0</v>
      </c>
      <c r="J62" s="94">
        <f t="shared" si="36"/>
        <v>16</v>
      </c>
      <c r="K62" s="120" t="str">
        <f t="shared" si="37"/>
        <v>F</v>
      </c>
      <c r="L62" s="242"/>
      <c r="M62" s="94">
        <v>8</v>
      </c>
      <c r="N62" s="94">
        <v>0</v>
      </c>
      <c r="O62" s="94">
        <v>9</v>
      </c>
      <c r="P62" s="94">
        <v>24</v>
      </c>
      <c r="Q62" s="94">
        <f t="shared" si="46"/>
        <v>41</v>
      </c>
      <c r="R62" s="120" t="str">
        <f t="shared" si="47"/>
        <v>F</v>
      </c>
      <c r="S62" s="242"/>
      <c r="T62" s="94">
        <v>0</v>
      </c>
      <c r="U62" s="94">
        <v>0</v>
      </c>
      <c r="V62" s="100">
        <f t="shared" si="23"/>
        <v>0</v>
      </c>
      <c r="W62" s="101" t="str">
        <f t="shared" si="24"/>
        <v>F</v>
      </c>
      <c r="X62" s="242"/>
      <c r="Y62" s="94">
        <v>4</v>
      </c>
      <c r="Z62" s="94">
        <v>0</v>
      </c>
      <c r="AA62" s="94">
        <f t="shared" si="38"/>
        <v>4</v>
      </c>
      <c r="AB62" s="120" t="str">
        <f t="shared" si="39"/>
        <v>F</v>
      </c>
      <c r="AC62" s="242"/>
      <c r="AD62" s="94">
        <v>8</v>
      </c>
      <c r="AE62" s="94">
        <v>0</v>
      </c>
      <c r="AF62" s="102">
        <f t="shared" si="40"/>
        <v>8</v>
      </c>
      <c r="AG62" s="120" t="str">
        <f t="shared" si="41"/>
        <v>F</v>
      </c>
      <c r="AH62" s="242"/>
      <c r="AI62" s="94">
        <v>12</v>
      </c>
      <c r="AJ62" s="94">
        <v>0</v>
      </c>
      <c r="AK62" s="94">
        <f t="shared" si="42"/>
        <v>12</v>
      </c>
      <c r="AL62" s="120" t="str">
        <f t="shared" si="43"/>
        <v>F</v>
      </c>
      <c r="AM62" s="242"/>
      <c r="AN62" s="98"/>
      <c r="AO62" s="94">
        <v>0</v>
      </c>
      <c r="AP62" s="92">
        <f t="shared" si="13"/>
        <v>0</v>
      </c>
      <c r="AQ62" s="120" t="str">
        <f t="shared" si="44"/>
        <v>F</v>
      </c>
      <c r="AR62" s="242"/>
      <c r="AS62" s="94">
        <v>0</v>
      </c>
      <c r="AT62" s="101" t="str">
        <f t="shared" si="15"/>
        <v>F</v>
      </c>
      <c r="AU62" s="242"/>
      <c r="AV62" s="98" t="str">
        <f t="shared" si="16"/>
        <v>F</v>
      </c>
      <c r="AW62" s="121" t="str">
        <f t="shared" si="45"/>
        <v>F</v>
      </c>
      <c r="AX62" s="97">
        <f t="shared" si="18"/>
        <v>81</v>
      </c>
      <c r="AY62" s="99"/>
      <c r="AZ62" s="99"/>
      <c r="BA62" s="27" t="str">
        <f t="shared" si="0"/>
        <v>NEED TO PROGRESS</v>
      </c>
    </row>
    <row r="63" spans="1:53">
      <c r="A63" s="21">
        <v>56</v>
      </c>
      <c r="B63" s="43">
        <v>76</v>
      </c>
      <c r="C63" s="44" t="s">
        <v>232</v>
      </c>
      <c r="D63" s="44"/>
      <c r="E63" s="44"/>
      <c r="F63" s="102">
        <v>14</v>
      </c>
      <c r="G63" s="102">
        <v>29</v>
      </c>
      <c r="H63" s="99">
        <v>6</v>
      </c>
      <c r="I63" s="102">
        <v>20</v>
      </c>
      <c r="J63" s="102">
        <f t="shared" si="36"/>
        <v>69</v>
      </c>
      <c r="K63" s="118">
        <f t="shared" si="37"/>
        <v>2</v>
      </c>
      <c r="L63" s="242"/>
      <c r="M63" s="102">
        <v>11</v>
      </c>
      <c r="N63" s="102">
        <v>30</v>
      </c>
      <c r="O63" s="102">
        <v>7</v>
      </c>
      <c r="P63" s="102">
        <v>24</v>
      </c>
      <c r="Q63" s="102">
        <f t="shared" si="46"/>
        <v>72</v>
      </c>
      <c r="R63" s="118">
        <f t="shared" si="47"/>
        <v>2</v>
      </c>
      <c r="S63" s="242"/>
      <c r="T63" s="102">
        <v>8</v>
      </c>
      <c r="U63" s="102">
        <v>40</v>
      </c>
      <c r="V63" s="100">
        <f t="shared" si="23"/>
        <v>48</v>
      </c>
      <c r="W63" s="101">
        <f t="shared" si="24"/>
        <v>2</v>
      </c>
      <c r="X63" s="242"/>
      <c r="Y63" s="102">
        <v>17</v>
      </c>
      <c r="Z63" s="102">
        <v>24</v>
      </c>
      <c r="AA63" s="102">
        <f t="shared" si="38"/>
        <v>41</v>
      </c>
      <c r="AB63" s="118">
        <f t="shared" si="39"/>
        <v>2</v>
      </c>
      <c r="AC63" s="242"/>
      <c r="AD63" s="102">
        <v>9</v>
      </c>
      <c r="AE63" s="102">
        <v>34</v>
      </c>
      <c r="AF63" s="102">
        <f t="shared" si="40"/>
        <v>43</v>
      </c>
      <c r="AG63" s="118">
        <f t="shared" si="41"/>
        <v>2</v>
      </c>
      <c r="AH63" s="242"/>
      <c r="AI63" s="102">
        <v>11</v>
      </c>
      <c r="AJ63" s="102">
        <v>32</v>
      </c>
      <c r="AK63" s="102">
        <f t="shared" si="42"/>
        <v>43</v>
      </c>
      <c r="AL63" s="118">
        <f t="shared" si="43"/>
        <v>2</v>
      </c>
      <c r="AM63" s="242"/>
      <c r="AN63" s="99"/>
      <c r="AO63" s="102">
        <v>27</v>
      </c>
      <c r="AP63" s="92">
        <f t="shared" si="13"/>
        <v>27</v>
      </c>
      <c r="AQ63" s="118">
        <f t="shared" si="44"/>
        <v>3</v>
      </c>
      <c r="AR63" s="242"/>
      <c r="AS63" s="102">
        <v>11</v>
      </c>
      <c r="AT63" s="101" t="str">
        <f t="shared" si="15"/>
        <v>F</v>
      </c>
      <c r="AU63" s="242"/>
      <c r="AV63" s="99">
        <f t="shared" si="16"/>
        <v>15</v>
      </c>
      <c r="AW63" s="119">
        <f t="shared" si="45"/>
        <v>2.1428571428571428</v>
      </c>
      <c r="AX63" s="105">
        <f t="shared" si="18"/>
        <v>343</v>
      </c>
      <c r="AY63" s="99"/>
      <c r="AZ63" s="99"/>
      <c r="BA63" s="27" t="str">
        <f t="shared" si="0"/>
        <v>GOOD</v>
      </c>
    </row>
    <row r="64" spans="1:53">
      <c r="A64" s="21">
        <v>57</v>
      </c>
      <c r="B64" s="43">
        <v>77</v>
      </c>
      <c r="C64" s="44" t="s">
        <v>233</v>
      </c>
      <c r="D64" s="44"/>
      <c r="E64" s="44"/>
      <c r="F64" s="102">
        <v>18</v>
      </c>
      <c r="G64" s="102">
        <v>49</v>
      </c>
      <c r="H64" s="99">
        <v>6</v>
      </c>
      <c r="I64" s="102">
        <v>20</v>
      </c>
      <c r="J64" s="102">
        <f t="shared" si="36"/>
        <v>93</v>
      </c>
      <c r="K64" s="118">
        <f t="shared" si="37"/>
        <v>3.5</v>
      </c>
      <c r="L64" s="242"/>
      <c r="M64" s="102">
        <v>12</v>
      </c>
      <c r="N64" s="102">
        <v>30</v>
      </c>
      <c r="O64" s="102">
        <v>7</v>
      </c>
      <c r="P64" s="102">
        <v>14</v>
      </c>
      <c r="Q64" s="102">
        <f t="shared" si="46"/>
        <v>63</v>
      </c>
      <c r="R64" s="118">
        <f t="shared" si="47"/>
        <v>2</v>
      </c>
      <c r="S64" s="242"/>
      <c r="T64" s="102">
        <v>8</v>
      </c>
      <c r="U64" s="102">
        <v>40</v>
      </c>
      <c r="V64" s="100">
        <f t="shared" si="23"/>
        <v>48</v>
      </c>
      <c r="W64" s="101">
        <f t="shared" si="24"/>
        <v>2</v>
      </c>
      <c r="X64" s="242"/>
      <c r="Y64" s="102">
        <v>16</v>
      </c>
      <c r="Z64" s="102">
        <v>30</v>
      </c>
      <c r="AA64" s="102">
        <f t="shared" si="38"/>
        <v>46</v>
      </c>
      <c r="AB64" s="118">
        <f t="shared" si="39"/>
        <v>2</v>
      </c>
      <c r="AC64" s="242"/>
      <c r="AD64" s="102">
        <v>0</v>
      </c>
      <c r="AE64" s="102">
        <v>40</v>
      </c>
      <c r="AF64" s="102">
        <f t="shared" si="40"/>
        <v>40</v>
      </c>
      <c r="AG64" s="118">
        <f t="shared" si="41"/>
        <v>2</v>
      </c>
      <c r="AH64" s="242"/>
      <c r="AI64" s="102">
        <v>11</v>
      </c>
      <c r="AJ64" s="102">
        <v>40</v>
      </c>
      <c r="AK64" s="102">
        <f t="shared" si="42"/>
        <v>51</v>
      </c>
      <c r="AL64" s="118">
        <f t="shared" si="43"/>
        <v>3</v>
      </c>
      <c r="AM64" s="242"/>
      <c r="AN64" s="99"/>
      <c r="AO64" s="102">
        <v>25</v>
      </c>
      <c r="AP64" s="92">
        <f t="shared" si="13"/>
        <v>25</v>
      </c>
      <c r="AQ64" s="118">
        <f t="shared" si="44"/>
        <v>3</v>
      </c>
      <c r="AR64" s="242"/>
      <c r="AS64" s="102">
        <v>46</v>
      </c>
      <c r="AT64" s="101">
        <f t="shared" si="15"/>
        <v>5</v>
      </c>
      <c r="AU64" s="242"/>
      <c r="AV64" s="99">
        <f t="shared" si="16"/>
        <v>17.5</v>
      </c>
      <c r="AW64" s="119">
        <f t="shared" si="45"/>
        <v>2.5</v>
      </c>
      <c r="AX64" s="105">
        <f t="shared" si="18"/>
        <v>366</v>
      </c>
      <c r="AY64" s="99"/>
      <c r="AZ64" s="99"/>
      <c r="BA64" s="27" t="str">
        <f t="shared" si="0"/>
        <v>GOOD</v>
      </c>
    </row>
    <row r="65" spans="1:53">
      <c r="A65" s="21">
        <v>58</v>
      </c>
      <c r="B65" s="43">
        <v>78</v>
      </c>
      <c r="C65" s="44" t="s">
        <v>234</v>
      </c>
      <c r="D65" s="44"/>
      <c r="E65" s="44"/>
      <c r="F65" s="102">
        <v>0</v>
      </c>
      <c r="G65" s="102">
        <v>71</v>
      </c>
      <c r="H65" s="99">
        <v>6</v>
      </c>
      <c r="I65" s="102">
        <v>28</v>
      </c>
      <c r="J65" s="102">
        <f t="shared" si="36"/>
        <v>105</v>
      </c>
      <c r="K65" s="118">
        <f t="shared" si="37"/>
        <v>4</v>
      </c>
      <c r="L65" s="242"/>
      <c r="M65" s="102">
        <v>5</v>
      </c>
      <c r="N65" s="102">
        <v>56</v>
      </c>
      <c r="O65" s="102">
        <v>0</v>
      </c>
      <c r="P65" s="102">
        <v>32</v>
      </c>
      <c r="Q65" s="102">
        <f t="shared" si="46"/>
        <v>93</v>
      </c>
      <c r="R65" s="118">
        <f t="shared" si="47"/>
        <v>3.5</v>
      </c>
      <c r="S65" s="242"/>
      <c r="T65" s="102">
        <v>18</v>
      </c>
      <c r="U65" s="102">
        <v>22</v>
      </c>
      <c r="V65" s="100">
        <f t="shared" si="23"/>
        <v>40</v>
      </c>
      <c r="W65" s="101">
        <f t="shared" si="24"/>
        <v>2</v>
      </c>
      <c r="X65" s="242"/>
      <c r="Y65" s="102">
        <v>0</v>
      </c>
      <c r="Z65" s="102">
        <v>64</v>
      </c>
      <c r="AA65" s="102">
        <f t="shared" si="38"/>
        <v>64</v>
      </c>
      <c r="AB65" s="118">
        <f t="shared" si="39"/>
        <v>3.5</v>
      </c>
      <c r="AC65" s="242"/>
      <c r="AD65" s="102">
        <v>0</v>
      </c>
      <c r="AE65" s="102">
        <v>83</v>
      </c>
      <c r="AF65" s="102">
        <f t="shared" si="40"/>
        <v>83</v>
      </c>
      <c r="AG65" s="118">
        <f t="shared" si="41"/>
        <v>5</v>
      </c>
      <c r="AH65" s="242"/>
      <c r="AI65" s="102">
        <v>0</v>
      </c>
      <c r="AJ65" s="102">
        <v>87</v>
      </c>
      <c r="AK65" s="102">
        <f t="shared" si="42"/>
        <v>87</v>
      </c>
      <c r="AL65" s="118">
        <f t="shared" si="43"/>
        <v>5</v>
      </c>
      <c r="AM65" s="242"/>
      <c r="AN65" s="99"/>
      <c r="AO65" s="102">
        <v>49</v>
      </c>
      <c r="AP65" s="92">
        <f t="shared" si="13"/>
        <v>49</v>
      </c>
      <c r="AQ65" s="118">
        <f t="shared" si="44"/>
        <v>5</v>
      </c>
      <c r="AR65" s="242"/>
      <c r="AS65" s="102">
        <v>45</v>
      </c>
      <c r="AT65" s="101">
        <f t="shared" si="15"/>
        <v>5</v>
      </c>
      <c r="AU65" s="242"/>
      <c r="AV65" s="99">
        <f t="shared" si="16"/>
        <v>28</v>
      </c>
      <c r="AW65" s="119">
        <f t="shared" si="45"/>
        <v>4</v>
      </c>
      <c r="AX65" s="105">
        <f t="shared" si="18"/>
        <v>521</v>
      </c>
      <c r="AY65" s="99"/>
      <c r="AZ65" s="99"/>
      <c r="BA65" s="27" t="str">
        <f t="shared" si="0"/>
        <v>BETTER</v>
      </c>
    </row>
    <row r="66" spans="1:53">
      <c r="A66" s="21">
        <v>59</v>
      </c>
      <c r="B66" s="43">
        <v>79</v>
      </c>
      <c r="C66" s="44" t="s">
        <v>235</v>
      </c>
      <c r="D66" s="44"/>
      <c r="E66" s="44"/>
      <c r="F66" s="102">
        <v>0</v>
      </c>
      <c r="G66" s="102">
        <v>10</v>
      </c>
      <c r="H66" s="99">
        <v>0</v>
      </c>
      <c r="I66" s="102">
        <v>5</v>
      </c>
      <c r="J66" s="102">
        <f t="shared" si="36"/>
        <v>15</v>
      </c>
      <c r="K66" s="118" t="str">
        <f t="shared" si="37"/>
        <v>F</v>
      </c>
      <c r="L66" s="242"/>
      <c r="M66" s="102">
        <v>5</v>
      </c>
      <c r="N66" s="102">
        <v>10</v>
      </c>
      <c r="O66" s="102">
        <v>0</v>
      </c>
      <c r="P66" s="102">
        <v>0</v>
      </c>
      <c r="Q66" s="102">
        <f t="shared" si="46"/>
        <v>15</v>
      </c>
      <c r="R66" s="118" t="str">
        <f t="shared" si="47"/>
        <v>F</v>
      </c>
      <c r="S66" s="242"/>
      <c r="T66" s="102">
        <v>0</v>
      </c>
      <c r="U66" s="102">
        <v>5</v>
      </c>
      <c r="V66" s="100">
        <f t="shared" si="23"/>
        <v>5</v>
      </c>
      <c r="W66" s="101" t="str">
        <f t="shared" si="24"/>
        <v>F</v>
      </c>
      <c r="X66" s="242"/>
      <c r="Y66" s="102">
        <v>0</v>
      </c>
      <c r="Z66" s="102">
        <v>0</v>
      </c>
      <c r="AA66" s="102">
        <f t="shared" si="38"/>
        <v>0</v>
      </c>
      <c r="AB66" s="118" t="str">
        <f t="shared" si="39"/>
        <v>F</v>
      </c>
      <c r="AC66" s="242"/>
      <c r="AD66" s="102">
        <v>0</v>
      </c>
      <c r="AE66" s="102">
        <v>2</v>
      </c>
      <c r="AF66" s="102">
        <f t="shared" si="40"/>
        <v>2</v>
      </c>
      <c r="AG66" s="118" t="str">
        <f t="shared" si="41"/>
        <v>F</v>
      </c>
      <c r="AH66" s="242"/>
      <c r="AI66" s="102">
        <v>0</v>
      </c>
      <c r="AJ66" s="102">
        <v>16</v>
      </c>
      <c r="AK66" s="102">
        <f t="shared" si="42"/>
        <v>16</v>
      </c>
      <c r="AL66" s="118" t="str">
        <f t="shared" si="43"/>
        <v>F</v>
      </c>
      <c r="AM66" s="242"/>
      <c r="AN66" s="99"/>
      <c r="AO66" s="102">
        <v>10</v>
      </c>
      <c r="AP66" s="92">
        <f t="shared" si="13"/>
        <v>10</v>
      </c>
      <c r="AQ66" s="118" t="str">
        <f t="shared" si="44"/>
        <v>F</v>
      </c>
      <c r="AR66" s="242"/>
      <c r="AS66" s="102">
        <v>20</v>
      </c>
      <c r="AT66" s="101">
        <f t="shared" si="15"/>
        <v>2</v>
      </c>
      <c r="AU66" s="242"/>
      <c r="AV66" s="99" t="str">
        <f t="shared" si="16"/>
        <v>F</v>
      </c>
      <c r="AW66" s="119" t="str">
        <f t="shared" si="45"/>
        <v>F</v>
      </c>
      <c r="AX66" s="105">
        <f t="shared" si="18"/>
        <v>63</v>
      </c>
      <c r="AY66" s="99"/>
      <c r="AZ66" s="99"/>
      <c r="BA66" s="27" t="str">
        <f t="shared" si="0"/>
        <v>NEED TO PROGRESS</v>
      </c>
    </row>
    <row r="67" spans="1:53">
      <c r="A67" s="21">
        <v>60</v>
      </c>
      <c r="B67" s="43">
        <v>80</v>
      </c>
      <c r="C67" s="44" t="s">
        <v>236</v>
      </c>
      <c r="D67" s="49"/>
      <c r="E67" s="49"/>
      <c r="F67" s="102">
        <v>0</v>
      </c>
      <c r="G67" s="102">
        <v>22</v>
      </c>
      <c r="H67" s="99">
        <v>0</v>
      </c>
      <c r="I67" s="102">
        <v>5</v>
      </c>
      <c r="J67" s="102">
        <f t="shared" si="36"/>
        <v>27</v>
      </c>
      <c r="K67" s="118" t="str">
        <f t="shared" si="37"/>
        <v>F</v>
      </c>
      <c r="L67" s="243"/>
      <c r="M67" s="102">
        <v>5</v>
      </c>
      <c r="N67" s="102">
        <v>34</v>
      </c>
      <c r="O67" s="102">
        <v>0</v>
      </c>
      <c r="P67" s="102">
        <v>1</v>
      </c>
      <c r="Q67" s="102">
        <f t="shared" si="46"/>
        <v>40</v>
      </c>
      <c r="R67" s="118" t="str">
        <f t="shared" si="47"/>
        <v>F</v>
      </c>
      <c r="S67" s="243"/>
      <c r="T67" s="102">
        <v>0</v>
      </c>
      <c r="U67" s="102">
        <v>44</v>
      </c>
      <c r="V67" s="100">
        <f t="shared" si="23"/>
        <v>44</v>
      </c>
      <c r="W67" s="101">
        <f t="shared" si="24"/>
        <v>2</v>
      </c>
      <c r="X67" s="243"/>
      <c r="Y67" s="102">
        <v>0</v>
      </c>
      <c r="Z67" s="102">
        <v>32</v>
      </c>
      <c r="AA67" s="102">
        <f t="shared" si="38"/>
        <v>32</v>
      </c>
      <c r="AB67" s="118" t="str">
        <f t="shared" si="39"/>
        <v>F</v>
      </c>
      <c r="AC67" s="243"/>
      <c r="AD67" s="102">
        <v>0</v>
      </c>
      <c r="AE67" s="102">
        <v>16</v>
      </c>
      <c r="AF67" s="102">
        <f t="shared" si="40"/>
        <v>16</v>
      </c>
      <c r="AG67" s="118" t="str">
        <f t="shared" si="41"/>
        <v>F</v>
      </c>
      <c r="AH67" s="243"/>
      <c r="AI67" s="102">
        <v>0</v>
      </c>
      <c r="AJ67" s="102">
        <v>40</v>
      </c>
      <c r="AK67" s="102">
        <f t="shared" si="42"/>
        <v>40</v>
      </c>
      <c r="AL67" s="118">
        <f t="shared" si="43"/>
        <v>2</v>
      </c>
      <c r="AM67" s="243"/>
      <c r="AN67" s="99"/>
      <c r="AO67" s="102">
        <v>12</v>
      </c>
      <c r="AP67" s="92">
        <f t="shared" si="13"/>
        <v>12</v>
      </c>
      <c r="AQ67" s="118" t="str">
        <f t="shared" si="44"/>
        <v>F</v>
      </c>
      <c r="AR67" s="243"/>
      <c r="AS67" s="102">
        <v>17</v>
      </c>
      <c r="AT67" s="101" t="str">
        <f t="shared" si="15"/>
        <v>F</v>
      </c>
      <c r="AU67" s="243"/>
      <c r="AV67" s="99" t="str">
        <f t="shared" si="16"/>
        <v>F</v>
      </c>
      <c r="AW67" s="119" t="str">
        <f t="shared" si="45"/>
        <v>F</v>
      </c>
      <c r="AX67" s="105">
        <f t="shared" si="18"/>
        <v>211</v>
      </c>
      <c r="AY67" s="99"/>
      <c r="AZ67" s="99"/>
      <c r="BA67" s="27" t="str">
        <f t="shared" si="0"/>
        <v>NEED TO PROGRESS</v>
      </c>
    </row>
  </sheetData>
  <mergeCells count="51">
    <mergeCell ref="AM8:AM67"/>
    <mergeCell ref="AR8:AR67"/>
    <mergeCell ref="AU8:AU67"/>
    <mergeCell ref="L8:L67"/>
    <mergeCell ref="S8:S67"/>
    <mergeCell ref="X8:X67"/>
    <mergeCell ref="AC8:AC67"/>
    <mergeCell ref="AH8:AH67"/>
    <mergeCell ref="W5:AA5"/>
    <mergeCell ref="AE5:AH5"/>
    <mergeCell ref="AI5:AM5"/>
    <mergeCell ref="AN5:AZ5"/>
    <mergeCell ref="A1:BA4"/>
    <mergeCell ref="A5:C5"/>
    <mergeCell ref="F5:G5"/>
    <mergeCell ref="H5:N5"/>
    <mergeCell ref="O5:R5"/>
    <mergeCell ref="S5:U5"/>
    <mergeCell ref="B6:B7"/>
    <mergeCell ref="A6:A7"/>
    <mergeCell ref="C6:C7"/>
    <mergeCell ref="AC6:AC7"/>
    <mergeCell ref="D6:D7"/>
    <mergeCell ref="L6:L7"/>
    <mergeCell ref="H6:I6"/>
    <mergeCell ref="J6:J7"/>
    <mergeCell ref="K6:K7"/>
    <mergeCell ref="M6:N6"/>
    <mergeCell ref="O6:P6"/>
    <mergeCell ref="Q6:Q7"/>
    <mergeCell ref="R6:R7"/>
    <mergeCell ref="S6:S7"/>
    <mergeCell ref="T6:W6"/>
    <mergeCell ref="X6:X7"/>
    <mergeCell ref="AH6:AH7"/>
    <mergeCell ref="AY6:AY7"/>
    <mergeCell ref="F6:G6"/>
    <mergeCell ref="AZ6:AZ7"/>
    <mergeCell ref="E6:E7"/>
    <mergeCell ref="Y6:AB6"/>
    <mergeCell ref="AD6:AG6"/>
    <mergeCell ref="AI6:AL6"/>
    <mergeCell ref="AN6:AQ6"/>
    <mergeCell ref="AR6:AR7"/>
    <mergeCell ref="AM6:AM7"/>
    <mergeCell ref="BA6:BA7"/>
    <mergeCell ref="AS6:AT6"/>
    <mergeCell ref="AV6:AV7"/>
    <mergeCell ref="AW6:AW7"/>
    <mergeCell ref="AX6:AX7"/>
    <mergeCell ref="AU6:AU7"/>
  </mergeCells>
  <conditionalFormatting sqref="B8:B19">
    <cfRule type="duplicateValues" dxfId="76" priority="39"/>
  </conditionalFormatting>
  <conditionalFormatting sqref="F8:F37 M8:M37 T8:T37 Y8:Y37 AD8:AD37 AI8:AI37">
    <cfRule type="cellIs" dxfId="75" priority="45" operator="greaterThan">
      <formula>20</formula>
    </cfRule>
  </conditionalFormatting>
  <conditionalFormatting sqref="G8:G37 N8:N37 U8:V37 V23:V67 Z8:AA37 AE8:AF37 AJ8:AK37">
    <cfRule type="cellIs" dxfId="74" priority="42" operator="greaterThan">
      <formula>100</formula>
    </cfRule>
  </conditionalFormatting>
  <conditionalFormatting sqref="O8:O37 AN8:AN37 H8:H67">
    <cfRule type="cellIs" dxfId="73" priority="46" operator="greaterThan">
      <formula>10</formula>
    </cfRule>
  </conditionalFormatting>
  <conditionalFormatting sqref="I8:I37 P8:P37">
    <cfRule type="cellIs" dxfId="72" priority="43" operator="greaterThan">
      <formula>50</formula>
    </cfRule>
  </conditionalFormatting>
  <conditionalFormatting sqref="J8:J37 Q8:Q38">
    <cfRule type="cellIs" dxfId="71" priority="44" operator="greaterThan">
      <formula>150</formula>
    </cfRule>
  </conditionalFormatting>
  <conditionalFormatting sqref="AO8:AP37 AP9:AP67 AS8:AS37">
    <cfRule type="cellIs" dxfId="70" priority="40" operator="greaterThan">
      <formula>50</formula>
    </cfRule>
  </conditionalFormatting>
  <conditionalFormatting sqref="AV6:AV7">
    <cfRule type="cellIs" dxfId="69" priority="47" operator="equal">
      <formula>"F"</formula>
    </cfRule>
  </conditionalFormatting>
  <conditionalFormatting sqref="B8:B19">
    <cfRule type="duplicateValues" dxfId="68" priority="38"/>
  </conditionalFormatting>
  <conditionalFormatting sqref="B19">
    <cfRule type="duplicateValues" dxfId="67" priority="37"/>
  </conditionalFormatting>
  <conditionalFormatting sqref="B20:B26">
    <cfRule type="duplicateValues" dxfId="66" priority="36"/>
  </conditionalFormatting>
  <conditionalFormatting sqref="B27:B33">
    <cfRule type="duplicateValues" dxfId="65" priority="35"/>
  </conditionalFormatting>
  <conditionalFormatting sqref="B34">
    <cfRule type="duplicateValues" dxfId="64" priority="34"/>
  </conditionalFormatting>
  <conditionalFormatting sqref="B35">
    <cfRule type="duplicateValues" dxfId="63" priority="33"/>
  </conditionalFormatting>
  <conditionalFormatting sqref="J36 Q36">
    <cfRule type="cellIs" dxfId="62" priority="32" operator="greaterThan">
      <formula>150</formula>
    </cfRule>
  </conditionalFormatting>
  <conditionalFormatting sqref="AN36">
    <cfRule type="cellIs" dxfId="61" priority="31" operator="greaterThan">
      <formula>10</formula>
    </cfRule>
  </conditionalFormatting>
  <conditionalFormatting sqref="M36 T36 AD36 AI36 H36:I36 O36:P36 Y36:Z36 AS36 F36">
    <cfRule type="cellIs" dxfId="60" priority="30" operator="greaterThan">
      <formula>20</formula>
    </cfRule>
  </conditionalFormatting>
  <conditionalFormatting sqref="G36 N36 AA36 U36:V36 AE36:AF36 AJ36:AK36">
    <cfRule type="cellIs" dxfId="59" priority="29" operator="greaterThan">
      <formula>100</formula>
    </cfRule>
  </conditionalFormatting>
  <conditionalFormatting sqref="AO36:AP36">
    <cfRule type="cellIs" dxfId="58" priority="28" operator="greaterThan">
      <formula>50</formula>
    </cfRule>
  </conditionalFormatting>
  <conditionalFormatting sqref="B36:B44">
    <cfRule type="duplicateValues" dxfId="57" priority="27"/>
  </conditionalFormatting>
  <conditionalFormatting sqref="M36:M67 AD36:AD67 AI36:AI67 F36:F67 T36:T67 Y36:Y67">
    <cfRule type="cellIs" dxfId="56" priority="26" operator="greaterThan">
      <formula>20</formula>
    </cfRule>
  </conditionalFormatting>
  <conditionalFormatting sqref="N36:N67 G36:G67 U36:V67 Z36:AA67 AJ36:AK67 AE36:AF67">
    <cfRule type="cellIs" dxfId="55" priority="25" operator="greaterThan">
      <formula>100</formula>
    </cfRule>
  </conditionalFormatting>
  <conditionalFormatting sqref="H36:H67 AN36:AN67 O36:O67">
    <cfRule type="cellIs" dxfId="54" priority="24" operator="greaterThan">
      <formula>10</formula>
    </cfRule>
  </conditionalFormatting>
  <conditionalFormatting sqref="J36:J67 Q36:Q67">
    <cfRule type="cellIs" dxfId="53" priority="23" operator="greaterThan">
      <formula>150</formula>
    </cfRule>
  </conditionalFormatting>
  <conditionalFormatting sqref="AS36:AS67 AP36:AP67">
    <cfRule type="cellIs" dxfId="52" priority="22" operator="greaterThan">
      <formula>50</formula>
    </cfRule>
  </conditionalFormatting>
  <conditionalFormatting sqref="AS36:AS67 P36:P67 I36:I67 AO36:AO67">
    <cfRule type="cellIs" dxfId="51" priority="21" operator="greaterThan">
      <formula>50</formula>
    </cfRule>
  </conditionalFormatting>
  <conditionalFormatting sqref="B43">
    <cfRule type="duplicateValues" dxfId="50" priority="20"/>
  </conditionalFormatting>
  <conditionalFormatting sqref="B44:B51">
    <cfRule type="duplicateValues" dxfId="49" priority="19"/>
  </conditionalFormatting>
  <conditionalFormatting sqref="B52:B54">
    <cfRule type="duplicateValues" dxfId="48" priority="18"/>
  </conditionalFormatting>
  <conditionalFormatting sqref="B55">
    <cfRule type="duplicateValues" dxfId="47" priority="17"/>
  </conditionalFormatting>
  <conditionalFormatting sqref="B56">
    <cfRule type="duplicateValues" dxfId="46" priority="16"/>
  </conditionalFormatting>
  <conditionalFormatting sqref="B59">
    <cfRule type="duplicateValues" dxfId="45" priority="15"/>
  </conditionalFormatting>
  <conditionalFormatting sqref="B57:B58 B60:B67">
    <cfRule type="duplicateValues" dxfId="44" priority="14"/>
  </conditionalFormatting>
  <conditionalFormatting sqref="F8:F35">
    <cfRule type="cellIs" dxfId="43" priority="13" operator="greaterThan">
      <formula>20</formula>
    </cfRule>
  </conditionalFormatting>
  <conditionalFormatting sqref="G8:G35">
    <cfRule type="cellIs" dxfId="42" priority="12" operator="greaterThan">
      <formula>100</formula>
    </cfRule>
  </conditionalFormatting>
  <conditionalFormatting sqref="H8:H67">
    <cfRule type="cellIs" dxfId="41" priority="11" operator="greaterThan">
      <formula>10</formula>
    </cfRule>
  </conditionalFormatting>
  <conditionalFormatting sqref="I8:I35">
    <cfRule type="cellIs" dxfId="40" priority="10" operator="greaterThan">
      <formula>50</formula>
    </cfRule>
  </conditionalFormatting>
  <conditionalFormatting sqref="F36:F61">
    <cfRule type="cellIs" dxfId="39" priority="9" operator="greaterThan">
      <formula>20</formula>
    </cfRule>
  </conditionalFormatting>
  <conditionalFormatting sqref="G36:G61">
    <cfRule type="cellIs" dxfId="38" priority="8" operator="greaterThan">
      <formula>100</formula>
    </cfRule>
  </conditionalFormatting>
  <conditionalFormatting sqref="H36:H61">
    <cfRule type="cellIs" dxfId="37" priority="7" operator="greaterThan">
      <formula>10</formula>
    </cfRule>
  </conditionalFormatting>
  <conditionalFormatting sqref="I36:I61">
    <cfRule type="cellIs" dxfId="36" priority="6" operator="greaterThan">
      <formula>50</formula>
    </cfRule>
  </conditionalFormatting>
  <conditionalFormatting sqref="F9:F34">
    <cfRule type="cellIs" dxfId="35" priority="5" operator="greaterThan">
      <formula>20</formula>
    </cfRule>
  </conditionalFormatting>
  <conditionalFormatting sqref="G9:G34">
    <cfRule type="cellIs" dxfId="34" priority="4" operator="greaterThan">
      <formula>100</formula>
    </cfRule>
  </conditionalFormatting>
  <conditionalFormatting sqref="H9:H67">
    <cfRule type="cellIs" dxfId="33" priority="3" operator="greaterThan">
      <formula>10</formula>
    </cfRule>
  </conditionalFormatting>
  <conditionalFormatting sqref="I9:I34">
    <cfRule type="cellIs" dxfId="32" priority="2" operator="greaterThan">
      <formula>50</formula>
    </cfRule>
  </conditionalFormatting>
  <conditionalFormatting sqref="AP8:AP67">
    <cfRule type="cellIs" dxfId="31" priority="1" operator="greaterThan">
      <formula>100</formula>
    </cfRule>
  </conditionalFormatting>
  <pageMargins left="0" right="0" top="0" bottom="0" header="0.31496062992125984" footer="0"/>
  <pageSetup paperSize="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BF161"/>
  <sheetViews>
    <sheetView topLeftCell="A45" workbookViewId="0">
      <selection activeCell="AY67" sqref="AY67"/>
    </sheetView>
  </sheetViews>
  <sheetFormatPr defaultColWidth="4.7109375" defaultRowHeight="15"/>
  <cols>
    <col min="1" max="1" width="3.7109375" style="1" customWidth="1"/>
    <col min="2" max="2" width="3.5703125" style="1" customWidth="1"/>
    <col min="3" max="3" width="22.5703125" style="1" bestFit="1" customWidth="1"/>
    <col min="4" max="4" width="24.42578125" style="1" hidden="1" customWidth="1"/>
    <col min="5" max="5" width="26.28515625" style="1" hidden="1" customWidth="1"/>
    <col min="6" max="10" width="3.7109375" style="1" customWidth="1"/>
    <col min="11" max="11" width="4.5703125" style="1" bestFit="1" customWidth="1"/>
    <col min="12" max="12" width="5.5703125" style="1" customWidth="1"/>
    <col min="13" max="13" width="4.7109375" style="1" customWidth="1"/>
    <col min="14" max="14" width="3.7109375" style="1" customWidth="1"/>
    <col min="15" max="15" width="4.42578125" style="1" customWidth="1"/>
    <col min="16" max="16" width="3.7109375" style="1" customWidth="1"/>
    <col min="17" max="17" width="4.5703125" style="1" customWidth="1"/>
    <col min="18" max="18" width="4.42578125" style="1" customWidth="1"/>
    <col min="19" max="19" width="6.140625" style="1" customWidth="1"/>
    <col min="20" max="22" width="3.7109375" style="1" customWidth="1"/>
    <col min="23" max="23" width="4.7109375" style="1" bestFit="1" customWidth="1"/>
    <col min="24" max="24" width="5.85546875" style="1" customWidth="1"/>
    <col min="25" max="27" width="3.7109375" style="1" customWidth="1"/>
    <col min="28" max="28" width="4.5703125" style="1" bestFit="1" customWidth="1"/>
    <col min="29" max="29" width="5.7109375" style="1" customWidth="1"/>
    <col min="30" max="32" width="3.7109375" style="1" customWidth="1"/>
    <col min="33" max="33" width="4.5703125" style="1" bestFit="1" customWidth="1"/>
    <col min="34" max="34" width="5.85546875" style="1" customWidth="1"/>
    <col min="35" max="37" width="3.7109375" style="1" customWidth="1"/>
    <col min="38" max="38" width="4.5703125" style="1" bestFit="1" customWidth="1"/>
    <col min="39" max="39" width="6.5703125" style="1" customWidth="1"/>
    <col min="40" max="40" width="3.7109375" style="1" customWidth="1"/>
    <col min="41" max="41" width="3.85546875" style="1" bestFit="1" customWidth="1"/>
    <col min="42" max="42" width="3.7109375" style="1" customWidth="1"/>
    <col min="43" max="43" width="4.5703125" style="1" bestFit="1" customWidth="1"/>
    <col min="44" max="44" width="5.7109375" style="1" customWidth="1"/>
    <col min="45" max="45" width="3.7109375" style="1" customWidth="1"/>
    <col min="46" max="46" width="4.5703125" style="1" bestFit="1" customWidth="1"/>
    <col min="47" max="47" width="6.28515625" style="1" customWidth="1"/>
    <col min="48" max="48" width="3.7109375" style="1" customWidth="1"/>
    <col min="49" max="49" width="4.5703125" style="1" bestFit="1" customWidth="1"/>
    <col min="50" max="50" width="5.140625" style="1" bestFit="1" customWidth="1"/>
    <col min="51" max="51" width="6.85546875" style="1" customWidth="1"/>
    <col min="52" max="52" width="8.5703125" style="1" bestFit="1" customWidth="1"/>
    <col min="53" max="53" width="14.5703125" style="1" bestFit="1" customWidth="1"/>
    <col min="54" max="56" width="4" style="1" bestFit="1" customWidth="1"/>
    <col min="57" max="16384" width="4.7109375" style="1"/>
  </cols>
  <sheetData>
    <row r="1" spans="1:58" ht="15" customHeight="1">
      <c r="A1" s="201" t="s">
        <v>238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2"/>
      <c r="X1" s="202"/>
      <c r="Y1" s="202"/>
      <c r="Z1" s="202"/>
      <c r="AA1" s="202"/>
      <c r="AB1" s="202"/>
      <c r="AC1" s="202"/>
      <c r="AD1" s="202"/>
      <c r="AE1" s="202"/>
      <c r="AF1" s="202"/>
      <c r="AG1" s="202"/>
      <c r="AH1" s="202"/>
      <c r="AI1" s="202"/>
      <c r="AJ1" s="202"/>
      <c r="AK1" s="202"/>
      <c r="AL1" s="202"/>
      <c r="AM1" s="202"/>
      <c r="AN1" s="202"/>
      <c r="AO1" s="202"/>
      <c r="AP1" s="202"/>
      <c r="AQ1" s="202"/>
      <c r="AR1" s="202"/>
      <c r="AS1" s="202"/>
      <c r="AT1" s="202"/>
      <c r="AU1" s="202"/>
      <c r="AV1" s="202"/>
      <c r="AW1" s="202"/>
      <c r="AX1" s="202"/>
      <c r="AY1" s="202"/>
      <c r="AZ1" s="202"/>
      <c r="BA1" s="29"/>
    </row>
    <row r="2" spans="1:58" ht="15" customHeight="1">
      <c r="A2" s="203"/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"/>
    </row>
    <row r="3" spans="1:58" ht="15" customHeight="1">
      <c r="A3" s="203"/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"/>
    </row>
    <row r="4" spans="1:58" ht="15" customHeight="1">
      <c r="A4" s="205"/>
      <c r="B4" s="206"/>
      <c r="C4" s="206"/>
      <c r="D4" s="206"/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6"/>
      <c r="AF4" s="206"/>
      <c r="AG4" s="206"/>
      <c r="AH4" s="206"/>
      <c r="AI4" s="206"/>
      <c r="AJ4" s="206"/>
      <c r="AK4" s="206"/>
      <c r="AL4" s="206"/>
      <c r="AM4" s="206"/>
      <c r="AN4" s="206"/>
      <c r="AO4" s="206"/>
      <c r="AP4" s="206"/>
      <c r="AQ4" s="206"/>
      <c r="AR4" s="206"/>
      <c r="AS4" s="206"/>
      <c r="AT4" s="206"/>
      <c r="AU4" s="206"/>
      <c r="AV4" s="206"/>
      <c r="AW4" s="206"/>
      <c r="AX4" s="206"/>
      <c r="AY4" s="206"/>
      <c r="AZ4" s="206"/>
      <c r="BA4" s="2"/>
    </row>
    <row r="5" spans="1:58" s="28" customFormat="1" ht="17.25" customHeight="1">
      <c r="A5" s="210" t="s">
        <v>17</v>
      </c>
      <c r="B5" s="210"/>
      <c r="C5" s="210"/>
      <c r="D5" s="15" t="s">
        <v>30</v>
      </c>
      <c r="E5" s="15" t="s">
        <v>18</v>
      </c>
      <c r="F5" s="239"/>
      <c r="G5" s="240"/>
      <c r="H5" s="210" t="s">
        <v>66</v>
      </c>
      <c r="I5" s="210"/>
      <c r="J5" s="210"/>
      <c r="K5" s="210"/>
      <c r="L5" s="210"/>
      <c r="M5" s="210"/>
      <c r="N5" s="210"/>
      <c r="O5" s="210" t="s">
        <v>19</v>
      </c>
      <c r="P5" s="210"/>
      <c r="Q5" s="210"/>
      <c r="R5" s="210"/>
      <c r="S5" s="210" t="s">
        <v>54</v>
      </c>
      <c r="T5" s="210"/>
      <c r="U5" s="210"/>
      <c r="V5" s="18"/>
      <c r="W5" s="210" t="s">
        <v>20</v>
      </c>
      <c r="X5" s="210"/>
      <c r="Y5" s="210"/>
      <c r="Z5" s="210"/>
      <c r="AA5" s="210"/>
      <c r="AB5" s="15"/>
      <c r="AC5" s="15">
        <v>44</v>
      </c>
      <c r="AD5" s="18"/>
      <c r="AE5" s="210" t="s">
        <v>21</v>
      </c>
      <c r="AF5" s="210"/>
      <c r="AG5" s="210"/>
      <c r="AH5" s="210"/>
      <c r="AI5" s="230" t="s">
        <v>67</v>
      </c>
      <c r="AJ5" s="230"/>
      <c r="AK5" s="230"/>
      <c r="AL5" s="230"/>
      <c r="AM5" s="230"/>
      <c r="AN5" s="231"/>
      <c r="AO5" s="232"/>
      <c r="AP5" s="232"/>
      <c r="AQ5" s="232"/>
      <c r="AR5" s="232"/>
      <c r="AS5" s="232"/>
      <c r="AT5" s="232"/>
      <c r="AU5" s="232"/>
      <c r="AV5" s="232"/>
      <c r="AW5" s="232"/>
      <c r="AX5" s="232"/>
      <c r="AY5" s="232"/>
      <c r="AZ5" s="233"/>
      <c r="BA5" s="35"/>
    </row>
    <row r="6" spans="1:58" s="36" customFormat="1" ht="19.5" customHeight="1">
      <c r="A6" s="191" t="s">
        <v>0</v>
      </c>
      <c r="B6" s="191" t="s">
        <v>1</v>
      </c>
      <c r="C6" s="228" t="s">
        <v>2</v>
      </c>
      <c r="D6" s="225" t="s">
        <v>24</v>
      </c>
      <c r="E6" s="225" t="s">
        <v>25</v>
      </c>
      <c r="F6" s="248" t="s">
        <v>27</v>
      </c>
      <c r="G6" s="248"/>
      <c r="H6" s="249" t="s">
        <v>26</v>
      </c>
      <c r="I6" s="250"/>
      <c r="J6" s="225" t="s">
        <v>3</v>
      </c>
      <c r="K6" s="191" t="s">
        <v>4</v>
      </c>
      <c r="L6" s="191" t="s">
        <v>64</v>
      </c>
      <c r="M6" s="248" t="s">
        <v>12</v>
      </c>
      <c r="N6" s="248"/>
      <c r="O6" s="248" t="s">
        <v>13</v>
      </c>
      <c r="P6" s="248"/>
      <c r="Q6" s="191" t="s">
        <v>3</v>
      </c>
      <c r="R6" s="191" t="s">
        <v>4</v>
      </c>
      <c r="S6" s="191" t="s">
        <v>64</v>
      </c>
      <c r="T6" s="249" t="s">
        <v>14</v>
      </c>
      <c r="U6" s="250"/>
      <c r="V6" s="250"/>
      <c r="W6" s="251"/>
      <c r="X6" s="191" t="s">
        <v>64</v>
      </c>
      <c r="Y6" s="249" t="s">
        <v>6</v>
      </c>
      <c r="Z6" s="250"/>
      <c r="AA6" s="250"/>
      <c r="AB6" s="251"/>
      <c r="AC6" s="191" t="s">
        <v>64</v>
      </c>
      <c r="AD6" s="249" t="s">
        <v>7</v>
      </c>
      <c r="AE6" s="250"/>
      <c r="AF6" s="250"/>
      <c r="AG6" s="251"/>
      <c r="AH6" s="191" t="s">
        <v>64</v>
      </c>
      <c r="AI6" s="249" t="s">
        <v>8</v>
      </c>
      <c r="AJ6" s="250"/>
      <c r="AK6" s="250"/>
      <c r="AL6" s="250"/>
      <c r="AM6" s="191" t="s">
        <v>64</v>
      </c>
      <c r="AN6" s="245" t="s">
        <v>31</v>
      </c>
      <c r="AO6" s="246"/>
      <c r="AP6" s="246"/>
      <c r="AQ6" s="247"/>
      <c r="AR6" s="191" t="s">
        <v>64</v>
      </c>
      <c r="AS6" s="245" t="s">
        <v>28</v>
      </c>
      <c r="AT6" s="246"/>
      <c r="AU6" s="191" t="s">
        <v>64</v>
      </c>
      <c r="AV6" s="191" t="s">
        <v>9</v>
      </c>
      <c r="AW6" s="225" t="s">
        <v>10</v>
      </c>
      <c r="AX6" s="191" t="s">
        <v>16</v>
      </c>
      <c r="AY6" s="191" t="s">
        <v>15</v>
      </c>
      <c r="AZ6" s="227" t="s">
        <v>22</v>
      </c>
      <c r="BA6" s="223" t="s">
        <v>23</v>
      </c>
      <c r="BB6" s="244" t="s">
        <v>55</v>
      </c>
      <c r="BC6" s="244"/>
      <c r="BD6" s="244"/>
      <c r="BE6" s="244"/>
      <c r="BF6" s="244"/>
    </row>
    <row r="7" spans="1:58" ht="21" customHeight="1">
      <c r="A7" s="191"/>
      <c r="B7" s="191"/>
      <c r="C7" s="228"/>
      <c r="D7" s="226"/>
      <c r="E7" s="226"/>
      <c r="F7" s="19" t="s">
        <v>11</v>
      </c>
      <c r="G7" s="20" t="s">
        <v>5</v>
      </c>
      <c r="H7" s="19" t="s">
        <v>11</v>
      </c>
      <c r="I7" s="20" t="s">
        <v>5</v>
      </c>
      <c r="J7" s="229"/>
      <c r="K7" s="191"/>
      <c r="L7" s="191"/>
      <c r="M7" s="20" t="s">
        <v>11</v>
      </c>
      <c r="N7" s="20" t="s">
        <v>5</v>
      </c>
      <c r="O7" s="20" t="s">
        <v>11</v>
      </c>
      <c r="P7" s="20" t="s">
        <v>5</v>
      </c>
      <c r="Q7" s="191"/>
      <c r="R7" s="191"/>
      <c r="S7" s="191"/>
      <c r="T7" s="19" t="s">
        <v>11</v>
      </c>
      <c r="U7" s="20" t="s">
        <v>5</v>
      </c>
      <c r="V7" s="19" t="s">
        <v>3</v>
      </c>
      <c r="W7" s="19" t="s">
        <v>4</v>
      </c>
      <c r="X7" s="191"/>
      <c r="Y7" s="19" t="s">
        <v>11</v>
      </c>
      <c r="Z7" s="20" t="s">
        <v>5</v>
      </c>
      <c r="AA7" s="19" t="s">
        <v>3</v>
      </c>
      <c r="AB7" s="19" t="s">
        <v>4</v>
      </c>
      <c r="AC7" s="191"/>
      <c r="AD7" s="19" t="s">
        <v>11</v>
      </c>
      <c r="AE7" s="20" t="s">
        <v>5</v>
      </c>
      <c r="AF7" s="19" t="s">
        <v>3</v>
      </c>
      <c r="AG7" s="19" t="s">
        <v>4</v>
      </c>
      <c r="AH7" s="191"/>
      <c r="AI7" s="19" t="s">
        <v>11</v>
      </c>
      <c r="AJ7" s="20" t="s">
        <v>5</v>
      </c>
      <c r="AK7" s="19" t="s">
        <v>3</v>
      </c>
      <c r="AL7" s="19" t="s">
        <v>4</v>
      </c>
      <c r="AM7" s="191"/>
      <c r="AN7" s="20" t="s">
        <v>11</v>
      </c>
      <c r="AO7" s="20" t="s">
        <v>5</v>
      </c>
      <c r="AP7" s="19" t="s">
        <v>3</v>
      </c>
      <c r="AQ7" s="19" t="s">
        <v>4</v>
      </c>
      <c r="AR7" s="191"/>
      <c r="AS7" s="20" t="s">
        <v>5</v>
      </c>
      <c r="AT7" s="23" t="s">
        <v>4</v>
      </c>
      <c r="AU7" s="191"/>
      <c r="AV7" s="191"/>
      <c r="AW7" s="226"/>
      <c r="AX7" s="191"/>
      <c r="AY7" s="191"/>
      <c r="AZ7" s="224"/>
      <c r="BA7" s="224"/>
      <c r="BB7" s="33" t="s">
        <v>56</v>
      </c>
      <c r="BC7" s="33" t="s">
        <v>57</v>
      </c>
      <c r="BD7" s="33" t="s">
        <v>58</v>
      </c>
      <c r="BE7" s="34" t="s">
        <v>59</v>
      </c>
      <c r="BF7" s="34" t="s">
        <v>60</v>
      </c>
    </row>
    <row r="8" spans="1:58" s="158" customFormat="1" ht="12.75">
      <c r="A8" s="156">
        <v>1</v>
      </c>
      <c r="B8" s="148">
        <v>1</v>
      </c>
      <c r="C8" s="49" t="s">
        <v>70</v>
      </c>
      <c r="D8" s="49" t="s">
        <v>71</v>
      </c>
      <c r="E8" s="49" t="s">
        <v>72</v>
      </c>
      <c r="F8" s="126">
        <v>19</v>
      </c>
      <c r="G8" s="126">
        <v>74</v>
      </c>
      <c r="H8" s="129">
        <v>10</v>
      </c>
      <c r="I8" s="127">
        <v>39</v>
      </c>
      <c r="J8" s="127">
        <f>F8+G8+H8+I8</f>
        <v>142</v>
      </c>
      <c r="K8" s="128">
        <f>IF(J8&lt;60,"F",IF(J8&lt;75,2,IF(J8&lt;90,3,IF(J8&lt;105,3.5,IF(J8&lt;120,4,5)))))</f>
        <v>5</v>
      </c>
      <c r="L8" s="252">
        <f>MAX(J8:J35)</f>
        <v>150</v>
      </c>
      <c r="M8" s="145">
        <v>20</v>
      </c>
      <c r="N8" s="126">
        <v>77</v>
      </c>
      <c r="O8" s="127">
        <v>10</v>
      </c>
      <c r="P8" s="127">
        <v>39</v>
      </c>
      <c r="Q8" s="127">
        <f>M8+N8+O8+P8</f>
        <v>146</v>
      </c>
      <c r="R8" s="128">
        <f>IF(Q8&lt;60,"F",IF(Q8&lt;75,2,IF(Q8&lt;90,3,IF(Q8&lt;105,3.5,IF(Q8&lt;120,4,5)))))</f>
        <v>5</v>
      </c>
      <c r="S8" s="252">
        <f>MAX(Q8:Q35)</f>
        <v>149</v>
      </c>
      <c r="T8" s="126">
        <v>17</v>
      </c>
      <c r="U8" s="126">
        <v>70</v>
      </c>
      <c r="V8" s="127">
        <f>T8+U8</f>
        <v>87</v>
      </c>
      <c r="W8" s="128">
        <f>IF(V8&lt;40,"F",IF(V8&lt;50,2,IF(V8&lt;60,3,IF(V8&lt;70,3.5,IF(V8&lt;80,4,5)))))</f>
        <v>5</v>
      </c>
      <c r="X8" s="252">
        <f>MAX(V8:V35)</f>
        <v>97</v>
      </c>
      <c r="Y8" s="126">
        <v>19</v>
      </c>
      <c r="Z8" s="126">
        <v>72</v>
      </c>
      <c r="AA8" s="127">
        <f>Y8+Z8</f>
        <v>91</v>
      </c>
      <c r="AB8" s="128">
        <f>IF(AA8&lt;40,"F",IF(AA8&lt;50,2,IF(AA8&lt;60,3,IF(AA8&lt;70,3.5,IF(AA8&lt;80,4,5)))))</f>
        <v>5</v>
      </c>
      <c r="AC8" s="252">
        <f>MAX(AA8:AA35)</f>
        <v>94</v>
      </c>
      <c r="AD8" s="126">
        <v>18</v>
      </c>
      <c r="AE8" s="126">
        <v>77</v>
      </c>
      <c r="AF8" s="127">
        <f>AD8+AE8</f>
        <v>95</v>
      </c>
      <c r="AG8" s="128">
        <f>IF(AF8&lt;40,"F",IF(AF8&lt;50,2,IF(AF8&lt;60,3,IF(AF8&lt;70,3.5,IF(AF8&lt;80,4,5)))))</f>
        <v>5</v>
      </c>
      <c r="AH8" s="252">
        <f>MAX(AF8:AF35)</f>
        <v>99</v>
      </c>
      <c r="AI8" s="145">
        <v>20</v>
      </c>
      <c r="AJ8" s="126">
        <v>79</v>
      </c>
      <c r="AK8" s="127">
        <f>AI8+AJ8</f>
        <v>99</v>
      </c>
      <c r="AL8" s="128">
        <f>IF(AK8&lt;40,"F",IF(AK8&lt;50,2,IF(AK8&lt;60,3,IF(AK8&lt;70,3.5,IF(AK8&lt;80,4,5)))))</f>
        <v>5</v>
      </c>
      <c r="AM8" s="252">
        <f>MAX(AK8:AK35)</f>
        <v>100</v>
      </c>
      <c r="AN8" s="129">
        <v>0</v>
      </c>
      <c r="AO8" s="126">
        <v>48</v>
      </c>
      <c r="AP8" s="126">
        <f>AO8</f>
        <v>48</v>
      </c>
      <c r="AQ8" s="128">
        <f>IF(AP8&lt;20,"F",IF(AP8&lt;25,2,IF(AP8&lt;30,3,IF(AP8&lt;35,3.5,IF(AP8&lt;40,4,5)))))</f>
        <v>5</v>
      </c>
      <c r="AR8" s="252">
        <f>MAX(AP8:AP35)</f>
        <v>50</v>
      </c>
      <c r="AS8" s="126">
        <v>48</v>
      </c>
      <c r="AT8" s="128">
        <f>IF(AS8&lt;20,"F",IF(AS8&lt;25,2,IF(AS8&lt;30,3,IF(AS8&lt;35,3.5,IF(AS8&lt;40,4,5)))))</f>
        <v>5</v>
      </c>
      <c r="AU8" s="252">
        <f>MAX(AS8:AS35)</f>
        <v>50</v>
      </c>
      <c r="AV8" s="129">
        <f>IF(K8="F","F",IF(R8="F","F",IF(W8="F","F",IF(AB8="F","F",IF(AG8="F","F",IF(AL8="F","F",IF(AQ8="F","F",SUM(K8,R8,W8,AB8,AG8,AL8,AQ8))))))))</f>
        <v>35</v>
      </c>
      <c r="AW8" s="130">
        <f>IF(AV8="F","F", IF(AV8&gt;=35,5,IF(AV8&lt;35,AV8/7)))</f>
        <v>5</v>
      </c>
      <c r="AX8" s="131">
        <f>J8+Q8+V8+AA8+AF8+AK8+AP8</f>
        <v>708</v>
      </c>
      <c r="AY8" s="38">
        <v>8</v>
      </c>
      <c r="AZ8" s="38">
        <v>56</v>
      </c>
      <c r="BA8" s="157" t="str">
        <f t="shared" ref="BA8:BA67" si="0">IF(AW8="F","NEED TO PROGRESS",IF(AW8&gt;=5,"BEST",IF(AW8&gt;=4,"BETTER",IF(AW8&gt;2,"GOOD"))))</f>
        <v>BEST</v>
      </c>
      <c r="BB8" s="39">
        <f>'1st_Semester'!AX8</f>
        <v>681</v>
      </c>
      <c r="BC8" s="39">
        <f>'2nd_Semester'!AX8</f>
        <v>657</v>
      </c>
      <c r="BD8" s="37">
        <f>AX8</f>
        <v>708</v>
      </c>
      <c r="BE8" s="39">
        <f>SUM(BB8:BD8)/3</f>
        <v>682</v>
      </c>
      <c r="BF8" s="39"/>
    </row>
    <row r="9" spans="1:58" s="158" customFormat="1" ht="12.75">
      <c r="A9" s="156">
        <v>2</v>
      </c>
      <c r="B9" s="148">
        <v>2</v>
      </c>
      <c r="C9" s="49" t="s">
        <v>73</v>
      </c>
      <c r="D9" s="49" t="s">
        <v>74</v>
      </c>
      <c r="E9" s="49" t="s">
        <v>75</v>
      </c>
      <c r="F9" s="126">
        <v>20</v>
      </c>
      <c r="G9" s="126">
        <v>76</v>
      </c>
      <c r="H9" s="129">
        <v>10</v>
      </c>
      <c r="I9" s="127">
        <v>40</v>
      </c>
      <c r="J9" s="127">
        <f t="shared" ref="J9:J35" si="1">F9+G9+H9+I9</f>
        <v>146</v>
      </c>
      <c r="K9" s="128">
        <f t="shared" ref="K9:K35" si="2">IF(J9&lt;60,"F",IF(J9&lt;75,2,IF(J9&lt;90,3,IF(J9&lt;105,3.5,IF(J9&lt;120,4,5)))))</f>
        <v>5</v>
      </c>
      <c r="L9" s="253"/>
      <c r="M9" s="145">
        <v>20</v>
      </c>
      <c r="N9" s="126">
        <v>78</v>
      </c>
      <c r="O9" s="127">
        <v>10</v>
      </c>
      <c r="P9" s="127">
        <v>40</v>
      </c>
      <c r="Q9" s="127">
        <f t="shared" ref="Q9:Q35" si="3">M9+N9+O9+P9</f>
        <v>148</v>
      </c>
      <c r="R9" s="128">
        <f t="shared" ref="R9:R35" si="4">IF(Q9&lt;60,"F",IF(Q9&lt;75,2,IF(Q9&lt;90,3,IF(Q9&lt;105,3.5,IF(Q9&lt;120,4,5)))))</f>
        <v>5</v>
      </c>
      <c r="S9" s="253"/>
      <c r="T9" s="126">
        <v>19</v>
      </c>
      <c r="U9" s="126">
        <v>78</v>
      </c>
      <c r="V9" s="127">
        <f t="shared" ref="V9:V35" si="5">T9+U9</f>
        <v>97</v>
      </c>
      <c r="W9" s="128">
        <f t="shared" ref="W9:W35" si="6">IF(V9&lt;40,"F",IF(V9&lt;50,2,IF(V9&lt;60,3,IF(V9&lt;70,3.5,IF(V9&lt;80,4,5)))))</f>
        <v>5</v>
      </c>
      <c r="X9" s="253"/>
      <c r="Y9" s="126">
        <v>20</v>
      </c>
      <c r="Z9" s="126">
        <v>71</v>
      </c>
      <c r="AA9" s="127">
        <f t="shared" ref="AA9:AA35" si="7">Y9+Z9</f>
        <v>91</v>
      </c>
      <c r="AB9" s="128">
        <f t="shared" ref="AB9:AB35" si="8">IF(AA9&lt;40,"F",IF(AA9&lt;50,2,IF(AA9&lt;60,3,IF(AA9&lt;70,3.5,IF(AA9&lt;80,4,5)))))</f>
        <v>5</v>
      </c>
      <c r="AC9" s="253"/>
      <c r="AD9" s="126">
        <v>20</v>
      </c>
      <c r="AE9" s="126">
        <v>79</v>
      </c>
      <c r="AF9" s="127">
        <f t="shared" ref="AF9:AF35" si="9">AD9+AE9</f>
        <v>99</v>
      </c>
      <c r="AG9" s="128">
        <f t="shared" ref="AG9:AG35" si="10">IF(AF9&lt;40,"F",IF(AF9&lt;50,2,IF(AF9&lt;60,3,IF(AF9&lt;70,3.5,IF(AF9&lt;80,4,5)))))</f>
        <v>5</v>
      </c>
      <c r="AH9" s="253"/>
      <c r="AI9" s="145">
        <v>20</v>
      </c>
      <c r="AJ9" s="126">
        <v>78</v>
      </c>
      <c r="AK9" s="127">
        <f t="shared" ref="AK9:AK35" si="11">AI9+AJ9</f>
        <v>98</v>
      </c>
      <c r="AL9" s="128">
        <f t="shared" ref="AL9:AL35" si="12">IF(AK9&lt;40,"F",IF(AK9&lt;50,2,IF(AK9&lt;60,3,IF(AK9&lt;70,3.5,IF(AK9&lt;80,4,5)))))</f>
        <v>5</v>
      </c>
      <c r="AM9" s="253"/>
      <c r="AN9" s="129">
        <v>0</v>
      </c>
      <c r="AO9" s="126">
        <v>50</v>
      </c>
      <c r="AP9" s="126">
        <f t="shared" ref="AP9:AP35" si="13">AO9</f>
        <v>50</v>
      </c>
      <c r="AQ9" s="128">
        <f t="shared" ref="AQ9:AQ35" si="14">IF(AP9&lt;20,"F",IF(AP9&lt;25,2,IF(AP9&lt;30,3,IF(AP9&lt;35,3.5,IF(AP9&lt;40,4,5)))))</f>
        <v>5</v>
      </c>
      <c r="AR9" s="253"/>
      <c r="AS9" s="126">
        <v>50</v>
      </c>
      <c r="AT9" s="128">
        <f t="shared" ref="AT9:AT35" si="15">IF(AS9&lt;20,"F",IF(AS9&lt;25,2,IF(AS9&lt;30,3,IF(AS9&lt;35,3.5,IF(AS9&lt;40,4,5)))))</f>
        <v>5</v>
      </c>
      <c r="AU9" s="253"/>
      <c r="AV9" s="129">
        <f t="shared" ref="AV9:AV67" si="16">IF(K9="F","F",IF(R9="F","F",IF(W9="F","F",IF(AB9="F","F",IF(AG9="F","F",IF(AL9="F","F",IF(AQ9="F","F",SUM(K9,R9,W9,AB9,AG9,AL9,AQ9))))))))</f>
        <v>35</v>
      </c>
      <c r="AW9" s="130">
        <f t="shared" ref="AW9:AW35" si="17">IF(AV9="F","F", IF(AV9&gt;=35,5,IF(AV9&lt;35,AV9/7)))</f>
        <v>5</v>
      </c>
      <c r="AX9" s="131">
        <f t="shared" ref="AX9:AX67" si="18">J9+Q9+V9+AA9+AF9+AK9+AP9</f>
        <v>729</v>
      </c>
      <c r="AY9" s="38">
        <v>2</v>
      </c>
      <c r="AZ9" s="38">
        <v>56</v>
      </c>
      <c r="BA9" s="157" t="str">
        <f t="shared" si="0"/>
        <v>BEST</v>
      </c>
      <c r="BB9" s="39">
        <f>'1st_Semester'!AX9</f>
        <v>723</v>
      </c>
      <c r="BC9" s="39">
        <f>'2nd_Semester'!AX9</f>
        <v>721</v>
      </c>
      <c r="BD9" s="37">
        <f t="shared" ref="BD9:BD67" si="19">AX9</f>
        <v>729</v>
      </c>
      <c r="BE9" s="39">
        <f t="shared" ref="BE9:BE67" si="20">SUM(BB9:BD9)/3</f>
        <v>724.33333333333337</v>
      </c>
      <c r="BF9" s="39"/>
    </row>
    <row r="10" spans="1:58" s="158" customFormat="1" ht="12.75">
      <c r="A10" s="156">
        <v>3</v>
      </c>
      <c r="B10" s="148">
        <v>6</v>
      </c>
      <c r="C10" s="49" t="s">
        <v>76</v>
      </c>
      <c r="D10" s="49" t="s">
        <v>77</v>
      </c>
      <c r="E10" s="49" t="s">
        <v>78</v>
      </c>
      <c r="F10" s="126">
        <v>20</v>
      </c>
      <c r="G10" s="126">
        <v>76</v>
      </c>
      <c r="H10" s="129">
        <v>10</v>
      </c>
      <c r="I10" s="127">
        <v>39</v>
      </c>
      <c r="J10" s="127">
        <f t="shared" si="1"/>
        <v>145</v>
      </c>
      <c r="K10" s="128">
        <f t="shared" si="2"/>
        <v>5</v>
      </c>
      <c r="L10" s="253"/>
      <c r="M10" s="145">
        <v>20</v>
      </c>
      <c r="N10" s="126">
        <v>78</v>
      </c>
      <c r="O10" s="127">
        <v>10</v>
      </c>
      <c r="P10" s="127">
        <v>38</v>
      </c>
      <c r="Q10" s="127">
        <f t="shared" si="3"/>
        <v>146</v>
      </c>
      <c r="R10" s="128">
        <f t="shared" si="4"/>
        <v>5</v>
      </c>
      <c r="S10" s="253"/>
      <c r="T10" s="126">
        <v>16</v>
      </c>
      <c r="U10" s="126">
        <v>64</v>
      </c>
      <c r="V10" s="127">
        <f t="shared" si="5"/>
        <v>80</v>
      </c>
      <c r="W10" s="128">
        <f t="shared" si="6"/>
        <v>5</v>
      </c>
      <c r="X10" s="253"/>
      <c r="Y10" s="126">
        <v>20</v>
      </c>
      <c r="Z10" s="126">
        <v>72</v>
      </c>
      <c r="AA10" s="127">
        <f t="shared" si="7"/>
        <v>92</v>
      </c>
      <c r="AB10" s="128">
        <f t="shared" si="8"/>
        <v>5</v>
      </c>
      <c r="AC10" s="253"/>
      <c r="AD10" s="126">
        <v>19</v>
      </c>
      <c r="AE10" s="126">
        <v>74</v>
      </c>
      <c r="AF10" s="127">
        <f t="shared" si="9"/>
        <v>93</v>
      </c>
      <c r="AG10" s="128">
        <f t="shared" si="10"/>
        <v>5</v>
      </c>
      <c r="AH10" s="253"/>
      <c r="AI10" s="145">
        <v>20</v>
      </c>
      <c r="AJ10" s="126">
        <v>72</v>
      </c>
      <c r="AK10" s="127">
        <f t="shared" si="11"/>
        <v>92</v>
      </c>
      <c r="AL10" s="128">
        <f t="shared" si="12"/>
        <v>5</v>
      </c>
      <c r="AM10" s="253"/>
      <c r="AN10" s="129">
        <v>0</v>
      </c>
      <c r="AO10" s="126">
        <v>50</v>
      </c>
      <c r="AP10" s="126">
        <f t="shared" si="13"/>
        <v>50</v>
      </c>
      <c r="AQ10" s="128">
        <f t="shared" si="14"/>
        <v>5</v>
      </c>
      <c r="AR10" s="253"/>
      <c r="AS10" s="126">
        <v>50</v>
      </c>
      <c r="AT10" s="128">
        <f t="shared" si="15"/>
        <v>5</v>
      </c>
      <c r="AU10" s="253"/>
      <c r="AV10" s="129">
        <f t="shared" si="16"/>
        <v>35</v>
      </c>
      <c r="AW10" s="130">
        <f t="shared" si="17"/>
        <v>5</v>
      </c>
      <c r="AX10" s="131">
        <f t="shared" si="18"/>
        <v>698</v>
      </c>
      <c r="AY10" s="38">
        <v>5</v>
      </c>
      <c r="AZ10" s="38">
        <v>56</v>
      </c>
      <c r="BA10" s="157" t="str">
        <f t="shared" si="0"/>
        <v>BEST</v>
      </c>
      <c r="BB10" s="39">
        <f>'1st_Semester'!AX10</f>
        <v>684</v>
      </c>
      <c r="BC10" s="39">
        <f>'2nd_Semester'!AX10</f>
        <v>682</v>
      </c>
      <c r="BD10" s="37">
        <f t="shared" si="19"/>
        <v>698</v>
      </c>
      <c r="BE10" s="39">
        <f t="shared" si="20"/>
        <v>688</v>
      </c>
      <c r="BF10" s="39"/>
    </row>
    <row r="11" spans="1:58" s="158" customFormat="1" ht="12.75">
      <c r="A11" s="156">
        <v>4</v>
      </c>
      <c r="B11" s="148">
        <v>7</v>
      </c>
      <c r="C11" s="49" t="s">
        <v>79</v>
      </c>
      <c r="D11" s="49" t="s">
        <v>80</v>
      </c>
      <c r="E11" s="49" t="s">
        <v>81</v>
      </c>
      <c r="F11" s="126">
        <v>20</v>
      </c>
      <c r="G11" s="126">
        <v>74</v>
      </c>
      <c r="H11" s="129">
        <v>10</v>
      </c>
      <c r="I11" s="127">
        <v>38</v>
      </c>
      <c r="J11" s="127">
        <f t="shared" si="1"/>
        <v>142</v>
      </c>
      <c r="K11" s="128">
        <f t="shared" si="2"/>
        <v>5</v>
      </c>
      <c r="L11" s="253"/>
      <c r="M11" s="145">
        <v>20</v>
      </c>
      <c r="N11" s="126">
        <v>74</v>
      </c>
      <c r="O11" s="127">
        <v>10</v>
      </c>
      <c r="P11" s="127">
        <v>35</v>
      </c>
      <c r="Q11" s="127">
        <f t="shared" si="3"/>
        <v>139</v>
      </c>
      <c r="R11" s="128">
        <f t="shared" si="4"/>
        <v>5</v>
      </c>
      <c r="S11" s="253"/>
      <c r="T11" s="126">
        <v>15</v>
      </c>
      <c r="U11" s="126">
        <v>75</v>
      </c>
      <c r="V11" s="127">
        <f t="shared" si="5"/>
        <v>90</v>
      </c>
      <c r="W11" s="128">
        <f t="shared" si="6"/>
        <v>5</v>
      </c>
      <c r="X11" s="253"/>
      <c r="Y11" s="126">
        <v>20</v>
      </c>
      <c r="Z11" s="126">
        <v>73</v>
      </c>
      <c r="AA11" s="127">
        <f t="shared" si="7"/>
        <v>93</v>
      </c>
      <c r="AB11" s="128">
        <f t="shared" si="8"/>
        <v>5</v>
      </c>
      <c r="AC11" s="253"/>
      <c r="AD11" s="126">
        <v>19</v>
      </c>
      <c r="AE11" s="126">
        <v>65</v>
      </c>
      <c r="AF11" s="127">
        <f t="shared" si="9"/>
        <v>84</v>
      </c>
      <c r="AG11" s="128">
        <f t="shared" si="10"/>
        <v>5</v>
      </c>
      <c r="AH11" s="253"/>
      <c r="AI11" s="145">
        <v>20</v>
      </c>
      <c r="AJ11" s="126">
        <v>58</v>
      </c>
      <c r="AK11" s="127">
        <f t="shared" si="11"/>
        <v>78</v>
      </c>
      <c r="AL11" s="128">
        <f t="shared" si="12"/>
        <v>4</v>
      </c>
      <c r="AM11" s="253"/>
      <c r="AN11" s="129">
        <v>0</v>
      </c>
      <c r="AO11" s="126">
        <v>43</v>
      </c>
      <c r="AP11" s="126">
        <f t="shared" si="13"/>
        <v>43</v>
      </c>
      <c r="AQ11" s="128">
        <f t="shared" si="14"/>
        <v>5</v>
      </c>
      <c r="AR11" s="253"/>
      <c r="AS11" s="126">
        <v>33</v>
      </c>
      <c r="AT11" s="128">
        <f t="shared" si="15"/>
        <v>3.5</v>
      </c>
      <c r="AU11" s="253"/>
      <c r="AV11" s="129">
        <f t="shared" si="16"/>
        <v>34</v>
      </c>
      <c r="AW11" s="130">
        <f t="shared" si="17"/>
        <v>4.8571428571428568</v>
      </c>
      <c r="AX11" s="131">
        <f t="shared" si="18"/>
        <v>669</v>
      </c>
      <c r="AY11" s="38">
        <v>14</v>
      </c>
      <c r="AZ11" s="38">
        <v>56</v>
      </c>
      <c r="BA11" s="157" t="str">
        <f t="shared" si="0"/>
        <v>BETTER</v>
      </c>
      <c r="BB11" s="39">
        <f>'1st_Semester'!AX11</f>
        <v>647</v>
      </c>
      <c r="BC11" s="39">
        <f>'2nd_Semester'!AX11</f>
        <v>641</v>
      </c>
      <c r="BD11" s="37">
        <f t="shared" si="19"/>
        <v>669</v>
      </c>
      <c r="BE11" s="39">
        <f t="shared" si="20"/>
        <v>652.33333333333337</v>
      </c>
      <c r="BF11" s="39"/>
    </row>
    <row r="12" spans="1:58" s="158" customFormat="1" ht="12.75">
      <c r="A12" s="156">
        <v>5</v>
      </c>
      <c r="B12" s="148">
        <v>8</v>
      </c>
      <c r="C12" s="49" t="s">
        <v>82</v>
      </c>
      <c r="D12" s="49" t="s">
        <v>83</v>
      </c>
      <c r="E12" s="49" t="s">
        <v>63</v>
      </c>
      <c r="F12" s="126">
        <v>19</v>
      </c>
      <c r="G12" s="126">
        <v>75</v>
      </c>
      <c r="H12" s="129">
        <v>10</v>
      </c>
      <c r="I12" s="127">
        <v>40</v>
      </c>
      <c r="J12" s="127">
        <f t="shared" si="1"/>
        <v>144</v>
      </c>
      <c r="K12" s="128">
        <f t="shared" si="2"/>
        <v>5</v>
      </c>
      <c r="L12" s="253"/>
      <c r="M12" s="145">
        <v>20</v>
      </c>
      <c r="N12" s="126">
        <v>75</v>
      </c>
      <c r="O12" s="127">
        <v>10</v>
      </c>
      <c r="P12" s="127">
        <v>37</v>
      </c>
      <c r="Q12" s="127">
        <f t="shared" si="3"/>
        <v>142</v>
      </c>
      <c r="R12" s="128">
        <f t="shared" si="4"/>
        <v>5</v>
      </c>
      <c r="S12" s="253"/>
      <c r="T12" s="126">
        <v>17</v>
      </c>
      <c r="U12" s="126">
        <v>72</v>
      </c>
      <c r="V12" s="127">
        <f t="shared" si="5"/>
        <v>89</v>
      </c>
      <c r="W12" s="128">
        <f t="shared" si="6"/>
        <v>5</v>
      </c>
      <c r="X12" s="253"/>
      <c r="Y12" s="126">
        <v>20</v>
      </c>
      <c r="Z12" s="126">
        <v>74</v>
      </c>
      <c r="AA12" s="127">
        <f t="shared" si="7"/>
        <v>94</v>
      </c>
      <c r="AB12" s="128">
        <f t="shared" si="8"/>
        <v>5</v>
      </c>
      <c r="AC12" s="253"/>
      <c r="AD12" s="126">
        <v>20</v>
      </c>
      <c r="AE12" s="126">
        <v>72</v>
      </c>
      <c r="AF12" s="127">
        <f t="shared" si="9"/>
        <v>92</v>
      </c>
      <c r="AG12" s="128">
        <f t="shared" si="10"/>
        <v>5</v>
      </c>
      <c r="AH12" s="253"/>
      <c r="AI12" s="145">
        <v>20</v>
      </c>
      <c r="AJ12" s="126">
        <v>70</v>
      </c>
      <c r="AK12" s="127">
        <f t="shared" si="11"/>
        <v>90</v>
      </c>
      <c r="AL12" s="128">
        <f t="shared" si="12"/>
        <v>5</v>
      </c>
      <c r="AM12" s="253"/>
      <c r="AN12" s="129">
        <v>0</v>
      </c>
      <c r="AO12" s="126">
        <v>48</v>
      </c>
      <c r="AP12" s="126">
        <f t="shared" si="13"/>
        <v>48</v>
      </c>
      <c r="AQ12" s="128">
        <f t="shared" si="14"/>
        <v>5</v>
      </c>
      <c r="AR12" s="253"/>
      <c r="AS12" s="126">
        <v>50</v>
      </c>
      <c r="AT12" s="128">
        <f t="shared" si="15"/>
        <v>5</v>
      </c>
      <c r="AU12" s="253"/>
      <c r="AV12" s="129">
        <f t="shared" si="16"/>
        <v>35</v>
      </c>
      <c r="AW12" s="130">
        <f t="shared" si="17"/>
        <v>5</v>
      </c>
      <c r="AX12" s="131">
        <f t="shared" si="18"/>
        <v>699</v>
      </c>
      <c r="AY12" s="38">
        <v>16</v>
      </c>
      <c r="AZ12" s="38">
        <v>56</v>
      </c>
      <c r="BA12" s="157" t="str">
        <f t="shared" si="0"/>
        <v>BEST</v>
      </c>
      <c r="BB12" s="39">
        <f>'1st_Semester'!AX12</f>
        <v>639</v>
      </c>
      <c r="BC12" s="39">
        <f>'2nd_Semester'!AX12</f>
        <v>588</v>
      </c>
      <c r="BD12" s="37">
        <f t="shared" si="19"/>
        <v>699</v>
      </c>
      <c r="BE12" s="39">
        <f t="shared" si="20"/>
        <v>642</v>
      </c>
      <c r="BF12" s="39"/>
    </row>
    <row r="13" spans="1:58" s="158" customFormat="1" ht="12.75">
      <c r="A13" s="156">
        <v>6</v>
      </c>
      <c r="B13" s="148">
        <v>9</v>
      </c>
      <c r="C13" s="49" t="s">
        <v>84</v>
      </c>
      <c r="D13" s="49" t="s">
        <v>85</v>
      </c>
      <c r="E13" s="49" t="s">
        <v>86</v>
      </c>
      <c r="F13" s="126">
        <v>20</v>
      </c>
      <c r="G13" s="126">
        <v>74</v>
      </c>
      <c r="H13" s="129">
        <v>10</v>
      </c>
      <c r="I13" s="127">
        <v>37</v>
      </c>
      <c r="J13" s="127">
        <f t="shared" si="1"/>
        <v>141</v>
      </c>
      <c r="K13" s="128">
        <f t="shared" si="2"/>
        <v>5</v>
      </c>
      <c r="L13" s="253"/>
      <c r="M13" s="145">
        <v>20</v>
      </c>
      <c r="N13" s="126">
        <v>75</v>
      </c>
      <c r="O13" s="127">
        <v>10</v>
      </c>
      <c r="P13" s="127">
        <v>39</v>
      </c>
      <c r="Q13" s="127">
        <f t="shared" si="3"/>
        <v>144</v>
      </c>
      <c r="R13" s="128">
        <f t="shared" si="4"/>
        <v>5</v>
      </c>
      <c r="S13" s="253"/>
      <c r="T13" s="126">
        <v>11</v>
      </c>
      <c r="U13" s="126">
        <v>70</v>
      </c>
      <c r="V13" s="127">
        <f t="shared" si="5"/>
        <v>81</v>
      </c>
      <c r="W13" s="128">
        <f t="shared" si="6"/>
        <v>5</v>
      </c>
      <c r="X13" s="253"/>
      <c r="Y13" s="126">
        <v>20</v>
      </c>
      <c r="Z13" s="126">
        <v>71</v>
      </c>
      <c r="AA13" s="127">
        <f t="shared" si="7"/>
        <v>91</v>
      </c>
      <c r="AB13" s="128">
        <f t="shared" si="8"/>
        <v>5</v>
      </c>
      <c r="AC13" s="253"/>
      <c r="AD13" s="126">
        <v>17</v>
      </c>
      <c r="AE13" s="126">
        <v>72</v>
      </c>
      <c r="AF13" s="127">
        <f t="shared" si="9"/>
        <v>89</v>
      </c>
      <c r="AG13" s="128">
        <f t="shared" si="10"/>
        <v>5</v>
      </c>
      <c r="AH13" s="253"/>
      <c r="AI13" s="145">
        <v>19</v>
      </c>
      <c r="AJ13" s="126">
        <v>71</v>
      </c>
      <c r="AK13" s="127">
        <f t="shared" si="11"/>
        <v>90</v>
      </c>
      <c r="AL13" s="128">
        <f t="shared" si="12"/>
        <v>5</v>
      </c>
      <c r="AM13" s="253"/>
      <c r="AN13" s="129">
        <v>0</v>
      </c>
      <c r="AO13" s="126">
        <v>44</v>
      </c>
      <c r="AP13" s="126">
        <f t="shared" si="13"/>
        <v>44</v>
      </c>
      <c r="AQ13" s="128">
        <f t="shared" si="14"/>
        <v>5</v>
      </c>
      <c r="AR13" s="253"/>
      <c r="AS13" s="126">
        <v>50</v>
      </c>
      <c r="AT13" s="128">
        <f t="shared" si="15"/>
        <v>5</v>
      </c>
      <c r="AU13" s="253"/>
      <c r="AV13" s="129">
        <f t="shared" si="16"/>
        <v>35</v>
      </c>
      <c r="AW13" s="130">
        <f t="shared" si="17"/>
        <v>5</v>
      </c>
      <c r="AX13" s="131">
        <f t="shared" si="18"/>
        <v>680</v>
      </c>
      <c r="AY13" s="38">
        <v>15</v>
      </c>
      <c r="AZ13" s="38">
        <v>56</v>
      </c>
      <c r="BA13" s="157" t="str">
        <f t="shared" si="0"/>
        <v>BEST</v>
      </c>
      <c r="BB13" s="39">
        <f>'1st_Semester'!AX13</f>
        <v>615</v>
      </c>
      <c r="BC13" s="39">
        <f>'2nd_Semester'!AX13</f>
        <v>661</v>
      </c>
      <c r="BD13" s="37">
        <f t="shared" si="19"/>
        <v>680</v>
      </c>
      <c r="BE13" s="39">
        <f t="shared" si="20"/>
        <v>652</v>
      </c>
      <c r="BF13" s="39"/>
    </row>
    <row r="14" spans="1:58" s="158" customFormat="1" ht="12.75">
      <c r="A14" s="156">
        <v>7</v>
      </c>
      <c r="B14" s="148">
        <v>11</v>
      </c>
      <c r="C14" s="49" t="s">
        <v>87</v>
      </c>
      <c r="D14" s="49" t="s">
        <v>88</v>
      </c>
      <c r="E14" s="49" t="s">
        <v>89</v>
      </c>
      <c r="F14" s="126">
        <v>0</v>
      </c>
      <c r="G14" s="126">
        <v>0</v>
      </c>
      <c r="H14" s="129">
        <v>5</v>
      </c>
      <c r="I14" s="127">
        <v>0</v>
      </c>
      <c r="J14" s="127">
        <f t="shared" si="1"/>
        <v>5</v>
      </c>
      <c r="K14" s="128" t="str">
        <f t="shared" si="2"/>
        <v>F</v>
      </c>
      <c r="L14" s="253"/>
      <c r="M14" s="145">
        <v>5</v>
      </c>
      <c r="N14" s="126">
        <v>0</v>
      </c>
      <c r="O14" s="127">
        <v>5</v>
      </c>
      <c r="P14" s="127">
        <v>0</v>
      </c>
      <c r="Q14" s="127">
        <f t="shared" si="3"/>
        <v>10</v>
      </c>
      <c r="R14" s="128" t="str">
        <f t="shared" si="4"/>
        <v>F</v>
      </c>
      <c r="S14" s="253"/>
      <c r="T14" s="126">
        <v>0</v>
      </c>
      <c r="U14" s="126">
        <v>0</v>
      </c>
      <c r="V14" s="127">
        <f t="shared" si="5"/>
        <v>0</v>
      </c>
      <c r="W14" s="128" t="str">
        <f t="shared" si="6"/>
        <v>F</v>
      </c>
      <c r="X14" s="253"/>
      <c r="Y14" s="126">
        <v>0</v>
      </c>
      <c r="Z14" s="126">
        <v>0</v>
      </c>
      <c r="AA14" s="127">
        <f t="shared" si="7"/>
        <v>0</v>
      </c>
      <c r="AB14" s="128" t="str">
        <f t="shared" si="8"/>
        <v>F</v>
      </c>
      <c r="AC14" s="253"/>
      <c r="AD14" s="126">
        <v>0</v>
      </c>
      <c r="AE14" s="126">
        <v>0</v>
      </c>
      <c r="AF14" s="127">
        <f t="shared" si="9"/>
        <v>0</v>
      </c>
      <c r="AG14" s="128" t="str">
        <f t="shared" si="10"/>
        <v>F</v>
      </c>
      <c r="AH14" s="253"/>
      <c r="AI14" s="145">
        <v>0</v>
      </c>
      <c r="AJ14" s="126">
        <v>0</v>
      </c>
      <c r="AK14" s="127">
        <f t="shared" si="11"/>
        <v>0</v>
      </c>
      <c r="AL14" s="128" t="str">
        <f t="shared" si="12"/>
        <v>F</v>
      </c>
      <c r="AM14" s="253"/>
      <c r="AN14" s="129">
        <v>0</v>
      </c>
      <c r="AO14" s="126">
        <v>0</v>
      </c>
      <c r="AP14" s="126">
        <f t="shared" si="13"/>
        <v>0</v>
      </c>
      <c r="AQ14" s="128" t="str">
        <f t="shared" si="14"/>
        <v>F</v>
      </c>
      <c r="AR14" s="253"/>
      <c r="AS14" s="126">
        <v>0</v>
      </c>
      <c r="AT14" s="128" t="str">
        <f t="shared" si="15"/>
        <v>F</v>
      </c>
      <c r="AU14" s="253"/>
      <c r="AV14" s="129" t="str">
        <f t="shared" si="16"/>
        <v>F</v>
      </c>
      <c r="AW14" s="130" t="str">
        <f t="shared" si="17"/>
        <v>F</v>
      </c>
      <c r="AX14" s="131">
        <f t="shared" si="18"/>
        <v>15</v>
      </c>
      <c r="AY14" s="38">
        <v>0</v>
      </c>
      <c r="AZ14" s="38">
        <v>56</v>
      </c>
      <c r="BA14" s="157" t="str">
        <f t="shared" si="0"/>
        <v>NEED TO PROGRESS</v>
      </c>
      <c r="BB14" s="39">
        <f>'1st_Semester'!AX14</f>
        <v>592</v>
      </c>
      <c r="BC14" s="39">
        <f>'2nd_Semester'!AX14</f>
        <v>649</v>
      </c>
      <c r="BD14" s="37">
        <f t="shared" si="19"/>
        <v>15</v>
      </c>
      <c r="BE14" s="39">
        <f t="shared" si="20"/>
        <v>418.66666666666669</v>
      </c>
      <c r="BF14" s="39"/>
    </row>
    <row r="15" spans="1:58" s="158" customFormat="1" ht="12.75">
      <c r="A15" s="156">
        <v>8</v>
      </c>
      <c r="B15" s="148">
        <v>12</v>
      </c>
      <c r="C15" s="49" t="s">
        <v>90</v>
      </c>
      <c r="D15" s="49" t="s">
        <v>91</v>
      </c>
      <c r="E15" s="49" t="s">
        <v>92</v>
      </c>
      <c r="F15" s="126">
        <v>20</v>
      </c>
      <c r="G15" s="126">
        <v>68</v>
      </c>
      <c r="H15" s="129">
        <v>10</v>
      </c>
      <c r="I15" s="127">
        <v>37</v>
      </c>
      <c r="J15" s="127">
        <f t="shared" si="1"/>
        <v>135</v>
      </c>
      <c r="K15" s="128">
        <f t="shared" si="2"/>
        <v>5</v>
      </c>
      <c r="L15" s="253"/>
      <c r="M15" s="145">
        <v>19</v>
      </c>
      <c r="N15" s="126">
        <v>62</v>
      </c>
      <c r="O15" s="127">
        <v>10</v>
      </c>
      <c r="P15" s="127">
        <v>30</v>
      </c>
      <c r="Q15" s="127">
        <f t="shared" si="3"/>
        <v>121</v>
      </c>
      <c r="R15" s="128">
        <f t="shared" si="4"/>
        <v>5</v>
      </c>
      <c r="S15" s="253"/>
      <c r="T15" s="126">
        <v>15</v>
      </c>
      <c r="U15" s="126">
        <v>52</v>
      </c>
      <c r="V15" s="127">
        <f t="shared" si="5"/>
        <v>67</v>
      </c>
      <c r="W15" s="128">
        <f t="shared" si="6"/>
        <v>3.5</v>
      </c>
      <c r="X15" s="253"/>
      <c r="Y15" s="126">
        <v>20</v>
      </c>
      <c r="Z15" s="126">
        <v>70</v>
      </c>
      <c r="AA15" s="127">
        <f t="shared" si="7"/>
        <v>90</v>
      </c>
      <c r="AB15" s="128">
        <f t="shared" si="8"/>
        <v>5</v>
      </c>
      <c r="AC15" s="253"/>
      <c r="AD15" s="126">
        <v>19</v>
      </c>
      <c r="AE15" s="126">
        <v>66</v>
      </c>
      <c r="AF15" s="127">
        <f t="shared" si="9"/>
        <v>85</v>
      </c>
      <c r="AG15" s="128">
        <f t="shared" si="10"/>
        <v>5</v>
      </c>
      <c r="AH15" s="253"/>
      <c r="AI15" s="145">
        <v>19</v>
      </c>
      <c r="AJ15" s="126">
        <v>44</v>
      </c>
      <c r="AK15" s="127">
        <f t="shared" si="11"/>
        <v>63</v>
      </c>
      <c r="AL15" s="128">
        <f t="shared" si="12"/>
        <v>3.5</v>
      </c>
      <c r="AM15" s="253"/>
      <c r="AN15" s="129">
        <v>0</v>
      </c>
      <c r="AO15" s="126">
        <v>41</v>
      </c>
      <c r="AP15" s="126">
        <f t="shared" si="13"/>
        <v>41</v>
      </c>
      <c r="AQ15" s="128">
        <f t="shared" si="14"/>
        <v>5</v>
      </c>
      <c r="AR15" s="253"/>
      <c r="AS15" s="126">
        <v>50</v>
      </c>
      <c r="AT15" s="128">
        <f t="shared" si="15"/>
        <v>5</v>
      </c>
      <c r="AU15" s="253"/>
      <c r="AV15" s="129">
        <f t="shared" si="16"/>
        <v>32</v>
      </c>
      <c r="AW15" s="130">
        <f t="shared" si="17"/>
        <v>4.5714285714285712</v>
      </c>
      <c r="AX15" s="131">
        <f t="shared" si="18"/>
        <v>602</v>
      </c>
      <c r="AY15" s="38">
        <v>24</v>
      </c>
      <c r="AZ15" s="38">
        <v>56</v>
      </c>
      <c r="BA15" s="157" t="str">
        <f t="shared" si="0"/>
        <v>BETTER</v>
      </c>
      <c r="BB15" s="39">
        <f>'1st_Semester'!AX15</f>
        <v>593</v>
      </c>
      <c r="BC15" s="39">
        <f>'2nd_Semester'!AX15</f>
        <v>562</v>
      </c>
      <c r="BD15" s="37">
        <f t="shared" si="19"/>
        <v>602</v>
      </c>
      <c r="BE15" s="39">
        <f t="shared" si="20"/>
        <v>585.66666666666663</v>
      </c>
      <c r="BF15" s="39"/>
    </row>
    <row r="16" spans="1:58" s="158" customFormat="1" ht="12.75">
      <c r="A16" s="156">
        <v>9</v>
      </c>
      <c r="B16" s="148">
        <v>14</v>
      </c>
      <c r="C16" s="49" t="s">
        <v>93</v>
      </c>
      <c r="D16" s="49" t="s">
        <v>94</v>
      </c>
      <c r="E16" s="49" t="s">
        <v>95</v>
      </c>
      <c r="F16" s="126">
        <v>20</v>
      </c>
      <c r="G16" s="126">
        <v>69</v>
      </c>
      <c r="H16" s="129">
        <v>10</v>
      </c>
      <c r="I16" s="127">
        <v>35</v>
      </c>
      <c r="J16" s="127">
        <f t="shared" si="1"/>
        <v>134</v>
      </c>
      <c r="K16" s="128">
        <f t="shared" si="2"/>
        <v>5</v>
      </c>
      <c r="L16" s="253"/>
      <c r="M16" s="145">
        <v>19</v>
      </c>
      <c r="N16" s="126">
        <v>61</v>
      </c>
      <c r="O16" s="127">
        <v>10</v>
      </c>
      <c r="P16" s="127">
        <v>26</v>
      </c>
      <c r="Q16" s="127">
        <f t="shared" si="3"/>
        <v>116</v>
      </c>
      <c r="R16" s="128">
        <f t="shared" si="4"/>
        <v>4</v>
      </c>
      <c r="S16" s="253"/>
      <c r="T16" s="126">
        <v>17</v>
      </c>
      <c r="U16" s="126">
        <v>41</v>
      </c>
      <c r="V16" s="127">
        <f t="shared" si="5"/>
        <v>58</v>
      </c>
      <c r="W16" s="128">
        <f t="shared" si="6"/>
        <v>3</v>
      </c>
      <c r="X16" s="253"/>
      <c r="Y16" s="126">
        <v>19</v>
      </c>
      <c r="Z16" s="126">
        <v>68</v>
      </c>
      <c r="AA16" s="127">
        <f t="shared" si="7"/>
        <v>87</v>
      </c>
      <c r="AB16" s="128">
        <f t="shared" si="8"/>
        <v>5</v>
      </c>
      <c r="AC16" s="253"/>
      <c r="AD16" s="126">
        <v>19</v>
      </c>
      <c r="AE16" s="126">
        <v>52</v>
      </c>
      <c r="AF16" s="127">
        <f t="shared" si="9"/>
        <v>71</v>
      </c>
      <c r="AG16" s="128">
        <f t="shared" si="10"/>
        <v>4</v>
      </c>
      <c r="AH16" s="253"/>
      <c r="AI16" s="145">
        <v>20</v>
      </c>
      <c r="AJ16" s="126">
        <v>50</v>
      </c>
      <c r="AK16" s="127">
        <f t="shared" si="11"/>
        <v>70</v>
      </c>
      <c r="AL16" s="128">
        <f t="shared" si="12"/>
        <v>4</v>
      </c>
      <c r="AM16" s="253"/>
      <c r="AN16" s="129">
        <v>0</v>
      </c>
      <c r="AO16" s="126">
        <v>40</v>
      </c>
      <c r="AP16" s="126">
        <f t="shared" si="13"/>
        <v>40</v>
      </c>
      <c r="AQ16" s="128">
        <f t="shared" si="14"/>
        <v>5</v>
      </c>
      <c r="AR16" s="253"/>
      <c r="AS16" s="126">
        <v>49</v>
      </c>
      <c r="AT16" s="128">
        <f t="shared" si="15"/>
        <v>5</v>
      </c>
      <c r="AU16" s="253"/>
      <c r="AV16" s="129">
        <f t="shared" si="16"/>
        <v>30</v>
      </c>
      <c r="AW16" s="130">
        <f t="shared" si="17"/>
        <v>4.2857142857142856</v>
      </c>
      <c r="AX16" s="131">
        <f t="shared" si="18"/>
        <v>576</v>
      </c>
      <c r="AY16" s="38">
        <v>25</v>
      </c>
      <c r="AZ16" s="38">
        <v>56</v>
      </c>
      <c r="BA16" s="157" t="str">
        <f t="shared" si="0"/>
        <v>BETTER</v>
      </c>
      <c r="BB16" s="39">
        <f>'1st_Semester'!AX16</f>
        <v>578</v>
      </c>
      <c r="BC16" s="39">
        <f>'2nd_Semester'!AX16</f>
        <v>546</v>
      </c>
      <c r="BD16" s="37">
        <f t="shared" si="19"/>
        <v>576</v>
      </c>
      <c r="BE16" s="39">
        <f t="shared" si="20"/>
        <v>566.66666666666663</v>
      </c>
      <c r="BF16" s="39"/>
    </row>
    <row r="17" spans="1:58" s="158" customFormat="1" ht="12.75">
      <c r="A17" s="156">
        <v>10</v>
      </c>
      <c r="B17" s="148">
        <v>16</v>
      </c>
      <c r="C17" s="49" t="s">
        <v>96</v>
      </c>
      <c r="D17" s="49" t="s">
        <v>97</v>
      </c>
      <c r="E17" s="49" t="s">
        <v>98</v>
      </c>
      <c r="F17" s="126">
        <v>20</v>
      </c>
      <c r="G17" s="126">
        <v>69</v>
      </c>
      <c r="H17" s="129">
        <v>10</v>
      </c>
      <c r="I17" s="127">
        <v>38</v>
      </c>
      <c r="J17" s="127">
        <f t="shared" si="1"/>
        <v>137</v>
      </c>
      <c r="K17" s="128">
        <f t="shared" si="2"/>
        <v>5</v>
      </c>
      <c r="L17" s="253"/>
      <c r="M17" s="145">
        <v>18</v>
      </c>
      <c r="N17" s="126">
        <v>58</v>
      </c>
      <c r="O17" s="127">
        <v>10</v>
      </c>
      <c r="P17" s="127">
        <v>38</v>
      </c>
      <c r="Q17" s="127">
        <f t="shared" si="3"/>
        <v>124</v>
      </c>
      <c r="R17" s="128">
        <f t="shared" si="4"/>
        <v>5</v>
      </c>
      <c r="S17" s="253"/>
      <c r="T17" s="126">
        <v>19</v>
      </c>
      <c r="U17" s="126">
        <v>64</v>
      </c>
      <c r="V17" s="127">
        <f t="shared" si="5"/>
        <v>83</v>
      </c>
      <c r="W17" s="128">
        <f t="shared" si="6"/>
        <v>5</v>
      </c>
      <c r="X17" s="253"/>
      <c r="Y17" s="126">
        <v>19</v>
      </c>
      <c r="Z17" s="126">
        <v>65</v>
      </c>
      <c r="AA17" s="127">
        <f t="shared" si="7"/>
        <v>84</v>
      </c>
      <c r="AB17" s="128">
        <f t="shared" si="8"/>
        <v>5</v>
      </c>
      <c r="AC17" s="253"/>
      <c r="AD17" s="126">
        <v>19</v>
      </c>
      <c r="AE17" s="126">
        <v>69</v>
      </c>
      <c r="AF17" s="127">
        <f t="shared" si="9"/>
        <v>88</v>
      </c>
      <c r="AG17" s="128">
        <f t="shared" si="10"/>
        <v>5</v>
      </c>
      <c r="AH17" s="253"/>
      <c r="AI17" s="145">
        <v>17</v>
      </c>
      <c r="AJ17" s="126">
        <v>48</v>
      </c>
      <c r="AK17" s="127">
        <f t="shared" si="11"/>
        <v>65</v>
      </c>
      <c r="AL17" s="128">
        <f t="shared" si="12"/>
        <v>3.5</v>
      </c>
      <c r="AM17" s="253"/>
      <c r="AN17" s="129">
        <v>0</v>
      </c>
      <c r="AO17" s="126">
        <v>29</v>
      </c>
      <c r="AP17" s="126">
        <f t="shared" si="13"/>
        <v>29</v>
      </c>
      <c r="AQ17" s="128">
        <f t="shared" si="14"/>
        <v>3</v>
      </c>
      <c r="AR17" s="253"/>
      <c r="AS17" s="126">
        <v>48</v>
      </c>
      <c r="AT17" s="128">
        <f t="shared" si="15"/>
        <v>5</v>
      </c>
      <c r="AU17" s="253"/>
      <c r="AV17" s="129">
        <f t="shared" si="16"/>
        <v>31.5</v>
      </c>
      <c r="AW17" s="130">
        <f t="shared" si="17"/>
        <v>4.5</v>
      </c>
      <c r="AX17" s="131">
        <f t="shared" si="18"/>
        <v>610</v>
      </c>
      <c r="AY17" s="38">
        <v>19</v>
      </c>
      <c r="AZ17" s="38">
        <v>56</v>
      </c>
      <c r="BA17" s="157" t="str">
        <f t="shared" si="0"/>
        <v>BETTER</v>
      </c>
      <c r="BB17" s="39">
        <f>'1st_Semester'!AX17</f>
        <v>607</v>
      </c>
      <c r="BC17" s="39">
        <f>'2nd_Semester'!AX17</f>
        <v>651</v>
      </c>
      <c r="BD17" s="37">
        <f t="shared" si="19"/>
        <v>610</v>
      </c>
      <c r="BE17" s="39">
        <f t="shared" si="20"/>
        <v>622.66666666666663</v>
      </c>
      <c r="BF17" s="39"/>
    </row>
    <row r="18" spans="1:58" s="158" customFormat="1" ht="12.75">
      <c r="A18" s="156">
        <v>11</v>
      </c>
      <c r="B18" s="148">
        <v>18</v>
      </c>
      <c r="C18" s="49" t="s">
        <v>99</v>
      </c>
      <c r="D18" s="49" t="s">
        <v>100</v>
      </c>
      <c r="E18" s="49" t="s">
        <v>101</v>
      </c>
      <c r="F18" s="126">
        <v>19</v>
      </c>
      <c r="G18" s="126">
        <v>72</v>
      </c>
      <c r="H18" s="129">
        <v>10</v>
      </c>
      <c r="I18" s="127">
        <v>34</v>
      </c>
      <c r="J18" s="127">
        <f t="shared" si="1"/>
        <v>135</v>
      </c>
      <c r="K18" s="128">
        <f t="shared" si="2"/>
        <v>5</v>
      </c>
      <c r="L18" s="253"/>
      <c r="M18" s="145">
        <v>20</v>
      </c>
      <c r="N18" s="126">
        <v>76</v>
      </c>
      <c r="O18" s="127">
        <v>10</v>
      </c>
      <c r="P18" s="127">
        <v>38</v>
      </c>
      <c r="Q18" s="127">
        <f t="shared" si="3"/>
        <v>144</v>
      </c>
      <c r="R18" s="128">
        <f t="shared" si="4"/>
        <v>5</v>
      </c>
      <c r="S18" s="253"/>
      <c r="T18" s="126">
        <v>16</v>
      </c>
      <c r="U18" s="126">
        <v>70</v>
      </c>
      <c r="V18" s="127">
        <f t="shared" si="5"/>
        <v>86</v>
      </c>
      <c r="W18" s="128">
        <f t="shared" si="6"/>
        <v>5</v>
      </c>
      <c r="X18" s="253"/>
      <c r="Y18" s="126">
        <v>20</v>
      </c>
      <c r="Z18" s="126">
        <v>67</v>
      </c>
      <c r="AA18" s="127">
        <f t="shared" si="7"/>
        <v>87</v>
      </c>
      <c r="AB18" s="128">
        <f t="shared" si="8"/>
        <v>5</v>
      </c>
      <c r="AC18" s="253"/>
      <c r="AD18" s="126">
        <v>18</v>
      </c>
      <c r="AE18" s="126">
        <v>73</v>
      </c>
      <c r="AF18" s="127">
        <f t="shared" si="9"/>
        <v>91</v>
      </c>
      <c r="AG18" s="128">
        <f t="shared" si="10"/>
        <v>5</v>
      </c>
      <c r="AH18" s="253"/>
      <c r="AI18" s="145">
        <v>18</v>
      </c>
      <c r="AJ18" s="126">
        <v>66</v>
      </c>
      <c r="AK18" s="127">
        <f t="shared" si="11"/>
        <v>84</v>
      </c>
      <c r="AL18" s="128">
        <f t="shared" si="12"/>
        <v>5</v>
      </c>
      <c r="AM18" s="253"/>
      <c r="AN18" s="129">
        <v>0</v>
      </c>
      <c r="AO18" s="126">
        <v>41</v>
      </c>
      <c r="AP18" s="126">
        <f t="shared" si="13"/>
        <v>41</v>
      </c>
      <c r="AQ18" s="128">
        <f t="shared" si="14"/>
        <v>5</v>
      </c>
      <c r="AR18" s="253"/>
      <c r="AS18" s="126">
        <v>48</v>
      </c>
      <c r="AT18" s="128">
        <f t="shared" si="15"/>
        <v>5</v>
      </c>
      <c r="AU18" s="253"/>
      <c r="AV18" s="129">
        <f t="shared" si="16"/>
        <v>35</v>
      </c>
      <c r="AW18" s="130">
        <f t="shared" si="17"/>
        <v>5</v>
      </c>
      <c r="AX18" s="131">
        <f t="shared" si="18"/>
        <v>668</v>
      </c>
      <c r="AY18" s="38">
        <v>10</v>
      </c>
      <c r="AZ18" s="38">
        <v>56</v>
      </c>
      <c r="BA18" s="157" t="str">
        <f t="shared" si="0"/>
        <v>BEST</v>
      </c>
      <c r="BB18" s="39">
        <f>'1st_Semester'!AX18</f>
        <v>678</v>
      </c>
      <c r="BC18" s="39">
        <f>'2nd_Semester'!AX18</f>
        <v>681</v>
      </c>
      <c r="BD18" s="37">
        <f t="shared" si="19"/>
        <v>668</v>
      </c>
      <c r="BE18" s="39">
        <f t="shared" si="20"/>
        <v>675.66666666666663</v>
      </c>
      <c r="BF18" s="39"/>
    </row>
    <row r="19" spans="1:58" s="158" customFormat="1" ht="12.75">
      <c r="A19" s="156">
        <v>12</v>
      </c>
      <c r="B19" s="149">
        <v>30</v>
      </c>
      <c r="C19" s="150" t="s">
        <v>102</v>
      </c>
      <c r="D19" s="150" t="s">
        <v>103</v>
      </c>
      <c r="E19" s="150" t="s">
        <v>104</v>
      </c>
      <c r="F19" s="126">
        <v>18</v>
      </c>
      <c r="G19" s="126">
        <v>66</v>
      </c>
      <c r="H19" s="129">
        <v>10</v>
      </c>
      <c r="I19" s="127">
        <v>36</v>
      </c>
      <c r="J19" s="127">
        <f t="shared" si="1"/>
        <v>130</v>
      </c>
      <c r="K19" s="128">
        <f t="shared" si="2"/>
        <v>5</v>
      </c>
      <c r="L19" s="253"/>
      <c r="M19" s="145">
        <v>19</v>
      </c>
      <c r="N19" s="126">
        <v>67</v>
      </c>
      <c r="O19" s="127">
        <v>10</v>
      </c>
      <c r="P19" s="127">
        <v>21</v>
      </c>
      <c r="Q19" s="127">
        <f t="shared" si="3"/>
        <v>117</v>
      </c>
      <c r="R19" s="128">
        <f t="shared" si="4"/>
        <v>4</v>
      </c>
      <c r="S19" s="253"/>
      <c r="T19" s="126">
        <v>16</v>
      </c>
      <c r="U19" s="126">
        <v>64</v>
      </c>
      <c r="V19" s="127">
        <f t="shared" si="5"/>
        <v>80</v>
      </c>
      <c r="W19" s="128">
        <f t="shared" si="6"/>
        <v>5</v>
      </c>
      <c r="X19" s="253"/>
      <c r="Y19" s="126">
        <v>19</v>
      </c>
      <c r="Z19" s="126">
        <v>71</v>
      </c>
      <c r="AA19" s="127">
        <f t="shared" si="7"/>
        <v>90</v>
      </c>
      <c r="AB19" s="128">
        <f t="shared" si="8"/>
        <v>5</v>
      </c>
      <c r="AC19" s="253"/>
      <c r="AD19" s="126">
        <v>17</v>
      </c>
      <c r="AE19" s="126">
        <v>57</v>
      </c>
      <c r="AF19" s="127">
        <f t="shared" si="9"/>
        <v>74</v>
      </c>
      <c r="AG19" s="128">
        <f t="shared" si="10"/>
        <v>4</v>
      </c>
      <c r="AH19" s="253"/>
      <c r="AI19" s="145">
        <v>17</v>
      </c>
      <c r="AJ19" s="126">
        <v>53</v>
      </c>
      <c r="AK19" s="127">
        <f t="shared" si="11"/>
        <v>70</v>
      </c>
      <c r="AL19" s="128">
        <f t="shared" si="12"/>
        <v>4</v>
      </c>
      <c r="AM19" s="253"/>
      <c r="AN19" s="129">
        <v>0</v>
      </c>
      <c r="AO19" s="126">
        <v>35</v>
      </c>
      <c r="AP19" s="126">
        <f t="shared" si="13"/>
        <v>35</v>
      </c>
      <c r="AQ19" s="128">
        <f t="shared" si="14"/>
        <v>4</v>
      </c>
      <c r="AR19" s="253"/>
      <c r="AS19" s="126">
        <v>50</v>
      </c>
      <c r="AT19" s="128">
        <f t="shared" si="15"/>
        <v>5</v>
      </c>
      <c r="AU19" s="253"/>
      <c r="AV19" s="129">
        <f t="shared" si="16"/>
        <v>31</v>
      </c>
      <c r="AW19" s="130">
        <f t="shared" si="17"/>
        <v>4.4285714285714288</v>
      </c>
      <c r="AX19" s="131">
        <f t="shared" si="18"/>
        <v>596</v>
      </c>
      <c r="AY19" s="38">
        <v>29</v>
      </c>
      <c r="AZ19" s="38">
        <v>56</v>
      </c>
      <c r="BA19" s="157" t="str">
        <f t="shared" si="0"/>
        <v>BETTER</v>
      </c>
      <c r="BB19" s="39">
        <f>'1st_Semester'!AX19</f>
        <v>500</v>
      </c>
      <c r="BC19" s="39">
        <f>'2nd_Semester'!AX19</f>
        <v>559</v>
      </c>
      <c r="BD19" s="37">
        <f t="shared" si="19"/>
        <v>596</v>
      </c>
      <c r="BE19" s="39">
        <f t="shared" si="20"/>
        <v>551.66666666666663</v>
      </c>
      <c r="BF19" s="39"/>
    </row>
    <row r="20" spans="1:58" s="158" customFormat="1" ht="12.75">
      <c r="A20" s="156">
        <v>13</v>
      </c>
      <c r="B20" s="149">
        <v>39</v>
      </c>
      <c r="C20" s="150" t="s">
        <v>105</v>
      </c>
      <c r="D20" s="150" t="s">
        <v>106</v>
      </c>
      <c r="E20" s="150" t="s">
        <v>107</v>
      </c>
      <c r="F20" s="126">
        <v>19</v>
      </c>
      <c r="G20" s="126">
        <v>64</v>
      </c>
      <c r="H20" s="129">
        <v>10</v>
      </c>
      <c r="I20" s="127">
        <v>39</v>
      </c>
      <c r="J20" s="127">
        <f t="shared" si="1"/>
        <v>132</v>
      </c>
      <c r="K20" s="128">
        <f t="shared" si="2"/>
        <v>5</v>
      </c>
      <c r="L20" s="253"/>
      <c r="M20" s="145">
        <v>19</v>
      </c>
      <c r="N20" s="126">
        <v>71</v>
      </c>
      <c r="O20" s="127">
        <v>10</v>
      </c>
      <c r="P20" s="127">
        <v>40</v>
      </c>
      <c r="Q20" s="127">
        <f t="shared" si="3"/>
        <v>140</v>
      </c>
      <c r="R20" s="128">
        <f t="shared" si="4"/>
        <v>5</v>
      </c>
      <c r="S20" s="253"/>
      <c r="T20" s="126">
        <v>14</v>
      </c>
      <c r="U20" s="126">
        <v>56</v>
      </c>
      <c r="V20" s="127">
        <f t="shared" si="5"/>
        <v>70</v>
      </c>
      <c r="W20" s="128">
        <f t="shared" si="6"/>
        <v>4</v>
      </c>
      <c r="X20" s="253"/>
      <c r="Y20" s="126">
        <v>20</v>
      </c>
      <c r="Z20" s="126">
        <v>71</v>
      </c>
      <c r="AA20" s="127">
        <f t="shared" si="7"/>
        <v>91</v>
      </c>
      <c r="AB20" s="128">
        <f t="shared" si="8"/>
        <v>5</v>
      </c>
      <c r="AC20" s="253"/>
      <c r="AD20" s="126">
        <v>19</v>
      </c>
      <c r="AE20" s="126">
        <v>70</v>
      </c>
      <c r="AF20" s="127">
        <f t="shared" si="9"/>
        <v>89</v>
      </c>
      <c r="AG20" s="128">
        <f t="shared" si="10"/>
        <v>5</v>
      </c>
      <c r="AH20" s="253"/>
      <c r="AI20" s="145">
        <v>18</v>
      </c>
      <c r="AJ20" s="126">
        <v>72</v>
      </c>
      <c r="AK20" s="127">
        <f t="shared" si="11"/>
        <v>90</v>
      </c>
      <c r="AL20" s="128">
        <f t="shared" si="12"/>
        <v>5</v>
      </c>
      <c r="AM20" s="253"/>
      <c r="AN20" s="129">
        <v>0</v>
      </c>
      <c r="AO20" s="126">
        <v>48</v>
      </c>
      <c r="AP20" s="126">
        <f t="shared" si="13"/>
        <v>48</v>
      </c>
      <c r="AQ20" s="128">
        <f t="shared" si="14"/>
        <v>5</v>
      </c>
      <c r="AR20" s="253"/>
      <c r="AS20" s="126">
        <v>50</v>
      </c>
      <c r="AT20" s="128">
        <f t="shared" si="15"/>
        <v>5</v>
      </c>
      <c r="AU20" s="253"/>
      <c r="AV20" s="129">
        <f t="shared" si="16"/>
        <v>34</v>
      </c>
      <c r="AW20" s="130">
        <f t="shared" si="17"/>
        <v>4.8571428571428568</v>
      </c>
      <c r="AX20" s="131">
        <f t="shared" si="18"/>
        <v>660</v>
      </c>
      <c r="AY20" s="38">
        <v>13</v>
      </c>
      <c r="AZ20" s="38">
        <v>56</v>
      </c>
      <c r="BA20" s="157" t="str">
        <f t="shared" si="0"/>
        <v>BETTER</v>
      </c>
      <c r="BB20" s="39">
        <f>'1st_Semester'!AX20</f>
        <v>647</v>
      </c>
      <c r="BC20" s="39">
        <f>'2nd_Semester'!AX20</f>
        <v>675</v>
      </c>
      <c r="BD20" s="37">
        <f t="shared" si="19"/>
        <v>660</v>
      </c>
      <c r="BE20" s="39">
        <f t="shared" si="20"/>
        <v>660.66666666666663</v>
      </c>
      <c r="BF20" s="39"/>
    </row>
    <row r="21" spans="1:58" s="158" customFormat="1" ht="12.75">
      <c r="A21" s="156">
        <v>14</v>
      </c>
      <c r="B21" s="149">
        <v>40</v>
      </c>
      <c r="C21" s="150" t="s">
        <v>108</v>
      </c>
      <c r="D21" s="150" t="s">
        <v>109</v>
      </c>
      <c r="E21" s="150" t="s">
        <v>110</v>
      </c>
      <c r="F21" s="126">
        <v>19</v>
      </c>
      <c r="G21" s="126">
        <v>68</v>
      </c>
      <c r="H21" s="129">
        <v>10</v>
      </c>
      <c r="I21" s="127">
        <v>37</v>
      </c>
      <c r="J21" s="127">
        <f t="shared" ref="J21:J26" si="21">F21+G21+H21+I21</f>
        <v>134</v>
      </c>
      <c r="K21" s="128">
        <f t="shared" ref="K21:K26" si="22">IF(J21&lt;60,"F",IF(J21&lt;75,2,IF(J21&lt;90,3,IF(J21&lt;105,3.5,IF(J21&lt;120,4,5)))))</f>
        <v>5</v>
      </c>
      <c r="L21" s="253"/>
      <c r="M21" s="145">
        <v>20</v>
      </c>
      <c r="N21" s="126">
        <v>70</v>
      </c>
      <c r="O21" s="127">
        <v>10</v>
      </c>
      <c r="P21" s="127">
        <v>33</v>
      </c>
      <c r="Q21" s="127">
        <f t="shared" ref="Q21:Q28" si="23">M21+N21+O21+P21</f>
        <v>133</v>
      </c>
      <c r="R21" s="128">
        <f t="shared" ref="R21:R28" si="24">IF(Q21&lt;60,"F",IF(Q21&lt;75,2,IF(Q21&lt;90,3,IF(Q21&lt;105,3.5,IF(Q21&lt;120,4,5)))))</f>
        <v>5</v>
      </c>
      <c r="S21" s="253"/>
      <c r="T21" s="126">
        <v>12</v>
      </c>
      <c r="U21" s="126">
        <v>56</v>
      </c>
      <c r="V21" s="127">
        <f t="shared" ref="V21:V27" si="25">T21+U21</f>
        <v>68</v>
      </c>
      <c r="W21" s="128">
        <f t="shared" ref="W21:W27" si="26">IF(V21&lt;40,"F",IF(V21&lt;50,2,IF(V21&lt;60,3,IF(V21&lt;70,3.5,IF(V21&lt;80,4,5)))))</f>
        <v>3.5</v>
      </c>
      <c r="X21" s="253"/>
      <c r="Y21" s="126">
        <v>20</v>
      </c>
      <c r="Z21" s="126">
        <v>58</v>
      </c>
      <c r="AA21" s="127">
        <f t="shared" ref="AA21:AA27" si="27">Y21+Z21</f>
        <v>78</v>
      </c>
      <c r="AB21" s="128">
        <f t="shared" ref="AB21:AB27" si="28">IF(AA21&lt;40,"F",IF(AA21&lt;50,2,IF(AA21&lt;60,3,IF(AA21&lt;70,3.5,IF(AA21&lt;80,4,5)))))</f>
        <v>4</v>
      </c>
      <c r="AC21" s="253"/>
      <c r="AD21" s="126">
        <v>14</v>
      </c>
      <c r="AE21" s="126">
        <v>67</v>
      </c>
      <c r="AF21" s="127">
        <f t="shared" ref="AF21:AF27" si="29">AD21+AE21</f>
        <v>81</v>
      </c>
      <c r="AG21" s="128">
        <f t="shared" ref="AG21:AG27" si="30">IF(AF21&lt;40,"F",IF(AF21&lt;50,2,IF(AF21&lt;60,3,IF(AF21&lt;70,3.5,IF(AF21&lt;80,4,5)))))</f>
        <v>5</v>
      </c>
      <c r="AH21" s="253"/>
      <c r="AI21" s="145">
        <v>20</v>
      </c>
      <c r="AJ21" s="126">
        <v>59</v>
      </c>
      <c r="AK21" s="127">
        <f t="shared" ref="AK21:AK27" si="31">AI21+AJ21</f>
        <v>79</v>
      </c>
      <c r="AL21" s="128">
        <f t="shared" ref="AL21:AL27" si="32">IF(AK21&lt;40,"F",IF(AK21&lt;50,2,IF(AK21&lt;60,3,IF(AK21&lt;70,3.5,IF(AK21&lt;80,4,5)))))</f>
        <v>4</v>
      </c>
      <c r="AM21" s="253"/>
      <c r="AN21" s="129">
        <v>0</v>
      </c>
      <c r="AO21" s="126">
        <v>40</v>
      </c>
      <c r="AP21" s="126">
        <f t="shared" ref="AP21:AP26" si="33">AO21</f>
        <v>40</v>
      </c>
      <c r="AQ21" s="128">
        <f t="shared" ref="AQ21:AQ26" si="34">IF(AP21&lt;20,"F",IF(AP21&lt;25,2,IF(AP21&lt;30,3,IF(AP21&lt;35,3.5,IF(AP21&lt;40,4,5)))))</f>
        <v>5</v>
      </c>
      <c r="AR21" s="253"/>
      <c r="AS21" s="126">
        <v>49</v>
      </c>
      <c r="AT21" s="128">
        <f t="shared" ref="AT21:AT26" si="35">IF(AS21&lt;20,"F",IF(AS21&lt;25,2,IF(AS21&lt;30,3,IF(AS21&lt;35,3.5,IF(AS21&lt;40,4,5)))))</f>
        <v>5</v>
      </c>
      <c r="AU21" s="253"/>
      <c r="AV21" s="129">
        <f t="shared" ref="AV21:AV27" si="36">IF(K21="F","F",IF(R21="F","F",IF(W21="F","F",IF(AB21="F","F",IF(AG21="F","F",IF(AL21="F","F",IF(AQ21="F","F",SUM(K21,R21,W21,AB21,AG21,AL21,AQ21))))))))</f>
        <v>31.5</v>
      </c>
      <c r="AW21" s="130">
        <f t="shared" ref="AW21:AW27" si="37">IF(AV21="F","F", IF(AV21&gt;=35,5,IF(AV21&lt;35,AV21/7)))</f>
        <v>4.5</v>
      </c>
      <c r="AX21" s="131">
        <f t="shared" ref="AX21:AX27" si="38">J21+Q21+V21+AA21+AF21+AK21+AP21</f>
        <v>613</v>
      </c>
      <c r="AY21" s="38">
        <v>20</v>
      </c>
      <c r="AZ21" s="38">
        <v>56</v>
      </c>
      <c r="BA21" s="157" t="str">
        <f t="shared" ref="BA21:BA31" si="39">IF(AW21="F","NEED TO PROGRESS",IF(AW21&gt;=5,"BEST",IF(AW21&gt;=4,"BETTER",IF(AW21&gt;2,"GOOD"))))</f>
        <v>BETTER</v>
      </c>
      <c r="BB21" s="39">
        <f>'1st_Semester'!AX21</f>
        <v>625</v>
      </c>
      <c r="BC21" s="39">
        <f>'2nd_Semester'!AX21</f>
        <v>603</v>
      </c>
      <c r="BD21" s="37">
        <f t="shared" si="19"/>
        <v>613</v>
      </c>
      <c r="BE21" s="39">
        <f t="shared" si="20"/>
        <v>613.66666666666663</v>
      </c>
      <c r="BF21" s="39"/>
    </row>
    <row r="22" spans="1:58" s="158" customFormat="1" ht="12.75">
      <c r="A22" s="156">
        <v>15</v>
      </c>
      <c r="B22" s="149">
        <v>42</v>
      </c>
      <c r="C22" s="150" t="s">
        <v>111</v>
      </c>
      <c r="D22" s="150" t="s">
        <v>112</v>
      </c>
      <c r="E22" s="150" t="s">
        <v>113</v>
      </c>
      <c r="F22" s="126">
        <v>20</v>
      </c>
      <c r="G22" s="126">
        <v>72</v>
      </c>
      <c r="H22" s="129">
        <v>10</v>
      </c>
      <c r="I22" s="127">
        <v>38</v>
      </c>
      <c r="J22" s="127">
        <f t="shared" si="21"/>
        <v>140</v>
      </c>
      <c r="K22" s="128">
        <f t="shared" si="22"/>
        <v>5</v>
      </c>
      <c r="L22" s="253"/>
      <c r="M22" s="145">
        <v>19</v>
      </c>
      <c r="N22" s="126">
        <v>62</v>
      </c>
      <c r="O22" s="127">
        <v>10</v>
      </c>
      <c r="P22" s="127">
        <v>30</v>
      </c>
      <c r="Q22" s="127">
        <f t="shared" si="23"/>
        <v>121</v>
      </c>
      <c r="R22" s="128">
        <f t="shared" si="24"/>
        <v>5</v>
      </c>
      <c r="S22" s="253"/>
      <c r="T22" s="126">
        <v>19</v>
      </c>
      <c r="U22" s="126">
        <v>57</v>
      </c>
      <c r="V22" s="127">
        <f t="shared" si="25"/>
        <v>76</v>
      </c>
      <c r="W22" s="128">
        <f t="shared" si="26"/>
        <v>4</v>
      </c>
      <c r="X22" s="253"/>
      <c r="Y22" s="126">
        <v>19</v>
      </c>
      <c r="Z22" s="126">
        <v>67</v>
      </c>
      <c r="AA22" s="127">
        <f t="shared" si="27"/>
        <v>86</v>
      </c>
      <c r="AB22" s="128">
        <f t="shared" si="28"/>
        <v>5</v>
      </c>
      <c r="AC22" s="253"/>
      <c r="AD22" s="126">
        <v>17</v>
      </c>
      <c r="AE22" s="126">
        <v>71</v>
      </c>
      <c r="AF22" s="127">
        <f t="shared" si="29"/>
        <v>88</v>
      </c>
      <c r="AG22" s="128">
        <f t="shared" si="30"/>
        <v>5</v>
      </c>
      <c r="AH22" s="253"/>
      <c r="AI22" s="145">
        <v>20</v>
      </c>
      <c r="AJ22" s="126">
        <v>60</v>
      </c>
      <c r="AK22" s="127">
        <f t="shared" si="31"/>
        <v>80</v>
      </c>
      <c r="AL22" s="128">
        <f t="shared" si="32"/>
        <v>5</v>
      </c>
      <c r="AM22" s="253"/>
      <c r="AN22" s="129">
        <v>0</v>
      </c>
      <c r="AO22" s="126">
        <v>47</v>
      </c>
      <c r="AP22" s="126">
        <f t="shared" si="33"/>
        <v>47</v>
      </c>
      <c r="AQ22" s="128">
        <f t="shared" si="34"/>
        <v>5</v>
      </c>
      <c r="AR22" s="253"/>
      <c r="AS22" s="126">
        <v>49</v>
      </c>
      <c r="AT22" s="128">
        <f t="shared" si="35"/>
        <v>5</v>
      </c>
      <c r="AU22" s="253"/>
      <c r="AV22" s="129">
        <f t="shared" si="36"/>
        <v>34</v>
      </c>
      <c r="AW22" s="130">
        <f t="shared" si="37"/>
        <v>4.8571428571428568</v>
      </c>
      <c r="AX22" s="131">
        <f t="shared" si="38"/>
        <v>638</v>
      </c>
      <c r="AY22" s="38">
        <v>22</v>
      </c>
      <c r="AZ22" s="38">
        <v>56</v>
      </c>
      <c r="BA22" s="157" t="str">
        <f t="shared" si="39"/>
        <v>BETTER</v>
      </c>
      <c r="BB22" s="39">
        <f>'1st_Semester'!AX22</f>
        <v>588</v>
      </c>
      <c r="BC22" s="39">
        <f>'2nd_Semester'!AX22</f>
        <v>583</v>
      </c>
      <c r="BD22" s="37">
        <f t="shared" si="19"/>
        <v>638</v>
      </c>
      <c r="BE22" s="39">
        <f t="shared" si="20"/>
        <v>603</v>
      </c>
      <c r="BF22" s="39"/>
    </row>
    <row r="23" spans="1:58" s="158" customFormat="1" ht="12.75">
      <c r="A23" s="156">
        <v>16</v>
      </c>
      <c r="B23" s="149">
        <v>43</v>
      </c>
      <c r="C23" s="150" t="s">
        <v>114</v>
      </c>
      <c r="D23" s="150" t="s">
        <v>115</v>
      </c>
      <c r="E23" s="150" t="s">
        <v>116</v>
      </c>
      <c r="F23" s="126">
        <v>20</v>
      </c>
      <c r="G23" s="126">
        <v>78</v>
      </c>
      <c r="H23" s="129">
        <v>10</v>
      </c>
      <c r="I23" s="127">
        <v>39</v>
      </c>
      <c r="J23" s="127">
        <f t="shared" si="21"/>
        <v>147</v>
      </c>
      <c r="K23" s="128">
        <f t="shared" si="22"/>
        <v>5</v>
      </c>
      <c r="L23" s="253"/>
      <c r="M23" s="145">
        <v>20</v>
      </c>
      <c r="N23" s="126">
        <v>74</v>
      </c>
      <c r="O23" s="127">
        <v>10</v>
      </c>
      <c r="P23" s="127">
        <v>40</v>
      </c>
      <c r="Q23" s="127">
        <f t="shared" si="23"/>
        <v>144</v>
      </c>
      <c r="R23" s="128">
        <f t="shared" si="24"/>
        <v>5</v>
      </c>
      <c r="S23" s="253"/>
      <c r="T23" s="126">
        <v>19</v>
      </c>
      <c r="U23" s="126">
        <v>78</v>
      </c>
      <c r="V23" s="127">
        <f t="shared" si="25"/>
        <v>97</v>
      </c>
      <c r="W23" s="128">
        <f t="shared" si="26"/>
        <v>5</v>
      </c>
      <c r="X23" s="253"/>
      <c r="Y23" s="126">
        <v>20</v>
      </c>
      <c r="Z23" s="126">
        <v>74</v>
      </c>
      <c r="AA23" s="127">
        <f t="shared" si="27"/>
        <v>94</v>
      </c>
      <c r="AB23" s="128">
        <f t="shared" si="28"/>
        <v>5</v>
      </c>
      <c r="AC23" s="253"/>
      <c r="AD23" s="126">
        <v>19</v>
      </c>
      <c r="AE23" s="126">
        <v>79</v>
      </c>
      <c r="AF23" s="127">
        <f t="shared" si="29"/>
        <v>98</v>
      </c>
      <c r="AG23" s="128">
        <f t="shared" si="30"/>
        <v>5</v>
      </c>
      <c r="AH23" s="253"/>
      <c r="AI23" s="145">
        <v>20</v>
      </c>
      <c r="AJ23" s="126">
        <v>80</v>
      </c>
      <c r="AK23" s="127">
        <f t="shared" si="31"/>
        <v>100</v>
      </c>
      <c r="AL23" s="128">
        <f t="shared" si="32"/>
        <v>5</v>
      </c>
      <c r="AM23" s="253"/>
      <c r="AN23" s="129">
        <v>0</v>
      </c>
      <c r="AO23" s="126">
        <v>50</v>
      </c>
      <c r="AP23" s="126">
        <f t="shared" si="33"/>
        <v>50</v>
      </c>
      <c r="AQ23" s="128">
        <f t="shared" si="34"/>
        <v>5</v>
      </c>
      <c r="AR23" s="253"/>
      <c r="AS23" s="126">
        <v>50</v>
      </c>
      <c r="AT23" s="128">
        <f t="shared" si="35"/>
        <v>5</v>
      </c>
      <c r="AU23" s="253"/>
      <c r="AV23" s="129">
        <f t="shared" si="36"/>
        <v>35</v>
      </c>
      <c r="AW23" s="130">
        <f t="shared" si="37"/>
        <v>5</v>
      </c>
      <c r="AX23" s="131">
        <f t="shared" si="38"/>
        <v>730</v>
      </c>
      <c r="AY23" s="38">
        <v>4</v>
      </c>
      <c r="AZ23" s="38">
        <v>56</v>
      </c>
      <c r="BA23" s="157" t="str">
        <f t="shared" si="39"/>
        <v>BEST</v>
      </c>
      <c r="BB23" s="39">
        <f>'1st_Semester'!AX23</f>
        <v>629</v>
      </c>
      <c r="BC23" s="39">
        <f>'2nd_Semester'!AX23</f>
        <v>708</v>
      </c>
      <c r="BD23" s="37">
        <f t="shared" si="19"/>
        <v>730</v>
      </c>
      <c r="BE23" s="39">
        <f t="shared" si="20"/>
        <v>689</v>
      </c>
      <c r="BF23" s="39"/>
    </row>
    <row r="24" spans="1:58" s="158" customFormat="1" ht="12.75">
      <c r="A24" s="156">
        <v>17</v>
      </c>
      <c r="B24" s="149">
        <v>44</v>
      </c>
      <c r="C24" s="150" t="s">
        <v>117</v>
      </c>
      <c r="D24" s="150" t="s">
        <v>118</v>
      </c>
      <c r="E24" s="150" t="s">
        <v>119</v>
      </c>
      <c r="F24" s="126">
        <v>20</v>
      </c>
      <c r="G24" s="126">
        <v>66</v>
      </c>
      <c r="H24" s="129">
        <v>10</v>
      </c>
      <c r="I24" s="127">
        <v>37</v>
      </c>
      <c r="J24" s="127">
        <f t="shared" si="21"/>
        <v>133</v>
      </c>
      <c r="K24" s="128">
        <f t="shared" si="22"/>
        <v>5</v>
      </c>
      <c r="L24" s="253"/>
      <c r="M24" s="145">
        <v>18</v>
      </c>
      <c r="N24" s="126">
        <v>58</v>
      </c>
      <c r="O24" s="127">
        <v>10</v>
      </c>
      <c r="P24" s="127">
        <v>24</v>
      </c>
      <c r="Q24" s="127">
        <f t="shared" si="23"/>
        <v>110</v>
      </c>
      <c r="R24" s="128">
        <f t="shared" si="24"/>
        <v>4</v>
      </c>
      <c r="S24" s="253"/>
      <c r="T24" s="126">
        <v>14</v>
      </c>
      <c r="U24" s="126">
        <v>76</v>
      </c>
      <c r="V24" s="127">
        <f t="shared" si="25"/>
        <v>90</v>
      </c>
      <c r="W24" s="128">
        <f t="shared" si="26"/>
        <v>5</v>
      </c>
      <c r="X24" s="253"/>
      <c r="Y24" s="126">
        <v>19</v>
      </c>
      <c r="Z24" s="126">
        <v>64</v>
      </c>
      <c r="AA24" s="127">
        <f t="shared" si="27"/>
        <v>83</v>
      </c>
      <c r="AB24" s="128">
        <f t="shared" si="28"/>
        <v>5</v>
      </c>
      <c r="AC24" s="253"/>
      <c r="AD24" s="126">
        <v>19</v>
      </c>
      <c r="AE24" s="126">
        <v>64</v>
      </c>
      <c r="AF24" s="127">
        <f t="shared" si="29"/>
        <v>83</v>
      </c>
      <c r="AG24" s="128">
        <f t="shared" si="30"/>
        <v>5</v>
      </c>
      <c r="AH24" s="253"/>
      <c r="AI24" s="145">
        <v>20</v>
      </c>
      <c r="AJ24" s="126">
        <v>63</v>
      </c>
      <c r="AK24" s="127">
        <f t="shared" si="31"/>
        <v>83</v>
      </c>
      <c r="AL24" s="128">
        <f t="shared" si="32"/>
        <v>5</v>
      </c>
      <c r="AM24" s="253"/>
      <c r="AN24" s="129">
        <v>0</v>
      </c>
      <c r="AO24" s="126">
        <v>36</v>
      </c>
      <c r="AP24" s="126">
        <f t="shared" si="33"/>
        <v>36</v>
      </c>
      <c r="AQ24" s="128">
        <f t="shared" si="34"/>
        <v>4</v>
      </c>
      <c r="AR24" s="253"/>
      <c r="AS24" s="126">
        <v>50</v>
      </c>
      <c r="AT24" s="128">
        <f t="shared" si="35"/>
        <v>5</v>
      </c>
      <c r="AU24" s="253"/>
      <c r="AV24" s="129">
        <f t="shared" si="36"/>
        <v>33</v>
      </c>
      <c r="AW24" s="130">
        <f t="shared" si="37"/>
        <v>4.7142857142857144</v>
      </c>
      <c r="AX24" s="131">
        <f t="shared" si="38"/>
        <v>618</v>
      </c>
      <c r="AY24" s="38">
        <v>21</v>
      </c>
      <c r="AZ24" s="38">
        <v>56</v>
      </c>
      <c r="BA24" s="157" t="str">
        <f t="shared" si="39"/>
        <v>BETTER</v>
      </c>
      <c r="BB24" s="39">
        <f>'1st_Semester'!AX24</f>
        <v>602</v>
      </c>
      <c r="BC24" s="39">
        <f>'2nd_Semester'!AX24</f>
        <v>605</v>
      </c>
      <c r="BD24" s="37">
        <f t="shared" si="19"/>
        <v>618</v>
      </c>
      <c r="BE24" s="39">
        <f t="shared" si="20"/>
        <v>608.33333333333337</v>
      </c>
      <c r="BF24" s="39"/>
    </row>
    <row r="25" spans="1:58" s="158" customFormat="1" ht="12.75">
      <c r="A25" s="156">
        <v>18</v>
      </c>
      <c r="B25" s="149">
        <v>46</v>
      </c>
      <c r="C25" s="150" t="s">
        <v>120</v>
      </c>
      <c r="D25" s="150" t="s">
        <v>121</v>
      </c>
      <c r="E25" s="150" t="s">
        <v>122</v>
      </c>
      <c r="F25" s="126">
        <v>20</v>
      </c>
      <c r="G25" s="126">
        <v>66</v>
      </c>
      <c r="H25" s="129">
        <v>10</v>
      </c>
      <c r="I25" s="127">
        <v>37</v>
      </c>
      <c r="J25" s="127">
        <f t="shared" si="21"/>
        <v>133</v>
      </c>
      <c r="K25" s="128">
        <f t="shared" si="22"/>
        <v>5</v>
      </c>
      <c r="L25" s="253"/>
      <c r="M25" s="145">
        <v>20</v>
      </c>
      <c r="N25" s="126">
        <v>70</v>
      </c>
      <c r="O25" s="127">
        <v>10</v>
      </c>
      <c r="P25" s="127">
        <v>24</v>
      </c>
      <c r="Q25" s="127">
        <f t="shared" si="23"/>
        <v>124</v>
      </c>
      <c r="R25" s="128">
        <f t="shared" si="24"/>
        <v>5</v>
      </c>
      <c r="S25" s="253"/>
      <c r="T25" s="126">
        <v>19</v>
      </c>
      <c r="U25" s="126">
        <v>61</v>
      </c>
      <c r="V25" s="127">
        <f t="shared" si="25"/>
        <v>80</v>
      </c>
      <c r="W25" s="128">
        <f t="shared" si="26"/>
        <v>5</v>
      </c>
      <c r="X25" s="253"/>
      <c r="Y25" s="126">
        <v>18</v>
      </c>
      <c r="Z25" s="126">
        <v>65</v>
      </c>
      <c r="AA25" s="127">
        <f t="shared" si="27"/>
        <v>83</v>
      </c>
      <c r="AB25" s="128">
        <f t="shared" si="28"/>
        <v>5</v>
      </c>
      <c r="AC25" s="253"/>
      <c r="AD25" s="126">
        <v>18</v>
      </c>
      <c r="AE25" s="126">
        <v>64</v>
      </c>
      <c r="AF25" s="127">
        <f t="shared" si="29"/>
        <v>82</v>
      </c>
      <c r="AG25" s="128">
        <f t="shared" si="30"/>
        <v>5</v>
      </c>
      <c r="AH25" s="253"/>
      <c r="AI25" s="145">
        <v>19</v>
      </c>
      <c r="AJ25" s="126">
        <v>70</v>
      </c>
      <c r="AK25" s="127">
        <f t="shared" si="31"/>
        <v>89</v>
      </c>
      <c r="AL25" s="128">
        <f t="shared" si="32"/>
        <v>5</v>
      </c>
      <c r="AM25" s="253"/>
      <c r="AN25" s="129">
        <v>0</v>
      </c>
      <c r="AO25" s="126">
        <v>43</v>
      </c>
      <c r="AP25" s="126">
        <f t="shared" si="33"/>
        <v>43</v>
      </c>
      <c r="AQ25" s="128">
        <f t="shared" si="34"/>
        <v>5</v>
      </c>
      <c r="AR25" s="253"/>
      <c r="AS25" s="126">
        <v>47</v>
      </c>
      <c r="AT25" s="128">
        <f t="shared" si="35"/>
        <v>5</v>
      </c>
      <c r="AU25" s="253"/>
      <c r="AV25" s="129">
        <f t="shared" si="36"/>
        <v>35</v>
      </c>
      <c r="AW25" s="130">
        <f t="shared" si="37"/>
        <v>5</v>
      </c>
      <c r="AX25" s="131">
        <f t="shared" si="38"/>
        <v>634</v>
      </c>
      <c r="AY25" s="38">
        <v>18</v>
      </c>
      <c r="AZ25" s="38">
        <v>56</v>
      </c>
      <c r="BA25" s="157" t="str">
        <f t="shared" si="39"/>
        <v>BEST</v>
      </c>
      <c r="BB25" s="39">
        <f>'1st_Semester'!AX25</f>
        <v>617</v>
      </c>
      <c r="BC25" s="39">
        <f>'2nd_Semester'!AX25</f>
        <v>623</v>
      </c>
      <c r="BD25" s="37">
        <f t="shared" si="19"/>
        <v>634</v>
      </c>
      <c r="BE25" s="39">
        <f t="shared" si="20"/>
        <v>624.66666666666663</v>
      </c>
      <c r="BF25" s="39"/>
    </row>
    <row r="26" spans="1:58" s="158" customFormat="1" ht="12.75">
      <c r="A26" s="156">
        <v>19</v>
      </c>
      <c r="B26" s="149">
        <v>49</v>
      </c>
      <c r="C26" s="150" t="s">
        <v>123</v>
      </c>
      <c r="D26" s="150" t="s">
        <v>124</v>
      </c>
      <c r="E26" s="150" t="s">
        <v>125</v>
      </c>
      <c r="F26" s="126">
        <v>20</v>
      </c>
      <c r="G26" s="126">
        <v>80</v>
      </c>
      <c r="H26" s="129">
        <v>10</v>
      </c>
      <c r="I26" s="127">
        <v>40</v>
      </c>
      <c r="J26" s="127">
        <f t="shared" si="21"/>
        <v>150</v>
      </c>
      <c r="K26" s="128">
        <f t="shared" si="22"/>
        <v>5</v>
      </c>
      <c r="L26" s="253"/>
      <c r="M26" s="145">
        <v>20</v>
      </c>
      <c r="N26" s="126">
        <v>79</v>
      </c>
      <c r="O26" s="127">
        <v>10</v>
      </c>
      <c r="P26" s="127">
        <v>40</v>
      </c>
      <c r="Q26" s="127">
        <f t="shared" si="23"/>
        <v>149</v>
      </c>
      <c r="R26" s="128">
        <f t="shared" si="24"/>
        <v>5</v>
      </c>
      <c r="S26" s="253"/>
      <c r="T26" s="126">
        <v>20</v>
      </c>
      <c r="U26" s="126">
        <v>72</v>
      </c>
      <c r="V26" s="127">
        <f t="shared" si="25"/>
        <v>92</v>
      </c>
      <c r="W26" s="128">
        <f t="shared" si="26"/>
        <v>5</v>
      </c>
      <c r="X26" s="253"/>
      <c r="Y26" s="126">
        <v>20</v>
      </c>
      <c r="Z26" s="126">
        <v>74</v>
      </c>
      <c r="AA26" s="127">
        <f t="shared" si="27"/>
        <v>94</v>
      </c>
      <c r="AB26" s="128">
        <f t="shared" si="28"/>
        <v>5</v>
      </c>
      <c r="AC26" s="253"/>
      <c r="AD26" s="126">
        <v>20</v>
      </c>
      <c r="AE26" s="126">
        <v>79</v>
      </c>
      <c r="AF26" s="127">
        <f t="shared" si="29"/>
        <v>99</v>
      </c>
      <c r="AG26" s="128">
        <f t="shared" si="30"/>
        <v>5</v>
      </c>
      <c r="AH26" s="253"/>
      <c r="AI26" s="145">
        <v>20</v>
      </c>
      <c r="AJ26" s="126">
        <v>76</v>
      </c>
      <c r="AK26" s="127">
        <f t="shared" si="31"/>
        <v>96</v>
      </c>
      <c r="AL26" s="128">
        <f t="shared" si="32"/>
        <v>5</v>
      </c>
      <c r="AM26" s="253"/>
      <c r="AN26" s="129">
        <v>0</v>
      </c>
      <c r="AO26" s="126">
        <v>47</v>
      </c>
      <c r="AP26" s="126">
        <f t="shared" si="33"/>
        <v>47</v>
      </c>
      <c r="AQ26" s="128">
        <f t="shared" si="34"/>
        <v>5</v>
      </c>
      <c r="AR26" s="253"/>
      <c r="AS26" s="126">
        <v>50</v>
      </c>
      <c r="AT26" s="128">
        <f t="shared" si="35"/>
        <v>5</v>
      </c>
      <c r="AU26" s="253"/>
      <c r="AV26" s="129">
        <f t="shared" si="36"/>
        <v>35</v>
      </c>
      <c r="AW26" s="130">
        <f t="shared" si="37"/>
        <v>5</v>
      </c>
      <c r="AX26" s="131">
        <f t="shared" si="38"/>
        <v>727</v>
      </c>
      <c r="AY26" s="38">
        <v>1</v>
      </c>
      <c r="AZ26" s="38">
        <v>56</v>
      </c>
      <c r="BA26" s="157" t="str">
        <f t="shared" si="39"/>
        <v>BEST</v>
      </c>
      <c r="BB26" s="39">
        <f>'1st_Semester'!AX26</f>
        <v>724</v>
      </c>
      <c r="BC26" s="39">
        <f>'2nd_Semester'!AX26</f>
        <v>736</v>
      </c>
      <c r="BD26" s="37">
        <f t="shared" si="19"/>
        <v>727</v>
      </c>
      <c r="BE26" s="39">
        <f t="shared" si="20"/>
        <v>729</v>
      </c>
      <c r="BF26" s="39"/>
    </row>
    <row r="27" spans="1:58" s="158" customFormat="1" ht="12.75">
      <c r="A27" s="156">
        <v>20</v>
      </c>
      <c r="B27" s="149">
        <v>51</v>
      </c>
      <c r="C27" s="150" t="s">
        <v>126</v>
      </c>
      <c r="D27" s="150" t="s">
        <v>127</v>
      </c>
      <c r="E27" s="150" t="s">
        <v>128</v>
      </c>
      <c r="F27" s="126">
        <v>20</v>
      </c>
      <c r="G27" s="126">
        <v>64</v>
      </c>
      <c r="H27" s="129">
        <v>10</v>
      </c>
      <c r="I27" s="127">
        <v>36</v>
      </c>
      <c r="J27" s="127">
        <f t="shared" si="1"/>
        <v>130</v>
      </c>
      <c r="K27" s="128">
        <f t="shared" si="2"/>
        <v>5</v>
      </c>
      <c r="L27" s="253"/>
      <c r="M27" s="145">
        <v>19</v>
      </c>
      <c r="N27" s="126">
        <v>48</v>
      </c>
      <c r="O27" s="127">
        <v>10</v>
      </c>
      <c r="P27" s="127">
        <v>33</v>
      </c>
      <c r="Q27" s="127">
        <f t="shared" si="23"/>
        <v>110</v>
      </c>
      <c r="R27" s="128">
        <f t="shared" si="24"/>
        <v>4</v>
      </c>
      <c r="S27" s="253"/>
      <c r="T27" s="126">
        <v>17</v>
      </c>
      <c r="U27" s="126">
        <v>56</v>
      </c>
      <c r="V27" s="127">
        <f t="shared" si="25"/>
        <v>73</v>
      </c>
      <c r="W27" s="128">
        <f t="shared" si="26"/>
        <v>4</v>
      </c>
      <c r="X27" s="253"/>
      <c r="Y27" s="126">
        <v>19</v>
      </c>
      <c r="Z27" s="126">
        <v>50</v>
      </c>
      <c r="AA27" s="127">
        <f t="shared" si="27"/>
        <v>69</v>
      </c>
      <c r="AB27" s="128">
        <f t="shared" si="28"/>
        <v>3.5</v>
      </c>
      <c r="AC27" s="253"/>
      <c r="AD27" s="126">
        <v>18</v>
      </c>
      <c r="AE27" s="126">
        <v>51</v>
      </c>
      <c r="AF27" s="127">
        <f t="shared" si="29"/>
        <v>69</v>
      </c>
      <c r="AG27" s="128">
        <f t="shared" si="30"/>
        <v>3.5</v>
      </c>
      <c r="AH27" s="253"/>
      <c r="AI27" s="145">
        <v>19</v>
      </c>
      <c r="AJ27" s="126">
        <v>34</v>
      </c>
      <c r="AK27" s="127">
        <f t="shared" si="31"/>
        <v>53</v>
      </c>
      <c r="AL27" s="128">
        <f t="shared" si="32"/>
        <v>3</v>
      </c>
      <c r="AM27" s="253"/>
      <c r="AN27" s="129">
        <v>0</v>
      </c>
      <c r="AO27" s="126">
        <v>46</v>
      </c>
      <c r="AP27" s="126">
        <f t="shared" si="13"/>
        <v>46</v>
      </c>
      <c r="AQ27" s="128">
        <f t="shared" si="14"/>
        <v>5</v>
      </c>
      <c r="AR27" s="253"/>
      <c r="AS27" s="126">
        <v>46</v>
      </c>
      <c r="AT27" s="128">
        <f t="shared" si="15"/>
        <v>5</v>
      </c>
      <c r="AU27" s="253"/>
      <c r="AV27" s="129">
        <f t="shared" si="36"/>
        <v>28</v>
      </c>
      <c r="AW27" s="130">
        <f t="shared" si="37"/>
        <v>4</v>
      </c>
      <c r="AX27" s="131">
        <f t="shared" si="38"/>
        <v>550</v>
      </c>
      <c r="AY27" s="38">
        <v>28</v>
      </c>
      <c r="AZ27" s="38">
        <v>56</v>
      </c>
      <c r="BA27" s="157" t="str">
        <f t="shared" si="39"/>
        <v>BETTER</v>
      </c>
      <c r="BB27" s="39">
        <f>'1st_Semester'!AX27</f>
        <v>578</v>
      </c>
      <c r="BC27" s="39">
        <f>'2nd_Semester'!AX27</f>
        <v>536</v>
      </c>
      <c r="BD27" s="37">
        <f t="shared" si="19"/>
        <v>550</v>
      </c>
      <c r="BE27" s="39">
        <f t="shared" si="20"/>
        <v>554.66666666666663</v>
      </c>
      <c r="BF27" s="39"/>
    </row>
    <row r="28" spans="1:58" s="158" customFormat="1" ht="12.75">
      <c r="A28" s="156">
        <v>21</v>
      </c>
      <c r="B28" s="149">
        <v>53</v>
      </c>
      <c r="C28" s="150" t="s">
        <v>129</v>
      </c>
      <c r="D28" s="150" t="s">
        <v>130</v>
      </c>
      <c r="E28" s="150" t="s">
        <v>131</v>
      </c>
      <c r="F28" s="126">
        <v>20</v>
      </c>
      <c r="G28" s="126">
        <v>71</v>
      </c>
      <c r="H28" s="129">
        <v>10</v>
      </c>
      <c r="I28" s="127">
        <v>39</v>
      </c>
      <c r="J28" s="127">
        <f t="shared" si="1"/>
        <v>140</v>
      </c>
      <c r="K28" s="128">
        <f t="shared" si="2"/>
        <v>5</v>
      </c>
      <c r="L28" s="253"/>
      <c r="M28" s="145">
        <v>19</v>
      </c>
      <c r="N28" s="126">
        <v>76</v>
      </c>
      <c r="O28" s="127">
        <v>10</v>
      </c>
      <c r="P28" s="127">
        <v>40</v>
      </c>
      <c r="Q28" s="127">
        <f t="shared" si="23"/>
        <v>145</v>
      </c>
      <c r="R28" s="128">
        <f t="shared" si="24"/>
        <v>5</v>
      </c>
      <c r="S28" s="253"/>
      <c r="T28" s="126">
        <v>17</v>
      </c>
      <c r="U28" s="126">
        <v>72</v>
      </c>
      <c r="V28" s="127">
        <f t="shared" si="5"/>
        <v>89</v>
      </c>
      <c r="W28" s="128">
        <f t="shared" si="6"/>
        <v>5</v>
      </c>
      <c r="X28" s="253"/>
      <c r="Y28" s="126">
        <v>19</v>
      </c>
      <c r="Z28" s="126">
        <v>70</v>
      </c>
      <c r="AA28" s="127">
        <f t="shared" si="7"/>
        <v>89</v>
      </c>
      <c r="AB28" s="128">
        <f t="shared" si="8"/>
        <v>5</v>
      </c>
      <c r="AC28" s="253"/>
      <c r="AD28" s="126">
        <v>20</v>
      </c>
      <c r="AE28" s="126">
        <v>77</v>
      </c>
      <c r="AF28" s="127">
        <f t="shared" si="9"/>
        <v>97</v>
      </c>
      <c r="AG28" s="128">
        <f t="shared" si="10"/>
        <v>5</v>
      </c>
      <c r="AH28" s="253"/>
      <c r="AI28" s="145">
        <v>19</v>
      </c>
      <c r="AJ28" s="126">
        <v>74</v>
      </c>
      <c r="AK28" s="127">
        <f t="shared" si="11"/>
        <v>93</v>
      </c>
      <c r="AL28" s="128">
        <f t="shared" si="12"/>
        <v>5</v>
      </c>
      <c r="AM28" s="253"/>
      <c r="AN28" s="129">
        <v>0</v>
      </c>
      <c r="AO28" s="126">
        <v>45</v>
      </c>
      <c r="AP28" s="126">
        <f t="shared" si="13"/>
        <v>45</v>
      </c>
      <c r="AQ28" s="128">
        <f t="shared" si="14"/>
        <v>5</v>
      </c>
      <c r="AR28" s="253"/>
      <c r="AS28" s="126">
        <v>50</v>
      </c>
      <c r="AT28" s="128">
        <f t="shared" si="15"/>
        <v>5</v>
      </c>
      <c r="AU28" s="253"/>
      <c r="AV28" s="129">
        <f t="shared" si="16"/>
        <v>35</v>
      </c>
      <c r="AW28" s="130">
        <f t="shared" si="17"/>
        <v>5</v>
      </c>
      <c r="AX28" s="131">
        <f t="shared" si="18"/>
        <v>698</v>
      </c>
      <c r="AY28" s="38">
        <v>6</v>
      </c>
      <c r="AZ28" s="38">
        <v>56</v>
      </c>
      <c r="BA28" s="157" t="str">
        <f t="shared" si="39"/>
        <v>BEST</v>
      </c>
      <c r="BB28" s="39">
        <f>'1st_Semester'!AX28</f>
        <v>672</v>
      </c>
      <c r="BC28" s="39">
        <f>'2nd_Semester'!AX28</f>
        <v>694</v>
      </c>
      <c r="BD28" s="37">
        <f t="shared" si="19"/>
        <v>698</v>
      </c>
      <c r="BE28" s="39">
        <f t="shared" si="20"/>
        <v>688</v>
      </c>
      <c r="BF28" s="39"/>
    </row>
    <row r="29" spans="1:58" s="158" customFormat="1" ht="12.75">
      <c r="A29" s="156">
        <v>22</v>
      </c>
      <c r="B29" s="149">
        <v>55</v>
      </c>
      <c r="C29" s="150" t="s">
        <v>132</v>
      </c>
      <c r="D29" s="150" t="s">
        <v>130</v>
      </c>
      <c r="E29" s="150" t="s">
        <v>131</v>
      </c>
      <c r="F29" s="126">
        <v>20</v>
      </c>
      <c r="G29" s="126">
        <v>76</v>
      </c>
      <c r="H29" s="129">
        <v>10</v>
      </c>
      <c r="I29" s="127">
        <v>39</v>
      </c>
      <c r="J29" s="127">
        <f t="shared" si="1"/>
        <v>145</v>
      </c>
      <c r="K29" s="128">
        <f t="shared" si="2"/>
        <v>5</v>
      </c>
      <c r="L29" s="253"/>
      <c r="M29" s="145">
        <v>20</v>
      </c>
      <c r="N29" s="126">
        <v>77</v>
      </c>
      <c r="O29" s="127">
        <v>10</v>
      </c>
      <c r="P29" s="127">
        <v>38</v>
      </c>
      <c r="Q29" s="127">
        <f t="shared" si="3"/>
        <v>145</v>
      </c>
      <c r="R29" s="128">
        <f t="shared" si="4"/>
        <v>5</v>
      </c>
      <c r="S29" s="253"/>
      <c r="T29" s="126">
        <v>17</v>
      </c>
      <c r="U29" s="126">
        <v>69</v>
      </c>
      <c r="V29" s="127">
        <f t="shared" si="5"/>
        <v>86</v>
      </c>
      <c r="W29" s="128">
        <f t="shared" si="6"/>
        <v>5</v>
      </c>
      <c r="X29" s="253"/>
      <c r="Y29" s="126">
        <v>20</v>
      </c>
      <c r="Z29" s="126">
        <v>74</v>
      </c>
      <c r="AA29" s="127">
        <f t="shared" si="7"/>
        <v>94</v>
      </c>
      <c r="AB29" s="128">
        <f t="shared" si="8"/>
        <v>5</v>
      </c>
      <c r="AC29" s="253"/>
      <c r="AD29" s="126">
        <v>19</v>
      </c>
      <c r="AE29" s="126">
        <v>72</v>
      </c>
      <c r="AF29" s="127">
        <f t="shared" si="9"/>
        <v>91</v>
      </c>
      <c r="AG29" s="128">
        <f t="shared" si="10"/>
        <v>5</v>
      </c>
      <c r="AH29" s="253"/>
      <c r="AI29" s="145">
        <v>20</v>
      </c>
      <c r="AJ29" s="126">
        <v>70</v>
      </c>
      <c r="AK29" s="127">
        <f t="shared" si="11"/>
        <v>90</v>
      </c>
      <c r="AL29" s="128">
        <f t="shared" si="12"/>
        <v>5</v>
      </c>
      <c r="AM29" s="253"/>
      <c r="AN29" s="129">
        <v>0</v>
      </c>
      <c r="AO29" s="126">
        <v>45</v>
      </c>
      <c r="AP29" s="126">
        <f t="shared" si="13"/>
        <v>45</v>
      </c>
      <c r="AQ29" s="128">
        <f t="shared" si="14"/>
        <v>5</v>
      </c>
      <c r="AR29" s="253"/>
      <c r="AS29" s="126">
        <v>50</v>
      </c>
      <c r="AT29" s="128">
        <f t="shared" si="15"/>
        <v>5</v>
      </c>
      <c r="AU29" s="253"/>
      <c r="AV29" s="129">
        <f t="shared" si="16"/>
        <v>35</v>
      </c>
      <c r="AW29" s="130">
        <f t="shared" si="17"/>
        <v>5</v>
      </c>
      <c r="AX29" s="131">
        <f t="shared" si="18"/>
        <v>696</v>
      </c>
      <c r="AY29" s="38">
        <v>3</v>
      </c>
      <c r="AZ29" s="38">
        <v>56</v>
      </c>
      <c r="BA29" s="157" t="str">
        <f t="shared" si="39"/>
        <v>BEST</v>
      </c>
      <c r="BB29" s="39">
        <f>'1st_Semester'!AX29</f>
        <v>712</v>
      </c>
      <c r="BC29" s="39">
        <f>'2nd_Semester'!AX29</f>
        <v>692</v>
      </c>
      <c r="BD29" s="37">
        <f t="shared" si="19"/>
        <v>696</v>
      </c>
      <c r="BE29" s="39">
        <f t="shared" si="20"/>
        <v>700</v>
      </c>
      <c r="BF29" s="39"/>
    </row>
    <row r="30" spans="1:58" s="158" customFormat="1" ht="12.75">
      <c r="A30" s="156">
        <v>23</v>
      </c>
      <c r="B30" s="149">
        <v>57</v>
      </c>
      <c r="C30" s="150" t="s">
        <v>133</v>
      </c>
      <c r="D30" s="150" t="s">
        <v>134</v>
      </c>
      <c r="E30" s="150" t="s">
        <v>135</v>
      </c>
      <c r="F30" s="126">
        <v>20</v>
      </c>
      <c r="G30" s="126">
        <v>74</v>
      </c>
      <c r="H30" s="129">
        <v>10</v>
      </c>
      <c r="I30" s="127">
        <v>40</v>
      </c>
      <c r="J30" s="127">
        <f t="shared" si="1"/>
        <v>144</v>
      </c>
      <c r="K30" s="128">
        <f t="shared" si="2"/>
        <v>5</v>
      </c>
      <c r="L30" s="253"/>
      <c r="M30" s="145">
        <v>20</v>
      </c>
      <c r="N30" s="126">
        <v>73</v>
      </c>
      <c r="O30" s="127">
        <v>10</v>
      </c>
      <c r="P30" s="127">
        <v>35</v>
      </c>
      <c r="Q30" s="127">
        <f t="shared" si="3"/>
        <v>138</v>
      </c>
      <c r="R30" s="128">
        <f t="shared" si="4"/>
        <v>5</v>
      </c>
      <c r="S30" s="253"/>
      <c r="T30" s="126">
        <v>19</v>
      </c>
      <c r="U30" s="126">
        <v>61</v>
      </c>
      <c r="V30" s="127">
        <f t="shared" si="5"/>
        <v>80</v>
      </c>
      <c r="W30" s="128">
        <f t="shared" si="6"/>
        <v>5</v>
      </c>
      <c r="X30" s="253"/>
      <c r="Y30" s="126">
        <v>20</v>
      </c>
      <c r="Z30" s="126">
        <v>70</v>
      </c>
      <c r="AA30" s="127">
        <f t="shared" si="7"/>
        <v>90</v>
      </c>
      <c r="AB30" s="128">
        <f t="shared" si="8"/>
        <v>5</v>
      </c>
      <c r="AC30" s="253"/>
      <c r="AD30" s="126">
        <v>16</v>
      </c>
      <c r="AE30" s="126">
        <v>78</v>
      </c>
      <c r="AF30" s="127">
        <f t="shared" si="9"/>
        <v>94</v>
      </c>
      <c r="AG30" s="128">
        <f t="shared" si="10"/>
        <v>5</v>
      </c>
      <c r="AH30" s="253"/>
      <c r="AI30" s="145">
        <v>19</v>
      </c>
      <c r="AJ30" s="126">
        <v>62</v>
      </c>
      <c r="AK30" s="127">
        <f t="shared" si="11"/>
        <v>81</v>
      </c>
      <c r="AL30" s="128">
        <f t="shared" si="12"/>
        <v>5</v>
      </c>
      <c r="AM30" s="253"/>
      <c r="AN30" s="129">
        <v>0</v>
      </c>
      <c r="AO30" s="126">
        <v>44</v>
      </c>
      <c r="AP30" s="126">
        <f t="shared" si="13"/>
        <v>44</v>
      </c>
      <c r="AQ30" s="128">
        <f t="shared" si="14"/>
        <v>5</v>
      </c>
      <c r="AR30" s="253"/>
      <c r="AS30" s="126">
        <v>49</v>
      </c>
      <c r="AT30" s="128">
        <f t="shared" si="15"/>
        <v>5</v>
      </c>
      <c r="AU30" s="253"/>
      <c r="AV30" s="129">
        <f t="shared" si="16"/>
        <v>35</v>
      </c>
      <c r="AW30" s="130">
        <f t="shared" si="17"/>
        <v>5</v>
      </c>
      <c r="AX30" s="131">
        <f t="shared" si="18"/>
        <v>671</v>
      </c>
      <c r="AY30" s="38">
        <v>12</v>
      </c>
      <c r="AZ30" s="38">
        <v>56</v>
      </c>
      <c r="BA30" s="157" t="str">
        <f t="shared" si="39"/>
        <v>BEST</v>
      </c>
      <c r="BB30" s="39">
        <f>'1st_Semester'!AX30</f>
        <v>649</v>
      </c>
      <c r="BC30" s="39">
        <f>'2nd_Semester'!AX30</f>
        <v>675</v>
      </c>
      <c r="BD30" s="37">
        <f t="shared" si="19"/>
        <v>671</v>
      </c>
      <c r="BE30" s="39">
        <f t="shared" si="20"/>
        <v>665</v>
      </c>
      <c r="BF30" s="39"/>
    </row>
    <row r="31" spans="1:58" s="158" customFormat="1" ht="12.75">
      <c r="A31" s="156">
        <v>24</v>
      </c>
      <c r="B31" s="149">
        <v>58</v>
      </c>
      <c r="C31" s="150" t="s">
        <v>136</v>
      </c>
      <c r="D31" s="150" t="s">
        <v>137</v>
      </c>
      <c r="E31" s="150" t="s">
        <v>138</v>
      </c>
      <c r="F31" s="126">
        <v>20</v>
      </c>
      <c r="G31" s="126">
        <v>75</v>
      </c>
      <c r="H31" s="129">
        <v>10</v>
      </c>
      <c r="I31" s="127">
        <v>40</v>
      </c>
      <c r="J31" s="127">
        <f t="shared" si="1"/>
        <v>145</v>
      </c>
      <c r="K31" s="128">
        <f t="shared" si="2"/>
        <v>5</v>
      </c>
      <c r="L31" s="253"/>
      <c r="M31" s="145">
        <v>19</v>
      </c>
      <c r="N31" s="126">
        <v>69</v>
      </c>
      <c r="O31" s="127">
        <v>10</v>
      </c>
      <c r="P31" s="127">
        <v>38</v>
      </c>
      <c r="Q31" s="127">
        <f t="shared" si="3"/>
        <v>136</v>
      </c>
      <c r="R31" s="128">
        <f t="shared" si="4"/>
        <v>5</v>
      </c>
      <c r="S31" s="253"/>
      <c r="T31" s="126">
        <v>19</v>
      </c>
      <c r="U31" s="126">
        <v>78</v>
      </c>
      <c r="V31" s="127">
        <f t="shared" si="5"/>
        <v>97</v>
      </c>
      <c r="W31" s="128">
        <f t="shared" si="6"/>
        <v>5</v>
      </c>
      <c r="X31" s="253"/>
      <c r="Y31" s="126">
        <v>20</v>
      </c>
      <c r="Z31" s="126">
        <v>72</v>
      </c>
      <c r="AA31" s="127">
        <f t="shared" si="7"/>
        <v>92</v>
      </c>
      <c r="AB31" s="128">
        <f t="shared" si="8"/>
        <v>5</v>
      </c>
      <c r="AC31" s="253"/>
      <c r="AD31" s="126">
        <v>19</v>
      </c>
      <c r="AE31" s="126">
        <v>74</v>
      </c>
      <c r="AF31" s="127">
        <f t="shared" si="9"/>
        <v>93</v>
      </c>
      <c r="AG31" s="128">
        <f t="shared" si="10"/>
        <v>5</v>
      </c>
      <c r="AH31" s="253"/>
      <c r="AI31" s="145">
        <v>19</v>
      </c>
      <c r="AJ31" s="126">
        <v>75</v>
      </c>
      <c r="AK31" s="127">
        <f t="shared" si="11"/>
        <v>94</v>
      </c>
      <c r="AL31" s="128">
        <f t="shared" si="12"/>
        <v>5</v>
      </c>
      <c r="AM31" s="253"/>
      <c r="AN31" s="129">
        <v>0</v>
      </c>
      <c r="AO31" s="126">
        <v>45</v>
      </c>
      <c r="AP31" s="126">
        <f t="shared" si="13"/>
        <v>45</v>
      </c>
      <c r="AQ31" s="128">
        <f t="shared" si="14"/>
        <v>5</v>
      </c>
      <c r="AR31" s="253"/>
      <c r="AS31" s="126">
        <v>48</v>
      </c>
      <c r="AT31" s="128">
        <f t="shared" si="15"/>
        <v>5</v>
      </c>
      <c r="AU31" s="253"/>
      <c r="AV31" s="129">
        <f t="shared" si="16"/>
        <v>35</v>
      </c>
      <c r="AW31" s="130">
        <f t="shared" si="17"/>
        <v>5</v>
      </c>
      <c r="AX31" s="131">
        <f t="shared" si="18"/>
        <v>702</v>
      </c>
      <c r="AY31" s="38">
        <v>7</v>
      </c>
      <c r="AZ31" s="38">
        <v>56</v>
      </c>
      <c r="BA31" s="157" t="str">
        <f t="shared" si="39"/>
        <v>BEST</v>
      </c>
      <c r="BB31" s="39">
        <f>'1st_Semester'!AX31</f>
        <v>678</v>
      </c>
      <c r="BC31" s="39">
        <f>'2nd_Semester'!AX31</f>
        <v>672</v>
      </c>
      <c r="BD31" s="37">
        <f t="shared" si="19"/>
        <v>702</v>
      </c>
      <c r="BE31" s="39">
        <f t="shared" si="20"/>
        <v>684</v>
      </c>
      <c r="BF31" s="39"/>
    </row>
    <row r="32" spans="1:58" s="158" customFormat="1" ht="12.75">
      <c r="A32" s="156">
        <v>25</v>
      </c>
      <c r="B32" s="149">
        <v>59</v>
      </c>
      <c r="C32" s="150" t="s">
        <v>139</v>
      </c>
      <c r="D32" s="150" t="s">
        <v>140</v>
      </c>
      <c r="E32" s="150" t="s">
        <v>141</v>
      </c>
      <c r="F32" s="126">
        <v>0</v>
      </c>
      <c r="G32" s="126"/>
      <c r="H32" s="129">
        <v>0</v>
      </c>
      <c r="I32" s="127"/>
      <c r="J32" s="127">
        <f t="shared" si="1"/>
        <v>0</v>
      </c>
      <c r="K32" s="128" t="str">
        <f t="shared" si="2"/>
        <v>F</v>
      </c>
      <c r="L32" s="253"/>
      <c r="M32" s="145">
        <v>0</v>
      </c>
      <c r="N32" s="126">
        <v>0</v>
      </c>
      <c r="O32" s="127">
        <v>0</v>
      </c>
      <c r="P32" s="127">
        <v>0</v>
      </c>
      <c r="Q32" s="127">
        <f t="shared" si="3"/>
        <v>0</v>
      </c>
      <c r="R32" s="128" t="str">
        <f t="shared" si="4"/>
        <v>F</v>
      </c>
      <c r="S32" s="253"/>
      <c r="T32" s="126">
        <v>0</v>
      </c>
      <c r="U32" s="126"/>
      <c r="V32" s="127">
        <f t="shared" si="5"/>
        <v>0</v>
      </c>
      <c r="W32" s="128" t="str">
        <f t="shared" si="6"/>
        <v>F</v>
      </c>
      <c r="X32" s="253"/>
      <c r="Y32" s="126">
        <v>0</v>
      </c>
      <c r="Z32" s="126">
        <v>0</v>
      </c>
      <c r="AA32" s="127">
        <f t="shared" si="7"/>
        <v>0</v>
      </c>
      <c r="AB32" s="128" t="str">
        <f t="shared" si="8"/>
        <v>F</v>
      </c>
      <c r="AC32" s="253"/>
      <c r="AD32" s="126">
        <v>0</v>
      </c>
      <c r="AE32" s="126"/>
      <c r="AF32" s="127">
        <f t="shared" si="9"/>
        <v>0</v>
      </c>
      <c r="AG32" s="128" t="str">
        <f t="shared" si="10"/>
        <v>F</v>
      </c>
      <c r="AH32" s="253"/>
      <c r="AI32" s="145">
        <v>0</v>
      </c>
      <c r="AJ32" s="126">
        <v>0</v>
      </c>
      <c r="AK32" s="127">
        <f t="shared" si="11"/>
        <v>0</v>
      </c>
      <c r="AL32" s="128" t="str">
        <f t="shared" si="12"/>
        <v>F</v>
      </c>
      <c r="AM32" s="253"/>
      <c r="AN32" s="129">
        <v>0</v>
      </c>
      <c r="AO32" s="126">
        <v>0</v>
      </c>
      <c r="AP32" s="126">
        <f t="shared" si="13"/>
        <v>0</v>
      </c>
      <c r="AQ32" s="128" t="str">
        <f t="shared" si="14"/>
        <v>F</v>
      </c>
      <c r="AR32" s="253"/>
      <c r="AS32" s="126">
        <v>0</v>
      </c>
      <c r="AT32" s="128" t="str">
        <f t="shared" si="15"/>
        <v>F</v>
      </c>
      <c r="AU32" s="253"/>
      <c r="AV32" s="129" t="str">
        <f t="shared" si="16"/>
        <v>F</v>
      </c>
      <c r="AW32" s="130" t="str">
        <f t="shared" si="17"/>
        <v>F</v>
      </c>
      <c r="AX32" s="131">
        <f t="shared" si="18"/>
        <v>0</v>
      </c>
      <c r="AY32" s="38">
        <v>0</v>
      </c>
      <c r="AZ32" s="38">
        <v>56</v>
      </c>
      <c r="BA32" s="157" t="str">
        <f t="shared" si="0"/>
        <v>NEED TO PROGRESS</v>
      </c>
      <c r="BB32" s="39">
        <f>'1st_Semester'!AX32</f>
        <v>703</v>
      </c>
      <c r="BC32" s="39">
        <f>'2nd_Semester'!AX32</f>
        <v>40</v>
      </c>
      <c r="BD32" s="37">
        <f t="shared" si="19"/>
        <v>0</v>
      </c>
      <c r="BE32" s="39">
        <f t="shared" si="20"/>
        <v>247.66666666666666</v>
      </c>
      <c r="BF32" s="39"/>
    </row>
    <row r="33" spans="1:58" s="158" customFormat="1" ht="12.75">
      <c r="A33" s="156">
        <v>26</v>
      </c>
      <c r="B33" s="149">
        <v>62</v>
      </c>
      <c r="C33" s="150" t="s">
        <v>142</v>
      </c>
      <c r="D33" s="150" t="s">
        <v>143</v>
      </c>
      <c r="E33" s="150" t="s">
        <v>144</v>
      </c>
      <c r="F33" s="126">
        <v>20</v>
      </c>
      <c r="G33" s="126">
        <v>76</v>
      </c>
      <c r="H33" s="129">
        <v>10</v>
      </c>
      <c r="I33" s="127">
        <v>38</v>
      </c>
      <c r="J33" s="127">
        <f t="shared" si="1"/>
        <v>144</v>
      </c>
      <c r="K33" s="128">
        <f t="shared" si="2"/>
        <v>5</v>
      </c>
      <c r="L33" s="253"/>
      <c r="M33" s="145">
        <v>19</v>
      </c>
      <c r="N33" s="126">
        <v>70</v>
      </c>
      <c r="O33" s="127">
        <v>10</v>
      </c>
      <c r="P33" s="127">
        <v>38</v>
      </c>
      <c r="Q33" s="127">
        <f t="shared" si="3"/>
        <v>137</v>
      </c>
      <c r="R33" s="128">
        <f t="shared" si="4"/>
        <v>5</v>
      </c>
      <c r="S33" s="253"/>
      <c r="T33" s="126">
        <v>20</v>
      </c>
      <c r="U33" s="126">
        <v>72</v>
      </c>
      <c r="V33" s="127">
        <f t="shared" si="5"/>
        <v>92</v>
      </c>
      <c r="W33" s="128">
        <f t="shared" si="6"/>
        <v>5</v>
      </c>
      <c r="X33" s="253"/>
      <c r="Y33" s="126">
        <v>20</v>
      </c>
      <c r="Z33" s="126">
        <v>67</v>
      </c>
      <c r="AA33" s="127">
        <f t="shared" si="7"/>
        <v>87</v>
      </c>
      <c r="AB33" s="128">
        <f t="shared" si="8"/>
        <v>5</v>
      </c>
      <c r="AC33" s="253"/>
      <c r="AD33" s="126">
        <v>20</v>
      </c>
      <c r="AE33" s="126">
        <v>74</v>
      </c>
      <c r="AF33" s="127">
        <f t="shared" si="9"/>
        <v>94</v>
      </c>
      <c r="AG33" s="128">
        <f t="shared" si="10"/>
        <v>5</v>
      </c>
      <c r="AH33" s="253"/>
      <c r="AI33" s="145">
        <v>20</v>
      </c>
      <c r="AJ33" s="126">
        <v>72</v>
      </c>
      <c r="AK33" s="127">
        <f t="shared" si="11"/>
        <v>92</v>
      </c>
      <c r="AL33" s="128">
        <f t="shared" si="12"/>
        <v>5</v>
      </c>
      <c r="AM33" s="253"/>
      <c r="AN33" s="129">
        <v>0</v>
      </c>
      <c r="AO33" s="126">
        <v>48</v>
      </c>
      <c r="AP33" s="126">
        <f t="shared" si="13"/>
        <v>48</v>
      </c>
      <c r="AQ33" s="128">
        <f t="shared" si="14"/>
        <v>5</v>
      </c>
      <c r="AR33" s="253"/>
      <c r="AS33" s="126">
        <v>47</v>
      </c>
      <c r="AT33" s="128">
        <f t="shared" si="15"/>
        <v>5</v>
      </c>
      <c r="AU33" s="253"/>
      <c r="AV33" s="129">
        <f t="shared" si="16"/>
        <v>35</v>
      </c>
      <c r="AW33" s="130">
        <f t="shared" si="17"/>
        <v>5</v>
      </c>
      <c r="AX33" s="131">
        <f t="shared" si="18"/>
        <v>694</v>
      </c>
      <c r="AY33" s="38">
        <v>9</v>
      </c>
      <c r="AZ33" s="38">
        <v>56</v>
      </c>
      <c r="BA33" s="157" t="str">
        <f t="shared" si="0"/>
        <v>BEST</v>
      </c>
      <c r="BB33" s="39">
        <f>'1st_Semester'!AX33</f>
        <v>665</v>
      </c>
      <c r="BC33" s="39">
        <f>'2nd_Semester'!AX33</f>
        <v>684</v>
      </c>
      <c r="BD33" s="37">
        <f t="shared" si="19"/>
        <v>694</v>
      </c>
      <c r="BE33" s="39">
        <f t="shared" si="20"/>
        <v>681</v>
      </c>
      <c r="BF33" s="39"/>
    </row>
    <row r="34" spans="1:58" s="158" customFormat="1" ht="12.75">
      <c r="A34" s="156">
        <v>27</v>
      </c>
      <c r="B34" s="149">
        <v>66</v>
      </c>
      <c r="C34" s="150" t="s">
        <v>145</v>
      </c>
      <c r="D34" s="150" t="s">
        <v>146</v>
      </c>
      <c r="E34" s="150" t="s">
        <v>147</v>
      </c>
      <c r="F34" s="126">
        <v>20</v>
      </c>
      <c r="G34" s="126">
        <v>74</v>
      </c>
      <c r="H34" s="129">
        <v>10</v>
      </c>
      <c r="I34" s="127">
        <v>39</v>
      </c>
      <c r="J34" s="127">
        <f t="shared" si="1"/>
        <v>143</v>
      </c>
      <c r="K34" s="128">
        <f t="shared" si="2"/>
        <v>5</v>
      </c>
      <c r="L34" s="253"/>
      <c r="M34" s="145">
        <v>20</v>
      </c>
      <c r="N34" s="126">
        <v>72</v>
      </c>
      <c r="O34" s="127">
        <v>10</v>
      </c>
      <c r="P34" s="127">
        <v>38</v>
      </c>
      <c r="Q34" s="127">
        <f t="shared" si="3"/>
        <v>140</v>
      </c>
      <c r="R34" s="128">
        <f t="shared" si="4"/>
        <v>5</v>
      </c>
      <c r="S34" s="253"/>
      <c r="T34" s="126">
        <v>19</v>
      </c>
      <c r="U34" s="126">
        <v>76</v>
      </c>
      <c r="V34" s="127">
        <f t="shared" si="5"/>
        <v>95</v>
      </c>
      <c r="W34" s="128">
        <f t="shared" si="6"/>
        <v>5</v>
      </c>
      <c r="X34" s="253"/>
      <c r="Y34" s="126">
        <v>19</v>
      </c>
      <c r="Z34" s="126">
        <v>70</v>
      </c>
      <c r="AA34" s="127">
        <f t="shared" si="7"/>
        <v>89</v>
      </c>
      <c r="AB34" s="128">
        <f t="shared" si="8"/>
        <v>5</v>
      </c>
      <c r="AC34" s="253"/>
      <c r="AD34" s="126">
        <v>19</v>
      </c>
      <c r="AE34" s="126">
        <v>78</v>
      </c>
      <c r="AF34" s="127">
        <f t="shared" si="9"/>
        <v>97</v>
      </c>
      <c r="AG34" s="128">
        <f t="shared" si="10"/>
        <v>5</v>
      </c>
      <c r="AH34" s="253"/>
      <c r="AI34" s="145">
        <v>20</v>
      </c>
      <c r="AJ34" s="126">
        <v>69</v>
      </c>
      <c r="AK34" s="127">
        <f t="shared" si="11"/>
        <v>89</v>
      </c>
      <c r="AL34" s="128">
        <f t="shared" si="12"/>
        <v>5</v>
      </c>
      <c r="AM34" s="253"/>
      <c r="AN34" s="129">
        <v>0</v>
      </c>
      <c r="AO34" s="126">
        <v>49</v>
      </c>
      <c r="AP34" s="126">
        <f t="shared" si="13"/>
        <v>49</v>
      </c>
      <c r="AQ34" s="128">
        <f t="shared" si="14"/>
        <v>5</v>
      </c>
      <c r="AR34" s="253"/>
      <c r="AS34" s="126">
        <v>50</v>
      </c>
      <c r="AT34" s="128">
        <f t="shared" si="15"/>
        <v>5</v>
      </c>
      <c r="AU34" s="253"/>
      <c r="AV34" s="129">
        <f t="shared" si="16"/>
        <v>35</v>
      </c>
      <c r="AW34" s="130">
        <f t="shared" si="17"/>
        <v>5</v>
      </c>
      <c r="AX34" s="131">
        <f t="shared" si="18"/>
        <v>702</v>
      </c>
      <c r="AY34" s="38">
        <v>11</v>
      </c>
      <c r="AZ34" s="38">
        <v>56</v>
      </c>
      <c r="BA34" s="157" t="str">
        <f t="shared" si="0"/>
        <v>BEST</v>
      </c>
      <c r="BB34" s="39">
        <f>'1st_Semester'!AX34</f>
        <v>660</v>
      </c>
      <c r="BC34" s="39">
        <f>'2nd_Semester'!AX34</f>
        <v>667</v>
      </c>
      <c r="BD34" s="37">
        <f t="shared" si="19"/>
        <v>702</v>
      </c>
      <c r="BE34" s="39">
        <f t="shared" si="20"/>
        <v>676.33333333333337</v>
      </c>
      <c r="BF34" s="39"/>
    </row>
    <row r="35" spans="1:58" s="158" customFormat="1" ht="13.5" thickBot="1">
      <c r="A35" s="159">
        <v>28</v>
      </c>
      <c r="B35" s="151">
        <v>67</v>
      </c>
      <c r="C35" s="152" t="s">
        <v>148</v>
      </c>
      <c r="D35" s="152" t="s">
        <v>149</v>
      </c>
      <c r="E35" s="152" t="s">
        <v>150</v>
      </c>
      <c r="F35" s="132">
        <v>20</v>
      </c>
      <c r="G35" s="132">
        <v>74</v>
      </c>
      <c r="H35" s="136">
        <v>10</v>
      </c>
      <c r="I35" s="133">
        <v>38</v>
      </c>
      <c r="J35" s="133">
        <f t="shared" si="1"/>
        <v>142</v>
      </c>
      <c r="K35" s="134">
        <f t="shared" si="2"/>
        <v>5</v>
      </c>
      <c r="L35" s="253"/>
      <c r="M35" s="160">
        <v>20</v>
      </c>
      <c r="N35" s="132">
        <v>70</v>
      </c>
      <c r="O35" s="135">
        <v>10</v>
      </c>
      <c r="P35" s="133">
        <v>38</v>
      </c>
      <c r="Q35" s="133">
        <f t="shared" si="3"/>
        <v>138</v>
      </c>
      <c r="R35" s="134">
        <f t="shared" si="4"/>
        <v>5</v>
      </c>
      <c r="S35" s="253"/>
      <c r="T35" s="132">
        <v>17</v>
      </c>
      <c r="U35" s="132">
        <v>48</v>
      </c>
      <c r="V35" s="133">
        <f t="shared" si="5"/>
        <v>65</v>
      </c>
      <c r="W35" s="134">
        <f t="shared" si="6"/>
        <v>3.5</v>
      </c>
      <c r="X35" s="253"/>
      <c r="Y35" s="132">
        <v>19</v>
      </c>
      <c r="Z35" s="132">
        <v>66</v>
      </c>
      <c r="AA35" s="133">
        <f t="shared" si="7"/>
        <v>85</v>
      </c>
      <c r="AB35" s="134">
        <f t="shared" si="8"/>
        <v>5</v>
      </c>
      <c r="AC35" s="253"/>
      <c r="AD35" s="132">
        <v>17</v>
      </c>
      <c r="AE35" s="132">
        <v>62</v>
      </c>
      <c r="AF35" s="133">
        <f t="shared" si="9"/>
        <v>79</v>
      </c>
      <c r="AG35" s="134">
        <f t="shared" si="10"/>
        <v>4</v>
      </c>
      <c r="AH35" s="253"/>
      <c r="AI35" s="160">
        <v>20</v>
      </c>
      <c r="AJ35" s="132">
        <v>57</v>
      </c>
      <c r="AK35" s="133">
        <f t="shared" si="11"/>
        <v>77</v>
      </c>
      <c r="AL35" s="134">
        <f t="shared" si="12"/>
        <v>4</v>
      </c>
      <c r="AM35" s="253"/>
      <c r="AN35" s="129">
        <v>0</v>
      </c>
      <c r="AO35" s="132">
        <v>48</v>
      </c>
      <c r="AP35" s="132">
        <f t="shared" si="13"/>
        <v>48</v>
      </c>
      <c r="AQ35" s="134">
        <f t="shared" si="14"/>
        <v>5</v>
      </c>
      <c r="AR35" s="253"/>
      <c r="AS35" s="132">
        <v>49</v>
      </c>
      <c r="AT35" s="134">
        <f t="shared" si="15"/>
        <v>5</v>
      </c>
      <c r="AU35" s="253"/>
      <c r="AV35" s="136">
        <f t="shared" si="16"/>
        <v>31.5</v>
      </c>
      <c r="AW35" s="137">
        <f t="shared" si="17"/>
        <v>4.5</v>
      </c>
      <c r="AX35" s="138">
        <f t="shared" si="18"/>
        <v>634</v>
      </c>
      <c r="AY35" s="122">
        <v>17</v>
      </c>
      <c r="AZ35" s="122">
        <v>56</v>
      </c>
      <c r="BA35" s="161" t="str">
        <f t="shared" si="0"/>
        <v>BETTER</v>
      </c>
      <c r="BB35" s="39">
        <f>'1st_Semester'!AX35</f>
        <v>634</v>
      </c>
      <c r="BC35" s="39">
        <f>'2nd_Semester'!AX35</f>
        <v>614</v>
      </c>
      <c r="BD35" s="37">
        <f t="shared" si="19"/>
        <v>634</v>
      </c>
      <c r="BE35" s="39">
        <f t="shared" si="20"/>
        <v>627.33333333333337</v>
      </c>
      <c r="BF35" s="123"/>
    </row>
    <row r="36" spans="1:58" s="164" customFormat="1" ht="13.5" thickTop="1">
      <c r="A36" s="162">
        <v>29</v>
      </c>
      <c r="B36" s="153">
        <v>13</v>
      </c>
      <c r="C36" s="154" t="s">
        <v>151</v>
      </c>
      <c r="D36" s="154" t="s">
        <v>152</v>
      </c>
      <c r="E36" s="154" t="s">
        <v>153</v>
      </c>
      <c r="F36" s="139">
        <v>20</v>
      </c>
      <c r="G36" s="139">
        <v>66</v>
      </c>
      <c r="H36" s="139">
        <v>10</v>
      </c>
      <c r="I36" s="155">
        <v>38</v>
      </c>
      <c r="J36" s="139">
        <f>F36+G36+H36+I36</f>
        <v>134</v>
      </c>
      <c r="K36" s="140">
        <f>IF(J36&lt;60,"F",IF(J36&lt;75,2,IF(J36&lt;90,3,IF(J36&lt;105,3.5,IF(J36&lt;120,4,5)))))</f>
        <v>5</v>
      </c>
      <c r="L36" s="253"/>
      <c r="M36" s="139">
        <v>20</v>
      </c>
      <c r="N36" s="139">
        <v>61</v>
      </c>
      <c r="O36" s="139">
        <v>10</v>
      </c>
      <c r="P36" s="139">
        <v>30</v>
      </c>
      <c r="Q36" s="139">
        <f>M36+N36+O36+P36</f>
        <v>121</v>
      </c>
      <c r="R36" s="140">
        <f>IF(Q36&lt;60,"F",IF(Q36&lt;75,2,IF(Q36&lt;90,3,IF(Q36&lt;105,3.5,IF(Q36&lt;120,4,5)))))</f>
        <v>5</v>
      </c>
      <c r="S36" s="253"/>
      <c r="T36" s="139">
        <v>11</v>
      </c>
      <c r="U36" s="139">
        <v>43</v>
      </c>
      <c r="V36" s="139">
        <f>T36+U36</f>
        <v>54</v>
      </c>
      <c r="W36" s="140">
        <f>IF(V36&lt;40,"F",IF(V36&lt;50,2,IF(V36&lt;60,3,IF(V36&lt;70,3.5,IF(V36&lt;80,4,5)))))</f>
        <v>3</v>
      </c>
      <c r="X36" s="253"/>
      <c r="Y36" s="139">
        <v>20</v>
      </c>
      <c r="Z36" s="139">
        <v>61</v>
      </c>
      <c r="AA36" s="139">
        <f>Y36+Z36</f>
        <v>81</v>
      </c>
      <c r="AB36" s="140">
        <f>IF(AA36&lt;40,"F",IF(AA36&lt;50,2,IF(AA36&lt;60,3,IF(AA36&lt;70,3.5,IF(AA36&lt;80,4,5)))))</f>
        <v>5</v>
      </c>
      <c r="AC36" s="253"/>
      <c r="AD36" s="139">
        <v>20</v>
      </c>
      <c r="AE36" s="139">
        <v>74</v>
      </c>
      <c r="AF36" s="139">
        <f>AD36+AE36</f>
        <v>94</v>
      </c>
      <c r="AG36" s="140">
        <f>IF(AF36&lt;40,"F",IF(AF36&lt;50,2,IF(AF36&lt;60,3,IF(AF36&lt;70,3.5,IF(AF36&lt;80,4,5)))))</f>
        <v>5</v>
      </c>
      <c r="AH36" s="253"/>
      <c r="AI36" s="139">
        <v>19</v>
      </c>
      <c r="AJ36" s="139">
        <v>61</v>
      </c>
      <c r="AK36" s="139">
        <f>AI36+AJ36</f>
        <v>80</v>
      </c>
      <c r="AL36" s="140">
        <f>IF(AK36&lt;40,"F",IF(AK36&lt;50,2,IF(AK36&lt;60,3,IF(AK36&lt;70,3.5,IF(AK36&lt;80,4,5)))))</f>
        <v>5</v>
      </c>
      <c r="AM36" s="253"/>
      <c r="AN36" s="129">
        <v>0</v>
      </c>
      <c r="AO36" s="139">
        <v>48</v>
      </c>
      <c r="AP36" s="139">
        <f t="shared" ref="AP36:AP67" si="40">AO36*1</f>
        <v>48</v>
      </c>
      <c r="AQ36" s="140">
        <f>IF(AP36&lt;20,"F",IF(AP36&lt;25,2,IF(AP36&lt;30,3,IF(AP36&lt;35,3.5,IF(AP36&lt;40,4,5)))))</f>
        <v>5</v>
      </c>
      <c r="AR36" s="253"/>
      <c r="AS36" s="139">
        <v>47</v>
      </c>
      <c r="AT36" s="140">
        <f>IF(AS36&lt;20,"F",IF(AS36&lt;25,2,IF(AS36&lt;30,3,IF(AS36&lt;35,3.5,IF(AS36&lt;40,4,5)))))</f>
        <v>5</v>
      </c>
      <c r="AU36" s="253"/>
      <c r="AV36" s="141">
        <f t="shared" si="16"/>
        <v>33</v>
      </c>
      <c r="AW36" s="142">
        <f>IF(AV36="F","F", IF(AV36&gt;=35,5,IF(AV36&lt;35,AV36/7)))</f>
        <v>4.7142857142857144</v>
      </c>
      <c r="AX36" s="143">
        <f t="shared" si="18"/>
        <v>612</v>
      </c>
      <c r="AY36" s="124">
        <v>23</v>
      </c>
      <c r="AZ36" s="124">
        <v>56</v>
      </c>
      <c r="BA36" s="163" t="str">
        <f t="shared" si="0"/>
        <v>BETTER</v>
      </c>
      <c r="BB36" s="39">
        <f>'1st_Semester'!AX36</f>
        <v>553</v>
      </c>
      <c r="BC36" s="39">
        <f>'2nd_Semester'!AX36</f>
        <v>608</v>
      </c>
      <c r="BD36" s="37">
        <f t="shared" si="19"/>
        <v>612</v>
      </c>
      <c r="BE36" s="39">
        <f t="shared" si="20"/>
        <v>591</v>
      </c>
      <c r="BF36" s="125"/>
    </row>
    <row r="37" spans="1:58" s="158" customFormat="1" ht="12.75">
      <c r="A37" s="156">
        <v>30</v>
      </c>
      <c r="B37" s="148">
        <v>15</v>
      </c>
      <c r="C37" s="49" t="s">
        <v>154</v>
      </c>
      <c r="D37" s="49" t="s">
        <v>155</v>
      </c>
      <c r="E37" s="49" t="s">
        <v>156</v>
      </c>
      <c r="F37" s="126">
        <v>20</v>
      </c>
      <c r="G37" s="126">
        <v>66</v>
      </c>
      <c r="H37" s="126">
        <v>10</v>
      </c>
      <c r="I37" s="126">
        <v>33</v>
      </c>
      <c r="J37" s="126">
        <f t="shared" ref="J37:J67" si="41">F37+G37+H37+I37</f>
        <v>129</v>
      </c>
      <c r="K37" s="144">
        <f t="shared" ref="K37:K67" si="42">IF(J37&lt;60,"F",IF(J37&lt;75,2,IF(J37&lt;90,3,IF(J37&lt;105,3.5,IF(J37&lt;120,4,5)))))</f>
        <v>5</v>
      </c>
      <c r="L37" s="253"/>
      <c r="M37" s="126">
        <v>20</v>
      </c>
      <c r="N37" s="126">
        <v>47</v>
      </c>
      <c r="O37" s="126">
        <v>10</v>
      </c>
      <c r="P37" s="126">
        <v>36</v>
      </c>
      <c r="Q37" s="126">
        <f t="shared" ref="Q37:Q67" si="43">M37+N37+O37+P37</f>
        <v>113</v>
      </c>
      <c r="R37" s="144">
        <f t="shared" ref="R37:R67" si="44">IF(Q37&lt;60,"F",IF(Q37&lt;75,2,IF(Q37&lt;90,3,IF(Q37&lt;105,3.5,IF(Q37&lt;120,4,5)))))</f>
        <v>4</v>
      </c>
      <c r="S37" s="253"/>
      <c r="T37" s="126">
        <v>10</v>
      </c>
      <c r="U37" s="126">
        <v>49</v>
      </c>
      <c r="V37" s="126">
        <f t="shared" ref="V37:V67" si="45">T37+U37</f>
        <v>59</v>
      </c>
      <c r="W37" s="144">
        <f t="shared" ref="W37:W67" si="46">IF(V37&lt;40,"F",IF(V37&lt;50,2,IF(V37&lt;60,3,IF(V37&lt;70,3.5,IF(V37&lt;80,4,5)))))</f>
        <v>3</v>
      </c>
      <c r="X37" s="253"/>
      <c r="Y37" s="126">
        <v>19</v>
      </c>
      <c r="Z37" s="126">
        <v>58</v>
      </c>
      <c r="AA37" s="126">
        <f t="shared" ref="AA37:AA67" si="47">Y37+Z37</f>
        <v>77</v>
      </c>
      <c r="AB37" s="144">
        <f t="shared" ref="AB37:AB67" si="48">IF(AA37&lt;40,"F",IF(AA37&lt;50,2,IF(AA37&lt;60,3,IF(AA37&lt;70,3.5,IF(AA37&lt;80,4,5)))))</f>
        <v>4</v>
      </c>
      <c r="AC37" s="253"/>
      <c r="AD37" s="126">
        <v>20</v>
      </c>
      <c r="AE37" s="126">
        <v>70</v>
      </c>
      <c r="AF37" s="126">
        <f t="shared" ref="AF37:AF67" si="49">AD37+AE37</f>
        <v>90</v>
      </c>
      <c r="AG37" s="144">
        <f t="shared" ref="AG37:AG67" si="50">IF(AF37&lt;40,"F",IF(AF37&lt;50,2,IF(AF37&lt;60,3,IF(AF37&lt;70,3.5,IF(AF37&lt;80,4,5)))))</f>
        <v>5</v>
      </c>
      <c r="AH37" s="253"/>
      <c r="AI37" s="126">
        <v>19</v>
      </c>
      <c r="AJ37" s="126">
        <v>58</v>
      </c>
      <c r="AK37" s="126">
        <f t="shared" ref="AK37:AK67" si="51">AI37+AJ37</f>
        <v>77</v>
      </c>
      <c r="AL37" s="144">
        <f t="shared" ref="AL37:AL67" si="52">IF(AK37&lt;40,"F",IF(AK37&lt;50,2,IF(AK37&lt;60,3,IF(AK37&lt;70,3.5,IF(AK37&lt;80,4,5)))))</f>
        <v>4</v>
      </c>
      <c r="AM37" s="253"/>
      <c r="AN37" s="129">
        <v>0</v>
      </c>
      <c r="AO37" s="126">
        <v>43</v>
      </c>
      <c r="AP37" s="126">
        <f t="shared" si="40"/>
        <v>43</v>
      </c>
      <c r="AQ37" s="144">
        <f t="shared" ref="AQ37:AQ67" si="53">IF(AP37&lt;20,"F",IF(AP37&lt;25,2,IF(AP37&lt;30,3,IF(AP37&lt;35,3.5,IF(AP37&lt;40,4,5)))))</f>
        <v>5</v>
      </c>
      <c r="AR37" s="253"/>
      <c r="AS37" s="126">
        <v>49</v>
      </c>
      <c r="AT37" s="144">
        <f t="shared" ref="AT37:AT67" si="54">IF(AS37&lt;20,"F",IF(AS37&lt;25,2,IF(AS37&lt;30,3,IF(AS37&lt;35,3.5,IF(AS37&lt;40,4,5)))))</f>
        <v>5</v>
      </c>
      <c r="AU37" s="253"/>
      <c r="AV37" s="145">
        <f t="shared" si="16"/>
        <v>30</v>
      </c>
      <c r="AW37" s="146">
        <f t="shared" ref="AW37:AW67" si="55">IF(AV37="F","F", IF(AV37&gt;=35,5,IF(AV37&lt;35,AV37/7)))</f>
        <v>4.2857142857142856</v>
      </c>
      <c r="AX37" s="131">
        <f t="shared" si="18"/>
        <v>588</v>
      </c>
      <c r="AY37" s="38">
        <v>26</v>
      </c>
      <c r="AZ37" s="38">
        <v>56</v>
      </c>
      <c r="BA37" s="157" t="str">
        <f t="shared" si="0"/>
        <v>BETTER</v>
      </c>
      <c r="BB37" s="39">
        <f>'1st_Semester'!AX37</f>
        <v>525</v>
      </c>
      <c r="BC37" s="39">
        <f>'2nd_Semester'!AX37</f>
        <v>557</v>
      </c>
      <c r="BD37" s="37">
        <f t="shared" si="19"/>
        <v>588</v>
      </c>
      <c r="BE37" s="39">
        <f t="shared" si="20"/>
        <v>556.66666666666663</v>
      </c>
      <c r="BF37" s="39"/>
    </row>
    <row r="38" spans="1:58" s="158" customFormat="1" ht="12.75">
      <c r="A38" s="156">
        <v>31</v>
      </c>
      <c r="B38" s="148">
        <v>17</v>
      </c>
      <c r="C38" s="49" t="s">
        <v>157</v>
      </c>
      <c r="D38" s="49" t="s">
        <v>158</v>
      </c>
      <c r="E38" s="49" t="s">
        <v>159</v>
      </c>
      <c r="F38" s="126">
        <v>20</v>
      </c>
      <c r="G38" s="126">
        <v>53</v>
      </c>
      <c r="H38" s="126">
        <v>9</v>
      </c>
      <c r="I38" s="126">
        <v>26</v>
      </c>
      <c r="J38" s="126">
        <f t="shared" si="41"/>
        <v>108</v>
      </c>
      <c r="K38" s="144">
        <f t="shared" si="42"/>
        <v>4</v>
      </c>
      <c r="L38" s="253"/>
      <c r="M38" s="126">
        <v>19</v>
      </c>
      <c r="N38" s="126">
        <v>58</v>
      </c>
      <c r="O38" s="126">
        <v>10</v>
      </c>
      <c r="P38" s="126">
        <v>32</v>
      </c>
      <c r="Q38" s="126">
        <f t="shared" si="43"/>
        <v>119</v>
      </c>
      <c r="R38" s="144">
        <f t="shared" si="44"/>
        <v>4</v>
      </c>
      <c r="S38" s="253"/>
      <c r="T38" s="126">
        <v>11</v>
      </c>
      <c r="U38" s="126">
        <v>54</v>
      </c>
      <c r="V38" s="126">
        <f t="shared" si="45"/>
        <v>65</v>
      </c>
      <c r="W38" s="144">
        <f t="shared" si="46"/>
        <v>3.5</v>
      </c>
      <c r="X38" s="253"/>
      <c r="Y38" s="126">
        <v>16</v>
      </c>
      <c r="Z38" s="126">
        <v>41</v>
      </c>
      <c r="AA38" s="126">
        <f t="shared" si="47"/>
        <v>57</v>
      </c>
      <c r="AB38" s="144">
        <f t="shared" si="48"/>
        <v>3</v>
      </c>
      <c r="AC38" s="253"/>
      <c r="AD38" s="126">
        <v>19</v>
      </c>
      <c r="AE38" s="126">
        <v>72</v>
      </c>
      <c r="AF38" s="126">
        <f t="shared" si="49"/>
        <v>91</v>
      </c>
      <c r="AG38" s="144">
        <f t="shared" si="50"/>
        <v>5</v>
      </c>
      <c r="AH38" s="253"/>
      <c r="AI38" s="126">
        <v>11</v>
      </c>
      <c r="AJ38" s="126">
        <v>40</v>
      </c>
      <c r="AK38" s="126">
        <f t="shared" si="51"/>
        <v>51</v>
      </c>
      <c r="AL38" s="144">
        <f t="shared" si="52"/>
        <v>3</v>
      </c>
      <c r="AM38" s="253"/>
      <c r="AN38" s="129">
        <v>0</v>
      </c>
      <c r="AO38" s="126">
        <v>42</v>
      </c>
      <c r="AP38" s="126">
        <f t="shared" si="40"/>
        <v>42</v>
      </c>
      <c r="AQ38" s="144">
        <f t="shared" si="53"/>
        <v>5</v>
      </c>
      <c r="AR38" s="253"/>
      <c r="AS38" s="126">
        <v>46</v>
      </c>
      <c r="AT38" s="144">
        <f t="shared" si="54"/>
        <v>5</v>
      </c>
      <c r="AU38" s="253"/>
      <c r="AV38" s="145">
        <f t="shared" si="16"/>
        <v>27.5</v>
      </c>
      <c r="AW38" s="146">
        <f t="shared" si="55"/>
        <v>3.9285714285714284</v>
      </c>
      <c r="AX38" s="131">
        <f t="shared" si="18"/>
        <v>533</v>
      </c>
      <c r="AY38" s="38">
        <v>33</v>
      </c>
      <c r="AZ38" s="38">
        <v>56</v>
      </c>
      <c r="BA38" s="157" t="str">
        <f t="shared" si="0"/>
        <v>GOOD</v>
      </c>
      <c r="BB38" s="39">
        <f>'1st_Semester'!AX38</f>
        <v>451</v>
      </c>
      <c r="BC38" s="39">
        <f>'2nd_Semester'!AX38</f>
        <v>509</v>
      </c>
      <c r="BD38" s="37">
        <f t="shared" si="19"/>
        <v>533</v>
      </c>
      <c r="BE38" s="39">
        <f t="shared" si="20"/>
        <v>497.66666666666669</v>
      </c>
      <c r="BF38" s="39"/>
    </row>
    <row r="39" spans="1:58" s="165" customFormat="1" ht="12.75">
      <c r="A39" s="156">
        <v>32</v>
      </c>
      <c r="B39" s="148">
        <v>19</v>
      </c>
      <c r="C39" s="49" t="s">
        <v>160</v>
      </c>
      <c r="D39" s="49" t="s">
        <v>161</v>
      </c>
      <c r="E39" s="49" t="s">
        <v>162</v>
      </c>
      <c r="F39" s="126">
        <v>20</v>
      </c>
      <c r="G39" s="126">
        <v>64</v>
      </c>
      <c r="H39" s="126">
        <v>10</v>
      </c>
      <c r="I39" s="126">
        <v>35</v>
      </c>
      <c r="J39" s="126">
        <f t="shared" si="41"/>
        <v>129</v>
      </c>
      <c r="K39" s="144">
        <f t="shared" si="42"/>
        <v>5</v>
      </c>
      <c r="L39" s="253"/>
      <c r="M39" s="126">
        <v>20</v>
      </c>
      <c r="N39" s="126">
        <v>55</v>
      </c>
      <c r="O39" s="126">
        <v>10</v>
      </c>
      <c r="P39" s="126">
        <v>35</v>
      </c>
      <c r="Q39" s="126">
        <f t="shared" si="43"/>
        <v>120</v>
      </c>
      <c r="R39" s="144">
        <f t="shared" si="44"/>
        <v>5</v>
      </c>
      <c r="S39" s="253"/>
      <c r="T39" s="126">
        <v>18</v>
      </c>
      <c r="U39" s="126">
        <v>50</v>
      </c>
      <c r="V39" s="126">
        <f t="shared" si="45"/>
        <v>68</v>
      </c>
      <c r="W39" s="144">
        <f t="shared" si="46"/>
        <v>3.5</v>
      </c>
      <c r="X39" s="253"/>
      <c r="Y39" s="126">
        <v>15</v>
      </c>
      <c r="Z39" s="126">
        <v>38</v>
      </c>
      <c r="AA39" s="126">
        <f t="shared" si="47"/>
        <v>53</v>
      </c>
      <c r="AB39" s="144">
        <f t="shared" si="48"/>
        <v>3</v>
      </c>
      <c r="AC39" s="253"/>
      <c r="AD39" s="126">
        <v>18</v>
      </c>
      <c r="AE39" s="126">
        <v>72</v>
      </c>
      <c r="AF39" s="126">
        <f t="shared" si="49"/>
        <v>90</v>
      </c>
      <c r="AG39" s="144">
        <f t="shared" si="50"/>
        <v>5</v>
      </c>
      <c r="AH39" s="253"/>
      <c r="AI39" s="126">
        <v>16</v>
      </c>
      <c r="AJ39" s="126">
        <v>52</v>
      </c>
      <c r="AK39" s="126">
        <f t="shared" si="51"/>
        <v>68</v>
      </c>
      <c r="AL39" s="144">
        <f t="shared" si="52"/>
        <v>3.5</v>
      </c>
      <c r="AM39" s="253"/>
      <c r="AN39" s="129">
        <v>0</v>
      </c>
      <c r="AO39" s="126">
        <v>45</v>
      </c>
      <c r="AP39" s="126">
        <f t="shared" si="40"/>
        <v>45</v>
      </c>
      <c r="AQ39" s="144">
        <f t="shared" si="53"/>
        <v>5</v>
      </c>
      <c r="AR39" s="253"/>
      <c r="AS39" s="126">
        <v>45</v>
      </c>
      <c r="AT39" s="144">
        <f t="shared" si="54"/>
        <v>5</v>
      </c>
      <c r="AU39" s="253"/>
      <c r="AV39" s="145">
        <f t="shared" si="16"/>
        <v>30</v>
      </c>
      <c r="AW39" s="146">
        <f t="shared" si="55"/>
        <v>4.2857142857142856</v>
      </c>
      <c r="AX39" s="131">
        <f t="shared" si="18"/>
        <v>573</v>
      </c>
      <c r="AY39" s="38">
        <v>37</v>
      </c>
      <c r="AZ39" s="38">
        <v>56</v>
      </c>
      <c r="BA39" s="157" t="str">
        <f t="shared" si="0"/>
        <v>BETTER</v>
      </c>
      <c r="BB39" s="39">
        <f>'1st_Semester'!AX39</f>
        <v>389</v>
      </c>
      <c r="BC39" s="39">
        <f>'2nd_Semester'!AX39</f>
        <v>410</v>
      </c>
      <c r="BD39" s="37">
        <f t="shared" si="19"/>
        <v>573</v>
      </c>
      <c r="BE39" s="39">
        <f t="shared" si="20"/>
        <v>457.33333333333331</v>
      </c>
      <c r="BF39" s="39"/>
    </row>
    <row r="40" spans="1:58" s="158" customFormat="1" ht="12.75">
      <c r="A40" s="156">
        <v>33</v>
      </c>
      <c r="B40" s="148">
        <v>21</v>
      </c>
      <c r="C40" s="49" t="s">
        <v>163</v>
      </c>
      <c r="D40" s="49" t="s">
        <v>164</v>
      </c>
      <c r="E40" s="49" t="s">
        <v>165</v>
      </c>
      <c r="F40" s="126">
        <v>19</v>
      </c>
      <c r="G40" s="126">
        <v>46</v>
      </c>
      <c r="H40" s="126">
        <v>10</v>
      </c>
      <c r="I40" s="126">
        <v>19</v>
      </c>
      <c r="J40" s="126">
        <f t="shared" si="41"/>
        <v>94</v>
      </c>
      <c r="K40" s="144">
        <f t="shared" si="42"/>
        <v>3.5</v>
      </c>
      <c r="L40" s="253"/>
      <c r="M40" s="126">
        <v>16</v>
      </c>
      <c r="N40" s="126">
        <v>32</v>
      </c>
      <c r="O40" s="126">
        <v>10</v>
      </c>
      <c r="P40" s="126">
        <v>33</v>
      </c>
      <c r="Q40" s="126">
        <f t="shared" si="43"/>
        <v>91</v>
      </c>
      <c r="R40" s="144">
        <f t="shared" si="44"/>
        <v>3.5</v>
      </c>
      <c r="S40" s="253"/>
      <c r="T40" s="126">
        <v>17</v>
      </c>
      <c r="U40" s="126">
        <v>23</v>
      </c>
      <c r="V40" s="126">
        <f t="shared" si="45"/>
        <v>40</v>
      </c>
      <c r="W40" s="144">
        <f t="shared" si="46"/>
        <v>2</v>
      </c>
      <c r="X40" s="253"/>
      <c r="Y40" s="126">
        <v>12</v>
      </c>
      <c r="Z40" s="126">
        <v>29</v>
      </c>
      <c r="AA40" s="126">
        <f t="shared" si="47"/>
        <v>41</v>
      </c>
      <c r="AB40" s="144">
        <f t="shared" si="48"/>
        <v>2</v>
      </c>
      <c r="AC40" s="253"/>
      <c r="AD40" s="126">
        <v>20</v>
      </c>
      <c r="AE40" s="126">
        <v>53</v>
      </c>
      <c r="AF40" s="126">
        <f t="shared" si="49"/>
        <v>73</v>
      </c>
      <c r="AG40" s="144">
        <f t="shared" si="50"/>
        <v>4</v>
      </c>
      <c r="AH40" s="253"/>
      <c r="AI40" s="126">
        <v>19</v>
      </c>
      <c r="AJ40" s="126">
        <v>40</v>
      </c>
      <c r="AK40" s="126">
        <f t="shared" si="51"/>
        <v>59</v>
      </c>
      <c r="AL40" s="144">
        <f t="shared" si="52"/>
        <v>3</v>
      </c>
      <c r="AM40" s="253"/>
      <c r="AN40" s="129">
        <v>0</v>
      </c>
      <c r="AO40" s="126">
        <v>33</v>
      </c>
      <c r="AP40" s="126">
        <f t="shared" si="40"/>
        <v>33</v>
      </c>
      <c r="AQ40" s="144">
        <f t="shared" si="53"/>
        <v>3.5</v>
      </c>
      <c r="AR40" s="253"/>
      <c r="AS40" s="126">
        <v>45</v>
      </c>
      <c r="AT40" s="144">
        <f t="shared" si="54"/>
        <v>5</v>
      </c>
      <c r="AU40" s="253"/>
      <c r="AV40" s="145">
        <f t="shared" si="16"/>
        <v>21.5</v>
      </c>
      <c r="AW40" s="146">
        <f t="shared" si="55"/>
        <v>3.0714285714285716</v>
      </c>
      <c r="AX40" s="131">
        <f t="shared" si="18"/>
        <v>431</v>
      </c>
      <c r="AY40" s="38">
        <v>38</v>
      </c>
      <c r="AZ40" s="38">
        <v>56</v>
      </c>
      <c r="BA40" s="157" t="str">
        <f t="shared" si="0"/>
        <v>GOOD</v>
      </c>
      <c r="BB40" s="39">
        <f>'1st_Semester'!AX40</f>
        <v>445</v>
      </c>
      <c r="BC40" s="39">
        <f>'2nd_Semester'!AX40</f>
        <v>481</v>
      </c>
      <c r="BD40" s="37">
        <f t="shared" si="19"/>
        <v>431</v>
      </c>
      <c r="BE40" s="39">
        <f t="shared" si="20"/>
        <v>452.33333333333331</v>
      </c>
      <c r="BF40" s="39"/>
    </row>
    <row r="41" spans="1:58" s="158" customFormat="1" ht="12.75">
      <c r="A41" s="156">
        <v>34</v>
      </c>
      <c r="B41" s="148">
        <v>25</v>
      </c>
      <c r="C41" s="49" t="s">
        <v>166</v>
      </c>
      <c r="D41" s="49" t="s">
        <v>167</v>
      </c>
      <c r="E41" s="49" t="s">
        <v>168</v>
      </c>
      <c r="F41" s="126">
        <v>19</v>
      </c>
      <c r="G41" s="126">
        <v>0</v>
      </c>
      <c r="H41" s="126">
        <v>10</v>
      </c>
      <c r="I41" s="126">
        <v>0</v>
      </c>
      <c r="J41" s="126">
        <f t="shared" si="41"/>
        <v>29</v>
      </c>
      <c r="K41" s="144" t="str">
        <f t="shared" si="42"/>
        <v>F</v>
      </c>
      <c r="L41" s="253"/>
      <c r="M41" s="126">
        <v>19</v>
      </c>
      <c r="N41" s="126">
        <v>0</v>
      </c>
      <c r="O41" s="126">
        <v>10</v>
      </c>
      <c r="P41" s="126">
        <v>0</v>
      </c>
      <c r="Q41" s="126">
        <f t="shared" si="43"/>
        <v>29</v>
      </c>
      <c r="R41" s="144" t="str">
        <f t="shared" si="44"/>
        <v>F</v>
      </c>
      <c r="S41" s="253"/>
      <c r="T41" s="126">
        <v>8</v>
      </c>
      <c r="U41" s="126">
        <v>0</v>
      </c>
      <c r="V41" s="126">
        <f t="shared" si="45"/>
        <v>8</v>
      </c>
      <c r="W41" s="144" t="str">
        <f t="shared" si="46"/>
        <v>F</v>
      </c>
      <c r="X41" s="253"/>
      <c r="Y41" s="126">
        <v>15</v>
      </c>
      <c r="Z41" s="126">
        <v>0</v>
      </c>
      <c r="AA41" s="126">
        <f t="shared" si="47"/>
        <v>15</v>
      </c>
      <c r="AB41" s="144" t="str">
        <f t="shared" si="48"/>
        <v>F</v>
      </c>
      <c r="AC41" s="253"/>
      <c r="AD41" s="126">
        <v>16</v>
      </c>
      <c r="AE41" s="126">
        <v>0</v>
      </c>
      <c r="AF41" s="126">
        <f t="shared" si="49"/>
        <v>16</v>
      </c>
      <c r="AG41" s="144" t="str">
        <f t="shared" si="50"/>
        <v>F</v>
      </c>
      <c r="AH41" s="253"/>
      <c r="AI41" s="126">
        <v>13</v>
      </c>
      <c r="AJ41" s="126">
        <v>0</v>
      </c>
      <c r="AK41" s="126">
        <f t="shared" si="51"/>
        <v>13</v>
      </c>
      <c r="AL41" s="144" t="str">
        <f t="shared" si="52"/>
        <v>F</v>
      </c>
      <c r="AM41" s="253"/>
      <c r="AN41" s="129">
        <v>0</v>
      </c>
      <c r="AO41" s="126">
        <v>0</v>
      </c>
      <c r="AP41" s="126">
        <f t="shared" si="40"/>
        <v>0</v>
      </c>
      <c r="AQ41" s="144" t="str">
        <f t="shared" si="53"/>
        <v>F</v>
      </c>
      <c r="AR41" s="253"/>
      <c r="AS41" s="126">
        <v>0</v>
      </c>
      <c r="AT41" s="144" t="str">
        <f t="shared" si="54"/>
        <v>F</v>
      </c>
      <c r="AU41" s="253"/>
      <c r="AV41" s="145" t="str">
        <f t="shared" si="16"/>
        <v>F</v>
      </c>
      <c r="AW41" s="146" t="str">
        <f t="shared" si="55"/>
        <v>F</v>
      </c>
      <c r="AX41" s="131">
        <f t="shared" si="18"/>
        <v>110</v>
      </c>
      <c r="AY41" s="38">
        <v>0</v>
      </c>
      <c r="AZ41" s="38">
        <v>56</v>
      </c>
      <c r="BA41" s="157" t="str">
        <f t="shared" si="0"/>
        <v>NEED TO PROGRESS</v>
      </c>
      <c r="BB41" s="39">
        <f>'1st_Semester'!AX41</f>
        <v>208</v>
      </c>
      <c r="BC41" s="39">
        <f>'2nd_Semester'!AX41</f>
        <v>405</v>
      </c>
      <c r="BD41" s="37">
        <f t="shared" si="19"/>
        <v>110</v>
      </c>
      <c r="BE41" s="39">
        <f t="shared" si="20"/>
        <v>241</v>
      </c>
      <c r="BF41" s="39"/>
    </row>
    <row r="42" spans="1:58" s="158" customFormat="1" ht="12.75">
      <c r="A42" s="156">
        <v>35</v>
      </c>
      <c r="B42" s="148">
        <v>26</v>
      </c>
      <c r="C42" s="49" t="s">
        <v>169</v>
      </c>
      <c r="D42" s="49" t="s">
        <v>170</v>
      </c>
      <c r="E42" s="49" t="s">
        <v>171</v>
      </c>
      <c r="F42" s="126">
        <v>19</v>
      </c>
      <c r="G42" s="126">
        <v>57</v>
      </c>
      <c r="H42" s="126">
        <v>10</v>
      </c>
      <c r="I42" s="126">
        <v>25</v>
      </c>
      <c r="J42" s="126">
        <f t="shared" si="41"/>
        <v>111</v>
      </c>
      <c r="K42" s="144">
        <f t="shared" si="42"/>
        <v>4</v>
      </c>
      <c r="L42" s="253"/>
      <c r="M42" s="126">
        <v>16</v>
      </c>
      <c r="N42" s="126">
        <v>32</v>
      </c>
      <c r="O42" s="126">
        <v>10</v>
      </c>
      <c r="P42" s="126">
        <v>25</v>
      </c>
      <c r="Q42" s="126">
        <f t="shared" si="43"/>
        <v>83</v>
      </c>
      <c r="R42" s="144">
        <f t="shared" si="44"/>
        <v>3</v>
      </c>
      <c r="S42" s="253"/>
      <c r="T42" s="126">
        <v>17</v>
      </c>
      <c r="U42" s="126">
        <v>24</v>
      </c>
      <c r="V42" s="126">
        <f t="shared" si="45"/>
        <v>41</v>
      </c>
      <c r="W42" s="144">
        <f t="shared" si="46"/>
        <v>2</v>
      </c>
      <c r="X42" s="253"/>
      <c r="Y42" s="126">
        <v>10</v>
      </c>
      <c r="Z42" s="126">
        <v>38</v>
      </c>
      <c r="AA42" s="126">
        <f t="shared" si="47"/>
        <v>48</v>
      </c>
      <c r="AB42" s="144">
        <f t="shared" si="48"/>
        <v>2</v>
      </c>
      <c r="AC42" s="253"/>
      <c r="AD42" s="126">
        <v>18</v>
      </c>
      <c r="AE42" s="126">
        <v>38</v>
      </c>
      <c r="AF42" s="126">
        <f t="shared" si="49"/>
        <v>56</v>
      </c>
      <c r="AG42" s="144">
        <f t="shared" si="50"/>
        <v>3</v>
      </c>
      <c r="AH42" s="253"/>
      <c r="AI42" s="126">
        <v>16</v>
      </c>
      <c r="AJ42" s="126">
        <v>24</v>
      </c>
      <c r="AK42" s="126">
        <f t="shared" si="51"/>
        <v>40</v>
      </c>
      <c r="AL42" s="144">
        <f t="shared" si="52"/>
        <v>2</v>
      </c>
      <c r="AM42" s="253"/>
      <c r="AN42" s="129">
        <v>0</v>
      </c>
      <c r="AO42" s="126">
        <v>48</v>
      </c>
      <c r="AP42" s="126">
        <f t="shared" si="40"/>
        <v>48</v>
      </c>
      <c r="AQ42" s="144">
        <f t="shared" si="53"/>
        <v>5</v>
      </c>
      <c r="AR42" s="253"/>
      <c r="AS42" s="126">
        <v>46</v>
      </c>
      <c r="AT42" s="144">
        <f t="shared" si="54"/>
        <v>5</v>
      </c>
      <c r="AU42" s="253"/>
      <c r="AV42" s="145">
        <f t="shared" si="16"/>
        <v>21</v>
      </c>
      <c r="AW42" s="146">
        <f t="shared" si="55"/>
        <v>3</v>
      </c>
      <c r="AX42" s="131">
        <f t="shared" si="18"/>
        <v>427</v>
      </c>
      <c r="AY42" s="38">
        <v>43</v>
      </c>
      <c r="AZ42" s="38">
        <v>56</v>
      </c>
      <c r="BA42" s="157" t="str">
        <f t="shared" si="0"/>
        <v>GOOD</v>
      </c>
      <c r="BB42" s="39">
        <f>'1st_Semester'!AX42</f>
        <v>362</v>
      </c>
      <c r="BC42" s="39">
        <f>'2nd_Semester'!AX42</f>
        <v>448</v>
      </c>
      <c r="BD42" s="37">
        <f t="shared" si="19"/>
        <v>427</v>
      </c>
      <c r="BE42" s="39">
        <f t="shared" si="20"/>
        <v>412.33333333333331</v>
      </c>
      <c r="BF42" s="39"/>
    </row>
    <row r="43" spans="1:58" s="158" customFormat="1" ht="12.75">
      <c r="A43" s="156">
        <v>36</v>
      </c>
      <c r="B43" s="149">
        <v>31</v>
      </c>
      <c r="C43" s="150" t="s">
        <v>172</v>
      </c>
      <c r="D43" s="150" t="s">
        <v>173</v>
      </c>
      <c r="E43" s="150" t="s">
        <v>174</v>
      </c>
      <c r="F43" s="126">
        <v>19</v>
      </c>
      <c r="G43" s="126">
        <v>38</v>
      </c>
      <c r="H43" s="126">
        <v>10</v>
      </c>
      <c r="I43" s="126">
        <v>26</v>
      </c>
      <c r="J43" s="126">
        <f t="shared" si="41"/>
        <v>93</v>
      </c>
      <c r="K43" s="144">
        <f t="shared" si="42"/>
        <v>3.5</v>
      </c>
      <c r="L43" s="253"/>
      <c r="M43" s="126">
        <v>13</v>
      </c>
      <c r="N43" s="126">
        <v>45</v>
      </c>
      <c r="O43" s="126">
        <v>10</v>
      </c>
      <c r="P43" s="126">
        <v>22</v>
      </c>
      <c r="Q43" s="126">
        <f t="shared" si="43"/>
        <v>90</v>
      </c>
      <c r="R43" s="144">
        <f t="shared" si="44"/>
        <v>3.5</v>
      </c>
      <c r="S43" s="253"/>
      <c r="T43" s="126">
        <v>11</v>
      </c>
      <c r="U43" s="126">
        <v>29</v>
      </c>
      <c r="V43" s="126">
        <f t="shared" si="45"/>
        <v>40</v>
      </c>
      <c r="W43" s="144">
        <f t="shared" si="46"/>
        <v>2</v>
      </c>
      <c r="X43" s="253"/>
      <c r="Y43" s="126">
        <v>15</v>
      </c>
      <c r="Z43" s="126">
        <v>32</v>
      </c>
      <c r="AA43" s="126">
        <f t="shared" si="47"/>
        <v>47</v>
      </c>
      <c r="AB43" s="144">
        <f t="shared" si="48"/>
        <v>2</v>
      </c>
      <c r="AC43" s="253"/>
      <c r="AD43" s="126">
        <v>17</v>
      </c>
      <c r="AE43" s="126">
        <v>65</v>
      </c>
      <c r="AF43" s="126">
        <f t="shared" si="49"/>
        <v>82</v>
      </c>
      <c r="AG43" s="144">
        <f t="shared" si="50"/>
        <v>5</v>
      </c>
      <c r="AH43" s="253"/>
      <c r="AI43" s="126">
        <v>16</v>
      </c>
      <c r="AJ43" s="126">
        <v>33</v>
      </c>
      <c r="AK43" s="126">
        <f t="shared" si="51"/>
        <v>49</v>
      </c>
      <c r="AL43" s="144">
        <f t="shared" si="52"/>
        <v>2</v>
      </c>
      <c r="AM43" s="253"/>
      <c r="AN43" s="129">
        <v>0</v>
      </c>
      <c r="AO43" s="126">
        <v>29</v>
      </c>
      <c r="AP43" s="126">
        <f t="shared" si="40"/>
        <v>29</v>
      </c>
      <c r="AQ43" s="144">
        <f t="shared" si="53"/>
        <v>3</v>
      </c>
      <c r="AR43" s="253"/>
      <c r="AS43" s="126">
        <v>48</v>
      </c>
      <c r="AT43" s="144">
        <f t="shared" si="54"/>
        <v>5</v>
      </c>
      <c r="AU43" s="253"/>
      <c r="AV43" s="145">
        <f t="shared" si="16"/>
        <v>21</v>
      </c>
      <c r="AW43" s="146">
        <f t="shared" si="55"/>
        <v>3</v>
      </c>
      <c r="AX43" s="131">
        <f t="shared" si="18"/>
        <v>430</v>
      </c>
      <c r="AY43" s="38">
        <v>42</v>
      </c>
      <c r="AZ43" s="38">
        <v>56</v>
      </c>
      <c r="BA43" s="157" t="str">
        <f t="shared" si="0"/>
        <v>GOOD</v>
      </c>
      <c r="BB43" s="39">
        <f>'1st_Semester'!AX43</f>
        <v>426</v>
      </c>
      <c r="BC43" s="39">
        <f>'2nd_Semester'!AX43</f>
        <v>387</v>
      </c>
      <c r="BD43" s="37">
        <f t="shared" si="19"/>
        <v>430</v>
      </c>
      <c r="BE43" s="39">
        <f t="shared" si="20"/>
        <v>414.33333333333331</v>
      </c>
      <c r="BF43" s="39"/>
    </row>
    <row r="44" spans="1:58" s="158" customFormat="1" ht="12.75">
      <c r="A44" s="156">
        <v>37</v>
      </c>
      <c r="B44" s="149">
        <v>34</v>
      </c>
      <c r="C44" s="150" t="s">
        <v>175</v>
      </c>
      <c r="D44" s="150" t="s">
        <v>176</v>
      </c>
      <c r="E44" s="150" t="s">
        <v>177</v>
      </c>
      <c r="F44" s="126">
        <v>20</v>
      </c>
      <c r="G44" s="126">
        <v>66</v>
      </c>
      <c r="H44" s="126">
        <v>10</v>
      </c>
      <c r="I44" s="126">
        <v>34</v>
      </c>
      <c r="J44" s="126">
        <f t="shared" si="41"/>
        <v>130</v>
      </c>
      <c r="K44" s="144">
        <f t="shared" si="42"/>
        <v>5</v>
      </c>
      <c r="L44" s="253"/>
      <c r="M44" s="126">
        <v>19</v>
      </c>
      <c r="N44" s="126">
        <v>40</v>
      </c>
      <c r="O44" s="126">
        <v>10</v>
      </c>
      <c r="P44" s="126">
        <v>27</v>
      </c>
      <c r="Q44" s="126">
        <f t="shared" si="43"/>
        <v>96</v>
      </c>
      <c r="R44" s="144">
        <f t="shared" si="44"/>
        <v>3.5</v>
      </c>
      <c r="S44" s="253"/>
      <c r="T44" s="126">
        <v>11</v>
      </c>
      <c r="U44" s="126">
        <v>48</v>
      </c>
      <c r="V44" s="126">
        <f t="shared" si="45"/>
        <v>59</v>
      </c>
      <c r="W44" s="144">
        <f t="shared" si="46"/>
        <v>3</v>
      </c>
      <c r="X44" s="253"/>
      <c r="Y44" s="126">
        <v>19</v>
      </c>
      <c r="Z44" s="126">
        <v>53</v>
      </c>
      <c r="AA44" s="126">
        <f t="shared" si="47"/>
        <v>72</v>
      </c>
      <c r="AB44" s="144">
        <f t="shared" si="48"/>
        <v>4</v>
      </c>
      <c r="AC44" s="253"/>
      <c r="AD44" s="126">
        <v>17</v>
      </c>
      <c r="AE44" s="126">
        <v>62</v>
      </c>
      <c r="AF44" s="126">
        <f t="shared" si="49"/>
        <v>79</v>
      </c>
      <c r="AG44" s="144">
        <f t="shared" si="50"/>
        <v>4</v>
      </c>
      <c r="AH44" s="253"/>
      <c r="AI44" s="126">
        <v>16</v>
      </c>
      <c r="AJ44" s="126">
        <v>54</v>
      </c>
      <c r="AK44" s="126">
        <f t="shared" si="51"/>
        <v>70</v>
      </c>
      <c r="AL44" s="144">
        <f t="shared" si="52"/>
        <v>4</v>
      </c>
      <c r="AM44" s="253"/>
      <c r="AN44" s="129">
        <v>0</v>
      </c>
      <c r="AO44" s="126">
        <v>48</v>
      </c>
      <c r="AP44" s="126">
        <f t="shared" si="40"/>
        <v>48</v>
      </c>
      <c r="AQ44" s="144">
        <f t="shared" si="53"/>
        <v>5</v>
      </c>
      <c r="AR44" s="253"/>
      <c r="AS44" s="126">
        <v>47</v>
      </c>
      <c r="AT44" s="144">
        <f t="shared" si="54"/>
        <v>5</v>
      </c>
      <c r="AU44" s="253"/>
      <c r="AV44" s="145">
        <f t="shared" si="16"/>
        <v>28.5</v>
      </c>
      <c r="AW44" s="146">
        <f t="shared" si="55"/>
        <v>4.0714285714285712</v>
      </c>
      <c r="AX44" s="131">
        <f t="shared" si="18"/>
        <v>554</v>
      </c>
      <c r="AY44" s="38">
        <v>32</v>
      </c>
      <c r="AZ44" s="38">
        <v>56</v>
      </c>
      <c r="BA44" s="157" t="str">
        <f t="shared" si="0"/>
        <v>BETTER</v>
      </c>
      <c r="BB44" s="39">
        <f>'1st_Semester'!AX44</f>
        <v>451</v>
      </c>
      <c r="BC44" s="39">
        <f>'2nd_Semester'!AX44</f>
        <v>510</v>
      </c>
      <c r="BD44" s="37">
        <f t="shared" si="19"/>
        <v>554</v>
      </c>
      <c r="BE44" s="39">
        <f t="shared" si="20"/>
        <v>505</v>
      </c>
      <c r="BF44" s="39"/>
    </row>
    <row r="45" spans="1:58" s="158" customFormat="1" ht="12.75">
      <c r="A45" s="156">
        <v>38</v>
      </c>
      <c r="B45" s="149">
        <v>36</v>
      </c>
      <c r="C45" s="150" t="s">
        <v>178</v>
      </c>
      <c r="D45" s="150" t="s">
        <v>179</v>
      </c>
      <c r="E45" s="150" t="s">
        <v>180</v>
      </c>
      <c r="F45" s="126">
        <v>20</v>
      </c>
      <c r="G45" s="126">
        <v>59</v>
      </c>
      <c r="H45" s="126">
        <v>10</v>
      </c>
      <c r="I45" s="126">
        <v>36</v>
      </c>
      <c r="J45" s="126">
        <f t="shared" si="41"/>
        <v>125</v>
      </c>
      <c r="K45" s="144">
        <f t="shared" si="42"/>
        <v>5</v>
      </c>
      <c r="L45" s="253"/>
      <c r="M45" s="126">
        <v>18</v>
      </c>
      <c r="N45" s="126">
        <v>53</v>
      </c>
      <c r="O45" s="126">
        <v>10</v>
      </c>
      <c r="P45" s="126">
        <v>19</v>
      </c>
      <c r="Q45" s="126">
        <f t="shared" si="43"/>
        <v>100</v>
      </c>
      <c r="R45" s="144">
        <f t="shared" si="44"/>
        <v>3.5</v>
      </c>
      <c r="S45" s="253"/>
      <c r="T45" s="126">
        <v>10</v>
      </c>
      <c r="U45" s="126">
        <v>49</v>
      </c>
      <c r="V45" s="126">
        <f t="shared" si="45"/>
        <v>59</v>
      </c>
      <c r="W45" s="144">
        <f t="shared" si="46"/>
        <v>3</v>
      </c>
      <c r="X45" s="253"/>
      <c r="Y45" s="126">
        <v>15</v>
      </c>
      <c r="Z45" s="126">
        <v>58</v>
      </c>
      <c r="AA45" s="126">
        <f t="shared" si="47"/>
        <v>73</v>
      </c>
      <c r="AB45" s="144">
        <f t="shared" si="48"/>
        <v>4</v>
      </c>
      <c r="AC45" s="253"/>
      <c r="AD45" s="126">
        <v>18</v>
      </c>
      <c r="AE45" s="126">
        <v>56</v>
      </c>
      <c r="AF45" s="126">
        <f t="shared" si="49"/>
        <v>74</v>
      </c>
      <c r="AG45" s="144">
        <f t="shared" si="50"/>
        <v>4</v>
      </c>
      <c r="AH45" s="253"/>
      <c r="AI45" s="126">
        <v>17</v>
      </c>
      <c r="AJ45" s="126">
        <v>44</v>
      </c>
      <c r="AK45" s="126">
        <f t="shared" si="51"/>
        <v>61</v>
      </c>
      <c r="AL45" s="144">
        <f t="shared" si="52"/>
        <v>3.5</v>
      </c>
      <c r="AM45" s="253"/>
      <c r="AN45" s="129">
        <v>0</v>
      </c>
      <c r="AO45" s="126">
        <v>48</v>
      </c>
      <c r="AP45" s="126">
        <f t="shared" si="40"/>
        <v>48</v>
      </c>
      <c r="AQ45" s="144">
        <f t="shared" si="53"/>
        <v>5</v>
      </c>
      <c r="AR45" s="253"/>
      <c r="AS45" s="126">
        <v>46</v>
      </c>
      <c r="AT45" s="144">
        <f t="shared" si="54"/>
        <v>5</v>
      </c>
      <c r="AU45" s="253"/>
      <c r="AV45" s="145">
        <f t="shared" si="16"/>
        <v>28</v>
      </c>
      <c r="AW45" s="146">
        <f t="shared" si="55"/>
        <v>4</v>
      </c>
      <c r="AX45" s="131">
        <f t="shared" si="18"/>
        <v>540</v>
      </c>
      <c r="AY45" s="38">
        <v>35</v>
      </c>
      <c r="AZ45" s="38">
        <v>56</v>
      </c>
      <c r="BA45" s="157" t="str">
        <f t="shared" si="0"/>
        <v>BETTER</v>
      </c>
      <c r="BB45" s="39">
        <f>'1st_Semester'!AX45</f>
        <v>377</v>
      </c>
      <c r="BC45" s="39">
        <f>'2nd_Semester'!AX45</f>
        <v>471</v>
      </c>
      <c r="BD45" s="37">
        <f t="shared" si="19"/>
        <v>540</v>
      </c>
      <c r="BE45" s="39">
        <f t="shared" si="20"/>
        <v>462.66666666666669</v>
      </c>
      <c r="BF45" s="39"/>
    </row>
    <row r="46" spans="1:58" s="158" customFormat="1" ht="12.75">
      <c r="A46" s="156">
        <v>39</v>
      </c>
      <c r="B46" s="149">
        <v>38</v>
      </c>
      <c r="C46" s="150" t="s">
        <v>181</v>
      </c>
      <c r="D46" s="150" t="s">
        <v>182</v>
      </c>
      <c r="E46" s="150" t="s">
        <v>183</v>
      </c>
      <c r="F46" s="126">
        <v>0</v>
      </c>
      <c r="G46" s="126">
        <v>0</v>
      </c>
      <c r="H46" s="126">
        <v>0</v>
      </c>
      <c r="I46" s="126"/>
      <c r="J46" s="126">
        <f t="shared" si="41"/>
        <v>0</v>
      </c>
      <c r="K46" s="144" t="str">
        <f t="shared" si="42"/>
        <v>F</v>
      </c>
      <c r="L46" s="253"/>
      <c r="M46" s="126">
        <v>0</v>
      </c>
      <c r="N46" s="126">
        <v>0</v>
      </c>
      <c r="O46" s="126">
        <v>0</v>
      </c>
      <c r="P46" s="126">
        <v>0</v>
      </c>
      <c r="Q46" s="126">
        <f t="shared" si="43"/>
        <v>0</v>
      </c>
      <c r="R46" s="144" t="str">
        <f t="shared" si="44"/>
        <v>F</v>
      </c>
      <c r="S46" s="253"/>
      <c r="T46" s="126">
        <v>0</v>
      </c>
      <c r="U46" s="126">
        <v>0</v>
      </c>
      <c r="V46" s="126">
        <f t="shared" si="45"/>
        <v>0</v>
      </c>
      <c r="W46" s="144" t="str">
        <f t="shared" si="46"/>
        <v>F</v>
      </c>
      <c r="X46" s="253"/>
      <c r="Y46" s="126">
        <v>0</v>
      </c>
      <c r="Z46" s="126">
        <v>0</v>
      </c>
      <c r="AA46" s="126">
        <f t="shared" si="47"/>
        <v>0</v>
      </c>
      <c r="AB46" s="144" t="str">
        <f t="shared" si="48"/>
        <v>F</v>
      </c>
      <c r="AC46" s="253"/>
      <c r="AD46" s="126">
        <v>0</v>
      </c>
      <c r="AE46" s="126">
        <v>0</v>
      </c>
      <c r="AF46" s="126">
        <f t="shared" si="49"/>
        <v>0</v>
      </c>
      <c r="AG46" s="144" t="str">
        <f t="shared" si="50"/>
        <v>F</v>
      </c>
      <c r="AH46" s="253"/>
      <c r="AI46" s="126">
        <v>0</v>
      </c>
      <c r="AJ46" s="126">
        <v>0</v>
      </c>
      <c r="AK46" s="126">
        <f t="shared" si="51"/>
        <v>0</v>
      </c>
      <c r="AL46" s="144" t="str">
        <f t="shared" si="52"/>
        <v>F</v>
      </c>
      <c r="AM46" s="253"/>
      <c r="AN46" s="129">
        <v>0</v>
      </c>
      <c r="AO46" s="126">
        <v>0</v>
      </c>
      <c r="AP46" s="126">
        <f t="shared" si="40"/>
        <v>0</v>
      </c>
      <c r="AQ46" s="144" t="str">
        <f t="shared" si="53"/>
        <v>F</v>
      </c>
      <c r="AR46" s="253"/>
      <c r="AS46" s="126">
        <v>0</v>
      </c>
      <c r="AT46" s="144" t="str">
        <f t="shared" si="54"/>
        <v>F</v>
      </c>
      <c r="AU46" s="253"/>
      <c r="AV46" s="145" t="str">
        <f t="shared" si="16"/>
        <v>F</v>
      </c>
      <c r="AW46" s="146" t="str">
        <f t="shared" si="55"/>
        <v>F</v>
      </c>
      <c r="AX46" s="131">
        <f t="shared" si="18"/>
        <v>0</v>
      </c>
      <c r="AY46" s="38">
        <v>0</v>
      </c>
      <c r="AZ46" s="38">
        <v>56</v>
      </c>
      <c r="BA46" s="157" t="str">
        <f t="shared" si="0"/>
        <v>NEED TO PROGRESS</v>
      </c>
      <c r="BB46" s="39">
        <f>'1st_Semester'!AX46</f>
        <v>348</v>
      </c>
      <c r="BC46" s="39">
        <f>'2nd_Semester'!AX46</f>
        <v>28</v>
      </c>
      <c r="BD46" s="37">
        <f t="shared" si="19"/>
        <v>0</v>
      </c>
      <c r="BE46" s="39">
        <f t="shared" si="20"/>
        <v>125.33333333333333</v>
      </c>
      <c r="BF46" s="39"/>
    </row>
    <row r="47" spans="1:58" s="158" customFormat="1" ht="12.75">
      <c r="A47" s="156">
        <v>40</v>
      </c>
      <c r="B47" s="149">
        <v>41</v>
      </c>
      <c r="C47" s="150" t="s">
        <v>184</v>
      </c>
      <c r="D47" s="150" t="s">
        <v>185</v>
      </c>
      <c r="E47" s="150" t="s">
        <v>186</v>
      </c>
      <c r="F47" s="126">
        <v>20</v>
      </c>
      <c r="G47" s="126">
        <v>55</v>
      </c>
      <c r="H47" s="126">
        <v>10</v>
      </c>
      <c r="I47" s="126">
        <v>38</v>
      </c>
      <c r="J47" s="126">
        <f t="shared" si="41"/>
        <v>123</v>
      </c>
      <c r="K47" s="144">
        <f t="shared" si="42"/>
        <v>5</v>
      </c>
      <c r="L47" s="253"/>
      <c r="M47" s="126">
        <v>20</v>
      </c>
      <c r="N47" s="126">
        <v>57</v>
      </c>
      <c r="O47" s="126">
        <v>10</v>
      </c>
      <c r="P47" s="126">
        <v>30</v>
      </c>
      <c r="Q47" s="126">
        <f t="shared" si="43"/>
        <v>117</v>
      </c>
      <c r="R47" s="144">
        <f t="shared" si="44"/>
        <v>4</v>
      </c>
      <c r="S47" s="253"/>
      <c r="T47" s="126">
        <v>11</v>
      </c>
      <c r="U47" s="126">
        <v>46</v>
      </c>
      <c r="V47" s="126">
        <f t="shared" si="45"/>
        <v>57</v>
      </c>
      <c r="W47" s="144">
        <f t="shared" si="46"/>
        <v>3</v>
      </c>
      <c r="X47" s="253"/>
      <c r="Y47" s="126">
        <v>13</v>
      </c>
      <c r="Z47" s="126">
        <v>46</v>
      </c>
      <c r="AA47" s="126">
        <f t="shared" si="47"/>
        <v>59</v>
      </c>
      <c r="AB47" s="144">
        <f t="shared" si="48"/>
        <v>3</v>
      </c>
      <c r="AC47" s="253"/>
      <c r="AD47" s="126">
        <v>18</v>
      </c>
      <c r="AE47" s="126">
        <v>73</v>
      </c>
      <c r="AF47" s="126">
        <f t="shared" si="49"/>
        <v>91</v>
      </c>
      <c r="AG47" s="144">
        <f t="shared" si="50"/>
        <v>5</v>
      </c>
      <c r="AH47" s="253"/>
      <c r="AI47" s="126">
        <v>18</v>
      </c>
      <c r="AJ47" s="126">
        <v>43</v>
      </c>
      <c r="AK47" s="126">
        <f t="shared" si="51"/>
        <v>61</v>
      </c>
      <c r="AL47" s="144">
        <f t="shared" si="52"/>
        <v>3.5</v>
      </c>
      <c r="AM47" s="253"/>
      <c r="AN47" s="129">
        <v>0</v>
      </c>
      <c r="AO47" s="126">
        <v>46</v>
      </c>
      <c r="AP47" s="126">
        <f t="shared" si="40"/>
        <v>46</v>
      </c>
      <c r="AQ47" s="144">
        <f t="shared" si="53"/>
        <v>5</v>
      </c>
      <c r="AR47" s="253"/>
      <c r="AS47" s="126">
        <v>49</v>
      </c>
      <c r="AT47" s="144">
        <f t="shared" si="54"/>
        <v>5</v>
      </c>
      <c r="AU47" s="253"/>
      <c r="AV47" s="145">
        <f t="shared" si="16"/>
        <v>28.5</v>
      </c>
      <c r="AW47" s="146">
        <f t="shared" si="55"/>
        <v>4.0714285714285712</v>
      </c>
      <c r="AX47" s="131">
        <f t="shared" si="18"/>
        <v>554</v>
      </c>
      <c r="AY47" s="38">
        <v>34</v>
      </c>
      <c r="AZ47" s="38">
        <v>56</v>
      </c>
      <c r="BA47" s="157" t="str">
        <f t="shared" si="0"/>
        <v>BETTER</v>
      </c>
      <c r="BB47" s="39">
        <f>'1st_Semester'!AX47</f>
        <v>386</v>
      </c>
      <c r="BC47" s="39">
        <f>'2nd_Semester'!AX47</f>
        <v>488</v>
      </c>
      <c r="BD47" s="37">
        <f t="shared" si="19"/>
        <v>554</v>
      </c>
      <c r="BE47" s="39">
        <f t="shared" si="20"/>
        <v>476</v>
      </c>
      <c r="BF47" s="39"/>
    </row>
    <row r="48" spans="1:58" s="158" customFormat="1" ht="12.75">
      <c r="A48" s="156">
        <v>41</v>
      </c>
      <c r="B48" s="149">
        <v>45</v>
      </c>
      <c r="C48" s="150" t="s">
        <v>187</v>
      </c>
      <c r="D48" s="150" t="s">
        <v>188</v>
      </c>
      <c r="E48" s="150" t="s">
        <v>189</v>
      </c>
      <c r="F48" s="126">
        <v>0</v>
      </c>
      <c r="G48" s="126">
        <v>0</v>
      </c>
      <c r="H48" s="126">
        <v>0</v>
      </c>
      <c r="I48" s="126"/>
      <c r="J48" s="126">
        <f t="shared" si="41"/>
        <v>0</v>
      </c>
      <c r="K48" s="144" t="str">
        <f t="shared" si="42"/>
        <v>F</v>
      </c>
      <c r="L48" s="253"/>
      <c r="M48" s="126">
        <v>0</v>
      </c>
      <c r="N48" s="126">
        <v>0</v>
      </c>
      <c r="O48" s="126">
        <v>0</v>
      </c>
      <c r="P48" s="126">
        <v>0</v>
      </c>
      <c r="Q48" s="126">
        <f t="shared" si="43"/>
        <v>0</v>
      </c>
      <c r="R48" s="144" t="str">
        <f t="shared" si="44"/>
        <v>F</v>
      </c>
      <c r="S48" s="253"/>
      <c r="T48" s="126">
        <v>0</v>
      </c>
      <c r="U48" s="126"/>
      <c r="V48" s="126">
        <f t="shared" si="45"/>
        <v>0</v>
      </c>
      <c r="W48" s="144" t="str">
        <f t="shared" si="46"/>
        <v>F</v>
      </c>
      <c r="X48" s="253"/>
      <c r="Y48" s="126">
        <v>0</v>
      </c>
      <c r="Z48" s="126">
        <v>0</v>
      </c>
      <c r="AA48" s="126">
        <f t="shared" si="47"/>
        <v>0</v>
      </c>
      <c r="AB48" s="144" t="str">
        <f t="shared" si="48"/>
        <v>F</v>
      </c>
      <c r="AC48" s="253"/>
      <c r="AD48" s="126">
        <v>0</v>
      </c>
      <c r="AE48" s="126">
        <v>0</v>
      </c>
      <c r="AF48" s="126">
        <f t="shared" si="49"/>
        <v>0</v>
      </c>
      <c r="AG48" s="144" t="str">
        <f t="shared" si="50"/>
        <v>F</v>
      </c>
      <c r="AH48" s="253"/>
      <c r="AI48" s="126">
        <v>0</v>
      </c>
      <c r="AJ48" s="126">
        <v>0</v>
      </c>
      <c r="AK48" s="126">
        <f t="shared" si="51"/>
        <v>0</v>
      </c>
      <c r="AL48" s="144" t="str">
        <f t="shared" si="52"/>
        <v>F</v>
      </c>
      <c r="AM48" s="253"/>
      <c r="AN48" s="129">
        <v>0</v>
      </c>
      <c r="AO48" s="126">
        <v>0</v>
      </c>
      <c r="AP48" s="126">
        <f t="shared" si="40"/>
        <v>0</v>
      </c>
      <c r="AQ48" s="144" t="str">
        <f t="shared" si="53"/>
        <v>F</v>
      </c>
      <c r="AR48" s="253"/>
      <c r="AS48" s="126">
        <v>0</v>
      </c>
      <c r="AT48" s="144" t="str">
        <f t="shared" si="54"/>
        <v>F</v>
      </c>
      <c r="AU48" s="253"/>
      <c r="AV48" s="145" t="str">
        <f t="shared" si="16"/>
        <v>F</v>
      </c>
      <c r="AW48" s="146" t="str">
        <f t="shared" si="55"/>
        <v>F</v>
      </c>
      <c r="AX48" s="131">
        <f t="shared" si="18"/>
        <v>0</v>
      </c>
      <c r="AY48" s="38">
        <v>0</v>
      </c>
      <c r="AZ48" s="38">
        <v>56</v>
      </c>
      <c r="BA48" s="157" t="str">
        <f t="shared" si="0"/>
        <v>NEED TO PROGRESS</v>
      </c>
      <c r="BB48" s="39">
        <f>'1st_Semester'!AX48</f>
        <v>417</v>
      </c>
      <c r="BC48" s="39">
        <f>'2nd_Semester'!AX48</f>
        <v>150</v>
      </c>
      <c r="BD48" s="37">
        <f t="shared" si="19"/>
        <v>0</v>
      </c>
      <c r="BE48" s="39">
        <f t="shared" si="20"/>
        <v>189</v>
      </c>
      <c r="BF48" s="39"/>
    </row>
    <row r="49" spans="1:58" s="158" customFormat="1" ht="12.75">
      <c r="A49" s="156">
        <v>42</v>
      </c>
      <c r="B49" s="149">
        <v>47</v>
      </c>
      <c r="C49" s="150" t="s">
        <v>190</v>
      </c>
      <c r="D49" s="150" t="s">
        <v>191</v>
      </c>
      <c r="E49" s="150" t="s">
        <v>192</v>
      </c>
      <c r="F49" s="126">
        <v>20</v>
      </c>
      <c r="G49" s="126">
        <v>70</v>
      </c>
      <c r="H49" s="126">
        <v>10</v>
      </c>
      <c r="I49" s="126">
        <v>35</v>
      </c>
      <c r="J49" s="126">
        <f t="shared" si="41"/>
        <v>135</v>
      </c>
      <c r="K49" s="144">
        <f t="shared" si="42"/>
        <v>5</v>
      </c>
      <c r="L49" s="253"/>
      <c r="M49" s="126">
        <v>20</v>
      </c>
      <c r="N49" s="126">
        <v>67</v>
      </c>
      <c r="O49" s="126">
        <v>10</v>
      </c>
      <c r="P49" s="126">
        <v>33</v>
      </c>
      <c r="Q49" s="126">
        <f t="shared" si="43"/>
        <v>130</v>
      </c>
      <c r="R49" s="144">
        <f t="shared" si="44"/>
        <v>5</v>
      </c>
      <c r="S49" s="253"/>
      <c r="T49" s="126">
        <v>11</v>
      </c>
      <c r="U49" s="126">
        <v>42</v>
      </c>
      <c r="V49" s="126">
        <f t="shared" si="45"/>
        <v>53</v>
      </c>
      <c r="W49" s="144">
        <f t="shared" si="46"/>
        <v>3</v>
      </c>
      <c r="X49" s="253"/>
      <c r="Y49" s="126">
        <v>14</v>
      </c>
      <c r="Z49" s="126">
        <v>48</v>
      </c>
      <c r="AA49" s="126">
        <f t="shared" si="47"/>
        <v>62</v>
      </c>
      <c r="AB49" s="144">
        <f t="shared" si="48"/>
        <v>3.5</v>
      </c>
      <c r="AC49" s="253"/>
      <c r="AD49" s="126">
        <v>19</v>
      </c>
      <c r="AE49" s="126">
        <v>68</v>
      </c>
      <c r="AF49" s="126">
        <f t="shared" si="49"/>
        <v>87</v>
      </c>
      <c r="AG49" s="144">
        <f t="shared" si="50"/>
        <v>5</v>
      </c>
      <c r="AH49" s="253"/>
      <c r="AI49" s="126">
        <v>20</v>
      </c>
      <c r="AJ49" s="126">
        <v>46</v>
      </c>
      <c r="AK49" s="126">
        <f t="shared" si="51"/>
        <v>66</v>
      </c>
      <c r="AL49" s="144">
        <f t="shared" si="52"/>
        <v>3.5</v>
      </c>
      <c r="AM49" s="253"/>
      <c r="AN49" s="129">
        <v>0</v>
      </c>
      <c r="AO49" s="126">
        <v>48</v>
      </c>
      <c r="AP49" s="126">
        <f t="shared" si="40"/>
        <v>48</v>
      </c>
      <c r="AQ49" s="144">
        <f t="shared" si="53"/>
        <v>5</v>
      </c>
      <c r="AR49" s="253"/>
      <c r="AS49" s="126">
        <v>45</v>
      </c>
      <c r="AT49" s="144">
        <f t="shared" si="54"/>
        <v>5</v>
      </c>
      <c r="AU49" s="253"/>
      <c r="AV49" s="145">
        <f t="shared" si="16"/>
        <v>30</v>
      </c>
      <c r="AW49" s="146">
        <f t="shared" si="55"/>
        <v>4.2857142857142856</v>
      </c>
      <c r="AX49" s="131">
        <f t="shared" si="18"/>
        <v>581</v>
      </c>
      <c r="AY49" s="38">
        <v>30</v>
      </c>
      <c r="AZ49" s="38">
        <v>56</v>
      </c>
      <c r="BA49" s="157" t="str">
        <f t="shared" si="0"/>
        <v>BETTER</v>
      </c>
      <c r="BB49" s="39">
        <f>'1st_Semester'!AX49</f>
        <v>573</v>
      </c>
      <c r="BC49" s="39">
        <f>'2nd_Semester'!AX49</f>
        <v>462</v>
      </c>
      <c r="BD49" s="37">
        <f t="shared" si="19"/>
        <v>581</v>
      </c>
      <c r="BE49" s="39">
        <f t="shared" si="20"/>
        <v>538.66666666666663</v>
      </c>
      <c r="BF49" s="39"/>
    </row>
    <row r="50" spans="1:58" s="158" customFormat="1" ht="12.75">
      <c r="A50" s="156">
        <v>43</v>
      </c>
      <c r="B50" s="149">
        <v>48</v>
      </c>
      <c r="C50" s="150" t="s">
        <v>193</v>
      </c>
      <c r="D50" s="150" t="s">
        <v>194</v>
      </c>
      <c r="E50" s="150" t="s">
        <v>195</v>
      </c>
      <c r="F50" s="126">
        <v>20</v>
      </c>
      <c r="G50" s="126">
        <v>56</v>
      </c>
      <c r="H50" s="126">
        <v>10</v>
      </c>
      <c r="I50" s="126">
        <v>38</v>
      </c>
      <c r="J50" s="126">
        <f t="shared" si="41"/>
        <v>124</v>
      </c>
      <c r="K50" s="144">
        <f t="shared" si="42"/>
        <v>5</v>
      </c>
      <c r="L50" s="253"/>
      <c r="M50" s="126">
        <v>19</v>
      </c>
      <c r="N50" s="126">
        <v>44</v>
      </c>
      <c r="O50" s="126">
        <v>9</v>
      </c>
      <c r="P50" s="126">
        <v>19</v>
      </c>
      <c r="Q50" s="126">
        <f t="shared" si="43"/>
        <v>91</v>
      </c>
      <c r="R50" s="144">
        <f t="shared" si="44"/>
        <v>3.5</v>
      </c>
      <c r="S50" s="253"/>
      <c r="T50" s="126">
        <v>11</v>
      </c>
      <c r="U50" s="126">
        <v>54</v>
      </c>
      <c r="V50" s="126">
        <f t="shared" si="45"/>
        <v>65</v>
      </c>
      <c r="W50" s="144">
        <f t="shared" si="46"/>
        <v>3.5</v>
      </c>
      <c r="X50" s="253"/>
      <c r="Y50" s="126">
        <v>16</v>
      </c>
      <c r="Z50" s="126">
        <v>53</v>
      </c>
      <c r="AA50" s="126">
        <f t="shared" si="47"/>
        <v>69</v>
      </c>
      <c r="AB50" s="144">
        <f t="shared" si="48"/>
        <v>3.5</v>
      </c>
      <c r="AC50" s="253"/>
      <c r="AD50" s="126">
        <v>15</v>
      </c>
      <c r="AE50" s="126">
        <v>51</v>
      </c>
      <c r="AF50" s="126">
        <f t="shared" si="49"/>
        <v>66</v>
      </c>
      <c r="AG50" s="144">
        <f t="shared" si="50"/>
        <v>3.5</v>
      </c>
      <c r="AH50" s="253"/>
      <c r="AI50" s="126">
        <v>17</v>
      </c>
      <c r="AJ50" s="126">
        <v>46</v>
      </c>
      <c r="AK50" s="126">
        <f t="shared" si="51"/>
        <v>63</v>
      </c>
      <c r="AL50" s="144">
        <f t="shared" si="52"/>
        <v>3.5</v>
      </c>
      <c r="AM50" s="253"/>
      <c r="AN50" s="129">
        <v>0</v>
      </c>
      <c r="AO50" s="126">
        <v>43</v>
      </c>
      <c r="AP50" s="126">
        <f t="shared" si="40"/>
        <v>43</v>
      </c>
      <c r="AQ50" s="144">
        <f t="shared" si="53"/>
        <v>5</v>
      </c>
      <c r="AR50" s="253"/>
      <c r="AS50" s="126">
        <v>49</v>
      </c>
      <c r="AT50" s="144">
        <f t="shared" si="54"/>
        <v>5</v>
      </c>
      <c r="AU50" s="253"/>
      <c r="AV50" s="145">
        <f t="shared" si="16"/>
        <v>27.5</v>
      </c>
      <c r="AW50" s="146">
        <f t="shared" si="55"/>
        <v>3.9285714285714284</v>
      </c>
      <c r="AX50" s="131">
        <f t="shared" si="18"/>
        <v>521</v>
      </c>
      <c r="AY50" s="38">
        <v>39</v>
      </c>
      <c r="AZ50" s="38">
        <v>56</v>
      </c>
      <c r="BA50" s="157" t="str">
        <f t="shared" si="0"/>
        <v>GOOD</v>
      </c>
      <c r="BB50" s="39">
        <f>'1st_Semester'!AX50</f>
        <v>358</v>
      </c>
      <c r="BC50" s="39">
        <f>'2nd_Semester'!AX50</f>
        <v>474</v>
      </c>
      <c r="BD50" s="37">
        <f t="shared" si="19"/>
        <v>521</v>
      </c>
      <c r="BE50" s="39">
        <f t="shared" si="20"/>
        <v>451</v>
      </c>
      <c r="BF50" s="39"/>
    </row>
    <row r="51" spans="1:58" s="158" customFormat="1" ht="12.75">
      <c r="A51" s="156">
        <v>44</v>
      </c>
      <c r="B51" s="149">
        <v>50</v>
      </c>
      <c r="C51" s="150" t="s">
        <v>196</v>
      </c>
      <c r="D51" s="150" t="s">
        <v>197</v>
      </c>
      <c r="E51" s="150" t="s">
        <v>198</v>
      </c>
      <c r="F51" s="126">
        <v>0</v>
      </c>
      <c r="G51" s="126">
        <v>0</v>
      </c>
      <c r="H51" s="126">
        <v>0</v>
      </c>
      <c r="I51" s="126"/>
      <c r="J51" s="126">
        <f t="shared" si="41"/>
        <v>0</v>
      </c>
      <c r="K51" s="144" t="str">
        <f t="shared" si="42"/>
        <v>F</v>
      </c>
      <c r="L51" s="253"/>
      <c r="M51" s="126">
        <v>0</v>
      </c>
      <c r="N51" s="126">
        <v>0</v>
      </c>
      <c r="O51" s="126">
        <v>0</v>
      </c>
      <c r="P51" s="126">
        <v>0</v>
      </c>
      <c r="Q51" s="126">
        <f t="shared" si="43"/>
        <v>0</v>
      </c>
      <c r="R51" s="144" t="str">
        <f t="shared" si="44"/>
        <v>F</v>
      </c>
      <c r="S51" s="253"/>
      <c r="T51" s="126">
        <v>0</v>
      </c>
      <c r="U51" s="126"/>
      <c r="V51" s="126">
        <f t="shared" si="45"/>
        <v>0</v>
      </c>
      <c r="W51" s="144" t="str">
        <f t="shared" si="46"/>
        <v>F</v>
      </c>
      <c r="X51" s="253"/>
      <c r="Y51" s="126">
        <v>0</v>
      </c>
      <c r="Z51" s="126">
        <v>0</v>
      </c>
      <c r="AA51" s="126">
        <f t="shared" si="47"/>
        <v>0</v>
      </c>
      <c r="AB51" s="144" t="str">
        <f t="shared" si="48"/>
        <v>F</v>
      </c>
      <c r="AC51" s="253"/>
      <c r="AD51" s="126">
        <v>0</v>
      </c>
      <c r="AE51" s="126">
        <v>0</v>
      </c>
      <c r="AF51" s="126">
        <f t="shared" si="49"/>
        <v>0</v>
      </c>
      <c r="AG51" s="144" t="str">
        <f t="shared" si="50"/>
        <v>F</v>
      </c>
      <c r="AH51" s="253"/>
      <c r="AI51" s="126">
        <v>0</v>
      </c>
      <c r="AJ51" s="126">
        <v>0</v>
      </c>
      <c r="AK51" s="126">
        <f t="shared" si="51"/>
        <v>0</v>
      </c>
      <c r="AL51" s="144" t="str">
        <f t="shared" si="52"/>
        <v>F</v>
      </c>
      <c r="AM51" s="253"/>
      <c r="AN51" s="129">
        <v>0</v>
      </c>
      <c r="AO51" s="126">
        <v>0</v>
      </c>
      <c r="AP51" s="126">
        <f t="shared" si="40"/>
        <v>0</v>
      </c>
      <c r="AQ51" s="144" t="str">
        <f t="shared" si="53"/>
        <v>F</v>
      </c>
      <c r="AR51" s="253"/>
      <c r="AS51" s="126">
        <v>0</v>
      </c>
      <c r="AT51" s="144" t="str">
        <f t="shared" si="54"/>
        <v>F</v>
      </c>
      <c r="AU51" s="253"/>
      <c r="AV51" s="145" t="str">
        <f t="shared" si="16"/>
        <v>F</v>
      </c>
      <c r="AW51" s="146" t="str">
        <f t="shared" si="55"/>
        <v>F</v>
      </c>
      <c r="AX51" s="131">
        <f t="shared" si="18"/>
        <v>0</v>
      </c>
      <c r="AY51" s="38">
        <v>0</v>
      </c>
      <c r="AZ51" s="38">
        <v>56</v>
      </c>
      <c r="BA51" s="157" t="str">
        <f t="shared" si="0"/>
        <v>NEED TO PROGRESS</v>
      </c>
      <c r="BB51" s="39">
        <f>'1st_Semester'!AX51</f>
        <v>444</v>
      </c>
      <c r="BC51" s="39">
        <f>'2nd_Semester'!AX51</f>
        <v>35</v>
      </c>
      <c r="BD51" s="37">
        <f t="shared" si="19"/>
        <v>0</v>
      </c>
      <c r="BE51" s="39">
        <f t="shared" si="20"/>
        <v>159.66666666666666</v>
      </c>
      <c r="BF51" s="39"/>
    </row>
    <row r="52" spans="1:58" s="158" customFormat="1" ht="12.75">
      <c r="A52" s="156">
        <v>45</v>
      </c>
      <c r="B52" s="149">
        <v>60</v>
      </c>
      <c r="C52" s="150" t="s">
        <v>199</v>
      </c>
      <c r="D52" s="150" t="s">
        <v>200</v>
      </c>
      <c r="E52" s="150" t="s">
        <v>201</v>
      </c>
      <c r="F52" s="126">
        <v>20</v>
      </c>
      <c r="G52" s="126">
        <v>66</v>
      </c>
      <c r="H52" s="126">
        <v>10</v>
      </c>
      <c r="I52" s="126">
        <v>37</v>
      </c>
      <c r="J52" s="126">
        <f t="shared" si="41"/>
        <v>133</v>
      </c>
      <c r="K52" s="144">
        <f t="shared" si="42"/>
        <v>5</v>
      </c>
      <c r="L52" s="253"/>
      <c r="M52" s="126">
        <v>19</v>
      </c>
      <c r="N52" s="126">
        <v>75</v>
      </c>
      <c r="O52" s="126">
        <v>10</v>
      </c>
      <c r="P52" s="126">
        <v>34</v>
      </c>
      <c r="Q52" s="126">
        <f t="shared" si="43"/>
        <v>138</v>
      </c>
      <c r="R52" s="144">
        <f t="shared" si="44"/>
        <v>5</v>
      </c>
      <c r="S52" s="253"/>
      <c r="T52" s="126">
        <v>11</v>
      </c>
      <c r="U52" s="126">
        <v>36</v>
      </c>
      <c r="V52" s="126">
        <f t="shared" si="45"/>
        <v>47</v>
      </c>
      <c r="W52" s="144">
        <f t="shared" si="46"/>
        <v>2</v>
      </c>
      <c r="X52" s="253"/>
      <c r="Y52" s="126">
        <v>18</v>
      </c>
      <c r="Z52" s="126">
        <v>65</v>
      </c>
      <c r="AA52" s="126">
        <f t="shared" si="47"/>
        <v>83</v>
      </c>
      <c r="AB52" s="144">
        <f t="shared" si="48"/>
        <v>5</v>
      </c>
      <c r="AC52" s="253"/>
      <c r="AD52" s="126">
        <v>20</v>
      </c>
      <c r="AE52" s="126">
        <v>75</v>
      </c>
      <c r="AF52" s="126">
        <f t="shared" si="49"/>
        <v>95</v>
      </c>
      <c r="AG52" s="144">
        <f t="shared" si="50"/>
        <v>5</v>
      </c>
      <c r="AH52" s="253"/>
      <c r="AI52" s="126">
        <v>19</v>
      </c>
      <c r="AJ52" s="126">
        <v>44</v>
      </c>
      <c r="AK52" s="126">
        <f t="shared" si="51"/>
        <v>63</v>
      </c>
      <c r="AL52" s="144">
        <f t="shared" si="52"/>
        <v>3.5</v>
      </c>
      <c r="AM52" s="253"/>
      <c r="AN52" s="129">
        <v>0</v>
      </c>
      <c r="AO52" s="126">
        <v>43</v>
      </c>
      <c r="AP52" s="126">
        <f t="shared" si="40"/>
        <v>43</v>
      </c>
      <c r="AQ52" s="144">
        <f t="shared" si="53"/>
        <v>5</v>
      </c>
      <c r="AR52" s="253"/>
      <c r="AS52" s="126">
        <v>49</v>
      </c>
      <c r="AT52" s="144">
        <f t="shared" si="54"/>
        <v>5</v>
      </c>
      <c r="AU52" s="253"/>
      <c r="AV52" s="145">
        <f t="shared" si="16"/>
        <v>30.5</v>
      </c>
      <c r="AW52" s="146">
        <f t="shared" si="55"/>
        <v>4.3571428571428568</v>
      </c>
      <c r="AX52" s="131">
        <f t="shared" si="18"/>
        <v>602</v>
      </c>
      <c r="AY52" s="38">
        <v>27</v>
      </c>
      <c r="AZ52" s="38">
        <v>56</v>
      </c>
      <c r="BA52" s="157" t="str">
        <f t="shared" si="0"/>
        <v>BETTER</v>
      </c>
      <c r="BB52" s="39">
        <f>'1st_Semester'!AX52</f>
        <v>513</v>
      </c>
      <c r="BC52" s="39">
        <f>'2nd_Semester'!AX52</f>
        <v>550</v>
      </c>
      <c r="BD52" s="37">
        <f t="shared" si="19"/>
        <v>602</v>
      </c>
      <c r="BE52" s="39">
        <f t="shared" si="20"/>
        <v>555</v>
      </c>
      <c r="BF52" s="39"/>
    </row>
    <row r="53" spans="1:58" s="158" customFormat="1" ht="12.75">
      <c r="A53" s="156">
        <v>46</v>
      </c>
      <c r="B53" s="149">
        <v>61</v>
      </c>
      <c r="C53" s="150" t="s">
        <v>202</v>
      </c>
      <c r="D53" s="150" t="s">
        <v>203</v>
      </c>
      <c r="E53" s="150" t="s">
        <v>204</v>
      </c>
      <c r="F53" s="126">
        <v>20</v>
      </c>
      <c r="G53" s="126">
        <v>47</v>
      </c>
      <c r="H53" s="126">
        <v>10</v>
      </c>
      <c r="I53" s="126">
        <v>38</v>
      </c>
      <c r="J53" s="126">
        <f t="shared" si="41"/>
        <v>115</v>
      </c>
      <c r="K53" s="144">
        <f t="shared" si="42"/>
        <v>4</v>
      </c>
      <c r="L53" s="253"/>
      <c r="M53" s="126">
        <v>19</v>
      </c>
      <c r="N53" s="126">
        <v>32</v>
      </c>
      <c r="O53" s="126">
        <v>10</v>
      </c>
      <c r="P53" s="126">
        <v>17</v>
      </c>
      <c r="Q53" s="126">
        <f t="shared" si="43"/>
        <v>78</v>
      </c>
      <c r="R53" s="144">
        <f t="shared" si="44"/>
        <v>3</v>
      </c>
      <c r="S53" s="253"/>
      <c r="T53" s="126">
        <v>16</v>
      </c>
      <c r="U53" s="126">
        <v>51</v>
      </c>
      <c r="V53" s="126">
        <f t="shared" si="45"/>
        <v>67</v>
      </c>
      <c r="W53" s="144">
        <f t="shared" si="46"/>
        <v>3.5</v>
      </c>
      <c r="X53" s="253"/>
      <c r="Y53" s="126">
        <v>13</v>
      </c>
      <c r="Z53" s="126">
        <v>52</v>
      </c>
      <c r="AA53" s="126">
        <f t="shared" si="47"/>
        <v>65</v>
      </c>
      <c r="AB53" s="144">
        <f t="shared" si="48"/>
        <v>3.5</v>
      </c>
      <c r="AC53" s="253"/>
      <c r="AD53" s="126">
        <v>19</v>
      </c>
      <c r="AE53" s="126">
        <v>56</v>
      </c>
      <c r="AF53" s="126">
        <f t="shared" si="49"/>
        <v>75</v>
      </c>
      <c r="AG53" s="144">
        <f t="shared" si="50"/>
        <v>4</v>
      </c>
      <c r="AH53" s="253"/>
      <c r="AI53" s="126">
        <v>16</v>
      </c>
      <c r="AJ53" s="126">
        <v>38</v>
      </c>
      <c r="AK53" s="126">
        <f t="shared" si="51"/>
        <v>54</v>
      </c>
      <c r="AL53" s="144">
        <f t="shared" si="52"/>
        <v>3</v>
      </c>
      <c r="AM53" s="253"/>
      <c r="AN53" s="129">
        <v>0</v>
      </c>
      <c r="AO53" s="126">
        <v>39</v>
      </c>
      <c r="AP53" s="126">
        <f t="shared" si="40"/>
        <v>39</v>
      </c>
      <c r="AQ53" s="144">
        <f t="shared" si="53"/>
        <v>4</v>
      </c>
      <c r="AR53" s="253"/>
      <c r="AS53" s="126">
        <v>49</v>
      </c>
      <c r="AT53" s="144">
        <f t="shared" si="54"/>
        <v>5</v>
      </c>
      <c r="AU53" s="253"/>
      <c r="AV53" s="145">
        <f t="shared" si="16"/>
        <v>25</v>
      </c>
      <c r="AW53" s="146">
        <f t="shared" si="55"/>
        <v>3.5714285714285716</v>
      </c>
      <c r="AX53" s="131">
        <f t="shared" si="18"/>
        <v>493</v>
      </c>
      <c r="AY53" s="38">
        <v>41</v>
      </c>
      <c r="AZ53" s="38">
        <v>56</v>
      </c>
      <c r="BA53" s="157" t="str">
        <f t="shared" si="0"/>
        <v>GOOD</v>
      </c>
      <c r="BB53" s="39">
        <f>'1st_Semester'!AX53</f>
        <v>358</v>
      </c>
      <c r="BC53" s="39">
        <f>'2nd_Semester'!AX53</f>
        <v>410</v>
      </c>
      <c r="BD53" s="37">
        <f t="shared" si="19"/>
        <v>493</v>
      </c>
      <c r="BE53" s="39">
        <f t="shared" si="20"/>
        <v>420.33333333333331</v>
      </c>
      <c r="BF53" s="39"/>
    </row>
    <row r="54" spans="1:58" s="158" customFormat="1" ht="12.75">
      <c r="A54" s="156">
        <v>47</v>
      </c>
      <c r="B54" s="149">
        <v>63</v>
      </c>
      <c r="C54" s="150" t="s">
        <v>205</v>
      </c>
      <c r="D54" s="150" t="s">
        <v>206</v>
      </c>
      <c r="E54" s="150" t="s">
        <v>207</v>
      </c>
      <c r="F54" s="126">
        <v>20</v>
      </c>
      <c r="G54" s="126">
        <v>66</v>
      </c>
      <c r="H54" s="126">
        <v>10</v>
      </c>
      <c r="I54" s="126">
        <v>34</v>
      </c>
      <c r="J54" s="126">
        <f t="shared" si="41"/>
        <v>130</v>
      </c>
      <c r="K54" s="144">
        <f t="shared" si="42"/>
        <v>5</v>
      </c>
      <c r="L54" s="253"/>
      <c r="M54" s="126">
        <v>19</v>
      </c>
      <c r="N54" s="126">
        <v>67</v>
      </c>
      <c r="O54" s="126">
        <v>10</v>
      </c>
      <c r="P54" s="126">
        <v>22</v>
      </c>
      <c r="Q54" s="126">
        <f t="shared" si="43"/>
        <v>118</v>
      </c>
      <c r="R54" s="144">
        <f t="shared" si="44"/>
        <v>4</v>
      </c>
      <c r="S54" s="253"/>
      <c r="T54" s="126">
        <v>8</v>
      </c>
      <c r="U54" s="126">
        <v>58</v>
      </c>
      <c r="V54" s="126">
        <f t="shared" si="45"/>
        <v>66</v>
      </c>
      <c r="W54" s="144">
        <f t="shared" si="46"/>
        <v>3.5</v>
      </c>
      <c r="X54" s="253"/>
      <c r="Y54" s="126">
        <v>16</v>
      </c>
      <c r="Z54" s="126">
        <v>50</v>
      </c>
      <c r="AA54" s="126">
        <f t="shared" si="47"/>
        <v>66</v>
      </c>
      <c r="AB54" s="144">
        <f t="shared" si="48"/>
        <v>3.5</v>
      </c>
      <c r="AC54" s="253"/>
      <c r="AD54" s="126">
        <v>17</v>
      </c>
      <c r="AE54" s="126">
        <v>70</v>
      </c>
      <c r="AF54" s="126">
        <f t="shared" si="49"/>
        <v>87</v>
      </c>
      <c r="AG54" s="144">
        <f t="shared" si="50"/>
        <v>5</v>
      </c>
      <c r="AH54" s="253"/>
      <c r="AI54" s="126">
        <v>18</v>
      </c>
      <c r="AJ54" s="126">
        <v>38</v>
      </c>
      <c r="AK54" s="126">
        <f t="shared" si="51"/>
        <v>56</v>
      </c>
      <c r="AL54" s="144">
        <f t="shared" si="52"/>
        <v>3</v>
      </c>
      <c r="AM54" s="253"/>
      <c r="AN54" s="129">
        <v>0</v>
      </c>
      <c r="AO54" s="126">
        <v>44</v>
      </c>
      <c r="AP54" s="126">
        <f t="shared" si="40"/>
        <v>44</v>
      </c>
      <c r="AQ54" s="144">
        <f t="shared" si="53"/>
        <v>5</v>
      </c>
      <c r="AR54" s="253"/>
      <c r="AS54" s="126">
        <v>48</v>
      </c>
      <c r="AT54" s="144">
        <f t="shared" si="54"/>
        <v>5</v>
      </c>
      <c r="AU54" s="253"/>
      <c r="AV54" s="145">
        <f t="shared" si="16"/>
        <v>29</v>
      </c>
      <c r="AW54" s="146">
        <f t="shared" si="55"/>
        <v>4.1428571428571432</v>
      </c>
      <c r="AX54" s="131">
        <f t="shared" si="18"/>
        <v>567</v>
      </c>
      <c r="AY54" s="38">
        <v>31</v>
      </c>
      <c r="AZ54" s="38">
        <v>56</v>
      </c>
      <c r="BA54" s="157" t="str">
        <f t="shared" si="0"/>
        <v>BETTER</v>
      </c>
      <c r="BB54" s="39">
        <f>'1st_Semester'!AX54</f>
        <v>457</v>
      </c>
      <c r="BC54" s="39">
        <f>'2nd_Semester'!AX54</f>
        <v>503</v>
      </c>
      <c r="BD54" s="37">
        <f t="shared" si="19"/>
        <v>567</v>
      </c>
      <c r="BE54" s="39">
        <f t="shared" si="20"/>
        <v>509</v>
      </c>
      <c r="BF54" s="39"/>
    </row>
    <row r="55" spans="1:58" s="158" customFormat="1" ht="12.75">
      <c r="A55" s="156">
        <v>48</v>
      </c>
      <c r="B55" s="149">
        <v>64</v>
      </c>
      <c r="C55" s="150" t="s">
        <v>208</v>
      </c>
      <c r="D55" s="150" t="s">
        <v>209</v>
      </c>
      <c r="E55" s="150" t="s">
        <v>210</v>
      </c>
      <c r="F55" s="126">
        <v>20</v>
      </c>
      <c r="G55" s="126">
        <v>32</v>
      </c>
      <c r="H55" s="126">
        <v>9</v>
      </c>
      <c r="I55" s="126">
        <v>16</v>
      </c>
      <c r="J55" s="126">
        <f t="shared" si="41"/>
        <v>77</v>
      </c>
      <c r="K55" s="144">
        <f t="shared" si="42"/>
        <v>3</v>
      </c>
      <c r="L55" s="253"/>
      <c r="M55" s="126">
        <v>16</v>
      </c>
      <c r="N55" s="126">
        <v>32</v>
      </c>
      <c r="O55" s="126">
        <v>10</v>
      </c>
      <c r="P55" s="126">
        <v>28</v>
      </c>
      <c r="Q55" s="126">
        <f t="shared" si="43"/>
        <v>86</v>
      </c>
      <c r="R55" s="144">
        <f t="shared" si="44"/>
        <v>3</v>
      </c>
      <c r="S55" s="253"/>
      <c r="T55" s="126">
        <v>16</v>
      </c>
      <c r="U55" s="126">
        <v>26</v>
      </c>
      <c r="V55" s="126">
        <f t="shared" si="45"/>
        <v>42</v>
      </c>
      <c r="W55" s="144">
        <f t="shared" si="46"/>
        <v>2</v>
      </c>
      <c r="X55" s="253"/>
      <c r="Y55" s="126">
        <v>14</v>
      </c>
      <c r="Z55" s="126">
        <v>32</v>
      </c>
      <c r="AA55" s="126">
        <f t="shared" si="47"/>
        <v>46</v>
      </c>
      <c r="AB55" s="144">
        <f t="shared" si="48"/>
        <v>2</v>
      </c>
      <c r="AC55" s="253"/>
      <c r="AD55" s="126">
        <v>18</v>
      </c>
      <c r="AE55" s="126">
        <v>50</v>
      </c>
      <c r="AF55" s="126">
        <f t="shared" si="49"/>
        <v>68</v>
      </c>
      <c r="AG55" s="144">
        <f t="shared" si="50"/>
        <v>3.5</v>
      </c>
      <c r="AH55" s="253"/>
      <c r="AI55" s="126">
        <v>12</v>
      </c>
      <c r="AJ55" s="126">
        <v>34</v>
      </c>
      <c r="AK55" s="126">
        <f t="shared" si="51"/>
        <v>46</v>
      </c>
      <c r="AL55" s="144">
        <f t="shared" si="52"/>
        <v>2</v>
      </c>
      <c r="AM55" s="253"/>
      <c r="AN55" s="129">
        <v>0</v>
      </c>
      <c r="AO55" s="126">
        <v>28</v>
      </c>
      <c r="AP55" s="126">
        <f t="shared" si="40"/>
        <v>28</v>
      </c>
      <c r="AQ55" s="144">
        <f t="shared" si="53"/>
        <v>3</v>
      </c>
      <c r="AR55" s="253"/>
      <c r="AS55" s="126">
        <v>43</v>
      </c>
      <c r="AT55" s="144">
        <f t="shared" si="54"/>
        <v>5</v>
      </c>
      <c r="AU55" s="253"/>
      <c r="AV55" s="145">
        <f t="shared" si="16"/>
        <v>18.5</v>
      </c>
      <c r="AW55" s="146">
        <f t="shared" si="55"/>
        <v>2.6428571428571428</v>
      </c>
      <c r="AX55" s="131">
        <f t="shared" si="18"/>
        <v>393</v>
      </c>
      <c r="AY55" s="38">
        <v>45</v>
      </c>
      <c r="AZ55" s="38">
        <v>56</v>
      </c>
      <c r="BA55" s="157" t="str">
        <f t="shared" si="0"/>
        <v>GOOD</v>
      </c>
      <c r="BB55" s="39">
        <f>'1st_Semester'!AX55</f>
        <v>191</v>
      </c>
      <c r="BC55" s="39">
        <f>'2nd_Semester'!AX55</f>
        <v>319</v>
      </c>
      <c r="BD55" s="37">
        <f t="shared" si="19"/>
        <v>393</v>
      </c>
      <c r="BE55" s="39">
        <f t="shared" si="20"/>
        <v>301</v>
      </c>
      <c r="BF55" s="39"/>
    </row>
    <row r="56" spans="1:58" s="158" customFormat="1" ht="12.75">
      <c r="A56" s="156">
        <v>49</v>
      </c>
      <c r="B56" s="149">
        <v>65</v>
      </c>
      <c r="C56" s="150" t="s">
        <v>211</v>
      </c>
      <c r="D56" s="150" t="s">
        <v>212</v>
      </c>
      <c r="E56" s="150" t="s">
        <v>213</v>
      </c>
      <c r="F56" s="126">
        <v>20</v>
      </c>
      <c r="G56" s="126">
        <v>55</v>
      </c>
      <c r="H56" s="126">
        <v>10</v>
      </c>
      <c r="I56" s="126">
        <v>22</v>
      </c>
      <c r="J56" s="126">
        <f t="shared" si="41"/>
        <v>107</v>
      </c>
      <c r="K56" s="144">
        <f t="shared" si="42"/>
        <v>4</v>
      </c>
      <c r="L56" s="253"/>
      <c r="M56" s="126">
        <v>13</v>
      </c>
      <c r="N56" s="126">
        <v>32</v>
      </c>
      <c r="O56" s="126">
        <v>9</v>
      </c>
      <c r="P56" s="126">
        <v>16</v>
      </c>
      <c r="Q56" s="126">
        <f t="shared" si="43"/>
        <v>70</v>
      </c>
      <c r="R56" s="144">
        <f t="shared" si="44"/>
        <v>2</v>
      </c>
      <c r="S56" s="253"/>
      <c r="T56" s="126">
        <v>10</v>
      </c>
      <c r="U56" s="126">
        <v>42</v>
      </c>
      <c r="V56" s="126">
        <f t="shared" si="45"/>
        <v>52</v>
      </c>
      <c r="W56" s="144">
        <f t="shared" si="46"/>
        <v>3</v>
      </c>
      <c r="X56" s="253"/>
      <c r="Y56" s="126">
        <v>13</v>
      </c>
      <c r="Z56" s="126">
        <v>45</v>
      </c>
      <c r="AA56" s="126">
        <f t="shared" si="47"/>
        <v>58</v>
      </c>
      <c r="AB56" s="144">
        <f t="shared" si="48"/>
        <v>3</v>
      </c>
      <c r="AC56" s="253"/>
      <c r="AD56" s="126">
        <v>15</v>
      </c>
      <c r="AE56" s="126">
        <v>38</v>
      </c>
      <c r="AF56" s="126">
        <f t="shared" si="49"/>
        <v>53</v>
      </c>
      <c r="AG56" s="144">
        <f t="shared" si="50"/>
        <v>3</v>
      </c>
      <c r="AH56" s="253"/>
      <c r="AI56" s="126">
        <v>17</v>
      </c>
      <c r="AJ56" s="126">
        <v>38</v>
      </c>
      <c r="AK56" s="126">
        <f t="shared" si="51"/>
        <v>55</v>
      </c>
      <c r="AL56" s="144">
        <f t="shared" si="52"/>
        <v>3</v>
      </c>
      <c r="AM56" s="253"/>
      <c r="AN56" s="129">
        <v>0</v>
      </c>
      <c r="AO56" s="126">
        <v>39</v>
      </c>
      <c r="AP56" s="126">
        <f t="shared" si="40"/>
        <v>39</v>
      </c>
      <c r="AQ56" s="144">
        <f t="shared" si="53"/>
        <v>4</v>
      </c>
      <c r="AR56" s="253"/>
      <c r="AS56" s="126">
        <v>46</v>
      </c>
      <c r="AT56" s="144">
        <f t="shared" si="54"/>
        <v>5</v>
      </c>
      <c r="AU56" s="253"/>
      <c r="AV56" s="145">
        <f t="shared" si="16"/>
        <v>22</v>
      </c>
      <c r="AW56" s="146">
        <f t="shared" si="55"/>
        <v>3.1428571428571428</v>
      </c>
      <c r="AX56" s="131">
        <f t="shared" si="18"/>
        <v>434</v>
      </c>
      <c r="AY56" s="38">
        <v>40</v>
      </c>
      <c r="AZ56" s="38">
        <v>56</v>
      </c>
      <c r="BA56" s="157" t="str">
        <f t="shared" si="0"/>
        <v>GOOD</v>
      </c>
      <c r="BB56" s="39">
        <f>'1st_Semester'!AX56</f>
        <v>406</v>
      </c>
      <c r="BC56" s="39">
        <f>'2nd_Semester'!AX56</f>
        <v>476</v>
      </c>
      <c r="BD56" s="37">
        <f t="shared" si="19"/>
        <v>434</v>
      </c>
      <c r="BE56" s="39">
        <f t="shared" si="20"/>
        <v>438.66666666666669</v>
      </c>
      <c r="BF56" s="39"/>
    </row>
    <row r="57" spans="1:58" s="158" customFormat="1" ht="12.75">
      <c r="A57" s="156">
        <v>50</v>
      </c>
      <c r="B57" s="149">
        <v>68</v>
      </c>
      <c r="C57" s="150" t="s">
        <v>214</v>
      </c>
      <c r="D57" s="150" t="s">
        <v>215</v>
      </c>
      <c r="E57" s="150" t="s">
        <v>216</v>
      </c>
      <c r="F57" s="126">
        <v>20</v>
      </c>
      <c r="G57" s="126">
        <v>63</v>
      </c>
      <c r="H57" s="126">
        <v>10</v>
      </c>
      <c r="I57" s="126">
        <v>33</v>
      </c>
      <c r="J57" s="126">
        <f t="shared" si="41"/>
        <v>126</v>
      </c>
      <c r="K57" s="144">
        <f t="shared" si="42"/>
        <v>5</v>
      </c>
      <c r="L57" s="253"/>
      <c r="M57" s="126">
        <v>20</v>
      </c>
      <c r="N57" s="126">
        <v>48</v>
      </c>
      <c r="O57" s="126">
        <v>10</v>
      </c>
      <c r="P57" s="126">
        <v>21</v>
      </c>
      <c r="Q57" s="126">
        <f t="shared" si="43"/>
        <v>99</v>
      </c>
      <c r="R57" s="144">
        <f t="shared" si="44"/>
        <v>3.5</v>
      </c>
      <c r="S57" s="253"/>
      <c r="T57" s="126">
        <v>17</v>
      </c>
      <c r="U57" s="126">
        <v>46</v>
      </c>
      <c r="V57" s="126">
        <f t="shared" si="45"/>
        <v>63</v>
      </c>
      <c r="W57" s="144">
        <f t="shared" si="46"/>
        <v>3.5</v>
      </c>
      <c r="X57" s="253"/>
      <c r="Y57" s="126">
        <v>18</v>
      </c>
      <c r="Z57" s="126">
        <v>50</v>
      </c>
      <c r="AA57" s="126">
        <f t="shared" si="47"/>
        <v>68</v>
      </c>
      <c r="AB57" s="144">
        <f t="shared" si="48"/>
        <v>3.5</v>
      </c>
      <c r="AC57" s="253"/>
      <c r="AD57" s="126">
        <v>16</v>
      </c>
      <c r="AE57" s="126">
        <v>58</v>
      </c>
      <c r="AF57" s="126">
        <f t="shared" si="49"/>
        <v>74</v>
      </c>
      <c r="AG57" s="144">
        <f t="shared" si="50"/>
        <v>4</v>
      </c>
      <c r="AH57" s="253"/>
      <c r="AI57" s="126">
        <v>17</v>
      </c>
      <c r="AJ57" s="126">
        <v>52</v>
      </c>
      <c r="AK57" s="126">
        <f t="shared" si="51"/>
        <v>69</v>
      </c>
      <c r="AL57" s="144">
        <f t="shared" si="52"/>
        <v>3.5</v>
      </c>
      <c r="AM57" s="253"/>
      <c r="AN57" s="129">
        <v>0</v>
      </c>
      <c r="AO57" s="126">
        <v>38</v>
      </c>
      <c r="AP57" s="126">
        <f t="shared" si="40"/>
        <v>38</v>
      </c>
      <c r="AQ57" s="144">
        <f t="shared" si="53"/>
        <v>4</v>
      </c>
      <c r="AR57" s="253"/>
      <c r="AS57" s="126">
        <v>40</v>
      </c>
      <c r="AT57" s="144">
        <f t="shared" si="54"/>
        <v>5</v>
      </c>
      <c r="AU57" s="253"/>
      <c r="AV57" s="145">
        <f t="shared" si="16"/>
        <v>27</v>
      </c>
      <c r="AW57" s="146">
        <f t="shared" si="55"/>
        <v>3.8571428571428572</v>
      </c>
      <c r="AX57" s="131">
        <f t="shared" si="18"/>
        <v>537</v>
      </c>
      <c r="AY57" s="38">
        <v>36</v>
      </c>
      <c r="AZ57" s="38">
        <v>56</v>
      </c>
      <c r="BA57" s="157" t="str">
        <f t="shared" si="0"/>
        <v>GOOD</v>
      </c>
      <c r="BB57" s="39">
        <f>'1st_Semester'!AX57</f>
        <v>372</v>
      </c>
      <c r="BC57" s="39">
        <f>'2nd_Semester'!AX57</f>
        <v>469</v>
      </c>
      <c r="BD57" s="37">
        <f t="shared" si="19"/>
        <v>537</v>
      </c>
      <c r="BE57" s="39">
        <f t="shared" si="20"/>
        <v>459.33333333333331</v>
      </c>
      <c r="BF57" s="39"/>
    </row>
    <row r="58" spans="1:58" s="158" customFormat="1" ht="12.75">
      <c r="A58" s="156">
        <v>51</v>
      </c>
      <c r="B58" s="149">
        <v>70</v>
      </c>
      <c r="C58" s="150" t="s">
        <v>217</v>
      </c>
      <c r="D58" s="150" t="s">
        <v>218</v>
      </c>
      <c r="E58" s="150" t="s">
        <v>219</v>
      </c>
      <c r="F58" s="126">
        <v>0</v>
      </c>
      <c r="G58" s="126">
        <v>48</v>
      </c>
      <c r="H58" s="126">
        <v>5</v>
      </c>
      <c r="I58" s="126">
        <v>35</v>
      </c>
      <c r="J58" s="126">
        <f t="shared" si="41"/>
        <v>88</v>
      </c>
      <c r="K58" s="144">
        <f t="shared" si="42"/>
        <v>3</v>
      </c>
      <c r="L58" s="253"/>
      <c r="M58" s="126">
        <v>0</v>
      </c>
      <c r="N58" s="126">
        <v>0</v>
      </c>
      <c r="O58" s="126">
        <v>5</v>
      </c>
      <c r="P58" s="126">
        <v>0</v>
      </c>
      <c r="Q58" s="126">
        <f t="shared" si="43"/>
        <v>5</v>
      </c>
      <c r="R58" s="144" t="str">
        <f t="shared" si="44"/>
        <v>F</v>
      </c>
      <c r="S58" s="253"/>
      <c r="T58" s="126">
        <v>5</v>
      </c>
      <c r="U58" s="126">
        <v>0</v>
      </c>
      <c r="V58" s="126">
        <f t="shared" si="45"/>
        <v>5</v>
      </c>
      <c r="W58" s="144" t="str">
        <f t="shared" si="46"/>
        <v>F</v>
      </c>
      <c r="X58" s="253"/>
      <c r="Y58" s="126">
        <v>0</v>
      </c>
      <c r="Z58" s="126">
        <v>43</v>
      </c>
      <c r="AA58" s="126">
        <f t="shared" si="47"/>
        <v>43</v>
      </c>
      <c r="AB58" s="144">
        <f t="shared" si="48"/>
        <v>2</v>
      </c>
      <c r="AC58" s="253"/>
      <c r="AD58" s="126">
        <v>0</v>
      </c>
      <c r="AE58" s="126">
        <v>0</v>
      </c>
      <c r="AF58" s="126">
        <f t="shared" si="49"/>
        <v>0</v>
      </c>
      <c r="AG58" s="144" t="str">
        <f t="shared" si="50"/>
        <v>F</v>
      </c>
      <c r="AH58" s="253"/>
      <c r="AI58" s="126">
        <v>0</v>
      </c>
      <c r="AJ58" s="126">
        <v>0</v>
      </c>
      <c r="AK58" s="126">
        <f t="shared" si="51"/>
        <v>0</v>
      </c>
      <c r="AL58" s="144" t="str">
        <f t="shared" si="52"/>
        <v>F</v>
      </c>
      <c r="AM58" s="253"/>
      <c r="AN58" s="129">
        <v>0</v>
      </c>
      <c r="AO58" s="126">
        <v>0</v>
      </c>
      <c r="AP58" s="126">
        <f t="shared" si="40"/>
        <v>0</v>
      </c>
      <c r="AQ58" s="144" t="str">
        <f t="shared" si="53"/>
        <v>F</v>
      </c>
      <c r="AR58" s="253"/>
      <c r="AS58" s="126">
        <v>0</v>
      </c>
      <c r="AT58" s="144" t="str">
        <f t="shared" si="54"/>
        <v>F</v>
      </c>
      <c r="AU58" s="253"/>
      <c r="AV58" s="145" t="str">
        <f t="shared" si="16"/>
        <v>F</v>
      </c>
      <c r="AW58" s="146" t="str">
        <f t="shared" si="55"/>
        <v>F</v>
      </c>
      <c r="AX58" s="131">
        <f t="shared" si="18"/>
        <v>141</v>
      </c>
      <c r="AY58" s="38">
        <v>0</v>
      </c>
      <c r="AZ58" s="38">
        <v>56</v>
      </c>
      <c r="BA58" s="157" t="str">
        <f t="shared" si="0"/>
        <v>NEED TO PROGRESS</v>
      </c>
      <c r="BB58" s="39">
        <f>'1st_Semester'!AX58</f>
        <v>148</v>
      </c>
      <c r="BC58" s="39">
        <f>'2nd_Semester'!AX58</f>
        <v>434</v>
      </c>
      <c r="BD58" s="37">
        <f t="shared" si="19"/>
        <v>141</v>
      </c>
      <c r="BE58" s="39">
        <f t="shared" si="20"/>
        <v>241</v>
      </c>
      <c r="BF58" s="39"/>
    </row>
    <row r="59" spans="1:58" s="158" customFormat="1" ht="12.75">
      <c r="A59" s="156">
        <v>52</v>
      </c>
      <c r="B59" s="149">
        <v>71</v>
      </c>
      <c r="C59" s="150" t="s">
        <v>220</v>
      </c>
      <c r="D59" s="150" t="s">
        <v>221</v>
      </c>
      <c r="E59" s="150" t="s">
        <v>222</v>
      </c>
      <c r="F59" s="126">
        <v>20</v>
      </c>
      <c r="G59" s="126">
        <v>50</v>
      </c>
      <c r="H59" s="126">
        <v>10</v>
      </c>
      <c r="I59" s="126">
        <v>35</v>
      </c>
      <c r="J59" s="126">
        <f t="shared" si="41"/>
        <v>115</v>
      </c>
      <c r="K59" s="144">
        <f t="shared" si="42"/>
        <v>4</v>
      </c>
      <c r="L59" s="253"/>
      <c r="M59" s="126">
        <v>19</v>
      </c>
      <c r="N59" s="126">
        <v>46</v>
      </c>
      <c r="O59" s="126">
        <v>10</v>
      </c>
      <c r="P59" s="126">
        <v>17</v>
      </c>
      <c r="Q59" s="126">
        <f t="shared" si="43"/>
        <v>92</v>
      </c>
      <c r="R59" s="144">
        <f t="shared" si="44"/>
        <v>3.5</v>
      </c>
      <c r="S59" s="253"/>
      <c r="T59" s="126">
        <v>15</v>
      </c>
      <c r="U59" s="126">
        <v>30</v>
      </c>
      <c r="V59" s="126">
        <f t="shared" si="45"/>
        <v>45</v>
      </c>
      <c r="W59" s="144">
        <f t="shared" si="46"/>
        <v>2</v>
      </c>
      <c r="X59" s="253"/>
      <c r="Y59" s="126">
        <v>18</v>
      </c>
      <c r="Z59" s="126">
        <v>60</v>
      </c>
      <c r="AA59" s="126">
        <f t="shared" si="47"/>
        <v>78</v>
      </c>
      <c r="AB59" s="144">
        <f t="shared" si="48"/>
        <v>4</v>
      </c>
      <c r="AC59" s="253"/>
      <c r="AD59" s="126">
        <v>17</v>
      </c>
      <c r="AE59" s="126">
        <v>62</v>
      </c>
      <c r="AF59" s="126">
        <f t="shared" si="49"/>
        <v>79</v>
      </c>
      <c r="AG59" s="144">
        <f t="shared" si="50"/>
        <v>4</v>
      </c>
      <c r="AH59" s="253"/>
      <c r="AI59" s="126">
        <v>12</v>
      </c>
      <c r="AJ59" s="126">
        <v>40</v>
      </c>
      <c r="AK59" s="126">
        <f t="shared" si="51"/>
        <v>52</v>
      </c>
      <c r="AL59" s="144">
        <f t="shared" si="52"/>
        <v>3</v>
      </c>
      <c r="AM59" s="253"/>
      <c r="AN59" s="129">
        <v>0</v>
      </c>
      <c r="AO59" s="126">
        <v>43</v>
      </c>
      <c r="AP59" s="126">
        <f t="shared" si="40"/>
        <v>43</v>
      </c>
      <c r="AQ59" s="144">
        <f t="shared" si="53"/>
        <v>5</v>
      </c>
      <c r="AR59" s="253"/>
      <c r="AS59" s="126">
        <v>46</v>
      </c>
      <c r="AT59" s="144">
        <f t="shared" si="54"/>
        <v>5</v>
      </c>
      <c r="AU59" s="253"/>
      <c r="AV59" s="145">
        <f t="shared" si="16"/>
        <v>25.5</v>
      </c>
      <c r="AW59" s="146">
        <f t="shared" si="55"/>
        <v>3.6428571428571428</v>
      </c>
      <c r="AX59" s="131">
        <f t="shared" si="18"/>
        <v>504</v>
      </c>
      <c r="AY59" s="38">
        <v>44</v>
      </c>
      <c r="AZ59" s="38">
        <v>56</v>
      </c>
      <c r="BA59" s="157" t="str">
        <f t="shared" si="0"/>
        <v>GOOD</v>
      </c>
      <c r="BB59" s="39">
        <f>'1st_Semester'!AX59</f>
        <v>231</v>
      </c>
      <c r="BC59" s="39">
        <f>'2nd_Semester'!AX59</f>
        <v>412</v>
      </c>
      <c r="BD59" s="37">
        <f t="shared" si="19"/>
        <v>504</v>
      </c>
      <c r="BE59" s="39">
        <f t="shared" si="20"/>
        <v>382.33333333333331</v>
      </c>
      <c r="BF59" s="39"/>
    </row>
    <row r="60" spans="1:58" s="158" customFormat="1" ht="12.75">
      <c r="A60" s="156">
        <v>53</v>
      </c>
      <c r="B60" s="149">
        <v>72</v>
      </c>
      <c r="C60" s="150" t="s">
        <v>223</v>
      </c>
      <c r="D60" s="150" t="s">
        <v>224</v>
      </c>
      <c r="E60" s="150" t="s">
        <v>225</v>
      </c>
      <c r="F60" s="126">
        <v>20</v>
      </c>
      <c r="G60" s="126">
        <v>75</v>
      </c>
      <c r="H60" s="126">
        <v>10</v>
      </c>
      <c r="I60" s="126">
        <v>38</v>
      </c>
      <c r="J60" s="126">
        <f t="shared" si="41"/>
        <v>143</v>
      </c>
      <c r="K60" s="144">
        <f t="shared" si="42"/>
        <v>5</v>
      </c>
      <c r="L60" s="253"/>
      <c r="M60" s="126">
        <v>19</v>
      </c>
      <c r="N60" s="126">
        <v>78</v>
      </c>
      <c r="O60" s="126">
        <v>10</v>
      </c>
      <c r="P60" s="126">
        <v>34</v>
      </c>
      <c r="Q60" s="126">
        <f t="shared" si="43"/>
        <v>141</v>
      </c>
      <c r="R60" s="144">
        <f t="shared" si="44"/>
        <v>5</v>
      </c>
      <c r="S60" s="253"/>
      <c r="T60" s="126">
        <v>15</v>
      </c>
      <c r="U60" s="126">
        <v>58</v>
      </c>
      <c r="V60" s="126">
        <f t="shared" si="45"/>
        <v>73</v>
      </c>
      <c r="W60" s="144">
        <f t="shared" si="46"/>
        <v>4</v>
      </c>
      <c r="X60" s="253"/>
      <c r="Y60" s="126">
        <v>19</v>
      </c>
      <c r="Z60" s="126">
        <v>74</v>
      </c>
      <c r="AA60" s="126">
        <f t="shared" si="47"/>
        <v>93</v>
      </c>
      <c r="AB60" s="144">
        <f t="shared" si="48"/>
        <v>5</v>
      </c>
      <c r="AC60" s="253"/>
      <c r="AD60" s="126">
        <v>20</v>
      </c>
      <c r="AE60" s="126">
        <v>77</v>
      </c>
      <c r="AF60" s="126">
        <f t="shared" si="49"/>
        <v>97</v>
      </c>
      <c r="AG60" s="144">
        <f t="shared" si="50"/>
        <v>5</v>
      </c>
      <c r="AH60" s="253"/>
      <c r="AI60" s="126">
        <v>19</v>
      </c>
      <c r="AJ60" s="126">
        <v>78</v>
      </c>
      <c r="AK60" s="126">
        <f t="shared" si="51"/>
        <v>97</v>
      </c>
      <c r="AL60" s="144">
        <f t="shared" si="52"/>
        <v>5</v>
      </c>
      <c r="AM60" s="253"/>
      <c r="AN60" s="129">
        <v>0</v>
      </c>
      <c r="AO60" s="126">
        <v>49</v>
      </c>
      <c r="AP60" s="126">
        <f t="shared" si="40"/>
        <v>49</v>
      </c>
      <c r="AQ60" s="144">
        <f t="shared" si="53"/>
        <v>5</v>
      </c>
      <c r="AR60" s="253"/>
      <c r="AS60" s="126">
        <v>49</v>
      </c>
      <c r="AT60" s="144">
        <f t="shared" si="54"/>
        <v>5</v>
      </c>
      <c r="AU60" s="253"/>
      <c r="AV60" s="145">
        <f t="shared" si="16"/>
        <v>34</v>
      </c>
      <c r="AW60" s="146">
        <f t="shared" si="55"/>
        <v>4.8571428571428568</v>
      </c>
      <c r="AX60" s="131">
        <f t="shared" si="18"/>
        <v>693</v>
      </c>
      <c r="AY60" s="38">
        <v>46</v>
      </c>
      <c r="AZ60" s="38">
        <v>56</v>
      </c>
      <c r="BA60" s="157" t="str">
        <f t="shared" si="0"/>
        <v>BETTER</v>
      </c>
      <c r="BB60" s="39">
        <f>'1st_Semester'!AX60</f>
        <v>0</v>
      </c>
      <c r="BC60" s="39">
        <f>'2nd_Semester'!AX60</f>
        <v>658</v>
      </c>
      <c r="BD60" s="37">
        <f t="shared" si="19"/>
        <v>693</v>
      </c>
      <c r="BE60" s="39">
        <f t="shared" si="20"/>
        <v>450.33333333333331</v>
      </c>
      <c r="BF60" s="39"/>
    </row>
    <row r="61" spans="1:58" s="158" customFormat="1" ht="12.75">
      <c r="A61" s="156">
        <v>54</v>
      </c>
      <c r="B61" s="149">
        <v>73</v>
      </c>
      <c r="C61" s="150" t="s">
        <v>226</v>
      </c>
      <c r="D61" s="150" t="s">
        <v>227</v>
      </c>
      <c r="E61" s="150" t="s">
        <v>228</v>
      </c>
      <c r="F61" s="126">
        <v>20</v>
      </c>
      <c r="G61" s="126">
        <v>52</v>
      </c>
      <c r="H61" s="126">
        <v>10</v>
      </c>
      <c r="I61" s="126">
        <v>32</v>
      </c>
      <c r="J61" s="126">
        <f t="shared" si="41"/>
        <v>114</v>
      </c>
      <c r="K61" s="144">
        <f t="shared" si="42"/>
        <v>4</v>
      </c>
      <c r="L61" s="253"/>
      <c r="M61" s="126">
        <v>16</v>
      </c>
      <c r="N61" s="126">
        <v>39</v>
      </c>
      <c r="O61" s="126">
        <v>10</v>
      </c>
      <c r="P61" s="126">
        <v>22</v>
      </c>
      <c r="Q61" s="126">
        <f t="shared" si="43"/>
        <v>87</v>
      </c>
      <c r="R61" s="144">
        <f t="shared" si="44"/>
        <v>3</v>
      </c>
      <c r="S61" s="253"/>
      <c r="T61" s="126">
        <v>11</v>
      </c>
      <c r="U61" s="126">
        <v>30</v>
      </c>
      <c r="V61" s="126">
        <f t="shared" si="45"/>
        <v>41</v>
      </c>
      <c r="W61" s="144">
        <f t="shared" si="46"/>
        <v>2</v>
      </c>
      <c r="X61" s="253"/>
      <c r="Y61" s="126">
        <v>12</v>
      </c>
      <c r="Z61" s="126">
        <v>37</v>
      </c>
      <c r="AA61" s="126">
        <f t="shared" si="47"/>
        <v>49</v>
      </c>
      <c r="AB61" s="144">
        <f t="shared" si="48"/>
        <v>2</v>
      </c>
      <c r="AC61" s="253"/>
      <c r="AD61" s="126">
        <v>20</v>
      </c>
      <c r="AE61" s="126">
        <v>56</v>
      </c>
      <c r="AF61" s="126">
        <f t="shared" si="49"/>
        <v>76</v>
      </c>
      <c r="AG61" s="144">
        <f t="shared" si="50"/>
        <v>4</v>
      </c>
      <c r="AH61" s="253"/>
      <c r="AI61" s="126">
        <v>11</v>
      </c>
      <c r="AJ61" s="126">
        <v>30</v>
      </c>
      <c r="AK61" s="126">
        <f t="shared" si="51"/>
        <v>41</v>
      </c>
      <c r="AL61" s="144">
        <f t="shared" si="52"/>
        <v>2</v>
      </c>
      <c r="AM61" s="253"/>
      <c r="AN61" s="129">
        <v>0</v>
      </c>
      <c r="AO61" s="126">
        <v>39</v>
      </c>
      <c r="AP61" s="126">
        <f t="shared" si="40"/>
        <v>39</v>
      </c>
      <c r="AQ61" s="144">
        <f t="shared" si="53"/>
        <v>4</v>
      </c>
      <c r="AR61" s="253"/>
      <c r="AS61" s="126">
        <v>48</v>
      </c>
      <c r="AT61" s="144">
        <f t="shared" si="54"/>
        <v>5</v>
      </c>
      <c r="AU61" s="253"/>
      <c r="AV61" s="145">
        <f t="shared" si="16"/>
        <v>21</v>
      </c>
      <c r="AW61" s="146">
        <f t="shared" si="55"/>
        <v>3</v>
      </c>
      <c r="AX61" s="131">
        <f t="shared" si="18"/>
        <v>447</v>
      </c>
      <c r="AY61" s="38">
        <v>47</v>
      </c>
      <c r="AZ61" s="38">
        <v>56</v>
      </c>
      <c r="BA61" s="157" t="str">
        <f t="shared" si="0"/>
        <v>GOOD</v>
      </c>
      <c r="BB61" s="39">
        <f>'1st_Semester'!AX61</f>
        <v>0</v>
      </c>
      <c r="BC61" s="39">
        <f>'2nd_Semester'!AX61</f>
        <v>400</v>
      </c>
      <c r="BD61" s="37">
        <f t="shared" si="19"/>
        <v>447</v>
      </c>
      <c r="BE61" s="39">
        <f t="shared" si="20"/>
        <v>282.33333333333331</v>
      </c>
      <c r="BF61" s="39"/>
    </row>
    <row r="62" spans="1:58" s="158" customFormat="1" ht="12.75">
      <c r="A62" s="156">
        <v>55</v>
      </c>
      <c r="B62" s="149">
        <v>75</v>
      </c>
      <c r="C62" s="150" t="s">
        <v>229</v>
      </c>
      <c r="D62" s="150" t="s">
        <v>230</v>
      </c>
      <c r="E62" s="150" t="s">
        <v>231</v>
      </c>
      <c r="F62" s="126">
        <v>0</v>
      </c>
      <c r="G62" s="126">
        <v>0</v>
      </c>
      <c r="H62" s="126">
        <v>0</v>
      </c>
      <c r="I62" s="126"/>
      <c r="J62" s="126">
        <f t="shared" si="41"/>
        <v>0</v>
      </c>
      <c r="K62" s="144" t="str">
        <f t="shared" si="42"/>
        <v>F</v>
      </c>
      <c r="L62" s="253"/>
      <c r="M62" s="126">
        <v>0</v>
      </c>
      <c r="N62" s="126">
        <v>0</v>
      </c>
      <c r="O62" s="126">
        <v>0</v>
      </c>
      <c r="P62" s="126">
        <v>0</v>
      </c>
      <c r="Q62" s="126">
        <f t="shared" si="43"/>
        <v>0</v>
      </c>
      <c r="R62" s="144" t="str">
        <f t="shared" si="44"/>
        <v>F</v>
      </c>
      <c r="S62" s="253"/>
      <c r="T62" s="126">
        <v>0</v>
      </c>
      <c r="U62" s="126">
        <v>0</v>
      </c>
      <c r="V62" s="126">
        <f t="shared" si="45"/>
        <v>0</v>
      </c>
      <c r="W62" s="144" t="str">
        <f t="shared" si="46"/>
        <v>F</v>
      </c>
      <c r="X62" s="253"/>
      <c r="Y62" s="126">
        <v>0</v>
      </c>
      <c r="Z62" s="126">
        <v>0</v>
      </c>
      <c r="AA62" s="126">
        <f t="shared" si="47"/>
        <v>0</v>
      </c>
      <c r="AB62" s="144" t="str">
        <f t="shared" si="48"/>
        <v>F</v>
      </c>
      <c r="AC62" s="253"/>
      <c r="AD62" s="126">
        <v>0</v>
      </c>
      <c r="AE62" s="126">
        <v>0</v>
      </c>
      <c r="AF62" s="126">
        <f t="shared" si="49"/>
        <v>0</v>
      </c>
      <c r="AG62" s="144" t="str">
        <f t="shared" si="50"/>
        <v>F</v>
      </c>
      <c r="AH62" s="253"/>
      <c r="AI62" s="126">
        <v>0</v>
      </c>
      <c r="AJ62" s="126">
        <v>0</v>
      </c>
      <c r="AK62" s="126">
        <f t="shared" si="51"/>
        <v>0</v>
      </c>
      <c r="AL62" s="144" t="str">
        <f t="shared" si="52"/>
        <v>F</v>
      </c>
      <c r="AM62" s="253"/>
      <c r="AN62" s="129">
        <v>0</v>
      </c>
      <c r="AO62" s="126">
        <v>0</v>
      </c>
      <c r="AP62" s="126">
        <f t="shared" si="40"/>
        <v>0</v>
      </c>
      <c r="AQ62" s="144" t="str">
        <f t="shared" si="53"/>
        <v>F</v>
      </c>
      <c r="AR62" s="253"/>
      <c r="AS62" s="126">
        <v>0</v>
      </c>
      <c r="AT62" s="144" t="str">
        <f t="shared" si="54"/>
        <v>F</v>
      </c>
      <c r="AU62" s="253"/>
      <c r="AV62" s="145" t="str">
        <f t="shared" si="16"/>
        <v>F</v>
      </c>
      <c r="AW62" s="146" t="str">
        <f t="shared" si="55"/>
        <v>F</v>
      </c>
      <c r="AX62" s="131">
        <f t="shared" si="18"/>
        <v>0</v>
      </c>
      <c r="AY62" s="38">
        <v>0</v>
      </c>
      <c r="AZ62" s="38">
        <v>56</v>
      </c>
      <c r="BA62" s="157" t="str">
        <f t="shared" si="0"/>
        <v>NEED TO PROGRESS</v>
      </c>
      <c r="BB62" s="39">
        <f>'1st_Semester'!AX62</f>
        <v>0</v>
      </c>
      <c r="BC62" s="39">
        <f>'2nd_Semester'!AX62</f>
        <v>81</v>
      </c>
      <c r="BD62" s="37">
        <f t="shared" si="19"/>
        <v>0</v>
      </c>
      <c r="BE62" s="39">
        <f t="shared" si="20"/>
        <v>27</v>
      </c>
      <c r="BF62" s="39"/>
    </row>
    <row r="63" spans="1:58" s="158" customFormat="1" ht="12.75">
      <c r="A63" s="156">
        <v>56</v>
      </c>
      <c r="B63" s="149">
        <v>76</v>
      </c>
      <c r="C63" s="150" t="s">
        <v>232</v>
      </c>
      <c r="D63" s="150"/>
      <c r="E63" s="150"/>
      <c r="F63" s="126">
        <v>19</v>
      </c>
      <c r="G63" s="126">
        <v>34</v>
      </c>
      <c r="H63" s="126">
        <v>9</v>
      </c>
      <c r="I63" s="126">
        <v>34</v>
      </c>
      <c r="J63" s="126">
        <f t="shared" si="41"/>
        <v>96</v>
      </c>
      <c r="K63" s="144">
        <f t="shared" si="42"/>
        <v>3.5</v>
      </c>
      <c r="L63" s="253"/>
      <c r="M63" s="126">
        <v>19</v>
      </c>
      <c r="N63" s="126">
        <v>49</v>
      </c>
      <c r="O63" s="126">
        <v>10</v>
      </c>
      <c r="P63" s="126">
        <v>30</v>
      </c>
      <c r="Q63" s="126">
        <f t="shared" si="43"/>
        <v>108</v>
      </c>
      <c r="R63" s="144">
        <f t="shared" si="44"/>
        <v>4</v>
      </c>
      <c r="S63" s="253"/>
      <c r="T63" s="126">
        <v>11</v>
      </c>
      <c r="U63" s="126">
        <v>30</v>
      </c>
      <c r="V63" s="126">
        <f t="shared" si="45"/>
        <v>41</v>
      </c>
      <c r="W63" s="144">
        <f t="shared" si="46"/>
        <v>2</v>
      </c>
      <c r="X63" s="253"/>
      <c r="Y63" s="126">
        <v>10</v>
      </c>
      <c r="Z63" s="126">
        <v>32</v>
      </c>
      <c r="AA63" s="126">
        <f t="shared" si="47"/>
        <v>42</v>
      </c>
      <c r="AB63" s="144">
        <f t="shared" si="48"/>
        <v>2</v>
      </c>
      <c r="AC63" s="253"/>
      <c r="AD63" s="126">
        <v>16</v>
      </c>
      <c r="AE63" s="126">
        <v>50</v>
      </c>
      <c r="AF63" s="126">
        <f t="shared" si="49"/>
        <v>66</v>
      </c>
      <c r="AG63" s="144">
        <f t="shared" si="50"/>
        <v>3.5</v>
      </c>
      <c r="AH63" s="253"/>
      <c r="AI63" s="126">
        <v>17</v>
      </c>
      <c r="AJ63" s="126">
        <v>24</v>
      </c>
      <c r="AK63" s="126">
        <f t="shared" si="51"/>
        <v>41</v>
      </c>
      <c r="AL63" s="144">
        <f t="shared" si="52"/>
        <v>2</v>
      </c>
      <c r="AM63" s="253"/>
      <c r="AN63" s="129">
        <v>0</v>
      </c>
      <c r="AO63" s="126">
        <v>28</v>
      </c>
      <c r="AP63" s="126">
        <f t="shared" si="40"/>
        <v>28</v>
      </c>
      <c r="AQ63" s="144">
        <f t="shared" si="53"/>
        <v>3</v>
      </c>
      <c r="AR63" s="253"/>
      <c r="AS63" s="126">
        <v>37</v>
      </c>
      <c r="AT63" s="144">
        <f t="shared" si="54"/>
        <v>4</v>
      </c>
      <c r="AU63" s="253"/>
      <c r="AV63" s="145">
        <f t="shared" si="16"/>
        <v>20</v>
      </c>
      <c r="AW63" s="146">
        <f t="shared" si="55"/>
        <v>2.8571428571428572</v>
      </c>
      <c r="AX63" s="131">
        <f t="shared" si="18"/>
        <v>422</v>
      </c>
      <c r="AY63" s="38">
        <v>48</v>
      </c>
      <c r="AZ63" s="38">
        <v>56</v>
      </c>
      <c r="BA63" s="157" t="str">
        <f t="shared" si="0"/>
        <v>GOOD</v>
      </c>
      <c r="BB63" s="39">
        <f>'1st_Semester'!AX63</f>
        <v>0</v>
      </c>
      <c r="BC63" s="39">
        <f>'2nd_Semester'!AX63</f>
        <v>343</v>
      </c>
      <c r="BD63" s="37">
        <f t="shared" si="19"/>
        <v>422</v>
      </c>
      <c r="BE63" s="39">
        <f t="shared" si="20"/>
        <v>255</v>
      </c>
      <c r="BF63" s="39"/>
    </row>
    <row r="64" spans="1:58" s="158" customFormat="1" ht="12.75">
      <c r="A64" s="156">
        <v>57</v>
      </c>
      <c r="B64" s="149">
        <v>77</v>
      </c>
      <c r="C64" s="150" t="s">
        <v>233</v>
      </c>
      <c r="D64" s="150"/>
      <c r="E64" s="150"/>
      <c r="F64" s="126">
        <v>14</v>
      </c>
      <c r="G64" s="126">
        <v>38</v>
      </c>
      <c r="H64" s="126">
        <v>10</v>
      </c>
      <c r="I64" s="126">
        <v>20</v>
      </c>
      <c r="J64" s="126">
        <f t="shared" si="41"/>
        <v>82</v>
      </c>
      <c r="K64" s="144">
        <f t="shared" si="42"/>
        <v>3</v>
      </c>
      <c r="L64" s="253"/>
      <c r="M64" s="126">
        <v>13</v>
      </c>
      <c r="N64" s="126">
        <v>0</v>
      </c>
      <c r="O64" s="126">
        <v>8</v>
      </c>
      <c r="P64" s="126">
        <v>0</v>
      </c>
      <c r="Q64" s="126">
        <f t="shared" si="43"/>
        <v>21</v>
      </c>
      <c r="R64" s="144" t="str">
        <f t="shared" si="44"/>
        <v>F</v>
      </c>
      <c r="S64" s="253"/>
      <c r="T64" s="126">
        <v>8</v>
      </c>
      <c r="U64" s="126">
        <v>10</v>
      </c>
      <c r="V64" s="126">
        <f t="shared" si="45"/>
        <v>18</v>
      </c>
      <c r="W64" s="144" t="str">
        <f t="shared" si="46"/>
        <v>F</v>
      </c>
      <c r="X64" s="253"/>
      <c r="Y64" s="126">
        <v>12</v>
      </c>
      <c r="Z64" s="126">
        <v>32</v>
      </c>
      <c r="AA64" s="126">
        <f t="shared" si="47"/>
        <v>44</v>
      </c>
      <c r="AB64" s="144">
        <f t="shared" si="48"/>
        <v>2</v>
      </c>
      <c r="AC64" s="253"/>
      <c r="AD64" s="126">
        <v>17</v>
      </c>
      <c r="AE64" s="126">
        <v>32</v>
      </c>
      <c r="AF64" s="126">
        <f t="shared" si="49"/>
        <v>49</v>
      </c>
      <c r="AG64" s="144">
        <f t="shared" si="50"/>
        <v>2</v>
      </c>
      <c r="AH64" s="253"/>
      <c r="AI64" s="126">
        <v>16</v>
      </c>
      <c r="AJ64" s="126">
        <v>32</v>
      </c>
      <c r="AK64" s="126">
        <f t="shared" si="51"/>
        <v>48</v>
      </c>
      <c r="AL64" s="144">
        <f t="shared" si="52"/>
        <v>2</v>
      </c>
      <c r="AM64" s="253"/>
      <c r="AN64" s="129">
        <v>0</v>
      </c>
      <c r="AO64" s="126">
        <v>0</v>
      </c>
      <c r="AP64" s="126">
        <f t="shared" si="40"/>
        <v>0</v>
      </c>
      <c r="AQ64" s="144" t="str">
        <f t="shared" si="53"/>
        <v>F</v>
      </c>
      <c r="AR64" s="253"/>
      <c r="AS64" s="126">
        <v>0</v>
      </c>
      <c r="AT64" s="144" t="str">
        <f t="shared" si="54"/>
        <v>F</v>
      </c>
      <c r="AU64" s="253"/>
      <c r="AV64" s="145" t="str">
        <f t="shared" si="16"/>
        <v>F</v>
      </c>
      <c r="AW64" s="146" t="str">
        <f t="shared" si="55"/>
        <v>F</v>
      </c>
      <c r="AX64" s="131">
        <f t="shared" si="18"/>
        <v>262</v>
      </c>
      <c r="AY64" s="38">
        <v>0</v>
      </c>
      <c r="AZ64" s="38">
        <v>56</v>
      </c>
      <c r="BA64" s="157" t="str">
        <f t="shared" si="0"/>
        <v>NEED TO PROGRESS</v>
      </c>
      <c r="BB64" s="39">
        <f>'1st_Semester'!AX64</f>
        <v>0</v>
      </c>
      <c r="BC64" s="39">
        <f>'2nd_Semester'!AX64</f>
        <v>366</v>
      </c>
      <c r="BD64" s="37">
        <f t="shared" si="19"/>
        <v>262</v>
      </c>
      <c r="BE64" s="39">
        <f t="shared" si="20"/>
        <v>209.33333333333334</v>
      </c>
      <c r="BF64" s="39"/>
    </row>
    <row r="65" spans="1:58" s="158" customFormat="1" ht="12.75">
      <c r="A65" s="156">
        <v>58</v>
      </c>
      <c r="B65" s="149">
        <v>78</v>
      </c>
      <c r="C65" s="150" t="s">
        <v>234</v>
      </c>
      <c r="D65" s="150"/>
      <c r="E65" s="150"/>
      <c r="F65" s="126">
        <v>19</v>
      </c>
      <c r="G65" s="126">
        <v>53</v>
      </c>
      <c r="H65" s="126">
        <v>10</v>
      </c>
      <c r="I65" s="126">
        <v>29</v>
      </c>
      <c r="J65" s="126">
        <f t="shared" si="41"/>
        <v>111</v>
      </c>
      <c r="K65" s="144">
        <f t="shared" si="42"/>
        <v>4</v>
      </c>
      <c r="L65" s="253"/>
      <c r="M65" s="126">
        <v>20</v>
      </c>
      <c r="N65" s="126">
        <v>58</v>
      </c>
      <c r="O65" s="126">
        <v>10</v>
      </c>
      <c r="P65" s="126">
        <v>0</v>
      </c>
      <c r="Q65" s="126">
        <f t="shared" si="43"/>
        <v>88</v>
      </c>
      <c r="R65" s="144">
        <f t="shared" si="44"/>
        <v>3</v>
      </c>
      <c r="S65" s="253"/>
      <c r="T65" s="126">
        <v>17</v>
      </c>
      <c r="U65" s="126">
        <v>60</v>
      </c>
      <c r="V65" s="126">
        <f t="shared" si="45"/>
        <v>77</v>
      </c>
      <c r="W65" s="144">
        <f t="shared" si="46"/>
        <v>4</v>
      </c>
      <c r="X65" s="253"/>
      <c r="Y65" s="126">
        <v>16</v>
      </c>
      <c r="Z65" s="126">
        <v>35</v>
      </c>
      <c r="AA65" s="126">
        <f t="shared" si="47"/>
        <v>51</v>
      </c>
      <c r="AB65" s="144">
        <f t="shared" si="48"/>
        <v>3</v>
      </c>
      <c r="AC65" s="253"/>
      <c r="AD65" s="126">
        <v>19</v>
      </c>
      <c r="AE65" s="126">
        <v>62</v>
      </c>
      <c r="AF65" s="126">
        <f t="shared" si="49"/>
        <v>81</v>
      </c>
      <c r="AG65" s="144">
        <f t="shared" si="50"/>
        <v>5</v>
      </c>
      <c r="AH65" s="253"/>
      <c r="AI65" s="126">
        <v>18</v>
      </c>
      <c r="AJ65" s="126">
        <v>42</v>
      </c>
      <c r="AK65" s="126">
        <f t="shared" si="51"/>
        <v>60</v>
      </c>
      <c r="AL65" s="144">
        <f t="shared" si="52"/>
        <v>3.5</v>
      </c>
      <c r="AM65" s="253"/>
      <c r="AN65" s="129">
        <v>0</v>
      </c>
      <c r="AO65" s="126">
        <v>0</v>
      </c>
      <c r="AP65" s="126">
        <f t="shared" si="40"/>
        <v>0</v>
      </c>
      <c r="AQ65" s="144" t="str">
        <f t="shared" si="53"/>
        <v>F</v>
      </c>
      <c r="AR65" s="253"/>
      <c r="AS65" s="126">
        <v>0</v>
      </c>
      <c r="AT65" s="144" t="str">
        <f t="shared" si="54"/>
        <v>F</v>
      </c>
      <c r="AU65" s="253"/>
      <c r="AV65" s="145" t="str">
        <f t="shared" si="16"/>
        <v>F</v>
      </c>
      <c r="AW65" s="146" t="str">
        <f t="shared" si="55"/>
        <v>F</v>
      </c>
      <c r="AX65" s="131">
        <f t="shared" si="18"/>
        <v>468</v>
      </c>
      <c r="AY65" s="38">
        <v>0</v>
      </c>
      <c r="AZ65" s="38">
        <v>56</v>
      </c>
      <c r="BA65" s="157" t="str">
        <f t="shared" si="0"/>
        <v>NEED TO PROGRESS</v>
      </c>
      <c r="BB65" s="39">
        <f>'1st_Semester'!AX65</f>
        <v>0</v>
      </c>
      <c r="BC65" s="39">
        <f>'2nd_Semester'!AX65</f>
        <v>521</v>
      </c>
      <c r="BD65" s="37">
        <f t="shared" si="19"/>
        <v>468</v>
      </c>
      <c r="BE65" s="39">
        <f t="shared" si="20"/>
        <v>329.66666666666669</v>
      </c>
      <c r="BF65" s="39"/>
    </row>
    <row r="66" spans="1:58" s="158" customFormat="1" ht="12.75">
      <c r="A66" s="156">
        <v>59</v>
      </c>
      <c r="B66" s="149">
        <v>79</v>
      </c>
      <c r="C66" s="150" t="s">
        <v>235</v>
      </c>
      <c r="D66" s="150"/>
      <c r="E66" s="150"/>
      <c r="F66" s="126">
        <v>18</v>
      </c>
      <c r="G66" s="126">
        <v>32</v>
      </c>
      <c r="H66" s="126">
        <v>10</v>
      </c>
      <c r="I66" s="126">
        <v>16</v>
      </c>
      <c r="J66" s="126">
        <f t="shared" si="41"/>
        <v>76</v>
      </c>
      <c r="K66" s="144">
        <f t="shared" si="42"/>
        <v>3</v>
      </c>
      <c r="L66" s="253"/>
      <c r="M66" s="126">
        <v>16</v>
      </c>
      <c r="N66" s="126">
        <v>18</v>
      </c>
      <c r="O66" s="126">
        <v>8</v>
      </c>
      <c r="P66" s="126">
        <v>27</v>
      </c>
      <c r="Q66" s="126">
        <f t="shared" si="43"/>
        <v>69</v>
      </c>
      <c r="R66" s="144">
        <f t="shared" si="44"/>
        <v>2</v>
      </c>
      <c r="S66" s="253"/>
      <c r="T66" s="126">
        <v>13</v>
      </c>
      <c r="U66" s="126">
        <v>35</v>
      </c>
      <c r="V66" s="126">
        <f t="shared" si="45"/>
        <v>48</v>
      </c>
      <c r="W66" s="144">
        <f t="shared" si="46"/>
        <v>2</v>
      </c>
      <c r="X66" s="253"/>
      <c r="Y66" s="126">
        <v>10</v>
      </c>
      <c r="Z66" s="126">
        <v>32</v>
      </c>
      <c r="AA66" s="126">
        <f t="shared" si="47"/>
        <v>42</v>
      </c>
      <c r="AB66" s="144">
        <f t="shared" si="48"/>
        <v>2</v>
      </c>
      <c r="AC66" s="253"/>
      <c r="AD66" s="126">
        <v>14</v>
      </c>
      <c r="AE66" s="126">
        <v>43</v>
      </c>
      <c r="AF66" s="126">
        <f t="shared" si="49"/>
        <v>57</v>
      </c>
      <c r="AG66" s="144">
        <f t="shared" si="50"/>
        <v>3</v>
      </c>
      <c r="AH66" s="253"/>
      <c r="AI66" s="126">
        <v>10</v>
      </c>
      <c r="AJ66" s="126">
        <v>30</v>
      </c>
      <c r="AK66" s="126">
        <f t="shared" si="51"/>
        <v>40</v>
      </c>
      <c r="AL66" s="144">
        <f t="shared" si="52"/>
        <v>2</v>
      </c>
      <c r="AM66" s="253"/>
      <c r="AN66" s="129">
        <v>0</v>
      </c>
      <c r="AO66" s="126">
        <v>20</v>
      </c>
      <c r="AP66" s="126">
        <f t="shared" si="40"/>
        <v>20</v>
      </c>
      <c r="AQ66" s="144">
        <f t="shared" si="53"/>
        <v>2</v>
      </c>
      <c r="AR66" s="253"/>
      <c r="AS66" s="126">
        <v>45</v>
      </c>
      <c r="AT66" s="144">
        <f t="shared" si="54"/>
        <v>5</v>
      </c>
      <c r="AU66" s="253"/>
      <c r="AV66" s="145">
        <f t="shared" si="16"/>
        <v>16</v>
      </c>
      <c r="AW66" s="146">
        <f t="shared" si="55"/>
        <v>2.2857142857142856</v>
      </c>
      <c r="AX66" s="131">
        <f t="shared" si="18"/>
        <v>352</v>
      </c>
      <c r="AY66" s="38">
        <v>50</v>
      </c>
      <c r="AZ66" s="38">
        <v>56</v>
      </c>
      <c r="BA66" s="157" t="str">
        <f t="shared" si="0"/>
        <v>GOOD</v>
      </c>
      <c r="BB66" s="39">
        <f>'1st_Semester'!AX66</f>
        <v>0</v>
      </c>
      <c r="BC66" s="39">
        <f>'2nd_Semester'!AX66</f>
        <v>63</v>
      </c>
      <c r="BD66" s="37">
        <f t="shared" si="19"/>
        <v>352</v>
      </c>
      <c r="BE66" s="39">
        <f t="shared" si="20"/>
        <v>138.33333333333334</v>
      </c>
      <c r="BF66" s="39"/>
    </row>
    <row r="67" spans="1:58" s="158" customFormat="1" ht="12.75">
      <c r="A67" s="156">
        <v>60</v>
      </c>
      <c r="B67" s="149">
        <v>80</v>
      </c>
      <c r="C67" s="150" t="s">
        <v>236</v>
      </c>
      <c r="D67" s="49"/>
      <c r="E67" s="49"/>
      <c r="F67" s="126">
        <v>18</v>
      </c>
      <c r="G67" s="126">
        <v>32</v>
      </c>
      <c r="H67" s="126">
        <v>10</v>
      </c>
      <c r="I67" s="126">
        <v>16</v>
      </c>
      <c r="J67" s="126">
        <f t="shared" si="41"/>
        <v>76</v>
      </c>
      <c r="K67" s="144">
        <f t="shared" si="42"/>
        <v>3</v>
      </c>
      <c r="L67" s="254"/>
      <c r="M67" s="126">
        <v>13</v>
      </c>
      <c r="N67" s="126">
        <v>33</v>
      </c>
      <c r="O67" s="126">
        <v>9</v>
      </c>
      <c r="P67" s="126">
        <v>34</v>
      </c>
      <c r="Q67" s="126">
        <f t="shared" si="43"/>
        <v>89</v>
      </c>
      <c r="R67" s="144">
        <f t="shared" si="44"/>
        <v>3</v>
      </c>
      <c r="S67" s="147"/>
      <c r="T67" s="126">
        <v>10</v>
      </c>
      <c r="U67" s="126">
        <v>39</v>
      </c>
      <c r="V67" s="126">
        <f t="shared" si="45"/>
        <v>49</v>
      </c>
      <c r="W67" s="144">
        <f t="shared" si="46"/>
        <v>2</v>
      </c>
      <c r="X67" s="254"/>
      <c r="Y67" s="126">
        <v>10</v>
      </c>
      <c r="Z67" s="126">
        <v>32</v>
      </c>
      <c r="AA67" s="126">
        <f t="shared" si="47"/>
        <v>42</v>
      </c>
      <c r="AB67" s="144">
        <f t="shared" si="48"/>
        <v>2</v>
      </c>
      <c r="AC67" s="254"/>
      <c r="AD67" s="126">
        <v>13</v>
      </c>
      <c r="AE67" s="126">
        <v>42</v>
      </c>
      <c r="AF67" s="126">
        <f t="shared" si="49"/>
        <v>55</v>
      </c>
      <c r="AG67" s="144">
        <f t="shared" si="50"/>
        <v>3</v>
      </c>
      <c r="AH67" s="254"/>
      <c r="AI67" s="126">
        <v>10</v>
      </c>
      <c r="AJ67" s="126">
        <v>30</v>
      </c>
      <c r="AK67" s="126">
        <f t="shared" si="51"/>
        <v>40</v>
      </c>
      <c r="AL67" s="144">
        <f t="shared" si="52"/>
        <v>2</v>
      </c>
      <c r="AM67" s="254"/>
      <c r="AN67" s="129">
        <v>0</v>
      </c>
      <c r="AO67" s="126">
        <v>20</v>
      </c>
      <c r="AP67" s="126">
        <f t="shared" si="40"/>
        <v>20</v>
      </c>
      <c r="AQ67" s="144">
        <f t="shared" si="53"/>
        <v>2</v>
      </c>
      <c r="AR67" s="254"/>
      <c r="AS67" s="126">
        <v>29</v>
      </c>
      <c r="AT67" s="144">
        <f t="shared" si="54"/>
        <v>3</v>
      </c>
      <c r="AU67" s="254"/>
      <c r="AV67" s="145">
        <f t="shared" si="16"/>
        <v>17</v>
      </c>
      <c r="AW67" s="146">
        <f t="shared" si="55"/>
        <v>2.4285714285714284</v>
      </c>
      <c r="AX67" s="131">
        <f t="shared" si="18"/>
        <v>371</v>
      </c>
      <c r="AY67" s="38">
        <v>49</v>
      </c>
      <c r="AZ67" s="38">
        <v>56</v>
      </c>
      <c r="BA67" s="157" t="str">
        <f t="shared" si="0"/>
        <v>GOOD</v>
      </c>
      <c r="BB67" s="39">
        <f>'1st_Semester'!AX67</f>
        <v>0</v>
      </c>
      <c r="BC67" s="39">
        <f>'2nd_Semester'!AX67</f>
        <v>211</v>
      </c>
      <c r="BD67" s="37">
        <f t="shared" si="19"/>
        <v>371</v>
      </c>
      <c r="BE67" s="39">
        <f t="shared" si="20"/>
        <v>194</v>
      </c>
      <c r="BF67" s="39"/>
    </row>
    <row r="68" spans="1:58" s="40" customFormat="1"/>
    <row r="69" spans="1:58" s="40" customFormat="1"/>
    <row r="70" spans="1:58" s="40" customFormat="1">
      <c r="A70" s="40">
        <v>0</v>
      </c>
      <c r="B70" s="40">
        <v>1</v>
      </c>
      <c r="C70" s="40">
        <v>2</v>
      </c>
      <c r="D70" s="40">
        <v>3</v>
      </c>
      <c r="E70" s="40">
        <v>4</v>
      </c>
      <c r="F70" s="40">
        <v>5</v>
      </c>
      <c r="G70" s="40">
        <v>6</v>
      </c>
      <c r="H70" s="40">
        <v>7</v>
      </c>
      <c r="I70" s="40">
        <v>8</v>
      </c>
      <c r="J70" s="40">
        <v>9</v>
      </c>
      <c r="K70" s="40">
        <v>10</v>
      </c>
      <c r="L70" s="40">
        <v>11</v>
      </c>
      <c r="M70" s="40">
        <v>12</v>
      </c>
      <c r="N70" s="40">
        <v>13</v>
      </c>
      <c r="O70" s="40">
        <v>14</v>
      </c>
      <c r="P70" s="40">
        <v>15</v>
      </c>
      <c r="Q70" s="40">
        <v>16</v>
      </c>
      <c r="R70" s="40">
        <v>17</v>
      </c>
      <c r="S70" s="40">
        <v>18</v>
      </c>
      <c r="T70" s="40">
        <v>19</v>
      </c>
      <c r="U70" s="40">
        <v>20</v>
      </c>
      <c r="V70" s="40">
        <v>21</v>
      </c>
      <c r="W70" s="40">
        <v>22</v>
      </c>
      <c r="X70" s="40">
        <v>23</v>
      </c>
      <c r="Y70" s="40">
        <v>24</v>
      </c>
      <c r="Z70" s="40">
        <v>25</v>
      </c>
      <c r="AA70" s="40">
        <v>26</v>
      </c>
      <c r="AB70" s="40">
        <v>27</v>
      </c>
      <c r="AC70" s="40">
        <v>28</v>
      </c>
      <c r="AD70" s="40">
        <v>29</v>
      </c>
      <c r="AE70" s="40">
        <v>30</v>
      </c>
      <c r="AF70" s="40">
        <v>31</v>
      </c>
      <c r="AG70" s="40">
        <v>32</v>
      </c>
      <c r="AH70" s="40">
        <v>33</v>
      </c>
      <c r="AI70" s="40">
        <v>34</v>
      </c>
      <c r="AJ70" s="40">
        <v>35</v>
      </c>
      <c r="AK70" s="40">
        <v>36</v>
      </c>
      <c r="AL70" s="40">
        <v>37</v>
      </c>
      <c r="AM70" s="40">
        <v>38</v>
      </c>
      <c r="AN70" s="40">
        <v>39</v>
      </c>
      <c r="AO70" s="40">
        <v>40</v>
      </c>
      <c r="AP70" s="40">
        <v>41</v>
      </c>
      <c r="AQ70" s="40">
        <v>42</v>
      </c>
      <c r="AR70" s="40">
        <v>43</v>
      </c>
      <c r="AS70" s="40">
        <v>44</v>
      </c>
      <c r="AT70" s="40">
        <v>45</v>
      </c>
      <c r="AU70" s="40">
        <v>46</v>
      </c>
      <c r="AV70" s="40">
        <v>47</v>
      </c>
      <c r="AW70" s="40">
        <v>48</v>
      </c>
      <c r="AX70" s="40">
        <v>49</v>
      </c>
      <c r="AY70" s="40">
        <v>50</v>
      </c>
      <c r="AZ70" s="40">
        <v>51</v>
      </c>
      <c r="BA70" s="40">
        <v>52</v>
      </c>
      <c r="BB70" s="40">
        <v>53</v>
      </c>
      <c r="BC70" s="40">
        <v>54</v>
      </c>
    </row>
    <row r="71" spans="1:58" s="40" customFormat="1"/>
    <row r="72" spans="1:58" s="40" customFormat="1"/>
    <row r="73" spans="1:58" s="40" customFormat="1"/>
    <row r="74" spans="1:58" s="40" customFormat="1"/>
    <row r="75" spans="1:58" s="40" customFormat="1"/>
    <row r="76" spans="1:58" s="40" customFormat="1"/>
    <row r="77" spans="1:58" s="40" customFormat="1"/>
    <row r="78" spans="1:58" s="40" customFormat="1"/>
    <row r="79" spans="1:58" s="40" customFormat="1"/>
    <row r="80" spans="1:58" s="40" customFormat="1"/>
    <row r="81" s="40" customFormat="1"/>
    <row r="82" s="40" customFormat="1"/>
    <row r="83" s="40" customFormat="1"/>
    <row r="84" s="40" customFormat="1"/>
    <row r="85" s="40" customFormat="1"/>
    <row r="86" s="40" customFormat="1"/>
    <row r="87" s="40" customFormat="1"/>
    <row r="88" s="40" customFormat="1"/>
    <row r="89" s="40" customFormat="1"/>
    <row r="90" s="40" customFormat="1"/>
    <row r="91" s="40" customFormat="1"/>
    <row r="92" s="40" customFormat="1"/>
    <row r="93" s="40" customFormat="1"/>
    <row r="94" s="40" customFormat="1"/>
    <row r="95" s="40" customFormat="1"/>
    <row r="96" s="40" customFormat="1"/>
    <row r="97" s="40" customFormat="1"/>
    <row r="98" s="40" customFormat="1"/>
    <row r="99" s="40" customFormat="1"/>
    <row r="100" s="40" customFormat="1"/>
    <row r="101" s="40" customFormat="1"/>
    <row r="102" s="40" customFormat="1"/>
    <row r="103" s="40" customFormat="1"/>
    <row r="104" s="40" customFormat="1"/>
    <row r="105" s="40" customFormat="1"/>
    <row r="106" s="40" customFormat="1"/>
    <row r="107" s="40" customFormat="1"/>
    <row r="108" s="40" customFormat="1"/>
    <row r="109" s="40" customFormat="1"/>
    <row r="110" s="40" customFormat="1"/>
    <row r="111" s="40" customFormat="1"/>
    <row r="112" s="40" customFormat="1"/>
    <row r="113" s="40" customFormat="1"/>
    <row r="114" s="40" customFormat="1"/>
    <row r="115" s="40" customFormat="1"/>
    <row r="116" s="40" customFormat="1"/>
    <row r="117" s="40" customFormat="1"/>
    <row r="118" s="40" customFormat="1"/>
    <row r="119" s="40" customFormat="1"/>
    <row r="120" s="40" customFormat="1"/>
    <row r="121" s="40" customFormat="1"/>
    <row r="122" s="40" customFormat="1"/>
    <row r="123" s="40" customFormat="1"/>
    <row r="124" s="40" customFormat="1"/>
    <row r="125" s="40" customFormat="1"/>
    <row r="126" s="40" customFormat="1"/>
    <row r="127" s="40" customFormat="1"/>
    <row r="128" s="40" customFormat="1"/>
    <row r="129" s="40" customFormat="1"/>
    <row r="130" s="40" customFormat="1"/>
    <row r="131" s="40" customFormat="1"/>
    <row r="132" s="40" customFormat="1"/>
    <row r="133" s="40" customFormat="1"/>
    <row r="134" s="40" customFormat="1"/>
    <row r="135" s="40" customFormat="1"/>
    <row r="136" s="40" customFormat="1"/>
    <row r="137" s="40" customFormat="1"/>
    <row r="138" s="40" customFormat="1"/>
    <row r="139" s="40" customFormat="1"/>
    <row r="140" s="40" customFormat="1"/>
    <row r="141" s="40" customFormat="1"/>
    <row r="142" s="40" customFormat="1"/>
    <row r="143" s="40" customFormat="1"/>
    <row r="144" s="40" customFormat="1"/>
    <row r="145" s="40" customFormat="1"/>
    <row r="146" s="40" customFormat="1"/>
    <row r="147" s="40" customFormat="1"/>
    <row r="148" s="40" customFormat="1"/>
    <row r="149" s="40" customFormat="1"/>
    <row r="150" s="40" customFormat="1"/>
    <row r="151" s="40" customFormat="1"/>
    <row r="152" s="40" customFormat="1"/>
    <row r="153" s="40" customFormat="1"/>
    <row r="154" s="40" customFormat="1"/>
    <row r="155" s="40" customFormat="1"/>
    <row r="156" s="40" customFormat="1"/>
    <row r="157" s="40" customFormat="1"/>
    <row r="158" s="40" customFormat="1"/>
    <row r="159" s="40" customFormat="1"/>
    <row r="160" s="40" customFormat="1"/>
    <row r="161" s="40" customFormat="1"/>
  </sheetData>
  <mergeCells count="52">
    <mergeCell ref="AM8:AM67"/>
    <mergeCell ref="AR8:AR67"/>
    <mergeCell ref="AU8:AU67"/>
    <mergeCell ref="L8:L67"/>
    <mergeCell ref="S8:S66"/>
    <mergeCell ref="X8:X67"/>
    <mergeCell ref="AC8:AC67"/>
    <mergeCell ref="AH8:AH67"/>
    <mergeCell ref="T6:W6"/>
    <mergeCell ref="X6:X7"/>
    <mergeCell ref="Y6:AB6"/>
    <mergeCell ref="AD6:AG6"/>
    <mergeCell ref="AI6:AL6"/>
    <mergeCell ref="AC6:AC7"/>
    <mergeCell ref="AH6:AH7"/>
    <mergeCell ref="F6:G6"/>
    <mergeCell ref="H6:I6"/>
    <mergeCell ref="J6:J7"/>
    <mergeCell ref="K6:K7"/>
    <mergeCell ref="M6:N6"/>
    <mergeCell ref="A1:AZ4"/>
    <mergeCell ref="A5:C5"/>
    <mergeCell ref="F5:G5"/>
    <mergeCell ref="H5:N5"/>
    <mergeCell ref="O5:R5"/>
    <mergeCell ref="S5:U5"/>
    <mergeCell ref="W5:AA5"/>
    <mergeCell ref="AE5:AH5"/>
    <mergeCell ref="AI5:AM5"/>
    <mergeCell ref="AN5:AZ5"/>
    <mergeCell ref="AY6:AY7"/>
    <mergeCell ref="AZ6:AZ7"/>
    <mergeCell ref="BA6:BA7"/>
    <mergeCell ref="AV6:AV7"/>
    <mergeCell ref="AW6:AW7"/>
    <mergeCell ref="AX6:AX7"/>
    <mergeCell ref="BB6:BF6"/>
    <mergeCell ref="A6:A7"/>
    <mergeCell ref="B6:B7"/>
    <mergeCell ref="C6:C7"/>
    <mergeCell ref="D6:D7"/>
    <mergeCell ref="E6:E7"/>
    <mergeCell ref="AM6:AM7"/>
    <mergeCell ref="AN6:AQ6"/>
    <mergeCell ref="AR6:AR7"/>
    <mergeCell ref="AS6:AT6"/>
    <mergeCell ref="L6:L7"/>
    <mergeCell ref="O6:P6"/>
    <mergeCell ref="Q6:Q7"/>
    <mergeCell ref="R6:R7"/>
    <mergeCell ref="S6:S7"/>
    <mergeCell ref="AU6:AU7"/>
  </mergeCells>
  <conditionalFormatting sqref="B8:B19">
    <cfRule type="duplicateValues" dxfId="30" priority="23"/>
  </conditionalFormatting>
  <conditionalFormatting sqref="P8:P35 I8:I36">
    <cfRule type="cellIs" dxfId="29" priority="27" operator="greaterThan">
      <formula>50</formula>
    </cfRule>
  </conditionalFormatting>
  <conditionalFormatting sqref="J8:J36 Q8:Q36">
    <cfRule type="cellIs" dxfId="28" priority="28" operator="greaterThan">
      <formula>150</formula>
    </cfRule>
  </conditionalFormatting>
  <conditionalFormatting sqref="O8:O34 H8:H35 AN8:AN67">
    <cfRule type="cellIs" dxfId="27" priority="30" operator="greaterThan">
      <formula>10</formula>
    </cfRule>
  </conditionalFormatting>
  <conditionalFormatting sqref="Y8:Y35 M8:M36 T8:T36 AD8:AD36 AI8:AI36 O35:O36 H36:I36 P36 Y36:Z36 AS36 F8:F36">
    <cfRule type="cellIs" dxfId="26" priority="29" operator="greaterThan">
      <formula>20</formula>
    </cfRule>
  </conditionalFormatting>
  <conditionalFormatting sqref="G8:G36 N8:N36 AA36 Z8:AA35 U8:V36 AE8:AF36 AJ8:AK36">
    <cfRule type="cellIs" dxfId="25" priority="26" operator="greaterThan">
      <formula>100</formula>
    </cfRule>
  </conditionalFormatting>
  <conditionalFormatting sqref="AO8:AP36">
    <cfRule type="cellIs" dxfId="24" priority="24" operator="greaterThan">
      <formula>50</formula>
    </cfRule>
  </conditionalFormatting>
  <conditionalFormatting sqref="AS8:AS35">
    <cfRule type="cellIs" dxfId="23" priority="25" operator="greaterThan">
      <formula>50</formula>
    </cfRule>
  </conditionalFormatting>
  <conditionalFormatting sqref="AV6:AV7">
    <cfRule type="cellIs" dxfId="22" priority="31" operator="equal">
      <formula>"F"</formula>
    </cfRule>
  </conditionalFormatting>
  <conditionalFormatting sqref="B19">
    <cfRule type="duplicateValues" dxfId="21" priority="22"/>
  </conditionalFormatting>
  <conditionalFormatting sqref="B20:B26">
    <cfRule type="duplicateValues" dxfId="20" priority="21"/>
  </conditionalFormatting>
  <conditionalFormatting sqref="B27:B33">
    <cfRule type="duplicateValues" dxfId="19" priority="20"/>
  </conditionalFormatting>
  <conditionalFormatting sqref="B34">
    <cfRule type="duplicateValues" dxfId="18" priority="19"/>
  </conditionalFormatting>
  <conditionalFormatting sqref="B35">
    <cfRule type="duplicateValues" dxfId="17" priority="18"/>
  </conditionalFormatting>
  <conditionalFormatting sqref="H8:H35">
    <cfRule type="cellIs" dxfId="16" priority="17" operator="greaterThan">
      <formula>10</formula>
    </cfRule>
  </conditionalFormatting>
  <conditionalFormatting sqref="M8:M35">
    <cfRule type="cellIs" dxfId="15" priority="16" operator="greaterThan">
      <formula>20</formula>
    </cfRule>
  </conditionalFormatting>
  <conditionalFormatting sqref="AI8:AI35">
    <cfRule type="cellIs" dxfId="14" priority="15" operator="greaterThan">
      <formula>20</formula>
    </cfRule>
  </conditionalFormatting>
  <conditionalFormatting sqref="B36:B44">
    <cfRule type="duplicateValues" dxfId="13" priority="14"/>
  </conditionalFormatting>
  <conditionalFormatting sqref="M36:M67 AD36:AD67 AI36:AI67 F36:F67 T36:T67 Y36:Y67">
    <cfRule type="cellIs" dxfId="12" priority="13" operator="greaterThan">
      <formula>20</formula>
    </cfRule>
  </conditionalFormatting>
  <conditionalFormatting sqref="N36:N67 G36:G67 U36:V67 Z36:AA67 AJ36:AK67 AE36:AF67">
    <cfRule type="cellIs" dxfId="11" priority="12" operator="greaterThan">
      <formula>100</formula>
    </cfRule>
  </conditionalFormatting>
  <conditionalFormatting sqref="H36:H67 AN36:AN67 O36:O67">
    <cfRule type="cellIs" dxfId="10" priority="11" operator="greaterThan">
      <formula>10</formula>
    </cfRule>
  </conditionalFormatting>
  <conditionalFormatting sqref="J36:J67 Q36:Q67">
    <cfRule type="cellIs" dxfId="9" priority="10" operator="greaterThan">
      <formula>150</formula>
    </cfRule>
  </conditionalFormatting>
  <conditionalFormatting sqref="AS36:AS67 AP36:AP67">
    <cfRule type="cellIs" dxfId="8" priority="9" operator="greaterThan">
      <formula>50</formula>
    </cfRule>
  </conditionalFormatting>
  <conditionalFormatting sqref="AS36:AS67 P36:P67 I36:I67 AO36:AO67">
    <cfRule type="cellIs" dxfId="7" priority="8" operator="greaterThan">
      <formula>50</formula>
    </cfRule>
  </conditionalFormatting>
  <conditionalFormatting sqref="B43">
    <cfRule type="duplicateValues" dxfId="6" priority="7"/>
  </conditionalFormatting>
  <conditionalFormatting sqref="B44:B51">
    <cfRule type="duplicateValues" dxfId="5" priority="6"/>
  </conditionalFormatting>
  <conditionalFormatting sqref="B52:B54">
    <cfRule type="duplicateValues" dxfId="4" priority="5"/>
  </conditionalFormatting>
  <conditionalFormatting sqref="B55">
    <cfRule type="duplicateValues" dxfId="3" priority="4"/>
  </conditionalFormatting>
  <conditionalFormatting sqref="B56">
    <cfRule type="duplicateValues" dxfId="2" priority="3"/>
  </conditionalFormatting>
  <conditionalFormatting sqref="B59">
    <cfRule type="duplicateValues" dxfId="1" priority="2"/>
  </conditionalFormatting>
  <conditionalFormatting sqref="B57:B58 B60:B67">
    <cfRule type="duplicateValues" dxfId="0" priority="1"/>
  </conditionalFormatting>
  <pageMargins left="0.19685039370078741" right="0.19685039370078741" top="0.19685039370078741" bottom="0.19685039370078741" header="0.19685039370078741" footer="0.19685039370078741"/>
  <pageSetup paperSize="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B1:W31"/>
  <sheetViews>
    <sheetView tabSelected="1" zoomScale="85" zoomScaleNormal="85" workbookViewId="0">
      <selection activeCell="D8" sqref="D8"/>
    </sheetView>
  </sheetViews>
  <sheetFormatPr defaultColWidth="6.5703125" defaultRowHeight="15"/>
  <cols>
    <col min="1" max="1" width="1.5703125" customWidth="1"/>
    <col min="2" max="2" width="24.7109375" customWidth="1"/>
    <col min="4" max="18" width="7.7109375" customWidth="1"/>
    <col min="19" max="19" width="8.42578125" customWidth="1"/>
    <col min="20" max="20" width="7.7109375" customWidth="1"/>
    <col min="21" max="21" width="8.42578125" bestFit="1" customWidth="1"/>
    <col min="22" max="23" width="7.7109375" customWidth="1"/>
  </cols>
  <sheetData>
    <row r="1" spans="2:23" ht="24.95" customHeight="1">
      <c r="B1" s="255" t="s">
        <v>244</v>
      </c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5"/>
      <c r="S1" s="255"/>
      <c r="T1" s="255"/>
      <c r="U1" s="255"/>
      <c r="V1" s="255"/>
      <c r="W1" s="255"/>
    </row>
    <row r="2" spans="2:23" ht="24.95" customHeight="1">
      <c r="B2" s="255"/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5"/>
      <c r="U2" s="255"/>
      <c r="V2" s="255"/>
      <c r="W2" s="255"/>
    </row>
    <row r="3" spans="2:23" ht="24.95" customHeight="1">
      <c r="B3" s="255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</row>
    <row r="4" spans="2:23" ht="20.100000000000001" customHeight="1">
      <c r="B4" s="7" t="s">
        <v>32</v>
      </c>
      <c r="C4" s="171" t="s">
        <v>33</v>
      </c>
      <c r="D4" s="166" t="str">
        <f>IFERROR(VLOOKUP(D$7,'1st_Semester'!B$5:BG$67,2,0),"Please Enter The Right Roll")</f>
        <v xml:space="preserve">AL Shihad </v>
      </c>
      <c r="E4" s="166"/>
      <c r="F4" s="166"/>
      <c r="G4" s="166"/>
      <c r="H4" s="166"/>
      <c r="I4" s="166"/>
      <c r="J4" s="166"/>
      <c r="K4" s="8"/>
      <c r="L4" s="8"/>
      <c r="M4" s="8"/>
      <c r="N4" s="8"/>
      <c r="O4" s="8"/>
      <c r="Q4" s="13"/>
      <c r="R4" s="266" t="s">
        <v>61</v>
      </c>
      <c r="S4" s="266"/>
      <c r="T4" s="266"/>
      <c r="U4" s="266"/>
      <c r="V4" s="266"/>
      <c r="W4" s="189">
        <f>IFERROR(VLOOKUP(D$7,'3rd_Semester'!B8:BB67,50,0),"")</f>
        <v>28</v>
      </c>
    </row>
    <row r="5" spans="2:23" ht="20.100000000000001" customHeight="1">
      <c r="B5" s="9" t="s">
        <v>34</v>
      </c>
      <c r="C5" s="172" t="s">
        <v>33</v>
      </c>
      <c r="D5" s="167" t="s">
        <v>30</v>
      </c>
      <c r="E5" s="167"/>
      <c r="F5" s="167"/>
      <c r="G5" s="167"/>
      <c r="H5" s="168"/>
      <c r="I5" s="168"/>
      <c r="J5" s="168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0"/>
    </row>
    <row r="6" spans="2:23" ht="20.100000000000001" customHeight="1">
      <c r="B6" s="11" t="s">
        <v>35</v>
      </c>
      <c r="C6" s="172" t="s">
        <v>33</v>
      </c>
      <c r="D6" s="167" t="s">
        <v>240</v>
      </c>
      <c r="E6" s="167"/>
      <c r="F6" s="167"/>
      <c r="G6" s="167"/>
      <c r="H6" s="168"/>
      <c r="I6" s="168"/>
      <c r="J6" s="16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0"/>
    </row>
    <row r="7" spans="2:23" ht="20.100000000000001" customHeight="1">
      <c r="B7" s="11" t="s">
        <v>36</v>
      </c>
      <c r="C7" s="172" t="s">
        <v>33</v>
      </c>
      <c r="D7" s="169">
        <v>51</v>
      </c>
      <c r="E7" s="168"/>
      <c r="F7" s="168"/>
      <c r="G7" s="168"/>
      <c r="H7" s="168"/>
      <c r="I7" s="168"/>
      <c r="J7" s="168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0"/>
    </row>
    <row r="8" spans="2:23" ht="20.100000000000001" customHeight="1">
      <c r="B8" s="11" t="s">
        <v>37</v>
      </c>
      <c r="C8" s="172" t="s">
        <v>33</v>
      </c>
      <c r="D8" s="167" t="str">
        <f>IFERROR(VLOOKUP(D$7,'1st_Semester'!B$6:BG$72,3,0),"")</f>
        <v xml:space="preserve">Md. Anisur Rahman </v>
      </c>
      <c r="E8" s="167"/>
      <c r="F8" s="167"/>
      <c r="G8" s="167"/>
      <c r="H8" s="167"/>
      <c r="I8" s="167"/>
      <c r="J8" s="168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0"/>
    </row>
    <row r="9" spans="2:23" ht="20.100000000000001" customHeight="1">
      <c r="B9" s="11" t="s">
        <v>38</v>
      </c>
      <c r="C9" s="172" t="s">
        <v>33</v>
      </c>
      <c r="D9" s="167" t="str">
        <f>IFERROR(VLOOKUP(D$7,'1st_Semester'!B$6:BG$72,4,0),"")</f>
        <v>Mst. Aysa Khatun</v>
      </c>
      <c r="E9" s="170"/>
      <c r="F9" s="170"/>
      <c r="G9" s="170"/>
      <c r="H9" s="170"/>
      <c r="I9" s="170"/>
      <c r="J9" s="168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0"/>
    </row>
    <row r="10" spans="2:23" ht="20.100000000000001" customHeight="1">
      <c r="B10" s="11" t="s">
        <v>39</v>
      </c>
      <c r="C10" s="177" t="s">
        <v>33</v>
      </c>
      <c r="D10" s="256" t="s">
        <v>239</v>
      </c>
      <c r="E10" s="256"/>
      <c r="F10" s="256"/>
      <c r="G10" s="256"/>
      <c r="H10" s="256"/>
      <c r="I10" s="256"/>
      <c r="J10" s="256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0"/>
    </row>
    <row r="11" spans="2:23" ht="24.95" customHeight="1">
      <c r="B11" s="257" t="s">
        <v>40</v>
      </c>
      <c r="C11" s="257"/>
      <c r="D11" s="258" t="s">
        <v>41</v>
      </c>
      <c r="E11" s="259" t="s">
        <v>241</v>
      </c>
      <c r="F11" s="259"/>
      <c r="G11" s="259"/>
      <c r="H11" s="259"/>
      <c r="I11" s="258" t="s">
        <v>41</v>
      </c>
      <c r="J11" s="259" t="s">
        <v>242</v>
      </c>
      <c r="K11" s="259"/>
      <c r="L11" s="259"/>
      <c r="M11" s="259"/>
      <c r="N11" s="258" t="s">
        <v>41</v>
      </c>
      <c r="O11" s="259" t="s">
        <v>243</v>
      </c>
      <c r="P11" s="259"/>
      <c r="Q11" s="259"/>
      <c r="R11" s="259"/>
      <c r="S11" s="259" t="s">
        <v>42</v>
      </c>
      <c r="T11" s="259"/>
      <c r="U11" s="259"/>
      <c r="V11" s="259"/>
      <c r="W11" s="259"/>
    </row>
    <row r="12" spans="2:23" ht="24.95" customHeight="1">
      <c r="B12" s="257"/>
      <c r="C12" s="257"/>
      <c r="D12" s="258"/>
      <c r="E12" s="260" t="s">
        <v>47</v>
      </c>
      <c r="F12" s="260" t="s">
        <v>3</v>
      </c>
      <c r="G12" s="260" t="s">
        <v>43</v>
      </c>
      <c r="H12" s="260" t="s">
        <v>4</v>
      </c>
      <c r="I12" s="258"/>
      <c r="J12" s="260" t="s">
        <v>47</v>
      </c>
      <c r="K12" s="260" t="s">
        <v>3</v>
      </c>
      <c r="L12" s="260" t="s">
        <v>43</v>
      </c>
      <c r="M12" s="260" t="s">
        <v>4</v>
      </c>
      <c r="N12" s="258"/>
      <c r="O12" s="260" t="s">
        <v>47</v>
      </c>
      <c r="P12" s="260" t="s">
        <v>3</v>
      </c>
      <c r="Q12" s="260" t="s">
        <v>43</v>
      </c>
      <c r="R12" s="260" t="s">
        <v>4</v>
      </c>
      <c r="S12" s="261" t="s">
        <v>44</v>
      </c>
      <c r="T12" s="261" t="s">
        <v>45</v>
      </c>
      <c r="U12" s="260" t="s">
        <v>3</v>
      </c>
      <c r="V12" s="260" t="s">
        <v>4</v>
      </c>
      <c r="W12" s="260" t="s">
        <v>46</v>
      </c>
    </row>
    <row r="13" spans="2:23" ht="24.95" customHeight="1">
      <c r="B13" s="257"/>
      <c r="C13" s="257"/>
      <c r="D13" s="258"/>
      <c r="E13" s="260"/>
      <c r="F13" s="260"/>
      <c r="G13" s="260"/>
      <c r="H13" s="260"/>
      <c r="I13" s="258"/>
      <c r="J13" s="260"/>
      <c r="K13" s="260"/>
      <c r="L13" s="260"/>
      <c r="M13" s="260"/>
      <c r="N13" s="258"/>
      <c r="O13" s="260"/>
      <c r="P13" s="260"/>
      <c r="Q13" s="260"/>
      <c r="R13" s="260"/>
      <c r="S13" s="261"/>
      <c r="T13" s="261"/>
      <c r="U13" s="260"/>
      <c r="V13" s="260"/>
      <c r="W13" s="260"/>
    </row>
    <row r="14" spans="2:23" ht="24.95" customHeight="1">
      <c r="B14" s="257"/>
      <c r="C14" s="257"/>
      <c r="D14" s="258"/>
      <c r="E14" s="260"/>
      <c r="F14" s="260"/>
      <c r="G14" s="260"/>
      <c r="H14" s="260"/>
      <c r="I14" s="258"/>
      <c r="J14" s="260"/>
      <c r="K14" s="260"/>
      <c r="L14" s="260"/>
      <c r="M14" s="260"/>
      <c r="N14" s="258"/>
      <c r="O14" s="260"/>
      <c r="P14" s="260"/>
      <c r="Q14" s="260"/>
      <c r="R14" s="260"/>
      <c r="S14" s="261"/>
      <c r="T14" s="261"/>
      <c r="U14" s="260"/>
      <c r="V14" s="260"/>
      <c r="W14" s="260"/>
    </row>
    <row r="15" spans="2:23" ht="24.95" customHeight="1">
      <c r="B15" s="257"/>
      <c r="C15" s="257"/>
      <c r="D15" s="258"/>
      <c r="E15" s="260"/>
      <c r="F15" s="260"/>
      <c r="G15" s="260"/>
      <c r="H15" s="260"/>
      <c r="I15" s="258"/>
      <c r="J15" s="260"/>
      <c r="K15" s="260"/>
      <c r="L15" s="260"/>
      <c r="M15" s="260"/>
      <c r="N15" s="258"/>
      <c r="O15" s="260"/>
      <c r="P15" s="260"/>
      <c r="Q15" s="260"/>
      <c r="R15" s="260"/>
      <c r="S15" s="261"/>
      <c r="T15" s="261"/>
      <c r="U15" s="260"/>
      <c r="V15" s="260"/>
      <c r="W15" s="260"/>
    </row>
    <row r="16" spans="2:23" ht="24.95" customHeight="1">
      <c r="B16" s="257"/>
      <c r="C16" s="257"/>
      <c r="D16" s="258"/>
      <c r="E16" s="260"/>
      <c r="F16" s="260"/>
      <c r="G16" s="260"/>
      <c r="H16" s="260"/>
      <c r="I16" s="258"/>
      <c r="J16" s="260"/>
      <c r="K16" s="260"/>
      <c r="L16" s="260"/>
      <c r="M16" s="260"/>
      <c r="N16" s="258"/>
      <c r="O16" s="260"/>
      <c r="P16" s="260"/>
      <c r="Q16" s="260"/>
      <c r="R16" s="260"/>
      <c r="S16" s="261"/>
      <c r="T16" s="261"/>
      <c r="U16" s="260"/>
      <c r="V16" s="260"/>
      <c r="W16" s="260"/>
    </row>
    <row r="17" spans="2:23" ht="30" customHeight="1">
      <c r="B17" s="259" t="s">
        <v>48</v>
      </c>
      <c r="C17" s="259"/>
      <c r="D17" s="179">
        <f>IFERROR(VLOOKUP(D$7,'1st_Semester'!B$6:BG$72,5,0),"")</f>
        <v>20</v>
      </c>
      <c r="E17" s="179">
        <f>IFERROR(VLOOKUP(D$7,'1st_Semester'!B$6:BH$72,6,0),"")</f>
        <v>61</v>
      </c>
      <c r="F17" s="263">
        <f>IFERROR(VLOOKUP(D$7,'1st_Semester'!B$6:BJ$72,9,0),"")</f>
        <v>124</v>
      </c>
      <c r="G17" s="263">
        <f>'1st_Semester'!L8</f>
        <v>145</v>
      </c>
      <c r="H17" s="264">
        <f>IFERROR(VLOOKUP(D$7,'1st_Semester'!B$6:BL$72,10,0),"")</f>
        <v>5</v>
      </c>
      <c r="I17" s="179">
        <f>IFERROR(VLOOKUP(D$7,'2nd_Semester'!B$5:BM$72,5,0),"")</f>
        <v>19</v>
      </c>
      <c r="J17" s="179">
        <f>IFERROR(VLOOKUP(D$7,'2nd_Semester'!B$5:BO$72,6,0),"")</f>
        <v>58</v>
      </c>
      <c r="K17" s="263">
        <f>IFERROR(VLOOKUP(D$7,'2nd_Semester'!B$5:BP$72,9,0),"")</f>
        <v>121</v>
      </c>
      <c r="L17" s="263">
        <f>'2nd_Semester'!L8</f>
        <v>149</v>
      </c>
      <c r="M17" s="264">
        <f>IFERROR(VLOOKUP(D$7,'2nd_Semester'!B$5:BJ$72,10,0),"")</f>
        <v>5</v>
      </c>
      <c r="N17" s="180">
        <f>IFERROR(VLOOKUP(D$7,'3rd_Semester'!B$5:BG$72,5,0),"")</f>
        <v>20</v>
      </c>
      <c r="O17" s="180">
        <f>IFERROR(VLOOKUP(D$7,'3rd_Semester'!B$5:BG$73,6,0),"")</f>
        <v>64</v>
      </c>
      <c r="P17" s="263">
        <f>IFERROR(VLOOKUP(D$7,'3rd_Semester'!B$5:BG$73,9,0),"")</f>
        <v>130</v>
      </c>
      <c r="Q17" s="263">
        <f>'3rd_Semester'!L8</f>
        <v>150</v>
      </c>
      <c r="R17" s="264">
        <f>IFERROR(VLOOKUP(D$7,'3rd_Semester'!B$5:BG$73,10,0),"")</f>
        <v>5</v>
      </c>
      <c r="S17" s="186">
        <f>SUM(D17,I17,N17)/3</f>
        <v>19.666666666666668</v>
      </c>
      <c r="T17" s="186">
        <f>SUM(E17,J17,O17)/3</f>
        <v>61</v>
      </c>
      <c r="U17" s="262">
        <f>SUM(F17,K17,P17)/3</f>
        <v>125</v>
      </c>
      <c r="V17" s="262">
        <f>SUM(H17,M17,R17)/3</f>
        <v>5</v>
      </c>
      <c r="W17" s="262">
        <f>IF(V17="F","F",IF(V19="F","F",IF(V21="F","F",IF(V22="F","F",IF(V23="F","F",IF(V24="F","F",IF(SUM(V17:V25)&gt;35,5,SUM(V17:V25)/7)))))))</f>
        <v>4.1190476190476195</v>
      </c>
    </row>
    <row r="18" spans="2:23" ht="30" customHeight="1">
      <c r="B18" s="259" t="s">
        <v>49</v>
      </c>
      <c r="C18" s="259"/>
      <c r="D18" s="179">
        <f>IFERROR(VLOOKUP(D$7,'1st_Semester'!B$6:BG$72,7,0),"")</f>
        <v>9</v>
      </c>
      <c r="E18" s="179">
        <f>IFERROR(VLOOKUP(D$7,'1st_Semester'!B$6:BH$72,8,0),"")</f>
        <v>34</v>
      </c>
      <c r="F18" s="263"/>
      <c r="G18" s="263"/>
      <c r="H18" s="264">
        <f>IFERROR(VLOOKUP(F$7,'[1]1st_Semester'!E$5:BL$52,5,0),"")</f>
        <v>0</v>
      </c>
      <c r="I18" s="179">
        <f>IFERROR(VLOOKUP(D$7,'2nd_Semester'!B$5:BM$72,7,0),"")</f>
        <v>10</v>
      </c>
      <c r="J18" s="179">
        <f>IFERROR(VLOOKUP(D$7,'2nd_Semester'!B$5:BO$72,8,0),"")</f>
        <v>34</v>
      </c>
      <c r="K18" s="263" t="str">
        <f>IFERROR(VLOOKUP(#REF!,'[1]2nd_Semester'!C$5:BP$52,5,0),"")</f>
        <v/>
      </c>
      <c r="L18" s="263"/>
      <c r="M18" s="264">
        <f>IFERROR(VLOOKUP(F$7,'[1]2nd_Semester'!E$5:BR$52,5,0),"")</f>
        <v>0</v>
      </c>
      <c r="N18" s="180">
        <f>IFERROR(VLOOKUP(D$7,'3rd_Semester'!B$5:BG$72,7,0),"")</f>
        <v>10</v>
      </c>
      <c r="O18" s="180">
        <f>IFERROR(VLOOKUP(D$7,'3rd_Semester'!B$5:BG$73,8,0),"")</f>
        <v>36</v>
      </c>
      <c r="P18" s="263"/>
      <c r="Q18" s="263"/>
      <c r="R18" s="264">
        <f>IFERROR(VLOOKUP(F$7,'[1]3rd_Semester'!E$5:BX$52,5,0),"")</f>
        <v>0</v>
      </c>
      <c r="S18" s="186">
        <f t="shared" ref="S18:S25" si="0">SUM(D18,I18,N18)/3</f>
        <v>9.6666666666666661</v>
      </c>
      <c r="T18" s="186">
        <f t="shared" ref="T18:T25" si="1">SUM(E18,J18,O18)/3</f>
        <v>34.666666666666664</v>
      </c>
      <c r="U18" s="262"/>
      <c r="V18" s="262"/>
      <c r="W18" s="262"/>
    </row>
    <row r="19" spans="2:23" ht="30" customHeight="1">
      <c r="B19" s="259" t="s">
        <v>50</v>
      </c>
      <c r="C19" s="259"/>
      <c r="D19" s="179">
        <f>IFERROR(VLOOKUP(D$7,'1st_Semester'!B$6:BG$72,12,0),"")</f>
        <v>19</v>
      </c>
      <c r="E19" s="179">
        <f>IFERROR(VLOOKUP(D$7,'1st_Semester'!B$6:BH$72,13,0),"")</f>
        <v>61</v>
      </c>
      <c r="F19" s="263">
        <f>IFERROR(VLOOKUP(D$7,'1st_Semester'!B$6:BJ$72,16,0),"")</f>
        <v>113</v>
      </c>
      <c r="G19" s="263">
        <f>'1st_Semester'!S8</f>
        <v>149</v>
      </c>
      <c r="H19" s="264">
        <f>IFERROR(VLOOKUP(D$7,'1st_Semester'!B$6:BL$72,17,0),"")</f>
        <v>4</v>
      </c>
      <c r="I19" s="179">
        <f>IFERROR(VLOOKUP(D$7,'2nd_Semester'!B$5:BM$72,12,0),"")</f>
        <v>19</v>
      </c>
      <c r="J19" s="179">
        <f>IFERROR(VLOOKUP(D$7,'2nd_Semester'!B$5:BO$72,13,0),"")</f>
        <v>32</v>
      </c>
      <c r="K19" s="263">
        <f>IFERROR(VLOOKUP(D$7,'2nd_Semester'!B$5:BP$72,16,0),"")</f>
        <v>89</v>
      </c>
      <c r="L19" s="263">
        <f>'2nd_Semester'!S8</f>
        <v>149</v>
      </c>
      <c r="M19" s="264">
        <f>IFERROR(VLOOKUP(D$7,'2nd_Semester'!B$5:BJ$72,17,0),"")</f>
        <v>3</v>
      </c>
      <c r="N19" s="180">
        <f>IFERROR(VLOOKUP(D$7,'3rd_Semester'!B$5:BG$72,12,0),"")</f>
        <v>19</v>
      </c>
      <c r="O19" s="180">
        <f>IFERROR(VLOOKUP(D$7,'3rd_Semester'!B$5:BG$73,13,0),"")</f>
        <v>48</v>
      </c>
      <c r="P19" s="263">
        <f>IFERROR(VLOOKUP(D$7,'3rd_Semester'!B$5:BG$73,16,0),"")</f>
        <v>110</v>
      </c>
      <c r="Q19" s="263">
        <f>'3rd_Semester'!S8</f>
        <v>149</v>
      </c>
      <c r="R19" s="264">
        <f>IFERROR(VLOOKUP(D$7,'3rd_Semester'!B$5:BG$73,17,0),"")</f>
        <v>4</v>
      </c>
      <c r="S19" s="186">
        <f t="shared" si="0"/>
        <v>19</v>
      </c>
      <c r="T19" s="186">
        <f t="shared" si="1"/>
        <v>47</v>
      </c>
      <c r="U19" s="262">
        <f>SUM(F19,K19,P19)/3</f>
        <v>104</v>
      </c>
      <c r="V19" s="262">
        <f>SUM(H19,M19,R19)/3</f>
        <v>3.6666666666666665</v>
      </c>
      <c r="W19" s="262"/>
    </row>
    <row r="20" spans="2:23" ht="30" customHeight="1">
      <c r="B20" s="259" t="s">
        <v>51</v>
      </c>
      <c r="C20" s="259"/>
      <c r="D20" s="179">
        <f>IFERROR(VLOOKUP(D$7,'1st_Semester'!B$6:BG$72,14,0),"")</f>
        <v>8</v>
      </c>
      <c r="E20" s="179">
        <f>IFERROR(VLOOKUP(D$7,'1st_Semester'!B$6:BH$72,15,0),"")</f>
        <v>25</v>
      </c>
      <c r="F20" s="263"/>
      <c r="G20" s="263"/>
      <c r="H20" s="264">
        <f>IFERROR(VLOOKUP(F$7,'[1]1st_Semester'!E$5:BL$52,5,0),"")</f>
        <v>0</v>
      </c>
      <c r="I20" s="179">
        <f>IFERROR(VLOOKUP(D$7,'2nd_Semester'!B$5:BM$72,14,0),"")</f>
        <v>8</v>
      </c>
      <c r="J20" s="179">
        <f>IFERROR(VLOOKUP(D$7,'2nd_Semester'!B$5:BO$72,15,0),"")</f>
        <v>30</v>
      </c>
      <c r="K20" s="263" t="str">
        <f>IFERROR(VLOOKUP(#REF!,'[1]2nd_Semester'!C$5:BP$52,5,0),"")</f>
        <v/>
      </c>
      <c r="L20" s="263"/>
      <c r="M20" s="264">
        <f>IFERROR(VLOOKUP(F$7,'[1]2nd_Semester'!E$5:BR$52,5,0),"")</f>
        <v>0</v>
      </c>
      <c r="N20" s="180">
        <f>IFERROR(VLOOKUP(D$7,'3rd_Semester'!B$5:BG$72,14,0),"")</f>
        <v>10</v>
      </c>
      <c r="O20" s="180">
        <f>IFERROR(VLOOKUP(D$7,'3rd_Semester'!B$5:BG$73,15,0),"")</f>
        <v>33</v>
      </c>
      <c r="P20" s="263"/>
      <c r="Q20" s="263"/>
      <c r="R20" s="264">
        <f>IFERROR(VLOOKUP(F$7,'[1]3rd_Semester'!E$5:BX$52,5,0),"")</f>
        <v>0</v>
      </c>
      <c r="S20" s="186">
        <f t="shared" si="0"/>
        <v>8.6666666666666661</v>
      </c>
      <c r="T20" s="186">
        <f t="shared" si="1"/>
        <v>29.333333333333332</v>
      </c>
      <c r="U20" s="262"/>
      <c r="V20" s="262"/>
      <c r="W20" s="262"/>
    </row>
    <row r="21" spans="2:23" ht="30" customHeight="1">
      <c r="B21" s="259" t="s">
        <v>52</v>
      </c>
      <c r="C21" s="259"/>
      <c r="D21" s="179">
        <f>IFERROR(VLOOKUP(D$7,'1st_Semester'!B$6:BG$72,19,0),"")</f>
        <v>17</v>
      </c>
      <c r="E21" s="179">
        <f>IFERROR(VLOOKUP(D$7,'1st_Semester'!B$6:BH$72,20,0),"")</f>
        <v>72</v>
      </c>
      <c r="F21" s="179">
        <f>IFERROR(VLOOKUP(D$7,'1st_Semester'!B$6:BJ$72,21,0),"")</f>
        <v>89</v>
      </c>
      <c r="G21" s="180">
        <f>'1st_Semester'!X8</f>
        <v>99</v>
      </c>
      <c r="H21" s="181">
        <f>IFERROR(VLOOKUP(D$7,'1st_Semester'!B$6:BL$72,22,0),"")</f>
        <v>5</v>
      </c>
      <c r="I21" s="179">
        <f>IFERROR(VLOOKUP(D$7,'2nd_Semester'!B$5:BM$72,19,0),"")</f>
        <v>18</v>
      </c>
      <c r="J21" s="179">
        <f>IFERROR(VLOOKUP(D$7,'2nd_Semester'!B$5:BO$72,20,0),"")</f>
        <v>58</v>
      </c>
      <c r="K21" s="180">
        <f>IFERROR(VLOOKUP(D$7,'2nd_Semester'!B$5:BP$72,21,0),"")</f>
        <v>76</v>
      </c>
      <c r="L21" s="180">
        <f>'2nd_Semester'!X8</f>
        <v>99</v>
      </c>
      <c r="M21" s="181">
        <f>IFERROR(VLOOKUP(D$7,'2nd_Semester'!B$5:BL$72,22,0),"")</f>
        <v>4</v>
      </c>
      <c r="N21" s="180">
        <f>IFERROR(VLOOKUP(D$7,'3rd_Semester'!B$5:BG$72,19,0),"")</f>
        <v>17</v>
      </c>
      <c r="O21" s="180">
        <f>IFERROR(VLOOKUP(D$7,'3rd_Semester'!B$5:BG$73,20,0),"")</f>
        <v>56</v>
      </c>
      <c r="P21" s="180">
        <f>IFERROR(VLOOKUP(D$7,'3rd_Semester'!B$5:BG$73,21,0),"")</f>
        <v>73</v>
      </c>
      <c r="Q21" s="180">
        <f>'3rd_Semester'!X8</f>
        <v>97</v>
      </c>
      <c r="R21" s="181">
        <f>IFERROR(VLOOKUP(D$7,'3rd_Semester'!B$5:BG$73,22,0),"")</f>
        <v>4</v>
      </c>
      <c r="S21" s="186">
        <f t="shared" si="0"/>
        <v>17.333333333333332</v>
      </c>
      <c r="T21" s="186">
        <f t="shared" si="1"/>
        <v>62</v>
      </c>
      <c r="U21" s="186">
        <f>SUM(F21,K21,P21)/3</f>
        <v>79.333333333333329</v>
      </c>
      <c r="V21" s="186">
        <f>SUM(H21,M21,R21)/3</f>
        <v>4.333333333333333</v>
      </c>
      <c r="W21" s="262"/>
    </row>
    <row r="22" spans="2:23" ht="30" customHeight="1">
      <c r="B22" s="259" t="s">
        <v>6</v>
      </c>
      <c r="C22" s="259"/>
      <c r="D22" s="179">
        <f>IFERROR(VLOOKUP(D$7,'1st_Semester'!B$6:BG$72,24,0),"")</f>
        <v>16</v>
      </c>
      <c r="E22" s="179">
        <f>IFERROR(VLOOKUP(D$7,'1st_Semester'!B$6:BH$72,25,0),"")</f>
        <v>45</v>
      </c>
      <c r="F22" s="179">
        <f>IFERROR(VLOOKUP(D$7,'1st_Semester'!B$6:BJ$72,26,0),"")</f>
        <v>61</v>
      </c>
      <c r="G22" s="180">
        <f>'1st_Semester'!AC8</f>
        <v>99</v>
      </c>
      <c r="H22" s="181">
        <f>IFERROR(VLOOKUP(D$7,'1st_Semester'!B$6:BL$72,27,0),"")</f>
        <v>3.5</v>
      </c>
      <c r="I22" s="179">
        <f>IFERROR(VLOOKUP(D$7,'2nd_Semester'!B$5:BM$72,24,0),"")</f>
        <v>16</v>
      </c>
      <c r="J22" s="179">
        <f>IFERROR(VLOOKUP(D$7,'2nd_Semester'!B$5:BO$72,25,0),"")</f>
        <v>48</v>
      </c>
      <c r="K22" s="180">
        <f>IFERROR(VLOOKUP(D$7,'2nd_Semester'!B$5:BP$72,26,0),"")</f>
        <v>64</v>
      </c>
      <c r="L22" s="180">
        <f>'2nd_Semester'!AC8</f>
        <v>93</v>
      </c>
      <c r="M22" s="181">
        <f>IFERROR(VLOOKUP(D$7,'2nd_Semester'!B$5:BL$72,27,0),"")</f>
        <v>3.5</v>
      </c>
      <c r="N22" s="180">
        <f>IFERROR(VLOOKUP(D$7,'3rd_Semester'!B$5:BG$72,24,0),"")</f>
        <v>19</v>
      </c>
      <c r="O22" s="180">
        <f>IFERROR(VLOOKUP(D$7,'3rd_Semester'!B$5:BG$73,25,0),"")</f>
        <v>50</v>
      </c>
      <c r="P22" s="180">
        <f>IFERROR(VLOOKUP(D$7,'3rd_Semester'!B$5:BG$73,26,0),"")</f>
        <v>69</v>
      </c>
      <c r="Q22" s="180">
        <f>'3rd_Semester'!AC8</f>
        <v>94</v>
      </c>
      <c r="R22" s="181">
        <f>IFERROR(VLOOKUP(D$7,'3rd_Semester'!B$5:BG$73,27,0),"")</f>
        <v>3.5</v>
      </c>
      <c r="S22" s="186">
        <f t="shared" si="0"/>
        <v>17</v>
      </c>
      <c r="T22" s="186">
        <f t="shared" si="1"/>
        <v>47.666666666666664</v>
      </c>
      <c r="U22" s="186">
        <f t="shared" ref="U22:U26" si="2">SUM(F22,K22,P22)/3</f>
        <v>64.666666666666671</v>
      </c>
      <c r="V22" s="186">
        <f>SUM(H22,M22,R22)/3</f>
        <v>3.5</v>
      </c>
      <c r="W22" s="262"/>
    </row>
    <row r="23" spans="2:23" ht="30" customHeight="1">
      <c r="B23" s="259" t="s">
        <v>7</v>
      </c>
      <c r="C23" s="259"/>
      <c r="D23" s="179">
        <f>IFERROR(VLOOKUP(D$7,'1st_Semester'!B$6:BG$72,29,0),"")</f>
        <v>20</v>
      </c>
      <c r="E23" s="179">
        <f>IFERROR(VLOOKUP(D$7,'1st_Semester'!B$6:BH$72,30,0),"")</f>
        <v>53</v>
      </c>
      <c r="F23" s="179">
        <f>IFERROR(VLOOKUP(D$7,'1st_Semester'!B$6:BJ$72,31,0),"")</f>
        <v>73</v>
      </c>
      <c r="G23" s="180">
        <f>'1st_Semester'!AH8</f>
        <v>98</v>
      </c>
      <c r="H23" s="181">
        <f>IFERROR(VLOOKUP(D$7,'1st_Semester'!B$6:BL$72,32,0),"")</f>
        <v>4</v>
      </c>
      <c r="I23" s="179">
        <f>IFERROR(VLOOKUP(D$7,'2nd_Semester'!B$5:BM$72,29,0),"")</f>
        <v>19</v>
      </c>
      <c r="J23" s="179">
        <f>IFERROR(VLOOKUP(D$7,'2nd_Semester'!B$5:BO$72,30,0),"")</f>
        <v>44</v>
      </c>
      <c r="K23" s="180">
        <f>IFERROR(VLOOKUP(D$7,'2nd_Semester'!B$5:BP$72,31,0),"")</f>
        <v>63</v>
      </c>
      <c r="L23" s="180">
        <f>'2nd_Semester'!AH8</f>
        <v>99</v>
      </c>
      <c r="M23" s="181">
        <f>IFERROR(VLOOKUP(D$7,'2nd_Semester'!B$5:BL$72,32,0),"")</f>
        <v>3.5</v>
      </c>
      <c r="N23" s="180">
        <f>IFERROR(VLOOKUP(D$7,'3rd_Semester'!B$5:BG$72,29,0),"")</f>
        <v>18</v>
      </c>
      <c r="O23" s="180">
        <f>IFERROR(VLOOKUP(D$7,'3rd_Semester'!B$5:BG$73,30,0),"")</f>
        <v>51</v>
      </c>
      <c r="P23" s="180">
        <f>IFERROR(VLOOKUP(D$7,'3rd_Semester'!B$5:BG$73,31,0),"")</f>
        <v>69</v>
      </c>
      <c r="Q23" s="180">
        <f>'3rd_Semester'!AH8</f>
        <v>99</v>
      </c>
      <c r="R23" s="181">
        <f>IFERROR(VLOOKUP(D$7,'3rd_Semester'!B$5:BG$73,32,0),"")</f>
        <v>3.5</v>
      </c>
      <c r="S23" s="186">
        <f t="shared" si="0"/>
        <v>19</v>
      </c>
      <c r="T23" s="186">
        <f t="shared" si="1"/>
        <v>49.333333333333336</v>
      </c>
      <c r="U23" s="186">
        <f t="shared" si="2"/>
        <v>68.333333333333329</v>
      </c>
      <c r="V23" s="186">
        <f>SUM(H23,M23,R23)/3</f>
        <v>3.6666666666666665</v>
      </c>
      <c r="W23" s="262"/>
    </row>
    <row r="24" spans="2:23" ht="30" customHeight="1">
      <c r="B24" s="259" t="s">
        <v>8</v>
      </c>
      <c r="C24" s="259"/>
      <c r="D24" s="179">
        <f>IFERROR(VLOOKUP(D$7,'1st_Semester'!B$6:BG$72,34,0),"")</f>
        <v>20</v>
      </c>
      <c r="E24" s="179">
        <f>IFERROR(VLOOKUP(D$7,'1st_Semester'!B$6:BH$72,35,0),"")</f>
        <v>58</v>
      </c>
      <c r="F24" s="179">
        <f>IFERROR(VLOOKUP(D$7,'1st_Semester'!B$6:BJ$72,36,0),"")</f>
        <v>78</v>
      </c>
      <c r="G24" s="180">
        <f>'1st_Semester'!AM8</f>
        <v>99</v>
      </c>
      <c r="H24" s="181">
        <f>IFERROR(VLOOKUP(D$7,'1st_Semester'!B$6:BL$72,37,0),"")</f>
        <v>4</v>
      </c>
      <c r="I24" s="179">
        <f>IFERROR(VLOOKUP(D$7,'2nd_Semester'!B$5:BM$72,34,0),"")</f>
        <v>19</v>
      </c>
      <c r="J24" s="179">
        <f>IFERROR(VLOOKUP(D$7,'2nd_Semester'!B$5:BO$72,35,0),"")</f>
        <v>56</v>
      </c>
      <c r="K24" s="180">
        <f>IFERROR(VLOOKUP(D$7,'2nd_Semester'!B$5:BP$72,36,0),"")</f>
        <v>75</v>
      </c>
      <c r="L24" s="180">
        <f>'2nd_Semester'!AM8</f>
        <v>100</v>
      </c>
      <c r="M24" s="181">
        <f>IFERROR(VLOOKUP(D$7,'2nd_Semester'!B$5:BL$72,37,0),"")</f>
        <v>4</v>
      </c>
      <c r="N24" s="180">
        <f>IFERROR(VLOOKUP(D$7,'3rd_Semester'!B$5:BG$72,34,0),"")</f>
        <v>19</v>
      </c>
      <c r="O24" s="180">
        <f>IFERROR(VLOOKUP(D$7,'3rd_Semester'!B$5:BG$73,35,0),"")</f>
        <v>34</v>
      </c>
      <c r="P24" s="180">
        <f>IFERROR(VLOOKUP(D$7,'3rd_Semester'!B$5:BG$73,36,0),"")</f>
        <v>53</v>
      </c>
      <c r="Q24" s="180">
        <f>'3rd_Semester'!AM8</f>
        <v>100</v>
      </c>
      <c r="R24" s="181">
        <f>IFERROR(VLOOKUP(D$7,'3rd_Semester'!B$5:BG$73,37,0),"")</f>
        <v>3</v>
      </c>
      <c r="S24" s="186">
        <f t="shared" si="0"/>
        <v>19.333333333333332</v>
      </c>
      <c r="T24" s="186">
        <f t="shared" si="1"/>
        <v>49.333333333333336</v>
      </c>
      <c r="U24" s="186">
        <f t="shared" si="2"/>
        <v>68.666666666666671</v>
      </c>
      <c r="V24" s="186">
        <f t="shared" ref="V24:V26" si="3">SUM(H24,M24,R24)/3</f>
        <v>3.6666666666666665</v>
      </c>
      <c r="W24" s="262"/>
    </row>
    <row r="25" spans="2:23" ht="30" customHeight="1">
      <c r="B25" s="259" t="s">
        <v>31</v>
      </c>
      <c r="C25" s="259"/>
      <c r="D25" s="179">
        <f>IFERROR(VLOOKUP(D$7,'1st_Semester'!B$6:BG$72,39,0),"")</f>
        <v>0</v>
      </c>
      <c r="E25" s="179">
        <f>IFERROR(VLOOKUP(D$7,'1st_Semester'!B$6:BH$72,40,0),"")</f>
        <v>40</v>
      </c>
      <c r="F25" s="179">
        <f>IFERROR(VLOOKUP(D$7,'1st_Semester'!B$6:BJ$72,41,0),"")</f>
        <v>40</v>
      </c>
      <c r="G25" s="180">
        <f>'1st_Semester'!AR8</f>
        <v>47</v>
      </c>
      <c r="H25" s="181">
        <f>IFERROR(VLOOKUP(D$7,'1st_Semester'!B$6:BL$72,42,0),"")</f>
        <v>5</v>
      </c>
      <c r="I25" s="179">
        <f>IFERROR(VLOOKUP(D$7,'2nd_Semester'!B$5:BM$72,39,0),"")</f>
        <v>0</v>
      </c>
      <c r="J25" s="179">
        <f>IFERROR(VLOOKUP(D$7,'2nd_Semester'!B$5:BO$72,40,0),"")</f>
        <v>48</v>
      </c>
      <c r="K25" s="180">
        <f>IFERROR(VLOOKUP(D$7,'2nd_Semester'!B$5:BP$72,41,0),"")</f>
        <v>48</v>
      </c>
      <c r="L25" s="180">
        <f>'2nd_Semester'!AR8</f>
        <v>50</v>
      </c>
      <c r="M25" s="181">
        <f>IFERROR(VLOOKUP(D$7,'2nd_Semester'!B$5:BL$72,42,0),"")</f>
        <v>5</v>
      </c>
      <c r="N25" s="180">
        <f>IFERROR(VLOOKUP(D$7,'3rd_Semester'!B$5:BG$72,39,0),"")</f>
        <v>0</v>
      </c>
      <c r="O25" s="180">
        <f>IFERROR(VLOOKUP(D$7,'3rd_Semester'!B$5:BG$73,40,0),"")</f>
        <v>46</v>
      </c>
      <c r="P25" s="180">
        <f>IFERROR(VLOOKUP(D$7,'3rd_Semester'!B$5:BG$73,41,0),"")</f>
        <v>46</v>
      </c>
      <c r="Q25" s="180">
        <f>'3rd_Semester'!AR8</f>
        <v>50</v>
      </c>
      <c r="R25" s="181">
        <f>IFERROR(VLOOKUP(D$7,'3rd_Semester'!B$5:BG$73,42,0),"")</f>
        <v>5</v>
      </c>
      <c r="S25" s="186">
        <f t="shared" si="0"/>
        <v>0</v>
      </c>
      <c r="T25" s="186">
        <f t="shared" si="1"/>
        <v>44.666666666666664</v>
      </c>
      <c r="U25" s="186">
        <f t="shared" si="2"/>
        <v>44.666666666666664</v>
      </c>
      <c r="V25" s="186">
        <f t="shared" si="3"/>
        <v>5</v>
      </c>
      <c r="W25" s="262"/>
    </row>
    <row r="26" spans="2:23" ht="30" customHeight="1">
      <c r="B26" s="259" t="s">
        <v>28</v>
      </c>
      <c r="C26" s="259"/>
      <c r="D26" s="259"/>
      <c r="E26" s="259"/>
      <c r="F26" s="179">
        <f>IFERROR(VLOOKUP(D$7,'1st_Semester'!B$6:BJ$54,44,0),"")</f>
        <v>40</v>
      </c>
      <c r="G26" s="180">
        <f>'1st_Semester'!AU8</f>
        <v>50</v>
      </c>
      <c r="H26" s="181">
        <f>IFERROR(VLOOKUP(D$7,'1st_Semester'!B$6:BL$54,45,0),"")</f>
        <v>5</v>
      </c>
      <c r="I26" s="259"/>
      <c r="J26" s="259"/>
      <c r="K26" s="180">
        <f>IFERROR(VLOOKUP(D$7,'2nd_Semester'!B$5:BP$54,44,0),"")</f>
        <v>50</v>
      </c>
      <c r="L26" s="180">
        <f>'2nd_Semester'!AU8</f>
        <v>50</v>
      </c>
      <c r="M26" s="181">
        <f>IFERROR(VLOOKUP(D$7,'2nd_Semester'!B$5:BL$72,45,0),"")</f>
        <v>5</v>
      </c>
      <c r="N26" s="182"/>
      <c r="O26" s="182"/>
      <c r="P26" s="180">
        <f>IFERROR(VLOOKUP(D$7,'3rd_Semester'!B$5:BG$73,44,0),"")</f>
        <v>46</v>
      </c>
      <c r="Q26" s="180">
        <f>'3rd_Semester'!AU8</f>
        <v>50</v>
      </c>
      <c r="R26" s="181">
        <f>IFERROR(VLOOKUP(D$7,'3rd_Semester'!B$5:BG$73,45,0),"")</f>
        <v>5</v>
      </c>
      <c r="S26" s="187"/>
      <c r="T26" s="187"/>
      <c r="U26" s="186">
        <f t="shared" si="2"/>
        <v>45.333333333333336</v>
      </c>
      <c r="V26" s="186">
        <f t="shared" si="3"/>
        <v>5</v>
      </c>
      <c r="W26" s="262"/>
    </row>
    <row r="27" spans="2:23" ht="30" customHeight="1">
      <c r="B27" s="265" t="s">
        <v>53</v>
      </c>
      <c r="C27" s="265"/>
      <c r="D27" s="183"/>
      <c r="E27" s="183"/>
      <c r="F27" s="184">
        <f>SUM(F17:F25)</f>
        <v>578</v>
      </c>
      <c r="G27" s="265"/>
      <c r="H27" s="265"/>
      <c r="I27" s="185"/>
      <c r="J27" s="185"/>
      <c r="K27" s="184">
        <f>SUM(K17:K25)</f>
        <v>536</v>
      </c>
      <c r="L27" s="265"/>
      <c r="M27" s="265"/>
      <c r="N27" s="185"/>
      <c r="O27" s="185"/>
      <c r="P27" s="184">
        <f>SUM(P17:P25)</f>
        <v>550</v>
      </c>
      <c r="Q27" s="265"/>
      <c r="R27" s="265"/>
      <c r="S27" s="267"/>
      <c r="T27" s="267"/>
      <c r="U27" s="188">
        <f>SUM(U17:U25)</f>
        <v>554.66666666666663</v>
      </c>
      <c r="V27" s="267"/>
      <c r="W27" s="267"/>
    </row>
    <row r="31" spans="2:23" s="174" customFormat="1" ht="15.75">
      <c r="B31" s="173" t="s">
        <v>39</v>
      </c>
      <c r="K31" s="175" t="s">
        <v>68</v>
      </c>
      <c r="U31" s="176" t="s">
        <v>69</v>
      </c>
    </row>
  </sheetData>
  <mergeCells count="69">
    <mergeCell ref="R4:V4"/>
    <mergeCell ref="V27:W27"/>
    <mergeCell ref="E12:E16"/>
    <mergeCell ref="J12:J16"/>
    <mergeCell ref="O12:O16"/>
    <mergeCell ref="S27:T27"/>
    <mergeCell ref="Q19:Q20"/>
    <mergeCell ref="R19:R20"/>
    <mergeCell ref="U19:U20"/>
    <mergeCell ref="V19:V20"/>
    <mergeCell ref="W17:W26"/>
    <mergeCell ref="K19:K20"/>
    <mergeCell ref="L19:L20"/>
    <mergeCell ref="M19:M20"/>
    <mergeCell ref="P19:P20"/>
    <mergeCell ref="M17:M18"/>
    <mergeCell ref="B27:C27"/>
    <mergeCell ref="G27:H27"/>
    <mergeCell ref="L27:M27"/>
    <mergeCell ref="Q27:R27"/>
    <mergeCell ref="I26:J26"/>
    <mergeCell ref="B22:C22"/>
    <mergeCell ref="B23:C23"/>
    <mergeCell ref="B24:C24"/>
    <mergeCell ref="B26:C26"/>
    <mergeCell ref="D26:E26"/>
    <mergeCell ref="B25:C25"/>
    <mergeCell ref="B21:C21"/>
    <mergeCell ref="B18:C18"/>
    <mergeCell ref="B19:C19"/>
    <mergeCell ref="F19:F20"/>
    <mergeCell ref="G19:G20"/>
    <mergeCell ref="S12:S16"/>
    <mergeCell ref="B20:C20"/>
    <mergeCell ref="F12:F16"/>
    <mergeCell ref="G12:G16"/>
    <mergeCell ref="H12:H16"/>
    <mergeCell ref="H19:H20"/>
    <mergeCell ref="K12:K16"/>
    <mergeCell ref="P17:P18"/>
    <mergeCell ref="P12:P16"/>
    <mergeCell ref="Q12:Q16"/>
    <mergeCell ref="R12:R16"/>
    <mergeCell ref="V17:V18"/>
    <mergeCell ref="B17:C17"/>
    <mergeCell ref="F17:F18"/>
    <mergeCell ref="G17:G18"/>
    <mergeCell ref="H17:H18"/>
    <mergeCell ref="K17:K18"/>
    <mergeCell ref="L17:L18"/>
    <mergeCell ref="Q17:Q18"/>
    <mergeCell ref="R17:R18"/>
    <mergeCell ref="U17:U18"/>
    <mergeCell ref="B1:W3"/>
    <mergeCell ref="D10:J10"/>
    <mergeCell ref="B11:C16"/>
    <mergeCell ref="D11:D16"/>
    <mergeCell ref="E11:H11"/>
    <mergeCell ref="I11:I16"/>
    <mergeCell ref="J11:M11"/>
    <mergeCell ref="N11:N16"/>
    <mergeCell ref="O11:R11"/>
    <mergeCell ref="S11:W11"/>
    <mergeCell ref="L12:L16"/>
    <mergeCell ref="M12:M16"/>
    <mergeCell ref="U12:U16"/>
    <mergeCell ref="V12:V16"/>
    <mergeCell ref="W12:W16"/>
    <mergeCell ref="T12:T16"/>
  </mergeCells>
  <printOptions horizontalCentered="1" verticalCentered="1"/>
  <pageMargins left="0" right="0" top="0" bottom="0" header="0" footer="0"/>
  <pageSetup paperSize="9" scale="7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1st_Semester</vt:lpstr>
      <vt:lpstr>2nd_Semester</vt:lpstr>
      <vt:lpstr>3rd_Semester</vt:lpstr>
      <vt:lpstr>ANNUAL_CARD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2025-12-24T07:03:00Z</dcterms:modified>
</cp:coreProperties>
</file>