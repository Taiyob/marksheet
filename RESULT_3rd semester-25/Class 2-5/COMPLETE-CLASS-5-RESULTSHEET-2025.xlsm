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drawings/drawing5.xml" ContentType="application/vnd.openxmlformats-officedocument.drawin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/>
  <workbookPr defaultThemeVersion="124226"/>
  <bookViews>
    <workbookView xWindow="-120" yWindow="-120" windowWidth="24240" windowHeight="13740" activeTab="4"/>
  </bookViews>
  <sheets>
    <sheet name="1st_Semester" sheetId="3" r:id="rId1"/>
    <sheet name="2nd_Semester" sheetId="1" r:id="rId2"/>
    <sheet name="3rd_Semester" sheetId="4" r:id="rId3"/>
    <sheet name="PROGRESSIVE REPORT" sheetId="2" state="hidden" r:id="rId4"/>
    <sheet name="ANNUAL_CARD" sheetId="5" r:id="rId5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9" i="3"/>
  <c r="AL10"/>
  <c r="AL11"/>
  <c r="AL12"/>
  <c r="AL13"/>
  <c r="AL14"/>
  <c r="AL15"/>
  <c r="AL16"/>
  <c r="AL17"/>
  <c r="AL18"/>
  <c r="AL19"/>
  <c r="AL20"/>
  <c r="AL21"/>
  <c r="AL22"/>
  <c r="AL23"/>
  <c r="AL24"/>
  <c r="AL25"/>
  <c r="AL26"/>
  <c r="AL27"/>
  <c r="AL28"/>
  <c r="AL29"/>
  <c r="AL30"/>
  <c r="AL31"/>
  <c r="AL32"/>
  <c r="AL33"/>
  <c r="AL34"/>
  <c r="AL35"/>
  <c r="AL36"/>
  <c r="AL37"/>
  <c r="AL38"/>
  <c r="AL39"/>
  <c r="AL40"/>
  <c r="AL41"/>
  <c r="AL42"/>
  <c r="AL43"/>
  <c r="AL44"/>
  <c r="AL45"/>
  <c r="AL46"/>
  <c r="AL47"/>
  <c r="AL48"/>
  <c r="AL49"/>
  <c r="AL50"/>
  <c r="AL51"/>
  <c r="AL52"/>
  <c r="AL53"/>
  <c r="AL54"/>
  <c r="AL55"/>
  <c r="AL56"/>
  <c r="AL57"/>
  <c r="AL58"/>
  <c r="AL59"/>
  <c r="AL60"/>
  <c r="AL61"/>
  <c r="AL62"/>
  <c r="AL63"/>
  <c r="AL64"/>
  <c r="AL65"/>
  <c r="AL66"/>
  <c r="AL67"/>
  <c r="AL68"/>
  <c r="AL69"/>
  <c r="AL70"/>
  <c r="AL71"/>
  <c r="AL72"/>
  <c r="AL73"/>
  <c r="AL74"/>
  <c r="AL75"/>
  <c r="AL76"/>
  <c r="AL77"/>
  <c r="AL78"/>
  <c r="AL79"/>
  <c r="AL80"/>
  <c r="AL81"/>
  <c r="AL82"/>
  <c r="AL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G80"/>
  <c r="AG81"/>
  <c r="AG82"/>
  <c r="AG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"/>
  <c r="AQ9"/>
  <c r="AQ10"/>
  <c r="AQ11"/>
  <c r="AQ12"/>
  <c r="AQ13"/>
  <c r="AQ14"/>
  <c r="AQ15"/>
  <c r="AQ16"/>
  <c r="AQ17"/>
  <c r="AQ18"/>
  <c r="AQ19"/>
  <c r="AQ20"/>
  <c r="AQ21"/>
  <c r="AQ22"/>
  <c r="AQ23"/>
  <c r="AQ24"/>
  <c r="AQ25"/>
  <c r="AQ26"/>
  <c r="AQ27"/>
  <c r="AQ28"/>
  <c r="AQ29"/>
  <c r="AQ30"/>
  <c r="AQ31"/>
  <c r="AQ32"/>
  <c r="AQ33"/>
  <c r="AQ34"/>
  <c r="AQ35"/>
  <c r="AQ36"/>
  <c r="AQ37"/>
  <c r="AQ38"/>
  <c r="AQ39"/>
  <c r="AQ40"/>
  <c r="AQ41"/>
  <c r="AQ42"/>
  <c r="AQ43"/>
  <c r="AQ44"/>
  <c r="AQ45"/>
  <c r="AQ46"/>
  <c r="AQ47"/>
  <c r="AQ48"/>
  <c r="AQ49"/>
  <c r="AQ50"/>
  <c r="AQ51"/>
  <c r="AQ52"/>
  <c r="AQ53"/>
  <c r="AQ54"/>
  <c r="AQ55"/>
  <c r="AQ56"/>
  <c r="AQ57"/>
  <c r="AQ58"/>
  <c r="AQ59"/>
  <c r="AQ60"/>
  <c r="AQ61"/>
  <c r="AQ62"/>
  <c r="AQ63"/>
  <c r="AQ64"/>
  <c r="AQ65"/>
  <c r="AQ66"/>
  <c r="AQ67"/>
  <c r="AQ68"/>
  <c r="AQ69"/>
  <c r="AQ70"/>
  <c r="AQ71"/>
  <c r="AQ72"/>
  <c r="AQ73"/>
  <c r="AQ74"/>
  <c r="AQ75"/>
  <c r="AQ76"/>
  <c r="AQ77"/>
  <c r="AQ78"/>
  <c r="AQ79"/>
  <c r="AQ80"/>
  <c r="AQ81"/>
  <c r="AQ82"/>
  <c r="AQ8"/>
  <c r="F20" i="5"/>
  <c r="C8"/>
  <c r="V4" l="1"/>
  <c r="AY9" i="4" l="1"/>
  <c r="AY10"/>
  <c r="AY11"/>
  <c r="BB11" s="1"/>
  <c r="AY12"/>
  <c r="BB12" s="1"/>
  <c r="AY13"/>
  <c r="AY14"/>
  <c r="AY15"/>
  <c r="AY16"/>
  <c r="BB16" s="1"/>
  <c r="AY17"/>
  <c r="BB17" s="1"/>
  <c r="AY18"/>
  <c r="AY19"/>
  <c r="AY20"/>
  <c r="AY21"/>
  <c r="AY22"/>
  <c r="AY23"/>
  <c r="BB23" s="1"/>
  <c r="AY24"/>
  <c r="BB24" s="1"/>
  <c r="AY25"/>
  <c r="AY26"/>
  <c r="AY27"/>
  <c r="AY28"/>
  <c r="BB28" s="1"/>
  <c r="AY29"/>
  <c r="BB29" s="1"/>
  <c r="AY30"/>
  <c r="AY31"/>
  <c r="AY32"/>
  <c r="AY33"/>
  <c r="AY34"/>
  <c r="AY35"/>
  <c r="BB35" s="1"/>
  <c r="AY36"/>
  <c r="BB36" s="1"/>
  <c r="AY37"/>
  <c r="AY38"/>
  <c r="AY39"/>
  <c r="AY40"/>
  <c r="BB40" s="1"/>
  <c r="AY41"/>
  <c r="BB41" s="1"/>
  <c r="AY42"/>
  <c r="AY43"/>
  <c r="AY44"/>
  <c r="AY45"/>
  <c r="AY46"/>
  <c r="AY47"/>
  <c r="BB47" s="1"/>
  <c r="AY48"/>
  <c r="BB48" s="1"/>
  <c r="AY49"/>
  <c r="AY50"/>
  <c r="AY51"/>
  <c r="AY52"/>
  <c r="BB52" s="1"/>
  <c r="AY53"/>
  <c r="BB53" s="1"/>
  <c r="AY54"/>
  <c r="AY55"/>
  <c r="AY56"/>
  <c r="AY57"/>
  <c r="AY58"/>
  <c r="AY59"/>
  <c r="BB59" s="1"/>
  <c r="AY60"/>
  <c r="BB60" s="1"/>
  <c r="AY61"/>
  <c r="AY62"/>
  <c r="AY63"/>
  <c r="AY64"/>
  <c r="BB64" s="1"/>
  <c r="AY65"/>
  <c r="BB65" s="1"/>
  <c r="AY66"/>
  <c r="AY67"/>
  <c r="AY68"/>
  <c r="AY69"/>
  <c r="AY70"/>
  <c r="AY71"/>
  <c r="BB71" s="1"/>
  <c r="AY72"/>
  <c r="BB72" s="1"/>
  <c r="AY73"/>
  <c r="AY74"/>
  <c r="AY75"/>
  <c r="AY76"/>
  <c r="BB76" s="1"/>
  <c r="AY77"/>
  <c r="BB77" s="1"/>
  <c r="AY78"/>
  <c r="AY79"/>
  <c r="AY80"/>
  <c r="AY81"/>
  <c r="AY82"/>
  <c r="AY8"/>
  <c r="BB9"/>
  <c r="BB10"/>
  <c r="BB14"/>
  <c r="BB15"/>
  <c r="BB18"/>
  <c r="BB19"/>
  <c r="BB20"/>
  <c r="BB21"/>
  <c r="BB22"/>
  <c r="BB25"/>
  <c r="BB26"/>
  <c r="BB27"/>
  <c r="BB30"/>
  <c r="BB31"/>
  <c r="BB32"/>
  <c r="BB33"/>
  <c r="BB34"/>
  <c r="BB37"/>
  <c r="BB38"/>
  <c r="BB39"/>
  <c r="BB42"/>
  <c r="BB43"/>
  <c r="BB44"/>
  <c r="BB45"/>
  <c r="BB46"/>
  <c r="BB49"/>
  <c r="BB50"/>
  <c r="BB51"/>
  <c r="BB54"/>
  <c r="BB55"/>
  <c r="BB56"/>
  <c r="BB57"/>
  <c r="BB58"/>
  <c r="BB61"/>
  <c r="BB62"/>
  <c r="BB63"/>
  <c r="BB66"/>
  <c r="BB67"/>
  <c r="BB68"/>
  <c r="BB69"/>
  <c r="BB70"/>
  <c r="BB73"/>
  <c r="BB74"/>
  <c r="BB75"/>
  <c r="BB78"/>
  <c r="BB79"/>
  <c r="BB80"/>
  <c r="BB81"/>
  <c r="BB82"/>
  <c r="BA9"/>
  <c r="BA10"/>
  <c r="BA11"/>
  <c r="BA12"/>
  <c r="BA14"/>
  <c r="BA15"/>
  <c r="BA16"/>
  <c r="BA17"/>
  <c r="BA18"/>
  <c r="BA19"/>
  <c r="BA20"/>
  <c r="BA21"/>
  <c r="BA22"/>
  <c r="BA23"/>
  <c r="BA24"/>
  <c r="BA25"/>
  <c r="BA26"/>
  <c r="BA27"/>
  <c r="BA28"/>
  <c r="BA29"/>
  <c r="BA30"/>
  <c r="BA31"/>
  <c r="BA32"/>
  <c r="BA33"/>
  <c r="BA34"/>
  <c r="BA35"/>
  <c r="BA36"/>
  <c r="BA37"/>
  <c r="BA38"/>
  <c r="BA39"/>
  <c r="BA40"/>
  <c r="BA41"/>
  <c r="BA42"/>
  <c r="BA43"/>
  <c r="BA44"/>
  <c r="BA45"/>
  <c r="BA46"/>
  <c r="BA47"/>
  <c r="BA48"/>
  <c r="BA49"/>
  <c r="BA50"/>
  <c r="BA51"/>
  <c r="BA52"/>
  <c r="BA53"/>
  <c r="BA54"/>
  <c r="BA55"/>
  <c r="BA56"/>
  <c r="BA57"/>
  <c r="BA58"/>
  <c r="BA59"/>
  <c r="BA60"/>
  <c r="BA61"/>
  <c r="BA62"/>
  <c r="BA63"/>
  <c r="BA64"/>
  <c r="BA65"/>
  <c r="BA66"/>
  <c r="BA67"/>
  <c r="BA68"/>
  <c r="BA69"/>
  <c r="BA70"/>
  <c r="BA71"/>
  <c r="BA72"/>
  <c r="BA73"/>
  <c r="BA74"/>
  <c r="BA75"/>
  <c r="BA76"/>
  <c r="BA77"/>
  <c r="BA78"/>
  <c r="BA79"/>
  <c r="BA80"/>
  <c r="BA81"/>
  <c r="BA82"/>
  <c r="BA8"/>
  <c r="AZ9"/>
  <c r="AZ10"/>
  <c r="AZ11"/>
  <c r="AZ12"/>
  <c r="AZ14"/>
  <c r="AZ15"/>
  <c r="AZ16"/>
  <c r="AZ17"/>
  <c r="AZ18"/>
  <c r="AZ19"/>
  <c r="AZ20"/>
  <c r="AZ21"/>
  <c r="AZ22"/>
  <c r="AZ23"/>
  <c r="AZ24"/>
  <c r="AZ25"/>
  <c r="AZ26"/>
  <c r="AZ27"/>
  <c r="AZ28"/>
  <c r="AZ29"/>
  <c r="AZ30"/>
  <c r="AZ31"/>
  <c r="AZ32"/>
  <c r="AZ33"/>
  <c r="AZ34"/>
  <c r="AZ35"/>
  <c r="AZ36"/>
  <c r="AZ37"/>
  <c r="AZ38"/>
  <c r="AZ39"/>
  <c r="AZ40"/>
  <c r="AZ41"/>
  <c r="AZ42"/>
  <c r="AZ43"/>
  <c r="AZ44"/>
  <c r="AZ45"/>
  <c r="AZ46"/>
  <c r="AZ47"/>
  <c r="AZ48"/>
  <c r="AZ49"/>
  <c r="AZ50"/>
  <c r="AZ51"/>
  <c r="AZ52"/>
  <c r="AZ53"/>
  <c r="AZ54"/>
  <c r="AZ55"/>
  <c r="AZ56"/>
  <c r="AZ57"/>
  <c r="AZ58"/>
  <c r="AZ59"/>
  <c r="AZ60"/>
  <c r="AZ61"/>
  <c r="AZ62"/>
  <c r="AZ63"/>
  <c r="AZ64"/>
  <c r="AZ65"/>
  <c r="AZ66"/>
  <c r="AZ67"/>
  <c r="AZ68"/>
  <c r="AZ69"/>
  <c r="AZ70"/>
  <c r="AZ71"/>
  <c r="AZ72"/>
  <c r="AZ73"/>
  <c r="AZ74"/>
  <c r="AZ75"/>
  <c r="AZ76"/>
  <c r="AZ77"/>
  <c r="AZ78"/>
  <c r="AZ79"/>
  <c r="AZ80"/>
  <c r="AZ81"/>
  <c r="AZ82"/>
  <c r="AZ8"/>
  <c r="AX9"/>
  <c r="AX10"/>
  <c r="AX11"/>
  <c r="AX12"/>
  <c r="AX14"/>
  <c r="AX15"/>
  <c r="AX16"/>
  <c r="AX17"/>
  <c r="AX18"/>
  <c r="AX19"/>
  <c r="AX20"/>
  <c r="AX21"/>
  <c r="AX22"/>
  <c r="AX23"/>
  <c r="AX24"/>
  <c r="AX25"/>
  <c r="AX26"/>
  <c r="AX27"/>
  <c r="AX28"/>
  <c r="AX29"/>
  <c r="AX30"/>
  <c r="AX31"/>
  <c r="AX32"/>
  <c r="AX33"/>
  <c r="AX34"/>
  <c r="AX35"/>
  <c r="AX36"/>
  <c r="AX37"/>
  <c r="AX38"/>
  <c r="AX39"/>
  <c r="AX40"/>
  <c r="AX41"/>
  <c r="AX42"/>
  <c r="AX43"/>
  <c r="AX44"/>
  <c r="AX45"/>
  <c r="AX46"/>
  <c r="AX47"/>
  <c r="AX48"/>
  <c r="AX49"/>
  <c r="AX50"/>
  <c r="AX51"/>
  <c r="AX52"/>
  <c r="AX53"/>
  <c r="AX54"/>
  <c r="AX55"/>
  <c r="AX56"/>
  <c r="AX57"/>
  <c r="AX58"/>
  <c r="AX59"/>
  <c r="AX60"/>
  <c r="AX61"/>
  <c r="AX62"/>
  <c r="AX63"/>
  <c r="AX64"/>
  <c r="AX65"/>
  <c r="AX66"/>
  <c r="AX67"/>
  <c r="AX68"/>
  <c r="AX69"/>
  <c r="AX70"/>
  <c r="AX71"/>
  <c r="AX72"/>
  <c r="AX73"/>
  <c r="AX74"/>
  <c r="AX75"/>
  <c r="AX76"/>
  <c r="AX77"/>
  <c r="AX78"/>
  <c r="AX79"/>
  <c r="AX80"/>
  <c r="AX81"/>
  <c r="AX82"/>
  <c r="AS9"/>
  <c r="AS10"/>
  <c r="AS11"/>
  <c r="AS12"/>
  <c r="AS14"/>
  <c r="AS15"/>
  <c r="AS16"/>
  <c r="AS17"/>
  <c r="AS18"/>
  <c r="AS19"/>
  <c r="AS20"/>
  <c r="AS21"/>
  <c r="AS22"/>
  <c r="AS23"/>
  <c r="AS24"/>
  <c r="AS25"/>
  <c r="AS26"/>
  <c r="AS27"/>
  <c r="AS28"/>
  <c r="AS29"/>
  <c r="AS30"/>
  <c r="AS31"/>
  <c r="AS32"/>
  <c r="AS33"/>
  <c r="AS34"/>
  <c r="AS35"/>
  <c r="AS36"/>
  <c r="AS37"/>
  <c r="AS38"/>
  <c r="AS39"/>
  <c r="AS40"/>
  <c r="AS41"/>
  <c r="AS42"/>
  <c r="AS43"/>
  <c r="AS44"/>
  <c r="AS45"/>
  <c r="AS46"/>
  <c r="AS47"/>
  <c r="AS48"/>
  <c r="AS49"/>
  <c r="AS50"/>
  <c r="AS51"/>
  <c r="AS52"/>
  <c r="AS53"/>
  <c r="AS54"/>
  <c r="AS55"/>
  <c r="AS56"/>
  <c r="AS57"/>
  <c r="AS58"/>
  <c r="AS59"/>
  <c r="AS60"/>
  <c r="AS61"/>
  <c r="AS62"/>
  <c r="AS63"/>
  <c r="AS64"/>
  <c r="AS65"/>
  <c r="AS66"/>
  <c r="AS67"/>
  <c r="AS68"/>
  <c r="AS69"/>
  <c r="AS70"/>
  <c r="AS71"/>
  <c r="AS72"/>
  <c r="AS73"/>
  <c r="AS74"/>
  <c r="AS75"/>
  <c r="AS76"/>
  <c r="AS77"/>
  <c r="AS78"/>
  <c r="AS79"/>
  <c r="AS80"/>
  <c r="AS81"/>
  <c r="AS82"/>
  <c r="AS8"/>
  <c r="AT84" i="1"/>
  <c r="AA76"/>
  <c r="AB76" s="1"/>
  <c r="AP53"/>
  <c r="AQ53" s="1"/>
  <c r="AP54"/>
  <c r="AQ54" s="1"/>
  <c r="AP55"/>
  <c r="AQ55" s="1"/>
  <c r="AP56"/>
  <c r="AQ56" s="1"/>
  <c r="AP57"/>
  <c r="AQ57" s="1"/>
  <c r="AP58"/>
  <c r="AQ58" s="1"/>
  <c r="AP59"/>
  <c r="AQ59" s="1"/>
  <c r="AP60"/>
  <c r="AQ60" s="1"/>
  <c r="AP61"/>
  <c r="AQ61" s="1"/>
  <c r="AP62"/>
  <c r="AQ62"/>
  <c r="AP63"/>
  <c r="AQ63" s="1"/>
  <c r="AP64"/>
  <c r="AQ64" s="1"/>
  <c r="AP65"/>
  <c r="AQ65" s="1"/>
  <c r="AP66"/>
  <c r="AQ66" s="1"/>
  <c r="AP67"/>
  <c r="AQ67" s="1"/>
  <c r="AP68"/>
  <c r="AQ68" s="1"/>
  <c r="AP69"/>
  <c r="AQ69" s="1"/>
  <c r="AP70"/>
  <c r="AQ70" s="1"/>
  <c r="AP17"/>
  <c r="AQ17" s="1"/>
  <c r="AP18"/>
  <c r="AQ18" s="1"/>
  <c r="AP19"/>
  <c r="AQ19" s="1"/>
  <c r="AP20"/>
  <c r="AQ20"/>
  <c r="AP21"/>
  <c r="AQ21" s="1"/>
  <c r="AP22"/>
  <c r="AQ22" s="1"/>
  <c r="AP23"/>
  <c r="AQ23" s="1"/>
  <c r="AP24"/>
  <c r="AQ24" s="1"/>
  <c r="AP25"/>
  <c r="AQ25" s="1"/>
  <c r="AP26"/>
  <c r="AQ26" s="1"/>
  <c r="AP27"/>
  <c r="AQ27" s="1"/>
  <c r="AP28"/>
  <c r="AQ28" s="1"/>
  <c r="AP29"/>
  <c r="AQ29" s="1"/>
  <c r="AP30"/>
  <c r="AQ30" s="1"/>
  <c r="AP31"/>
  <c r="AQ31" s="1"/>
  <c r="AP32"/>
  <c r="AQ32" s="1"/>
  <c r="AP33"/>
  <c r="AQ33" s="1"/>
  <c r="AP34"/>
  <c r="AQ34" s="1"/>
  <c r="AP35"/>
  <c r="AQ35" s="1"/>
  <c r="AP36"/>
  <c r="AQ36" s="1"/>
  <c r="AK53"/>
  <c r="AL53" s="1"/>
  <c r="AK54"/>
  <c r="AL54" s="1"/>
  <c r="AK55"/>
  <c r="AL55" s="1"/>
  <c r="AK56"/>
  <c r="AL56" s="1"/>
  <c r="AK57"/>
  <c r="AL57" s="1"/>
  <c r="AK58"/>
  <c r="AL58" s="1"/>
  <c r="AK59"/>
  <c r="AL59" s="1"/>
  <c r="AK60"/>
  <c r="AL60" s="1"/>
  <c r="AK61"/>
  <c r="AL61" s="1"/>
  <c r="AK62"/>
  <c r="AL62" s="1"/>
  <c r="AK63"/>
  <c r="AL63" s="1"/>
  <c r="AK64"/>
  <c r="AL64" s="1"/>
  <c r="AK65"/>
  <c r="AL65" s="1"/>
  <c r="AK66"/>
  <c r="AL66" s="1"/>
  <c r="AK67"/>
  <c r="AL67" s="1"/>
  <c r="AK68"/>
  <c r="AL68" s="1"/>
  <c r="AK17"/>
  <c r="AL17" s="1"/>
  <c r="AK18"/>
  <c r="AL18" s="1"/>
  <c r="AK19"/>
  <c r="AL19" s="1"/>
  <c r="AK20"/>
  <c r="AL20" s="1"/>
  <c r="AK21"/>
  <c r="AL21" s="1"/>
  <c r="AK22"/>
  <c r="AL22" s="1"/>
  <c r="AK23"/>
  <c r="AL23" s="1"/>
  <c r="AK24"/>
  <c r="AL24" s="1"/>
  <c r="AK25"/>
  <c r="AL25" s="1"/>
  <c r="AK26"/>
  <c r="AL26" s="1"/>
  <c r="AK27"/>
  <c r="AL27" s="1"/>
  <c r="AK28"/>
  <c r="AL28" s="1"/>
  <c r="AK29"/>
  <c r="AL29" s="1"/>
  <c r="AK30"/>
  <c r="AL30" s="1"/>
  <c r="AK31"/>
  <c r="AL31" s="1"/>
  <c r="AK32"/>
  <c r="AL32" s="1"/>
  <c r="AK33"/>
  <c r="AL33" s="1"/>
  <c r="AK34"/>
  <c r="AL34" s="1"/>
  <c r="AK35"/>
  <c r="AL35" s="1"/>
  <c r="AK36"/>
  <c r="AL36" s="1"/>
  <c r="AK37"/>
  <c r="AL37" s="1"/>
  <c r="AF53"/>
  <c r="AG53" s="1"/>
  <c r="AF54"/>
  <c r="AG54" s="1"/>
  <c r="AF55"/>
  <c r="AG55" s="1"/>
  <c r="AF56"/>
  <c r="AG56" s="1"/>
  <c r="AF57"/>
  <c r="AG57" s="1"/>
  <c r="AF58"/>
  <c r="AG58" s="1"/>
  <c r="AF59"/>
  <c r="AG59" s="1"/>
  <c r="AF60"/>
  <c r="AG60" s="1"/>
  <c r="AF61"/>
  <c r="AG61" s="1"/>
  <c r="AF62"/>
  <c r="AG62" s="1"/>
  <c r="AF63"/>
  <c r="AG63" s="1"/>
  <c r="AF64"/>
  <c r="AG64" s="1"/>
  <c r="AF65"/>
  <c r="AG65" s="1"/>
  <c r="AF66"/>
  <c r="AG66" s="1"/>
  <c r="AF67"/>
  <c r="AG67" s="1"/>
  <c r="AF68"/>
  <c r="AG68"/>
  <c r="AF69"/>
  <c r="AG69" s="1"/>
  <c r="AF17"/>
  <c r="AG17" s="1"/>
  <c r="AF18"/>
  <c r="AG18" s="1"/>
  <c r="AF19"/>
  <c r="AG19" s="1"/>
  <c r="AF20"/>
  <c r="AG20" s="1"/>
  <c r="AF21"/>
  <c r="AG21" s="1"/>
  <c r="AF22"/>
  <c r="AG22" s="1"/>
  <c r="AF23"/>
  <c r="AG23" s="1"/>
  <c r="AF24"/>
  <c r="AG24" s="1"/>
  <c r="AF25"/>
  <c r="AG25" s="1"/>
  <c r="AF26"/>
  <c r="AG26" s="1"/>
  <c r="AF27"/>
  <c r="AG27" s="1"/>
  <c r="AF28"/>
  <c r="AG28" s="1"/>
  <c r="AF29"/>
  <c r="AG29" s="1"/>
  <c r="AF30"/>
  <c r="AG30" s="1"/>
  <c r="AF31"/>
  <c r="AG31" s="1"/>
  <c r="AF32"/>
  <c r="AG32"/>
  <c r="AF33"/>
  <c r="AG33" s="1"/>
  <c r="AF34"/>
  <c r="AG34" s="1"/>
  <c r="AF35"/>
  <c r="AG35" s="1"/>
  <c r="AF36"/>
  <c r="AG36" s="1"/>
  <c r="AA53"/>
  <c r="AB53" s="1"/>
  <c r="AA54"/>
  <c r="AB54" s="1"/>
  <c r="AA55"/>
  <c r="AB55" s="1"/>
  <c r="AA56"/>
  <c r="AB56" s="1"/>
  <c r="AA57"/>
  <c r="AB57" s="1"/>
  <c r="AA58"/>
  <c r="AB58" s="1"/>
  <c r="AA59"/>
  <c r="AB59" s="1"/>
  <c r="AA60"/>
  <c r="AB60" s="1"/>
  <c r="AA61"/>
  <c r="AB61" s="1"/>
  <c r="AA62"/>
  <c r="AB62" s="1"/>
  <c r="AA63"/>
  <c r="AB63" s="1"/>
  <c r="AA64"/>
  <c r="AB64" s="1"/>
  <c r="AA65"/>
  <c r="AB65" s="1"/>
  <c r="AA66"/>
  <c r="AB66" s="1"/>
  <c r="AA67"/>
  <c r="AB67" s="1"/>
  <c r="AA68"/>
  <c r="AB68" s="1"/>
  <c r="AA69"/>
  <c r="AB69" s="1"/>
  <c r="AA70"/>
  <c r="AB70" s="1"/>
  <c r="AA71"/>
  <c r="AB71" s="1"/>
  <c r="AA72"/>
  <c r="AB72" s="1"/>
  <c r="AA73"/>
  <c r="AB73" s="1"/>
  <c r="AA74"/>
  <c r="AB74" s="1"/>
  <c r="AA75"/>
  <c r="AB75" s="1"/>
  <c r="AA77"/>
  <c r="AB77" s="1"/>
  <c r="AA78"/>
  <c r="AB78" s="1"/>
  <c r="AA79"/>
  <c r="AB79" s="1"/>
  <c r="AA80"/>
  <c r="AB80" s="1"/>
  <c r="AA81"/>
  <c r="AB81" s="1"/>
  <c r="AA82"/>
  <c r="AB82" s="1"/>
  <c r="AA83"/>
  <c r="AB83" s="1"/>
  <c r="AA84"/>
  <c r="AB84" s="1"/>
  <c r="AA17"/>
  <c r="AB17"/>
  <c r="AA18"/>
  <c r="AB18" s="1"/>
  <c r="AA19"/>
  <c r="AB19" s="1"/>
  <c r="AA20"/>
  <c r="AB20" s="1"/>
  <c r="AA21"/>
  <c r="AB21" s="1"/>
  <c r="AA22"/>
  <c r="AB22" s="1"/>
  <c r="AA23"/>
  <c r="AB23" s="1"/>
  <c r="AA24"/>
  <c r="AB24" s="1"/>
  <c r="AA25"/>
  <c r="AB25" s="1"/>
  <c r="AA26"/>
  <c r="AB26" s="1"/>
  <c r="AA27"/>
  <c r="AB27" s="1"/>
  <c r="AA28"/>
  <c r="AB28" s="1"/>
  <c r="AA29"/>
  <c r="AB29" s="1"/>
  <c r="AA30"/>
  <c r="AB30" s="1"/>
  <c r="AA31"/>
  <c r="AB31" s="1"/>
  <c r="AA32"/>
  <c r="AB32" s="1"/>
  <c r="AA33"/>
  <c r="AB33" s="1"/>
  <c r="AA34"/>
  <c r="AB34" s="1"/>
  <c r="AA35"/>
  <c r="AB35" s="1"/>
  <c r="AA36"/>
  <c r="AB36" s="1"/>
  <c r="AA37"/>
  <c r="AB37" s="1"/>
  <c r="AA38"/>
  <c r="AB38" s="1"/>
  <c r="AA39"/>
  <c r="AB39" s="1"/>
  <c r="AA40"/>
  <c r="AB40" s="1"/>
  <c r="AA41"/>
  <c r="AB41" s="1"/>
  <c r="AA42"/>
  <c r="AB42" s="1"/>
  <c r="AA43"/>
  <c r="AB43" s="1"/>
  <c r="AA44"/>
  <c r="AB44" s="1"/>
  <c r="AA45"/>
  <c r="AB45" s="1"/>
  <c r="AA46"/>
  <c r="AB46" s="1"/>
  <c r="AA47"/>
  <c r="AB47" s="1"/>
  <c r="AA16"/>
  <c r="V53"/>
  <c r="W53" s="1"/>
  <c r="V54"/>
  <c r="W54" s="1"/>
  <c r="V55"/>
  <c r="W55" s="1"/>
  <c r="V56"/>
  <c r="W56" s="1"/>
  <c r="V57"/>
  <c r="W57" s="1"/>
  <c r="V58"/>
  <c r="W58" s="1"/>
  <c r="V59"/>
  <c r="W59" s="1"/>
  <c r="V60"/>
  <c r="W60" s="1"/>
  <c r="V61"/>
  <c r="W61" s="1"/>
  <c r="V62"/>
  <c r="W62" s="1"/>
  <c r="V63"/>
  <c r="W63" s="1"/>
  <c r="V64"/>
  <c r="W64" s="1"/>
  <c r="V65"/>
  <c r="W65" s="1"/>
  <c r="V66"/>
  <c r="W66" s="1"/>
  <c r="V67"/>
  <c r="W67" s="1"/>
  <c r="V68"/>
  <c r="W68" s="1"/>
  <c r="V69"/>
  <c r="W69" s="1"/>
  <c r="V17"/>
  <c r="W17" s="1"/>
  <c r="V18"/>
  <c r="W18" s="1"/>
  <c r="V19"/>
  <c r="W19" s="1"/>
  <c r="V20"/>
  <c r="W20" s="1"/>
  <c r="V21"/>
  <c r="W21" s="1"/>
  <c r="V22"/>
  <c r="W22" s="1"/>
  <c r="V23"/>
  <c r="W23" s="1"/>
  <c r="V24"/>
  <c r="W24" s="1"/>
  <c r="V25"/>
  <c r="W25" s="1"/>
  <c r="V26"/>
  <c r="W26" s="1"/>
  <c r="V27"/>
  <c r="W27" s="1"/>
  <c r="V28"/>
  <c r="W28" s="1"/>
  <c r="V29"/>
  <c r="W29" s="1"/>
  <c r="V30"/>
  <c r="W30" s="1"/>
  <c r="V31"/>
  <c r="W31" s="1"/>
  <c r="V32"/>
  <c r="W32" s="1"/>
  <c r="V33"/>
  <c r="W33" s="1"/>
  <c r="V34"/>
  <c r="W34" s="1"/>
  <c r="V35"/>
  <c r="W35" s="1"/>
  <c r="Q53"/>
  <c r="R53" s="1"/>
  <c r="Q54"/>
  <c r="R54" s="1"/>
  <c r="Q55"/>
  <c r="R55" s="1"/>
  <c r="Q56"/>
  <c r="R56" s="1"/>
  <c r="Q57"/>
  <c r="R57" s="1"/>
  <c r="Q58"/>
  <c r="R58" s="1"/>
  <c r="Q59"/>
  <c r="R59" s="1"/>
  <c r="Q60"/>
  <c r="R60" s="1"/>
  <c r="Q61"/>
  <c r="R61" s="1"/>
  <c r="Q62"/>
  <c r="R62" s="1"/>
  <c r="Q63"/>
  <c r="R63" s="1"/>
  <c r="Q64"/>
  <c r="R64" s="1"/>
  <c r="Q65"/>
  <c r="R65" s="1"/>
  <c r="Q66"/>
  <c r="R66" s="1"/>
  <c r="Q67"/>
  <c r="R67" s="1"/>
  <c r="Q68"/>
  <c r="R68" s="1"/>
  <c r="Q69"/>
  <c r="R69" s="1"/>
  <c r="Q17"/>
  <c r="R17" s="1"/>
  <c r="Q18"/>
  <c r="R18" s="1"/>
  <c r="Q19"/>
  <c r="R19" s="1"/>
  <c r="Q20"/>
  <c r="R20" s="1"/>
  <c r="Q21"/>
  <c r="R21" s="1"/>
  <c r="Q22"/>
  <c r="R22" s="1"/>
  <c r="Q23"/>
  <c r="R23" s="1"/>
  <c r="Q24"/>
  <c r="R24" s="1"/>
  <c r="Q25"/>
  <c r="R25" s="1"/>
  <c r="Q26"/>
  <c r="R26" s="1"/>
  <c r="Q27"/>
  <c r="R27" s="1"/>
  <c r="Q28"/>
  <c r="R28" s="1"/>
  <c r="Q29"/>
  <c r="R29" s="1"/>
  <c r="Q30"/>
  <c r="R30" s="1"/>
  <c r="Q31"/>
  <c r="R31" s="1"/>
  <c r="Q32"/>
  <c r="R32" s="1"/>
  <c r="Q33"/>
  <c r="R33" s="1"/>
  <c r="Q34"/>
  <c r="R34" s="1"/>
  <c r="Q35"/>
  <c r="R35" s="1"/>
  <c r="Q36"/>
  <c r="R36" s="1"/>
  <c r="Q37"/>
  <c r="R37" s="1"/>
  <c r="Q38"/>
  <c r="R38" s="1"/>
  <c r="J17"/>
  <c r="K17" s="1"/>
  <c r="J18"/>
  <c r="K18" s="1"/>
  <c r="J19"/>
  <c r="K19" s="1"/>
  <c r="J20"/>
  <c r="K20" s="1"/>
  <c r="J21"/>
  <c r="K21" s="1"/>
  <c r="J22"/>
  <c r="K22" s="1"/>
  <c r="J23"/>
  <c r="K23" s="1"/>
  <c r="J24"/>
  <c r="K24" s="1"/>
  <c r="J25"/>
  <c r="K25" s="1"/>
  <c r="J26"/>
  <c r="J27"/>
  <c r="K27" s="1"/>
  <c r="J28"/>
  <c r="K28" s="1"/>
  <c r="J29"/>
  <c r="K29" s="1"/>
  <c r="J30"/>
  <c r="K30" s="1"/>
  <c r="J31"/>
  <c r="K31" s="1"/>
  <c r="J32"/>
  <c r="K32" s="1"/>
  <c r="J33"/>
  <c r="K33" s="1"/>
  <c r="J34"/>
  <c r="K34" s="1"/>
  <c r="J35"/>
  <c r="K35" s="1"/>
  <c r="J36"/>
  <c r="K36" s="1"/>
  <c r="J37"/>
  <c r="K37" s="1"/>
  <c r="J38"/>
  <c r="J39"/>
  <c r="K39" s="1"/>
  <c r="J40"/>
  <c r="K40" s="1"/>
  <c r="J41"/>
  <c r="K41" s="1"/>
  <c r="J42"/>
  <c r="K42" s="1"/>
  <c r="J43"/>
  <c r="K43" s="1"/>
  <c r="J44"/>
  <c r="K44" s="1"/>
  <c r="J45"/>
  <c r="K45" s="1"/>
  <c r="J46"/>
  <c r="K46" s="1"/>
  <c r="J47"/>
  <c r="K47" s="1"/>
  <c r="J48"/>
  <c r="K48" s="1"/>
  <c r="J49"/>
  <c r="K49" s="1"/>
  <c r="J50"/>
  <c r="K50" s="1"/>
  <c r="J51"/>
  <c r="K51" s="1"/>
  <c r="J52"/>
  <c r="K52" s="1"/>
  <c r="J53"/>
  <c r="K53" s="1"/>
  <c r="J54"/>
  <c r="K54" s="1"/>
  <c r="J55"/>
  <c r="K55" s="1"/>
  <c r="J56"/>
  <c r="K56" s="1"/>
  <c r="J57"/>
  <c r="K57" s="1"/>
  <c r="J58"/>
  <c r="K58" s="1"/>
  <c r="J59"/>
  <c r="K59" s="1"/>
  <c r="J60"/>
  <c r="K60" s="1"/>
  <c r="J61"/>
  <c r="K61" s="1"/>
  <c r="J62"/>
  <c r="J63"/>
  <c r="K63" s="1"/>
  <c r="J64"/>
  <c r="K64" s="1"/>
  <c r="J65"/>
  <c r="K65" s="1"/>
  <c r="J66"/>
  <c r="K66" s="1"/>
  <c r="J67"/>
  <c r="K67" s="1"/>
  <c r="J68"/>
  <c r="K68" s="1"/>
  <c r="J69"/>
  <c r="K69" s="1"/>
  <c r="J70"/>
  <c r="K70" s="1"/>
  <c r="J71"/>
  <c r="K71" s="1"/>
  <c r="J72"/>
  <c r="K72" s="1"/>
  <c r="J73"/>
  <c r="K73" s="1"/>
  <c r="J74"/>
  <c r="K74" s="1"/>
  <c r="J75"/>
  <c r="K75" s="1"/>
  <c r="J76"/>
  <c r="K76" s="1"/>
  <c r="J77"/>
  <c r="K77" s="1"/>
  <c r="J78"/>
  <c r="K78" s="1"/>
  <c r="J79"/>
  <c r="K79" s="1"/>
  <c r="J80"/>
  <c r="K80" s="1"/>
  <c r="J81"/>
  <c r="K81" s="1"/>
  <c r="J82"/>
  <c r="K82" s="1"/>
  <c r="J83"/>
  <c r="K83" s="1"/>
  <c r="J84"/>
  <c r="K84" s="1"/>
  <c r="J9"/>
  <c r="K9" s="1"/>
  <c r="J10"/>
  <c r="K10" s="1"/>
  <c r="J11"/>
  <c r="K11" s="1"/>
  <c r="J12"/>
  <c r="K12" s="1"/>
  <c r="J13"/>
  <c r="K13" s="1"/>
  <c r="J14"/>
  <c r="K14" s="1"/>
  <c r="J15"/>
  <c r="K15" s="1"/>
  <c r="J16"/>
  <c r="K16" s="1"/>
  <c r="AP77" i="3"/>
  <c r="AP78"/>
  <c r="AP79"/>
  <c r="AP80"/>
  <c r="AP81"/>
  <c r="AP82"/>
  <c r="AU53" i="1" l="1"/>
  <c r="AS55"/>
  <c r="AS28"/>
  <c r="AT28" s="1"/>
  <c r="AX28" s="1"/>
  <c r="AS68"/>
  <c r="AS67"/>
  <c r="AU67"/>
  <c r="AS66"/>
  <c r="AS65"/>
  <c r="AS64"/>
  <c r="AS63"/>
  <c r="AU62"/>
  <c r="AS61"/>
  <c r="AS60"/>
  <c r="AS59"/>
  <c r="AS58"/>
  <c r="AS57"/>
  <c r="AS56"/>
  <c r="AS54"/>
  <c r="AS53"/>
  <c r="AS35"/>
  <c r="AT35" s="1"/>
  <c r="AX35" s="1"/>
  <c r="AS34"/>
  <c r="AT34" s="1"/>
  <c r="AX34" s="1"/>
  <c r="AS33"/>
  <c r="AT33" s="1"/>
  <c r="AX33" s="1"/>
  <c r="AS32"/>
  <c r="AT32" s="1"/>
  <c r="AX32" s="1"/>
  <c r="AS31"/>
  <c r="AT31" s="1"/>
  <c r="AX31" s="1"/>
  <c r="AS30"/>
  <c r="AT30" s="1"/>
  <c r="AX30" s="1"/>
  <c r="AS29"/>
  <c r="AT29" s="1"/>
  <c r="AX29" s="1"/>
  <c r="AS27"/>
  <c r="AT27" s="1"/>
  <c r="AX27" s="1"/>
  <c r="AU26"/>
  <c r="AS25"/>
  <c r="AT25" s="1"/>
  <c r="AX25" s="1"/>
  <c r="AS24"/>
  <c r="AT24" s="1"/>
  <c r="AX24" s="1"/>
  <c r="AS23"/>
  <c r="AT23" s="1"/>
  <c r="AX23" s="1"/>
  <c r="AS22"/>
  <c r="AT22" s="1"/>
  <c r="AX22" s="1"/>
  <c r="AS21"/>
  <c r="AT21" s="1"/>
  <c r="AX21" s="1"/>
  <c r="AS20"/>
  <c r="AT20" s="1"/>
  <c r="AX20" s="1"/>
  <c r="AS19"/>
  <c r="AT19" s="1"/>
  <c r="AX19" s="1"/>
  <c r="AS18"/>
  <c r="AT18" s="1"/>
  <c r="AX18" s="1"/>
  <c r="AS17"/>
  <c r="AT17" s="1"/>
  <c r="AX17" s="1"/>
  <c r="AU60"/>
  <c r="AU18"/>
  <c r="AU17"/>
  <c r="AU68"/>
  <c r="AU66"/>
  <c r="AU65"/>
  <c r="AU64"/>
  <c r="AU63"/>
  <c r="K62"/>
  <c r="AS62" s="1"/>
  <c r="AU61"/>
  <c r="AU59"/>
  <c r="AU58"/>
  <c r="AU57"/>
  <c r="AU56"/>
  <c r="AU55"/>
  <c r="AU54"/>
  <c r="K38"/>
  <c r="AU35"/>
  <c r="AU34"/>
  <c r="AU33"/>
  <c r="AU32"/>
  <c r="AU31"/>
  <c r="AU30"/>
  <c r="AU29"/>
  <c r="AU28"/>
  <c r="AU27"/>
  <c r="K26"/>
  <c r="AS26" s="1"/>
  <c r="AT26" s="1"/>
  <c r="AX26" s="1"/>
  <c r="AU25"/>
  <c r="AU24"/>
  <c r="AU23"/>
  <c r="AU22"/>
  <c r="AU21"/>
  <c r="AU20"/>
  <c r="AU19"/>
  <c r="AP9" i="3"/>
  <c r="AP10"/>
  <c r="AP11"/>
  <c r="AP12"/>
  <c r="AP13"/>
  <c r="AP14"/>
  <c r="AP15"/>
  <c r="AP16"/>
  <c r="AP17"/>
  <c r="AP18"/>
  <c r="AP19"/>
  <c r="AP20"/>
  <c r="AP21"/>
  <c r="AP22"/>
  <c r="AP23"/>
  <c r="AP24"/>
  <c r="AP25"/>
  <c r="AP26"/>
  <c r="AP27"/>
  <c r="AP28"/>
  <c r="AP29"/>
  <c r="AP30"/>
  <c r="AP31"/>
  <c r="AP32"/>
  <c r="AP33"/>
  <c r="AP34"/>
  <c r="AP35"/>
  <c r="AP36"/>
  <c r="AP37"/>
  <c r="AP38"/>
  <c r="AP39"/>
  <c r="AP40"/>
  <c r="AP41"/>
  <c r="AP42"/>
  <c r="AP44"/>
  <c r="AP45"/>
  <c r="AP46"/>
  <c r="AP47"/>
  <c r="AP48"/>
  <c r="AP49"/>
  <c r="AP50"/>
  <c r="AP51"/>
  <c r="AP52"/>
  <c r="AP53"/>
  <c r="AP54"/>
  <c r="AP55"/>
  <c r="AP56"/>
  <c r="AP57"/>
  <c r="AP58"/>
  <c r="AP59"/>
  <c r="AP60"/>
  <c r="AP61"/>
  <c r="AP62"/>
  <c r="AP63"/>
  <c r="AP64"/>
  <c r="AP65"/>
  <c r="AP66"/>
  <c r="AP67"/>
  <c r="AP68"/>
  <c r="AP69"/>
  <c r="AP70"/>
  <c r="AP71"/>
  <c r="AP72"/>
  <c r="AP73"/>
  <c r="AP74"/>
  <c r="AP75"/>
  <c r="AP76"/>
  <c r="AP8"/>
  <c r="AK9"/>
  <c r="AK10"/>
  <c r="AK11"/>
  <c r="AK12"/>
  <c r="AK13"/>
  <c r="AK14"/>
  <c r="AK15"/>
  <c r="AK16"/>
  <c r="AK17"/>
  <c r="AK18"/>
  <c r="AK19"/>
  <c r="AK20"/>
  <c r="AK21"/>
  <c r="AK22"/>
  <c r="AK23"/>
  <c r="AK24"/>
  <c r="AK25"/>
  <c r="AK26"/>
  <c r="AK27"/>
  <c r="AK28"/>
  <c r="AK29"/>
  <c r="AK30"/>
  <c r="AK31"/>
  <c r="AK32"/>
  <c r="AK33"/>
  <c r="AK34"/>
  <c r="AK35"/>
  <c r="AK36"/>
  <c r="AK37"/>
  <c r="AK38"/>
  <c r="AK39"/>
  <c r="AK40"/>
  <c r="AK41"/>
  <c r="AK42"/>
  <c r="AK43"/>
  <c r="AK44"/>
  <c r="AK45"/>
  <c r="AK46"/>
  <c r="AK47"/>
  <c r="AK48"/>
  <c r="AK49"/>
  <c r="AK50"/>
  <c r="AK51"/>
  <c r="AK52"/>
  <c r="AK53"/>
  <c r="AK54"/>
  <c r="AK55"/>
  <c r="AK56"/>
  <c r="AK57"/>
  <c r="AK58"/>
  <c r="AK59"/>
  <c r="AK60"/>
  <c r="AK61"/>
  <c r="AK62"/>
  <c r="AK63"/>
  <c r="AK64"/>
  <c r="AK65"/>
  <c r="AK66"/>
  <c r="AK67"/>
  <c r="AK68"/>
  <c r="AK69"/>
  <c r="AK70"/>
  <c r="AK71"/>
  <c r="AK72"/>
  <c r="AK73"/>
  <c r="AK74"/>
  <c r="AK75"/>
  <c r="AK76"/>
  <c r="AK77"/>
  <c r="AK78"/>
  <c r="AK79"/>
  <c r="AK80"/>
  <c r="AK81"/>
  <c r="AK82"/>
  <c r="AK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"/>
  <c r="AA10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9"/>
  <c r="AA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"/>
  <c r="K59"/>
  <c r="R17"/>
  <c r="R21"/>
  <c r="Q82"/>
  <c r="Q81"/>
  <c r="Q80"/>
  <c r="Q79"/>
  <c r="Q78"/>
  <c r="Q77"/>
  <c r="Q76"/>
  <c r="Q75"/>
  <c r="Q74"/>
  <c r="Q73"/>
  <c r="Q72"/>
  <c r="Q71"/>
  <c r="Q70"/>
  <c r="Q69"/>
  <c r="Q68"/>
  <c r="Q67"/>
  <c r="Q66"/>
  <c r="Q65"/>
  <c r="Q64"/>
  <c r="Q63"/>
  <c r="Q62"/>
  <c r="Q61"/>
  <c r="Q60"/>
  <c r="Q59"/>
  <c r="Q58"/>
  <c r="Q57"/>
  <c r="Q56"/>
  <c r="Q55"/>
  <c r="Q54"/>
  <c r="Q53"/>
  <c r="Q52"/>
  <c r="Q51"/>
  <c r="Q50"/>
  <c r="Q49"/>
  <c r="Q48"/>
  <c r="Q47"/>
  <c r="Q46"/>
  <c r="Q45"/>
  <c r="R45" s="1"/>
  <c r="Q44"/>
  <c r="R44" s="1"/>
  <c r="Q43"/>
  <c r="R43" s="1"/>
  <c r="Q42"/>
  <c r="R42" s="1"/>
  <c r="Q41"/>
  <c r="R41" s="1"/>
  <c r="Q40"/>
  <c r="R40" s="1"/>
  <c r="Q39"/>
  <c r="R39" s="1"/>
  <c r="Q38"/>
  <c r="R38" s="1"/>
  <c r="Q37"/>
  <c r="R37" s="1"/>
  <c r="Q36"/>
  <c r="R36" s="1"/>
  <c r="Q35"/>
  <c r="R35" s="1"/>
  <c r="Q34"/>
  <c r="R34" s="1"/>
  <c r="Q33"/>
  <c r="R33" s="1"/>
  <c r="Q32"/>
  <c r="R32" s="1"/>
  <c r="Q31"/>
  <c r="R31" s="1"/>
  <c r="Q30"/>
  <c r="R30" s="1"/>
  <c r="Q29"/>
  <c r="R29" s="1"/>
  <c r="Q28"/>
  <c r="R28" s="1"/>
  <c r="Q27"/>
  <c r="R27" s="1"/>
  <c r="Q26"/>
  <c r="R26" s="1"/>
  <c r="Q25"/>
  <c r="R25" s="1"/>
  <c r="Q24"/>
  <c r="R24" s="1"/>
  <c r="Q23"/>
  <c r="R23" s="1"/>
  <c r="Q22"/>
  <c r="R22" s="1"/>
  <c r="Q21"/>
  <c r="Q20"/>
  <c r="R20" s="1"/>
  <c r="Q19"/>
  <c r="R19" s="1"/>
  <c r="Q18"/>
  <c r="R18" s="1"/>
  <c r="Q17"/>
  <c r="Q16"/>
  <c r="R16" s="1"/>
  <c r="Q15"/>
  <c r="R15" s="1"/>
  <c r="Q14"/>
  <c r="R14" s="1"/>
  <c r="Q13"/>
  <c r="R13" s="1"/>
  <c r="Q12"/>
  <c r="R12" s="1"/>
  <c r="Q11"/>
  <c r="R11" s="1"/>
  <c r="Q10"/>
  <c r="R10" s="1"/>
  <c r="Q9"/>
  <c r="R9" s="1"/>
  <c r="Q8"/>
  <c r="R8" s="1"/>
  <c r="J13"/>
  <c r="K13" s="1"/>
  <c r="J14"/>
  <c r="J15"/>
  <c r="J16"/>
  <c r="K16" s="1"/>
  <c r="J17"/>
  <c r="K17" s="1"/>
  <c r="J18"/>
  <c r="K18" s="1"/>
  <c r="J19"/>
  <c r="K19" s="1"/>
  <c r="J20"/>
  <c r="K20" s="1"/>
  <c r="J21"/>
  <c r="K21" s="1"/>
  <c r="J22"/>
  <c r="J23"/>
  <c r="K23" s="1"/>
  <c r="J24"/>
  <c r="J25"/>
  <c r="K25" s="1"/>
  <c r="J26"/>
  <c r="K26" s="1"/>
  <c r="J27"/>
  <c r="K27" s="1"/>
  <c r="J28"/>
  <c r="J29"/>
  <c r="J30"/>
  <c r="K30" s="1"/>
  <c r="J31"/>
  <c r="K31" s="1"/>
  <c r="J32"/>
  <c r="J33"/>
  <c r="J34"/>
  <c r="K34" s="1"/>
  <c r="J35"/>
  <c r="K35" s="1"/>
  <c r="J36"/>
  <c r="J37"/>
  <c r="J38"/>
  <c r="K38" s="1"/>
  <c r="J39"/>
  <c r="K39" s="1"/>
  <c r="J40"/>
  <c r="J41"/>
  <c r="K41" s="1"/>
  <c r="J42"/>
  <c r="K42" s="1"/>
  <c r="J43"/>
  <c r="K43" s="1"/>
  <c r="AS43" s="1"/>
  <c r="AT43" s="1"/>
  <c r="AX43" s="1"/>
  <c r="J44"/>
  <c r="J45"/>
  <c r="J46"/>
  <c r="J47"/>
  <c r="J48"/>
  <c r="K48" s="1"/>
  <c r="J49"/>
  <c r="K49" s="1"/>
  <c r="J50"/>
  <c r="J51"/>
  <c r="J52"/>
  <c r="K52" s="1"/>
  <c r="J53"/>
  <c r="K53" s="1"/>
  <c r="J54"/>
  <c r="J55"/>
  <c r="J56"/>
  <c r="K56" s="1"/>
  <c r="J57"/>
  <c r="K57" s="1"/>
  <c r="J58"/>
  <c r="J59"/>
  <c r="J60"/>
  <c r="J61"/>
  <c r="J62"/>
  <c r="K62" s="1"/>
  <c r="AS62" s="1"/>
  <c r="AT62" s="1"/>
  <c r="AX62" s="1"/>
  <c r="J63"/>
  <c r="K63" s="1"/>
  <c r="J64"/>
  <c r="K64" s="1"/>
  <c r="J65"/>
  <c r="K65" s="1"/>
  <c r="J66"/>
  <c r="K66" s="1"/>
  <c r="J67"/>
  <c r="K67" s="1"/>
  <c r="J68"/>
  <c r="K68" s="1"/>
  <c r="J69"/>
  <c r="K69" s="1"/>
  <c r="J70"/>
  <c r="K70" s="1"/>
  <c r="J71"/>
  <c r="K71" s="1"/>
  <c r="J72"/>
  <c r="K72" s="1"/>
  <c r="J73"/>
  <c r="K73" s="1"/>
  <c r="J74"/>
  <c r="K74" s="1"/>
  <c r="J75"/>
  <c r="K75" s="1"/>
  <c r="J76"/>
  <c r="K76" s="1"/>
  <c r="J77"/>
  <c r="K77" s="1"/>
  <c r="J78"/>
  <c r="K78" s="1"/>
  <c r="AS78" s="1"/>
  <c r="AT78" s="1"/>
  <c r="AX78" s="1"/>
  <c r="J79"/>
  <c r="K79" s="1"/>
  <c r="J80"/>
  <c r="K80" s="1"/>
  <c r="AS80" s="1"/>
  <c r="AT80" s="1"/>
  <c r="AX80" s="1"/>
  <c r="J81"/>
  <c r="K81" s="1"/>
  <c r="J82"/>
  <c r="K82" s="1"/>
  <c r="J9"/>
  <c r="J10"/>
  <c r="K10" s="1"/>
  <c r="J11"/>
  <c r="K11" s="1"/>
  <c r="J12"/>
  <c r="J8"/>
  <c r="K8" s="1"/>
  <c r="N24" i="5"/>
  <c r="N23"/>
  <c r="N22"/>
  <c r="N21"/>
  <c r="N20"/>
  <c r="N19"/>
  <c r="N18"/>
  <c r="N17"/>
  <c r="N16"/>
  <c r="M24"/>
  <c r="M23"/>
  <c r="M22"/>
  <c r="M21"/>
  <c r="M20"/>
  <c r="M19"/>
  <c r="M18"/>
  <c r="M17"/>
  <c r="M16"/>
  <c r="L16"/>
  <c r="J16"/>
  <c r="I24"/>
  <c r="I23"/>
  <c r="I22"/>
  <c r="I21"/>
  <c r="I20"/>
  <c r="I19"/>
  <c r="I18"/>
  <c r="I17"/>
  <c r="I16"/>
  <c r="H24"/>
  <c r="H23"/>
  <c r="H22"/>
  <c r="H21"/>
  <c r="H20"/>
  <c r="H19"/>
  <c r="H18"/>
  <c r="H17"/>
  <c r="H16"/>
  <c r="E18"/>
  <c r="D24"/>
  <c r="D23"/>
  <c r="D22"/>
  <c r="D21"/>
  <c r="D20"/>
  <c r="D19"/>
  <c r="D18"/>
  <c r="D17"/>
  <c r="D16"/>
  <c r="C24"/>
  <c r="C23"/>
  <c r="C22"/>
  <c r="C21"/>
  <c r="C20"/>
  <c r="C19"/>
  <c r="C18"/>
  <c r="C17"/>
  <c r="C9"/>
  <c r="C4"/>
  <c r="C16"/>
  <c r="AP84" i="1"/>
  <c r="AQ84" s="1"/>
  <c r="AK84"/>
  <c r="AL84" s="1"/>
  <c r="AF84"/>
  <c r="AG84" s="1"/>
  <c r="V84"/>
  <c r="W84" s="1"/>
  <c r="Q84"/>
  <c r="R84" s="1"/>
  <c r="AS84"/>
  <c r="AX84" s="1"/>
  <c r="AP83"/>
  <c r="AQ83" s="1"/>
  <c r="AK83"/>
  <c r="AL83" s="1"/>
  <c r="AF83"/>
  <c r="AG83" s="1"/>
  <c r="V83"/>
  <c r="W83" s="1"/>
  <c r="Q83"/>
  <c r="R83" s="1"/>
  <c r="AS83" s="1"/>
  <c r="AQ82"/>
  <c r="AP82"/>
  <c r="AK82"/>
  <c r="AL82" s="1"/>
  <c r="AF82"/>
  <c r="AG82" s="1"/>
  <c r="V82"/>
  <c r="W82" s="1"/>
  <c r="Q82"/>
  <c r="R82" s="1"/>
  <c r="AP81"/>
  <c r="AQ81" s="1"/>
  <c r="AK81"/>
  <c r="AL81" s="1"/>
  <c r="AF81"/>
  <c r="AG81" s="1"/>
  <c r="V81"/>
  <c r="W81" s="1"/>
  <c r="Q81"/>
  <c r="R81" s="1"/>
  <c r="AP80"/>
  <c r="AQ80" s="1"/>
  <c r="AL80"/>
  <c r="AK80"/>
  <c r="AF80"/>
  <c r="AG80" s="1"/>
  <c r="V80"/>
  <c r="Q80"/>
  <c r="R80" s="1"/>
  <c r="AP79"/>
  <c r="AQ79" s="1"/>
  <c r="AK79"/>
  <c r="AL79" s="1"/>
  <c r="AF79"/>
  <c r="AG79" s="1"/>
  <c r="V79"/>
  <c r="W79" s="1"/>
  <c r="Q79"/>
  <c r="R79" s="1"/>
  <c r="AP78"/>
  <c r="AQ78" s="1"/>
  <c r="AK78"/>
  <c r="AL78" s="1"/>
  <c r="AF78"/>
  <c r="AG78" s="1"/>
  <c r="V78"/>
  <c r="W78" s="1"/>
  <c r="Q78"/>
  <c r="R78" s="1"/>
  <c r="AP77"/>
  <c r="AQ77" s="1"/>
  <c r="AK77"/>
  <c r="AL77" s="1"/>
  <c r="AF77"/>
  <c r="AG77" s="1"/>
  <c r="V77"/>
  <c r="W77" s="1"/>
  <c r="Q77"/>
  <c r="R77" s="1"/>
  <c r="AP76"/>
  <c r="AQ76" s="1"/>
  <c r="AK76"/>
  <c r="AL76" s="1"/>
  <c r="AF76"/>
  <c r="AG76" s="1"/>
  <c r="V76"/>
  <c r="W76" s="1"/>
  <c r="Q76"/>
  <c r="R76" s="1"/>
  <c r="AP75"/>
  <c r="AQ75" s="1"/>
  <c r="AK75"/>
  <c r="AL75" s="1"/>
  <c r="AF75"/>
  <c r="AG75" s="1"/>
  <c r="V75"/>
  <c r="W75" s="1"/>
  <c r="Q75"/>
  <c r="R75" s="1"/>
  <c r="AP74"/>
  <c r="AQ74" s="1"/>
  <c r="AK74"/>
  <c r="AL74" s="1"/>
  <c r="AF74"/>
  <c r="AG74" s="1"/>
  <c r="V74"/>
  <c r="W74" s="1"/>
  <c r="Q74"/>
  <c r="R74" s="1"/>
  <c r="AP73"/>
  <c r="AQ73" s="1"/>
  <c r="AK73"/>
  <c r="AL73" s="1"/>
  <c r="AF73"/>
  <c r="AG73" s="1"/>
  <c r="V73"/>
  <c r="W73" s="1"/>
  <c r="Q73"/>
  <c r="R73" s="1"/>
  <c r="AP72"/>
  <c r="AQ72" s="1"/>
  <c r="AK72"/>
  <c r="AL72" s="1"/>
  <c r="AF72"/>
  <c r="AG72" s="1"/>
  <c r="V72"/>
  <c r="W72" s="1"/>
  <c r="Q72"/>
  <c r="R72" s="1"/>
  <c r="AQ71"/>
  <c r="AP71"/>
  <c r="AK71"/>
  <c r="AL71" s="1"/>
  <c r="AF71"/>
  <c r="AG71" s="1"/>
  <c r="V71"/>
  <c r="W71" s="1"/>
  <c r="Q71"/>
  <c r="R71" s="1"/>
  <c r="AK70"/>
  <c r="AL70" s="1"/>
  <c r="AF70"/>
  <c r="AG70" s="1"/>
  <c r="V70"/>
  <c r="W70" s="1"/>
  <c r="Q70"/>
  <c r="R70" s="1"/>
  <c r="AK69"/>
  <c r="AL69" s="1"/>
  <c r="AS69" s="1"/>
  <c r="AP52"/>
  <c r="AQ52" s="1"/>
  <c r="AK52"/>
  <c r="AL52" s="1"/>
  <c r="AF52"/>
  <c r="AG52" s="1"/>
  <c r="AA52"/>
  <c r="AB52" s="1"/>
  <c r="V52"/>
  <c r="W52" s="1"/>
  <c r="Q52"/>
  <c r="R52" s="1"/>
  <c r="AP51"/>
  <c r="AQ51" s="1"/>
  <c r="AK51"/>
  <c r="AL51" s="1"/>
  <c r="AF51"/>
  <c r="AG51" s="1"/>
  <c r="AA51"/>
  <c r="AB51" s="1"/>
  <c r="V51"/>
  <c r="W51" s="1"/>
  <c r="Q51"/>
  <c r="R51" s="1"/>
  <c r="AP50"/>
  <c r="AQ50" s="1"/>
  <c r="AK50"/>
  <c r="AL50" s="1"/>
  <c r="AF50"/>
  <c r="AG50" s="1"/>
  <c r="AA50"/>
  <c r="AB50" s="1"/>
  <c r="V50"/>
  <c r="W50" s="1"/>
  <c r="Q50"/>
  <c r="R50" s="1"/>
  <c r="AP49"/>
  <c r="AQ49" s="1"/>
  <c r="AK49"/>
  <c r="AL49" s="1"/>
  <c r="AF49"/>
  <c r="AG49" s="1"/>
  <c r="AA49"/>
  <c r="AB49" s="1"/>
  <c r="V49"/>
  <c r="W49" s="1"/>
  <c r="Q49"/>
  <c r="R49" s="1"/>
  <c r="AP48"/>
  <c r="AQ48" s="1"/>
  <c r="AK48"/>
  <c r="AL48" s="1"/>
  <c r="AF48"/>
  <c r="AG48" s="1"/>
  <c r="AA48"/>
  <c r="AB48" s="1"/>
  <c r="V48"/>
  <c r="W48" s="1"/>
  <c r="Q48"/>
  <c r="R48" s="1"/>
  <c r="AP47"/>
  <c r="AQ47" s="1"/>
  <c r="AK47"/>
  <c r="AL47" s="1"/>
  <c r="AF47"/>
  <c r="AG47" s="1"/>
  <c r="V47"/>
  <c r="W47" s="1"/>
  <c r="Q47"/>
  <c r="R47" s="1"/>
  <c r="AP46"/>
  <c r="AQ46" s="1"/>
  <c r="AK46"/>
  <c r="AL46" s="1"/>
  <c r="AF46"/>
  <c r="AG46" s="1"/>
  <c r="V46"/>
  <c r="W46" s="1"/>
  <c r="Q46"/>
  <c r="R46" s="1"/>
  <c r="AP45"/>
  <c r="AQ45" s="1"/>
  <c r="AK45"/>
  <c r="AL45" s="1"/>
  <c r="AF45"/>
  <c r="AG45" s="1"/>
  <c r="V45"/>
  <c r="W45" s="1"/>
  <c r="Q45"/>
  <c r="R45" s="1"/>
  <c r="AP44"/>
  <c r="AQ44" s="1"/>
  <c r="AK44"/>
  <c r="AL44" s="1"/>
  <c r="AF44"/>
  <c r="AG44" s="1"/>
  <c r="V44"/>
  <c r="W44" s="1"/>
  <c r="Q44"/>
  <c r="R44" s="1"/>
  <c r="AS44" s="1"/>
  <c r="AT44" s="1"/>
  <c r="K11" i="4"/>
  <c r="AQ82"/>
  <c r="AP82"/>
  <c r="AK82"/>
  <c r="AL82" s="1"/>
  <c r="AF82"/>
  <c r="AG82" s="1"/>
  <c r="AA82"/>
  <c r="AB82" s="1"/>
  <c r="W82"/>
  <c r="V82"/>
  <c r="Q82"/>
  <c r="R82" s="1"/>
  <c r="J82"/>
  <c r="K82" s="1"/>
  <c r="AQ81"/>
  <c r="AP81"/>
  <c r="AK81"/>
  <c r="AL81" s="1"/>
  <c r="AF81"/>
  <c r="AG81" s="1"/>
  <c r="AA81"/>
  <c r="AB81" s="1"/>
  <c r="V81"/>
  <c r="W81" s="1"/>
  <c r="Q81"/>
  <c r="R81" s="1"/>
  <c r="J81"/>
  <c r="K81" s="1"/>
  <c r="AP80"/>
  <c r="AQ80" s="1"/>
  <c r="AK80"/>
  <c r="AL80" s="1"/>
  <c r="AF80"/>
  <c r="AG80" s="1"/>
  <c r="AA80"/>
  <c r="AB80" s="1"/>
  <c r="V80"/>
  <c r="W80" s="1"/>
  <c r="Q80"/>
  <c r="R80" s="1"/>
  <c r="J80"/>
  <c r="K80" s="1"/>
  <c r="AQ79"/>
  <c r="AP79"/>
  <c r="AK79"/>
  <c r="AL79" s="1"/>
  <c r="AF79"/>
  <c r="AG79" s="1"/>
  <c r="AA79"/>
  <c r="AB79" s="1"/>
  <c r="V79"/>
  <c r="W79" s="1"/>
  <c r="Q79"/>
  <c r="R79" s="1"/>
  <c r="J79"/>
  <c r="K79" s="1"/>
  <c r="AQ78"/>
  <c r="AP78"/>
  <c r="AK78"/>
  <c r="AL78" s="1"/>
  <c r="AF78"/>
  <c r="AG78" s="1"/>
  <c r="AA78"/>
  <c r="AB78" s="1"/>
  <c r="V78"/>
  <c r="W78" s="1"/>
  <c r="Q78"/>
  <c r="R78" s="1"/>
  <c r="J78"/>
  <c r="K78" s="1"/>
  <c r="AP77"/>
  <c r="AQ77" s="1"/>
  <c r="AK77"/>
  <c r="AL77" s="1"/>
  <c r="AF77"/>
  <c r="AG77" s="1"/>
  <c r="AA77"/>
  <c r="AB77" s="1"/>
  <c r="V77"/>
  <c r="W77" s="1"/>
  <c r="Q77"/>
  <c r="R77" s="1"/>
  <c r="J77"/>
  <c r="K77" s="1"/>
  <c r="AP76"/>
  <c r="AQ76" s="1"/>
  <c r="AK76"/>
  <c r="AL76" s="1"/>
  <c r="AF76"/>
  <c r="AG76" s="1"/>
  <c r="AA76"/>
  <c r="AB76" s="1"/>
  <c r="V76"/>
  <c r="W76" s="1"/>
  <c r="Q76"/>
  <c r="R76" s="1"/>
  <c r="J76"/>
  <c r="K76" s="1"/>
  <c r="AT76" s="1"/>
  <c r="AP75"/>
  <c r="AQ75" s="1"/>
  <c r="AK75"/>
  <c r="AL75" s="1"/>
  <c r="AF75"/>
  <c r="AG75" s="1"/>
  <c r="AA75"/>
  <c r="AB75" s="1"/>
  <c r="V75"/>
  <c r="W75" s="1"/>
  <c r="Q75"/>
  <c r="R75" s="1"/>
  <c r="J75"/>
  <c r="K75" s="1"/>
  <c r="AT75" s="1"/>
  <c r="AQ74"/>
  <c r="AP74"/>
  <c r="AK74"/>
  <c r="AL74" s="1"/>
  <c r="AF74"/>
  <c r="AG74" s="1"/>
  <c r="AA74"/>
  <c r="AB74" s="1"/>
  <c r="W74"/>
  <c r="V74"/>
  <c r="Q74"/>
  <c r="R74" s="1"/>
  <c r="J74"/>
  <c r="K74" s="1"/>
  <c r="AT74" s="1"/>
  <c r="AQ73"/>
  <c r="AP73"/>
  <c r="AK73"/>
  <c r="AL73" s="1"/>
  <c r="AF73"/>
  <c r="AG73" s="1"/>
  <c r="AB73"/>
  <c r="AA73"/>
  <c r="V73"/>
  <c r="W73" s="1"/>
  <c r="Q73"/>
  <c r="R73" s="1"/>
  <c r="J73"/>
  <c r="K73" s="1"/>
  <c r="AP72"/>
  <c r="AQ72" s="1"/>
  <c r="AK72"/>
  <c r="AL72" s="1"/>
  <c r="AF72"/>
  <c r="AG72" s="1"/>
  <c r="AB72"/>
  <c r="AA72"/>
  <c r="V72"/>
  <c r="W72" s="1"/>
  <c r="Q72"/>
  <c r="R72" s="1"/>
  <c r="J72"/>
  <c r="K72" s="1"/>
  <c r="AP71"/>
  <c r="AQ71" s="1"/>
  <c r="AK71"/>
  <c r="AL71" s="1"/>
  <c r="AF71"/>
  <c r="AG71" s="1"/>
  <c r="AB71"/>
  <c r="AA71"/>
  <c r="V71"/>
  <c r="W71" s="1"/>
  <c r="Q71"/>
  <c r="R71" s="1"/>
  <c r="J71"/>
  <c r="K71" s="1"/>
  <c r="AP70"/>
  <c r="AQ70" s="1"/>
  <c r="AK70"/>
  <c r="AL70" s="1"/>
  <c r="AF70"/>
  <c r="AG70" s="1"/>
  <c r="AA70"/>
  <c r="AB70" s="1"/>
  <c r="V70"/>
  <c r="W70" s="1"/>
  <c r="Q70"/>
  <c r="R70" s="1"/>
  <c r="J70"/>
  <c r="K70" s="1"/>
  <c r="AP69"/>
  <c r="AQ69" s="1"/>
  <c r="AK69"/>
  <c r="AL69" s="1"/>
  <c r="AF69"/>
  <c r="AG69" s="1"/>
  <c r="AA69"/>
  <c r="AB69" s="1"/>
  <c r="V69"/>
  <c r="W69" s="1"/>
  <c r="Q69"/>
  <c r="R69" s="1"/>
  <c r="J69"/>
  <c r="K69" s="1"/>
  <c r="AP68"/>
  <c r="AQ68" s="1"/>
  <c r="AK68"/>
  <c r="AL68" s="1"/>
  <c r="AF68"/>
  <c r="AG68" s="1"/>
  <c r="AB68"/>
  <c r="AA68"/>
  <c r="W68"/>
  <c r="V68"/>
  <c r="Q68"/>
  <c r="R68" s="1"/>
  <c r="J68"/>
  <c r="K68" s="1"/>
  <c r="AQ67"/>
  <c r="AP67"/>
  <c r="AK67"/>
  <c r="AL67" s="1"/>
  <c r="AF67"/>
  <c r="AG67" s="1"/>
  <c r="AA67"/>
  <c r="AB67" s="1"/>
  <c r="V67"/>
  <c r="W67" s="1"/>
  <c r="Q67"/>
  <c r="R67" s="1"/>
  <c r="J67"/>
  <c r="K67" s="1"/>
  <c r="AP66"/>
  <c r="AQ66" s="1"/>
  <c r="AK66"/>
  <c r="AL66" s="1"/>
  <c r="AF66"/>
  <c r="AG66" s="1"/>
  <c r="AA66"/>
  <c r="AB66" s="1"/>
  <c r="V66"/>
  <c r="W66" s="1"/>
  <c r="Q66"/>
  <c r="R66" s="1"/>
  <c r="J66"/>
  <c r="K66" s="1"/>
  <c r="AP65"/>
  <c r="AQ65" s="1"/>
  <c r="AK65"/>
  <c r="AL65" s="1"/>
  <c r="AF65"/>
  <c r="AG65" s="1"/>
  <c r="AA65"/>
  <c r="AB65" s="1"/>
  <c r="V65"/>
  <c r="W65" s="1"/>
  <c r="Q65"/>
  <c r="R65" s="1"/>
  <c r="J65"/>
  <c r="K65" s="1"/>
  <c r="AP64"/>
  <c r="AQ64" s="1"/>
  <c r="AK64"/>
  <c r="AL64" s="1"/>
  <c r="AF64"/>
  <c r="AG64" s="1"/>
  <c r="AA64"/>
  <c r="AB64" s="1"/>
  <c r="V64"/>
  <c r="W64" s="1"/>
  <c r="Q64"/>
  <c r="R64" s="1"/>
  <c r="J64"/>
  <c r="K64" s="1"/>
  <c r="AP63"/>
  <c r="AQ63" s="1"/>
  <c r="AK63"/>
  <c r="AL63" s="1"/>
  <c r="AF63"/>
  <c r="AG63" s="1"/>
  <c r="AB63"/>
  <c r="AA63"/>
  <c r="V63"/>
  <c r="W63" s="1"/>
  <c r="Q63"/>
  <c r="R63" s="1"/>
  <c r="J63"/>
  <c r="K63" s="1"/>
  <c r="AP62"/>
  <c r="AQ62" s="1"/>
  <c r="AK62"/>
  <c r="AL62" s="1"/>
  <c r="AF62"/>
  <c r="AG62" s="1"/>
  <c r="AB62"/>
  <c r="AA62"/>
  <c r="V62"/>
  <c r="W62" s="1"/>
  <c r="Q62"/>
  <c r="R62" s="1"/>
  <c r="J62"/>
  <c r="K62" s="1"/>
  <c r="AQ61"/>
  <c r="AP61"/>
  <c r="AK61"/>
  <c r="AL61" s="1"/>
  <c r="AF61"/>
  <c r="AG61" s="1"/>
  <c r="AB61"/>
  <c r="AA61"/>
  <c r="V61"/>
  <c r="W61" s="1"/>
  <c r="Q61"/>
  <c r="R61" s="1"/>
  <c r="J61"/>
  <c r="K61" s="1"/>
  <c r="AT61" s="1"/>
  <c r="AP60"/>
  <c r="AQ60" s="1"/>
  <c r="AK60"/>
  <c r="AL60" s="1"/>
  <c r="AF60"/>
  <c r="AG60" s="1"/>
  <c r="AB60"/>
  <c r="AA60"/>
  <c r="W60"/>
  <c r="V60"/>
  <c r="Q60"/>
  <c r="R60" s="1"/>
  <c r="J60"/>
  <c r="K60" s="1"/>
  <c r="AP59"/>
  <c r="AQ59" s="1"/>
  <c r="AK59"/>
  <c r="AL59" s="1"/>
  <c r="AF59"/>
  <c r="AG59" s="1"/>
  <c r="AB59"/>
  <c r="AA59"/>
  <c r="V59"/>
  <c r="W59" s="1"/>
  <c r="Q59"/>
  <c r="R59" s="1"/>
  <c r="J59"/>
  <c r="K59" s="1"/>
  <c r="AP58"/>
  <c r="AQ58" s="1"/>
  <c r="AK58"/>
  <c r="AL58" s="1"/>
  <c r="AF58"/>
  <c r="AG58" s="1"/>
  <c r="AA58"/>
  <c r="AB58" s="1"/>
  <c r="V58"/>
  <c r="W58" s="1"/>
  <c r="Q58"/>
  <c r="R58" s="1"/>
  <c r="J58"/>
  <c r="K58" s="1"/>
  <c r="AP57"/>
  <c r="AQ57" s="1"/>
  <c r="AK57"/>
  <c r="AL57" s="1"/>
  <c r="AF57"/>
  <c r="AG57" s="1"/>
  <c r="AA57"/>
  <c r="AB57" s="1"/>
  <c r="V57"/>
  <c r="W57" s="1"/>
  <c r="Q57"/>
  <c r="R57" s="1"/>
  <c r="J57"/>
  <c r="K57" s="1"/>
  <c r="AP56"/>
  <c r="AQ56" s="1"/>
  <c r="AK56"/>
  <c r="AL56" s="1"/>
  <c r="AF56"/>
  <c r="AG56" s="1"/>
  <c r="AA56"/>
  <c r="AB56" s="1"/>
  <c r="W56"/>
  <c r="V56"/>
  <c r="Q56"/>
  <c r="R56" s="1"/>
  <c r="J56"/>
  <c r="K56" s="1"/>
  <c r="AQ55"/>
  <c r="AP55"/>
  <c r="AK55"/>
  <c r="AL55" s="1"/>
  <c r="AF55"/>
  <c r="AG55" s="1"/>
  <c r="AA55"/>
  <c r="AB55" s="1"/>
  <c r="V55"/>
  <c r="W55" s="1"/>
  <c r="Q55"/>
  <c r="R55" s="1"/>
  <c r="J55"/>
  <c r="K55" s="1"/>
  <c r="AP54"/>
  <c r="AQ54" s="1"/>
  <c r="AK54"/>
  <c r="AL54" s="1"/>
  <c r="AF54"/>
  <c r="AG54" s="1"/>
  <c r="AA54"/>
  <c r="AB54" s="1"/>
  <c r="V54"/>
  <c r="W54" s="1"/>
  <c r="Q54"/>
  <c r="R54" s="1"/>
  <c r="J54"/>
  <c r="K54" s="1"/>
  <c r="AP53"/>
  <c r="AQ53" s="1"/>
  <c r="AK53"/>
  <c r="AL53" s="1"/>
  <c r="AF53"/>
  <c r="AG53" s="1"/>
  <c r="AA53"/>
  <c r="AB53" s="1"/>
  <c r="V53"/>
  <c r="W53" s="1"/>
  <c r="Q53"/>
  <c r="R53" s="1"/>
  <c r="J53"/>
  <c r="K53" s="1"/>
  <c r="AP52"/>
  <c r="AQ52" s="1"/>
  <c r="AK52"/>
  <c r="AL52" s="1"/>
  <c r="AF52"/>
  <c r="AG52" s="1"/>
  <c r="AA52"/>
  <c r="AB52" s="1"/>
  <c r="V52"/>
  <c r="W52" s="1"/>
  <c r="Q52"/>
  <c r="R52" s="1"/>
  <c r="J52"/>
  <c r="K52" s="1"/>
  <c r="AP51"/>
  <c r="AQ51" s="1"/>
  <c r="AL51"/>
  <c r="AK51"/>
  <c r="AF51"/>
  <c r="AG51" s="1"/>
  <c r="AB51"/>
  <c r="AA51"/>
  <c r="V51"/>
  <c r="W51" s="1"/>
  <c r="Q51"/>
  <c r="R51" s="1"/>
  <c r="J51"/>
  <c r="K51" s="1"/>
  <c r="AP50"/>
  <c r="AQ50" s="1"/>
  <c r="AK50"/>
  <c r="AL50" s="1"/>
  <c r="AF50"/>
  <c r="AG50" s="1"/>
  <c r="AA50"/>
  <c r="AB50" s="1"/>
  <c r="W50"/>
  <c r="V50"/>
  <c r="Q50"/>
  <c r="R50" s="1"/>
  <c r="J50"/>
  <c r="K50" s="1"/>
  <c r="AT50" s="1"/>
  <c r="AP49"/>
  <c r="AQ49" s="1"/>
  <c r="AK49"/>
  <c r="AL49" s="1"/>
  <c r="AF49"/>
  <c r="AG49" s="1"/>
  <c r="AB49"/>
  <c r="AA49"/>
  <c r="V49"/>
  <c r="W49" s="1"/>
  <c r="Q49"/>
  <c r="R49" s="1"/>
  <c r="J49"/>
  <c r="K49" s="1"/>
  <c r="AP48"/>
  <c r="AQ48" s="1"/>
  <c r="AK48"/>
  <c r="AL48" s="1"/>
  <c r="AF48"/>
  <c r="AG48" s="1"/>
  <c r="AA48"/>
  <c r="AB48" s="1"/>
  <c r="V48"/>
  <c r="W48" s="1"/>
  <c r="Q48"/>
  <c r="R48" s="1"/>
  <c r="J48"/>
  <c r="K48" s="1"/>
  <c r="AP47"/>
  <c r="AQ47" s="1"/>
  <c r="AK47"/>
  <c r="AL47" s="1"/>
  <c r="AF47"/>
  <c r="AG47" s="1"/>
  <c r="AA47"/>
  <c r="AB47" s="1"/>
  <c r="V47"/>
  <c r="W47" s="1"/>
  <c r="Q47"/>
  <c r="R47" s="1"/>
  <c r="J47"/>
  <c r="K47" s="1"/>
  <c r="AP46"/>
  <c r="AQ46" s="1"/>
  <c r="AK46"/>
  <c r="AL46" s="1"/>
  <c r="AF46"/>
  <c r="AA46"/>
  <c r="AB46" s="1"/>
  <c r="V46"/>
  <c r="W46" s="1"/>
  <c r="Q46"/>
  <c r="R46" s="1"/>
  <c r="J46"/>
  <c r="K46" s="1"/>
  <c r="AP45"/>
  <c r="AQ45" s="1"/>
  <c r="AK45"/>
  <c r="AL45" s="1"/>
  <c r="AF45"/>
  <c r="AG45" s="1"/>
  <c r="AB45"/>
  <c r="AA45"/>
  <c r="V45"/>
  <c r="W45" s="1"/>
  <c r="Q45"/>
  <c r="R45" s="1"/>
  <c r="J45"/>
  <c r="K45" s="1"/>
  <c r="AQ44"/>
  <c r="AP44"/>
  <c r="AK44"/>
  <c r="AL44" s="1"/>
  <c r="AF44"/>
  <c r="AG44" s="1"/>
  <c r="AA44"/>
  <c r="AB44" s="1"/>
  <c r="V44"/>
  <c r="Q44"/>
  <c r="R44" s="1"/>
  <c r="J44"/>
  <c r="K44" s="1"/>
  <c r="R82" i="3"/>
  <c r="G18" i="5" s="1"/>
  <c r="R81" i="3"/>
  <c r="R80"/>
  <c r="R79"/>
  <c r="R78"/>
  <c r="R77"/>
  <c r="R76"/>
  <c r="R75"/>
  <c r="R74"/>
  <c r="R73"/>
  <c r="R72"/>
  <c r="R71"/>
  <c r="R70"/>
  <c r="R69"/>
  <c r="R68"/>
  <c r="R67"/>
  <c r="R66"/>
  <c r="R65"/>
  <c r="R64"/>
  <c r="R63"/>
  <c r="R62"/>
  <c r="R61"/>
  <c r="R60"/>
  <c r="R59"/>
  <c r="R58"/>
  <c r="R57"/>
  <c r="R56"/>
  <c r="R55"/>
  <c r="R54"/>
  <c r="R53"/>
  <c r="R52"/>
  <c r="R51"/>
  <c r="R50"/>
  <c r="R49"/>
  <c r="R48"/>
  <c r="R47"/>
  <c r="R46"/>
  <c r="R20" i="5" l="1"/>
  <c r="S23"/>
  <c r="R24"/>
  <c r="R23"/>
  <c r="R22"/>
  <c r="R21"/>
  <c r="S24"/>
  <c r="R19"/>
  <c r="S22"/>
  <c r="R18"/>
  <c r="S21"/>
  <c r="S20"/>
  <c r="R17"/>
  <c r="R16"/>
  <c r="S18"/>
  <c r="S19"/>
  <c r="S17"/>
  <c r="AT79" i="4"/>
  <c r="AT54"/>
  <c r="AT67"/>
  <c r="AT62"/>
  <c r="AT82"/>
  <c r="AT81"/>
  <c r="AT80"/>
  <c r="AT78"/>
  <c r="AT77"/>
  <c r="AT73"/>
  <c r="AT72"/>
  <c r="AT71"/>
  <c r="AT70"/>
  <c r="AT69"/>
  <c r="AT68"/>
  <c r="AT66"/>
  <c r="AT65"/>
  <c r="AT64"/>
  <c r="AT63"/>
  <c r="AT60"/>
  <c r="AT59"/>
  <c r="AT58"/>
  <c r="AT57"/>
  <c r="AT56"/>
  <c r="AT55"/>
  <c r="AT53"/>
  <c r="AT52"/>
  <c r="AT51"/>
  <c r="AT49"/>
  <c r="AT48"/>
  <c r="AT47"/>
  <c r="AT46"/>
  <c r="AT45"/>
  <c r="AT44"/>
  <c r="X44"/>
  <c r="W44"/>
  <c r="L8" i="3"/>
  <c r="AT83" i="1"/>
  <c r="AX83" s="1"/>
  <c r="AT69"/>
  <c r="AX69" s="1"/>
  <c r="AU69"/>
  <c r="AT68"/>
  <c r="AX68" s="1"/>
  <c r="AT67"/>
  <c r="AX67" s="1"/>
  <c r="AT66"/>
  <c r="AX66" s="1"/>
  <c r="AT65"/>
  <c r="AX65" s="1"/>
  <c r="AT64"/>
  <c r="AX64" s="1"/>
  <c r="AT63"/>
  <c r="AX63" s="1"/>
  <c r="AT62"/>
  <c r="AX62" s="1"/>
  <c r="AT61"/>
  <c r="AX61" s="1"/>
  <c r="AT60"/>
  <c r="AX60" s="1"/>
  <c r="AT59"/>
  <c r="AX59" s="1"/>
  <c r="AT58"/>
  <c r="AX58" s="1"/>
  <c r="AT57"/>
  <c r="AX57" s="1"/>
  <c r="AT56"/>
  <c r="AX56" s="1"/>
  <c r="AT55"/>
  <c r="AX55" s="1"/>
  <c r="AT54"/>
  <c r="AX54" s="1"/>
  <c r="AT53"/>
  <c r="AX53" s="1"/>
  <c r="AS77"/>
  <c r="AS81"/>
  <c r="AS79"/>
  <c r="AS76"/>
  <c r="AS75"/>
  <c r="AS74"/>
  <c r="AS73"/>
  <c r="AS72"/>
  <c r="AS71"/>
  <c r="AS70"/>
  <c r="AS45"/>
  <c r="AU77"/>
  <c r="AU76"/>
  <c r="AU75"/>
  <c r="AU74"/>
  <c r="AU73"/>
  <c r="AU72"/>
  <c r="AU71"/>
  <c r="AU70"/>
  <c r="AU50"/>
  <c r="AU80"/>
  <c r="W80"/>
  <c r="AU46"/>
  <c r="AU84"/>
  <c r="AU48"/>
  <c r="AU78"/>
  <c r="AU52"/>
  <c r="AU82"/>
  <c r="AS73" i="3"/>
  <c r="AT73" s="1"/>
  <c r="AX73" s="1"/>
  <c r="AS71"/>
  <c r="AT71" s="1"/>
  <c r="AX71" s="1"/>
  <c r="AS70"/>
  <c r="AT70" s="1"/>
  <c r="AX70" s="1"/>
  <c r="AS68"/>
  <c r="AT68" s="1"/>
  <c r="AX68" s="1"/>
  <c r="AS67"/>
  <c r="AT67" s="1"/>
  <c r="AX67" s="1"/>
  <c r="AS66"/>
  <c r="AT66" s="1"/>
  <c r="AX66" s="1"/>
  <c r="AS65"/>
  <c r="AT65" s="1"/>
  <c r="AX65" s="1"/>
  <c r="AS64"/>
  <c r="AT64" s="1"/>
  <c r="AX64" s="1"/>
  <c r="AS59"/>
  <c r="AT59" s="1"/>
  <c r="AX59" s="1"/>
  <c r="AS57"/>
  <c r="AT57" s="1"/>
  <c r="AX57" s="1"/>
  <c r="AS56"/>
  <c r="AT56" s="1"/>
  <c r="AX56" s="1"/>
  <c r="AS53"/>
  <c r="AT53" s="1"/>
  <c r="AX53" s="1"/>
  <c r="AS52"/>
  <c r="AT52" s="1"/>
  <c r="AX52" s="1"/>
  <c r="AS31"/>
  <c r="AT31" s="1"/>
  <c r="AX31" s="1"/>
  <c r="AS25"/>
  <c r="AT25" s="1"/>
  <c r="AX25" s="1"/>
  <c r="AS16"/>
  <c r="AT16" s="1"/>
  <c r="AX16" s="1"/>
  <c r="S8"/>
  <c r="AU14"/>
  <c r="K51"/>
  <c r="K36"/>
  <c r="K9"/>
  <c r="K61"/>
  <c r="K60"/>
  <c r="K58"/>
  <c r="AS58" s="1"/>
  <c r="AT58" s="1"/>
  <c r="AX58" s="1"/>
  <c r="K55"/>
  <c r="AS55" s="1"/>
  <c r="AT55" s="1"/>
  <c r="AX55" s="1"/>
  <c r="K54"/>
  <c r="AS54" s="1"/>
  <c r="AT54" s="1"/>
  <c r="AX54" s="1"/>
  <c r="K50"/>
  <c r="AS50" s="1"/>
  <c r="AT50" s="1"/>
  <c r="AX50" s="1"/>
  <c r="K47"/>
  <c r="AS47" s="1"/>
  <c r="AT47" s="1"/>
  <c r="AX47" s="1"/>
  <c r="K45"/>
  <c r="AS45" s="1"/>
  <c r="AT45" s="1"/>
  <c r="AX45" s="1"/>
  <c r="K40"/>
  <c r="K37"/>
  <c r="K33"/>
  <c r="K32"/>
  <c r="K29"/>
  <c r="K28"/>
  <c r="AS28" s="1"/>
  <c r="AT28" s="1"/>
  <c r="AX28" s="1"/>
  <c r="K24"/>
  <c r="K22"/>
  <c r="AU20"/>
  <c r="AU16"/>
  <c r="K12"/>
  <c r="K46"/>
  <c r="K44"/>
  <c r="AS44" s="1"/>
  <c r="AT44" s="1"/>
  <c r="AX44" s="1"/>
  <c r="AU19"/>
  <c r="K15"/>
  <c r="K14"/>
  <c r="AS63"/>
  <c r="AT63" s="1"/>
  <c r="AX63" s="1"/>
  <c r="AS69"/>
  <c r="AT69" s="1"/>
  <c r="AX69" s="1"/>
  <c r="AS75"/>
  <c r="AT75" s="1"/>
  <c r="AX75" s="1"/>
  <c r="AS81"/>
  <c r="AT81" s="1"/>
  <c r="AX81" s="1"/>
  <c r="E16" i="5"/>
  <c r="AS79" i="3"/>
  <c r="AT79" s="1"/>
  <c r="AX79" s="1"/>
  <c r="AX44" i="1"/>
  <c r="AS46"/>
  <c r="AS47"/>
  <c r="AS48"/>
  <c r="AS49"/>
  <c r="AS50"/>
  <c r="AS51"/>
  <c r="AS52"/>
  <c r="AS78"/>
  <c r="AS80"/>
  <c r="AS82"/>
  <c r="AU44"/>
  <c r="AU47"/>
  <c r="AU49"/>
  <c r="AU51"/>
  <c r="AU79"/>
  <c r="AU81"/>
  <c r="AU83"/>
  <c r="AU45"/>
  <c r="AU44" i="4"/>
  <c r="AU46"/>
  <c r="AU48"/>
  <c r="AU50"/>
  <c r="AU52"/>
  <c r="AU54"/>
  <c r="AU56"/>
  <c r="AU58"/>
  <c r="AU60"/>
  <c r="AU62"/>
  <c r="AU64"/>
  <c r="AU66"/>
  <c r="AU68"/>
  <c r="AU70"/>
  <c r="AU72"/>
  <c r="AU74"/>
  <c r="AU76"/>
  <c r="AU78"/>
  <c r="AU80"/>
  <c r="AU82"/>
  <c r="AU45"/>
  <c r="AU47"/>
  <c r="AU49"/>
  <c r="AU51"/>
  <c r="AU53"/>
  <c r="AU55"/>
  <c r="AU57"/>
  <c r="AU59"/>
  <c r="AU61"/>
  <c r="AU63"/>
  <c r="AU65"/>
  <c r="AU67"/>
  <c r="AU69"/>
  <c r="AU71"/>
  <c r="AU73"/>
  <c r="AU75"/>
  <c r="AU77"/>
  <c r="AU79"/>
  <c r="AU81"/>
  <c r="AG46"/>
  <c r="AT82" i="1" l="1"/>
  <c r="AX82" s="1"/>
  <c r="AX81"/>
  <c r="AT81"/>
  <c r="AT80"/>
  <c r="AX80" s="1"/>
  <c r="AT79"/>
  <c r="AX79" s="1"/>
  <c r="AT78"/>
  <c r="AX78" s="1"/>
  <c r="AT77"/>
  <c r="AX77" s="1"/>
  <c r="AT76"/>
  <c r="AX76" s="1"/>
  <c r="AX75"/>
  <c r="AT75"/>
  <c r="AT74"/>
  <c r="AX74" s="1"/>
  <c r="AT73"/>
  <c r="AX73" s="1"/>
  <c r="AT72"/>
  <c r="AX72" s="1"/>
  <c r="AT71"/>
  <c r="AX71" s="1"/>
  <c r="AX70"/>
  <c r="AT70"/>
  <c r="AT52"/>
  <c r="AX52" s="1"/>
  <c r="AT51"/>
  <c r="AX51" s="1"/>
  <c r="AT50"/>
  <c r="AX50" s="1"/>
  <c r="AT49"/>
  <c r="AX49" s="1"/>
  <c r="AT48"/>
  <c r="AX48" s="1"/>
  <c r="AT47"/>
  <c r="AX47" s="1"/>
  <c r="AX46"/>
  <c r="AT46"/>
  <c r="AX45"/>
  <c r="AT45"/>
  <c r="AS20" i="3"/>
  <c r="AT20" s="1"/>
  <c r="AX20" s="1"/>
  <c r="AS14"/>
  <c r="AT14" s="1"/>
  <c r="AX14" s="1"/>
  <c r="AS19"/>
  <c r="AT19" s="1"/>
  <c r="AX19" s="1"/>
  <c r="AU15"/>
  <c r="AS15"/>
  <c r="AT15" s="1"/>
  <c r="AX15" s="1"/>
  <c r="AS13"/>
  <c r="AT13" s="1"/>
  <c r="AX13" s="1"/>
  <c r="AU13"/>
  <c r="AU30"/>
  <c r="AS41"/>
  <c r="AT41" s="1"/>
  <c r="AX41" s="1"/>
  <c r="AS37"/>
  <c r="AT37" s="1"/>
  <c r="AX37" s="1"/>
  <c r="AS34"/>
  <c r="AT34" s="1"/>
  <c r="AX34" s="1"/>
  <c r="AU25"/>
  <c r="AS42"/>
  <c r="AT42" s="1"/>
  <c r="AX42" s="1"/>
  <c r="AS36"/>
  <c r="AT36" s="1"/>
  <c r="AX36" s="1"/>
  <c r="AU41"/>
  <c r="AS40"/>
  <c r="AT40" s="1"/>
  <c r="AX40" s="1"/>
  <c r="AU40"/>
  <c r="AU39"/>
  <c r="AS39"/>
  <c r="AT39" s="1"/>
  <c r="AX39" s="1"/>
  <c r="AS38"/>
  <c r="AT38" s="1"/>
  <c r="AX38" s="1"/>
  <c r="AU38"/>
  <c r="AU37"/>
  <c r="AS35"/>
  <c r="AT35" s="1"/>
  <c r="AX35" s="1"/>
  <c r="AU35"/>
  <c r="AU34"/>
  <c r="AS33"/>
  <c r="AT33" s="1"/>
  <c r="AX33" s="1"/>
  <c r="AU33"/>
  <c r="AU32"/>
  <c r="AS32"/>
  <c r="AT32" s="1"/>
  <c r="AX32" s="1"/>
  <c r="AU31"/>
  <c r="AS29"/>
  <c r="AT29" s="1"/>
  <c r="AX29" s="1"/>
  <c r="AU29"/>
  <c r="AU28"/>
  <c r="AU27"/>
  <c r="AS27"/>
  <c r="AT27" s="1"/>
  <c r="AX27" s="1"/>
  <c r="AU42"/>
  <c r="AS26"/>
  <c r="AT26" s="1"/>
  <c r="AX26" s="1"/>
  <c r="AU26"/>
  <c r="AU24"/>
  <c r="AS24"/>
  <c r="AT24" s="1"/>
  <c r="AX24" s="1"/>
  <c r="AU23"/>
  <c r="AS23"/>
  <c r="AT23" s="1"/>
  <c r="AX23" s="1"/>
  <c r="AS22"/>
  <c r="AT22" s="1"/>
  <c r="AX22" s="1"/>
  <c r="AU22"/>
  <c r="AU21"/>
  <c r="AS18"/>
  <c r="AT18" s="1"/>
  <c r="AX18" s="1"/>
  <c r="AU18"/>
  <c r="AU17"/>
  <c r="AS12"/>
  <c r="AT12" s="1"/>
  <c r="AX12" s="1"/>
  <c r="AS11"/>
  <c r="AT11" s="1"/>
  <c r="AX11" s="1"/>
  <c r="AU11"/>
  <c r="AS10"/>
  <c r="AT10" s="1"/>
  <c r="AX10" s="1"/>
  <c r="AU10"/>
  <c r="AU9"/>
  <c r="AS9"/>
  <c r="AT9" s="1"/>
  <c r="AX9" s="1"/>
  <c r="AS76"/>
  <c r="AT76" s="1"/>
  <c r="AX76" s="1"/>
  <c r="AS17"/>
  <c r="AT17" s="1"/>
  <c r="AX17" s="1"/>
  <c r="AU36"/>
  <c r="AS21"/>
  <c r="AT21" s="1"/>
  <c r="AX21" s="1"/>
  <c r="AS30"/>
  <c r="AT30" s="1"/>
  <c r="AX30" s="1"/>
  <c r="AU12"/>
  <c r="AS74"/>
  <c r="AT74" s="1"/>
  <c r="AX74" s="1"/>
  <c r="AS72"/>
  <c r="AT72" s="1"/>
  <c r="AX72" s="1"/>
  <c r="AS48"/>
  <c r="AT48" s="1"/>
  <c r="AX48" s="1"/>
  <c r="X8"/>
  <c r="AS60"/>
  <c r="AT60" s="1"/>
  <c r="AX60" s="1"/>
  <c r="AU43"/>
  <c r="E20" i="5"/>
  <c r="AS82" i="3"/>
  <c r="AT82" s="1"/>
  <c r="AX82" s="1"/>
  <c r="G16" i="5"/>
  <c r="AP17" i="4"/>
  <c r="AQ17" s="1"/>
  <c r="AP18"/>
  <c r="AQ18" s="1"/>
  <c r="AP19"/>
  <c r="AQ19" s="1"/>
  <c r="AP20"/>
  <c r="AQ20"/>
  <c r="AP21"/>
  <c r="AQ21" s="1"/>
  <c r="AP22"/>
  <c r="AQ22" s="1"/>
  <c r="AP23"/>
  <c r="AQ23" s="1"/>
  <c r="AP24"/>
  <c r="AQ24" s="1"/>
  <c r="AP25"/>
  <c r="AQ25" s="1"/>
  <c r="AP26"/>
  <c r="AQ26" s="1"/>
  <c r="AP27"/>
  <c r="AQ27" s="1"/>
  <c r="AP28"/>
  <c r="AQ28" s="1"/>
  <c r="AP29"/>
  <c r="AQ29" s="1"/>
  <c r="AP30"/>
  <c r="AQ30" s="1"/>
  <c r="AP31"/>
  <c r="AQ31" s="1"/>
  <c r="AP32"/>
  <c r="AQ32" s="1"/>
  <c r="AK17"/>
  <c r="AL17" s="1"/>
  <c r="AK18"/>
  <c r="AL18" s="1"/>
  <c r="AK19"/>
  <c r="AL19" s="1"/>
  <c r="AK20"/>
  <c r="AL20" s="1"/>
  <c r="AK21"/>
  <c r="AL21" s="1"/>
  <c r="AK22"/>
  <c r="AL22" s="1"/>
  <c r="AK23"/>
  <c r="AL23" s="1"/>
  <c r="AK24"/>
  <c r="AL24" s="1"/>
  <c r="AK25"/>
  <c r="AL25" s="1"/>
  <c r="AK26"/>
  <c r="AL26" s="1"/>
  <c r="AK27"/>
  <c r="AL27" s="1"/>
  <c r="AK28"/>
  <c r="AL28" s="1"/>
  <c r="AK29"/>
  <c r="AL29" s="1"/>
  <c r="AK30"/>
  <c r="AL30" s="1"/>
  <c r="AK31"/>
  <c r="AL31" s="1"/>
  <c r="AF17"/>
  <c r="AG17" s="1"/>
  <c r="AF18"/>
  <c r="AG18" s="1"/>
  <c r="AF19"/>
  <c r="AG19" s="1"/>
  <c r="AF20"/>
  <c r="AG20" s="1"/>
  <c r="AF21"/>
  <c r="AG21" s="1"/>
  <c r="AF22"/>
  <c r="AG22" s="1"/>
  <c r="AF23"/>
  <c r="AG23" s="1"/>
  <c r="AF24"/>
  <c r="AG24" s="1"/>
  <c r="AF25"/>
  <c r="AG25" s="1"/>
  <c r="AF26"/>
  <c r="AG26" s="1"/>
  <c r="AF27"/>
  <c r="AG27" s="1"/>
  <c r="AF28"/>
  <c r="AG28" s="1"/>
  <c r="AF29"/>
  <c r="AG29" s="1"/>
  <c r="AF30"/>
  <c r="AG30" s="1"/>
  <c r="AF31"/>
  <c r="AG31" s="1"/>
  <c r="AA17"/>
  <c r="AB17" s="1"/>
  <c r="AA18"/>
  <c r="AB18" s="1"/>
  <c r="AA19"/>
  <c r="AB19" s="1"/>
  <c r="AA20"/>
  <c r="AB20" s="1"/>
  <c r="AA21"/>
  <c r="AB21" s="1"/>
  <c r="AA22"/>
  <c r="AB22" s="1"/>
  <c r="AA23"/>
  <c r="AB23" s="1"/>
  <c r="AA24"/>
  <c r="AB24" s="1"/>
  <c r="AA25"/>
  <c r="AB25" s="1"/>
  <c r="AA26"/>
  <c r="AB26" s="1"/>
  <c r="AA27"/>
  <c r="AB27" s="1"/>
  <c r="AA28"/>
  <c r="AB28" s="1"/>
  <c r="AA29"/>
  <c r="AB29" s="1"/>
  <c r="AA30"/>
  <c r="AB30" s="1"/>
  <c r="AA31"/>
  <c r="AB31" s="1"/>
  <c r="V17"/>
  <c r="W17" s="1"/>
  <c r="V18"/>
  <c r="W18" s="1"/>
  <c r="V19"/>
  <c r="W19" s="1"/>
  <c r="V20"/>
  <c r="W20" s="1"/>
  <c r="V21"/>
  <c r="W21" s="1"/>
  <c r="V22"/>
  <c r="W22" s="1"/>
  <c r="V23"/>
  <c r="W23" s="1"/>
  <c r="V24"/>
  <c r="W24" s="1"/>
  <c r="V25"/>
  <c r="W25" s="1"/>
  <c r="V26"/>
  <c r="W26" s="1"/>
  <c r="V27"/>
  <c r="W27" s="1"/>
  <c r="V28"/>
  <c r="W28" s="1"/>
  <c r="V29"/>
  <c r="W29" s="1"/>
  <c r="Q17"/>
  <c r="R17" s="1"/>
  <c r="Q18"/>
  <c r="R18" s="1"/>
  <c r="Q19"/>
  <c r="R19" s="1"/>
  <c r="Q20"/>
  <c r="R20" s="1"/>
  <c r="Q21"/>
  <c r="R21" s="1"/>
  <c r="Q22"/>
  <c r="R22" s="1"/>
  <c r="Q23"/>
  <c r="R23" s="1"/>
  <c r="Q24"/>
  <c r="Q25"/>
  <c r="R25" s="1"/>
  <c r="Q26"/>
  <c r="R26" s="1"/>
  <c r="Q27"/>
  <c r="R27" s="1"/>
  <c r="Q28"/>
  <c r="R28" s="1"/>
  <c r="Q29"/>
  <c r="R29" s="1"/>
  <c r="J17"/>
  <c r="K17" s="1"/>
  <c r="AT17" s="1"/>
  <c r="J18"/>
  <c r="J19"/>
  <c r="K19" s="1"/>
  <c r="J20"/>
  <c r="J21"/>
  <c r="J22"/>
  <c r="J23"/>
  <c r="K23" s="1"/>
  <c r="J24"/>
  <c r="J25"/>
  <c r="J26"/>
  <c r="J27"/>
  <c r="K27" s="1"/>
  <c r="J28"/>
  <c r="J29"/>
  <c r="K29" s="1"/>
  <c r="J30"/>
  <c r="J31"/>
  <c r="J32"/>
  <c r="K32" s="1"/>
  <c r="AP38"/>
  <c r="AP39"/>
  <c r="AP40"/>
  <c r="AP41"/>
  <c r="AP42"/>
  <c r="AP43"/>
  <c r="K31" l="1"/>
  <c r="K30"/>
  <c r="AT30" s="1"/>
  <c r="K28"/>
  <c r="AT28" s="1"/>
  <c r="K26"/>
  <c r="AT26" s="1"/>
  <c r="K25"/>
  <c r="AT25" s="1"/>
  <c r="K24"/>
  <c r="AT24" s="1"/>
  <c r="K22"/>
  <c r="AT22" s="1"/>
  <c r="K21"/>
  <c r="AT21" s="1"/>
  <c r="K20"/>
  <c r="AT20" s="1"/>
  <c r="K18"/>
  <c r="AT18" s="1"/>
  <c r="AS61" i="3"/>
  <c r="AT61" s="1"/>
  <c r="AX61" s="1"/>
  <c r="AS51"/>
  <c r="AT51" s="1"/>
  <c r="AX51" s="1"/>
  <c r="AS77"/>
  <c r="AT77" s="1"/>
  <c r="AX77" s="1"/>
  <c r="G20" i="5"/>
  <c r="AU17" i="4"/>
  <c r="AU27"/>
  <c r="AU19"/>
  <c r="AU24"/>
  <c r="AU20"/>
  <c r="AU29"/>
  <c r="AU25"/>
  <c r="AU21"/>
  <c r="AU23"/>
  <c r="R24"/>
  <c r="AT29"/>
  <c r="AU28"/>
  <c r="AT27"/>
  <c r="AU26"/>
  <c r="AT23"/>
  <c r="AU22"/>
  <c r="AT19"/>
  <c r="AU18"/>
  <c r="AQ41"/>
  <c r="AQ43"/>
  <c r="AF42"/>
  <c r="AG42" s="1"/>
  <c r="AF43"/>
  <c r="AG43" s="1"/>
  <c r="AF9"/>
  <c r="AF10"/>
  <c r="AG10" s="1"/>
  <c r="AF11"/>
  <c r="AG11" s="1"/>
  <c r="AF12"/>
  <c r="AG12" s="1"/>
  <c r="AF13"/>
  <c r="AG13" s="1"/>
  <c r="AF14"/>
  <c r="AG14" s="1"/>
  <c r="AF15"/>
  <c r="AG15" s="1"/>
  <c r="AF16"/>
  <c r="AG16" s="1"/>
  <c r="AF32"/>
  <c r="AG32" s="1"/>
  <c r="AF33"/>
  <c r="AG33" s="1"/>
  <c r="AF34"/>
  <c r="AG34" s="1"/>
  <c r="AF35"/>
  <c r="AG35" s="1"/>
  <c r="AF36"/>
  <c r="AG36" s="1"/>
  <c r="AF37"/>
  <c r="AG37" s="1"/>
  <c r="AF38"/>
  <c r="AG38" s="1"/>
  <c r="AF39"/>
  <c r="AG39" s="1"/>
  <c r="AF40"/>
  <c r="AG40" s="1"/>
  <c r="AF41"/>
  <c r="AG41" s="1"/>
  <c r="AG9" l="1"/>
  <c r="Q22" i="5" s="1"/>
  <c r="O22"/>
  <c r="AS49" i="3"/>
  <c r="AT49" s="1"/>
  <c r="AX49" s="1"/>
  <c r="AC8"/>
  <c r="F21" i="5" s="1"/>
  <c r="AU60" i="3"/>
  <c r="AU54"/>
  <c r="AU58"/>
  <c r="AU48"/>
  <c r="AU56"/>
  <c r="AU46"/>
  <c r="AU44"/>
  <c r="AU61"/>
  <c r="AU49"/>
  <c r="AU51"/>
  <c r="AU50"/>
  <c r="AU45"/>
  <c r="AU55"/>
  <c r="E21" i="5"/>
  <c r="AQ42" i="4"/>
  <c r="AA42"/>
  <c r="AA43"/>
  <c r="AB43" s="1"/>
  <c r="AA9"/>
  <c r="O21" i="5" s="1"/>
  <c r="AA10" i="4"/>
  <c r="AB10" s="1"/>
  <c r="AA11"/>
  <c r="AB11" s="1"/>
  <c r="AA12"/>
  <c r="AB12" s="1"/>
  <c r="AA13"/>
  <c r="AA14"/>
  <c r="AA15"/>
  <c r="AB15" s="1"/>
  <c r="AA16"/>
  <c r="AA32"/>
  <c r="AB32" s="1"/>
  <c r="AA33"/>
  <c r="AB33" s="1"/>
  <c r="AA34"/>
  <c r="AB34" s="1"/>
  <c r="AA35"/>
  <c r="AB35" s="1"/>
  <c r="AA36"/>
  <c r="AB36" s="1"/>
  <c r="AA37"/>
  <c r="AB37" s="1"/>
  <c r="AA38"/>
  <c r="AB38" s="1"/>
  <c r="AA39"/>
  <c r="AB39" s="1"/>
  <c r="AA40"/>
  <c r="AB40" s="1"/>
  <c r="AA41"/>
  <c r="AB41" s="1"/>
  <c r="AA8"/>
  <c r="AK42"/>
  <c r="AL42" s="1"/>
  <c r="AK43"/>
  <c r="AL43" s="1"/>
  <c r="F18" i="5"/>
  <c r="F16"/>
  <c r="V40" i="4"/>
  <c r="W40" s="1"/>
  <c r="V41"/>
  <c r="W41" s="1"/>
  <c r="V42"/>
  <c r="W42" s="1"/>
  <c r="V43"/>
  <c r="W43" s="1"/>
  <c r="Q40"/>
  <c r="R40" s="1"/>
  <c r="Q41"/>
  <c r="R41" s="1"/>
  <c r="Q42"/>
  <c r="R42" s="1"/>
  <c r="Q43"/>
  <c r="R43" s="1"/>
  <c r="J43"/>
  <c r="K43" s="1"/>
  <c r="J9"/>
  <c r="J10"/>
  <c r="K10" s="1"/>
  <c r="J12"/>
  <c r="K12" s="1"/>
  <c r="J13"/>
  <c r="K13" s="1"/>
  <c r="AS13" s="1"/>
  <c r="J14"/>
  <c r="K14" s="1"/>
  <c r="J15"/>
  <c r="K15" s="1"/>
  <c r="J16"/>
  <c r="K16" s="1"/>
  <c r="J33"/>
  <c r="K33" s="1"/>
  <c r="J34"/>
  <c r="K34" s="1"/>
  <c r="J35"/>
  <c r="K35" s="1"/>
  <c r="J36"/>
  <c r="K36" s="1"/>
  <c r="J37"/>
  <c r="K37" s="1"/>
  <c r="J38"/>
  <c r="K38" s="1"/>
  <c r="J39"/>
  <c r="K39" s="1"/>
  <c r="J40"/>
  <c r="K40" s="1"/>
  <c r="J41"/>
  <c r="K41" s="1"/>
  <c r="J42"/>
  <c r="K42" s="1"/>
  <c r="AK41"/>
  <c r="AL41" s="1"/>
  <c r="AQ40"/>
  <c r="AK40"/>
  <c r="AL40" s="1"/>
  <c r="AQ39"/>
  <c r="AK39"/>
  <c r="AL39" s="1"/>
  <c r="V39"/>
  <c r="W39" s="1"/>
  <c r="Q39"/>
  <c r="R39" s="1"/>
  <c r="AQ38"/>
  <c r="AK38"/>
  <c r="AL38" s="1"/>
  <c r="V38"/>
  <c r="W38" s="1"/>
  <c r="Q38"/>
  <c r="R38" s="1"/>
  <c r="AP37"/>
  <c r="AQ37" s="1"/>
  <c r="AK37"/>
  <c r="AL37" s="1"/>
  <c r="V37"/>
  <c r="W37" s="1"/>
  <c r="Q37"/>
  <c r="R37" s="1"/>
  <c r="AP36"/>
  <c r="AQ36" s="1"/>
  <c r="AK36"/>
  <c r="AL36" s="1"/>
  <c r="V36"/>
  <c r="Q36"/>
  <c r="R36" s="1"/>
  <c r="AP35"/>
  <c r="AQ35" s="1"/>
  <c r="AK35"/>
  <c r="AL35" s="1"/>
  <c r="V35"/>
  <c r="W35" s="1"/>
  <c r="Q35"/>
  <c r="R35" s="1"/>
  <c r="AP34"/>
  <c r="AQ34" s="1"/>
  <c r="AK34"/>
  <c r="AL34" s="1"/>
  <c r="V34"/>
  <c r="Q34"/>
  <c r="R34" s="1"/>
  <c r="AP33"/>
  <c r="AQ33" s="1"/>
  <c r="AK33"/>
  <c r="AL33" s="1"/>
  <c r="V33"/>
  <c r="W33" s="1"/>
  <c r="Q33"/>
  <c r="R33" s="1"/>
  <c r="AK32"/>
  <c r="AL32" s="1"/>
  <c r="V32"/>
  <c r="W32" s="1"/>
  <c r="Q32"/>
  <c r="R32" s="1"/>
  <c r="V31"/>
  <c r="W31" s="1"/>
  <c r="AT31" s="1"/>
  <c r="Q31"/>
  <c r="V30"/>
  <c r="W30" s="1"/>
  <c r="Q30"/>
  <c r="AP16"/>
  <c r="AQ16" s="1"/>
  <c r="AK16"/>
  <c r="AL16" s="1"/>
  <c r="AB16"/>
  <c r="V16"/>
  <c r="Q16"/>
  <c r="R16" s="1"/>
  <c r="AP15"/>
  <c r="AQ15" s="1"/>
  <c r="AK15"/>
  <c r="AL15" s="1"/>
  <c r="V15"/>
  <c r="W15" s="1"/>
  <c r="Q15"/>
  <c r="R15" s="1"/>
  <c r="AP14"/>
  <c r="AQ14" s="1"/>
  <c r="AK14"/>
  <c r="AL14" s="1"/>
  <c r="AB14"/>
  <c r="V14"/>
  <c r="W14" s="1"/>
  <c r="Q14"/>
  <c r="R14" s="1"/>
  <c r="AP13"/>
  <c r="AQ13" s="1"/>
  <c r="AK13"/>
  <c r="AL13" s="1"/>
  <c r="AB13"/>
  <c r="V13"/>
  <c r="W13" s="1"/>
  <c r="Q13"/>
  <c r="R13" s="1"/>
  <c r="AP12"/>
  <c r="AQ12" s="1"/>
  <c r="AK12"/>
  <c r="AL12" s="1"/>
  <c r="V12"/>
  <c r="Q12"/>
  <c r="R12" s="1"/>
  <c r="AP11"/>
  <c r="AQ11" s="1"/>
  <c r="AK11"/>
  <c r="AL11" s="1"/>
  <c r="V11"/>
  <c r="W11" s="1"/>
  <c r="Q11"/>
  <c r="R11" s="1"/>
  <c r="AP10"/>
  <c r="AQ10" s="1"/>
  <c r="AK10"/>
  <c r="AL10" s="1"/>
  <c r="V10"/>
  <c r="W10" s="1"/>
  <c r="Q10"/>
  <c r="R10" s="1"/>
  <c r="AP9"/>
  <c r="O24" i="5" s="1"/>
  <c r="AK9" i="4"/>
  <c r="AB9"/>
  <c r="Q21" i="5" s="1"/>
  <c r="V9" i="4"/>
  <c r="Q9"/>
  <c r="O18" i="5" s="1"/>
  <c r="AP8" i="4"/>
  <c r="AQ8" s="1"/>
  <c r="AK8"/>
  <c r="AF8"/>
  <c r="AG8" s="1"/>
  <c r="V8"/>
  <c r="W8" s="1"/>
  <c r="Q8"/>
  <c r="J8"/>
  <c r="BB8"/>
  <c r="AP43" i="1"/>
  <c r="AQ43" s="1"/>
  <c r="AK43"/>
  <c r="AL43" s="1"/>
  <c r="AF43"/>
  <c r="AG43" s="1"/>
  <c r="V43"/>
  <c r="W43" s="1"/>
  <c r="Q43"/>
  <c r="R43" s="1"/>
  <c r="AQ42"/>
  <c r="AK42"/>
  <c r="AL42" s="1"/>
  <c r="AF42"/>
  <c r="AG42" s="1"/>
  <c r="V42"/>
  <c r="W42" s="1"/>
  <c r="Q42"/>
  <c r="R42" s="1"/>
  <c r="AP41"/>
  <c r="AQ41" s="1"/>
  <c r="AK41"/>
  <c r="AL41" s="1"/>
  <c r="AF41"/>
  <c r="AG41" s="1"/>
  <c r="V41"/>
  <c r="W41" s="1"/>
  <c r="Q41"/>
  <c r="R41" s="1"/>
  <c r="AP40"/>
  <c r="AQ40" s="1"/>
  <c r="AK40"/>
  <c r="AL40" s="1"/>
  <c r="AF40"/>
  <c r="AG40" s="1"/>
  <c r="V40"/>
  <c r="W40" s="1"/>
  <c r="Q40"/>
  <c r="R40" s="1"/>
  <c r="AP39"/>
  <c r="AQ39" s="1"/>
  <c r="AK39"/>
  <c r="AL39" s="1"/>
  <c r="AF39"/>
  <c r="AG39" s="1"/>
  <c r="V39"/>
  <c r="W39" s="1"/>
  <c r="Q39"/>
  <c r="R39" s="1"/>
  <c r="AP38"/>
  <c r="AQ38" s="1"/>
  <c r="AK38"/>
  <c r="AL38" s="1"/>
  <c r="AF38"/>
  <c r="AG38" s="1"/>
  <c r="V38"/>
  <c r="AP37"/>
  <c r="AQ37" s="1"/>
  <c r="AF37"/>
  <c r="AG37" s="1"/>
  <c r="V37"/>
  <c r="V36"/>
  <c r="AU36" s="1"/>
  <c r="AP16"/>
  <c r="AQ16" s="1"/>
  <c r="AK16"/>
  <c r="AL16" s="1"/>
  <c r="AF16"/>
  <c r="AG16" s="1"/>
  <c r="AB16"/>
  <c r="V16"/>
  <c r="W16" s="1"/>
  <c r="Q16"/>
  <c r="R16" s="1"/>
  <c r="AP15"/>
  <c r="AQ15" s="1"/>
  <c r="AK15"/>
  <c r="AL15" s="1"/>
  <c r="AF15"/>
  <c r="AG15" s="1"/>
  <c r="AA15"/>
  <c r="AB15" s="1"/>
  <c r="V15"/>
  <c r="W15" s="1"/>
  <c r="Q15"/>
  <c r="R15" s="1"/>
  <c r="AP14"/>
  <c r="AQ14" s="1"/>
  <c r="AK14"/>
  <c r="AL14" s="1"/>
  <c r="AF14"/>
  <c r="AG14" s="1"/>
  <c r="AA14"/>
  <c r="AB14" s="1"/>
  <c r="W14"/>
  <c r="V14"/>
  <c r="Q14"/>
  <c r="R14" s="1"/>
  <c r="AP13"/>
  <c r="AQ13" s="1"/>
  <c r="AK13"/>
  <c r="AL13" s="1"/>
  <c r="AF13"/>
  <c r="AG13" s="1"/>
  <c r="AA13"/>
  <c r="AB13" s="1"/>
  <c r="V13"/>
  <c r="W13" s="1"/>
  <c r="Q13"/>
  <c r="R13" s="1"/>
  <c r="AP12"/>
  <c r="AQ12" s="1"/>
  <c r="AK12"/>
  <c r="AL12" s="1"/>
  <c r="AF12"/>
  <c r="AG12" s="1"/>
  <c r="AA12"/>
  <c r="AB12" s="1"/>
  <c r="V12"/>
  <c r="W12" s="1"/>
  <c r="Q12"/>
  <c r="R12" s="1"/>
  <c r="AP11"/>
  <c r="AQ11" s="1"/>
  <c r="AK11"/>
  <c r="AL11" s="1"/>
  <c r="AF11"/>
  <c r="AG11" s="1"/>
  <c r="AA11"/>
  <c r="AB11" s="1"/>
  <c r="V11"/>
  <c r="W11" s="1"/>
  <c r="Q11"/>
  <c r="R11" s="1"/>
  <c r="AP10"/>
  <c r="AQ10" s="1"/>
  <c r="AK10"/>
  <c r="AL10" s="1"/>
  <c r="AF10"/>
  <c r="AG10" s="1"/>
  <c r="AA10"/>
  <c r="AB10" s="1"/>
  <c r="V10"/>
  <c r="W10" s="1"/>
  <c r="Q10"/>
  <c r="R10" s="1"/>
  <c r="AP9"/>
  <c r="J24" i="5" s="1"/>
  <c r="AK9" i="1"/>
  <c r="AF9"/>
  <c r="AA9"/>
  <c r="V9"/>
  <c r="Q9"/>
  <c r="AP8"/>
  <c r="AQ8" s="1"/>
  <c r="AK8"/>
  <c r="AL8" s="1"/>
  <c r="AF8"/>
  <c r="AG8" s="1"/>
  <c r="AA8"/>
  <c r="V8"/>
  <c r="W8" s="1"/>
  <c r="Q8"/>
  <c r="R8" s="1"/>
  <c r="J8"/>
  <c r="T21" i="5" l="1"/>
  <c r="U21" s="1"/>
  <c r="O16"/>
  <c r="K9" i="4"/>
  <c r="Q16" i="5" s="1"/>
  <c r="U16" s="1"/>
  <c r="W9" i="4"/>
  <c r="Q20" i="5" s="1"/>
  <c r="O20"/>
  <c r="AL9" i="4"/>
  <c r="Q23" i="5" s="1"/>
  <c r="O23"/>
  <c r="W38" i="1"/>
  <c r="AS38" s="1"/>
  <c r="AT38" s="1"/>
  <c r="AX38" s="1"/>
  <c r="AU38"/>
  <c r="W37"/>
  <c r="AS37" s="1"/>
  <c r="AT37" s="1"/>
  <c r="AX37" s="1"/>
  <c r="AU37"/>
  <c r="W36"/>
  <c r="AS36" s="1"/>
  <c r="AT36" s="1"/>
  <c r="AX36" s="1"/>
  <c r="AL9"/>
  <c r="L23" i="5" s="1"/>
  <c r="J23"/>
  <c r="AG9" i="1"/>
  <c r="L22" i="5" s="1"/>
  <c r="J22"/>
  <c r="AU9" i="1"/>
  <c r="AB9"/>
  <c r="L21" i="5" s="1"/>
  <c r="J21"/>
  <c r="AU15" i="1"/>
  <c r="W9"/>
  <c r="L20" i="5" s="1"/>
  <c r="J20"/>
  <c r="AU40" i="1"/>
  <c r="AU41"/>
  <c r="AU12"/>
  <c r="R9"/>
  <c r="L18" i="5" s="1"/>
  <c r="J18"/>
  <c r="AS46" i="3"/>
  <c r="AT46" s="1"/>
  <c r="AX46" s="1"/>
  <c r="AU59"/>
  <c r="AU47"/>
  <c r="AU53"/>
  <c r="AU52"/>
  <c r="AU57"/>
  <c r="AU72"/>
  <c r="AU64"/>
  <c r="AU79"/>
  <c r="AU66"/>
  <c r="AU62"/>
  <c r="AU67"/>
  <c r="AU75"/>
  <c r="AU63"/>
  <c r="AU68"/>
  <c r="AU71"/>
  <c r="AU65"/>
  <c r="AU74"/>
  <c r="AU76"/>
  <c r="AU73"/>
  <c r="AU81"/>
  <c r="AU69"/>
  <c r="AU80"/>
  <c r="AU77"/>
  <c r="AU78"/>
  <c r="AU70"/>
  <c r="G21" i="5"/>
  <c r="R31" i="4"/>
  <c r="AU31"/>
  <c r="R30"/>
  <c r="AU30"/>
  <c r="AU43"/>
  <c r="AU41"/>
  <c r="AU11"/>
  <c r="AU12"/>
  <c r="AU39"/>
  <c r="AU42"/>
  <c r="AT32"/>
  <c r="AU32"/>
  <c r="AT33"/>
  <c r="AU33"/>
  <c r="AU9"/>
  <c r="AT10"/>
  <c r="AU10"/>
  <c r="AT35"/>
  <c r="AU35"/>
  <c r="AT37"/>
  <c r="AU37"/>
  <c r="AT13"/>
  <c r="AX13" s="1"/>
  <c r="AU13"/>
  <c r="BA13" s="1"/>
  <c r="AT38"/>
  <c r="AU38"/>
  <c r="AT15"/>
  <c r="AU15"/>
  <c r="AT14"/>
  <c r="AU14"/>
  <c r="AT40"/>
  <c r="AU40"/>
  <c r="AU10" i="1"/>
  <c r="AU8"/>
  <c r="AM8"/>
  <c r="K23" i="5" s="1"/>
  <c r="AU16" i="1"/>
  <c r="AU13"/>
  <c r="AZ13" i="4" s="1"/>
  <c r="AC8" i="1"/>
  <c r="X8"/>
  <c r="K20" i="5" s="1"/>
  <c r="AR8" i="1"/>
  <c r="AU11"/>
  <c r="AU14"/>
  <c r="AU39"/>
  <c r="AU42"/>
  <c r="W36" i="4"/>
  <c r="AT36" s="1"/>
  <c r="AU36"/>
  <c r="W34"/>
  <c r="AT34" s="1"/>
  <c r="AU34"/>
  <c r="W16"/>
  <c r="AT16" s="1"/>
  <c r="AU16"/>
  <c r="AC8"/>
  <c r="AM8"/>
  <c r="P23" i="5" s="1"/>
  <c r="AB42" i="4"/>
  <c r="X8"/>
  <c r="P20" i="5" s="1"/>
  <c r="S8" i="4"/>
  <c r="P18" i="5" s="1"/>
  <c r="L8" i="4"/>
  <c r="P16" i="5" s="1"/>
  <c r="AH8" i="4"/>
  <c r="P22" i="5" s="1"/>
  <c r="R9" i="4"/>
  <c r="Q18" i="5" s="1"/>
  <c r="AR8" i="4"/>
  <c r="AQ9"/>
  <c r="Q24" i="5" s="1"/>
  <c r="AT12" i="4"/>
  <c r="W12"/>
  <c r="AU8"/>
  <c r="K8"/>
  <c r="AT41"/>
  <c r="R8"/>
  <c r="AL8"/>
  <c r="AB8"/>
  <c r="AS43" i="1"/>
  <c r="AT43" s="1"/>
  <c r="AX43" s="1"/>
  <c r="L8"/>
  <c r="K16" i="5" s="1"/>
  <c r="AH8" i="1"/>
  <c r="K22" i="5" s="1"/>
  <c r="AQ9" i="1"/>
  <c r="L24" i="5" s="1"/>
  <c r="AS11" i="1"/>
  <c r="AT11" s="1"/>
  <c r="AX11" s="1"/>
  <c r="AS13"/>
  <c r="AT13" s="1"/>
  <c r="AX13" s="1"/>
  <c r="AS15"/>
  <c r="AT15" s="1"/>
  <c r="AX15" s="1"/>
  <c r="AS39"/>
  <c r="AT39" s="1"/>
  <c r="AX39" s="1"/>
  <c r="AS41"/>
  <c r="AT41" s="1"/>
  <c r="AX41" s="1"/>
  <c r="AU43"/>
  <c r="S8"/>
  <c r="K18" i="5" s="1"/>
  <c r="AS10" i="1"/>
  <c r="AT10" s="1"/>
  <c r="AX10" s="1"/>
  <c r="AS12"/>
  <c r="AT12" s="1"/>
  <c r="AX12" s="1"/>
  <c r="AS14"/>
  <c r="AT14" s="1"/>
  <c r="AX14" s="1"/>
  <c r="AS16"/>
  <c r="AT16" s="1"/>
  <c r="AX16" s="1"/>
  <c r="AS40"/>
  <c r="AT40" s="1"/>
  <c r="AX40" s="1"/>
  <c r="AS42"/>
  <c r="AT42" s="1"/>
  <c r="AX42" s="1"/>
  <c r="AB8"/>
  <c r="K8"/>
  <c r="T20" i="5" l="1"/>
  <c r="U20" s="1"/>
  <c r="U18"/>
  <c r="BB13" i="4"/>
  <c r="AH8" i="3"/>
  <c r="F22" i="5" s="1"/>
  <c r="E22"/>
  <c r="T22" s="1"/>
  <c r="U22" s="1"/>
  <c r="AT42" i="4"/>
  <c r="AT39"/>
  <c r="AT11"/>
  <c r="AT9"/>
  <c r="AT43"/>
  <c r="AT8"/>
  <c r="AX8" s="1"/>
  <c r="AS8" i="1"/>
  <c r="AT8" s="1"/>
  <c r="AX8" s="1"/>
  <c r="AS9"/>
  <c r="AT9" s="1"/>
  <c r="AX9" s="1"/>
  <c r="G22" i="5" l="1"/>
  <c r="E28" i="2"/>
  <c r="E30"/>
  <c r="H27"/>
  <c r="G27"/>
  <c r="F26"/>
  <c r="F25"/>
  <c r="F24"/>
  <c r="F23"/>
  <c r="F22"/>
  <c r="F21"/>
  <c r="C9"/>
  <c r="C8"/>
  <c r="C7"/>
  <c r="C10"/>
  <c r="AM8" i="3" l="1"/>
  <c r="F23" i="5" s="1"/>
  <c r="E23"/>
  <c r="T23" s="1"/>
  <c r="U23" s="1"/>
  <c r="T18"/>
  <c r="G21" i="2"/>
  <c r="G26"/>
  <c r="G25"/>
  <c r="G24"/>
  <c r="G22"/>
  <c r="J27"/>
  <c r="K27" s="1"/>
  <c r="G23" i="5" l="1"/>
  <c r="H21" i="2"/>
  <c r="T16" i="5"/>
  <c r="S16"/>
  <c r="H24" i="2"/>
  <c r="G23"/>
  <c r="P21" i="5"/>
  <c r="H25" i="2"/>
  <c r="H22"/>
  <c r="I10"/>
  <c r="AR8" i="3" l="1"/>
  <c r="F24" i="5" s="1"/>
  <c r="AS8" i="3"/>
  <c r="AT8" s="1"/>
  <c r="AX8" s="1"/>
  <c r="AU8"/>
  <c r="G24" i="5"/>
  <c r="E24"/>
  <c r="T24" s="1"/>
  <c r="U24" s="1"/>
  <c r="AU82" i="3"/>
  <c r="J24" i="2"/>
  <c r="J25"/>
  <c r="J25" i="5"/>
  <c r="J22" i="2"/>
  <c r="J23"/>
  <c r="H26"/>
  <c r="H23"/>
  <c r="J21"/>
  <c r="J26"/>
  <c r="K21" i="5"/>
  <c r="E25" l="1"/>
  <c r="V16"/>
  <c r="P24"/>
  <c r="K26" i="2"/>
  <c r="K25"/>
  <c r="K24"/>
  <c r="K23"/>
  <c r="K22"/>
  <c r="I8"/>
  <c r="C11"/>
  <c r="E31" l="1"/>
  <c r="L21"/>
  <c r="I21"/>
  <c r="H28"/>
  <c r="I26"/>
  <c r="I23"/>
  <c r="I25"/>
  <c r="I24"/>
  <c r="I22"/>
  <c r="K21"/>
  <c r="T25" i="5" l="1"/>
  <c r="O25"/>
  <c r="J30" i="2"/>
  <c r="K24" i="5" l="1"/>
  <c r="I27" i="2"/>
</calcChain>
</file>

<file path=xl/sharedStrings.xml><?xml version="1.0" encoding="utf-8"?>
<sst xmlns="http://schemas.openxmlformats.org/spreadsheetml/2006/main" count="962" uniqueCount="320">
  <si>
    <t>ROLL</t>
  </si>
  <si>
    <t>GP</t>
  </si>
  <si>
    <t>RELIGION</t>
  </si>
  <si>
    <t>T-GP</t>
  </si>
  <si>
    <t>GPA</t>
  </si>
  <si>
    <t>SCIENCE</t>
  </si>
  <si>
    <t>BGS</t>
  </si>
  <si>
    <t>S.L</t>
  </si>
  <si>
    <t>ENGLISH</t>
  </si>
  <si>
    <t>STUDENTS NAME</t>
  </si>
  <si>
    <t>AVG-80%</t>
  </si>
  <si>
    <t>MT</t>
  </si>
  <si>
    <t>TOTAL</t>
  </si>
  <si>
    <t>HEIGHEST
MARK</t>
  </si>
  <si>
    <t>MOTHER'S NAME</t>
  </si>
  <si>
    <t xml:space="preserve">        MOBILE NO.</t>
  </si>
  <si>
    <t>NAME OF SUBJECT</t>
  </si>
  <si>
    <t>FULL
MARKS</t>
  </si>
  <si>
    <t>CONTINUOUS
ASSESMENT-20</t>
  </si>
  <si>
    <t>OBTAINED MARKS-80</t>
  </si>
  <si>
    <t>TOTAL MARKS-100</t>
  </si>
  <si>
    <t>HIGHEST MARK</t>
  </si>
  <si>
    <t>MATHEMATICS</t>
  </si>
  <si>
    <t xml:space="preserve">            GRAND TOTAL MARKS</t>
  </si>
  <si>
    <r>
      <t xml:space="preserve">                          WORKING DAYS</t>
    </r>
    <r>
      <rPr>
        <b/>
        <sz val="18"/>
        <color rgb="FF00B0F0"/>
        <rFont val="Tempus Sans ITC"/>
        <family val="5"/>
      </rPr>
      <t>:</t>
    </r>
  </si>
  <si>
    <r>
      <t>STUDENT BEHABIOURS AND SKILL</t>
    </r>
    <r>
      <rPr>
        <b/>
        <sz val="20"/>
        <color rgb="FF00B0F0"/>
        <rFont val="Tempus Sans ITC"/>
        <family val="5"/>
      </rPr>
      <t>:</t>
    </r>
  </si>
  <si>
    <t xml:space="preserve">BANGLA </t>
  </si>
  <si>
    <t>GRAND-T</t>
  </si>
  <si>
    <t>POSITION</t>
  </si>
  <si>
    <t>CLASS</t>
  </si>
  <si>
    <t>FIVE</t>
  </si>
  <si>
    <t>SECTION</t>
  </si>
  <si>
    <t xml:space="preserve">  STUDENT NAME</t>
  </si>
  <si>
    <t xml:space="preserve">  FATHER'S NAME</t>
  </si>
  <si>
    <t xml:space="preserve">  CLASS TEACHER</t>
  </si>
  <si>
    <r>
      <t xml:space="preserve">          </t>
    </r>
    <r>
      <rPr>
        <b/>
        <sz val="11"/>
        <color theme="3" tint="0.39997558519241921"/>
        <rFont val="Tempus Sans ITC"/>
        <family val="5"/>
      </rPr>
      <t>CLASS</t>
    </r>
  </si>
  <si>
    <t xml:space="preserve">     SECTION</t>
  </si>
  <si>
    <t xml:space="preserve"> ROLL</t>
  </si>
  <si>
    <t xml:space="preserve">                Gaurdian</t>
  </si>
  <si>
    <t>GENERAL KNOWLEDGE</t>
  </si>
  <si>
    <t>GRADE</t>
  </si>
  <si>
    <t xml:space="preserve">    TOTAL STUDENTS</t>
  </si>
  <si>
    <r>
      <t xml:space="preserve">       </t>
    </r>
    <r>
      <rPr>
        <sz val="18"/>
        <color theme="2" tint="-0.499984740745262"/>
        <rFont val="Source Sans Pro Black"/>
        <family val="2"/>
      </rPr>
      <t>AMIN CADET ACADEMY</t>
    </r>
    <r>
      <rPr>
        <sz val="12"/>
        <color theme="2" tint="-0.499984740745262"/>
        <rFont val="Source Sans Pro Black"/>
        <family val="2"/>
      </rPr>
      <t xml:space="preserve">
</t>
    </r>
    <r>
      <rPr>
        <sz val="11"/>
        <color theme="2" tint="-0.499984740745262"/>
        <rFont val="Source Sans Pro Black"/>
        <family val="2"/>
      </rPr>
      <t xml:space="preserve">Amin Model Town, Savar Cantonment, Ashulia, Dhaka-1344.
</t>
    </r>
    <r>
      <rPr>
        <sz val="17"/>
        <color theme="2" tint="-0.499984740745262"/>
        <rFont val="Source Sans Pro Black"/>
        <family val="2"/>
      </rPr>
      <t>2nd Semester Online Examination-2023</t>
    </r>
    <r>
      <rPr>
        <sz val="11"/>
        <color theme="2" tint="-0.499984740745262"/>
        <rFont val="Source Sans Pro Black"/>
        <family val="2"/>
      </rPr>
      <t xml:space="preserve">
     </t>
    </r>
    <r>
      <rPr>
        <sz val="15"/>
        <color theme="2" tint="-0.499984740745262"/>
        <rFont val="Source Sans Pro Black"/>
        <family val="2"/>
      </rPr>
      <t xml:space="preserve">  Progressive Report</t>
    </r>
  </si>
  <si>
    <t>GK</t>
  </si>
  <si>
    <t xml:space="preserve">                Class Teacher                                                                                               Co-Ordinator           </t>
  </si>
  <si>
    <t>Vice-Principal</t>
  </si>
  <si>
    <r>
      <t xml:space="preserve">                           POSITION</t>
    </r>
    <r>
      <rPr>
        <b/>
        <sz val="18"/>
        <color rgb="FF00B0F0"/>
        <rFont val="Tempus Sans ITC"/>
        <family val="5"/>
      </rPr>
      <t xml:space="preserve">: </t>
    </r>
  </si>
  <si>
    <t xml:space="preserve">Name Of The Student </t>
  </si>
  <si>
    <t>:</t>
  </si>
  <si>
    <t xml:space="preserve">Class </t>
  </si>
  <si>
    <t>Section</t>
  </si>
  <si>
    <t>Roll No.</t>
  </si>
  <si>
    <t xml:space="preserve">Father's Name </t>
  </si>
  <si>
    <t xml:space="preserve">Mother's Name </t>
  </si>
  <si>
    <t>Class Teacher</t>
  </si>
  <si>
    <t>Name of the Subjects</t>
  </si>
  <si>
    <t>CONTINUOUS
ASSESSMENT-20</t>
  </si>
  <si>
    <t>Final Result</t>
  </si>
  <si>
    <t>CREATIVE</t>
  </si>
  <si>
    <t>HIGHEST MARKS</t>
  </si>
  <si>
    <t>Average Marks of Continuous Assessment</t>
  </si>
  <si>
    <t>Average Marks of  Creative</t>
  </si>
  <si>
    <t>C.GPA</t>
  </si>
  <si>
    <t>G. MATHEMATICS</t>
  </si>
  <si>
    <t>3rd</t>
  </si>
  <si>
    <t xml:space="preserve">Class Teacher </t>
  </si>
  <si>
    <t>SHAPLA</t>
  </si>
  <si>
    <t>BANGLA 1ST PAPER</t>
  </si>
  <si>
    <t>BANGLA 2ND PAPER</t>
  </si>
  <si>
    <t>ENGLISH 1ST PAPER</t>
  </si>
  <si>
    <t>ENGLISH 2ND PAPER</t>
  </si>
  <si>
    <r>
      <t>1</t>
    </r>
    <r>
      <rPr>
        <b/>
        <vertAlign val="superscript"/>
        <sz val="11"/>
        <color theme="1"/>
        <rFont val="Cambria"/>
        <family val="1"/>
        <scheme val="major"/>
      </rPr>
      <t>st</t>
    </r>
    <r>
      <rPr>
        <b/>
        <sz val="11"/>
        <color theme="1"/>
        <rFont val="Cambria"/>
        <family val="1"/>
        <scheme val="major"/>
      </rPr>
      <t xml:space="preserve">  Term Exam</t>
    </r>
  </si>
  <si>
    <r>
      <t>2</t>
    </r>
    <r>
      <rPr>
        <b/>
        <vertAlign val="superscript"/>
        <sz val="11"/>
        <color theme="1"/>
        <rFont val="Cambria"/>
        <family val="1"/>
        <scheme val="major"/>
      </rPr>
      <t xml:space="preserve">nd </t>
    </r>
    <r>
      <rPr>
        <b/>
        <sz val="11"/>
        <color theme="1"/>
        <rFont val="Cambria"/>
        <family val="1"/>
        <scheme val="major"/>
      </rPr>
      <t xml:space="preserve"> Term Exam</t>
    </r>
  </si>
  <si>
    <r>
      <t>3</t>
    </r>
    <r>
      <rPr>
        <b/>
        <vertAlign val="superscript"/>
        <sz val="11"/>
        <color theme="1"/>
        <rFont val="Cambria"/>
        <family val="1"/>
        <scheme val="major"/>
      </rPr>
      <t xml:space="preserve">rd  </t>
    </r>
    <r>
      <rPr>
        <b/>
        <sz val="11"/>
        <color theme="1"/>
        <rFont val="Cambria"/>
        <family val="1"/>
        <scheme val="major"/>
      </rPr>
      <t>Term Exam</t>
    </r>
  </si>
  <si>
    <t>TEACHER</t>
  </si>
  <si>
    <t>REZAUL KARIM</t>
  </si>
  <si>
    <t>TOTAL STUDENTS</t>
  </si>
  <si>
    <t>MOBILE NO:</t>
  </si>
  <si>
    <t>01775-631011</t>
  </si>
  <si>
    <t>FATHER NAME</t>
  </si>
  <si>
    <t>MOTHER NAME</t>
  </si>
  <si>
    <t>BANGLA-1ST</t>
  </si>
  <si>
    <t>BANGLA-2ND</t>
  </si>
  <si>
    <t>ENGLISH 1ST</t>
  </si>
  <si>
    <t>ENGLISH 2ND</t>
  </si>
  <si>
    <t>WORKING 
DAYS</t>
  </si>
  <si>
    <t>BHVR</t>
  </si>
  <si>
    <t>Co-Ordinator</t>
  </si>
  <si>
    <t>All Semester Total Marks</t>
  </si>
  <si>
    <t xml:space="preserve">1st </t>
  </si>
  <si>
    <t>2nd</t>
  </si>
  <si>
    <t>Avg</t>
  </si>
  <si>
    <t>Rank</t>
  </si>
  <si>
    <t>Pricipal</t>
  </si>
  <si>
    <r>
      <rPr>
        <sz val="13"/>
        <rFont val="Times New Roman"/>
        <family val="1"/>
      </rPr>
      <t xml:space="preserve">AMIN CADET RESIDENTIAL ACADEMY </t>
    </r>
    <r>
      <rPr>
        <sz val="13"/>
        <rFont val="Algerian"/>
        <family val="5"/>
      </rPr>
      <t xml:space="preserve">
</t>
    </r>
    <r>
      <rPr>
        <sz val="10"/>
        <rFont val="Times New Roman"/>
        <family val="1"/>
      </rPr>
      <t>Amin Model Town, Savar Cantonment, Ashulia, Dhaka - 1344.</t>
    </r>
    <r>
      <rPr>
        <sz val="10"/>
        <rFont val="Zilla Slab SemiBold"/>
      </rPr>
      <t xml:space="preserve">
</t>
    </r>
    <r>
      <rPr>
        <sz val="10"/>
        <rFont val="Times New Roman"/>
        <family val="1"/>
      </rPr>
      <t>3RD SEMESTER EXAM TABULATION SHEET- 2025
 CLASS - FIVE (SHAPLA)</t>
    </r>
  </si>
  <si>
    <t xml:space="preserve">Afia Syara </t>
  </si>
  <si>
    <t xml:space="preserve">Md. Ali Ahsan </t>
  </si>
  <si>
    <t xml:space="preserve">Mahbuba Akter </t>
  </si>
  <si>
    <t>Nafizul Islam Alif</t>
  </si>
  <si>
    <t>Md. Nozrul Islam</t>
  </si>
  <si>
    <t>Rupali Khanom</t>
  </si>
  <si>
    <t>Shurovi Akter Eva</t>
  </si>
  <si>
    <t xml:space="preserve">Md. Masud Rana </t>
  </si>
  <si>
    <t xml:space="preserve">Mst. Nargis Bagum </t>
  </si>
  <si>
    <t>Raufun Jannati Tanha</t>
  </si>
  <si>
    <t>Md. Mosarruf Hossain</t>
  </si>
  <si>
    <t xml:space="preserve">Rahatunnasa </t>
  </si>
  <si>
    <t>Mohammod Jarif Al Rafi</t>
  </si>
  <si>
    <t>Md. Nazrul Islam Mridha</t>
  </si>
  <si>
    <t>Jesmin Afroz</t>
  </si>
  <si>
    <t>Md. Rayan Bin Sibgatulla</t>
  </si>
  <si>
    <t>Md. Sibgatulla Bin Hossain</t>
  </si>
  <si>
    <t>Nigar Jahan Rupa</t>
  </si>
  <si>
    <t>Miraj Abdullah Mridha</t>
  </si>
  <si>
    <t>Md. Shafiqul Islam</t>
  </si>
  <si>
    <t>Bina Akter</t>
  </si>
  <si>
    <t>Redowan Min Alvi</t>
  </si>
  <si>
    <t>Mohammad Ali Ilon</t>
  </si>
  <si>
    <t>Mst. Kalpona Akter</t>
  </si>
  <si>
    <t xml:space="preserve">Samia Akter </t>
  </si>
  <si>
    <t xml:space="preserve">Md. Akkas Mia </t>
  </si>
  <si>
    <t xml:space="preserve">Rubi Akter  </t>
  </si>
  <si>
    <t xml:space="preserve">Abida Fouzia </t>
  </si>
  <si>
    <t xml:space="preserve">Md. Ashakke Rasul </t>
  </si>
  <si>
    <t xml:space="preserve">Airin Akhter </t>
  </si>
  <si>
    <t>Mrinal Kanti Ghosh Artho</t>
  </si>
  <si>
    <t>Mahendra Nath Gosh  Mohan</t>
  </si>
  <si>
    <t>Aporna Sarkar</t>
  </si>
  <si>
    <t>Samia Rahman Mim</t>
  </si>
  <si>
    <t>Md. Moshiar Rahman</t>
  </si>
  <si>
    <t>Mst. Shabana Khatun</t>
  </si>
  <si>
    <t>Tasmim Jahan</t>
  </si>
  <si>
    <t>Zakir Hossain</t>
  </si>
  <si>
    <t>Mst. Khadiza Khanam</t>
  </si>
  <si>
    <t xml:space="preserve">Mahjabin Islam </t>
  </si>
  <si>
    <t xml:space="preserve">Md. Zahidul Islam </t>
  </si>
  <si>
    <t xml:space="preserve">Karniz Fatema </t>
  </si>
  <si>
    <t>Samiha Khatun</t>
  </si>
  <si>
    <t>Md. Shahadat Hossain</t>
  </si>
  <si>
    <t>Aklima Akter Asha</t>
  </si>
  <si>
    <t>Rafiya Jahin Humaira</t>
  </si>
  <si>
    <t>Md. Rubel</t>
  </si>
  <si>
    <t>Soma Akter</t>
  </si>
  <si>
    <t>Siam Hossen</t>
  </si>
  <si>
    <t>Md. Billal Hossen</t>
  </si>
  <si>
    <t>Laky Akter</t>
  </si>
  <si>
    <t>Pariza Parvez</t>
  </si>
  <si>
    <t xml:space="preserve">Md. Parvage </t>
  </si>
  <si>
    <t xml:space="preserve">Tamanna Rana Montti </t>
  </si>
  <si>
    <t>Azmir Bin Ferdous</t>
  </si>
  <si>
    <t>Ferdous Anwer Kachi</t>
  </si>
  <si>
    <t>Adila Akter Akhi</t>
  </si>
  <si>
    <t xml:space="preserve">Alvi Hossain Khan </t>
  </si>
  <si>
    <t xml:space="preserve">Mustafizur Rahman </t>
  </si>
  <si>
    <t xml:space="preserve">Monika Akter </t>
  </si>
  <si>
    <t>Rahia Jannat Rammi</t>
  </si>
  <si>
    <t xml:space="preserve">Md. Elius Hossain </t>
  </si>
  <si>
    <t xml:space="preserve">Sathi </t>
  </si>
  <si>
    <t>Md. Samin Yeaser</t>
  </si>
  <si>
    <t xml:space="preserve">Md. Salim Hossan </t>
  </si>
  <si>
    <t xml:space="preserve">Mst. Aklima Akter </t>
  </si>
  <si>
    <t>Samia Islam Swarna</t>
  </si>
  <si>
    <t xml:space="preserve">Md. SShaha Alom </t>
  </si>
  <si>
    <t xml:space="preserve">Mst Nasima Akter </t>
  </si>
  <si>
    <t>Reshmi Akter Riya</t>
  </si>
  <si>
    <t xml:space="preserve">Md. Abdur Rashid Roni </t>
  </si>
  <si>
    <t xml:space="preserve">Roksana Begum </t>
  </si>
  <si>
    <t xml:space="preserve">Md. Raunak Shahriyar Riyan </t>
  </si>
  <si>
    <t xml:space="preserve">Md. Norul Alam </t>
  </si>
  <si>
    <t xml:space="preserve">Rokea Parvin </t>
  </si>
  <si>
    <t>Md. Samiul Khandakar Sami</t>
  </si>
  <si>
    <t xml:space="preserve">Md. Rahim </t>
  </si>
  <si>
    <t xml:space="preserve">Mst. Amina Begum </t>
  </si>
  <si>
    <t xml:space="preserve">Abdullah Saif </t>
  </si>
  <si>
    <t xml:space="preserve">Dewan Shamim </t>
  </si>
  <si>
    <t xml:space="preserve">Salina Khatun </t>
  </si>
  <si>
    <t xml:space="preserve">Md. Samiul Islam </t>
  </si>
  <si>
    <t xml:space="preserve">Md. Mohidur Rahman </t>
  </si>
  <si>
    <t>Mrs. Selina Chowdhury</t>
  </si>
  <si>
    <t xml:space="preserve">Md. Mahadi Hasan </t>
  </si>
  <si>
    <t xml:space="preserve">Md. Nasir Ahmed Mizi </t>
  </si>
  <si>
    <t xml:space="preserve">Mst. Hafsa Begum </t>
  </si>
  <si>
    <t xml:space="preserve">Mohammad Arefin Siddik </t>
  </si>
  <si>
    <t xml:space="preserve">Md. Abdul Malak </t>
  </si>
  <si>
    <t xml:space="preserve">Mst. Ayasha Siddika </t>
  </si>
  <si>
    <t xml:space="preserve">Nura Sabiha </t>
  </si>
  <si>
    <t xml:space="preserve">Md. Ishak Ali Molla </t>
  </si>
  <si>
    <t xml:space="preserve">Mst. Hasina Khatun </t>
  </si>
  <si>
    <t xml:space="preserve">Karima Jannat Tonu </t>
  </si>
  <si>
    <t xml:space="preserve">Md. Shariful Islam </t>
  </si>
  <si>
    <t xml:space="preserve">Mursalina </t>
  </si>
  <si>
    <t xml:space="preserve">Kaniz Fatema </t>
  </si>
  <si>
    <t xml:space="preserve">Md. Nayem Hossain </t>
  </si>
  <si>
    <t xml:space="preserve">Juthy Akter </t>
  </si>
  <si>
    <t xml:space="preserve">Md. Jubaer Rahman </t>
  </si>
  <si>
    <t xml:space="preserve">Md. Latifur Rahman </t>
  </si>
  <si>
    <t xml:space="preserve">Mst. Nice Akter </t>
  </si>
  <si>
    <t>Mohammad Shahariyar Raj</t>
  </si>
  <si>
    <t xml:space="preserve">Md. Saykat Shahariya </t>
  </si>
  <si>
    <t xml:space="preserve">Mst. Kolpona Aktar </t>
  </si>
  <si>
    <t>Fahim Imam</t>
  </si>
  <si>
    <t xml:space="preserve">Ibna Rasul Mohammad Imam Katabe </t>
  </si>
  <si>
    <t>AFROZA SULTANA TOMA</t>
  </si>
  <si>
    <t>Sayad Mahmud Hasan</t>
  </si>
  <si>
    <t>Abdul Hasan</t>
  </si>
  <si>
    <t>Mousumi Begum</t>
  </si>
  <si>
    <t>Mst. Nuha Alam</t>
  </si>
  <si>
    <t>Mohammad Nur Alam</t>
  </si>
  <si>
    <t>Mst. Khatheja Begum</t>
  </si>
  <si>
    <t xml:space="preserve">Jannatul Mawya Nazifa </t>
  </si>
  <si>
    <t>Didarul Alam Patwary</t>
  </si>
  <si>
    <t>Khaleda Akhter</t>
  </si>
  <si>
    <t>Musfiqur Rohoman Murad</t>
  </si>
  <si>
    <t>Md. Mosaraf Hossain</t>
  </si>
  <si>
    <t>Lotifa Akter</t>
  </si>
  <si>
    <t xml:space="preserve">Mohammad Abir </t>
  </si>
  <si>
    <t xml:space="preserve">Mamun Hossin </t>
  </si>
  <si>
    <t>Musammat Madina Akter</t>
  </si>
  <si>
    <t xml:space="preserve">Md. Jisan Ekbal Sami </t>
  </si>
  <si>
    <t xml:space="preserve">Md. Rakib Mahamud </t>
  </si>
  <si>
    <t xml:space="preserve">Sima Sultana </t>
  </si>
  <si>
    <t xml:space="preserve">Md. Mustakim </t>
  </si>
  <si>
    <t xml:space="preserve">Jamal Uddin </t>
  </si>
  <si>
    <t xml:space="preserve">Mst. Monny Islam </t>
  </si>
  <si>
    <t>Md. Al-Amin</t>
  </si>
  <si>
    <t>Md. Saiful Islam</t>
  </si>
  <si>
    <t>Mst Shanaz Parvin</t>
  </si>
  <si>
    <t xml:space="preserve">Sauda Benta Sohel </t>
  </si>
  <si>
    <t xml:space="preserve">Md. Sohel Uzzaman </t>
  </si>
  <si>
    <t>Sahanaj Parvine</t>
  </si>
  <si>
    <t>Md. Sadek Bachchu</t>
  </si>
  <si>
    <t xml:space="preserve">Md. Shahajahan </t>
  </si>
  <si>
    <t xml:space="preserve">Mst. Lably Khatun </t>
  </si>
  <si>
    <t xml:space="preserve">Md. Saim </t>
  </si>
  <si>
    <t xml:space="preserve">Md. Mahabub Alom </t>
  </si>
  <si>
    <t xml:space="preserve">Mst. Ruma Begum </t>
  </si>
  <si>
    <t xml:space="preserve">Sakibul Hsassan </t>
  </si>
  <si>
    <t xml:space="preserve">Sobuz Hossain </t>
  </si>
  <si>
    <t xml:space="preserve">Sumona Akter </t>
  </si>
  <si>
    <t xml:space="preserve">Sonjita Modhu Ronita </t>
  </si>
  <si>
    <t xml:space="preserve">Rony Modhu </t>
  </si>
  <si>
    <t xml:space="preserve">Shuli Modhu </t>
  </si>
  <si>
    <t xml:space="preserve">Md. Shah Neuwaz </t>
  </si>
  <si>
    <t xml:space="preserve">Md Salim </t>
  </si>
  <si>
    <t xml:space="preserve">Mst. Khaleda Begum </t>
  </si>
  <si>
    <t xml:space="preserve">Md. Rafsan Talukdar Rayem </t>
  </si>
  <si>
    <t xml:space="preserve">Md. Ratan Talukder </t>
  </si>
  <si>
    <t xml:space="preserve">Nargis Akter </t>
  </si>
  <si>
    <t xml:space="preserve">Ahmed Abdullah Salehin </t>
  </si>
  <si>
    <t xml:space="preserve">Md. Shahjahan </t>
  </si>
  <si>
    <t>Miratul Fatima</t>
  </si>
  <si>
    <t xml:space="preserve">Rabbi Hasan </t>
  </si>
  <si>
    <t xml:space="preserve">Arif Hossain Manju </t>
  </si>
  <si>
    <t xml:space="preserve">Rahana Begum </t>
  </si>
  <si>
    <t xml:space="preserve">Md. Farhan Ahamed Hasib </t>
  </si>
  <si>
    <t xml:space="preserve">Hafiz Ahamed </t>
  </si>
  <si>
    <t xml:space="preserve">Farjana Akter </t>
  </si>
  <si>
    <t xml:space="preserve">Atif Ahmed </t>
  </si>
  <si>
    <t xml:space="preserve">Md. Rajib Miya </t>
  </si>
  <si>
    <t xml:space="preserve">Mst. Nazminnahar Shantona </t>
  </si>
  <si>
    <t xml:space="preserve">Raiyan Rabit </t>
  </si>
  <si>
    <t xml:space="preserve">Md. Anwar Hossain </t>
  </si>
  <si>
    <t xml:space="preserve">Runa Akter </t>
  </si>
  <si>
    <t xml:space="preserve">Abu Ibrahim Torab </t>
  </si>
  <si>
    <t xml:space="preserve">Mohammad Layequzzaman </t>
  </si>
  <si>
    <t xml:space="preserve">Taslima Hossin </t>
  </si>
  <si>
    <t xml:space="preserve">Md. Saif </t>
  </si>
  <si>
    <t xml:space="preserve">Md. Jahangir </t>
  </si>
  <si>
    <t xml:space="preserve">Mst. Ruma </t>
  </si>
  <si>
    <t xml:space="preserve">Md. Saimon Hossain Saad </t>
  </si>
  <si>
    <t xml:space="preserve">Selina Akter </t>
  </si>
  <si>
    <t xml:space="preserve">Oli Ullah </t>
  </si>
  <si>
    <t xml:space="preserve">Md. Mofizul Islam </t>
  </si>
  <si>
    <t xml:space="preserve">Mst. Nurunnahar </t>
  </si>
  <si>
    <t xml:space="preserve">Clive Finton Rodrigues </t>
  </si>
  <si>
    <t>Benediet Rony Rodrigues</t>
  </si>
  <si>
    <t>Runa Margaret Rodrigues</t>
  </si>
  <si>
    <t xml:space="preserve">Arafat Ahamed Joy </t>
  </si>
  <si>
    <t xml:space="preserve">Alauddin Ahmed </t>
  </si>
  <si>
    <t xml:space="preserve">Moni Ahammed </t>
  </si>
  <si>
    <t xml:space="preserve">Asif </t>
  </si>
  <si>
    <t xml:space="preserve">Md. Jamal Hossain </t>
  </si>
  <si>
    <t xml:space="preserve">Asma Akter </t>
  </si>
  <si>
    <t xml:space="preserve">Md. Siam </t>
  </si>
  <si>
    <t xml:space="preserve">Md. Selim Gazi </t>
  </si>
  <si>
    <t xml:space="preserve">Nasima Akhter </t>
  </si>
  <si>
    <t xml:space="preserve">Rafia Akter Rinthi </t>
  </si>
  <si>
    <t xml:space="preserve">Rejaul Karim </t>
  </si>
  <si>
    <t xml:space="preserve">Mst. Morgina Akter </t>
  </si>
  <si>
    <t xml:space="preserve">Mst. Jannati Akter </t>
  </si>
  <si>
    <t xml:space="preserve">Md. Babul Hossain </t>
  </si>
  <si>
    <t xml:space="preserve">Mst. Surma Khatun </t>
  </si>
  <si>
    <t xml:space="preserve">Mastura Jahan Mahek </t>
  </si>
  <si>
    <t xml:space="preserve">Md. Milon Sheik </t>
  </si>
  <si>
    <t xml:space="preserve">China Sorkar </t>
  </si>
  <si>
    <t xml:space="preserve">Smia Tasnim Anika </t>
  </si>
  <si>
    <t>Topazzal Hossain</t>
  </si>
  <si>
    <t>Sonia Akter</t>
  </si>
  <si>
    <t xml:space="preserve">Samiul Islam </t>
  </si>
  <si>
    <t>Mst. Lipi</t>
  </si>
  <si>
    <t>Arham Nasim Novid</t>
  </si>
  <si>
    <t>Mohammad Nasimul Haque</t>
  </si>
  <si>
    <t xml:space="preserve">Irin Sultana </t>
  </si>
  <si>
    <t>Md. Samir</t>
  </si>
  <si>
    <t xml:space="preserve">Khadiza </t>
  </si>
  <si>
    <t>Mst. Hafsha Akter</t>
  </si>
  <si>
    <t>SM Ayan Haider</t>
  </si>
  <si>
    <t>Sumaiya Jahan Era</t>
  </si>
  <si>
    <t>Umme Habiba</t>
  </si>
  <si>
    <t>Md Hafizur Rahman</t>
  </si>
  <si>
    <t>Mst Salma Akter</t>
  </si>
  <si>
    <r>
      <rPr>
        <sz val="13"/>
        <rFont val="Times New Roman"/>
        <family val="1"/>
      </rPr>
      <t xml:space="preserve">AMIN CADET RESIDENTIAL ACADEMY </t>
    </r>
    <r>
      <rPr>
        <sz val="13"/>
        <rFont val="Algerian"/>
        <family val="5"/>
      </rPr>
      <t xml:space="preserve">
</t>
    </r>
    <r>
      <rPr>
        <sz val="10"/>
        <rFont val="Times New Roman"/>
        <family val="1"/>
      </rPr>
      <t>Amin Model Town, Savar Cantonment, Ashulia, Dhaka - 1344.</t>
    </r>
    <r>
      <rPr>
        <sz val="10"/>
        <rFont val="Zilla Slab SemiBold"/>
      </rPr>
      <t xml:space="preserve">
</t>
    </r>
    <r>
      <rPr>
        <sz val="10"/>
        <rFont val="Times New Roman"/>
        <family val="1"/>
      </rPr>
      <t>2ND SEMESTER EXAM TABULATION SHEET- 2025
 CLASS - FIVE (SHAPLA)</t>
    </r>
  </si>
  <si>
    <t>Ariyan Ahmed</t>
  </si>
  <si>
    <r>
      <rPr>
        <sz val="13"/>
        <rFont val="Times New Roman"/>
        <family val="1"/>
      </rPr>
      <t xml:space="preserve">AMIN CADET RESIDENTIAL ACADEMY </t>
    </r>
    <r>
      <rPr>
        <sz val="13"/>
        <rFont val="Algerian"/>
        <family val="5"/>
      </rPr>
      <t xml:space="preserve">
</t>
    </r>
    <r>
      <rPr>
        <sz val="10"/>
        <rFont val="Times New Roman"/>
        <family val="1"/>
      </rPr>
      <t>Amin Model Town, Savar Cantonment, Ashulia, Dhaka - 1344.</t>
    </r>
    <r>
      <rPr>
        <sz val="10"/>
        <rFont val="Zilla Slab SemiBold"/>
      </rPr>
      <t xml:space="preserve">
</t>
    </r>
    <r>
      <rPr>
        <sz val="10"/>
        <rFont val="Times New Roman"/>
        <family val="1"/>
      </rPr>
      <t>1ST SEMESTER EXAM TABULATION SHEET- 2025
 CLASS - FIVE (GOLAP &amp; SHAPLA)</t>
    </r>
  </si>
  <si>
    <t xml:space="preserve">Ibna Rasul Mohammad </t>
  </si>
  <si>
    <t>Final Position of The Examination :</t>
  </si>
  <si>
    <t>AFJOZA SULTANA &amp; ZUBAIR AHAMAD</t>
  </si>
  <si>
    <t>SHAPLA &amp; GOLAP</t>
  </si>
  <si>
    <r>
      <rPr>
        <b/>
        <sz val="24"/>
        <color theme="1"/>
        <rFont val="Cambria"/>
        <family val="1"/>
        <scheme val="major"/>
      </rPr>
      <t xml:space="preserve">AMIN CADET RESIDENTIAL ACADEMY </t>
    </r>
    <r>
      <rPr>
        <b/>
        <sz val="11"/>
        <color theme="1"/>
        <rFont val="Cambria"/>
        <family val="1"/>
        <scheme val="major"/>
      </rPr>
      <t xml:space="preserve">
Amin Model Town, Savar Cantonment, Ashulia, Savar, Dhaka-1344.
</t>
    </r>
    <r>
      <rPr>
        <b/>
        <sz val="14"/>
        <color theme="1"/>
        <rFont val="Cambria"/>
        <family val="1"/>
        <scheme val="major"/>
      </rPr>
      <t>Annual Examination Result -2025</t>
    </r>
    <r>
      <rPr>
        <b/>
        <sz val="11"/>
        <color theme="1"/>
        <rFont val="Cambria"/>
        <family val="1"/>
        <scheme val="major"/>
      </rPr>
      <t xml:space="preserve">
</t>
    </r>
  </si>
  <si>
    <t xml:space="preserve"> TOTAL MARKS</t>
  </si>
</sst>
</file>

<file path=xl/styles.xml><?xml version="1.0" encoding="utf-8"?>
<styleSheet xmlns="http://schemas.openxmlformats.org/spreadsheetml/2006/main">
  <numFmts count="4">
    <numFmt numFmtId="164" formatCode="00000\-0000"/>
    <numFmt numFmtId="165" formatCode="0.0"/>
    <numFmt numFmtId="166" formatCode="0.0;[Red]0.0"/>
    <numFmt numFmtId="167" formatCode="00"/>
  </numFmts>
  <fonts count="5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8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color theme="3" tint="0.39997558519241921"/>
      <name val="Tempus Sans ITC"/>
      <family val="5"/>
    </font>
    <font>
      <b/>
      <sz val="11"/>
      <color theme="1" tint="0.499984740745262"/>
      <name val="Tempus Sans ITC"/>
      <family val="5"/>
    </font>
    <font>
      <b/>
      <sz val="11"/>
      <color rgb="FFFF0000"/>
      <name val="Tempus Sans ITC"/>
      <family val="5"/>
    </font>
    <font>
      <b/>
      <sz val="11"/>
      <color theme="3" tint="0.39997558519241921"/>
      <name val="Tempus Sans ITC"/>
      <family val="5"/>
    </font>
    <font>
      <b/>
      <sz val="12"/>
      <color theme="1" tint="0.499984740745262"/>
      <name val="Tempus Sans ITC"/>
      <family val="5"/>
    </font>
    <font>
      <b/>
      <sz val="11"/>
      <color theme="2" tint="-0.499984740745262"/>
      <name val="Times New Roman"/>
      <family val="1"/>
    </font>
    <font>
      <sz val="12"/>
      <color theme="2" tint="-0.499984740745262"/>
      <name val="Times New Roman"/>
      <family val="1"/>
    </font>
    <font>
      <b/>
      <sz val="16"/>
      <color theme="2" tint="-0.499984740745262"/>
      <name val="Times New Roman"/>
      <family val="1"/>
    </font>
    <font>
      <b/>
      <sz val="12"/>
      <color rgb="FF00B0F0"/>
      <name val="Tempus Sans ITC"/>
      <family val="5"/>
    </font>
    <font>
      <sz val="12"/>
      <color theme="1" tint="0.499984740745262"/>
      <name val="Times New Roman"/>
      <family val="1"/>
    </font>
    <font>
      <b/>
      <sz val="11"/>
      <color rgb="FF00B0F0"/>
      <name val="Tempus Sans ITC"/>
      <family val="5"/>
    </font>
    <font>
      <b/>
      <sz val="18"/>
      <color rgb="FF00B0F0"/>
      <name val="Tempus Sans ITC"/>
      <family val="5"/>
    </font>
    <font>
      <b/>
      <sz val="14"/>
      <color theme="1" tint="0.499984740745262"/>
      <name val="Times New Roman"/>
      <family val="1"/>
    </font>
    <font>
      <b/>
      <sz val="20"/>
      <color rgb="FF00B0F0"/>
      <name val="Tempus Sans ITC"/>
      <family val="5"/>
    </font>
    <font>
      <sz val="7"/>
      <color theme="1"/>
      <name val="Times New Roman"/>
      <family val="1"/>
    </font>
    <font>
      <b/>
      <sz val="7"/>
      <color theme="1"/>
      <name val="Times New Roman"/>
      <family val="1"/>
    </font>
    <font>
      <sz val="9"/>
      <color theme="1"/>
      <name val="Times New Roman"/>
      <family val="1"/>
    </font>
    <font>
      <sz val="7"/>
      <color theme="1"/>
      <name val="Calibri"/>
      <family val="2"/>
      <scheme val="minor"/>
    </font>
    <font>
      <sz val="12"/>
      <color theme="2" tint="-0.499984740745262"/>
      <name val="Source Sans Pro Black"/>
      <family val="2"/>
    </font>
    <font>
      <sz val="18"/>
      <color theme="2" tint="-0.499984740745262"/>
      <name val="Source Sans Pro Black"/>
      <family val="2"/>
    </font>
    <font>
      <sz val="11"/>
      <color theme="2" tint="-0.499984740745262"/>
      <name val="Source Sans Pro Black"/>
      <family val="2"/>
    </font>
    <font>
      <sz val="17"/>
      <color theme="2" tint="-0.499984740745262"/>
      <name val="Source Sans Pro Black"/>
      <family val="2"/>
    </font>
    <font>
      <sz val="15"/>
      <color theme="2" tint="-0.499984740745262"/>
      <name val="Source Sans Pro Black"/>
      <family val="2"/>
    </font>
    <font>
      <b/>
      <sz val="11"/>
      <color theme="1"/>
      <name val="Cambria"/>
      <family val="1"/>
      <scheme val="major"/>
    </font>
    <font>
      <b/>
      <sz val="12"/>
      <color theme="1"/>
      <name val="Cambria"/>
      <family val="1"/>
      <scheme val="major"/>
    </font>
    <font>
      <sz val="14"/>
      <color theme="1"/>
      <name val="Cambria"/>
      <family val="1"/>
      <scheme val="major"/>
    </font>
    <font>
      <b/>
      <sz val="14"/>
      <color theme="1"/>
      <name val="Cambria"/>
      <family val="1"/>
      <scheme val="major"/>
    </font>
    <font>
      <sz val="10"/>
      <color theme="1"/>
      <name val="Times New Roman"/>
      <family val="1"/>
    </font>
    <font>
      <sz val="10"/>
      <color theme="1"/>
      <name val="Cambria"/>
      <family val="1"/>
      <scheme val="major"/>
    </font>
    <font>
      <u/>
      <sz val="11"/>
      <color theme="1"/>
      <name val="Cambria"/>
      <family val="1"/>
      <scheme val="major"/>
    </font>
    <font>
      <b/>
      <vertAlign val="superscript"/>
      <sz val="11"/>
      <color theme="1"/>
      <name val="Cambria"/>
      <family val="1"/>
      <scheme val="major"/>
    </font>
    <font>
      <sz val="8"/>
      <color theme="1"/>
      <name val="Calibri"/>
      <family val="2"/>
      <scheme val="minor"/>
    </font>
    <font>
      <sz val="15"/>
      <name val="Zilla Slab SemiBold"/>
      <family val="1"/>
    </font>
    <font>
      <sz val="10"/>
      <name val="Times New Roman"/>
      <family val="1"/>
    </font>
    <font>
      <sz val="10"/>
      <name val="Zilla Slab SemiBold"/>
    </font>
    <font>
      <sz val="13"/>
      <name val="Times New Roman"/>
      <family val="1"/>
    </font>
    <font>
      <sz val="13"/>
      <name val="Algerian"/>
      <family val="5"/>
    </font>
    <font>
      <sz val="7"/>
      <color theme="1"/>
      <name val="Cambria"/>
      <family val="1"/>
      <scheme val="major"/>
    </font>
    <font>
      <sz val="10"/>
      <color theme="5" tint="-0.249977111117893"/>
      <name val="Cambria"/>
      <family val="1"/>
      <scheme val="major"/>
    </font>
    <font>
      <sz val="10"/>
      <color theme="1"/>
      <name val="Calibri"/>
      <family val="2"/>
      <scheme val="minor"/>
    </font>
    <font>
      <sz val="10"/>
      <name val="Cambria"/>
      <family val="1"/>
      <scheme val="major"/>
    </font>
    <font>
      <b/>
      <sz val="8"/>
      <name val="Times New Roman"/>
      <family val="1"/>
    </font>
    <font>
      <b/>
      <sz val="8"/>
      <name val="Cambria"/>
      <family val="1"/>
      <scheme val="major"/>
    </font>
    <font>
      <sz val="8"/>
      <color theme="1"/>
      <name val="Cambria"/>
      <family val="1"/>
      <scheme val="major"/>
    </font>
    <font>
      <sz val="12"/>
      <color theme="1"/>
      <name val="arialRoman"/>
    </font>
    <font>
      <b/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24"/>
      <color theme="1"/>
      <name val="Cambria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rgb="FF00B050"/>
      </bottom>
      <diagonal/>
    </border>
    <border>
      <left/>
      <right/>
      <top style="thin">
        <color rgb="FF00B050"/>
      </top>
      <bottom/>
      <diagonal/>
    </border>
    <border>
      <left/>
      <right style="thin">
        <color rgb="FF00B050"/>
      </right>
      <top style="thin">
        <color rgb="FF00B050"/>
      </top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/>
      <diagonal/>
    </border>
    <border>
      <left style="thin">
        <color rgb="FF00B050"/>
      </left>
      <right/>
      <top style="thin">
        <color rgb="FF00B050"/>
      </top>
      <bottom/>
      <diagonal/>
    </border>
    <border>
      <left/>
      <right style="thin">
        <color rgb="FF00B050"/>
      </right>
      <top/>
      <bottom/>
      <diagonal/>
    </border>
    <border>
      <left style="thin">
        <color rgb="FF00B050"/>
      </left>
      <right style="thin">
        <color rgb="FF00B050"/>
      </right>
      <top/>
      <bottom/>
      <diagonal/>
    </border>
    <border>
      <left style="thin">
        <color rgb="FF00B050"/>
      </left>
      <right/>
      <top/>
      <bottom/>
      <diagonal/>
    </border>
    <border>
      <left style="thin">
        <color rgb="FF00B050"/>
      </left>
      <right style="thin">
        <color rgb="FF00B050"/>
      </right>
      <top/>
      <bottom style="thin">
        <color rgb="FF00B050"/>
      </bottom>
      <diagonal/>
    </border>
    <border>
      <left/>
      <right/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medium">
        <color indexed="64"/>
      </left>
      <right style="thin">
        <color rgb="FF00B050"/>
      </right>
      <top style="medium">
        <color indexed="64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medium">
        <color indexed="64"/>
      </top>
      <bottom style="thin">
        <color rgb="FF00B050"/>
      </bottom>
      <diagonal/>
    </border>
    <border>
      <left style="thin">
        <color rgb="FF00B050"/>
      </left>
      <right style="medium">
        <color indexed="64"/>
      </right>
      <top style="medium">
        <color indexed="64"/>
      </top>
      <bottom style="thin">
        <color rgb="FF00B050"/>
      </bottom>
      <diagonal/>
    </border>
    <border>
      <left style="medium">
        <color indexed="64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medium">
        <color indexed="64"/>
      </right>
      <top style="thin">
        <color rgb="FF00B050"/>
      </top>
      <bottom style="thin">
        <color rgb="FF00B050"/>
      </bottom>
      <diagonal/>
    </border>
    <border>
      <left style="medium">
        <color indexed="64"/>
      </left>
      <right style="thin">
        <color rgb="FF00B050"/>
      </right>
      <top style="thin">
        <color rgb="FF00B050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rgb="FF00B050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rgb="FF00B050"/>
      </bottom>
      <diagonal/>
    </border>
    <border>
      <left/>
      <right style="medium">
        <color indexed="64"/>
      </right>
      <top/>
      <bottom style="thin">
        <color rgb="FF00B050"/>
      </bottom>
      <diagonal/>
    </border>
    <border>
      <left style="medium">
        <color indexed="64"/>
      </left>
      <right/>
      <top style="thin">
        <color rgb="FF00B050"/>
      </top>
      <bottom/>
      <diagonal/>
    </border>
    <border>
      <left style="medium">
        <color indexed="64"/>
      </left>
      <right style="thin">
        <color rgb="FF00B050"/>
      </right>
      <top/>
      <bottom style="medium">
        <color indexed="64"/>
      </bottom>
      <diagonal/>
    </border>
    <border>
      <left style="thin">
        <color rgb="FF00B050"/>
      </left>
      <right style="thin">
        <color rgb="FF00B050"/>
      </right>
      <top/>
      <bottom style="medium">
        <color indexed="64"/>
      </bottom>
      <diagonal/>
    </border>
    <border>
      <left style="thin">
        <color rgb="FF00B050"/>
      </left>
      <right style="medium">
        <color indexed="64"/>
      </right>
      <top/>
      <bottom style="medium">
        <color indexed="64"/>
      </bottom>
      <diagonal/>
    </border>
    <border>
      <left style="thin">
        <color rgb="FF00B050"/>
      </left>
      <right style="thin">
        <color indexed="64"/>
      </right>
      <top style="thin">
        <color rgb="FF00B050"/>
      </top>
      <bottom style="thin">
        <color rgb="FF00B050"/>
      </bottom>
      <diagonal/>
    </border>
    <border>
      <left style="thin">
        <color indexed="64"/>
      </left>
      <right style="thin">
        <color indexed="64"/>
      </right>
      <top style="thin">
        <color rgb="FF00B050"/>
      </top>
      <bottom style="thin">
        <color rgb="FF00B050"/>
      </bottom>
      <diagonal/>
    </border>
    <border>
      <left style="thin">
        <color indexed="64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medium">
        <color indexed="64"/>
      </left>
      <right/>
      <top style="thin">
        <color rgb="FF00B050"/>
      </top>
      <bottom style="thin">
        <color rgb="FF00B050"/>
      </bottom>
      <diagonal/>
    </border>
    <border>
      <left/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/>
      <top style="medium">
        <color indexed="64"/>
      </top>
      <bottom style="thin">
        <color rgb="FF00B050"/>
      </bottom>
      <diagonal/>
    </border>
    <border>
      <left style="thin">
        <color rgb="FF00B050"/>
      </left>
      <right/>
      <top style="thin">
        <color rgb="FF00B050"/>
      </top>
      <bottom style="thin">
        <color rgb="FF00B050"/>
      </bottom>
      <diagonal/>
    </border>
    <border>
      <left style="thin">
        <color rgb="FF00B050"/>
      </left>
      <right/>
      <top/>
      <bottom style="medium">
        <color indexed="64"/>
      </bottom>
      <diagonal/>
    </border>
    <border>
      <left style="thin">
        <color rgb="FF00B050"/>
      </left>
      <right style="medium">
        <color indexed="64"/>
      </right>
      <top style="thin">
        <color rgb="FF00B050"/>
      </top>
      <bottom/>
      <diagonal/>
    </border>
    <border>
      <left style="thin">
        <color rgb="FF00B050"/>
      </left>
      <right style="medium">
        <color indexed="64"/>
      </right>
      <top/>
      <bottom/>
      <diagonal/>
    </border>
    <border>
      <left style="thin">
        <color rgb="FF00B050"/>
      </left>
      <right style="medium">
        <color indexed="64"/>
      </right>
      <top/>
      <bottom style="thin">
        <color rgb="FF00B05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12">
    <xf numFmtId="0" fontId="0" fillId="0" borderId="0" xfId="0"/>
    <xf numFmtId="0" fontId="5" fillId="4" borderId="0" xfId="0" applyFont="1" applyFill="1" applyAlignment="1">
      <alignment vertical="center"/>
    </xf>
    <xf numFmtId="0" fontId="5" fillId="4" borderId="0" xfId="0" applyFont="1" applyFill="1"/>
    <xf numFmtId="0" fontId="5" fillId="4" borderId="6" xfId="0" applyFont="1" applyFill="1" applyBorder="1"/>
    <xf numFmtId="0" fontId="0" fillId="3" borderId="0" xfId="0" applyFill="1" applyAlignment="1">
      <alignment horizontal="center"/>
    </xf>
    <xf numFmtId="0" fontId="4" fillId="3" borderId="15" xfId="0" applyFont="1" applyFill="1" applyBorder="1" applyAlignment="1">
      <alignment vertical="center"/>
    </xf>
    <xf numFmtId="0" fontId="5" fillId="4" borderId="0" xfId="0" applyFont="1" applyFill="1" applyAlignment="1">
      <alignment horizontal="center" vertical="center"/>
    </xf>
    <xf numFmtId="0" fontId="17" fillId="2" borderId="16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5" fillId="4" borderId="13" xfId="0" applyFont="1" applyFill="1" applyBorder="1" applyAlignment="1">
      <alignment vertical="center"/>
    </xf>
    <xf numFmtId="0" fontId="7" fillId="4" borderId="10" xfId="0" applyFont="1" applyFill="1" applyBorder="1"/>
    <xf numFmtId="0" fontId="5" fillId="4" borderId="0" xfId="0" applyFont="1" applyFill="1" applyAlignment="1">
      <alignment horizontal="center"/>
    </xf>
    <xf numFmtId="0" fontId="11" fillId="2" borderId="16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25" xfId="0" applyFont="1" applyFill="1" applyBorder="1"/>
    <xf numFmtId="0" fontId="5" fillId="4" borderId="26" xfId="0" applyFont="1" applyFill="1" applyBorder="1"/>
    <xf numFmtId="0" fontId="5" fillId="4" borderId="27" xfId="0" applyFont="1" applyFill="1" applyBorder="1"/>
    <xf numFmtId="0" fontId="0" fillId="3" borderId="28" xfId="0" applyFill="1" applyBorder="1"/>
    <xf numFmtId="0" fontId="0" fillId="3" borderId="25" xfId="0" applyFill="1" applyBorder="1" applyAlignment="1">
      <alignment horizontal="center"/>
    </xf>
    <xf numFmtId="0" fontId="5" fillId="4" borderId="15" xfId="0" applyFont="1" applyFill="1" applyBorder="1"/>
    <xf numFmtId="0" fontId="11" fillId="2" borderId="9" xfId="0" applyFont="1" applyFill="1" applyBorder="1" applyAlignment="1">
      <alignment horizontal="center" vertical="center"/>
    </xf>
    <xf numFmtId="0" fontId="11" fillId="2" borderId="38" xfId="0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1" fontId="11" fillId="2" borderId="16" xfId="0" applyNumberFormat="1" applyFont="1" applyFill="1" applyBorder="1" applyAlignment="1">
      <alignment horizontal="center" vertical="center"/>
    </xf>
    <xf numFmtId="1" fontId="14" fillId="2" borderId="16" xfId="0" applyNumberFormat="1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3" borderId="25" xfId="0" applyFont="1" applyFill="1" applyBorder="1" applyAlignment="1">
      <alignment horizontal="left" vertical="center"/>
    </xf>
    <xf numFmtId="165" fontId="11" fillId="2" borderId="16" xfId="0" applyNumberFormat="1" applyFont="1" applyFill="1" applyBorder="1" applyAlignment="1">
      <alignment horizontal="center" vertical="center"/>
    </xf>
    <xf numFmtId="0" fontId="0" fillId="0" borderId="4" xfId="0" applyBorder="1"/>
    <xf numFmtId="0" fontId="0" fillId="0" borderId="1" xfId="0" applyBorder="1"/>
    <xf numFmtId="0" fontId="2" fillId="0" borderId="0" xfId="0" applyFont="1" applyAlignment="1">
      <alignment horizontal="left" vertical="top"/>
    </xf>
    <xf numFmtId="0" fontId="0" fillId="2" borderId="0" xfId="0" applyFill="1"/>
    <xf numFmtId="0" fontId="29" fillId="2" borderId="46" xfId="0" applyFont="1" applyFill="1" applyBorder="1" applyAlignment="1">
      <alignment horizontal="left" vertical="center"/>
    </xf>
    <xf numFmtId="0" fontId="0" fillId="2" borderId="44" xfId="0" applyFill="1" applyBorder="1"/>
    <xf numFmtId="0" fontId="4" fillId="2" borderId="44" xfId="0" applyFont="1" applyFill="1" applyBorder="1"/>
    <xf numFmtId="0" fontId="29" fillId="2" borderId="48" xfId="0" applyFont="1" applyFill="1" applyBorder="1" applyAlignment="1">
      <alignment horizontal="left" vertical="top"/>
    </xf>
    <xf numFmtId="0" fontId="0" fillId="2" borderId="49" xfId="0" applyFill="1" applyBorder="1"/>
    <xf numFmtId="0" fontId="29" fillId="2" borderId="48" xfId="0" applyFont="1" applyFill="1" applyBorder="1" applyAlignment="1">
      <alignment vertical="top"/>
    </xf>
    <xf numFmtId="0" fontId="34" fillId="0" borderId="0" xfId="0" applyFont="1"/>
    <xf numFmtId="0" fontId="30" fillId="2" borderId="44" xfId="0" applyFont="1" applyFill="1" applyBorder="1" applyAlignment="1">
      <alignment horizontal="center" vertical="center"/>
    </xf>
    <xf numFmtId="0" fontId="30" fillId="2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2" borderId="1" xfId="0" applyFont="1" applyFill="1" applyBorder="1" applyAlignment="1">
      <alignment horizontal="center" vertical="center" wrapText="1"/>
    </xf>
    <xf numFmtId="0" fontId="43" fillId="2" borderId="0" xfId="0" applyFont="1" applyFill="1" applyAlignment="1">
      <alignment horizontal="center" vertical="center" wrapText="1"/>
    </xf>
    <xf numFmtId="0" fontId="43" fillId="2" borderId="0" xfId="0" applyFont="1" applyFill="1" applyAlignment="1">
      <alignment vertical="center" wrapText="1"/>
    </xf>
    <xf numFmtId="49" fontId="43" fillId="2" borderId="0" xfId="0" applyNumberFormat="1" applyFont="1" applyFill="1" applyAlignment="1">
      <alignment vertical="center" wrapText="1"/>
    </xf>
    <xf numFmtId="0" fontId="19" fillId="2" borderId="1" xfId="0" applyFont="1" applyFill="1" applyBorder="1" applyAlignment="1">
      <alignment horizontal="center"/>
    </xf>
    <xf numFmtId="0" fontId="32" fillId="2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left" vertical="center"/>
    </xf>
    <xf numFmtId="0" fontId="19" fillId="2" borderId="1" xfId="0" applyFont="1" applyFill="1" applyBorder="1" applyAlignment="1">
      <alignment horizontal="center" vertical="center" wrapText="1"/>
    </xf>
    <xf numFmtId="0" fontId="36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1" fontId="19" fillId="2" borderId="1" xfId="0" applyNumberFormat="1" applyFont="1" applyFill="1" applyBorder="1" applyAlignment="1">
      <alignment horizontal="center" vertical="center"/>
    </xf>
    <xf numFmtId="2" fontId="19" fillId="2" borderId="1" xfId="1" applyNumberFormat="1" applyFont="1" applyFill="1" applyBorder="1" applyAlignment="1">
      <alignment horizontal="center"/>
    </xf>
    <xf numFmtId="0" fontId="20" fillId="0" borderId="0" xfId="0" applyFont="1"/>
    <xf numFmtId="0" fontId="19" fillId="2" borderId="3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/>
    </xf>
    <xf numFmtId="0" fontId="43" fillId="2" borderId="1" xfId="0" applyFont="1" applyFill="1" applyBorder="1" applyAlignment="1">
      <alignment vertical="center" wrapText="1"/>
    </xf>
    <xf numFmtId="167" fontId="19" fillId="2" borderId="1" xfId="0" applyNumberFormat="1" applyFont="1" applyFill="1" applyBorder="1" applyAlignment="1">
      <alignment horizontal="center" vertical="center"/>
    </xf>
    <xf numFmtId="167" fontId="19" fillId="2" borderId="1" xfId="0" applyNumberFormat="1" applyFont="1" applyFill="1" applyBorder="1" applyAlignment="1">
      <alignment horizontal="center"/>
    </xf>
    <xf numFmtId="2" fontId="19" fillId="2" borderId="1" xfId="0" applyNumberFormat="1" applyFont="1" applyFill="1" applyBorder="1" applyAlignment="1">
      <alignment horizontal="center"/>
    </xf>
    <xf numFmtId="0" fontId="34" fillId="0" borderId="0" xfId="0" applyFont="1" applyAlignment="1">
      <alignment horizontal="right" vertical="center"/>
    </xf>
    <xf numFmtId="0" fontId="34" fillId="0" borderId="0" xfId="0" applyFont="1" applyAlignment="1">
      <alignment horizontal="left" vertical="center"/>
    </xf>
    <xf numFmtId="167" fontId="32" fillId="2" borderId="1" xfId="0" applyNumberFormat="1" applyFont="1" applyFill="1" applyBorder="1" applyAlignment="1">
      <alignment horizontal="center" vertical="center"/>
    </xf>
    <xf numFmtId="1" fontId="32" fillId="2" borderId="1" xfId="0" applyNumberFormat="1" applyFont="1" applyFill="1" applyBorder="1" applyAlignment="1">
      <alignment horizontal="center" vertical="center"/>
    </xf>
    <xf numFmtId="0" fontId="44" fillId="2" borderId="1" xfId="0" applyFont="1" applyFill="1" applyBorder="1" applyAlignment="1">
      <alignment horizontal="center" vertical="center"/>
    </xf>
    <xf numFmtId="0" fontId="46" fillId="0" borderId="1" xfId="0" applyFont="1" applyBorder="1" applyAlignment="1">
      <alignment horizontal="center" vertical="center" wrapText="1"/>
    </xf>
    <xf numFmtId="0" fontId="46" fillId="0" borderId="1" xfId="0" applyFont="1" applyBorder="1" applyAlignment="1">
      <alignment horizontal="center" vertical="center"/>
    </xf>
    <xf numFmtId="0" fontId="43" fillId="2" borderId="3" xfId="0" applyFont="1" applyFill="1" applyBorder="1" applyAlignment="1">
      <alignment vertical="center" wrapText="1"/>
    </xf>
    <xf numFmtId="0" fontId="33" fillId="2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 wrapText="1"/>
    </xf>
    <xf numFmtId="0" fontId="19" fillId="2" borderId="3" xfId="0" applyFont="1" applyFill="1" applyBorder="1" applyAlignment="1">
      <alignment horizontal="center" vertical="center" wrapText="1"/>
    </xf>
    <xf numFmtId="0" fontId="43" fillId="2" borderId="3" xfId="0" applyFont="1" applyFill="1" applyBorder="1" applyAlignment="1">
      <alignment horizontal="center" vertical="center" wrapText="1"/>
    </xf>
    <xf numFmtId="2" fontId="32" fillId="2" borderId="1" xfId="0" applyNumberFormat="1" applyFont="1" applyFill="1" applyBorder="1" applyAlignment="1">
      <alignment horizontal="center" vertical="center"/>
    </xf>
    <xf numFmtId="0" fontId="45" fillId="2" borderId="1" xfId="0" applyFont="1" applyFill="1" applyBorder="1" applyAlignment="1">
      <alignment horizontal="center" vertical="center"/>
    </xf>
    <xf numFmtId="1" fontId="45" fillId="2" borderId="1" xfId="0" applyNumberFormat="1" applyFont="1" applyFill="1" applyBorder="1" applyAlignment="1">
      <alignment horizontal="center" vertical="center"/>
    </xf>
    <xf numFmtId="1" fontId="45" fillId="2" borderId="4" xfId="0" applyNumberFormat="1" applyFont="1" applyFill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2" fillId="0" borderId="1" xfId="0" applyFont="1" applyBorder="1" applyAlignment="1">
      <alignment horizontal="left" vertical="center"/>
    </xf>
    <xf numFmtId="0" fontId="38" fillId="0" borderId="1" xfId="0" applyFont="1" applyBorder="1" applyAlignment="1">
      <alignment horizontal="left" vertical="center" wrapText="1"/>
    </xf>
    <xf numFmtId="0" fontId="38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0" fillId="0" borderId="0" xfId="0" applyBorder="1"/>
    <xf numFmtId="2" fontId="32" fillId="2" borderId="1" xfId="1" applyNumberFormat="1" applyFont="1" applyFill="1" applyBorder="1" applyAlignment="1">
      <alignment horizontal="center" vertical="center"/>
    </xf>
    <xf numFmtId="0" fontId="38" fillId="5" borderId="1" xfId="0" applyFont="1" applyFill="1" applyBorder="1" applyAlignment="1">
      <alignment horizontal="center" vertical="center"/>
    </xf>
    <xf numFmtId="0" fontId="38" fillId="5" borderId="1" xfId="0" applyFont="1" applyFill="1" applyBorder="1" applyAlignment="1">
      <alignment horizontal="left" vertical="center"/>
    </xf>
    <xf numFmtId="0" fontId="0" fillId="5" borderId="0" xfId="0" applyFill="1"/>
    <xf numFmtId="0" fontId="38" fillId="5" borderId="1" xfId="0" applyFont="1" applyFill="1" applyBorder="1" applyAlignment="1">
      <alignment horizontal="left" vertical="center" wrapText="1"/>
    </xf>
    <xf numFmtId="0" fontId="43" fillId="2" borderId="3" xfId="0" applyFont="1" applyFill="1" applyBorder="1" applyAlignment="1">
      <alignment horizontal="center" vertical="center" wrapText="1"/>
    </xf>
    <xf numFmtId="167" fontId="48" fillId="2" borderId="1" xfId="0" applyNumberFormat="1" applyFont="1" applyFill="1" applyBorder="1" applyAlignment="1">
      <alignment horizontal="center" vertical="center"/>
    </xf>
    <xf numFmtId="2" fontId="48" fillId="2" borderId="1" xfId="0" applyNumberFormat="1" applyFont="1" applyFill="1" applyBorder="1" applyAlignment="1">
      <alignment horizontal="center" vertical="center"/>
    </xf>
    <xf numFmtId="0" fontId="48" fillId="2" borderId="1" xfId="0" applyFont="1" applyFill="1" applyBorder="1" applyAlignment="1">
      <alignment horizontal="center" vertical="center"/>
    </xf>
    <xf numFmtId="2" fontId="48" fillId="2" borderId="1" xfId="1" applyNumberFormat="1" applyFont="1" applyFill="1" applyBorder="1" applyAlignment="1">
      <alignment horizontal="center" vertical="center"/>
    </xf>
    <xf numFmtId="1" fontId="48" fillId="2" borderId="1" xfId="0" applyNumberFormat="1" applyFont="1" applyFill="1" applyBorder="1" applyAlignment="1">
      <alignment horizontal="center" vertical="center"/>
    </xf>
    <xf numFmtId="167" fontId="48" fillId="2" borderId="5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 wrapText="1"/>
    </xf>
    <xf numFmtId="0" fontId="44" fillId="0" borderId="0" xfId="0" applyFont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49" fillId="2" borderId="1" xfId="0" applyFont="1" applyFill="1" applyBorder="1" applyAlignment="1">
      <alignment horizontal="center" vertical="center"/>
    </xf>
    <xf numFmtId="0" fontId="49" fillId="2" borderId="1" xfId="0" applyFont="1" applyFill="1" applyBorder="1" applyAlignment="1">
      <alignment horizontal="center"/>
    </xf>
    <xf numFmtId="1" fontId="49" fillId="2" borderId="1" xfId="0" applyNumberFormat="1" applyFont="1" applyFill="1" applyBorder="1" applyAlignment="1">
      <alignment horizontal="center"/>
    </xf>
    <xf numFmtId="2" fontId="49" fillId="2" borderId="1" xfId="0" applyNumberFormat="1" applyFont="1" applyFill="1" applyBorder="1" applyAlignment="1">
      <alignment horizontal="center" vertical="center"/>
    </xf>
    <xf numFmtId="2" fontId="49" fillId="2" borderId="1" xfId="1" applyNumberFormat="1" applyFont="1" applyFill="1" applyBorder="1" applyAlignment="1">
      <alignment horizontal="center" vertical="center"/>
    </xf>
    <xf numFmtId="1" fontId="49" fillId="2" borderId="1" xfId="0" applyNumberFormat="1" applyFont="1" applyFill="1" applyBorder="1" applyAlignment="1">
      <alignment horizontal="center" vertical="center"/>
    </xf>
    <xf numFmtId="167" fontId="49" fillId="2" borderId="1" xfId="0" applyNumberFormat="1" applyFont="1" applyFill="1" applyBorder="1" applyAlignment="1">
      <alignment horizontal="center" vertical="center"/>
    </xf>
    <xf numFmtId="167" fontId="49" fillId="2" borderId="5" xfId="0" applyNumberFormat="1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/>
    </xf>
    <xf numFmtId="0" fontId="49" fillId="5" borderId="1" xfId="0" applyFont="1" applyFill="1" applyBorder="1" applyAlignment="1">
      <alignment horizontal="center" vertical="center"/>
    </xf>
    <xf numFmtId="1" fontId="49" fillId="5" borderId="1" xfId="0" applyNumberFormat="1" applyFont="1" applyFill="1" applyBorder="1" applyAlignment="1">
      <alignment horizontal="center"/>
    </xf>
    <xf numFmtId="2" fontId="49" fillId="5" borderId="1" xfId="0" applyNumberFormat="1" applyFont="1" applyFill="1" applyBorder="1" applyAlignment="1">
      <alignment horizontal="center" vertical="center"/>
    </xf>
    <xf numFmtId="2" fontId="49" fillId="5" borderId="1" xfId="1" applyNumberFormat="1" applyFont="1" applyFill="1" applyBorder="1" applyAlignment="1">
      <alignment horizontal="center" vertical="center"/>
    </xf>
    <xf numFmtId="1" fontId="49" fillId="5" borderId="1" xfId="0" applyNumberFormat="1" applyFont="1" applyFill="1" applyBorder="1" applyAlignment="1">
      <alignment horizontal="center" vertical="center"/>
    </xf>
    <xf numFmtId="0" fontId="48" fillId="5" borderId="1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167" fontId="49" fillId="5" borderId="1" xfId="0" applyNumberFormat="1" applyFont="1" applyFill="1" applyBorder="1" applyAlignment="1">
      <alignment horizontal="center" vertical="center"/>
    </xf>
    <xf numFmtId="0" fontId="0" fillId="5" borderId="0" xfId="0" applyFill="1" applyAlignment="1">
      <alignment vertical="center"/>
    </xf>
    <xf numFmtId="0" fontId="38" fillId="2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1" fontId="32" fillId="2" borderId="2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left" vertical="center" wrapText="1"/>
    </xf>
    <xf numFmtId="0" fontId="0" fillId="2" borderId="0" xfId="0" applyFill="1" applyAlignment="1">
      <alignment vertical="center"/>
    </xf>
    <xf numFmtId="0" fontId="38" fillId="2" borderId="2" xfId="0" applyFont="1" applyFill="1" applyBorder="1" applyAlignment="1">
      <alignment horizontal="left" vertical="center"/>
    </xf>
    <xf numFmtId="0" fontId="38" fillId="2" borderId="54" xfId="0" applyFont="1" applyFill="1" applyBorder="1" applyAlignment="1">
      <alignment horizontal="left" vertical="center"/>
    </xf>
    <xf numFmtId="0" fontId="19" fillId="2" borderId="2" xfId="0" applyFont="1" applyFill="1" applyBorder="1" applyAlignment="1">
      <alignment horizontal="center" vertical="center"/>
    </xf>
    <xf numFmtId="0" fontId="38" fillId="2" borderId="2" xfId="0" applyFont="1" applyFill="1" applyBorder="1" applyAlignment="1">
      <alignment horizontal="center" vertical="center"/>
    </xf>
    <xf numFmtId="0" fontId="38" fillId="2" borderId="2" xfId="0" applyFont="1" applyFill="1" applyBorder="1" applyAlignment="1">
      <alignment horizontal="left" vertical="center" wrapText="1"/>
    </xf>
    <xf numFmtId="167" fontId="32" fillId="2" borderId="2" xfId="0" applyNumberFormat="1" applyFont="1" applyFill="1" applyBorder="1" applyAlignment="1">
      <alignment horizontal="center" vertical="center"/>
    </xf>
    <xf numFmtId="0" fontId="32" fillId="2" borderId="2" xfId="0" applyFont="1" applyFill="1" applyBorder="1" applyAlignment="1">
      <alignment horizontal="center" vertical="center"/>
    </xf>
    <xf numFmtId="2" fontId="32" fillId="2" borderId="2" xfId="0" applyNumberFormat="1" applyFont="1" applyFill="1" applyBorder="1" applyAlignment="1">
      <alignment horizontal="center" vertical="center"/>
    </xf>
    <xf numFmtId="2" fontId="32" fillId="2" borderId="2" xfId="1" applyNumberFormat="1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0" fontId="44" fillId="2" borderId="2" xfId="0" applyFont="1" applyFill="1" applyBorder="1" applyAlignment="1">
      <alignment horizontal="center" vertical="center"/>
    </xf>
    <xf numFmtId="0" fontId="45" fillId="2" borderId="2" xfId="0" applyFont="1" applyFill="1" applyBorder="1" applyAlignment="1">
      <alignment horizontal="center" vertical="center"/>
    </xf>
    <xf numFmtId="0" fontId="19" fillId="2" borderId="54" xfId="0" applyFont="1" applyFill="1" applyBorder="1" applyAlignment="1">
      <alignment horizontal="center" vertical="center"/>
    </xf>
    <xf numFmtId="0" fontId="38" fillId="2" borderId="54" xfId="0" applyFont="1" applyFill="1" applyBorder="1" applyAlignment="1">
      <alignment horizontal="center" vertical="center"/>
    </xf>
    <xf numFmtId="167" fontId="48" fillId="2" borderId="54" xfId="0" applyNumberFormat="1" applyFont="1" applyFill="1" applyBorder="1" applyAlignment="1">
      <alignment horizontal="center" vertical="center"/>
    </xf>
    <xf numFmtId="2" fontId="32" fillId="2" borderId="54" xfId="0" applyNumberFormat="1" applyFont="1" applyFill="1" applyBorder="1" applyAlignment="1">
      <alignment horizontal="center" vertical="center"/>
    </xf>
    <xf numFmtId="2" fontId="48" fillId="2" borderId="54" xfId="0" applyNumberFormat="1" applyFont="1" applyFill="1" applyBorder="1" applyAlignment="1">
      <alignment horizontal="center" vertical="center"/>
    </xf>
    <xf numFmtId="0" fontId="48" fillId="2" borderId="54" xfId="0" applyFont="1" applyFill="1" applyBorder="1" applyAlignment="1">
      <alignment horizontal="center" vertical="center"/>
    </xf>
    <xf numFmtId="2" fontId="48" fillId="2" borderId="54" xfId="1" applyNumberFormat="1" applyFont="1" applyFill="1" applyBorder="1" applyAlignment="1">
      <alignment horizontal="center" vertical="center"/>
    </xf>
    <xf numFmtId="1" fontId="48" fillId="2" borderId="54" xfId="0" applyNumberFormat="1" applyFont="1" applyFill="1" applyBorder="1" applyAlignment="1">
      <alignment horizontal="center" vertical="center"/>
    </xf>
    <xf numFmtId="0" fontId="45" fillId="2" borderId="54" xfId="0" applyFont="1" applyFill="1" applyBorder="1" applyAlignment="1">
      <alignment horizontal="center" vertical="center"/>
    </xf>
    <xf numFmtId="0" fontId="0" fillId="2" borderId="55" xfId="0" applyFill="1" applyBorder="1"/>
    <xf numFmtId="0" fontId="29" fillId="2" borderId="47" xfId="0" applyFont="1" applyFill="1" applyBorder="1" applyAlignment="1">
      <alignment horizontal="left" vertical="center"/>
    </xf>
    <xf numFmtId="0" fontId="29" fillId="2" borderId="44" xfId="0" applyFont="1" applyFill="1" applyBorder="1" applyAlignment="1">
      <alignment vertical="center"/>
    </xf>
    <xf numFmtId="0" fontId="29" fillId="2" borderId="0" xfId="0" applyFont="1" applyFill="1" applyAlignment="1">
      <alignment vertical="center"/>
    </xf>
    <xf numFmtId="0" fontId="50" fillId="2" borderId="0" xfId="0" applyFont="1" applyFill="1" applyAlignment="1">
      <alignment vertical="center"/>
    </xf>
    <xf numFmtId="1" fontId="51" fillId="2" borderId="0" xfId="0" applyNumberFormat="1" applyFont="1" applyFill="1" applyAlignment="1">
      <alignment horizontal="left" vertical="center"/>
    </xf>
    <xf numFmtId="0" fontId="29" fillId="2" borderId="0" xfId="0" applyFont="1" applyFill="1" applyAlignment="1">
      <alignment horizontal="left" vertical="center"/>
    </xf>
    <xf numFmtId="0" fontId="50" fillId="0" borderId="0" xfId="0" applyFont="1"/>
    <xf numFmtId="0" fontId="30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29" fillId="2" borderId="1" xfId="0" applyFont="1" applyFill="1" applyBorder="1" applyAlignment="1">
      <alignment horizontal="center" vertical="center"/>
    </xf>
    <xf numFmtId="1" fontId="29" fillId="2" borderId="1" xfId="0" applyNumberFormat="1" applyFont="1" applyFill="1" applyBorder="1" applyAlignment="1">
      <alignment horizontal="center" vertical="center"/>
    </xf>
    <xf numFmtId="165" fontId="29" fillId="2" borderId="1" xfId="0" applyNumberFormat="1" applyFont="1" applyFill="1" applyBorder="1" applyAlignment="1">
      <alignment horizontal="center" vertical="center"/>
    </xf>
    <xf numFmtId="1" fontId="29" fillId="3" borderId="1" xfId="0" applyNumberFormat="1" applyFont="1" applyFill="1" applyBorder="1" applyAlignment="1">
      <alignment horizontal="center" vertical="center"/>
    </xf>
    <xf numFmtId="167" fontId="19" fillId="5" borderId="1" xfId="0" applyNumberFormat="1" applyFont="1" applyFill="1" applyBorder="1" applyAlignment="1">
      <alignment horizontal="center" vertical="center"/>
    </xf>
    <xf numFmtId="167" fontId="19" fillId="5" borderId="1" xfId="0" applyNumberFormat="1" applyFont="1" applyFill="1" applyBorder="1" applyAlignment="1">
      <alignment horizontal="center"/>
    </xf>
    <xf numFmtId="2" fontId="19" fillId="5" borderId="1" xfId="0" applyNumberFormat="1" applyFont="1" applyFill="1" applyBorder="1" applyAlignment="1">
      <alignment horizontal="center"/>
    </xf>
    <xf numFmtId="1" fontId="19" fillId="5" borderId="1" xfId="0" applyNumberFormat="1" applyFont="1" applyFill="1" applyBorder="1" applyAlignment="1">
      <alignment horizontal="center" vertical="center"/>
    </xf>
    <xf numFmtId="2" fontId="19" fillId="5" borderId="1" xfId="1" applyNumberFormat="1" applyFont="1" applyFill="1" applyBorder="1" applyAlignment="1">
      <alignment horizontal="center"/>
    </xf>
    <xf numFmtId="1" fontId="3" fillId="5" borderId="1" xfId="0" applyNumberFormat="1" applyFont="1" applyFill="1" applyBorder="1" applyAlignment="1">
      <alignment horizontal="center" vertical="center"/>
    </xf>
    <xf numFmtId="0" fontId="36" fillId="5" borderId="1" xfId="0" applyFont="1" applyFill="1" applyBorder="1" applyAlignment="1">
      <alignment horizontal="center" vertical="center"/>
    </xf>
    <xf numFmtId="165" fontId="29" fillId="2" borderId="1" xfId="0" applyNumberFormat="1" applyFont="1" applyFill="1" applyBorder="1" applyAlignment="1">
      <alignment horizontal="center" vertical="center"/>
    </xf>
    <xf numFmtId="2" fontId="29" fillId="2" borderId="1" xfId="0" applyNumberFormat="1" applyFont="1" applyFill="1" applyBorder="1" applyAlignment="1">
      <alignment horizontal="center" vertical="center"/>
    </xf>
    <xf numFmtId="2" fontId="28" fillId="2" borderId="1" xfId="0" applyNumberFormat="1" applyFont="1" applyFill="1" applyBorder="1" applyAlignment="1">
      <alignment horizontal="center" vertical="center"/>
    </xf>
    <xf numFmtId="0" fontId="42" fillId="2" borderId="2" xfId="0" applyFont="1" applyFill="1" applyBorder="1" applyAlignment="1">
      <alignment horizontal="center" vertical="center" wrapText="1"/>
    </xf>
    <xf numFmtId="0" fontId="42" fillId="2" borderId="3" xfId="0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center" vertical="center" wrapText="1"/>
    </xf>
    <xf numFmtId="0" fontId="22" fillId="0" borderId="3" xfId="0" applyFont="1" applyBorder="1"/>
    <xf numFmtId="0" fontId="19" fillId="2" borderId="3" xfId="0" applyFont="1" applyFill="1" applyBorder="1" applyAlignment="1">
      <alignment horizontal="center" vertical="center" wrapText="1"/>
    </xf>
    <xf numFmtId="0" fontId="20" fillId="2" borderId="43" xfId="0" applyFont="1" applyFill="1" applyBorder="1" applyAlignment="1">
      <alignment horizontal="center" vertical="center" wrapText="1"/>
    </xf>
    <xf numFmtId="0" fontId="20" fillId="2" borderId="50" xfId="0" applyFont="1" applyFill="1" applyBorder="1" applyAlignment="1">
      <alignment horizontal="center" vertical="center" wrapText="1"/>
    </xf>
    <xf numFmtId="0" fontId="20" fillId="2" borderId="4" xfId="0" applyFont="1" applyFill="1" applyBorder="1" applyAlignment="1">
      <alignment horizontal="center" vertical="center" wrapText="1"/>
    </xf>
    <xf numFmtId="0" fontId="20" fillId="2" borderId="1" xfId="0" applyFont="1" applyFill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 wrapText="1"/>
    </xf>
    <xf numFmtId="0" fontId="21" fillId="2" borderId="3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7" fillId="2" borderId="1" xfId="0" applyFont="1" applyFill="1" applyBorder="1" applyAlignment="1">
      <alignment horizontal="center" vertical="center" wrapText="1"/>
    </xf>
    <xf numFmtId="1" fontId="49" fillId="2" borderId="2" xfId="0" applyNumberFormat="1" applyFont="1" applyFill="1" applyBorder="1" applyAlignment="1">
      <alignment horizontal="center" vertical="center"/>
    </xf>
    <xf numFmtId="1" fontId="49" fillId="2" borderId="5" xfId="0" applyNumberFormat="1" applyFont="1" applyFill="1" applyBorder="1" applyAlignment="1">
      <alignment horizontal="center" vertical="center"/>
    </xf>
    <xf numFmtId="1" fontId="49" fillId="2" borderId="3" xfId="0" applyNumberFormat="1" applyFont="1" applyFill="1" applyBorder="1" applyAlignment="1">
      <alignment horizontal="center" vertical="center"/>
    </xf>
    <xf numFmtId="49" fontId="43" fillId="2" borderId="43" xfId="0" applyNumberFormat="1" applyFont="1" applyFill="1" applyBorder="1" applyAlignment="1">
      <alignment horizontal="center" vertical="center" wrapText="1"/>
    </xf>
    <xf numFmtId="49" fontId="43" fillId="2" borderId="50" xfId="0" applyNumberFormat="1" applyFont="1" applyFill="1" applyBorder="1" applyAlignment="1">
      <alignment horizontal="center" vertical="center" wrapText="1"/>
    </xf>
    <xf numFmtId="49" fontId="43" fillId="2" borderId="4" xfId="0" applyNumberFormat="1" applyFont="1" applyFill="1" applyBorder="1" applyAlignment="1">
      <alignment horizontal="center" vertical="center" wrapText="1"/>
    </xf>
    <xf numFmtId="0" fontId="43" fillId="2" borderId="43" xfId="0" applyFont="1" applyFill="1" applyBorder="1" applyAlignment="1">
      <alignment horizontal="center" vertical="center" wrapText="1"/>
    </xf>
    <xf numFmtId="0" fontId="43" fillId="2" borderId="4" xfId="0" applyFont="1" applyFill="1" applyBorder="1" applyAlignment="1">
      <alignment horizontal="center" vertical="center" wrapText="1"/>
    </xf>
    <xf numFmtId="0" fontId="43" fillId="2" borderId="50" xfId="0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/>
    </xf>
    <xf numFmtId="0" fontId="43" fillId="2" borderId="2" xfId="0" applyFont="1" applyFill="1" applyBorder="1" applyAlignment="1">
      <alignment horizontal="center" vertical="center" wrapText="1"/>
    </xf>
    <xf numFmtId="1" fontId="19" fillId="2" borderId="2" xfId="0" applyNumberFormat="1" applyFont="1" applyFill="1" applyBorder="1" applyAlignment="1">
      <alignment horizontal="center" vertical="center"/>
    </xf>
    <xf numFmtId="1" fontId="19" fillId="2" borderId="5" xfId="0" applyNumberFormat="1" applyFont="1" applyFill="1" applyBorder="1" applyAlignment="1">
      <alignment horizontal="center" vertical="center"/>
    </xf>
    <xf numFmtId="1" fontId="19" fillId="2" borderId="3" xfId="0" applyNumberFormat="1" applyFont="1" applyFill="1" applyBorder="1" applyAlignment="1">
      <alignment horizontal="center" vertical="center"/>
    </xf>
    <xf numFmtId="0" fontId="20" fillId="2" borderId="43" xfId="0" applyFont="1" applyFill="1" applyBorder="1" applyAlignment="1">
      <alignment horizontal="center" vertical="center"/>
    </xf>
    <xf numFmtId="0" fontId="20" fillId="2" borderId="50" xfId="0" applyFont="1" applyFill="1" applyBorder="1" applyAlignment="1">
      <alignment horizontal="center" vertical="center"/>
    </xf>
    <xf numFmtId="0" fontId="20" fillId="2" borderId="4" xfId="0" applyFont="1" applyFill="1" applyBorder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1" fontId="32" fillId="2" borderId="2" xfId="0" applyNumberFormat="1" applyFont="1" applyFill="1" applyBorder="1" applyAlignment="1">
      <alignment horizontal="center" vertical="center"/>
    </xf>
    <xf numFmtId="1" fontId="32" fillId="2" borderId="5" xfId="0" applyNumberFormat="1" applyFont="1" applyFill="1" applyBorder="1" applyAlignment="1">
      <alignment horizontal="center" vertical="center"/>
    </xf>
    <xf numFmtId="1" fontId="32" fillId="2" borderId="3" xfId="0" applyNumberFormat="1" applyFont="1" applyFill="1" applyBorder="1" applyAlignment="1">
      <alignment horizontal="center" vertical="center"/>
    </xf>
    <xf numFmtId="1" fontId="48" fillId="2" borderId="2" xfId="0" applyNumberFormat="1" applyFont="1" applyFill="1" applyBorder="1" applyAlignment="1">
      <alignment horizontal="center" vertical="center"/>
    </xf>
    <xf numFmtId="1" fontId="48" fillId="2" borderId="5" xfId="0" applyNumberFormat="1" applyFont="1" applyFill="1" applyBorder="1" applyAlignment="1">
      <alignment horizontal="center" vertical="center"/>
    </xf>
    <xf numFmtId="1" fontId="48" fillId="2" borderId="3" xfId="0" applyNumberFormat="1" applyFont="1" applyFill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43" fillId="2" borderId="51" xfId="0" applyFont="1" applyFill="1" applyBorder="1" applyAlignment="1">
      <alignment horizontal="center" vertical="center" wrapText="1"/>
    </xf>
    <xf numFmtId="0" fontId="43" fillId="2" borderId="52" xfId="0" applyFont="1" applyFill="1" applyBorder="1" applyAlignment="1">
      <alignment horizontal="center" vertical="center" wrapText="1"/>
    </xf>
    <xf numFmtId="0" fontId="43" fillId="2" borderId="53" xfId="0" applyFont="1" applyFill="1" applyBorder="1" applyAlignment="1">
      <alignment horizontal="center" vertical="center" wrapText="1"/>
    </xf>
    <xf numFmtId="0" fontId="43" fillId="2" borderId="3" xfId="0" applyFont="1" applyFill="1" applyBorder="1" applyAlignment="1">
      <alignment horizontal="center" vertical="center" wrapText="1"/>
    </xf>
    <xf numFmtId="49" fontId="43" fillId="2" borderId="51" xfId="0" applyNumberFormat="1" applyFont="1" applyFill="1" applyBorder="1" applyAlignment="1">
      <alignment horizontal="center" vertical="center" wrapText="1"/>
    </xf>
    <xf numFmtId="49" fontId="43" fillId="2" borderId="52" xfId="0" applyNumberFormat="1" applyFont="1" applyFill="1" applyBorder="1" applyAlignment="1">
      <alignment horizontal="center" vertical="center" wrapText="1"/>
    </xf>
    <xf numFmtId="49" fontId="43" fillId="2" borderId="53" xfId="0" applyNumberFormat="1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15" fillId="3" borderId="23" xfId="0" applyFont="1" applyFill="1" applyBorder="1" applyAlignment="1">
      <alignment horizontal="center"/>
    </xf>
    <xf numFmtId="0" fontId="15" fillId="3" borderId="0" xfId="0" applyFont="1" applyFill="1" applyAlignment="1">
      <alignment horizontal="center"/>
    </xf>
    <xf numFmtId="0" fontId="15" fillId="3" borderId="11" xfId="0" applyFont="1" applyFill="1" applyBorder="1" applyAlignment="1">
      <alignment horizontal="center"/>
    </xf>
    <xf numFmtId="0" fontId="6" fillId="2" borderId="16" xfId="0" applyFont="1" applyFill="1" applyBorder="1" applyAlignment="1">
      <alignment horizontal="center" vertical="center"/>
    </xf>
    <xf numFmtId="0" fontId="2" fillId="3" borderId="29" xfId="0" applyFont="1" applyFill="1" applyBorder="1" applyAlignment="1">
      <alignment horizontal="left" vertical="center" indent="1"/>
    </xf>
    <xf numFmtId="0" fontId="2" fillId="3" borderId="30" xfId="0" applyFont="1" applyFill="1" applyBorder="1" applyAlignment="1">
      <alignment horizontal="left" vertical="center" indent="1"/>
    </xf>
    <xf numFmtId="0" fontId="2" fillId="3" borderId="39" xfId="0" applyFont="1" applyFill="1" applyBorder="1" applyAlignment="1">
      <alignment horizontal="left" vertical="center" indent="1"/>
    </xf>
    <xf numFmtId="0" fontId="2" fillId="3" borderId="31" xfId="0" applyFont="1" applyFill="1" applyBorder="1" applyAlignment="1">
      <alignment horizontal="left" vertical="center" indent="1"/>
    </xf>
    <xf numFmtId="0" fontId="13" fillId="2" borderId="22" xfId="0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0" fontId="15" fillId="3" borderId="23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5" fillId="3" borderId="14" xfId="0" applyFont="1" applyFill="1" applyBorder="1" applyAlignment="1">
      <alignment horizontal="center" vertical="center"/>
    </xf>
    <xf numFmtId="0" fontId="15" fillId="3" borderId="13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3" borderId="25" xfId="0" applyFont="1" applyFill="1" applyBorder="1" applyAlignment="1">
      <alignment horizontal="left" vertical="center"/>
    </xf>
    <xf numFmtId="2" fontId="12" fillId="0" borderId="21" xfId="0" applyNumberFormat="1" applyFont="1" applyBorder="1" applyAlignment="1">
      <alignment horizontal="center" vertical="center"/>
    </xf>
    <xf numFmtId="0" fontId="11" fillId="2" borderId="20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0" fillId="0" borderId="9" xfId="0" applyFont="1" applyBorder="1" applyAlignment="1">
      <alignment horizontal="center" vertical="center" textRotation="90"/>
    </xf>
    <xf numFmtId="0" fontId="10" fillId="0" borderId="12" xfId="0" applyFont="1" applyBorder="1" applyAlignment="1">
      <alignment horizontal="center" vertical="center" textRotation="90"/>
    </xf>
    <xf numFmtId="0" fontId="10" fillId="0" borderId="14" xfId="0" applyFont="1" applyBorder="1" applyAlignment="1">
      <alignment horizontal="center" vertical="center" textRotation="90"/>
    </xf>
    <xf numFmtId="0" fontId="11" fillId="2" borderId="35" xfId="0" applyFont="1" applyFill="1" applyBorder="1" applyAlignment="1">
      <alignment horizontal="center" vertical="center" wrapText="1"/>
    </xf>
    <xf numFmtId="0" fontId="11" fillId="2" borderId="15" xfId="0" applyFont="1" applyFill="1" applyBorder="1" applyAlignment="1">
      <alignment horizontal="center" vertical="center" wrapText="1"/>
    </xf>
    <xf numFmtId="0" fontId="11" fillId="2" borderId="36" xfId="0" applyFont="1" applyFill="1" applyBorder="1" applyAlignment="1">
      <alignment horizontal="center" vertical="center" wrapText="1"/>
    </xf>
    <xf numFmtId="0" fontId="10" fillId="0" borderId="40" xfId="0" applyFont="1" applyBorder="1" applyAlignment="1">
      <alignment horizontal="center" vertical="center" textRotation="90" wrapText="1"/>
    </xf>
    <xf numFmtId="0" fontId="10" fillId="0" borderId="41" xfId="0" applyFont="1" applyBorder="1" applyAlignment="1">
      <alignment horizontal="center" vertical="center" textRotation="90" wrapText="1"/>
    </xf>
    <xf numFmtId="0" fontId="10" fillId="0" borderId="42" xfId="0" applyFont="1" applyBorder="1" applyAlignment="1">
      <alignment horizontal="center" vertical="center" textRotation="90" wrapText="1"/>
    </xf>
    <xf numFmtId="0" fontId="0" fillId="0" borderId="38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6" xfId="0" applyBorder="1" applyAlignment="1">
      <alignment horizontal="center"/>
    </xf>
    <xf numFmtId="0" fontId="10" fillId="2" borderId="14" xfId="0" applyFont="1" applyFill="1" applyBorder="1" applyAlignment="1">
      <alignment horizontal="center" vertical="center" textRotation="90" wrapText="1"/>
    </xf>
    <xf numFmtId="0" fontId="10" fillId="2" borderId="16" xfId="0" applyFont="1" applyFill="1" applyBorder="1" applyAlignment="1">
      <alignment horizontal="center" vertical="center" textRotation="90" wrapText="1"/>
    </xf>
    <xf numFmtId="0" fontId="11" fillId="2" borderId="20" xfId="0" applyFont="1" applyFill="1" applyBorder="1" applyAlignment="1">
      <alignment horizontal="center" vertical="center" wrapText="1"/>
    </xf>
    <xf numFmtId="0" fontId="11" fillId="2" borderId="16" xfId="0" applyFont="1" applyFill="1" applyBorder="1" applyAlignment="1">
      <alignment horizontal="center" vertical="center" wrapText="1"/>
    </xf>
    <xf numFmtId="0" fontId="10" fillId="2" borderId="20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  <xf numFmtId="164" fontId="6" fillId="2" borderId="32" xfId="0" applyNumberFormat="1" applyFont="1" applyFill="1" applyBorder="1" applyAlignment="1">
      <alignment horizontal="center" vertical="center"/>
    </xf>
    <xf numFmtId="164" fontId="6" fillId="2" borderId="33" xfId="0" applyNumberFormat="1" applyFont="1" applyFill="1" applyBorder="1" applyAlignment="1">
      <alignment horizontal="center" vertical="center"/>
    </xf>
    <xf numFmtId="164" fontId="6" fillId="2" borderId="34" xfId="0" applyNumberFormat="1" applyFont="1" applyFill="1" applyBorder="1" applyAlignment="1">
      <alignment horizontal="center" vertical="center"/>
    </xf>
    <xf numFmtId="0" fontId="23" fillId="3" borderId="17" xfId="0" applyFont="1" applyFill="1" applyBorder="1" applyAlignment="1">
      <alignment horizontal="center" vertical="center" wrapText="1"/>
    </xf>
    <xf numFmtId="0" fontId="23" fillId="3" borderId="18" xfId="0" applyFont="1" applyFill="1" applyBorder="1" applyAlignment="1">
      <alignment horizontal="center" vertical="center" wrapText="1"/>
    </xf>
    <xf numFmtId="0" fontId="23" fillId="3" borderId="37" xfId="0" applyFont="1" applyFill="1" applyBorder="1" applyAlignment="1">
      <alignment horizontal="center" vertical="center" wrapText="1"/>
    </xf>
    <xf numFmtId="0" fontId="23" fillId="3" borderId="19" xfId="0" applyFont="1" applyFill="1" applyBorder="1" applyAlignment="1">
      <alignment horizontal="center" vertical="center" wrapText="1"/>
    </xf>
    <xf numFmtId="0" fontId="23" fillId="3" borderId="20" xfId="0" applyFont="1" applyFill="1" applyBorder="1" applyAlignment="1">
      <alignment horizontal="center" vertical="center" wrapText="1"/>
    </xf>
    <xf numFmtId="0" fontId="23" fillId="3" borderId="16" xfId="0" applyFont="1" applyFill="1" applyBorder="1" applyAlignment="1">
      <alignment horizontal="center" vertical="center" wrapText="1"/>
    </xf>
    <xf numFmtId="0" fontId="23" fillId="3" borderId="38" xfId="0" applyFont="1" applyFill="1" applyBorder="1" applyAlignment="1">
      <alignment horizontal="center" vertical="center" wrapText="1"/>
    </xf>
    <xf numFmtId="0" fontId="23" fillId="3" borderId="21" xfId="0" applyFont="1" applyFill="1" applyBorder="1" applyAlignment="1">
      <alignment horizontal="center" vertical="center" wrapText="1"/>
    </xf>
    <xf numFmtId="0" fontId="23" fillId="3" borderId="22" xfId="0" applyFont="1" applyFill="1" applyBorder="1" applyAlignment="1">
      <alignment horizontal="center" vertical="center" wrapText="1"/>
    </xf>
    <xf numFmtId="0" fontId="23" fillId="3" borderId="9" xfId="0" applyFont="1" applyFill="1" applyBorder="1" applyAlignment="1">
      <alignment horizontal="center" vertical="center" wrapText="1"/>
    </xf>
    <xf numFmtId="0" fontId="7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49" fontId="6" fillId="2" borderId="16" xfId="0" applyNumberFormat="1" applyFont="1" applyFill="1" applyBorder="1" applyAlignment="1">
      <alignment horizontal="center" vertical="center"/>
    </xf>
    <xf numFmtId="0" fontId="6" fillId="2" borderId="38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/>
    </xf>
    <xf numFmtId="0" fontId="5" fillId="4" borderId="11" xfId="0" applyFont="1" applyFill="1" applyBorder="1" applyAlignment="1">
      <alignment horizontal="center"/>
    </xf>
    <xf numFmtId="0" fontId="9" fillId="2" borderId="16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0" fontId="7" fillId="2" borderId="38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left" vertical="center"/>
    </xf>
    <xf numFmtId="0" fontId="31" fillId="2" borderId="44" xfId="0" applyFont="1" applyFill="1" applyBorder="1" applyAlignment="1">
      <alignment horizontal="center" vertical="center"/>
    </xf>
    <xf numFmtId="165" fontId="29" fillId="2" borderId="2" xfId="0" applyNumberFormat="1" applyFont="1" applyFill="1" applyBorder="1" applyAlignment="1">
      <alignment horizontal="center" vertical="center"/>
    </xf>
    <xf numFmtId="165" fontId="29" fillId="2" borderId="3" xfId="0" applyNumberFormat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" fontId="29" fillId="2" borderId="1" xfId="0" applyNumberFormat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 textRotation="90"/>
    </xf>
    <xf numFmtId="0" fontId="28" fillId="2" borderId="1" xfId="0" applyFont="1" applyFill="1" applyBorder="1" applyAlignment="1">
      <alignment horizontal="center" vertical="center" textRotation="90" wrapText="1"/>
    </xf>
    <xf numFmtId="0" fontId="29" fillId="3" borderId="1" xfId="0" applyFont="1" applyFill="1" applyBorder="1" applyAlignment="1">
      <alignment horizontal="center"/>
    </xf>
    <xf numFmtId="1" fontId="29" fillId="3" borderId="1" xfId="0" applyNumberFormat="1" applyFont="1" applyFill="1" applyBorder="1" applyAlignment="1">
      <alignment horizontal="center"/>
    </xf>
    <xf numFmtId="0" fontId="29" fillId="3" borderId="1" xfId="0" applyFont="1" applyFill="1" applyBorder="1" applyAlignment="1">
      <alignment horizontal="center" vertical="center"/>
    </xf>
    <xf numFmtId="165" fontId="29" fillId="2" borderId="1" xfId="0" applyNumberFormat="1" applyFont="1" applyFill="1" applyBorder="1" applyAlignment="1">
      <alignment horizontal="center" vertical="center"/>
    </xf>
    <xf numFmtId="166" fontId="29" fillId="2" borderId="1" xfId="0" applyNumberFormat="1" applyFont="1" applyFill="1" applyBorder="1" applyAlignment="1">
      <alignment horizontal="center" vertical="center"/>
    </xf>
    <xf numFmtId="0" fontId="28" fillId="2" borderId="45" xfId="0" applyFont="1" applyFill="1" applyBorder="1" applyAlignment="1">
      <alignment horizontal="center" vertical="center" wrapText="1"/>
    </xf>
    <xf numFmtId="0" fontId="29" fillId="2" borderId="0" xfId="0" applyFont="1" applyFill="1" applyBorder="1" applyAlignment="1">
      <alignment horizontal="left" vertical="center"/>
    </xf>
    <xf numFmtId="0" fontId="31" fillId="2" borderId="1" xfId="0" applyFont="1" applyFill="1" applyBorder="1" applyAlignment="1">
      <alignment horizontal="center" vertical="center" wrapText="1"/>
    </xf>
    <xf numFmtId="1" fontId="28" fillId="2" borderId="1" xfId="0" applyNumberFormat="1" applyFont="1" applyFill="1" applyBorder="1" applyAlignment="1">
      <alignment horizontal="center" vertical="center" textRotation="90" wrapText="1"/>
    </xf>
    <xf numFmtId="0" fontId="28" fillId="2" borderId="1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7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78440</xdr:colOff>
      <xdr:row>0</xdr:row>
      <xdr:rowOff>11205</xdr:rowOff>
    </xdr:from>
    <xdr:to>
      <xdr:col>19</xdr:col>
      <xdr:colOff>30255</xdr:colOff>
      <xdr:row>4</xdr:row>
      <xdr:rowOff>96930</xdr:rowOff>
    </xdr:to>
    <xdr:pic>
      <xdr:nvPicPr>
        <xdr:cNvPr id="4" name="Picture 3" descr="ACA-LOGO.png">
          <a:extLst>
            <a:ext uri="{FF2B5EF4-FFF2-40B4-BE49-F238E27FC236}">
              <a16:creationId xmlns:a16="http://schemas.microsoft.com/office/drawing/2014/main" xmlns="" id="{096EB692-9528-4CDC-BADF-6CA9C80CB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9489" b="14603"/>
        <a:stretch>
          <a:fillRect/>
        </a:stretch>
      </xdr:blipFill>
      <xdr:spPr>
        <a:xfrm>
          <a:off x="8516469" y="11205"/>
          <a:ext cx="725021" cy="8477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200025</xdr:colOff>
      <xdr:row>0</xdr:row>
      <xdr:rowOff>19050</xdr:rowOff>
    </xdr:from>
    <xdr:to>
      <xdr:col>15</xdr:col>
      <xdr:colOff>115422</xdr:colOff>
      <xdr:row>3</xdr:row>
      <xdr:rowOff>152400</xdr:rowOff>
    </xdr:to>
    <xdr:pic>
      <xdr:nvPicPr>
        <xdr:cNvPr id="4" name="Picture 3" descr="ACA-LOGO.png">
          <a:extLst>
            <a:ext uri="{FF2B5EF4-FFF2-40B4-BE49-F238E27FC236}">
              <a16:creationId xmlns:a16="http://schemas.microsoft.com/office/drawing/2014/main" xmlns="" id="{096EB692-9528-4CDC-BADF-6CA9C80CB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9489" b="14603"/>
        <a:stretch>
          <a:fillRect/>
        </a:stretch>
      </xdr:blipFill>
      <xdr:spPr>
        <a:xfrm>
          <a:off x="7658100" y="19050"/>
          <a:ext cx="725021" cy="8477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200586</xdr:colOff>
      <xdr:row>0</xdr:row>
      <xdr:rowOff>0</xdr:rowOff>
    </xdr:from>
    <xdr:to>
      <xdr:col>15</xdr:col>
      <xdr:colOff>191061</xdr:colOff>
      <xdr:row>3</xdr:row>
      <xdr:rowOff>133350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xmlns="" id="{096EB692-9528-4CDC-BADF-6CA9C80CB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9489" b="14603"/>
        <a:stretch>
          <a:fillRect/>
        </a:stretch>
      </xdr:blipFill>
      <xdr:spPr>
        <a:xfrm>
          <a:off x="7697321" y="0"/>
          <a:ext cx="618005" cy="7048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696298</xdr:colOff>
      <xdr:row>1</xdr:row>
      <xdr:rowOff>96415</xdr:rowOff>
    </xdr:from>
    <xdr:to>
      <xdr:col>1</xdr:col>
      <xdr:colOff>696298</xdr:colOff>
      <xdr:row>5</xdr:row>
      <xdr:rowOff>3054</xdr:rowOff>
    </xdr:to>
    <xdr:pic>
      <xdr:nvPicPr>
        <xdr:cNvPr id="2" name="Picture 1" descr="logo.png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498" y="420265"/>
          <a:ext cx="695325" cy="71242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</xdr:col>
      <xdr:colOff>257176</xdr:colOff>
      <xdr:row>1</xdr:row>
      <xdr:rowOff>47624</xdr:rowOff>
    </xdr:from>
    <xdr:to>
      <xdr:col>1</xdr:col>
      <xdr:colOff>1094249</xdr:colOff>
      <xdr:row>5</xdr:row>
      <xdr:rowOff>171449</xdr:rowOff>
    </xdr:to>
    <xdr:pic>
      <xdr:nvPicPr>
        <xdr:cNvPr id="3" name="Picture 2" descr="logo.png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1" y="247649"/>
          <a:ext cx="837073" cy="8858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381000</xdr:colOff>
      <xdr:row>27</xdr:row>
      <xdr:rowOff>47625</xdr:rowOff>
    </xdr:from>
    <xdr:to>
      <xdr:col>20</xdr:col>
      <xdr:colOff>200028</xdr:colOff>
      <xdr:row>29</xdr:row>
      <xdr:rowOff>39907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E9D9E173-FEA9-4A95-83C9-FADC543E7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rot="16200000">
          <a:off x="10105123" y="6554102"/>
          <a:ext cx="373282" cy="828678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0</xdr:row>
      <xdr:rowOff>28575</xdr:rowOff>
    </xdr:from>
    <xdr:to>
      <xdr:col>4</xdr:col>
      <xdr:colOff>295275</xdr:colOff>
      <xdr:row>2</xdr:row>
      <xdr:rowOff>95250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xmlns="" id="{B9420C95-DDDA-496E-9ACE-F5162C820A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t="14911" b="14603"/>
        <a:stretch/>
      </xdr:blipFill>
      <xdr:spPr>
        <a:xfrm>
          <a:off x="2266950" y="28575"/>
          <a:ext cx="733425" cy="8096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10</xdr:col>
      <xdr:colOff>0</xdr:colOff>
      <xdr:row>27</xdr:row>
      <xdr:rowOff>0</xdr:rowOff>
    </xdr:from>
    <xdr:to>
      <xdr:col>12</xdr:col>
      <xdr:colOff>117485</xdr:colOff>
      <xdr:row>28</xdr:row>
      <xdr:rowOff>142938</xdr:rowOff>
    </xdr:to>
    <xdr:pic>
      <xdr:nvPicPr>
        <xdr:cNvPr id="4" name="Picture 3" descr="v¦v¦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619750" y="8039100"/>
          <a:ext cx="1089035" cy="3334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X82"/>
  <sheetViews>
    <sheetView zoomScale="85" zoomScaleNormal="85" workbookViewId="0">
      <pane xSplit="2" ySplit="7" topLeftCell="E8" activePane="bottomRight" state="frozen"/>
      <selection pane="topRight" activeCell="C1" sqref="C1"/>
      <selection pane="bottomLeft" activeCell="A8" sqref="A8"/>
      <selection pane="bottomRight" activeCell="AL8" sqref="AL8:AL82"/>
    </sheetView>
  </sheetViews>
  <sheetFormatPr defaultColWidth="5.7109375" defaultRowHeight="15"/>
  <cols>
    <col min="1" max="1" width="3" bestFit="1" customWidth="1"/>
    <col min="2" max="2" width="4.5703125" bestFit="1" customWidth="1"/>
    <col min="3" max="3" width="24.28515625" bestFit="1" customWidth="1"/>
    <col min="4" max="4" width="21" hidden="1" customWidth="1"/>
    <col min="5" max="5" width="24.28515625" bestFit="1" customWidth="1"/>
    <col min="6" max="6" width="5.85546875" bestFit="1" customWidth="1"/>
    <col min="10" max="10" width="5.85546875" bestFit="1" customWidth="1"/>
    <col min="12" max="12" width="5.85546875" bestFit="1" customWidth="1"/>
    <col min="16" max="16" width="6.7109375" customWidth="1"/>
    <col min="17" max="17" width="5.85546875" bestFit="1" customWidth="1"/>
    <col min="19" max="19" width="5.85546875" bestFit="1" customWidth="1"/>
    <col min="22" max="24" width="5.85546875" bestFit="1" customWidth="1"/>
    <col min="27" max="29" width="5.85546875" bestFit="1" customWidth="1"/>
    <col min="32" max="34" width="5.85546875" bestFit="1" customWidth="1"/>
    <col min="37" max="39" width="5.85546875" bestFit="1" customWidth="1"/>
    <col min="42" max="44" width="5.85546875" bestFit="1" customWidth="1"/>
    <col min="47" max="47" width="5.85546875" bestFit="1" customWidth="1"/>
    <col min="50" max="50" width="17.5703125" bestFit="1" customWidth="1"/>
  </cols>
  <sheetData>
    <row r="1" spans="1:50" ht="15" customHeight="1">
      <c r="A1" s="193" t="s">
        <v>313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  <c r="AD1" s="193"/>
      <c r="AE1" s="193"/>
      <c r="AF1" s="193"/>
      <c r="AG1" s="193"/>
      <c r="AH1" s="193"/>
      <c r="AI1" s="193"/>
      <c r="AJ1" s="193"/>
      <c r="AK1" s="193"/>
      <c r="AL1" s="193"/>
      <c r="AM1" s="193"/>
      <c r="AN1" s="193"/>
      <c r="AO1" s="193"/>
      <c r="AP1" s="193"/>
      <c r="AQ1" s="193"/>
      <c r="AR1" s="193"/>
      <c r="AS1" s="193"/>
      <c r="AT1" s="193"/>
      <c r="AU1" s="193"/>
      <c r="AV1" s="193"/>
      <c r="AW1" s="193"/>
      <c r="AX1" s="193"/>
    </row>
    <row r="2" spans="1:50" ht="15" customHeight="1">
      <c r="A2" s="193"/>
      <c r="B2" s="193"/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  <c r="X2" s="193"/>
      <c r="Y2" s="193"/>
      <c r="Z2" s="193"/>
      <c r="AA2" s="193"/>
      <c r="AB2" s="193"/>
      <c r="AC2" s="193"/>
      <c r="AD2" s="193"/>
      <c r="AE2" s="193"/>
      <c r="AF2" s="193"/>
      <c r="AG2" s="193"/>
      <c r="AH2" s="193"/>
      <c r="AI2" s="193"/>
      <c r="AJ2" s="193"/>
      <c r="AK2" s="193"/>
      <c r="AL2" s="193"/>
      <c r="AM2" s="193"/>
      <c r="AN2" s="193"/>
      <c r="AO2" s="193"/>
      <c r="AP2" s="193"/>
      <c r="AQ2" s="193"/>
      <c r="AR2" s="193"/>
      <c r="AS2" s="193"/>
      <c r="AT2" s="193"/>
      <c r="AU2" s="193"/>
      <c r="AV2" s="193"/>
      <c r="AW2" s="193"/>
      <c r="AX2" s="193"/>
    </row>
    <row r="3" spans="1:50" ht="15" customHeight="1">
      <c r="A3" s="193"/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  <c r="X3" s="193"/>
      <c r="Y3" s="193"/>
      <c r="Z3" s="193"/>
      <c r="AA3" s="193"/>
      <c r="AB3" s="193"/>
      <c r="AC3" s="193"/>
      <c r="AD3" s="193"/>
      <c r="AE3" s="193"/>
      <c r="AF3" s="193"/>
      <c r="AG3" s="193"/>
      <c r="AH3" s="193"/>
      <c r="AI3" s="193"/>
      <c r="AJ3" s="193"/>
      <c r="AK3" s="193"/>
      <c r="AL3" s="193"/>
      <c r="AM3" s="193"/>
      <c r="AN3" s="193"/>
      <c r="AO3" s="193"/>
      <c r="AP3" s="193"/>
      <c r="AQ3" s="193"/>
      <c r="AR3" s="193"/>
      <c r="AS3" s="193"/>
      <c r="AT3" s="193"/>
      <c r="AU3" s="193"/>
      <c r="AV3" s="193"/>
      <c r="AW3" s="193"/>
      <c r="AX3" s="193"/>
    </row>
    <row r="4" spans="1:50" ht="15" customHeight="1">
      <c r="A4" s="193"/>
      <c r="B4" s="193"/>
      <c r="C4" s="193"/>
      <c r="D4" s="193"/>
      <c r="E4" s="193"/>
      <c r="F4" s="193"/>
      <c r="G4" s="193"/>
      <c r="H4" s="193"/>
      <c r="I4" s="193"/>
      <c r="J4" s="193"/>
      <c r="K4" s="193"/>
      <c r="L4" s="193"/>
      <c r="M4" s="193"/>
      <c r="N4" s="193"/>
      <c r="O4" s="193"/>
      <c r="P4" s="193"/>
      <c r="Q4" s="193"/>
      <c r="R4" s="193"/>
      <c r="S4" s="193"/>
      <c r="T4" s="193"/>
      <c r="U4" s="193"/>
      <c r="V4" s="193"/>
      <c r="W4" s="193"/>
      <c r="X4" s="193"/>
      <c r="Y4" s="193"/>
      <c r="Z4" s="193"/>
      <c r="AA4" s="193"/>
      <c r="AB4" s="193"/>
      <c r="AC4" s="193"/>
      <c r="AD4" s="193"/>
      <c r="AE4" s="193"/>
      <c r="AF4" s="193"/>
      <c r="AG4" s="193"/>
      <c r="AH4" s="193"/>
      <c r="AI4" s="193"/>
      <c r="AJ4" s="193"/>
      <c r="AK4" s="193"/>
      <c r="AL4" s="193"/>
      <c r="AM4" s="193"/>
      <c r="AN4" s="193"/>
      <c r="AO4" s="193"/>
      <c r="AP4" s="193"/>
      <c r="AQ4" s="193"/>
      <c r="AR4" s="193"/>
      <c r="AS4" s="193"/>
      <c r="AT4" s="193"/>
      <c r="AU4" s="193"/>
      <c r="AV4" s="193"/>
      <c r="AW4" s="193"/>
      <c r="AX4" s="193"/>
    </row>
    <row r="5" spans="1:50">
      <c r="A5" s="200" t="s">
        <v>29</v>
      </c>
      <c r="B5" s="201"/>
      <c r="C5" s="49" t="s">
        <v>30</v>
      </c>
      <c r="D5" s="200" t="s">
        <v>74</v>
      </c>
      <c r="E5" s="202"/>
      <c r="F5" s="201"/>
      <c r="G5" s="200" t="s">
        <v>75</v>
      </c>
      <c r="H5" s="202"/>
      <c r="I5" s="202"/>
      <c r="J5" s="202"/>
      <c r="K5" s="202"/>
      <c r="L5" s="201"/>
      <c r="M5" s="51"/>
      <c r="N5" s="203" t="s">
        <v>31</v>
      </c>
      <c r="O5" s="203"/>
      <c r="P5" s="203"/>
      <c r="Q5" s="203"/>
      <c r="R5" s="203" t="s">
        <v>66</v>
      </c>
      <c r="S5" s="203"/>
      <c r="T5" s="203"/>
      <c r="U5" s="51"/>
      <c r="V5" s="204" t="s">
        <v>76</v>
      </c>
      <c r="W5" s="204"/>
      <c r="X5" s="204"/>
      <c r="Y5" s="204"/>
      <c r="Z5" s="204"/>
      <c r="AA5" s="50"/>
      <c r="AB5" s="50">
        <v>45</v>
      </c>
      <c r="AC5" s="51"/>
      <c r="AD5" s="203" t="s">
        <v>77</v>
      </c>
      <c r="AE5" s="203"/>
      <c r="AF5" s="203"/>
      <c r="AG5" s="203"/>
      <c r="AH5" s="197" t="s">
        <v>78</v>
      </c>
      <c r="AI5" s="198"/>
      <c r="AJ5" s="198"/>
      <c r="AK5" s="198"/>
      <c r="AL5" s="199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</row>
    <row r="6" spans="1:50" ht="23.25" customHeight="1">
      <c r="A6" s="182" t="s">
        <v>7</v>
      </c>
      <c r="B6" s="182" t="s">
        <v>0</v>
      </c>
      <c r="C6" s="192" t="s">
        <v>9</v>
      </c>
      <c r="D6" s="190" t="s">
        <v>79</v>
      </c>
      <c r="E6" s="190" t="s">
        <v>80</v>
      </c>
      <c r="F6" s="181" t="s">
        <v>81</v>
      </c>
      <c r="G6" s="181"/>
      <c r="H6" s="186" t="s">
        <v>82</v>
      </c>
      <c r="I6" s="187"/>
      <c r="J6" s="183" t="s">
        <v>12</v>
      </c>
      <c r="K6" s="182" t="s">
        <v>1</v>
      </c>
      <c r="L6" s="182" t="s">
        <v>13</v>
      </c>
      <c r="M6" s="181" t="s">
        <v>83</v>
      </c>
      <c r="N6" s="181"/>
      <c r="O6" s="181" t="s">
        <v>84</v>
      </c>
      <c r="P6" s="181"/>
      <c r="Q6" s="182" t="s">
        <v>12</v>
      </c>
      <c r="R6" s="182" t="s">
        <v>1</v>
      </c>
      <c r="S6" s="182" t="s">
        <v>13</v>
      </c>
      <c r="T6" s="181" t="s">
        <v>22</v>
      </c>
      <c r="U6" s="181"/>
      <c r="V6" s="181"/>
      <c r="W6" s="181"/>
      <c r="X6" s="181"/>
      <c r="Y6" s="181" t="s">
        <v>5</v>
      </c>
      <c r="Z6" s="181"/>
      <c r="AA6" s="181"/>
      <c r="AB6" s="181"/>
      <c r="AC6" s="181"/>
      <c r="AD6" s="181" t="s">
        <v>6</v>
      </c>
      <c r="AE6" s="181"/>
      <c r="AF6" s="181"/>
      <c r="AG6" s="181"/>
      <c r="AH6" s="181"/>
      <c r="AI6" s="186" t="s">
        <v>2</v>
      </c>
      <c r="AJ6" s="187"/>
      <c r="AK6" s="187"/>
      <c r="AL6" s="187"/>
      <c r="AM6" s="188"/>
      <c r="AN6" s="189" t="s">
        <v>43</v>
      </c>
      <c r="AO6" s="189"/>
      <c r="AP6" s="189"/>
      <c r="AQ6" s="189"/>
      <c r="AR6" s="189"/>
      <c r="AS6" s="182" t="s">
        <v>3</v>
      </c>
      <c r="AT6" s="183" t="s">
        <v>4</v>
      </c>
      <c r="AU6" s="182" t="s">
        <v>27</v>
      </c>
      <c r="AV6" s="182" t="s">
        <v>28</v>
      </c>
      <c r="AW6" s="177" t="s">
        <v>85</v>
      </c>
      <c r="AX6" s="179" t="s">
        <v>86</v>
      </c>
    </row>
    <row r="7" spans="1:50" ht="27">
      <c r="A7" s="182"/>
      <c r="B7" s="182"/>
      <c r="C7" s="192"/>
      <c r="D7" s="191"/>
      <c r="E7" s="191"/>
      <c r="F7" s="56" t="s">
        <v>11</v>
      </c>
      <c r="G7" s="63" t="s">
        <v>10</v>
      </c>
      <c r="H7" s="56" t="s">
        <v>11</v>
      </c>
      <c r="I7" s="63" t="s">
        <v>10</v>
      </c>
      <c r="J7" s="184"/>
      <c r="K7" s="182"/>
      <c r="L7" s="182"/>
      <c r="M7" s="63" t="s">
        <v>11</v>
      </c>
      <c r="N7" s="63" t="s">
        <v>10</v>
      </c>
      <c r="O7" s="63" t="s">
        <v>11</v>
      </c>
      <c r="P7" s="63" t="s">
        <v>10</v>
      </c>
      <c r="Q7" s="182"/>
      <c r="R7" s="182"/>
      <c r="S7" s="182"/>
      <c r="T7" s="56" t="s">
        <v>11</v>
      </c>
      <c r="U7" s="63" t="s">
        <v>10</v>
      </c>
      <c r="V7" s="56" t="s">
        <v>12</v>
      </c>
      <c r="W7" s="56" t="s">
        <v>1</v>
      </c>
      <c r="X7" s="56" t="s">
        <v>13</v>
      </c>
      <c r="Y7" s="56" t="s">
        <v>11</v>
      </c>
      <c r="Z7" s="63" t="s">
        <v>10</v>
      </c>
      <c r="AA7" s="56" t="s">
        <v>12</v>
      </c>
      <c r="AB7" s="56" t="s">
        <v>1</v>
      </c>
      <c r="AC7" s="56" t="s">
        <v>13</v>
      </c>
      <c r="AD7" s="56" t="s">
        <v>11</v>
      </c>
      <c r="AE7" s="63" t="s">
        <v>10</v>
      </c>
      <c r="AF7" s="56" t="s">
        <v>12</v>
      </c>
      <c r="AG7" s="56" t="s">
        <v>1</v>
      </c>
      <c r="AH7" s="56" t="s">
        <v>13</v>
      </c>
      <c r="AI7" s="56" t="s">
        <v>11</v>
      </c>
      <c r="AJ7" s="63" t="s">
        <v>10</v>
      </c>
      <c r="AK7" s="56" t="s">
        <v>12</v>
      </c>
      <c r="AL7" s="56" t="s">
        <v>1</v>
      </c>
      <c r="AM7" s="56" t="s">
        <v>13</v>
      </c>
      <c r="AN7" s="63" t="s">
        <v>11</v>
      </c>
      <c r="AO7" s="63" t="s">
        <v>10</v>
      </c>
      <c r="AP7" s="56" t="s">
        <v>12</v>
      </c>
      <c r="AQ7" s="56" t="s">
        <v>1</v>
      </c>
      <c r="AR7" s="56" t="s">
        <v>13</v>
      </c>
      <c r="AS7" s="182"/>
      <c r="AT7" s="185"/>
      <c r="AU7" s="182"/>
      <c r="AV7" s="182"/>
      <c r="AW7" s="178"/>
      <c r="AX7" s="180"/>
    </row>
    <row r="8" spans="1:50" ht="15.75">
      <c r="A8" s="53">
        <v>1</v>
      </c>
      <c r="B8" s="88">
        <v>1</v>
      </c>
      <c r="C8" s="85" t="s">
        <v>95</v>
      </c>
      <c r="D8" s="85" t="s">
        <v>96</v>
      </c>
      <c r="E8" s="85" t="s">
        <v>97</v>
      </c>
      <c r="F8" s="108">
        <v>20</v>
      </c>
      <c r="G8" s="108">
        <v>74</v>
      </c>
      <c r="H8" s="109">
        <v>10</v>
      </c>
      <c r="I8" s="109">
        <v>40</v>
      </c>
      <c r="J8" s="110">
        <f>SUM(F8:I8)</f>
        <v>144</v>
      </c>
      <c r="K8" s="111">
        <f t="shared" ref="K8:K71" si="0">IF(J8&lt;60,"F",IF(J8&lt;75,2,IF(J8&lt;90,3,IF(J8&lt;105,3.5,IF(J8&lt;120,4,5)))))</f>
        <v>5</v>
      </c>
      <c r="L8" s="194">
        <f>MAX(J8:J82)</f>
        <v>148</v>
      </c>
      <c r="M8" s="108">
        <v>20</v>
      </c>
      <c r="N8" s="109">
        <v>78</v>
      </c>
      <c r="O8" s="109">
        <v>10</v>
      </c>
      <c r="P8" s="109">
        <v>39</v>
      </c>
      <c r="Q8" s="110">
        <f>SUM(M8:P8)</f>
        <v>147</v>
      </c>
      <c r="R8" s="111">
        <f t="shared" ref="R8:R45" si="1">IF(Q8&lt;60,"F",IF(Q8&lt;75,2,IF(Q8&lt;90,3,IF(Q8&lt;105,3.5,IF(Q8&lt;120,4,5)))))</f>
        <v>5</v>
      </c>
      <c r="S8" s="194">
        <f>MAX(Q8:Q82)</f>
        <v>149</v>
      </c>
      <c r="T8" s="108">
        <v>19</v>
      </c>
      <c r="U8" s="108">
        <v>74</v>
      </c>
      <c r="V8" s="110">
        <f>SUM(T8:U8)</f>
        <v>93</v>
      </c>
      <c r="W8" s="81">
        <f>IF(V8&lt;40,"F",IF(V8&lt;50,2,IF(V8&lt;60,3,IF(V8&lt;70,3.5,IF(V8&lt;80,4,5)))))</f>
        <v>5</v>
      </c>
      <c r="X8" s="194">
        <f>MAX(V8:V82)</f>
        <v>93</v>
      </c>
      <c r="Y8" s="108">
        <v>20</v>
      </c>
      <c r="Z8" s="109">
        <v>78</v>
      </c>
      <c r="AA8" s="110">
        <f t="shared" ref="AA8" si="2">SUM(Y8:Z8)</f>
        <v>98</v>
      </c>
      <c r="AB8" s="81">
        <f>IF(AA8&lt;40,"F",IF(AA8&lt;50,2,IF(AA8&lt;60,3,IF(AA8&lt;70,3.5,IF(AA8&lt;80,4,5)))))</f>
        <v>5</v>
      </c>
      <c r="AC8" s="194">
        <f>MAX(AA8:AA82)</f>
        <v>100</v>
      </c>
      <c r="AD8" s="108">
        <v>20</v>
      </c>
      <c r="AE8" s="109">
        <v>78</v>
      </c>
      <c r="AF8" s="110">
        <f>SUM(AD8:AE8)</f>
        <v>98</v>
      </c>
      <c r="AG8" s="81">
        <f>IF(AF8&lt;40,"F",IF(AF8&lt;50,2,IF(AF8&lt;60,3,IF(AF8&lt;70,3.5,IF(AF8&lt;80,4,5)))))</f>
        <v>5</v>
      </c>
      <c r="AH8" s="194">
        <f>MAX(AF8:AF82)</f>
        <v>98</v>
      </c>
      <c r="AI8" s="108">
        <v>20</v>
      </c>
      <c r="AJ8" s="109">
        <v>79</v>
      </c>
      <c r="AK8" s="110">
        <f>SUM(AI8:AJ8)</f>
        <v>99</v>
      </c>
      <c r="AL8" s="81">
        <f>IF(AK8&lt;40,"F",IF(AK8&lt;50,2,IF(AK8&lt;60,3,IF(AK8&lt;70,3.5,IF(AK8&lt;80,4,5)))))</f>
        <v>5</v>
      </c>
      <c r="AM8" s="194">
        <f>MAX(AK8:AK82)</f>
        <v>99</v>
      </c>
      <c r="AN8" s="109"/>
      <c r="AO8" s="54">
        <v>47</v>
      </c>
      <c r="AP8" s="110">
        <f>SUM(AN8:AO8)</f>
        <v>47</v>
      </c>
      <c r="AQ8" s="81">
        <f>IF(AP8&lt;20,"F",IF(AP8&lt;25,2,IF(AP8&lt;30,3,IF(AP8&lt;35,3.5,IF(AP8&lt;40,4,5)))))</f>
        <v>5</v>
      </c>
      <c r="AR8" s="194">
        <f>MAX(AP8:AP82)</f>
        <v>50</v>
      </c>
      <c r="AS8" s="108">
        <f t="shared" ref="AS8:AS61" si="3">IF(K8="F","F",IF(R8="F","F",IF(W8="F","F",IF(AB8="F","F",IF(AG8="F","F",IF(AL8="F","F",IF(AQ8="F","F",SUM(K8,R8,W8,AB8,AG8,AL8,AQ8))))))))</f>
        <v>35</v>
      </c>
      <c r="AT8" s="112">
        <f t="shared" ref="AT8:AT61" si="4">IF(AS8="F","F", IF(AS8&gt;=35,5,IF(AS8&lt;35,AS8/7)))</f>
        <v>5</v>
      </c>
      <c r="AU8" s="113">
        <f t="shared" ref="AU8:AU61" si="5">J8+Q8+V8+AA8+AF8+AK8+AP8</f>
        <v>726</v>
      </c>
      <c r="AV8" s="108"/>
      <c r="AW8" s="108"/>
      <c r="AX8" s="99" t="str">
        <f t="shared" ref="AX8:AX61" si="6">IF(AT8="F","NEED TO PROGRESS",IF(AT8&gt;=5,"BEST",IF(AT8&gt;=4,"BETTER",IF(AT8&gt;2,"GOOD"))))</f>
        <v>BEST</v>
      </c>
    </row>
    <row r="9" spans="1:50" s="38" customFormat="1" ht="15.75">
      <c r="A9" s="53">
        <v>2</v>
      </c>
      <c r="B9" s="127">
        <v>2</v>
      </c>
      <c r="C9" s="103" t="s">
        <v>98</v>
      </c>
      <c r="D9" s="103" t="s">
        <v>99</v>
      </c>
      <c r="E9" s="103" t="s">
        <v>100</v>
      </c>
      <c r="F9" s="108">
        <v>20</v>
      </c>
      <c r="G9" s="108">
        <v>78</v>
      </c>
      <c r="H9" s="109">
        <v>10</v>
      </c>
      <c r="I9" s="109">
        <v>37</v>
      </c>
      <c r="J9" s="110">
        <f t="shared" ref="J9:J72" si="7">SUM(F9:I9)</f>
        <v>145</v>
      </c>
      <c r="K9" s="111">
        <f t="shared" si="0"/>
        <v>5</v>
      </c>
      <c r="L9" s="195"/>
      <c r="M9" s="108">
        <v>20</v>
      </c>
      <c r="N9" s="109">
        <v>79</v>
      </c>
      <c r="O9" s="109">
        <v>10</v>
      </c>
      <c r="P9" s="109">
        <v>40</v>
      </c>
      <c r="Q9" s="110">
        <f t="shared" ref="Q9:Q72" si="8">SUM(M9:P9)</f>
        <v>149</v>
      </c>
      <c r="R9" s="111">
        <f t="shared" si="1"/>
        <v>5</v>
      </c>
      <c r="S9" s="195"/>
      <c r="T9" s="108">
        <v>19</v>
      </c>
      <c r="U9" s="108">
        <v>66</v>
      </c>
      <c r="V9" s="110">
        <f t="shared" ref="V9:V72" si="9">SUM(T9:U9)</f>
        <v>85</v>
      </c>
      <c r="W9" s="81">
        <f t="shared" ref="W9:W72" si="10">IF(V9&lt;40,"F",IF(V9&lt;50,2,IF(V9&lt;60,3,IF(V9&lt;70,3.5,IF(V9&lt;80,4,5)))))</f>
        <v>5</v>
      </c>
      <c r="X9" s="195"/>
      <c r="Y9" s="108">
        <v>20</v>
      </c>
      <c r="Z9" s="109">
        <v>80</v>
      </c>
      <c r="AA9" s="110">
        <f>SUM(Y9:Z9)</f>
        <v>100</v>
      </c>
      <c r="AB9" s="81">
        <f t="shared" ref="AB9:AB72" si="11">IF(AA9&lt;40,"F",IF(AA9&lt;50,2,IF(AA9&lt;60,3,IF(AA9&lt;70,3.5,IF(AA9&lt;80,4,5)))))</f>
        <v>5</v>
      </c>
      <c r="AC9" s="195"/>
      <c r="AD9" s="108">
        <v>19</v>
      </c>
      <c r="AE9" s="109">
        <v>75</v>
      </c>
      <c r="AF9" s="110">
        <f t="shared" ref="AF9:AF72" si="12">SUM(AD9:AE9)</f>
        <v>94</v>
      </c>
      <c r="AG9" s="81">
        <f t="shared" ref="AG9:AG72" si="13">IF(AF9&lt;40,"F",IF(AF9&lt;50,2,IF(AF9&lt;60,3,IF(AF9&lt;70,3.5,IF(AF9&lt;80,4,5)))))</f>
        <v>5</v>
      </c>
      <c r="AH9" s="195"/>
      <c r="AI9" s="108">
        <v>20</v>
      </c>
      <c r="AJ9" s="109">
        <v>78</v>
      </c>
      <c r="AK9" s="110">
        <f t="shared" ref="AK9:AK72" si="14">SUM(AI9:AJ9)</f>
        <v>98</v>
      </c>
      <c r="AL9" s="81">
        <f t="shared" ref="AL9:AL72" si="15">IF(AK9&lt;40,"F",IF(AK9&lt;50,2,IF(AK9&lt;60,3,IF(AK9&lt;70,3.5,IF(AK9&lt;80,4,5)))))</f>
        <v>5</v>
      </c>
      <c r="AM9" s="195"/>
      <c r="AN9" s="109"/>
      <c r="AO9" s="54">
        <v>49</v>
      </c>
      <c r="AP9" s="110">
        <f t="shared" ref="AP9:AP72" si="16">SUM(AN9:AO9)</f>
        <v>49</v>
      </c>
      <c r="AQ9" s="81">
        <f t="shared" ref="AQ9:AQ72" si="17">IF(AP9&lt;20,"F",IF(AP9&lt;25,2,IF(AP9&lt;30,3,IF(AP9&lt;35,3.5,IF(AP9&lt;40,4,5)))))</f>
        <v>5</v>
      </c>
      <c r="AR9" s="195"/>
      <c r="AS9" s="108">
        <f t="shared" si="3"/>
        <v>35</v>
      </c>
      <c r="AT9" s="112">
        <f t="shared" si="4"/>
        <v>5</v>
      </c>
      <c r="AU9" s="113">
        <f t="shared" si="5"/>
        <v>720</v>
      </c>
      <c r="AV9" s="108"/>
      <c r="AW9" s="108"/>
      <c r="AX9" s="99" t="str">
        <f t="shared" si="6"/>
        <v>BEST</v>
      </c>
    </row>
    <row r="10" spans="1:50" s="38" customFormat="1" ht="15.75">
      <c r="A10" s="53">
        <v>3</v>
      </c>
      <c r="B10" s="127">
        <v>4</v>
      </c>
      <c r="C10" s="103" t="s">
        <v>101</v>
      </c>
      <c r="D10" s="103" t="s">
        <v>102</v>
      </c>
      <c r="E10" s="103" t="s">
        <v>103</v>
      </c>
      <c r="F10" s="108">
        <v>20</v>
      </c>
      <c r="G10" s="108">
        <v>78</v>
      </c>
      <c r="H10" s="109">
        <v>10</v>
      </c>
      <c r="I10" s="109">
        <v>40</v>
      </c>
      <c r="J10" s="110">
        <f t="shared" si="7"/>
        <v>148</v>
      </c>
      <c r="K10" s="111">
        <f t="shared" si="0"/>
        <v>5</v>
      </c>
      <c r="L10" s="195"/>
      <c r="M10" s="108">
        <v>20</v>
      </c>
      <c r="N10" s="109">
        <v>79</v>
      </c>
      <c r="O10" s="109">
        <v>10</v>
      </c>
      <c r="P10" s="109">
        <v>39</v>
      </c>
      <c r="Q10" s="110">
        <f t="shared" si="8"/>
        <v>148</v>
      </c>
      <c r="R10" s="111">
        <f t="shared" si="1"/>
        <v>5</v>
      </c>
      <c r="S10" s="195"/>
      <c r="T10" s="108">
        <v>18</v>
      </c>
      <c r="U10" s="108">
        <v>64</v>
      </c>
      <c r="V10" s="110">
        <f t="shared" si="9"/>
        <v>82</v>
      </c>
      <c r="W10" s="81">
        <f t="shared" si="10"/>
        <v>5</v>
      </c>
      <c r="X10" s="195"/>
      <c r="Y10" s="108">
        <v>20</v>
      </c>
      <c r="Z10" s="109">
        <v>80</v>
      </c>
      <c r="AA10" s="110">
        <f t="shared" ref="AA10:AA73" si="18">SUM(Y10:Z10)</f>
        <v>100</v>
      </c>
      <c r="AB10" s="81">
        <f t="shared" si="11"/>
        <v>5</v>
      </c>
      <c r="AC10" s="195"/>
      <c r="AD10" s="108">
        <v>19</v>
      </c>
      <c r="AE10" s="109">
        <v>78</v>
      </c>
      <c r="AF10" s="110">
        <f t="shared" si="12"/>
        <v>97</v>
      </c>
      <c r="AG10" s="81">
        <f t="shared" si="13"/>
        <v>5</v>
      </c>
      <c r="AH10" s="195"/>
      <c r="AI10" s="108">
        <v>20</v>
      </c>
      <c r="AJ10" s="109">
        <v>74</v>
      </c>
      <c r="AK10" s="110">
        <f t="shared" si="14"/>
        <v>94</v>
      </c>
      <c r="AL10" s="81">
        <f t="shared" si="15"/>
        <v>5</v>
      </c>
      <c r="AM10" s="195"/>
      <c r="AN10" s="109"/>
      <c r="AO10" s="54">
        <v>48</v>
      </c>
      <c r="AP10" s="110">
        <f t="shared" si="16"/>
        <v>48</v>
      </c>
      <c r="AQ10" s="81">
        <f t="shared" si="17"/>
        <v>5</v>
      </c>
      <c r="AR10" s="195"/>
      <c r="AS10" s="108">
        <f t="shared" si="3"/>
        <v>35</v>
      </c>
      <c r="AT10" s="112">
        <f t="shared" si="4"/>
        <v>5</v>
      </c>
      <c r="AU10" s="113">
        <f t="shared" si="5"/>
        <v>717</v>
      </c>
      <c r="AV10" s="108"/>
      <c r="AW10" s="108"/>
      <c r="AX10" s="99" t="str">
        <f t="shared" si="6"/>
        <v>BEST</v>
      </c>
    </row>
    <row r="11" spans="1:50" s="38" customFormat="1" ht="15.75">
      <c r="A11" s="53">
        <v>4</v>
      </c>
      <c r="B11" s="127">
        <v>5</v>
      </c>
      <c r="C11" s="103" t="s">
        <v>104</v>
      </c>
      <c r="D11" s="103" t="s">
        <v>105</v>
      </c>
      <c r="E11" s="103" t="s">
        <v>106</v>
      </c>
      <c r="F11" s="108">
        <v>20</v>
      </c>
      <c r="G11" s="108">
        <v>74</v>
      </c>
      <c r="H11" s="109">
        <v>9</v>
      </c>
      <c r="I11" s="109">
        <v>39</v>
      </c>
      <c r="J11" s="110">
        <f t="shared" si="7"/>
        <v>142</v>
      </c>
      <c r="K11" s="111">
        <f t="shared" si="0"/>
        <v>5</v>
      </c>
      <c r="L11" s="195"/>
      <c r="M11" s="108">
        <v>20</v>
      </c>
      <c r="N11" s="109">
        <v>76</v>
      </c>
      <c r="O11" s="109">
        <v>10</v>
      </c>
      <c r="P11" s="109">
        <v>38</v>
      </c>
      <c r="Q11" s="110">
        <f t="shared" si="8"/>
        <v>144</v>
      </c>
      <c r="R11" s="111">
        <f t="shared" si="1"/>
        <v>5</v>
      </c>
      <c r="S11" s="195"/>
      <c r="T11" s="108">
        <v>17</v>
      </c>
      <c r="U11" s="108">
        <v>56</v>
      </c>
      <c r="V11" s="110">
        <f t="shared" si="9"/>
        <v>73</v>
      </c>
      <c r="W11" s="81">
        <f t="shared" si="10"/>
        <v>4</v>
      </c>
      <c r="X11" s="195"/>
      <c r="Y11" s="108">
        <v>20</v>
      </c>
      <c r="Z11" s="109">
        <v>78</v>
      </c>
      <c r="AA11" s="110">
        <f t="shared" si="18"/>
        <v>98</v>
      </c>
      <c r="AB11" s="81">
        <f t="shared" si="11"/>
        <v>5</v>
      </c>
      <c r="AC11" s="195"/>
      <c r="AD11" s="108">
        <v>17</v>
      </c>
      <c r="AE11" s="109">
        <v>66</v>
      </c>
      <c r="AF11" s="110">
        <f t="shared" si="12"/>
        <v>83</v>
      </c>
      <c r="AG11" s="81">
        <f t="shared" si="13"/>
        <v>5</v>
      </c>
      <c r="AH11" s="195"/>
      <c r="AI11" s="108">
        <v>20</v>
      </c>
      <c r="AJ11" s="109">
        <v>76</v>
      </c>
      <c r="AK11" s="110">
        <f t="shared" si="14"/>
        <v>96</v>
      </c>
      <c r="AL11" s="81">
        <f t="shared" si="15"/>
        <v>5</v>
      </c>
      <c r="AM11" s="195"/>
      <c r="AN11" s="109"/>
      <c r="AO11" s="54">
        <v>43</v>
      </c>
      <c r="AP11" s="110">
        <f t="shared" si="16"/>
        <v>43</v>
      </c>
      <c r="AQ11" s="81">
        <f t="shared" si="17"/>
        <v>5</v>
      </c>
      <c r="AR11" s="195"/>
      <c r="AS11" s="108">
        <f t="shared" si="3"/>
        <v>34</v>
      </c>
      <c r="AT11" s="112">
        <f t="shared" si="4"/>
        <v>4.8571428571428568</v>
      </c>
      <c r="AU11" s="113">
        <f t="shared" si="5"/>
        <v>679</v>
      </c>
      <c r="AV11" s="108"/>
      <c r="AW11" s="108"/>
      <c r="AX11" s="99" t="str">
        <f t="shared" si="6"/>
        <v>BETTER</v>
      </c>
    </row>
    <row r="12" spans="1:50" s="38" customFormat="1" ht="15.75">
      <c r="A12" s="53">
        <v>5</v>
      </c>
      <c r="B12" s="127">
        <v>6</v>
      </c>
      <c r="C12" s="103" t="s">
        <v>107</v>
      </c>
      <c r="D12" s="103" t="s">
        <v>108</v>
      </c>
      <c r="E12" s="103" t="s">
        <v>109</v>
      </c>
      <c r="F12" s="108">
        <v>20</v>
      </c>
      <c r="G12" s="108">
        <v>75</v>
      </c>
      <c r="H12" s="109">
        <v>10</v>
      </c>
      <c r="I12" s="109">
        <v>39</v>
      </c>
      <c r="J12" s="110">
        <f t="shared" si="7"/>
        <v>144</v>
      </c>
      <c r="K12" s="111">
        <f t="shared" si="0"/>
        <v>5</v>
      </c>
      <c r="L12" s="195"/>
      <c r="M12" s="108">
        <v>19</v>
      </c>
      <c r="N12" s="109">
        <v>64</v>
      </c>
      <c r="O12" s="109">
        <v>10</v>
      </c>
      <c r="P12" s="109">
        <v>37</v>
      </c>
      <c r="Q12" s="110">
        <f t="shared" si="8"/>
        <v>130</v>
      </c>
      <c r="R12" s="111">
        <f t="shared" si="1"/>
        <v>5</v>
      </c>
      <c r="S12" s="195"/>
      <c r="T12" s="108">
        <v>15</v>
      </c>
      <c r="U12" s="108">
        <v>77</v>
      </c>
      <c r="V12" s="110">
        <f t="shared" si="9"/>
        <v>92</v>
      </c>
      <c r="W12" s="81">
        <f t="shared" si="10"/>
        <v>5</v>
      </c>
      <c r="X12" s="195"/>
      <c r="Y12" s="108">
        <v>20</v>
      </c>
      <c r="Z12" s="109">
        <v>77</v>
      </c>
      <c r="AA12" s="110">
        <f t="shared" si="18"/>
        <v>97</v>
      </c>
      <c r="AB12" s="81">
        <f t="shared" si="11"/>
        <v>5</v>
      </c>
      <c r="AC12" s="195"/>
      <c r="AD12" s="108">
        <v>19</v>
      </c>
      <c r="AE12" s="109">
        <v>72</v>
      </c>
      <c r="AF12" s="110">
        <f t="shared" si="12"/>
        <v>91</v>
      </c>
      <c r="AG12" s="81">
        <f t="shared" si="13"/>
        <v>5</v>
      </c>
      <c r="AH12" s="195"/>
      <c r="AI12" s="108">
        <v>20</v>
      </c>
      <c r="AJ12" s="109">
        <v>70</v>
      </c>
      <c r="AK12" s="110">
        <f t="shared" si="14"/>
        <v>90</v>
      </c>
      <c r="AL12" s="81">
        <f t="shared" si="15"/>
        <v>5</v>
      </c>
      <c r="AM12" s="195"/>
      <c r="AN12" s="109"/>
      <c r="AO12" s="54">
        <v>49</v>
      </c>
      <c r="AP12" s="110">
        <f t="shared" si="16"/>
        <v>49</v>
      </c>
      <c r="AQ12" s="81">
        <f t="shared" si="17"/>
        <v>5</v>
      </c>
      <c r="AR12" s="195"/>
      <c r="AS12" s="108">
        <f t="shared" si="3"/>
        <v>35</v>
      </c>
      <c r="AT12" s="112">
        <f t="shared" si="4"/>
        <v>5</v>
      </c>
      <c r="AU12" s="113">
        <f t="shared" si="5"/>
        <v>693</v>
      </c>
      <c r="AV12" s="108"/>
      <c r="AW12" s="108"/>
      <c r="AX12" s="99" t="str">
        <f t="shared" si="6"/>
        <v>BEST</v>
      </c>
    </row>
    <row r="13" spans="1:50" s="38" customFormat="1" ht="15.75">
      <c r="A13" s="53">
        <v>6</v>
      </c>
      <c r="B13" s="127">
        <v>8</v>
      </c>
      <c r="C13" s="103" t="s">
        <v>110</v>
      </c>
      <c r="D13" s="103" t="s">
        <v>111</v>
      </c>
      <c r="E13" s="103" t="s">
        <v>112</v>
      </c>
      <c r="F13" s="108">
        <v>20</v>
      </c>
      <c r="G13" s="108">
        <v>78</v>
      </c>
      <c r="H13" s="109">
        <v>10</v>
      </c>
      <c r="I13" s="109">
        <v>39</v>
      </c>
      <c r="J13" s="110">
        <f t="shared" si="7"/>
        <v>147</v>
      </c>
      <c r="K13" s="111">
        <f t="shared" si="0"/>
        <v>5</v>
      </c>
      <c r="L13" s="195"/>
      <c r="M13" s="108">
        <v>20</v>
      </c>
      <c r="N13" s="109">
        <v>71</v>
      </c>
      <c r="O13" s="109">
        <v>10</v>
      </c>
      <c r="P13" s="109">
        <v>33</v>
      </c>
      <c r="Q13" s="110">
        <f t="shared" si="8"/>
        <v>134</v>
      </c>
      <c r="R13" s="111">
        <f t="shared" si="1"/>
        <v>5</v>
      </c>
      <c r="S13" s="195"/>
      <c r="T13" s="108">
        <v>13</v>
      </c>
      <c r="U13" s="108">
        <v>58</v>
      </c>
      <c r="V13" s="110">
        <f t="shared" si="9"/>
        <v>71</v>
      </c>
      <c r="W13" s="81">
        <f t="shared" si="10"/>
        <v>4</v>
      </c>
      <c r="X13" s="195"/>
      <c r="Y13" s="108">
        <v>20</v>
      </c>
      <c r="Z13" s="109">
        <v>77</v>
      </c>
      <c r="AA13" s="110">
        <f t="shared" si="18"/>
        <v>97</v>
      </c>
      <c r="AB13" s="81">
        <f t="shared" si="11"/>
        <v>5</v>
      </c>
      <c r="AC13" s="195"/>
      <c r="AD13" s="108">
        <v>19</v>
      </c>
      <c r="AE13" s="109">
        <v>77</v>
      </c>
      <c r="AF13" s="110">
        <f t="shared" si="12"/>
        <v>96</v>
      </c>
      <c r="AG13" s="81">
        <f t="shared" si="13"/>
        <v>5</v>
      </c>
      <c r="AH13" s="195"/>
      <c r="AI13" s="108">
        <v>20</v>
      </c>
      <c r="AJ13" s="109">
        <v>77</v>
      </c>
      <c r="AK13" s="110">
        <f t="shared" si="14"/>
        <v>97</v>
      </c>
      <c r="AL13" s="81">
        <f t="shared" si="15"/>
        <v>5</v>
      </c>
      <c r="AM13" s="195"/>
      <c r="AN13" s="109"/>
      <c r="AO13" s="54">
        <v>48</v>
      </c>
      <c r="AP13" s="110">
        <f t="shared" si="16"/>
        <v>48</v>
      </c>
      <c r="AQ13" s="81">
        <f t="shared" si="17"/>
        <v>5</v>
      </c>
      <c r="AR13" s="195"/>
      <c r="AS13" s="108">
        <f t="shared" si="3"/>
        <v>34</v>
      </c>
      <c r="AT13" s="112">
        <f t="shared" si="4"/>
        <v>4.8571428571428568</v>
      </c>
      <c r="AU13" s="113">
        <f t="shared" si="5"/>
        <v>690</v>
      </c>
      <c r="AV13" s="108"/>
      <c r="AW13" s="108"/>
      <c r="AX13" s="99" t="str">
        <f t="shared" si="6"/>
        <v>BETTER</v>
      </c>
    </row>
    <row r="14" spans="1:50" s="38" customFormat="1" ht="15.75">
      <c r="A14" s="53">
        <v>7</v>
      </c>
      <c r="B14" s="127">
        <v>11</v>
      </c>
      <c r="C14" s="103" t="s">
        <v>113</v>
      </c>
      <c r="D14" s="103" t="s">
        <v>114</v>
      </c>
      <c r="E14" s="103" t="s">
        <v>115</v>
      </c>
      <c r="F14" s="108">
        <v>18</v>
      </c>
      <c r="G14" s="108">
        <v>65</v>
      </c>
      <c r="H14" s="109">
        <v>9</v>
      </c>
      <c r="I14" s="109">
        <v>37</v>
      </c>
      <c r="J14" s="110">
        <f t="shared" si="7"/>
        <v>129</v>
      </c>
      <c r="K14" s="111">
        <f t="shared" si="0"/>
        <v>5</v>
      </c>
      <c r="L14" s="195"/>
      <c r="M14" s="108">
        <v>20</v>
      </c>
      <c r="N14" s="109">
        <v>60</v>
      </c>
      <c r="O14" s="109">
        <v>9</v>
      </c>
      <c r="P14" s="109">
        <v>32</v>
      </c>
      <c r="Q14" s="110">
        <f t="shared" si="8"/>
        <v>121</v>
      </c>
      <c r="R14" s="111">
        <f t="shared" si="1"/>
        <v>5</v>
      </c>
      <c r="S14" s="195"/>
      <c r="T14" s="108">
        <v>10</v>
      </c>
      <c r="U14" s="108">
        <v>58</v>
      </c>
      <c r="V14" s="110">
        <f t="shared" si="9"/>
        <v>68</v>
      </c>
      <c r="W14" s="81">
        <f t="shared" si="10"/>
        <v>3.5</v>
      </c>
      <c r="X14" s="195"/>
      <c r="Y14" s="108">
        <v>18</v>
      </c>
      <c r="Z14" s="109">
        <v>73</v>
      </c>
      <c r="AA14" s="110">
        <f t="shared" si="18"/>
        <v>91</v>
      </c>
      <c r="AB14" s="81">
        <f t="shared" si="11"/>
        <v>5</v>
      </c>
      <c r="AC14" s="195"/>
      <c r="AD14" s="108">
        <v>14</v>
      </c>
      <c r="AE14" s="109">
        <v>68</v>
      </c>
      <c r="AF14" s="110">
        <f t="shared" si="12"/>
        <v>82</v>
      </c>
      <c r="AG14" s="81">
        <f t="shared" si="13"/>
        <v>5</v>
      </c>
      <c r="AH14" s="195"/>
      <c r="AI14" s="108">
        <v>17</v>
      </c>
      <c r="AJ14" s="109">
        <v>70</v>
      </c>
      <c r="AK14" s="110">
        <f t="shared" si="14"/>
        <v>87</v>
      </c>
      <c r="AL14" s="81">
        <f t="shared" si="15"/>
        <v>5</v>
      </c>
      <c r="AM14" s="195"/>
      <c r="AN14" s="109"/>
      <c r="AO14" s="54">
        <v>29</v>
      </c>
      <c r="AP14" s="110">
        <f t="shared" si="16"/>
        <v>29</v>
      </c>
      <c r="AQ14" s="81">
        <f t="shared" si="17"/>
        <v>3</v>
      </c>
      <c r="AR14" s="195"/>
      <c r="AS14" s="108">
        <f t="shared" si="3"/>
        <v>31.5</v>
      </c>
      <c r="AT14" s="112">
        <f t="shared" si="4"/>
        <v>4.5</v>
      </c>
      <c r="AU14" s="113">
        <f t="shared" si="5"/>
        <v>607</v>
      </c>
      <c r="AV14" s="108"/>
      <c r="AW14" s="108"/>
      <c r="AX14" s="99" t="str">
        <f t="shared" si="6"/>
        <v>BETTER</v>
      </c>
    </row>
    <row r="15" spans="1:50" s="38" customFormat="1" ht="15.75">
      <c r="A15" s="53">
        <v>8</v>
      </c>
      <c r="B15" s="127">
        <v>13</v>
      </c>
      <c r="C15" s="103" t="s">
        <v>116</v>
      </c>
      <c r="D15" s="103" t="s">
        <v>117</v>
      </c>
      <c r="E15" s="103" t="s">
        <v>118</v>
      </c>
      <c r="F15" s="108">
        <v>19</v>
      </c>
      <c r="G15" s="108">
        <v>64</v>
      </c>
      <c r="H15" s="109">
        <v>7</v>
      </c>
      <c r="I15" s="109">
        <v>38</v>
      </c>
      <c r="J15" s="110">
        <f t="shared" si="7"/>
        <v>128</v>
      </c>
      <c r="K15" s="111">
        <f t="shared" si="0"/>
        <v>5</v>
      </c>
      <c r="L15" s="195"/>
      <c r="M15" s="108">
        <v>18</v>
      </c>
      <c r="N15" s="109">
        <v>61</v>
      </c>
      <c r="O15" s="109">
        <v>9</v>
      </c>
      <c r="P15" s="109">
        <v>34</v>
      </c>
      <c r="Q15" s="110">
        <f t="shared" si="8"/>
        <v>122</v>
      </c>
      <c r="R15" s="111">
        <f t="shared" si="1"/>
        <v>5</v>
      </c>
      <c r="S15" s="195"/>
      <c r="T15" s="108">
        <v>12</v>
      </c>
      <c r="U15" s="108">
        <v>52</v>
      </c>
      <c r="V15" s="110">
        <f t="shared" si="9"/>
        <v>64</v>
      </c>
      <c r="W15" s="81">
        <f t="shared" si="10"/>
        <v>3.5</v>
      </c>
      <c r="X15" s="195"/>
      <c r="Y15" s="108">
        <v>17</v>
      </c>
      <c r="Z15" s="109">
        <v>76</v>
      </c>
      <c r="AA15" s="110">
        <f t="shared" si="18"/>
        <v>93</v>
      </c>
      <c r="AB15" s="81">
        <f t="shared" si="11"/>
        <v>5</v>
      </c>
      <c r="AC15" s="195"/>
      <c r="AD15" s="108">
        <v>14</v>
      </c>
      <c r="AE15" s="109">
        <v>67</v>
      </c>
      <c r="AF15" s="110">
        <f t="shared" si="12"/>
        <v>81</v>
      </c>
      <c r="AG15" s="81">
        <f t="shared" si="13"/>
        <v>5</v>
      </c>
      <c r="AH15" s="195"/>
      <c r="AI15" s="108">
        <v>20</v>
      </c>
      <c r="AJ15" s="109">
        <v>77</v>
      </c>
      <c r="AK15" s="110">
        <f t="shared" si="14"/>
        <v>97</v>
      </c>
      <c r="AL15" s="81">
        <f t="shared" si="15"/>
        <v>5</v>
      </c>
      <c r="AM15" s="195"/>
      <c r="AN15" s="109"/>
      <c r="AO15" s="54">
        <v>40</v>
      </c>
      <c r="AP15" s="110">
        <f t="shared" si="16"/>
        <v>40</v>
      </c>
      <c r="AQ15" s="81">
        <f t="shared" si="17"/>
        <v>5</v>
      </c>
      <c r="AR15" s="195"/>
      <c r="AS15" s="108">
        <f t="shared" si="3"/>
        <v>33.5</v>
      </c>
      <c r="AT15" s="112">
        <f t="shared" si="4"/>
        <v>4.7857142857142856</v>
      </c>
      <c r="AU15" s="113">
        <f t="shared" si="5"/>
        <v>625</v>
      </c>
      <c r="AV15" s="108"/>
      <c r="AW15" s="108"/>
      <c r="AX15" s="99" t="str">
        <f t="shared" si="6"/>
        <v>BETTER</v>
      </c>
    </row>
    <row r="16" spans="1:50" s="38" customFormat="1" ht="15.75">
      <c r="A16" s="53">
        <v>9</v>
      </c>
      <c r="B16" s="127">
        <v>14</v>
      </c>
      <c r="C16" s="103" t="s">
        <v>119</v>
      </c>
      <c r="D16" s="103" t="s">
        <v>120</v>
      </c>
      <c r="E16" s="103" t="s">
        <v>121</v>
      </c>
      <c r="F16" s="108">
        <v>20</v>
      </c>
      <c r="G16" s="108">
        <v>78</v>
      </c>
      <c r="H16" s="109">
        <v>10</v>
      </c>
      <c r="I16" s="109">
        <v>34</v>
      </c>
      <c r="J16" s="110">
        <f t="shared" si="7"/>
        <v>142</v>
      </c>
      <c r="K16" s="111">
        <f t="shared" si="0"/>
        <v>5</v>
      </c>
      <c r="L16" s="195"/>
      <c r="M16" s="108">
        <v>20</v>
      </c>
      <c r="N16" s="109">
        <v>73</v>
      </c>
      <c r="O16" s="109">
        <v>10</v>
      </c>
      <c r="P16" s="109">
        <v>38</v>
      </c>
      <c r="Q16" s="110">
        <f t="shared" si="8"/>
        <v>141</v>
      </c>
      <c r="R16" s="111">
        <f t="shared" si="1"/>
        <v>5</v>
      </c>
      <c r="S16" s="195"/>
      <c r="T16" s="108">
        <v>8</v>
      </c>
      <c r="U16" s="108">
        <v>45</v>
      </c>
      <c r="V16" s="110">
        <f t="shared" si="9"/>
        <v>53</v>
      </c>
      <c r="W16" s="81">
        <f t="shared" si="10"/>
        <v>3</v>
      </c>
      <c r="X16" s="195"/>
      <c r="Y16" s="108">
        <v>19</v>
      </c>
      <c r="Z16" s="109">
        <v>64</v>
      </c>
      <c r="AA16" s="110">
        <f t="shared" si="18"/>
        <v>83</v>
      </c>
      <c r="AB16" s="81">
        <f t="shared" si="11"/>
        <v>5</v>
      </c>
      <c r="AC16" s="195"/>
      <c r="AD16" s="108">
        <v>13</v>
      </c>
      <c r="AE16" s="109">
        <v>69</v>
      </c>
      <c r="AF16" s="110">
        <f t="shared" si="12"/>
        <v>82</v>
      </c>
      <c r="AG16" s="81">
        <f t="shared" si="13"/>
        <v>5</v>
      </c>
      <c r="AH16" s="195"/>
      <c r="AI16" s="108">
        <v>20</v>
      </c>
      <c r="AJ16" s="109">
        <v>76</v>
      </c>
      <c r="AK16" s="110">
        <f t="shared" si="14"/>
        <v>96</v>
      </c>
      <c r="AL16" s="81">
        <f t="shared" si="15"/>
        <v>5</v>
      </c>
      <c r="AM16" s="195"/>
      <c r="AN16" s="109"/>
      <c r="AO16" s="54">
        <v>48</v>
      </c>
      <c r="AP16" s="110">
        <f t="shared" si="16"/>
        <v>48</v>
      </c>
      <c r="AQ16" s="81">
        <f t="shared" si="17"/>
        <v>5</v>
      </c>
      <c r="AR16" s="195"/>
      <c r="AS16" s="108">
        <f t="shared" si="3"/>
        <v>33</v>
      </c>
      <c r="AT16" s="112">
        <f t="shared" si="4"/>
        <v>4.7142857142857144</v>
      </c>
      <c r="AU16" s="113">
        <f t="shared" si="5"/>
        <v>645</v>
      </c>
      <c r="AV16" s="108"/>
      <c r="AW16" s="108"/>
      <c r="AX16" s="99" t="str">
        <f t="shared" si="6"/>
        <v>BETTER</v>
      </c>
    </row>
    <row r="17" spans="1:50" s="38" customFormat="1" ht="15.75">
      <c r="A17" s="53">
        <v>10</v>
      </c>
      <c r="B17" s="127">
        <v>16</v>
      </c>
      <c r="C17" s="103" t="s">
        <v>122</v>
      </c>
      <c r="D17" s="103" t="s">
        <v>123</v>
      </c>
      <c r="E17" s="103" t="s">
        <v>124</v>
      </c>
      <c r="F17" s="108">
        <v>20</v>
      </c>
      <c r="G17" s="108">
        <v>72</v>
      </c>
      <c r="H17" s="109">
        <v>10</v>
      </c>
      <c r="I17" s="109">
        <v>39</v>
      </c>
      <c r="J17" s="110">
        <f t="shared" si="7"/>
        <v>141</v>
      </c>
      <c r="K17" s="111">
        <f t="shared" si="0"/>
        <v>5</v>
      </c>
      <c r="L17" s="195"/>
      <c r="M17" s="108">
        <v>19</v>
      </c>
      <c r="N17" s="109">
        <v>62</v>
      </c>
      <c r="O17" s="109">
        <v>10</v>
      </c>
      <c r="P17" s="109">
        <v>34</v>
      </c>
      <c r="Q17" s="110">
        <f t="shared" si="8"/>
        <v>125</v>
      </c>
      <c r="R17" s="111">
        <f t="shared" si="1"/>
        <v>5</v>
      </c>
      <c r="S17" s="195"/>
      <c r="T17" s="108">
        <v>18</v>
      </c>
      <c r="U17" s="108">
        <v>67</v>
      </c>
      <c r="V17" s="110">
        <f t="shared" si="9"/>
        <v>85</v>
      </c>
      <c r="W17" s="81">
        <f t="shared" si="10"/>
        <v>5</v>
      </c>
      <c r="X17" s="195"/>
      <c r="Y17" s="108">
        <v>19</v>
      </c>
      <c r="Z17" s="109">
        <v>75</v>
      </c>
      <c r="AA17" s="110">
        <f t="shared" si="18"/>
        <v>94</v>
      </c>
      <c r="AB17" s="81">
        <f t="shared" si="11"/>
        <v>5</v>
      </c>
      <c r="AC17" s="195"/>
      <c r="AD17" s="108">
        <v>17</v>
      </c>
      <c r="AE17" s="109">
        <v>64</v>
      </c>
      <c r="AF17" s="110">
        <f t="shared" si="12"/>
        <v>81</v>
      </c>
      <c r="AG17" s="81">
        <f t="shared" si="13"/>
        <v>5</v>
      </c>
      <c r="AH17" s="195"/>
      <c r="AI17" s="108">
        <v>19</v>
      </c>
      <c r="AJ17" s="109">
        <v>73</v>
      </c>
      <c r="AK17" s="110">
        <f t="shared" si="14"/>
        <v>92</v>
      </c>
      <c r="AL17" s="81">
        <f t="shared" si="15"/>
        <v>5</v>
      </c>
      <c r="AM17" s="195"/>
      <c r="AN17" s="109"/>
      <c r="AO17" s="54">
        <v>49</v>
      </c>
      <c r="AP17" s="110">
        <f t="shared" si="16"/>
        <v>49</v>
      </c>
      <c r="AQ17" s="81">
        <f t="shared" si="17"/>
        <v>5</v>
      </c>
      <c r="AR17" s="195"/>
      <c r="AS17" s="108">
        <f t="shared" si="3"/>
        <v>35</v>
      </c>
      <c r="AT17" s="112">
        <f t="shared" si="4"/>
        <v>5</v>
      </c>
      <c r="AU17" s="113">
        <f t="shared" si="5"/>
        <v>667</v>
      </c>
      <c r="AV17" s="108"/>
      <c r="AW17" s="108"/>
      <c r="AX17" s="99" t="str">
        <f t="shared" si="6"/>
        <v>BEST</v>
      </c>
    </row>
    <row r="18" spans="1:50" s="38" customFormat="1" ht="15.75">
      <c r="A18" s="53">
        <v>11</v>
      </c>
      <c r="B18" s="127">
        <v>18</v>
      </c>
      <c r="C18" s="103" t="s">
        <v>125</v>
      </c>
      <c r="D18" s="103" t="s">
        <v>126</v>
      </c>
      <c r="E18" s="103" t="s">
        <v>127</v>
      </c>
      <c r="F18" s="108">
        <v>20</v>
      </c>
      <c r="G18" s="108">
        <v>75</v>
      </c>
      <c r="H18" s="109">
        <v>9</v>
      </c>
      <c r="I18" s="109">
        <v>38</v>
      </c>
      <c r="J18" s="110">
        <f t="shared" si="7"/>
        <v>142</v>
      </c>
      <c r="K18" s="111">
        <f t="shared" si="0"/>
        <v>5</v>
      </c>
      <c r="L18" s="195"/>
      <c r="M18" s="108">
        <v>17</v>
      </c>
      <c r="N18" s="109">
        <v>73</v>
      </c>
      <c r="O18" s="109">
        <v>9</v>
      </c>
      <c r="P18" s="109">
        <v>34</v>
      </c>
      <c r="Q18" s="110">
        <f t="shared" si="8"/>
        <v>133</v>
      </c>
      <c r="R18" s="111">
        <f t="shared" si="1"/>
        <v>5</v>
      </c>
      <c r="S18" s="195"/>
      <c r="T18" s="108">
        <v>14</v>
      </c>
      <c r="U18" s="108">
        <v>54</v>
      </c>
      <c r="V18" s="110">
        <f t="shared" si="9"/>
        <v>68</v>
      </c>
      <c r="W18" s="81">
        <f t="shared" si="10"/>
        <v>3.5</v>
      </c>
      <c r="X18" s="195"/>
      <c r="Y18" s="108">
        <v>20</v>
      </c>
      <c r="Z18" s="109">
        <v>80</v>
      </c>
      <c r="AA18" s="110">
        <f t="shared" si="18"/>
        <v>100</v>
      </c>
      <c r="AB18" s="81">
        <f t="shared" si="11"/>
        <v>5</v>
      </c>
      <c r="AC18" s="195"/>
      <c r="AD18" s="108">
        <v>16</v>
      </c>
      <c r="AE18" s="109">
        <v>74</v>
      </c>
      <c r="AF18" s="110">
        <f t="shared" si="12"/>
        <v>90</v>
      </c>
      <c r="AG18" s="81">
        <f t="shared" si="13"/>
        <v>5</v>
      </c>
      <c r="AH18" s="195"/>
      <c r="AI18" s="108">
        <v>20</v>
      </c>
      <c r="AJ18" s="109">
        <v>67</v>
      </c>
      <c r="AK18" s="110">
        <f t="shared" si="14"/>
        <v>87</v>
      </c>
      <c r="AL18" s="81">
        <f t="shared" si="15"/>
        <v>5</v>
      </c>
      <c r="AM18" s="195"/>
      <c r="AN18" s="109"/>
      <c r="AO18" s="54">
        <v>49</v>
      </c>
      <c r="AP18" s="110">
        <f t="shared" si="16"/>
        <v>49</v>
      </c>
      <c r="AQ18" s="81">
        <f t="shared" si="17"/>
        <v>5</v>
      </c>
      <c r="AR18" s="195"/>
      <c r="AS18" s="108">
        <f t="shared" si="3"/>
        <v>33.5</v>
      </c>
      <c r="AT18" s="112">
        <f t="shared" si="4"/>
        <v>4.7857142857142856</v>
      </c>
      <c r="AU18" s="113">
        <f t="shared" si="5"/>
        <v>669</v>
      </c>
      <c r="AV18" s="108"/>
      <c r="AW18" s="108"/>
      <c r="AX18" s="99" t="str">
        <f t="shared" si="6"/>
        <v>BETTER</v>
      </c>
    </row>
    <row r="19" spans="1:50" s="38" customFormat="1" ht="15.75">
      <c r="A19" s="53">
        <v>12</v>
      </c>
      <c r="B19" s="127">
        <v>19</v>
      </c>
      <c r="C19" s="103" t="s">
        <v>128</v>
      </c>
      <c r="D19" s="103" t="s">
        <v>129</v>
      </c>
      <c r="E19" s="103" t="s">
        <v>130</v>
      </c>
      <c r="F19" s="108">
        <v>20</v>
      </c>
      <c r="G19" s="108">
        <v>65</v>
      </c>
      <c r="H19" s="109">
        <v>10</v>
      </c>
      <c r="I19" s="109">
        <v>32</v>
      </c>
      <c r="J19" s="110">
        <f t="shared" si="7"/>
        <v>127</v>
      </c>
      <c r="K19" s="111">
        <f t="shared" si="0"/>
        <v>5</v>
      </c>
      <c r="L19" s="195"/>
      <c r="M19" s="108">
        <v>20</v>
      </c>
      <c r="N19" s="109">
        <v>56</v>
      </c>
      <c r="O19" s="109">
        <v>10</v>
      </c>
      <c r="P19" s="109">
        <v>38</v>
      </c>
      <c r="Q19" s="110">
        <f t="shared" si="8"/>
        <v>124</v>
      </c>
      <c r="R19" s="111">
        <f t="shared" si="1"/>
        <v>5</v>
      </c>
      <c r="S19" s="195"/>
      <c r="T19" s="108">
        <v>13</v>
      </c>
      <c r="U19" s="108">
        <v>67</v>
      </c>
      <c r="V19" s="110">
        <f t="shared" si="9"/>
        <v>80</v>
      </c>
      <c r="W19" s="81">
        <f t="shared" si="10"/>
        <v>5</v>
      </c>
      <c r="X19" s="195"/>
      <c r="Y19" s="108">
        <v>17</v>
      </c>
      <c r="Z19" s="109">
        <v>67</v>
      </c>
      <c r="AA19" s="110">
        <f t="shared" si="18"/>
        <v>84</v>
      </c>
      <c r="AB19" s="81">
        <f t="shared" si="11"/>
        <v>5</v>
      </c>
      <c r="AC19" s="195"/>
      <c r="AD19" s="108">
        <v>17</v>
      </c>
      <c r="AE19" s="109">
        <v>57</v>
      </c>
      <c r="AF19" s="110">
        <f t="shared" si="12"/>
        <v>74</v>
      </c>
      <c r="AG19" s="81">
        <f t="shared" si="13"/>
        <v>4</v>
      </c>
      <c r="AH19" s="195"/>
      <c r="AI19" s="108">
        <v>20</v>
      </c>
      <c r="AJ19" s="109">
        <v>70</v>
      </c>
      <c r="AK19" s="110">
        <f t="shared" si="14"/>
        <v>90</v>
      </c>
      <c r="AL19" s="81">
        <f t="shared" si="15"/>
        <v>5</v>
      </c>
      <c r="AM19" s="195"/>
      <c r="AN19" s="109"/>
      <c r="AO19" s="54">
        <v>44</v>
      </c>
      <c r="AP19" s="110">
        <f t="shared" si="16"/>
        <v>44</v>
      </c>
      <c r="AQ19" s="81">
        <f t="shared" si="17"/>
        <v>5</v>
      </c>
      <c r="AR19" s="195"/>
      <c r="AS19" s="108">
        <f t="shared" si="3"/>
        <v>34</v>
      </c>
      <c r="AT19" s="112">
        <f t="shared" si="4"/>
        <v>4.8571428571428568</v>
      </c>
      <c r="AU19" s="113">
        <f t="shared" si="5"/>
        <v>623</v>
      </c>
      <c r="AV19" s="108"/>
      <c r="AW19" s="108"/>
      <c r="AX19" s="99" t="str">
        <f t="shared" si="6"/>
        <v>BETTER</v>
      </c>
    </row>
    <row r="20" spans="1:50" s="38" customFormat="1" ht="15.75">
      <c r="A20" s="53">
        <v>13</v>
      </c>
      <c r="B20" s="127">
        <v>20</v>
      </c>
      <c r="C20" s="103" t="s">
        <v>131</v>
      </c>
      <c r="D20" s="103" t="s">
        <v>132</v>
      </c>
      <c r="E20" s="103" t="s">
        <v>133</v>
      </c>
      <c r="F20" s="108">
        <v>20</v>
      </c>
      <c r="G20" s="108">
        <v>72</v>
      </c>
      <c r="H20" s="109">
        <v>9</v>
      </c>
      <c r="I20" s="109">
        <v>34</v>
      </c>
      <c r="J20" s="110">
        <f t="shared" si="7"/>
        <v>135</v>
      </c>
      <c r="K20" s="111">
        <f t="shared" si="0"/>
        <v>5</v>
      </c>
      <c r="L20" s="195"/>
      <c r="M20" s="108">
        <v>19</v>
      </c>
      <c r="N20" s="109">
        <v>62</v>
      </c>
      <c r="O20" s="109">
        <v>9</v>
      </c>
      <c r="P20" s="109">
        <v>31</v>
      </c>
      <c r="Q20" s="110">
        <f t="shared" si="8"/>
        <v>121</v>
      </c>
      <c r="R20" s="111">
        <f t="shared" si="1"/>
        <v>5</v>
      </c>
      <c r="S20" s="195"/>
      <c r="T20" s="108">
        <v>12</v>
      </c>
      <c r="U20" s="108">
        <v>62</v>
      </c>
      <c r="V20" s="110">
        <f t="shared" si="9"/>
        <v>74</v>
      </c>
      <c r="W20" s="81">
        <f t="shared" si="10"/>
        <v>4</v>
      </c>
      <c r="X20" s="195"/>
      <c r="Y20" s="108">
        <v>20</v>
      </c>
      <c r="Z20" s="109">
        <v>76</v>
      </c>
      <c r="AA20" s="110">
        <f t="shared" si="18"/>
        <v>96</v>
      </c>
      <c r="AB20" s="81">
        <f t="shared" si="11"/>
        <v>5</v>
      </c>
      <c r="AC20" s="195"/>
      <c r="AD20" s="108">
        <v>17</v>
      </c>
      <c r="AE20" s="109">
        <v>67</v>
      </c>
      <c r="AF20" s="110">
        <f t="shared" si="12"/>
        <v>84</v>
      </c>
      <c r="AG20" s="81">
        <f t="shared" si="13"/>
        <v>5</v>
      </c>
      <c r="AH20" s="195"/>
      <c r="AI20" s="108">
        <v>18</v>
      </c>
      <c r="AJ20" s="109">
        <v>75</v>
      </c>
      <c r="AK20" s="110">
        <f t="shared" si="14"/>
        <v>93</v>
      </c>
      <c r="AL20" s="81">
        <f t="shared" si="15"/>
        <v>5</v>
      </c>
      <c r="AM20" s="195"/>
      <c r="AN20" s="109"/>
      <c r="AO20" s="54">
        <v>49</v>
      </c>
      <c r="AP20" s="110">
        <f t="shared" si="16"/>
        <v>49</v>
      </c>
      <c r="AQ20" s="81">
        <f t="shared" si="17"/>
        <v>5</v>
      </c>
      <c r="AR20" s="195"/>
      <c r="AS20" s="108">
        <f t="shared" si="3"/>
        <v>34</v>
      </c>
      <c r="AT20" s="112">
        <f t="shared" si="4"/>
        <v>4.8571428571428568</v>
      </c>
      <c r="AU20" s="113">
        <f t="shared" si="5"/>
        <v>652</v>
      </c>
      <c r="AV20" s="108"/>
      <c r="AW20" s="108"/>
      <c r="AX20" s="99" t="str">
        <f t="shared" si="6"/>
        <v>BETTER</v>
      </c>
    </row>
    <row r="21" spans="1:50" s="38" customFormat="1" ht="15.75">
      <c r="A21" s="53">
        <v>14</v>
      </c>
      <c r="B21" s="127">
        <v>21</v>
      </c>
      <c r="C21" s="103" t="s">
        <v>134</v>
      </c>
      <c r="D21" s="103" t="s">
        <v>135</v>
      </c>
      <c r="E21" s="103" t="s">
        <v>136</v>
      </c>
      <c r="F21" s="108">
        <v>19</v>
      </c>
      <c r="G21" s="108">
        <v>59</v>
      </c>
      <c r="H21" s="109">
        <v>10</v>
      </c>
      <c r="I21" s="109">
        <v>37</v>
      </c>
      <c r="J21" s="110">
        <f t="shared" si="7"/>
        <v>125</v>
      </c>
      <c r="K21" s="111">
        <f t="shared" si="0"/>
        <v>5</v>
      </c>
      <c r="L21" s="195"/>
      <c r="M21" s="108">
        <v>18</v>
      </c>
      <c r="N21" s="109">
        <v>71</v>
      </c>
      <c r="O21" s="109">
        <v>10</v>
      </c>
      <c r="P21" s="109">
        <v>37</v>
      </c>
      <c r="Q21" s="110">
        <f t="shared" si="8"/>
        <v>136</v>
      </c>
      <c r="R21" s="111">
        <f t="shared" si="1"/>
        <v>5</v>
      </c>
      <c r="S21" s="195"/>
      <c r="T21" s="108">
        <v>15</v>
      </c>
      <c r="U21" s="108">
        <v>62</v>
      </c>
      <c r="V21" s="110">
        <f t="shared" si="9"/>
        <v>77</v>
      </c>
      <c r="W21" s="81">
        <f t="shared" si="10"/>
        <v>4</v>
      </c>
      <c r="X21" s="195"/>
      <c r="Y21" s="108">
        <v>15</v>
      </c>
      <c r="Z21" s="109">
        <v>73</v>
      </c>
      <c r="AA21" s="110">
        <f t="shared" si="18"/>
        <v>88</v>
      </c>
      <c r="AB21" s="81">
        <f t="shared" si="11"/>
        <v>5</v>
      </c>
      <c r="AC21" s="195"/>
      <c r="AD21" s="108">
        <v>16</v>
      </c>
      <c r="AE21" s="109">
        <v>58</v>
      </c>
      <c r="AF21" s="110">
        <f t="shared" si="12"/>
        <v>74</v>
      </c>
      <c r="AG21" s="81">
        <f t="shared" si="13"/>
        <v>4</v>
      </c>
      <c r="AH21" s="195"/>
      <c r="AI21" s="108">
        <v>19</v>
      </c>
      <c r="AJ21" s="109">
        <v>69</v>
      </c>
      <c r="AK21" s="110">
        <f t="shared" si="14"/>
        <v>88</v>
      </c>
      <c r="AL21" s="81">
        <f t="shared" si="15"/>
        <v>5</v>
      </c>
      <c r="AM21" s="195"/>
      <c r="AN21" s="109"/>
      <c r="AO21" s="54">
        <v>44</v>
      </c>
      <c r="AP21" s="110">
        <f t="shared" si="16"/>
        <v>44</v>
      </c>
      <c r="AQ21" s="81">
        <f t="shared" si="17"/>
        <v>5</v>
      </c>
      <c r="AR21" s="195"/>
      <c r="AS21" s="108">
        <f t="shared" si="3"/>
        <v>33</v>
      </c>
      <c r="AT21" s="112">
        <f t="shared" si="4"/>
        <v>4.7142857142857144</v>
      </c>
      <c r="AU21" s="113">
        <f t="shared" si="5"/>
        <v>632</v>
      </c>
      <c r="AV21" s="108"/>
      <c r="AW21" s="108"/>
      <c r="AX21" s="99" t="str">
        <f t="shared" si="6"/>
        <v>BETTER</v>
      </c>
    </row>
    <row r="22" spans="1:50" ht="15.75">
      <c r="A22" s="53">
        <v>15</v>
      </c>
      <c r="B22" s="88">
        <v>22</v>
      </c>
      <c r="C22" s="85" t="s">
        <v>137</v>
      </c>
      <c r="D22" s="85" t="s">
        <v>138</v>
      </c>
      <c r="E22" s="85" t="s">
        <v>139</v>
      </c>
      <c r="F22" s="108">
        <v>20</v>
      </c>
      <c r="G22" s="108">
        <v>73</v>
      </c>
      <c r="H22" s="109">
        <v>10</v>
      </c>
      <c r="I22" s="109">
        <v>39</v>
      </c>
      <c r="J22" s="110">
        <f t="shared" si="7"/>
        <v>142</v>
      </c>
      <c r="K22" s="111">
        <f t="shared" si="0"/>
        <v>5</v>
      </c>
      <c r="L22" s="195"/>
      <c r="M22" s="108">
        <v>19</v>
      </c>
      <c r="N22" s="109">
        <v>63</v>
      </c>
      <c r="O22" s="109">
        <v>9</v>
      </c>
      <c r="P22" s="109">
        <v>31</v>
      </c>
      <c r="Q22" s="110">
        <f t="shared" si="8"/>
        <v>122</v>
      </c>
      <c r="R22" s="111">
        <f t="shared" si="1"/>
        <v>5</v>
      </c>
      <c r="S22" s="195"/>
      <c r="T22" s="108">
        <v>9</v>
      </c>
      <c r="U22" s="108">
        <v>35</v>
      </c>
      <c r="V22" s="110">
        <f t="shared" si="9"/>
        <v>44</v>
      </c>
      <c r="W22" s="81">
        <f t="shared" si="10"/>
        <v>2</v>
      </c>
      <c r="X22" s="195"/>
      <c r="Y22" s="108">
        <v>20</v>
      </c>
      <c r="Z22" s="109">
        <v>78</v>
      </c>
      <c r="AA22" s="110">
        <f t="shared" si="18"/>
        <v>98</v>
      </c>
      <c r="AB22" s="81">
        <f t="shared" si="11"/>
        <v>5</v>
      </c>
      <c r="AC22" s="195"/>
      <c r="AD22" s="108">
        <v>14</v>
      </c>
      <c r="AE22" s="109">
        <v>66</v>
      </c>
      <c r="AF22" s="110">
        <f t="shared" si="12"/>
        <v>80</v>
      </c>
      <c r="AG22" s="81">
        <f t="shared" si="13"/>
        <v>5</v>
      </c>
      <c r="AH22" s="195"/>
      <c r="AI22" s="108">
        <v>20</v>
      </c>
      <c r="AJ22" s="109">
        <v>74</v>
      </c>
      <c r="AK22" s="110">
        <f t="shared" si="14"/>
        <v>94</v>
      </c>
      <c r="AL22" s="81">
        <f t="shared" si="15"/>
        <v>5</v>
      </c>
      <c r="AM22" s="195"/>
      <c r="AN22" s="109"/>
      <c r="AO22" s="54">
        <v>49</v>
      </c>
      <c r="AP22" s="110">
        <f t="shared" si="16"/>
        <v>49</v>
      </c>
      <c r="AQ22" s="81">
        <f t="shared" si="17"/>
        <v>5</v>
      </c>
      <c r="AR22" s="195"/>
      <c r="AS22" s="108">
        <f t="shared" si="3"/>
        <v>32</v>
      </c>
      <c r="AT22" s="112">
        <f t="shared" si="4"/>
        <v>4.5714285714285712</v>
      </c>
      <c r="AU22" s="113">
        <f t="shared" si="5"/>
        <v>629</v>
      </c>
      <c r="AV22" s="108"/>
      <c r="AW22" s="108"/>
      <c r="AX22" s="99" t="str">
        <f t="shared" si="6"/>
        <v>BETTER</v>
      </c>
    </row>
    <row r="23" spans="1:50" ht="15.75">
      <c r="A23" s="53">
        <v>16</v>
      </c>
      <c r="B23" s="88">
        <v>24</v>
      </c>
      <c r="C23" s="85" t="s">
        <v>140</v>
      </c>
      <c r="D23" s="85" t="s">
        <v>141</v>
      </c>
      <c r="E23" s="85" t="s">
        <v>142</v>
      </c>
      <c r="F23" s="108">
        <v>20</v>
      </c>
      <c r="G23" s="108">
        <v>75</v>
      </c>
      <c r="H23" s="109">
        <v>10</v>
      </c>
      <c r="I23" s="109">
        <v>36</v>
      </c>
      <c r="J23" s="110">
        <f t="shared" si="7"/>
        <v>141</v>
      </c>
      <c r="K23" s="111">
        <f t="shared" si="0"/>
        <v>5</v>
      </c>
      <c r="L23" s="195"/>
      <c r="M23" s="108">
        <v>20</v>
      </c>
      <c r="N23" s="109">
        <v>59</v>
      </c>
      <c r="O23" s="109">
        <v>9</v>
      </c>
      <c r="P23" s="109">
        <v>23</v>
      </c>
      <c r="Q23" s="110">
        <f t="shared" si="8"/>
        <v>111</v>
      </c>
      <c r="R23" s="111">
        <f t="shared" si="1"/>
        <v>4</v>
      </c>
      <c r="S23" s="195"/>
      <c r="T23" s="108">
        <v>10</v>
      </c>
      <c r="U23" s="108">
        <v>34</v>
      </c>
      <c r="V23" s="110">
        <f t="shared" si="9"/>
        <v>44</v>
      </c>
      <c r="W23" s="81">
        <f t="shared" si="10"/>
        <v>2</v>
      </c>
      <c r="X23" s="195"/>
      <c r="Y23" s="108">
        <v>20</v>
      </c>
      <c r="Z23" s="109">
        <v>78</v>
      </c>
      <c r="AA23" s="110">
        <f t="shared" si="18"/>
        <v>98</v>
      </c>
      <c r="AB23" s="81">
        <f t="shared" si="11"/>
        <v>5</v>
      </c>
      <c r="AC23" s="195"/>
      <c r="AD23" s="108">
        <v>17</v>
      </c>
      <c r="AE23" s="109">
        <v>67</v>
      </c>
      <c r="AF23" s="110">
        <f t="shared" si="12"/>
        <v>84</v>
      </c>
      <c r="AG23" s="81">
        <f t="shared" si="13"/>
        <v>5</v>
      </c>
      <c r="AH23" s="195"/>
      <c r="AI23" s="108">
        <v>20</v>
      </c>
      <c r="AJ23" s="109">
        <v>68</v>
      </c>
      <c r="AK23" s="110">
        <f t="shared" si="14"/>
        <v>88</v>
      </c>
      <c r="AL23" s="81">
        <f t="shared" si="15"/>
        <v>5</v>
      </c>
      <c r="AM23" s="195"/>
      <c r="AN23" s="109"/>
      <c r="AO23" s="54">
        <v>49</v>
      </c>
      <c r="AP23" s="110">
        <f t="shared" si="16"/>
        <v>49</v>
      </c>
      <c r="AQ23" s="81">
        <f t="shared" si="17"/>
        <v>5</v>
      </c>
      <c r="AR23" s="195"/>
      <c r="AS23" s="108">
        <f t="shared" si="3"/>
        <v>31</v>
      </c>
      <c r="AT23" s="112">
        <f t="shared" si="4"/>
        <v>4.4285714285714288</v>
      </c>
      <c r="AU23" s="113">
        <f t="shared" si="5"/>
        <v>615</v>
      </c>
      <c r="AV23" s="108"/>
      <c r="AW23" s="108"/>
      <c r="AX23" s="99" t="str">
        <f t="shared" si="6"/>
        <v>BETTER</v>
      </c>
    </row>
    <row r="24" spans="1:50" ht="15.75">
      <c r="A24" s="53">
        <v>17</v>
      </c>
      <c r="B24" s="88">
        <v>26</v>
      </c>
      <c r="C24" s="85" t="s">
        <v>143</v>
      </c>
      <c r="D24" s="85" t="s">
        <v>144</v>
      </c>
      <c r="E24" s="85" t="s">
        <v>145</v>
      </c>
      <c r="F24" s="108">
        <v>20</v>
      </c>
      <c r="G24" s="108">
        <v>78</v>
      </c>
      <c r="H24" s="109">
        <v>10</v>
      </c>
      <c r="I24" s="109">
        <v>40</v>
      </c>
      <c r="J24" s="110">
        <f t="shared" si="7"/>
        <v>148</v>
      </c>
      <c r="K24" s="111">
        <f t="shared" si="0"/>
        <v>5</v>
      </c>
      <c r="L24" s="195"/>
      <c r="M24" s="108">
        <v>18</v>
      </c>
      <c r="N24" s="109">
        <v>69</v>
      </c>
      <c r="O24" s="109">
        <v>10</v>
      </c>
      <c r="P24" s="109">
        <v>36</v>
      </c>
      <c r="Q24" s="110">
        <f t="shared" si="8"/>
        <v>133</v>
      </c>
      <c r="R24" s="111">
        <f t="shared" si="1"/>
        <v>5</v>
      </c>
      <c r="S24" s="195"/>
      <c r="T24" s="108">
        <v>10</v>
      </c>
      <c r="U24" s="108">
        <v>40</v>
      </c>
      <c r="V24" s="110">
        <f t="shared" si="9"/>
        <v>50</v>
      </c>
      <c r="W24" s="81">
        <f t="shared" si="10"/>
        <v>3</v>
      </c>
      <c r="X24" s="195"/>
      <c r="Y24" s="108">
        <v>20</v>
      </c>
      <c r="Z24" s="109">
        <v>80</v>
      </c>
      <c r="AA24" s="110">
        <f t="shared" si="18"/>
        <v>100</v>
      </c>
      <c r="AB24" s="81">
        <f t="shared" si="11"/>
        <v>5</v>
      </c>
      <c r="AC24" s="195"/>
      <c r="AD24" s="108">
        <v>17</v>
      </c>
      <c r="AE24" s="109">
        <v>78</v>
      </c>
      <c r="AF24" s="110">
        <f t="shared" si="12"/>
        <v>95</v>
      </c>
      <c r="AG24" s="81">
        <f t="shared" si="13"/>
        <v>5</v>
      </c>
      <c r="AH24" s="195"/>
      <c r="AI24" s="108">
        <v>19</v>
      </c>
      <c r="AJ24" s="109">
        <v>78</v>
      </c>
      <c r="AK24" s="110">
        <f t="shared" si="14"/>
        <v>97</v>
      </c>
      <c r="AL24" s="81">
        <f t="shared" si="15"/>
        <v>5</v>
      </c>
      <c r="AM24" s="195"/>
      <c r="AN24" s="109"/>
      <c r="AO24" s="54">
        <v>49</v>
      </c>
      <c r="AP24" s="110">
        <f t="shared" si="16"/>
        <v>49</v>
      </c>
      <c r="AQ24" s="81">
        <f t="shared" si="17"/>
        <v>5</v>
      </c>
      <c r="AR24" s="195"/>
      <c r="AS24" s="108">
        <f t="shared" si="3"/>
        <v>33</v>
      </c>
      <c r="AT24" s="112">
        <f t="shared" si="4"/>
        <v>4.7142857142857144</v>
      </c>
      <c r="AU24" s="113">
        <f t="shared" si="5"/>
        <v>672</v>
      </c>
      <c r="AV24" s="108"/>
      <c r="AW24" s="108"/>
      <c r="AX24" s="99" t="str">
        <f t="shared" si="6"/>
        <v>BETTER</v>
      </c>
    </row>
    <row r="25" spans="1:50" ht="15.75">
      <c r="A25" s="53">
        <v>18</v>
      </c>
      <c r="B25" s="88">
        <v>30</v>
      </c>
      <c r="C25" s="85" t="s">
        <v>146</v>
      </c>
      <c r="D25" s="85" t="s">
        <v>147</v>
      </c>
      <c r="E25" s="85" t="s">
        <v>148</v>
      </c>
      <c r="F25" s="108">
        <v>20</v>
      </c>
      <c r="G25" s="108">
        <v>68</v>
      </c>
      <c r="H25" s="109">
        <v>6</v>
      </c>
      <c r="I25" s="109">
        <v>34</v>
      </c>
      <c r="J25" s="110">
        <f t="shared" si="7"/>
        <v>128</v>
      </c>
      <c r="K25" s="111">
        <f t="shared" si="0"/>
        <v>5</v>
      </c>
      <c r="L25" s="195"/>
      <c r="M25" s="108">
        <v>18</v>
      </c>
      <c r="N25" s="109">
        <v>67</v>
      </c>
      <c r="O25" s="109">
        <v>8</v>
      </c>
      <c r="P25" s="109">
        <v>26</v>
      </c>
      <c r="Q25" s="110">
        <f t="shared" si="8"/>
        <v>119</v>
      </c>
      <c r="R25" s="111">
        <f t="shared" si="1"/>
        <v>4</v>
      </c>
      <c r="S25" s="195"/>
      <c r="T25" s="108">
        <v>8</v>
      </c>
      <c r="U25" s="108">
        <v>50</v>
      </c>
      <c r="V25" s="110">
        <f t="shared" si="9"/>
        <v>58</v>
      </c>
      <c r="W25" s="81">
        <f t="shared" si="10"/>
        <v>3</v>
      </c>
      <c r="X25" s="195"/>
      <c r="Y25" s="108">
        <v>18</v>
      </c>
      <c r="Z25" s="109">
        <v>70</v>
      </c>
      <c r="AA25" s="110">
        <f t="shared" si="18"/>
        <v>88</v>
      </c>
      <c r="AB25" s="81">
        <f t="shared" si="11"/>
        <v>5</v>
      </c>
      <c r="AC25" s="195"/>
      <c r="AD25" s="108">
        <v>11</v>
      </c>
      <c r="AE25" s="109">
        <v>70</v>
      </c>
      <c r="AF25" s="110">
        <f t="shared" si="12"/>
        <v>81</v>
      </c>
      <c r="AG25" s="81">
        <f t="shared" si="13"/>
        <v>5</v>
      </c>
      <c r="AH25" s="195"/>
      <c r="AI25" s="108">
        <v>13</v>
      </c>
      <c r="AJ25" s="109">
        <v>50</v>
      </c>
      <c r="AK25" s="110">
        <f t="shared" si="14"/>
        <v>63</v>
      </c>
      <c r="AL25" s="81">
        <f t="shared" si="15"/>
        <v>3.5</v>
      </c>
      <c r="AM25" s="195"/>
      <c r="AN25" s="109"/>
      <c r="AO25" s="54">
        <v>48</v>
      </c>
      <c r="AP25" s="110">
        <f t="shared" si="16"/>
        <v>48</v>
      </c>
      <c r="AQ25" s="81">
        <f t="shared" si="17"/>
        <v>5</v>
      </c>
      <c r="AR25" s="195"/>
      <c r="AS25" s="108">
        <f t="shared" si="3"/>
        <v>30.5</v>
      </c>
      <c r="AT25" s="112">
        <f t="shared" si="4"/>
        <v>4.3571428571428568</v>
      </c>
      <c r="AU25" s="113">
        <f t="shared" si="5"/>
        <v>585</v>
      </c>
      <c r="AV25" s="108"/>
      <c r="AW25" s="108"/>
      <c r="AX25" s="99" t="str">
        <f t="shared" si="6"/>
        <v>BETTER</v>
      </c>
    </row>
    <row r="26" spans="1:50" ht="15.75">
      <c r="A26" s="53">
        <v>19</v>
      </c>
      <c r="B26" s="88">
        <v>34</v>
      </c>
      <c r="C26" s="85" t="s">
        <v>149</v>
      </c>
      <c r="D26" s="85" t="s">
        <v>150</v>
      </c>
      <c r="E26" s="85" t="s">
        <v>151</v>
      </c>
      <c r="F26" s="108">
        <v>20</v>
      </c>
      <c r="G26" s="108">
        <v>73</v>
      </c>
      <c r="H26" s="109">
        <v>9</v>
      </c>
      <c r="I26" s="109">
        <v>38</v>
      </c>
      <c r="J26" s="110">
        <f t="shared" si="7"/>
        <v>140</v>
      </c>
      <c r="K26" s="111">
        <f t="shared" si="0"/>
        <v>5</v>
      </c>
      <c r="L26" s="195"/>
      <c r="M26" s="108">
        <v>17</v>
      </c>
      <c r="N26" s="109">
        <v>53</v>
      </c>
      <c r="O26" s="109">
        <v>7</v>
      </c>
      <c r="P26" s="109">
        <v>19</v>
      </c>
      <c r="Q26" s="110">
        <f t="shared" si="8"/>
        <v>96</v>
      </c>
      <c r="R26" s="111">
        <f t="shared" si="1"/>
        <v>3.5</v>
      </c>
      <c r="S26" s="195"/>
      <c r="T26" s="108">
        <v>9</v>
      </c>
      <c r="U26" s="108">
        <v>58</v>
      </c>
      <c r="V26" s="110">
        <f t="shared" si="9"/>
        <v>67</v>
      </c>
      <c r="W26" s="81">
        <f t="shared" si="10"/>
        <v>3.5</v>
      </c>
      <c r="X26" s="195"/>
      <c r="Y26" s="108">
        <v>20</v>
      </c>
      <c r="Z26" s="109">
        <v>76</v>
      </c>
      <c r="AA26" s="110">
        <f t="shared" si="18"/>
        <v>96</v>
      </c>
      <c r="AB26" s="81">
        <f t="shared" si="11"/>
        <v>5</v>
      </c>
      <c r="AC26" s="195"/>
      <c r="AD26" s="108">
        <v>13</v>
      </c>
      <c r="AE26" s="109">
        <v>64</v>
      </c>
      <c r="AF26" s="110">
        <f t="shared" si="12"/>
        <v>77</v>
      </c>
      <c r="AG26" s="81">
        <f t="shared" si="13"/>
        <v>4</v>
      </c>
      <c r="AH26" s="195"/>
      <c r="AI26" s="108">
        <v>17</v>
      </c>
      <c r="AJ26" s="109">
        <v>62</v>
      </c>
      <c r="AK26" s="110">
        <f t="shared" si="14"/>
        <v>79</v>
      </c>
      <c r="AL26" s="81">
        <f t="shared" si="15"/>
        <v>4</v>
      </c>
      <c r="AM26" s="195"/>
      <c r="AN26" s="109"/>
      <c r="AO26" s="54">
        <v>47</v>
      </c>
      <c r="AP26" s="110">
        <f t="shared" si="16"/>
        <v>47</v>
      </c>
      <c r="AQ26" s="81">
        <f t="shared" si="17"/>
        <v>5</v>
      </c>
      <c r="AR26" s="195"/>
      <c r="AS26" s="108">
        <f t="shared" si="3"/>
        <v>30</v>
      </c>
      <c r="AT26" s="112">
        <f t="shared" si="4"/>
        <v>4.2857142857142856</v>
      </c>
      <c r="AU26" s="113">
        <f t="shared" si="5"/>
        <v>602</v>
      </c>
      <c r="AV26" s="108"/>
      <c r="AW26" s="108"/>
      <c r="AX26" s="99" t="str">
        <f t="shared" si="6"/>
        <v>BETTER</v>
      </c>
    </row>
    <row r="27" spans="1:50" ht="15.75">
      <c r="A27" s="53">
        <v>20</v>
      </c>
      <c r="B27" s="88">
        <v>35</v>
      </c>
      <c r="C27" s="85" t="s">
        <v>152</v>
      </c>
      <c r="D27" s="85" t="s">
        <v>153</v>
      </c>
      <c r="E27" s="85" t="s">
        <v>154</v>
      </c>
      <c r="F27" s="108">
        <v>19</v>
      </c>
      <c r="G27" s="108">
        <v>61</v>
      </c>
      <c r="H27" s="109">
        <v>10</v>
      </c>
      <c r="I27" s="109">
        <v>36</v>
      </c>
      <c r="J27" s="110">
        <f t="shared" si="7"/>
        <v>126</v>
      </c>
      <c r="K27" s="111">
        <f t="shared" si="0"/>
        <v>5</v>
      </c>
      <c r="L27" s="195"/>
      <c r="M27" s="108">
        <v>19</v>
      </c>
      <c r="N27" s="109">
        <v>68</v>
      </c>
      <c r="O27" s="109">
        <v>9</v>
      </c>
      <c r="P27" s="109">
        <v>31</v>
      </c>
      <c r="Q27" s="110">
        <f t="shared" si="8"/>
        <v>127</v>
      </c>
      <c r="R27" s="111">
        <f t="shared" si="1"/>
        <v>5</v>
      </c>
      <c r="S27" s="195"/>
      <c r="T27" s="108">
        <v>13</v>
      </c>
      <c r="U27" s="108">
        <v>50</v>
      </c>
      <c r="V27" s="110">
        <f t="shared" si="9"/>
        <v>63</v>
      </c>
      <c r="W27" s="81">
        <f t="shared" si="10"/>
        <v>3.5</v>
      </c>
      <c r="X27" s="195"/>
      <c r="Y27" s="108">
        <v>17</v>
      </c>
      <c r="Z27" s="109">
        <v>73</v>
      </c>
      <c r="AA27" s="110">
        <f t="shared" si="18"/>
        <v>90</v>
      </c>
      <c r="AB27" s="81">
        <f t="shared" si="11"/>
        <v>5</v>
      </c>
      <c r="AC27" s="195"/>
      <c r="AD27" s="108">
        <v>16</v>
      </c>
      <c r="AE27" s="109">
        <v>54</v>
      </c>
      <c r="AF27" s="110">
        <f t="shared" si="12"/>
        <v>70</v>
      </c>
      <c r="AG27" s="81">
        <f t="shared" si="13"/>
        <v>4</v>
      </c>
      <c r="AH27" s="195"/>
      <c r="AI27" s="108">
        <v>16</v>
      </c>
      <c r="AJ27" s="109">
        <v>61</v>
      </c>
      <c r="AK27" s="110">
        <f t="shared" si="14"/>
        <v>77</v>
      </c>
      <c r="AL27" s="81">
        <f t="shared" si="15"/>
        <v>4</v>
      </c>
      <c r="AM27" s="195"/>
      <c r="AN27" s="109"/>
      <c r="AO27" s="54">
        <v>30</v>
      </c>
      <c r="AP27" s="110">
        <f t="shared" si="16"/>
        <v>30</v>
      </c>
      <c r="AQ27" s="81">
        <f t="shared" si="17"/>
        <v>3.5</v>
      </c>
      <c r="AR27" s="195"/>
      <c r="AS27" s="108">
        <f t="shared" si="3"/>
        <v>30</v>
      </c>
      <c r="AT27" s="112">
        <f t="shared" si="4"/>
        <v>4.2857142857142856</v>
      </c>
      <c r="AU27" s="113">
        <f t="shared" si="5"/>
        <v>583</v>
      </c>
      <c r="AV27" s="108"/>
      <c r="AW27" s="108"/>
      <c r="AX27" s="99" t="str">
        <f t="shared" si="6"/>
        <v>BETTER</v>
      </c>
    </row>
    <row r="28" spans="1:50" ht="15.75">
      <c r="A28" s="53">
        <v>21</v>
      </c>
      <c r="B28" s="88">
        <v>40</v>
      </c>
      <c r="C28" s="85" t="s">
        <v>155</v>
      </c>
      <c r="D28" s="85" t="s">
        <v>156</v>
      </c>
      <c r="E28" s="85" t="s">
        <v>157</v>
      </c>
      <c r="F28" s="108">
        <v>20</v>
      </c>
      <c r="G28" s="108">
        <v>72</v>
      </c>
      <c r="H28" s="109">
        <v>7</v>
      </c>
      <c r="I28" s="109">
        <v>31</v>
      </c>
      <c r="J28" s="110">
        <f t="shared" si="7"/>
        <v>130</v>
      </c>
      <c r="K28" s="111">
        <f t="shared" si="0"/>
        <v>5</v>
      </c>
      <c r="L28" s="195"/>
      <c r="M28" s="108">
        <v>19</v>
      </c>
      <c r="N28" s="109">
        <v>53</v>
      </c>
      <c r="O28" s="109">
        <v>9</v>
      </c>
      <c r="P28" s="109">
        <v>27</v>
      </c>
      <c r="Q28" s="110">
        <f t="shared" si="8"/>
        <v>108</v>
      </c>
      <c r="R28" s="111">
        <f t="shared" si="1"/>
        <v>4</v>
      </c>
      <c r="S28" s="195"/>
      <c r="T28" s="108">
        <v>12</v>
      </c>
      <c r="U28" s="108">
        <v>32</v>
      </c>
      <c r="V28" s="110">
        <f t="shared" si="9"/>
        <v>44</v>
      </c>
      <c r="W28" s="81">
        <f t="shared" si="10"/>
        <v>2</v>
      </c>
      <c r="X28" s="195"/>
      <c r="Y28" s="108">
        <v>20</v>
      </c>
      <c r="Z28" s="109">
        <v>77</v>
      </c>
      <c r="AA28" s="110">
        <f t="shared" si="18"/>
        <v>97</v>
      </c>
      <c r="AB28" s="81">
        <f t="shared" si="11"/>
        <v>5</v>
      </c>
      <c r="AC28" s="195"/>
      <c r="AD28" s="108">
        <v>17</v>
      </c>
      <c r="AE28" s="109">
        <v>67</v>
      </c>
      <c r="AF28" s="110">
        <f t="shared" si="12"/>
        <v>84</v>
      </c>
      <c r="AG28" s="81">
        <f t="shared" si="13"/>
        <v>5</v>
      </c>
      <c r="AH28" s="195"/>
      <c r="AI28" s="108">
        <v>20</v>
      </c>
      <c r="AJ28" s="109">
        <v>66</v>
      </c>
      <c r="AK28" s="110">
        <f t="shared" si="14"/>
        <v>86</v>
      </c>
      <c r="AL28" s="81">
        <f t="shared" si="15"/>
        <v>5</v>
      </c>
      <c r="AM28" s="195"/>
      <c r="AN28" s="109"/>
      <c r="AO28" s="54">
        <v>49</v>
      </c>
      <c r="AP28" s="110">
        <f t="shared" si="16"/>
        <v>49</v>
      </c>
      <c r="AQ28" s="81">
        <f t="shared" si="17"/>
        <v>5</v>
      </c>
      <c r="AR28" s="195"/>
      <c r="AS28" s="108">
        <f t="shared" si="3"/>
        <v>31</v>
      </c>
      <c r="AT28" s="112">
        <f t="shared" si="4"/>
        <v>4.4285714285714288</v>
      </c>
      <c r="AU28" s="113">
        <f t="shared" si="5"/>
        <v>598</v>
      </c>
      <c r="AV28" s="108"/>
      <c r="AW28" s="108"/>
      <c r="AX28" s="99" t="str">
        <f t="shared" si="6"/>
        <v>BETTER</v>
      </c>
    </row>
    <row r="29" spans="1:50" ht="15.75">
      <c r="A29" s="53">
        <v>22</v>
      </c>
      <c r="B29" s="89">
        <v>51</v>
      </c>
      <c r="C29" s="85" t="s">
        <v>158</v>
      </c>
      <c r="D29" s="85" t="s">
        <v>159</v>
      </c>
      <c r="E29" s="85" t="s">
        <v>160</v>
      </c>
      <c r="F29" s="108">
        <v>19</v>
      </c>
      <c r="G29" s="108">
        <v>68</v>
      </c>
      <c r="H29" s="109">
        <v>10</v>
      </c>
      <c r="I29" s="109">
        <v>32</v>
      </c>
      <c r="J29" s="110">
        <f t="shared" si="7"/>
        <v>129</v>
      </c>
      <c r="K29" s="111">
        <f t="shared" si="0"/>
        <v>5</v>
      </c>
      <c r="L29" s="195"/>
      <c r="M29" s="108">
        <v>19</v>
      </c>
      <c r="N29" s="109">
        <v>66</v>
      </c>
      <c r="O29" s="109">
        <v>10</v>
      </c>
      <c r="P29" s="109">
        <v>34</v>
      </c>
      <c r="Q29" s="110">
        <f t="shared" si="8"/>
        <v>129</v>
      </c>
      <c r="R29" s="111">
        <f t="shared" si="1"/>
        <v>5</v>
      </c>
      <c r="S29" s="195"/>
      <c r="T29" s="108">
        <v>10</v>
      </c>
      <c r="U29" s="108">
        <v>71</v>
      </c>
      <c r="V29" s="110">
        <f t="shared" si="9"/>
        <v>81</v>
      </c>
      <c r="W29" s="81">
        <f t="shared" si="10"/>
        <v>5</v>
      </c>
      <c r="X29" s="195"/>
      <c r="Y29" s="108">
        <v>17</v>
      </c>
      <c r="Z29" s="109">
        <v>64</v>
      </c>
      <c r="AA29" s="110">
        <f t="shared" si="18"/>
        <v>81</v>
      </c>
      <c r="AB29" s="81">
        <f t="shared" si="11"/>
        <v>5</v>
      </c>
      <c r="AC29" s="195"/>
      <c r="AD29" s="108">
        <v>14</v>
      </c>
      <c r="AE29" s="109">
        <v>52</v>
      </c>
      <c r="AF29" s="110">
        <f t="shared" si="12"/>
        <v>66</v>
      </c>
      <c r="AG29" s="81">
        <f t="shared" si="13"/>
        <v>3.5</v>
      </c>
      <c r="AH29" s="195"/>
      <c r="AI29" s="108">
        <v>18</v>
      </c>
      <c r="AJ29" s="109">
        <v>68</v>
      </c>
      <c r="AK29" s="110">
        <f t="shared" si="14"/>
        <v>86</v>
      </c>
      <c r="AL29" s="81">
        <f t="shared" si="15"/>
        <v>5</v>
      </c>
      <c r="AM29" s="195"/>
      <c r="AN29" s="109"/>
      <c r="AO29" s="54">
        <v>41</v>
      </c>
      <c r="AP29" s="110">
        <f t="shared" si="16"/>
        <v>41</v>
      </c>
      <c r="AQ29" s="81">
        <f t="shared" si="17"/>
        <v>5</v>
      </c>
      <c r="AR29" s="195"/>
      <c r="AS29" s="108">
        <f t="shared" si="3"/>
        <v>33.5</v>
      </c>
      <c r="AT29" s="112">
        <f t="shared" si="4"/>
        <v>4.7857142857142856</v>
      </c>
      <c r="AU29" s="113">
        <f t="shared" si="5"/>
        <v>613</v>
      </c>
      <c r="AV29" s="108"/>
      <c r="AW29" s="108"/>
      <c r="AX29" s="99" t="str">
        <f t="shared" si="6"/>
        <v>BETTER</v>
      </c>
    </row>
    <row r="30" spans="1:50" ht="15.75">
      <c r="A30" s="53">
        <v>23</v>
      </c>
      <c r="B30" s="89">
        <v>52</v>
      </c>
      <c r="C30" s="85" t="s">
        <v>161</v>
      </c>
      <c r="D30" s="85" t="s">
        <v>162</v>
      </c>
      <c r="E30" s="85" t="s">
        <v>163</v>
      </c>
      <c r="F30" s="108">
        <v>20</v>
      </c>
      <c r="G30" s="108">
        <v>76</v>
      </c>
      <c r="H30" s="109">
        <v>8</v>
      </c>
      <c r="I30" s="109">
        <v>38</v>
      </c>
      <c r="J30" s="110">
        <f t="shared" si="7"/>
        <v>142</v>
      </c>
      <c r="K30" s="111">
        <f t="shared" si="0"/>
        <v>5</v>
      </c>
      <c r="L30" s="195"/>
      <c r="M30" s="108">
        <v>19</v>
      </c>
      <c r="N30" s="109">
        <v>66</v>
      </c>
      <c r="O30" s="109">
        <v>9</v>
      </c>
      <c r="P30" s="109">
        <v>26</v>
      </c>
      <c r="Q30" s="110">
        <f t="shared" si="8"/>
        <v>120</v>
      </c>
      <c r="R30" s="111">
        <f t="shared" si="1"/>
        <v>5</v>
      </c>
      <c r="S30" s="195"/>
      <c r="T30" s="108">
        <v>14</v>
      </c>
      <c r="U30" s="108">
        <v>46</v>
      </c>
      <c r="V30" s="110">
        <f t="shared" si="9"/>
        <v>60</v>
      </c>
      <c r="W30" s="81">
        <f t="shared" si="10"/>
        <v>3.5</v>
      </c>
      <c r="X30" s="195"/>
      <c r="Y30" s="108">
        <v>20</v>
      </c>
      <c r="Z30" s="109">
        <v>80</v>
      </c>
      <c r="AA30" s="110">
        <f t="shared" si="18"/>
        <v>100</v>
      </c>
      <c r="AB30" s="81">
        <f t="shared" si="11"/>
        <v>5</v>
      </c>
      <c r="AC30" s="195"/>
      <c r="AD30" s="108">
        <v>17</v>
      </c>
      <c r="AE30" s="109">
        <v>66</v>
      </c>
      <c r="AF30" s="110">
        <f t="shared" si="12"/>
        <v>83</v>
      </c>
      <c r="AG30" s="81">
        <f t="shared" si="13"/>
        <v>5</v>
      </c>
      <c r="AH30" s="195"/>
      <c r="AI30" s="108">
        <v>19</v>
      </c>
      <c r="AJ30" s="109">
        <v>74</v>
      </c>
      <c r="AK30" s="110">
        <f t="shared" si="14"/>
        <v>93</v>
      </c>
      <c r="AL30" s="81">
        <f t="shared" si="15"/>
        <v>5</v>
      </c>
      <c r="AM30" s="195"/>
      <c r="AN30" s="109"/>
      <c r="AO30" s="54">
        <v>50</v>
      </c>
      <c r="AP30" s="110">
        <f t="shared" si="16"/>
        <v>50</v>
      </c>
      <c r="AQ30" s="81">
        <f t="shared" si="17"/>
        <v>5</v>
      </c>
      <c r="AR30" s="195"/>
      <c r="AS30" s="108">
        <f t="shared" si="3"/>
        <v>33.5</v>
      </c>
      <c r="AT30" s="112">
        <f t="shared" si="4"/>
        <v>4.7857142857142856</v>
      </c>
      <c r="AU30" s="113">
        <f t="shared" si="5"/>
        <v>648</v>
      </c>
      <c r="AV30" s="108"/>
      <c r="AW30" s="108"/>
      <c r="AX30" s="99" t="str">
        <f t="shared" si="6"/>
        <v>BETTER</v>
      </c>
    </row>
    <row r="31" spans="1:50" ht="15.75">
      <c r="A31" s="53">
        <v>24</v>
      </c>
      <c r="B31" s="89">
        <v>54</v>
      </c>
      <c r="C31" s="85" t="s">
        <v>164</v>
      </c>
      <c r="D31" s="85" t="s">
        <v>165</v>
      </c>
      <c r="E31" s="85" t="s">
        <v>166</v>
      </c>
      <c r="F31" s="108">
        <v>20</v>
      </c>
      <c r="G31" s="108">
        <v>68</v>
      </c>
      <c r="H31" s="109">
        <v>7</v>
      </c>
      <c r="I31" s="109">
        <v>24</v>
      </c>
      <c r="J31" s="110">
        <f t="shared" si="7"/>
        <v>119</v>
      </c>
      <c r="K31" s="111">
        <f t="shared" si="0"/>
        <v>4</v>
      </c>
      <c r="L31" s="195"/>
      <c r="M31" s="108">
        <v>14</v>
      </c>
      <c r="N31" s="109">
        <v>63</v>
      </c>
      <c r="O31" s="109">
        <v>9</v>
      </c>
      <c r="P31" s="109">
        <v>19</v>
      </c>
      <c r="Q31" s="110">
        <f t="shared" si="8"/>
        <v>105</v>
      </c>
      <c r="R31" s="111">
        <f t="shared" si="1"/>
        <v>4</v>
      </c>
      <c r="S31" s="195"/>
      <c r="T31" s="108">
        <v>8</v>
      </c>
      <c r="U31" s="108">
        <v>40</v>
      </c>
      <c r="V31" s="110">
        <f t="shared" si="9"/>
        <v>48</v>
      </c>
      <c r="W31" s="81">
        <f t="shared" si="10"/>
        <v>2</v>
      </c>
      <c r="X31" s="195"/>
      <c r="Y31" s="108">
        <v>19</v>
      </c>
      <c r="Z31" s="109">
        <v>74</v>
      </c>
      <c r="AA31" s="110">
        <f t="shared" si="18"/>
        <v>93</v>
      </c>
      <c r="AB31" s="81">
        <f t="shared" si="11"/>
        <v>5</v>
      </c>
      <c r="AC31" s="195"/>
      <c r="AD31" s="108">
        <v>16</v>
      </c>
      <c r="AE31" s="109">
        <v>71</v>
      </c>
      <c r="AF31" s="110">
        <f t="shared" si="12"/>
        <v>87</v>
      </c>
      <c r="AG31" s="81">
        <f t="shared" si="13"/>
        <v>5</v>
      </c>
      <c r="AH31" s="195"/>
      <c r="AI31" s="108">
        <v>14</v>
      </c>
      <c r="AJ31" s="109">
        <v>71</v>
      </c>
      <c r="AK31" s="110">
        <f t="shared" si="14"/>
        <v>85</v>
      </c>
      <c r="AL31" s="81">
        <f t="shared" si="15"/>
        <v>5</v>
      </c>
      <c r="AM31" s="195"/>
      <c r="AN31" s="109"/>
      <c r="AO31" s="54">
        <v>50</v>
      </c>
      <c r="AP31" s="110">
        <f t="shared" si="16"/>
        <v>50</v>
      </c>
      <c r="AQ31" s="81">
        <f t="shared" si="17"/>
        <v>5</v>
      </c>
      <c r="AR31" s="195"/>
      <c r="AS31" s="108">
        <f t="shared" si="3"/>
        <v>30</v>
      </c>
      <c r="AT31" s="112">
        <f t="shared" si="4"/>
        <v>4.2857142857142856</v>
      </c>
      <c r="AU31" s="113">
        <f t="shared" si="5"/>
        <v>587</v>
      </c>
      <c r="AV31" s="108"/>
      <c r="AW31" s="108"/>
      <c r="AX31" s="99" t="str">
        <f t="shared" si="6"/>
        <v>BETTER</v>
      </c>
    </row>
    <row r="32" spans="1:50" ht="15.75">
      <c r="A32" s="53">
        <v>25</v>
      </c>
      <c r="B32" s="89">
        <v>57</v>
      </c>
      <c r="C32" s="85" t="s">
        <v>167</v>
      </c>
      <c r="D32" s="85" t="s">
        <v>168</v>
      </c>
      <c r="E32" s="85" t="s">
        <v>169</v>
      </c>
      <c r="F32" s="108">
        <v>20</v>
      </c>
      <c r="G32" s="108">
        <v>69</v>
      </c>
      <c r="H32" s="109">
        <v>8</v>
      </c>
      <c r="I32" s="109">
        <v>33</v>
      </c>
      <c r="J32" s="110">
        <f t="shared" si="7"/>
        <v>130</v>
      </c>
      <c r="K32" s="111">
        <f t="shared" si="0"/>
        <v>5</v>
      </c>
      <c r="L32" s="195"/>
      <c r="M32" s="108">
        <v>19</v>
      </c>
      <c r="N32" s="109">
        <v>55</v>
      </c>
      <c r="O32" s="109">
        <v>8</v>
      </c>
      <c r="P32" s="109">
        <v>27</v>
      </c>
      <c r="Q32" s="110">
        <f t="shared" si="8"/>
        <v>109</v>
      </c>
      <c r="R32" s="111">
        <f t="shared" si="1"/>
        <v>4</v>
      </c>
      <c r="S32" s="195"/>
      <c r="T32" s="108">
        <v>17</v>
      </c>
      <c r="U32" s="108">
        <v>52</v>
      </c>
      <c r="V32" s="110">
        <f t="shared" si="9"/>
        <v>69</v>
      </c>
      <c r="W32" s="81">
        <f t="shared" si="10"/>
        <v>3.5</v>
      </c>
      <c r="X32" s="195"/>
      <c r="Y32" s="108">
        <v>15</v>
      </c>
      <c r="Z32" s="109">
        <v>76</v>
      </c>
      <c r="AA32" s="110">
        <f t="shared" si="18"/>
        <v>91</v>
      </c>
      <c r="AB32" s="81">
        <f t="shared" si="11"/>
        <v>5</v>
      </c>
      <c r="AC32" s="195"/>
      <c r="AD32" s="108">
        <v>16</v>
      </c>
      <c r="AE32" s="109">
        <v>64</v>
      </c>
      <c r="AF32" s="110">
        <f t="shared" si="12"/>
        <v>80</v>
      </c>
      <c r="AG32" s="81">
        <f t="shared" si="13"/>
        <v>5</v>
      </c>
      <c r="AH32" s="195"/>
      <c r="AI32" s="108">
        <v>18</v>
      </c>
      <c r="AJ32" s="109">
        <v>70</v>
      </c>
      <c r="AK32" s="110">
        <f t="shared" si="14"/>
        <v>88</v>
      </c>
      <c r="AL32" s="81">
        <f t="shared" si="15"/>
        <v>5</v>
      </c>
      <c r="AM32" s="195"/>
      <c r="AN32" s="109"/>
      <c r="AO32" s="54">
        <v>41</v>
      </c>
      <c r="AP32" s="110">
        <f t="shared" si="16"/>
        <v>41</v>
      </c>
      <c r="AQ32" s="81">
        <f t="shared" si="17"/>
        <v>5</v>
      </c>
      <c r="AR32" s="195"/>
      <c r="AS32" s="108">
        <f t="shared" si="3"/>
        <v>32.5</v>
      </c>
      <c r="AT32" s="112">
        <f t="shared" si="4"/>
        <v>4.6428571428571432</v>
      </c>
      <c r="AU32" s="113">
        <f t="shared" si="5"/>
        <v>608</v>
      </c>
      <c r="AV32" s="108"/>
      <c r="AW32" s="108"/>
      <c r="AX32" s="99" t="str">
        <f t="shared" si="6"/>
        <v>BETTER</v>
      </c>
    </row>
    <row r="33" spans="1:50" ht="15.75">
      <c r="A33" s="53">
        <v>26</v>
      </c>
      <c r="B33" s="89">
        <v>61</v>
      </c>
      <c r="C33" s="85" t="s">
        <v>170</v>
      </c>
      <c r="D33" s="85" t="s">
        <v>171</v>
      </c>
      <c r="E33" s="85" t="s">
        <v>172</v>
      </c>
      <c r="F33" s="108">
        <v>19</v>
      </c>
      <c r="G33" s="108">
        <v>69</v>
      </c>
      <c r="H33" s="109">
        <v>10</v>
      </c>
      <c r="I33" s="109">
        <v>29</v>
      </c>
      <c r="J33" s="110">
        <f t="shared" si="7"/>
        <v>127</v>
      </c>
      <c r="K33" s="111">
        <f t="shared" si="0"/>
        <v>5</v>
      </c>
      <c r="L33" s="195"/>
      <c r="M33" s="108">
        <v>20</v>
      </c>
      <c r="N33" s="109">
        <v>50</v>
      </c>
      <c r="O33" s="109">
        <v>9</v>
      </c>
      <c r="P33" s="109">
        <v>35</v>
      </c>
      <c r="Q33" s="110">
        <f t="shared" si="8"/>
        <v>114</v>
      </c>
      <c r="R33" s="111">
        <f t="shared" si="1"/>
        <v>4</v>
      </c>
      <c r="S33" s="195"/>
      <c r="T33" s="108">
        <v>17</v>
      </c>
      <c r="U33" s="108">
        <v>56</v>
      </c>
      <c r="V33" s="110">
        <f t="shared" si="9"/>
        <v>73</v>
      </c>
      <c r="W33" s="81">
        <f t="shared" si="10"/>
        <v>4</v>
      </c>
      <c r="X33" s="195"/>
      <c r="Y33" s="108">
        <v>14</v>
      </c>
      <c r="Z33" s="109">
        <v>66</v>
      </c>
      <c r="AA33" s="110">
        <f t="shared" si="18"/>
        <v>80</v>
      </c>
      <c r="AB33" s="81">
        <f t="shared" si="11"/>
        <v>5</v>
      </c>
      <c r="AC33" s="195"/>
      <c r="AD33" s="108">
        <v>16</v>
      </c>
      <c r="AE33" s="109">
        <v>72</v>
      </c>
      <c r="AF33" s="110">
        <f t="shared" si="12"/>
        <v>88</v>
      </c>
      <c r="AG33" s="81">
        <f t="shared" si="13"/>
        <v>5</v>
      </c>
      <c r="AH33" s="195"/>
      <c r="AI33" s="108">
        <v>20</v>
      </c>
      <c r="AJ33" s="109">
        <v>75</v>
      </c>
      <c r="AK33" s="110">
        <f t="shared" si="14"/>
        <v>95</v>
      </c>
      <c r="AL33" s="81">
        <f t="shared" si="15"/>
        <v>5</v>
      </c>
      <c r="AM33" s="195"/>
      <c r="AN33" s="109"/>
      <c r="AO33" s="54">
        <v>23</v>
      </c>
      <c r="AP33" s="110">
        <f t="shared" si="16"/>
        <v>23</v>
      </c>
      <c r="AQ33" s="81">
        <f t="shared" si="17"/>
        <v>2</v>
      </c>
      <c r="AR33" s="195"/>
      <c r="AS33" s="108">
        <f t="shared" si="3"/>
        <v>30</v>
      </c>
      <c r="AT33" s="112">
        <f t="shared" si="4"/>
        <v>4.2857142857142856</v>
      </c>
      <c r="AU33" s="113">
        <f t="shared" si="5"/>
        <v>600</v>
      </c>
      <c r="AV33" s="108"/>
      <c r="AW33" s="108"/>
      <c r="AX33" s="99" t="str">
        <f t="shared" si="6"/>
        <v>BETTER</v>
      </c>
    </row>
    <row r="34" spans="1:50" ht="15.75">
      <c r="A34" s="53">
        <v>27</v>
      </c>
      <c r="B34" s="89">
        <v>62</v>
      </c>
      <c r="C34" s="85" t="s">
        <v>173</v>
      </c>
      <c r="D34" s="85" t="s">
        <v>174</v>
      </c>
      <c r="E34" s="85" t="s">
        <v>175</v>
      </c>
      <c r="F34" s="108">
        <v>20</v>
      </c>
      <c r="G34" s="108">
        <v>76</v>
      </c>
      <c r="H34" s="109">
        <v>10</v>
      </c>
      <c r="I34" s="109">
        <v>38</v>
      </c>
      <c r="J34" s="110">
        <f t="shared" si="7"/>
        <v>144</v>
      </c>
      <c r="K34" s="111">
        <f t="shared" si="0"/>
        <v>5</v>
      </c>
      <c r="L34" s="195"/>
      <c r="M34" s="108">
        <v>18</v>
      </c>
      <c r="N34" s="109">
        <v>63</v>
      </c>
      <c r="O34" s="109">
        <v>9</v>
      </c>
      <c r="P34" s="109">
        <v>28</v>
      </c>
      <c r="Q34" s="110">
        <f t="shared" si="8"/>
        <v>118</v>
      </c>
      <c r="R34" s="111">
        <f t="shared" si="1"/>
        <v>4</v>
      </c>
      <c r="S34" s="195"/>
      <c r="T34" s="108">
        <v>18</v>
      </c>
      <c r="U34" s="108">
        <v>45</v>
      </c>
      <c r="V34" s="110">
        <f t="shared" si="9"/>
        <v>63</v>
      </c>
      <c r="W34" s="81">
        <f t="shared" si="10"/>
        <v>3.5</v>
      </c>
      <c r="X34" s="195"/>
      <c r="Y34" s="108">
        <v>18</v>
      </c>
      <c r="Z34" s="109">
        <v>77</v>
      </c>
      <c r="AA34" s="110">
        <f t="shared" si="18"/>
        <v>95</v>
      </c>
      <c r="AB34" s="81">
        <f t="shared" si="11"/>
        <v>5</v>
      </c>
      <c r="AC34" s="195"/>
      <c r="AD34" s="108">
        <v>19</v>
      </c>
      <c r="AE34" s="109">
        <v>66</v>
      </c>
      <c r="AF34" s="110">
        <f t="shared" si="12"/>
        <v>85</v>
      </c>
      <c r="AG34" s="81">
        <f t="shared" si="13"/>
        <v>5</v>
      </c>
      <c r="AH34" s="195"/>
      <c r="AI34" s="108">
        <v>20</v>
      </c>
      <c r="AJ34" s="109">
        <v>74</v>
      </c>
      <c r="AK34" s="110">
        <f t="shared" si="14"/>
        <v>94</v>
      </c>
      <c r="AL34" s="81">
        <f t="shared" si="15"/>
        <v>5</v>
      </c>
      <c r="AM34" s="195"/>
      <c r="AN34" s="109"/>
      <c r="AO34" s="54">
        <v>49</v>
      </c>
      <c r="AP34" s="110">
        <f t="shared" si="16"/>
        <v>49</v>
      </c>
      <c r="AQ34" s="81">
        <f t="shared" si="17"/>
        <v>5</v>
      </c>
      <c r="AR34" s="195"/>
      <c r="AS34" s="108">
        <f t="shared" si="3"/>
        <v>32.5</v>
      </c>
      <c r="AT34" s="112">
        <f t="shared" si="4"/>
        <v>4.6428571428571432</v>
      </c>
      <c r="AU34" s="113">
        <f t="shared" si="5"/>
        <v>648</v>
      </c>
      <c r="AV34" s="108"/>
      <c r="AW34" s="108"/>
      <c r="AX34" s="99" t="str">
        <f t="shared" si="6"/>
        <v>BETTER</v>
      </c>
    </row>
    <row r="35" spans="1:50" ht="15.75">
      <c r="A35" s="53">
        <v>28</v>
      </c>
      <c r="B35" s="89">
        <v>64</v>
      </c>
      <c r="C35" s="85" t="s">
        <v>176</v>
      </c>
      <c r="D35" s="85" t="s">
        <v>177</v>
      </c>
      <c r="E35" s="85" t="s">
        <v>178</v>
      </c>
      <c r="F35" s="108">
        <v>20</v>
      </c>
      <c r="G35" s="108">
        <v>76</v>
      </c>
      <c r="H35" s="109">
        <v>10</v>
      </c>
      <c r="I35" s="109">
        <v>38</v>
      </c>
      <c r="J35" s="110">
        <f t="shared" si="7"/>
        <v>144</v>
      </c>
      <c r="K35" s="111">
        <f t="shared" si="0"/>
        <v>5</v>
      </c>
      <c r="L35" s="195"/>
      <c r="M35" s="108">
        <v>19</v>
      </c>
      <c r="N35" s="109">
        <v>62</v>
      </c>
      <c r="O35" s="109">
        <v>10</v>
      </c>
      <c r="P35" s="109">
        <v>38</v>
      </c>
      <c r="Q35" s="110">
        <f t="shared" si="8"/>
        <v>129</v>
      </c>
      <c r="R35" s="111">
        <f t="shared" si="1"/>
        <v>5</v>
      </c>
      <c r="S35" s="195"/>
      <c r="T35" s="108">
        <v>19</v>
      </c>
      <c r="U35" s="108">
        <v>60</v>
      </c>
      <c r="V35" s="110">
        <f t="shared" si="9"/>
        <v>79</v>
      </c>
      <c r="W35" s="81">
        <f t="shared" si="10"/>
        <v>4</v>
      </c>
      <c r="X35" s="195"/>
      <c r="Y35" s="108">
        <v>19</v>
      </c>
      <c r="Z35" s="109">
        <v>80</v>
      </c>
      <c r="AA35" s="110">
        <f t="shared" si="18"/>
        <v>99</v>
      </c>
      <c r="AB35" s="81">
        <f t="shared" si="11"/>
        <v>5</v>
      </c>
      <c r="AC35" s="195"/>
      <c r="AD35" s="108">
        <v>19</v>
      </c>
      <c r="AE35" s="109">
        <v>63</v>
      </c>
      <c r="AF35" s="110">
        <f t="shared" si="12"/>
        <v>82</v>
      </c>
      <c r="AG35" s="81">
        <f t="shared" si="13"/>
        <v>5</v>
      </c>
      <c r="AH35" s="195"/>
      <c r="AI35" s="108">
        <v>19</v>
      </c>
      <c r="AJ35" s="109">
        <v>69</v>
      </c>
      <c r="AK35" s="110">
        <f t="shared" si="14"/>
        <v>88</v>
      </c>
      <c r="AL35" s="81">
        <f t="shared" si="15"/>
        <v>5</v>
      </c>
      <c r="AM35" s="195"/>
      <c r="AN35" s="109"/>
      <c r="AO35" s="54">
        <v>50</v>
      </c>
      <c r="AP35" s="110">
        <f t="shared" si="16"/>
        <v>50</v>
      </c>
      <c r="AQ35" s="81">
        <f t="shared" si="17"/>
        <v>5</v>
      </c>
      <c r="AR35" s="195"/>
      <c r="AS35" s="108">
        <f t="shared" si="3"/>
        <v>34</v>
      </c>
      <c r="AT35" s="112">
        <f t="shared" si="4"/>
        <v>4.8571428571428568</v>
      </c>
      <c r="AU35" s="113">
        <f t="shared" si="5"/>
        <v>671</v>
      </c>
      <c r="AV35" s="108"/>
      <c r="AW35" s="108"/>
      <c r="AX35" s="99" t="str">
        <f t="shared" si="6"/>
        <v>BETTER</v>
      </c>
    </row>
    <row r="36" spans="1:50" ht="15.75">
      <c r="A36" s="53">
        <v>29</v>
      </c>
      <c r="B36" s="89">
        <v>65</v>
      </c>
      <c r="C36" s="85" t="s">
        <v>179</v>
      </c>
      <c r="D36" s="85" t="s">
        <v>180</v>
      </c>
      <c r="E36" s="85" t="s">
        <v>181</v>
      </c>
      <c r="F36" s="108">
        <v>20</v>
      </c>
      <c r="G36" s="108">
        <v>72</v>
      </c>
      <c r="H36" s="109">
        <v>10</v>
      </c>
      <c r="I36" s="109">
        <v>30</v>
      </c>
      <c r="J36" s="110">
        <f t="shared" si="7"/>
        <v>132</v>
      </c>
      <c r="K36" s="111">
        <f t="shared" si="0"/>
        <v>5</v>
      </c>
      <c r="L36" s="195"/>
      <c r="M36" s="108">
        <v>20</v>
      </c>
      <c r="N36" s="109">
        <v>64</v>
      </c>
      <c r="O36" s="109">
        <v>9</v>
      </c>
      <c r="P36" s="109">
        <v>33</v>
      </c>
      <c r="Q36" s="110">
        <f t="shared" si="8"/>
        <v>126</v>
      </c>
      <c r="R36" s="111">
        <f t="shared" si="1"/>
        <v>5</v>
      </c>
      <c r="S36" s="195"/>
      <c r="T36" s="108">
        <v>16</v>
      </c>
      <c r="U36" s="108">
        <v>54</v>
      </c>
      <c r="V36" s="110">
        <f t="shared" si="9"/>
        <v>70</v>
      </c>
      <c r="W36" s="81">
        <f t="shared" si="10"/>
        <v>4</v>
      </c>
      <c r="X36" s="195"/>
      <c r="Y36" s="108">
        <v>20</v>
      </c>
      <c r="Z36" s="109">
        <v>70</v>
      </c>
      <c r="AA36" s="110">
        <f t="shared" si="18"/>
        <v>90</v>
      </c>
      <c r="AB36" s="81">
        <f t="shared" si="11"/>
        <v>5</v>
      </c>
      <c r="AC36" s="195"/>
      <c r="AD36" s="108">
        <v>13</v>
      </c>
      <c r="AE36" s="109">
        <v>66</v>
      </c>
      <c r="AF36" s="110">
        <f t="shared" si="12"/>
        <v>79</v>
      </c>
      <c r="AG36" s="81">
        <f t="shared" si="13"/>
        <v>4</v>
      </c>
      <c r="AH36" s="195"/>
      <c r="AI36" s="108">
        <v>20</v>
      </c>
      <c r="AJ36" s="109">
        <v>69</v>
      </c>
      <c r="AK36" s="110">
        <f t="shared" si="14"/>
        <v>89</v>
      </c>
      <c r="AL36" s="81">
        <f t="shared" si="15"/>
        <v>5</v>
      </c>
      <c r="AM36" s="195"/>
      <c r="AN36" s="109"/>
      <c r="AO36" s="54">
        <v>50</v>
      </c>
      <c r="AP36" s="110">
        <f t="shared" si="16"/>
        <v>50</v>
      </c>
      <c r="AQ36" s="81">
        <f t="shared" si="17"/>
        <v>5</v>
      </c>
      <c r="AR36" s="195"/>
      <c r="AS36" s="108">
        <f t="shared" si="3"/>
        <v>33</v>
      </c>
      <c r="AT36" s="112">
        <f t="shared" si="4"/>
        <v>4.7142857142857144</v>
      </c>
      <c r="AU36" s="113">
        <f t="shared" si="5"/>
        <v>636</v>
      </c>
      <c r="AV36" s="108"/>
      <c r="AW36" s="108"/>
      <c r="AX36" s="99" t="str">
        <f t="shared" si="6"/>
        <v>BETTER</v>
      </c>
    </row>
    <row r="37" spans="1:50" ht="15.75">
      <c r="A37" s="53">
        <v>30</v>
      </c>
      <c r="B37" s="89">
        <v>75</v>
      </c>
      <c r="C37" s="85" t="s">
        <v>182</v>
      </c>
      <c r="D37" s="85" t="s">
        <v>183</v>
      </c>
      <c r="E37" s="85" t="s">
        <v>184</v>
      </c>
      <c r="F37" s="108">
        <v>19</v>
      </c>
      <c r="G37" s="108">
        <v>69</v>
      </c>
      <c r="H37" s="109">
        <v>10</v>
      </c>
      <c r="I37" s="109">
        <v>39</v>
      </c>
      <c r="J37" s="110">
        <f t="shared" si="7"/>
        <v>137</v>
      </c>
      <c r="K37" s="111">
        <f t="shared" si="0"/>
        <v>5</v>
      </c>
      <c r="L37" s="195"/>
      <c r="M37" s="108">
        <v>20</v>
      </c>
      <c r="N37" s="109">
        <v>60</v>
      </c>
      <c r="O37" s="109">
        <v>9</v>
      </c>
      <c r="P37" s="109">
        <v>34</v>
      </c>
      <c r="Q37" s="110">
        <f t="shared" si="8"/>
        <v>123</v>
      </c>
      <c r="R37" s="111">
        <f t="shared" si="1"/>
        <v>5</v>
      </c>
      <c r="S37" s="195"/>
      <c r="T37" s="108">
        <v>10</v>
      </c>
      <c r="U37" s="108">
        <v>63</v>
      </c>
      <c r="V37" s="110">
        <f t="shared" si="9"/>
        <v>73</v>
      </c>
      <c r="W37" s="81">
        <f t="shared" si="10"/>
        <v>4</v>
      </c>
      <c r="X37" s="195"/>
      <c r="Y37" s="108">
        <v>19</v>
      </c>
      <c r="Z37" s="109">
        <v>77</v>
      </c>
      <c r="AA37" s="110">
        <f t="shared" si="18"/>
        <v>96</v>
      </c>
      <c r="AB37" s="81">
        <f t="shared" si="11"/>
        <v>5</v>
      </c>
      <c r="AC37" s="195"/>
      <c r="AD37" s="108">
        <v>17</v>
      </c>
      <c r="AE37" s="109">
        <v>63</v>
      </c>
      <c r="AF37" s="110">
        <f t="shared" si="12"/>
        <v>80</v>
      </c>
      <c r="AG37" s="81">
        <f t="shared" si="13"/>
        <v>5</v>
      </c>
      <c r="AH37" s="195"/>
      <c r="AI37" s="108">
        <v>20</v>
      </c>
      <c r="AJ37" s="109">
        <v>72</v>
      </c>
      <c r="AK37" s="110">
        <f t="shared" si="14"/>
        <v>92</v>
      </c>
      <c r="AL37" s="81">
        <f t="shared" si="15"/>
        <v>5</v>
      </c>
      <c r="AM37" s="195"/>
      <c r="AN37" s="109"/>
      <c r="AO37" s="54">
        <v>26</v>
      </c>
      <c r="AP37" s="110">
        <f t="shared" si="16"/>
        <v>26</v>
      </c>
      <c r="AQ37" s="81">
        <f t="shared" si="17"/>
        <v>3</v>
      </c>
      <c r="AR37" s="195"/>
      <c r="AS37" s="108">
        <f t="shared" si="3"/>
        <v>32</v>
      </c>
      <c r="AT37" s="112">
        <f t="shared" si="4"/>
        <v>4.5714285714285712</v>
      </c>
      <c r="AU37" s="113">
        <f t="shared" si="5"/>
        <v>627</v>
      </c>
      <c r="AV37" s="108"/>
      <c r="AW37" s="108"/>
      <c r="AX37" s="99" t="str">
        <f t="shared" si="6"/>
        <v>BETTER</v>
      </c>
    </row>
    <row r="38" spans="1:50" ht="15.75">
      <c r="A38" s="53">
        <v>31</v>
      </c>
      <c r="B38" s="89">
        <v>76</v>
      </c>
      <c r="C38" s="85" t="s">
        <v>185</v>
      </c>
      <c r="D38" s="85" t="s">
        <v>186</v>
      </c>
      <c r="E38" s="85" t="s">
        <v>187</v>
      </c>
      <c r="F38" s="108">
        <v>19</v>
      </c>
      <c r="G38" s="108">
        <v>73</v>
      </c>
      <c r="H38" s="109">
        <v>10</v>
      </c>
      <c r="I38" s="109">
        <v>39</v>
      </c>
      <c r="J38" s="110">
        <f t="shared" si="7"/>
        <v>141</v>
      </c>
      <c r="K38" s="111">
        <f t="shared" si="0"/>
        <v>5</v>
      </c>
      <c r="L38" s="195"/>
      <c r="M38" s="108">
        <v>19</v>
      </c>
      <c r="N38" s="109">
        <v>76</v>
      </c>
      <c r="O38" s="109">
        <v>10</v>
      </c>
      <c r="P38" s="109">
        <v>38</v>
      </c>
      <c r="Q38" s="110">
        <f t="shared" si="8"/>
        <v>143</v>
      </c>
      <c r="R38" s="111">
        <f t="shared" si="1"/>
        <v>5</v>
      </c>
      <c r="S38" s="195"/>
      <c r="T38" s="108">
        <v>13</v>
      </c>
      <c r="U38" s="108">
        <v>58</v>
      </c>
      <c r="V38" s="110">
        <f t="shared" si="9"/>
        <v>71</v>
      </c>
      <c r="W38" s="81">
        <f t="shared" si="10"/>
        <v>4</v>
      </c>
      <c r="X38" s="195"/>
      <c r="Y38" s="108">
        <v>18</v>
      </c>
      <c r="Z38" s="109">
        <v>73</v>
      </c>
      <c r="AA38" s="110">
        <f t="shared" si="18"/>
        <v>91</v>
      </c>
      <c r="AB38" s="81">
        <f t="shared" si="11"/>
        <v>5</v>
      </c>
      <c r="AC38" s="195"/>
      <c r="AD38" s="108">
        <v>14</v>
      </c>
      <c r="AE38" s="109">
        <v>68</v>
      </c>
      <c r="AF38" s="110">
        <f t="shared" si="12"/>
        <v>82</v>
      </c>
      <c r="AG38" s="81">
        <f t="shared" si="13"/>
        <v>5</v>
      </c>
      <c r="AH38" s="195"/>
      <c r="AI38" s="108">
        <v>18</v>
      </c>
      <c r="AJ38" s="109">
        <v>71</v>
      </c>
      <c r="AK38" s="110">
        <f t="shared" si="14"/>
        <v>89</v>
      </c>
      <c r="AL38" s="81">
        <f t="shared" si="15"/>
        <v>5</v>
      </c>
      <c r="AM38" s="195"/>
      <c r="AN38" s="109"/>
      <c r="AO38" s="54">
        <v>44</v>
      </c>
      <c r="AP38" s="110">
        <f t="shared" si="16"/>
        <v>44</v>
      </c>
      <c r="AQ38" s="81">
        <f t="shared" si="17"/>
        <v>5</v>
      </c>
      <c r="AR38" s="195"/>
      <c r="AS38" s="108">
        <f t="shared" si="3"/>
        <v>34</v>
      </c>
      <c r="AT38" s="112">
        <f t="shared" si="4"/>
        <v>4.8571428571428568</v>
      </c>
      <c r="AU38" s="113">
        <f t="shared" si="5"/>
        <v>661</v>
      </c>
      <c r="AV38" s="108"/>
      <c r="AW38" s="108"/>
      <c r="AX38" s="99" t="str">
        <f t="shared" si="6"/>
        <v>BETTER</v>
      </c>
    </row>
    <row r="39" spans="1:50" ht="15.75">
      <c r="A39" s="53">
        <v>32</v>
      </c>
      <c r="B39" s="89">
        <v>77</v>
      </c>
      <c r="C39" s="85" t="s">
        <v>188</v>
      </c>
      <c r="D39" s="85" t="s">
        <v>189</v>
      </c>
      <c r="E39" s="85" t="s">
        <v>190</v>
      </c>
      <c r="F39" s="108">
        <v>20</v>
      </c>
      <c r="G39" s="108">
        <v>75</v>
      </c>
      <c r="H39" s="109">
        <v>10</v>
      </c>
      <c r="I39" s="109">
        <v>40</v>
      </c>
      <c r="J39" s="110">
        <f t="shared" si="7"/>
        <v>145</v>
      </c>
      <c r="K39" s="111">
        <f t="shared" si="0"/>
        <v>5</v>
      </c>
      <c r="L39" s="195"/>
      <c r="M39" s="108">
        <v>19</v>
      </c>
      <c r="N39" s="109">
        <v>72</v>
      </c>
      <c r="O39" s="109">
        <v>9</v>
      </c>
      <c r="P39" s="109">
        <v>37</v>
      </c>
      <c r="Q39" s="110">
        <f t="shared" si="8"/>
        <v>137</v>
      </c>
      <c r="R39" s="111">
        <f t="shared" si="1"/>
        <v>5</v>
      </c>
      <c r="S39" s="195"/>
      <c r="T39" s="108">
        <v>18</v>
      </c>
      <c r="U39" s="108">
        <v>71</v>
      </c>
      <c r="V39" s="110">
        <f t="shared" si="9"/>
        <v>89</v>
      </c>
      <c r="W39" s="81">
        <f t="shared" si="10"/>
        <v>5</v>
      </c>
      <c r="X39" s="195"/>
      <c r="Y39" s="108">
        <v>20</v>
      </c>
      <c r="Z39" s="109">
        <v>78</v>
      </c>
      <c r="AA39" s="110">
        <f t="shared" si="18"/>
        <v>98</v>
      </c>
      <c r="AB39" s="81">
        <f t="shared" si="11"/>
        <v>5</v>
      </c>
      <c r="AC39" s="195"/>
      <c r="AD39" s="108">
        <v>17</v>
      </c>
      <c r="AE39" s="109">
        <v>75</v>
      </c>
      <c r="AF39" s="110">
        <f t="shared" si="12"/>
        <v>92</v>
      </c>
      <c r="AG39" s="81">
        <f t="shared" si="13"/>
        <v>5</v>
      </c>
      <c r="AH39" s="195"/>
      <c r="AI39" s="108">
        <v>20</v>
      </c>
      <c r="AJ39" s="109">
        <v>77</v>
      </c>
      <c r="AK39" s="110">
        <f t="shared" si="14"/>
        <v>97</v>
      </c>
      <c r="AL39" s="81">
        <f t="shared" si="15"/>
        <v>5</v>
      </c>
      <c r="AM39" s="195"/>
      <c r="AN39" s="109"/>
      <c r="AO39" s="54">
        <v>46</v>
      </c>
      <c r="AP39" s="110">
        <f t="shared" si="16"/>
        <v>46</v>
      </c>
      <c r="AQ39" s="81">
        <f t="shared" si="17"/>
        <v>5</v>
      </c>
      <c r="AR39" s="195"/>
      <c r="AS39" s="108">
        <f t="shared" si="3"/>
        <v>35</v>
      </c>
      <c r="AT39" s="112">
        <f t="shared" si="4"/>
        <v>5</v>
      </c>
      <c r="AU39" s="113">
        <f t="shared" si="5"/>
        <v>704</v>
      </c>
      <c r="AV39" s="108"/>
      <c r="AW39" s="108"/>
      <c r="AX39" s="99" t="str">
        <f t="shared" si="6"/>
        <v>BEST</v>
      </c>
    </row>
    <row r="40" spans="1:50" ht="15.75">
      <c r="A40" s="53">
        <v>33</v>
      </c>
      <c r="B40" s="89">
        <v>79</v>
      </c>
      <c r="C40" s="85" t="s">
        <v>191</v>
      </c>
      <c r="D40" s="86" t="s">
        <v>192</v>
      </c>
      <c r="E40" s="86" t="s">
        <v>193</v>
      </c>
      <c r="F40" s="108">
        <v>20</v>
      </c>
      <c r="G40" s="108">
        <v>76</v>
      </c>
      <c r="H40" s="109">
        <v>10</v>
      </c>
      <c r="I40" s="109">
        <v>40</v>
      </c>
      <c r="J40" s="110">
        <f t="shared" si="7"/>
        <v>146</v>
      </c>
      <c r="K40" s="111">
        <f t="shared" si="0"/>
        <v>5</v>
      </c>
      <c r="L40" s="195"/>
      <c r="M40" s="108">
        <v>20</v>
      </c>
      <c r="N40" s="109">
        <v>75</v>
      </c>
      <c r="O40" s="109">
        <v>10</v>
      </c>
      <c r="P40" s="109">
        <v>38</v>
      </c>
      <c r="Q40" s="110">
        <f t="shared" si="8"/>
        <v>143</v>
      </c>
      <c r="R40" s="111">
        <f t="shared" si="1"/>
        <v>5</v>
      </c>
      <c r="S40" s="195"/>
      <c r="T40" s="108">
        <v>17</v>
      </c>
      <c r="U40" s="108">
        <v>76</v>
      </c>
      <c r="V40" s="110">
        <f t="shared" si="9"/>
        <v>93</v>
      </c>
      <c r="W40" s="81">
        <f t="shared" si="10"/>
        <v>5</v>
      </c>
      <c r="X40" s="195"/>
      <c r="Y40" s="108">
        <v>20</v>
      </c>
      <c r="Z40" s="109">
        <v>80</v>
      </c>
      <c r="AA40" s="110">
        <f t="shared" si="18"/>
        <v>100</v>
      </c>
      <c r="AB40" s="81">
        <f t="shared" si="11"/>
        <v>5</v>
      </c>
      <c r="AC40" s="195"/>
      <c r="AD40" s="108">
        <v>19</v>
      </c>
      <c r="AE40" s="109">
        <v>74</v>
      </c>
      <c r="AF40" s="110">
        <f t="shared" si="12"/>
        <v>93</v>
      </c>
      <c r="AG40" s="81">
        <f t="shared" si="13"/>
        <v>5</v>
      </c>
      <c r="AH40" s="195"/>
      <c r="AI40" s="108">
        <v>20</v>
      </c>
      <c r="AJ40" s="109">
        <v>77</v>
      </c>
      <c r="AK40" s="110">
        <f t="shared" si="14"/>
        <v>97</v>
      </c>
      <c r="AL40" s="81">
        <f t="shared" si="15"/>
        <v>5</v>
      </c>
      <c r="AM40" s="195"/>
      <c r="AN40" s="109"/>
      <c r="AO40" s="54">
        <v>47</v>
      </c>
      <c r="AP40" s="110">
        <f t="shared" si="16"/>
        <v>47</v>
      </c>
      <c r="AQ40" s="81">
        <f t="shared" si="17"/>
        <v>5</v>
      </c>
      <c r="AR40" s="195"/>
      <c r="AS40" s="108">
        <f t="shared" si="3"/>
        <v>35</v>
      </c>
      <c r="AT40" s="112">
        <f t="shared" si="4"/>
        <v>5</v>
      </c>
      <c r="AU40" s="113">
        <f t="shared" si="5"/>
        <v>719</v>
      </c>
      <c r="AV40" s="108"/>
      <c r="AW40" s="108"/>
      <c r="AX40" s="99" t="str">
        <f t="shared" si="6"/>
        <v>BEST</v>
      </c>
    </row>
    <row r="41" spans="1:50" ht="18" customHeight="1">
      <c r="A41" s="53">
        <v>34</v>
      </c>
      <c r="B41" s="89">
        <v>84</v>
      </c>
      <c r="C41" s="86" t="s">
        <v>194</v>
      </c>
      <c r="D41" s="86" t="s">
        <v>195</v>
      </c>
      <c r="E41" s="86" t="s">
        <v>196</v>
      </c>
      <c r="F41" s="108">
        <v>20</v>
      </c>
      <c r="G41" s="108">
        <v>74</v>
      </c>
      <c r="H41" s="109">
        <v>10</v>
      </c>
      <c r="I41" s="109">
        <v>40</v>
      </c>
      <c r="J41" s="110">
        <f t="shared" si="7"/>
        <v>144</v>
      </c>
      <c r="K41" s="111">
        <f t="shared" si="0"/>
        <v>5</v>
      </c>
      <c r="L41" s="195"/>
      <c r="M41" s="108">
        <v>17</v>
      </c>
      <c r="N41" s="109">
        <v>74</v>
      </c>
      <c r="O41" s="109">
        <v>10</v>
      </c>
      <c r="P41" s="109">
        <v>30</v>
      </c>
      <c r="Q41" s="110">
        <f t="shared" si="8"/>
        <v>131</v>
      </c>
      <c r="R41" s="111">
        <f t="shared" si="1"/>
        <v>5</v>
      </c>
      <c r="S41" s="195"/>
      <c r="T41" s="108">
        <v>16</v>
      </c>
      <c r="U41" s="108">
        <v>72</v>
      </c>
      <c r="V41" s="110">
        <f t="shared" si="9"/>
        <v>88</v>
      </c>
      <c r="W41" s="81">
        <f t="shared" si="10"/>
        <v>5</v>
      </c>
      <c r="X41" s="195"/>
      <c r="Y41" s="108">
        <v>16</v>
      </c>
      <c r="Z41" s="109">
        <v>69</v>
      </c>
      <c r="AA41" s="110">
        <f t="shared" si="18"/>
        <v>85</v>
      </c>
      <c r="AB41" s="81">
        <f t="shared" si="11"/>
        <v>5</v>
      </c>
      <c r="AC41" s="195"/>
      <c r="AD41" s="108">
        <v>13</v>
      </c>
      <c r="AE41" s="109">
        <v>73</v>
      </c>
      <c r="AF41" s="110">
        <f t="shared" si="12"/>
        <v>86</v>
      </c>
      <c r="AG41" s="81">
        <f t="shared" si="13"/>
        <v>5</v>
      </c>
      <c r="AH41" s="195"/>
      <c r="AI41" s="108">
        <v>20</v>
      </c>
      <c r="AJ41" s="109">
        <v>78</v>
      </c>
      <c r="AK41" s="110">
        <f t="shared" si="14"/>
        <v>98</v>
      </c>
      <c r="AL41" s="81">
        <f t="shared" si="15"/>
        <v>5</v>
      </c>
      <c r="AM41" s="195"/>
      <c r="AN41" s="109"/>
      <c r="AO41" s="54">
        <v>40</v>
      </c>
      <c r="AP41" s="110">
        <f t="shared" si="16"/>
        <v>40</v>
      </c>
      <c r="AQ41" s="81">
        <f t="shared" si="17"/>
        <v>5</v>
      </c>
      <c r="AR41" s="195"/>
      <c r="AS41" s="108">
        <f t="shared" si="3"/>
        <v>35</v>
      </c>
      <c r="AT41" s="112">
        <f t="shared" si="4"/>
        <v>5</v>
      </c>
      <c r="AU41" s="113">
        <f t="shared" si="5"/>
        <v>672</v>
      </c>
      <c r="AV41" s="108"/>
      <c r="AW41" s="108"/>
      <c r="AX41" s="99" t="str">
        <f t="shared" si="6"/>
        <v>BEST</v>
      </c>
    </row>
    <row r="42" spans="1:50" ht="15.75">
      <c r="A42" s="53">
        <v>35</v>
      </c>
      <c r="B42" s="89">
        <v>85</v>
      </c>
      <c r="C42" s="86" t="s">
        <v>197</v>
      </c>
      <c r="D42" s="86" t="s">
        <v>198</v>
      </c>
      <c r="E42" s="86" t="s">
        <v>199</v>
      </c>
      <c r="F42" s="108">
        <v>20</v>
      </c>
      <c r="G42" s="108">
        <v>75</v>
      </c>
      <c r="H42" s="109">
        <v>6</v>
      </c>
      <c r="I42" s="109">
        <v>39</v>
      </c>
      <c r="J42" s="110">
        <f t="shared" si="7"/>
        <v>140</v>
      </c>
      <c r="K42" s="111">
        <f t="shared" si="0"/>
        <v>5</v>
      </c>
      <c r="L42" s="195"/>
      <c r="M42" s="108">
        <v>20</v>
      </c>
      <c r="N42" s="109">
        <v>60</v>
      </c>
      <c r="O42" s="109">
        <v>10</v>
      </c>
      <c r="P42" s="109">
        <v>38</v>
      </c>
      <c r="Q42" s="110">
        <f t="shared" si="8"/>
        <v>128</v>
      </c>
      <c r="R42" s="111">
        <f t="shared" si="1"/>
        <v>5</v>
      </c>
      <c r="S42" s="195"/>
      <c r="T42" s="108">
        <v>18</v>
      </c>
      <c r="U42" s="108">
        <v>58</v>
      </c>
      <c r="V42" s="110">
        <f t="shared" si="9"/>
        <v>76</v>
      </c>
      <c r="W42" s="81">
        <f t="shared" si="10"/>
        <v>4</v>
      </c>
      <c r="X42" s="195"/>
      <c r="Y42" s="108">
        <v>20</v>
      </c>
      <c r="Z42" s="109">
        <v>70</v>
      </c>
      <c r="AA42" s="110">
        <f t="shared" si="18"/>
        <v>90</v>
      </c>
      <c r="AB42" s="81">
        <f t="shared" si="11"/>
        <v>5</v>
      </c>
      <c r="AC42" s="195"/>
      <c r="AD42" s="108">
        <v>19</v>
      </c>
      <c r="AE42" s="109">
        <v>76</v>
      </c>
      <c r="AF42" s="110">
        <f t="shared" si="12"/>
        <v>95</v>
      </c>
      <c r="AG42" s="81">
        <f t="shared" si="13"/>
        <v>5</v>
      </c>
      <c r="AH42" s="195"/>
      <c r="AI42" s="108">
        <v>19</v>
      </c>
      <c r="AJ42" s="109">
        <v>75</v>
      </c>
      <c r="AK42" s="110">
        <f t="shared" si="14"/>
        <v>94</v>
      </c>
      <c r="AL42" s="81">
        <f t="shared" si="15"/>
        <v>5</v>
      </c>
      <c r="AM42" s="195"/>
      <c r="AN42" s="109"/>
      <c r="AO42" s="54">
        <v>48</v>
      </c>
      <c r="AP42" s="110">
        <f t="shared" si="16"/>
        <v>48</v>
      </c>
      <c r="AQ42" s="81">
        <f t="shared" si="17"/>
        <v>5</v>
      </c>
      <c r="AR42" s="195"/>
      <c r="AS42" s="108">
        <f t="shared" si="3"/>
        <v>34</v>
      </c>
      <c r="AT42" s="112">
        <f t="shared" si="4"/>
        <v>4.8571428571428568</v>
      </c>
      <c r="AU42" s="113">
        <f t="shared" si="5"/>
        <v>671</v>
      </c>
      <c r="AV42" s="108"/>
      <c r="AW42" s="108"/>
      <c r="AX42" s="99" t="str">
        <f t="shared" si="6"/>
        <v>BETTER</v>
      </c>
    </row>
    <row r="43" spans="1:50" s="126" customFormat="1" ht="17.25" customHeight="1">
      <c r="A43" s="128">
        <v>36</v>
      </c>
      <c r="B43" s="92">
        <v>90</v>
      </c>
      <c r="C43" s="93" t="s">
        <v>200</v>
      </c>
      <c r="D43" s="95" t="s">
        <v>201</v>
      </c>
      <c r="E43" s="93" t="s">
        <v>191</v>
      </c>
      <c r="F43" s="117">
        <v>0</v>
      </c>
      <c r="G43" s="117">
        <v>89</v>
      </c>
      <c r="H43" s="117">
        <v>0</v>
      </c>
      <c r="I43" s="117">
        <v>0</v>
      </c>
      <c r="J43" s="121">
        <f t="shared" si="7"/>
        <v>89</v>
      </c>
      <c r="K43" s="119">
        <f t="shared" si="0"/>
        <v>3</v>
      </c>
      <c r="L43" s="195"/>
      <c r="M43" s="117">
        <v>0</v>
      </c>
      <c r="N43" s="117">
        <v>84</v>
      </c>
      <c r="O43" s="117">
        <v>0</v>
      </c>
      <c r="P43" s="117">
        <v>40</v>
      </c>
      <c r="Q43" s="121">
        <f t="shared" si="8"/>
        <v>124</v>
      </c>
      <c r="R43" s="119">
        <f t="shared" si="1"/>
        <v>5</v>
      </c>
      <c r="S43" s="195"/>
      <c r="T43" s="117">
        <v>0</v>
      </c>
      <c r="U43" s="117">
        <v>90</v>
      </c>
      <c r="V43" s="113">
        <f t="shared" si="9"/>
        <v>90</v>
      </c>
      <c r="W43" s="81">
        <f t="shared" si="10"/>
        <v>5</v>
      </c>
      <c r="X43" s="195"/>
      <c r="Y43" s="117">
        <v>0</v>
      </c>
      <c r="Z43" s="117">
        <v>100</v>
      </c>
      <c r="AA43" s="113">
        <f t="shared" si="18"/>
        <v>100</v>
      </c>
      <c r="AB43" s="81">
        <f t="shared" si="11"/>
        <v>5</v>
      </c>
      <c r="AC43" s="195"/>
      <c r="AD43" s="117">
        <v>0</v>
      </c>
      <c r="AE43" s="117">
        <v>96</v>
      </c>
      <c r="AF43" s="113">
        <f t="shared" si="12"/>
        <v>96</v>
      </c>
      <c r="AG43" s="81">
        <f t="shared" si="13"/>
        <v>5</v>
      </c>
      <c r="AH43" s="195"/>
      <c r="AI43" s="117">
        <v>0</v>
      </c>
      <c r="AJ43" s="117">
        <v>91</v>
      </c>
      <c r="AK43" s="113">
        <f t="shared" si="14"/>
        <v>91</v>
      </c>
      <c r="AL43" s="81">
        <f t="shared" si="15"/>
        <v>5</v>
      </c>
      <c r="AM43" s="195"/>
      <c r="AN43" s="117"/>
      <c r="AO43" s="54">
        <v>0</v>
      </c>
      <c r="AP43" s="113">
        <v>47</v>
      </c>
      <c r="AQ43" s="81">
        <f t="shared" si="17"/>
        <v>5</v>
      </c>
      <c r="AR43" s="195"/>
      <c r="AS43" s="117">
        <f t="shared" si="3"/>
        <v>33</v>
      </c>
      <c r="AT43" s="120">
        <f t="shared" si="4"/>
        <v>4.7142857142857144</v>
      </c>
      <c r="AU43" s="121">
        <f t="shared" si="5"/>
        <v>637</v>
      </c>
      <c r="AV43" s="117"/>
      <c r="AW43" s="117"/>
      <c r="AX43" s="122" t="str">
        <f t="shared" si="6"/>
        <v>BETTER</v>
      </c>
    </row>
    <row r="44" spans="1:50" ht="15.75">
      <c r="A44" s="53">
        <v>37</v>
      </c>
      <c r="B44" s="88">
        <v>27</v>
      </c>
      <c r="C44" s="85" t="s">
        <v>203</v>
      </c>
      <c r="D44" s="85" t="s">
        <v>204</v>
      </c>
      <c r="E44" s="85" t="s">
        <v>205</v>
      </c>
      <c r="F44" s="114">
        <v>19</v>
      </c>
      <c r="G44" s="114">
        <v>35</v>
      </c>
      <c r="H44" s="114">
        <v>8</v>
      </c>
      <c r="I44" s="114">
        <v>17</v>
      </c>
      <c r="J44" s="110">
        <f t="shared" si="7"/>
        <v>79</v>
      </c>
      <c r="K44" s="111">
        <f t="shared" si="0"/>
        <v>3</v>
      </c>
      <c r="L44" s="195"/>
      <c r="M44" s="114">
        <v>18</v>
      </c>
      <c r="N44" s="114">
        <v>50</v>
      </c>
      <c r="O44" s="114">
        <v>9</v>
      </c>
      <c r="P44" s="114">
        <v>22</v>
      </c>
      <c r="Q44" s="110">
        <f t="shared" si="8"/>
        <v>99</v>
      </c>
      <c r="R44" s="111">
        <f t="shared" si="1"/>
        <v>3.5</v>
      </c>
      <c r="S44" s="195"/>
      <c r="T44" s="114">
        <v>10</v>
      </c>
      <c r="U44" s="114">
        <v>0</v>
      </c>
      <c r="V44" s="110">
        <f t="shared" si="9"/>
        <v>10</v>
      </c>
      <c r="W44" s="81" t="str">
        <f t="shared" si="10"/>
        <v>F</v>
      </c>
      <c r="X44" s="195"/>
      <c r="Y44" s="114">
        <v>0</v>
      </c>
      <c r="Z44" s="114">
        <v>68</v>
      </c>
      <c r="AA44" s="110">
        <f t="shared" si="18"/>
        <v>68</v>
      </c>
      <c r="AB44" s="81">
        <f t="shared" si="11"/>
        <v>3.5</v>
      </c>
      <c r="AC44" s="195"/>
      <c r="AD44" s="114">
        <v>0</v>
      </c>
      <c r="AE44" s="114">
        <v>24</v>
      </c>
      <c r="AF44" s="110">
        <f t="shared" si="12"/>
        <v>24</v>
      </c>
      <c r="AG44" s="81" t="str">
        <f t="shared" si="13"/>
        <v>F</v>
      </c>
      <c r="AH44" s="195"/>
      <c r="AI44" s="114">
        <v>0</v>
      </c>
      <c r="AJ44" s="114">
        <v>0</v>
      </c>
      <c r="AK44" s="110">
        <f t="shared" si="14"/>
        <v>0</v>
      </c>
      <c r="AL44" s="81" t="str">
        <f t="shared" si="15"/>
        <v>F</v>
      </c>
      <c r="AM44" s="195"/>
      <c r="AN44" s="114"/>
      <c r="AO44" s="114">
        <v>0</v>
      </c>
      <c r="AP44" s="110">
        <f t="shared" si="16"/>
        <v>0</v>
      </c>
      <c r="AQ44" s="81" t="str">
        <f t="shared" si="17"/>
        <v>F</v>
      </c>
      <c r="AR44" s="195"/>
      <c r="AS44" s="108" t="str">
        <f t="shared" si="3"/>
        <v>F</v>
      </c>
      <c r="AT44" s="112" t="str">
        <f t="shared" si="4"/>
        <v>F</v>
      </c>
      <c r="AU44" s="113">
        <f t="shared" si="5"/>
        <v>280</v>
      </c>
      <c r="AV44" s="108"/>
      <c r="AW44" s="108"/>
      <c r="AX44" s="99" t="str">
        <f t="shared" si="6"/>
        <v>NEED TO PROGRESS</v>
      </c>
    </row>
    <row r="45" spans="1:50" ht="15.75">
      <c r="A45" s="53">
        <v>38</v>
      </c>
      <c r="B45" s="88">
        <v>28</v>
      </c>
      <c r="C45" s="85" t="s">
        <v>206</v>
      </c>
      <c r="D45" s="85" t="s">
        <v>207</v>
      </c>
      <c r="E45" s="85" t="s">
        <v>208</v>
      </c>
      <c r="F45" s="114">
        <v>20</v>
      </c>
      <c r="G45" s="114">
        <v>54</v>
      </c>
      <c r="H45" s="114">
        <v>10</v>
      </c>
      <c r="I45" s="114">
        <v>27</v>
      </c>
      <c r="J45" s="110">
        <f t="shared" si="7"/>
        <v>111</v>
      </c>
      <c r="K45" s="111">
        <f t="shared" si="0"/>
        <v>4</v>
      </c>
      <c r="L45" s="195"/>
      <c r="M45" s="114">
        <v>19</v>
      </c>
      <c r="N45" s="114">
        <v>57</v>
      </c>
      <c r="O45" s="114">
        <v>10</v>
      </c>
      <c r="P45" s="114">
        <v>27</v>
      </c>
      <c r="Q45" s="110">
        <f t="shared" si="8"/>
        <v>113</v>
      </c>
      <c r="R45" s="111">
        <f t="shared" si="1"/>
        <v>4</v>
      </c>
      <c r="S45" s="195"/>
      <c r="T45" s="114">
        <v>13</v>
      </c>
      <c r="U45" s="114">
        <v>42</v>
      </c>
      <c r="V45" s="110">
        <f t="shared" si="9"/>
        <v>55</v>
      </c>
      <c r="W45" s="81">
        <f t="shared" si="10"/>
        <v>3</v>
      </c>
      <c r="X45" s="195"/>
      <c r="Y45" s="114">
        <v>20</v>
      </c>
      <c r="Z45" s="114">
        <v>77</v>
      </c>
      <c r="AA45" s="110">
        <f t="shared" si="18"/>
        <v>97</v>
      </c>
      <c r="AB45" s="81">
        <f t="shared" si="11"/>
        <v>5</v>
      </c>
      <c r="AC45" s="195"/>
      <c r="AD45" s="114">
        <v>14</v>
      </c>
      <c r="AE45" s="114">
        <v>54</v>
      </c>
      <c r="AF45" s="110">
        <f t="shared" si="12"/>
        <v>68</v>
      </c>
      <c r="AG45" s="81">
        <f t="shared" si="13"/>
        <v>3.5</v>
      </c>
      <c r="AH45" s="195"/>
      <c r="AI45" s="114">
        <v>17</v>
      </c>
      <c r="AJ45" s="114">
        <v>64</v>
      </c>
      <c r="AK45" s="110">
        <f t="shared" si="14"/>
        <v>81</v>
      </c>
      <c r="AL45" s="81">
        <f t="shared" si="15"/>
        <v>5</v>
      </c>
      <c r="AM45" s="195"/>
      <c r="AN45" s="114"/>
      <c r="AO45" s="114">
        <v>49</v>
      </c>
      <c r="AP45" s="110">
        <f t="shared" si="16"/>
        <v>49</v>
      </c>
      <c r="AQ45" s="81">
        <f t="shared" si="17"/>
        <v>5</v>
      </c>
      <c r="AR45" s="195"/>
      <c r="AS45" s="108">
        <f t="shared" si="3"/>
        <v>29.5</v>
      </c>
      <c r="AT45" s="112">
        <f t="shared" si="4"/>
        <v>4.2142857142857144</v>
      </c>
      <c r="AU45" s="113">
        <f t="shared" si="5"/>
        <v>574</v>
      </c>
      <c r="AV45" s="108"/>
      <c r="AW45" s="108"/>
      <c r="AX45" s="99" t="str">
        <f t="shared" si="6"/>
        <v>BETTER</v>
      </c>
    </row>
    <row r="46" spans="1:50" ht="15.75">
      <c r="A46" s="53">
        <v>39</v>
      </c>
      <c r="B46" s="88">
        <v>29</v>
      </c>
      <c r="C46" s="85" t="s">
        <v>209</v>
      </c>
      <c r="D46" s="85" t="s">
        <v>210</v>
      </c>
      <c r="E46" s="85" t="s">
        <v>211</v>
      </c>
      <c r="F46" s="114">
        <v>17</v>
      </c>
      <c r="G46" s="114">
        <v>52</v>
      </c>
      <c r="H46" s="114">
        <v>6</v>
      </c>
      <c r="I46" s="114">
        <v>34</v>
      </c>
      <c r="J46" s="110">
        <f t="shared" si="7"/>
        <v>109</v>
      </c>
      <c r="K46" s="111">
        <f t="shared" si="0"/>
        <v>4</v>
      </c>
      <c r="L46" s="195"/>
      <c r="M46" s="114">
        <v>18</v>
      </c>
      <c r="N46" s="114">
        <v>55</v>
      </c>
      <c r="O46" s="114">
        <v>9</v>
      </c>
      <c r="P46" s="114">
        <v>31</v>
      </c>
      <c r="Q46" s="110">
        <f t="shared" si="8"/>
        <v>113</v>
      </c>
      <c r="R46" s="111">
        <f t="shared" ref="R46:R82" si="19">IF(Q46&lt;60,"F",IF(Q46&lt;75,2,IF(Q46&lt;90,3,IF(Q46&lt;105,3.5,IF(Q46&lt;120,4,5)))))</f>
        <v>4</v>
      </c>
      <c r="S46" s="195"/>
      <c r="T46" s="114">
        <v>9</v>
      </c>
      <c r="U46" s="114">
        <v>58</v>
      </c>
      <c r="V46" s="110">
        <f t="shared" si="9"/>
        <v>67</v>
      </c>
      <c r="W46" s="81">
        <f t="shared" si="10"/>
        <v>3.5</v>
      </c>
      <c r="X46" s="195"/>
      <c r="Y46" s="114">
        <v>15</v>
      </c>
      <c r="Z46" s="114">
        <v>50</v>
      </c>
      <c r="AA46" s="110">
        <f t="shared" si="18"/>
        <v>65</v>
      </c>
      <c r="AB46" s="81">
        <f t="shared" si="11"/>
        <v>3.5</v>
      </c>
      <c r="AC46" s="195"/>
      <c r="AD46" s="114">
        <v>16</v>
      </c>
      <c r="AE46" s="114">
        <v>55</v>
      </c>
      <c r="AF46" s="110">
        <f t="shared" si="12"/>
        <v>71</v>
      </c>
      <c r="AG46" s="81">
        <f t="shared" si="13"/>
        <v>4</v>
      </c>
      <c r="AH46" s="195"/>
      <c r="AI46" s="114">
        <v>19</v>
      </c>
      <c r="AJ46" s="114">
        <v>59</v>
      </c>
      <c r="AK46" s="110">
        <f t="shared" si="14"/>
        <v>78</v>
      </c>
      <c r="AL46" s="81">
        <f t="shared" si="15"/>
        <v>4</v>
      </c>
      <c r="AM46" s="195"/>
      <c r="AN46" s="114"/>
      <c r="AO46" s="114">
        <v>44</v>
      </c>
      <c r="AP46" s="110">
        <f t="shared" si="16"/>
        <v>44</v>
      </c>
      <c r="AQ46" s="81">
        <f t="shared" si="17"/>
        <v>5</v>
      </c>
      <c r="AR46" s="195"/>
      <c r="AS46" s="108">
        <f t="shared" si="3"/>
        <v>28</v>
      </c>
      <c r="AT46" s="112">
        <f t="shared" si="4"/>
        <v>4</v>
      </c>
      <c r="AU46" s="113">
        <f t="shared" si="5"/>
        <v>547</v>
      </c>
      <c r="AV46" s="108"/>
      <c r="AW46" s="108"/>
      <c r="AX46" s="99" t="str">
        <f t="shared" si="6"/>
        <v>BETTER</v>
      </c>
    </row>
    <row r="47" spans="1:50" ht="15.75">
      <c r="A47" s="53">
        <v>40</v>
      </c>
      <c r="B47" s="88">
        <v>32</v>
      </c>
      <c r="C47" s="85" t="s">
        <v>212</v>
      </c>
      <c r="D47" s="85" t="s">
        <v>213</v>
      </c>
      <c r="E47" s="85" t="s">
        <v>214</v>
      </c>
      <c r="F47" s="114">
        <v>0</v>
      </c>
      <c r="G47" s="114">
        <v>70</v>
      </c>
      <c r="H47" s="114">
        <v>0</v>
      </c>
      <c r="I47" s="114">
        <v>31</v>
      </c>
      <c r="J47" s="110">
        <f t="shared" si="7"/>
        <v>101</v>
      </c>
      <c r="K47" s="111">
        <f t="shared" si="0"/>
        <v>3.5</v>
      </c>
      <c r="L47" s="195"/>
      <c r="M47" s="114">
        <v>4</v>
      </c>
      <c r="N47" s="114">
        <v>60</v>
      </c>
      <c r="O47" s="114">
        <v>0</v>
      </c>
      <c r="P47" s="114">
        <v>27</v>
      </c>
      <c r="Q47" s="110">
        <f t="shared" si="8"/>
        <v>91</v>
      </c>
      <c r="R47" s="111">
        <f t="shared" si="19"/>
        <v>3.5</v>
      </c>
      <c r="S47" s="195"/>
      <c r="T47" s="114">
        <v>0</v>
      </c>
      <c r="U47" s="114">
        <v>47</v>
      </c>
      <c r="V47" s="110">
        <f t="shared" si="9"/>
        <v>47</v>
      </c>
      <c r="W47" s="81">
        <f t="shared" si="10"/>
        <v>2</v>
      </c>
      <c r="X47" s="195"/>
      <c r="Y47" s="114">
        <v>0</v>
      </c>
      <c r="Z47" s="114">
        <v>89</v>
      </c>
      <c r="AA47" s="110">
        <f t="shared" si="18"/>
        <v>89</v>
      </c>
      <c r="AB47" s="81">
        <f t="shared" si="11"/>
        <v>5</v>
      </c>
      <c r="AC47" s="195"/>
      <c r="AD47" s="114">
        <v>0</v>
      </c>
      <c r="AE47" s="114">
        <v>67</v>
      </c>
      <c r="AF47" s="110">
        <f t="shared" si="12"/>
        <v>67</v>
      </c>
      <c r="AG47" s="81">
        <f t="shared" si="13"/>
        <v>3.5</v>
      </c>
      <c r="AH47" s="195"/>
      <c r="AI47" s="114">
        <v>5</v>
      </c>
      <c r="AJ47" s="114">
        <v>64</v>
      </c>
      <c r="AK47" s="110">
        <f t="shared" si="14"/>
        <v>69</v>
      </c>
      <c r="AL47" s="81">
        <f t="shared" si="15"/>
        <v>3.5</v>
      </c>
      <c r="AM47" s="195"/>
      <c r="AN47" s="114"/>
      <c r="AO47" s="114">
        <v>49</v>
      </c>
      <c r="AP47" s="110">
        <f t="shared" si="16"/>
        <v>49</v>
      </c>
      <c r="AQ47" s="81">
        <f t="shared" si="17"/>
        <v>5</v>
      </c>
      <c r="AR47" s="195"/>
      <c r="AS47" s="108">
        <f t="shared" si="3"/>
        <v>26</v>
      </c>
      <c r="AT47" s="112">
        <f t="shared" si="4"/>
        <v>3.7142857142857144</v>
      </c>
      <c r="AU47" s="113">
        <f t="shared" si="5"/>
        <v>513</v>
      </c>
      <c r="AV47" s="108"/>
      <c r="AW47" s="108"/>
      <c r="AX47" s="99" t="str">
        <f t="shared" si="6"/>
        <v>GOOD</v>
      </c>
    </row>
    <row r="48" spans="1:50" ht="15.75">
      <c r="A48" s="53">
        <v>41</v>
      </c>
      <c r="B48" s="88">
        <v>36</v>
      </c>
      <c r="C48" s="85" t="s">
        <v>215</v>
      </c>
      <c r="D48" s="85" t="s">
        <v>216</v>
      </c>
      <c r="E48" s="85" t="s">
        <v>217</v>
      </c>
      <c r="F48" s="114">
        <v>15</v>
      </c>
      <c r="G48" s="114">
        <v>61</v>
      </c>
      <c r="H48" s="114">
        <v>7</v>
      </c>
      <c r="I48" s="114">
        <v>26</v>
      </c>
      <c r="J48" s="110">
        <f t="shared" si="7"/>
        <v>109</v>
      </c>
      <c r="K48" s="111">
        <f t="shared" si="0"/>
        <v>4</v>
      </c>
      <c r="L48" s="195"/>
      <c r="M48" s="114">
        <v>18</v>
      </c>
      <c r="N48" s="114">
        <v>32</v>
      </c>
      <c r="O48" s="114">
        <v>7</v>
      </c>
      <c r="P48" s="114">
        <v>18</v>
      </c>
      <c r="Q48" s="110">
        <f t="shared" si="8"/>
        <v>75</v>
      </c>
      <c r="R48" s="111">
        <f t="shared" si="19"/>
        <v>3</v>
      </c>
      <c r="S48" s="195"/>
      <c r="T48" s="114">
        <v>13</v>
      </c>
      <c r="U48" s="114">
        <v>14</v>
      </c>
      <c r="V48" s="110">
        <f t="shared" si="9"/>
        <v>27</v>
      </c>
      <c r="W48" s="81" t="str">
        <f t="shared" si="10"/>
        <v>F</v>
      </c>
      <c r="X48" s="195"/>
      <c r="Y48" s="114">
        <v>19</v>
      </c>
      <c r="Z48" s="114">
        <v>73</v>
      </c>
      <c r="AA48" s="110">
        <f t="shared" si="18"/>
        <v>92</v>
      </c>
      <c r="AB48" s="81">
        <f t="shared" si="11"/>
        <v>5</v>
      </c>
      <c r="AC48" s="195"/>
      <c r="AD48" s="114">
        <v>11</v>
      </c>
      <c r="AE48" s="114">
        <v>43</v>
      </c>
      <c r="AF48" s="110">
        <f t="shared" si="12"/>
        <v>54</v>
      </c>
      <c r="AG48" s="81">
        <f t="shared" si="13"/>
        <v>3</v>
      </c>
      <c r="AH48" s="195"/>
      <c r="AI48" s="114">
        <v>12</v>
      </c>
      <c r="AJ48" s="114">
        <v>43</v>
      </c>
      <c r="AK48" s="110">
        <f t="shared" si="14"/>
        <v>55</v>
      </c>
      <c r="AL48" s="81">
        <f t="shared" si="15"/>
        <v>3</v>
      </c>
      <c r="AM48" s="195"/>
      <c r="AN48" s="114"/>
      <c r="AO48" s="114">
        <v>33</v>
      </c>
      <c r="AP48" s="110">
        <f t="shared" si="16"/>
        <v>33</v>
      </c>
      <c r="AQ48" s="81">
        <f t="shared" si="17"/>
        <v>3.5</v>
      </c>
      <c r="AR48" s="195"/>
      <c r="AS48" s="108" t="str">
        <f t="shared" si="3"/>
        <v>F</v>
      </c>
      <c r="AT48" s="112" t="str">
        <f t="shared" si="4"/>
        <v>F</v>
      </c>
      <c r="AU48" s="113">
        <f t="shared" si="5"/>
        <v>445</v>
      </c>
      <c r="AV48" s="108"/>
      <c r="AW48" s="108"/>
      <c r="AX48" s="99" t="str">
        <f t="shared" si="6"/>
        <v>NEED TO PROGRESS</v>
      </c>
    </row>
    <row r="49" spans="1:50" ht="15.75">
      <c r="A49" s="53">
        <v>42</v>
      </c>
      <c r="B49" s="88">
        <v>37</v>
      </c>
      <c r="C49" s="85" t="s">
        <v>218</v>
      </c>
      <c r="D49" s="85" t="s">
        <v>219</v>
      </c>
      <c r="E49" s="85" t="s">
        <v>220</v>
      </c>
      <c r="F49" s="114">
        <v>19</v>
      </c>
      <c r="G49" s="114">
        <v>48</v>
      </c>
      <c r="H49" s="114">
        <v>7</v>
      </c>
      <c r="I49" s="114">
        <v>30</v>
      </c>
      <c r="J49" s="110">
        <f t="shared" si="7"/>
        <v>104</v>
      </c>
      <c r="K49" s="111">
        <f t="shared" si="0"/>
        <v>3.5</v>
      </c>
      <c r="L49" s="195"/>
      <c r="M49" s="114">
        <v>16</v>
      </c>
      <c r="N49" s="114">
        <v>56</v>
      </c>
      <c r="O49" s="114">
        <v>8</v>
      </c>
      <c r="P49" s="114">
        <v>18</v>
      </c>
      <c r="Q49" s="110">
        <f t="shared" si="8"/>
        <v>98</v>
      </c>
      <c r="R49" s="111">
        <f t="shared" si="19"/>
        <v>3.5</v>
      </c>
      <c r="S49" s="195"/>
      <c r="T49" s="114">
        <v>10</v>
      </c>
      <c r="U49" s="114">
        <v>52</v>
      </c>
      <c r="V49" s="110">
        <f t="shared" si="9"/>
        <v>62</v>
      </c>
      <c r="W49" s="81">
        <f t="shared" si="10"/>
        <v>3.5</v>
      </c>
      <c r="X49" s="195"/>
      <c r="Y49" s="114">
        <v>16</v>
      </c>
      <c r="Z49" s="114">
        <v>70</v>
      </c>
      <c r="AA49" s="110">
        <f t="shared" si="18"/>
        <v>86</v>
      </c>
      <c r="AB49" s="81">
        <f t="shared" si="11"/>
        <v>5</v>
      </c>
      <c r="AC49" s="195"/>
      <c r="AD49" s="114">
        <v>12</v>
      </c>
      <c r="AE49" s="114">
        <v>59</v>
      </c>
      <c r="AF49" s="110">
        <f t="shared" si="12"/>
        <v>71</v>
      </c>
      <c r="AG49" s="81">
        <f t="shared" si="13"/>
        <v>4</v>
      </c>
      <c r="AH49" s="195"/>
      <c r="AI49" s="114">
        <v>17</v>
      </c>
      <c r="AJ49" s="114">
        <v>0</v>
      </c>
      <c r="AK49" s="110">
        <f t="shared" si="14"/>
        <v>17</v>
      </c>
      <c r="AL49" s="81" t="str">
        <f t="shared" si="15"/>
        <v>F</v>
      </c>
      <c r="AM49" s="195"/>
      <c r="AN49" s="114"/>
      <c r="AO49" s="114">
        <v>0</v>
      </c>
      <c r="AP49" s="110">
        <f t="shared" si="16"/>
        <v>0</v>
      </c>
      <c r="AQ49" s="81" t="str">
        <f t="shared" si="17"/>
        <v>F</v>
      </c>
      <c r="AR49" s="195"/>
      <c r="AS49" s="108" t="str">
        <f t="shared" si="3"/>
        <v>F</v>
      </c>
      <c r="AT49" s="112" t="str">
        <f t="shared" si="4"/>
        <v>F</v>
      </c>
      <c r="AU49" s="113">
        <f t="shared" si="5"/>
        <v>438</v>
      </c>
      <c r="AV49" s="108"/>
      <c r="AW49" s="108"/>
      <c r="AX49" s="99" t="str">
        <f t="shared" si="6"/>
        <v>NEED TO PROGRESS</v>
      </c>
    </row>
    <row r="50" spans="1:50" ht="15.75">
      <c r="A50" s="53">
        <v>43</v>
      </c>
      <c r="B50" s="88">
        <v>38</v>
      </c>
      <c r="C50" s="85" t="s">
        <v>221</v>
      </c>
      <c r="D50" s="85" t="s">
        <v>222</v>
      </c>
      <c r="E50" s="85" t="s">
        <v>223</v>
      </c>
      <c r="F50" s="115">
        <v>16</v>
      </c>
      <c r="G50" s="114">
        <v>38</v>
      </c>
      <c r="H50" s="114">
        <v>7</v>
      </c>
      <c r="I50" s="114">
        <v>17</v>
      </c>
      <c r="J50" s="110">
        <f t="shared" si="7"/>
        <v>78</v>
      </c>
      <c r="K50" s="111">
        <f t="shared" si="0"/>
        <v>3</v>
      </c>
      <c r="L50" s="195"/>
      <c r="M50" s="114">
        <v>10</v>
      </c>
      <c r="N50" s="114">
        <v>32</v>
      </c>
      <c r="O50" s="114">
        <v>5</v>
      </c>
      <c r="P50" s="114">
        <v>11</v>
      </c>
      <c r="Q50" s="110">
        <f t="shared" si="8"/>
        <v>58</v>
      </c>
      <c r="R50" s="111" t="str">
        <f t="shared" si="19"/>
        <v>F</v>
      </c>
      <c r="S50" s="195"/>
      <c r="T50" s="114">
        <v>5</v>
      </c>
      <c r="U50" s="114">
        <v>2</v>
      </c>
      <c r="V50" s="110">
        <f t="shared" si="9"/>
        <v>7</v>
      </c>
      <c r="W50" s="81" t="str">
        <f t="shared" si="10"/>
        <v>F</v>
      </c>
      <c r="X50" s="195"/>
      <c r="Y50" s="114">
        <v>14</v>
      </c>
      <c r="Z50" s="114">
        <v>38</v>
      </c>
      <c r="AA50" s="110">
        <f t="shared" si="18"/>
        <v>52</v>
      </c>
      <c r="AB50" s="81">
        <f t="shared" si="11"/>
        <v>3</v>
      </c>
      <c r="AC50" s="195"/>
      <c r="AD50" s="114">
        <v>5</v>
      </c>
      <c r="AE50" s="114">
        <v>35</v>
      </c>
      <c r="AF50" s="110">
        <f t="shared" si="12"/>
        <v>40</v>
      </c>
      <c r="AG50" s="81">
        <f t="shared" si="13"/>
        <v>2</v>
      </c>
      <c r="AH50" s="195"/>
      <c r="AI50" s="114">
        <v>8</v>
      </c>
      <c r="AJ50" s="114">
        <v>8</v>
      </c>
      <c r="AK50" s="110">
        <f t="shared" si="14"/>
        <v>16</v>
      </c>
      <c r="AL50" s="81" t="str">
        <f t="shared" si="15"/>
        <v>F</v>
      </c>
      <c r="AM50" s="195"/>
      <c r="AN50" s="114"/>
      <c r="AO50" s="114">
        <v>21</v>
      </c>
      <c r="AP50" s="110">
        <f t="shared" si="16"/>
        <v>21</v>
      </c>
      <c r="AQ50" s="81">
        <f t="shared" si="17"/>
        <v>2</v>
      </c>
      <c r="AR50" s="195"/>
      <c r="AS50" s="108" t="str">
        <f t="shared" si="3"/>
        <v>F</v>
      </c>
      <c r="AT50" s="112" t="str">
        <f t="shared" si="4"/>
        <v>F</v>
      </c>
      <c r="AU50" s="113">
        <f t="shared" si="5"/>
        <v>272</v>
      </c>
      <c r="AV50" s="108"/>
      <c r="AW50" s="108"/>
      <c r="AX50" s="99" t="str">
        <f t="shared" si="6"/>
        <v>NEED TO PROGRESS</v>
      </c>
    </row>
    <row r="51" spans="1:50" ht="15.75">
      <c r="A51" s="53">
        <v>44</v>
      </c>
      <c r="B51" s="88">
        <v>41</v>
      </c>
      <c r="C51" s="85" t="s">
        <v>224</v>
      </c>
      <c r="D51" s="85" t="s">
        <v>225</v>
      </c>
      <c r="E51" s="85" t="s">
        <v>226</v>
      </c>
      <c r="F51" s="114">
        <v>16</v>
      </c>
      <c r="G51" s="114">
        <v>35</v>
      </c>
      <c r="H51" s="114">
        <v>7</v>
      </c>
      <c r="I51" s="114">
        <v>29</v>
      </c>
      <c r="J51" s="110">
        <f t="shared" si="7"/>
        <v>87</v>
      </c>
      <c r="K51" s="111">
        <f t="shared" si="0"/>
        <v>3</v>
      </c>
      <c r="L51" s="195"/>
      <c r="M51" s="114">
        <v>18</v>
      </c>
      <c r="N51" s="114">
        <v>43</v>
      </c>
      <c r="O51" s="114">
        <v>8</v>
      </c>
      <c r="P51" s="114">
        <v>18</v>
      </c>
      <c r="Q51" s="110">
        <f t="shared" si="8"/>
        <v>87</v>
      </c>
      <c r="R51" s="111">
        <f t="shared" si="19"/>
        <v>3</v>
      </c>
      <c r="S51" s="195"/>
      <c r="T51" s="114">
        <v>10</v>
      </c>
      <c r="U51" s="114">
        <v>55</v>
      </c>
      <c r="V51" s="110">
        <f t="shared" si="9"/>
        <v>65</v>
      </c>
      <c r="W51" s="81">
        <f t="shared" si="10"/>
        <v>3.5</v>
      </c>
      <c r="X51" s="195"/>
      <c r="Y51" s="114">
        <v>13</v>
      </c>
      <c r="Z51" s="114">
        <v>46</v>
      </c>
      <c r="AA51" s="110">
        <f t="shared" si="18"/>
        <v>59</v>
      </c>
      <c r="AB51" s="81">
        <f t="shared" si="11"/>
        <v>3</v>
      </c>
      <c r="AC51" s="195"/>
      <c r="AD51" s="114">
        <v>10</v>
      </c>
      <c r="AE51" s="114">
        <v>50</v>
      </c>
      <c r="AF51" s="110">
        <f t="shared" si="12"/>
        <v>60</v>
      </c>
      <c r="AG51" s="81">
        <f t="shared" si="13"/>
        <v>3.5</v>
      </c>
      <c r="AH51" s="195"/>
      <c r="AI51" s="114">
        <v>18</v>
      </c>
      <c r="AJ51" s="114">
        <v>27</v>
      </c>
      <c r="AK51" s="110">
        <f t="shared" si="14"/>
        <v>45</v>
      </c>
      <c r="AL51" s="81">
        <f t="shared" si="15"/>
        <v>2</v>
      </c>
      <c r="AM51" s="195"/>
      <c r="AN51" s="114"/>
      <c r="AO51" s="114">
        <v>25</v>
      </c>
      <c r="AP51" s="110">
        <f t="shared" si="16"/>
        <v>25</v>
      </c>
      <c r="AQ51" s="81">
        <f t="shared" si="17"/>
        <v>3</v>
      </c>
      <c r="AR51" s="195"/>
      <c r="AS51" s="108">
        <f t="shared" si="3"/>
        <v>21</v>
      </c>
      <c r="AT51" s="112">
        <f t="shared" si="4"/>
        <v>3</v>
      </c>
      <c r="AU51" s="113">
        <f t="shared" si="5"/>
        <v>428</v>
      </c>
      <c r="AV51" s="108"/>
      <c r="AW51" s="108"/>
      <c r="AX51" s="99" t="str">
        <f t="shared" si="6"/>
        <v>GOOD</v>
      </c>
    </row>
    <row r="52" spans="1:50" ht="15.75">
      <c r="A52" s="53">
        <v>45</v>
      </c>
      <c r="B52" s="88">
        <v>42</v>
      </c>
      <c r="C52" s="85" t="s">
        <v>227</v>
      </c>
      <c r="D52" s="85" t="s">
        <v>228</v>
      </c>
      <c r="E52" s="85" t="s">
        <v>229</v>
      </c>
      <c r="F52" s="114">
        <v>17</v>
      </c>
      <c r="G52" s="114">
        <v>58</v>
      </c>
      <c r="H52" s="114">
        <v>7</v>
      </c>
      <c r="I52" s="114">
        <v>27</v>
      </c>
      <c r="J52" s="110">
        <f t="shared" si="7"/>
        <v>109</v>
      </c>
      <c r="K52" s="111">
        <f t="shared" si="0"/>
        <v>4</v>
      </c>
      <c r="L52" s="195"/>
      <c r="M52" s="114">
        <v>17</v>
      </c>
      <c r="N52" s="114">
        <v>60</v>
      </c>
      <c r="O52" s="114">
        <v>10</v>
      </c>
      <c r="P52" s="114">
        <v>28</v>
      </c>
      <c r="Q52" s="110">
        <f t="shared" si="8"/>
        <v>115</v>
      </c>
      <c r="R52" s="111">
        <f t="shared" si="19"/>
        <v>4</v>
      </c>
      <c r="S52" s="195"/>
      <c r="T52" s="114">
        <v>14</v>
      </c>
      <c r="U52" s="114">
        <v>43</v>
      </c>
      <c r="V52" s="110">
        <f t="shared" si="9"/>
        <v>57</v>
      </c>
      <c r="W52" s="81">
        <f t="shared" si="10"/>
        <v>3</v>
      </c>
      <c r="X52" s="195"/>
      <c r="Y52" s="114">
        <v>18</v>
      </c>
      <c r="Z52" s="114">
        <v>80</v>
      </c>
      <c r="AA52" s="110">
        <f t="shared" si="18"/>
        <v>98</v>
      </c>
      <c r="AB52" s="81">
        <f t="shared" si="11"/>
        <v>5</v>
      </c>
      <c r="AC52" s="195"/>
      <c r="AD52" s="114">
        <v>14</v>
      </c>
      <c r="AE52" s="114">
        <v>53</v>
      </c>
      <c r="AF52" s="110">
        <f t="shared" si="12"/>
        <v>67</v>
      </c>
      <c r="AG52" s="81">
        <f t="shared" si="13"/>
        <v>3.5</v>
      </c>
      <c r="AH52" s="195"/>
      <c r="AI52" s="114">
        <v>19</v>
      </c>
      <c r="AJ52" s="114">
        <v>63</v>
      </c>
      <c r="AK52" s="110">
        <f t="shared" si="14"/>
        <v>82</v>
      </c>
      <c r="AL52" s="81">
        <f t="shared" si="15"/>
        <v>5</v>
      </c>
      <c r="AM52" s="195"/>
      <c r="AN52" s="114"/>
      <c r="AO52" s="114">
        <v>49</v>
      </c>
      <c r="AP52" s="110">
        <f t="shared" si="16"/>
        <v>49</v>
      </c>
      <c r="AQ52" s="81">
        <f t="shared" si="17"/>
        <v>5</v>
      </c>
      <c r="AR52" s="195"/>
      <c r="AS52" s="108">
        <f t="shared" si="3"/>
        <v>29.5</v>
      </c>
      <c r="AT52" s="112">
        <f t="shared" si="4"/>
        <v>4.2142857142857144</v>
      </c>
      <c r="AU52" s="113">
        <f t="shared" si="5"/>
        <v>577</v>
      </c>
      <c r="AV52" s="108"/>
      <c r="AW52" s="108"/>
      <c r="AX52" s="99" t="str">
        <f t="shared" si="6"/>
        <v>BETTER</v>
      </c>
    </row>
    <row r="53" spans="1:50" ht="15.75">
      <c r="A53" s="53">
        <v>46</v>
      </c>
      <c r="B53" s="88">
        <v>44</v>
      </c>
      <c r="C53" s="85" t="s">
        <v>230</v>
      </c>
      <c r="D53" s="85" t="s">
        <v>231</v>
      </c>
      <c r="E53" s="85" t="s">
        <v>232</v>
      </c>
      <c r="F53" s="114">
        <v>19</v>
      </c>
      <c r="G53" s="114">
        <v>34</v>
      </c>
      <c r="H53" s="114">
        <v>6</v>
      </c>
      <c r="I53" s="114">
        <v>19</v>
      </c>
      <c r="J53" s="110">
        <f t="shared" si="7"/>
        <v>78</v>
      </c>
      <c r="K53" s="111">
        <f t="shared" si="0"/>
        <v>3</v>
      </c>
      <c r="L53" s="195"/>
      <c r="M53" s="114">
        <v>17</v>
      </c>
      <c r="N53" s="114">
        <v>32</v>
      </c>
      <c r="O53" s="114">
        <v>5</v>
      </c>
      <c r="P53" s="114">
        <v>21</v>
      </c>
      <c r="Q53" s="110">
        <f t="shared" si="8"/>
        <v>75</v>
      </c>
      <c r="R53" s="111">
        <f t="shared" si="19"/>
        <v>3</v>
      </c>
      <c r="S53" s="195"/>
      <c r="T53" s="114">
        <v>9</v>
      </c>
      <c r="U53" s="114">
        <v>1</v>
      </c>
      <c r="V53" s="110">
        <f t="shared" si="9"/>
        <v>10</v>
      </c>
      <c r="W53" s="81" t="str">
        <f t="shared" si="10"/>
        <v>F</v>
      </c>
      <c r="X53" s="195"/>
      <c r="Y53" s="114">
        <v>13</v>
      </c>
      <c r="Z53" s="114">
        <v>48</v>
      </c>
      <c r="AA53" s="110">
        <f t="shared" si="18"/>
        <v>61</v>
      </c>
      <c r="AB53" s="81">
        <f t="shared" si="11"/>
        <v>3.5</v>
      </c>
      <c r="AC53" s="195"/>
      <c r="AD53" s="114">
        <v>11</v>
      </c>
      <c r="AE53" s="114">
        <v>36</v>
      </c>
      <c r="AF53" s="110">
        <f t="shared" si="12"/>
        <v>47</v>
      </c>
      <c r="AG53" s="81">
        <f t="shared" si="13"/>
        <v>2</v>
      </c>
      <c r="AH53" s="195"/>
      <c r="AI53" s="114">
        <v>14</v>
      </c>
      <c r="AJ53" s="114">
        <v>34</v>
      </c>
      <c r="AK53" s="110">
        <f t="shared" si="14"/>
        <v>48</v>
      </c>
      <c r="AL53" s="81">
        <f t="shared" si="15"/>
        <v>2</v>
      </c>
      <c r="AM53" s="195"/>
      <c r="AN53" s="114"/>
      <c r="AO53" s="114">
        <v>38</v>
      </c>
      <c r="AP53" s="110">
        <f t="shared" si="16"/>
        <v>38</v>
      </c>
      <c r="AQ53" s="81">
        <f t="shared" si="17"/>
        <v>4</v>
      </c>
      <c r="AR53" s="195"/>
      <c r="AS53" s="108" t="str">
        <f t="shared" si="3"/>
        <v>F</v>
      </c>
      <c r="AT53" s="112" t="str">
        <f t="shared" si="4"/>
        <v>F</v>
      </c>
      <c r="AU53" s="113">
        <f t="shared" si="5"/>
        <v>357</v>
      </c>
      <c r="AV53" s="108"/>
      <c r="AW53" s="108"/>
      <c r="AX53" s="99" t="str">
        <f t="shared" si="6"/>
        <v>NEED TO PROGRESS</v>
      </c>
    </row>
    <row r="54" spans="1:50" ht="15.75">
      <c r="A54" s="53">
        <v>47</v>
      </c>
      <c r="B54" s="88">
        <v>46</v>
      </c>
      <c r="C54" s="85" t="s">
        <v>233</v>
      </c>
      <c r="D54" s="85" t="s">
        <v>234</v>
      </c>
      <c r="E54" s="85" t="s">
        <v>235</v>
      </c>
      <c r="F54" s="114">
        <v>19</v>
      </c>
      <c r="G54" s="114">
        <v>58</v>
      </c>
      <c r="H54" s="114">
        <v>7</v>
      </c>
      <c r="I54" s="114">
        <v>28</v>
      </c>
      <c r="J54" s="110">
        <f t="shared" si="7"/>
        <v>112</v>
      </c>
      <c r="K54" s="111">
        <f t="shared" si="0"/>
        <v>4</v>
      </c>
      <c r="L54" s="195"/>
      <c r="M54" s="114">
        <v>15</v>
      </c>
      <c r="N54" s="114">
        <v>36</v>
      </c>
      <c r="O54" s="114">
        <v>7</v>
      </c>
      <c r="P54" s="114">
        <v>34</v>
      </c>
      <c r="Q54" s="110">
        <f t="shared" si="8"/>
        <v>92</v>
      </c>
      <c r="R54" s="111">
        <f t="shared" si="19"/>
        <v>3.5</v>
      </c>
      <c r="S54" s="195"/>
      <c r="T54" s="114">
        <v>11</v>
      </c>
      <c r="U54" s="114">
        <v>29</v>
      </c>
      <c r="V54" s="110">
        <f t="shared" si="9"/>
        <v>40</v>
      </c>
      <c r="W54" s="81">
        <f t="shared" si="10"/>
        <v>2</v>
      </c>
      <c r="X54" s="195"/>
      <c r="Y54" s="114">
        <v>6</v>
      </c>
      <c r="Z54" s="114">
        <v>59</v>
      </c>
      <c r="AA54" s="110">
        <f t="shared" si="18"/>
        <v>65</v>
      </c>
      <c r="AB54" s="81">
        <f t="shared" si="11"/>
        <v>3.5</v>
      </c>
      <c r="AC54" s="195"/>
      <c r="AD54" s="114">
        <v>10</v>
      </c>
      <c r="AE54" s="114">
        <v>34</v>
      </c>
      <c r="AF54" s="110">
        <f t="shared" si="12"/>
        <v>44</v>
      </c>
      <c r="AG54" s="81">
        <f t="shared" si="13"/>
        <v>2</v>
      </c>
      <c r="AH54" s="195"/>
      <c r="AI54" s="114">
        <v>13</v>
      </c>
      <c r="AJ54" s="114">
        <v>38</v>
      </c>
      <c r="AK54" s="110">
        <f t="shared" si="14"/>
        <v>51</v>
      </c>
      <c r="AL54" s="81">
        <f t="shared" si="15"/>
        <v>3</v>
      </c>
      <c r="AM54" s="195"/>
      <c r="AN54" s="114"/>
      <c r="AO54" s="114">
        <v>44</v>
      </c>
      <c r="AP54" s="110">
        <f t="shared" si="16"/>
        <v>44</v>
      </c>
      <c r="AQ54" s="81">
        <f t="shared" si="17"/>
        <v>5</v>
      </c>
      <c r="AR54" s="195"/>
      <c r="AS54" s="108">
        <f t="shared" si="3"/>
        <v>23</v>
      </c>
      <c r="AT54" s="112">
        <f t="shared" si="4"/>
        <v>3.2857142857142856</v>
      </c>
      <c r="AU54" s="113">
        <f t="shared" si="5"/>
        <v>448</v>
      </c>
      <c r="AV54" s="108"/>
      <c r="AW54" s="108"/>
      <c r="AX54" s="99" t="str">
        <f t="shared" si="6"/>
        <v>GOOD</v>
      </c>
    </row>
    <row r="55" spans="1:50" ht="15.75">
      <c r="A55" s="53">
        <v>48</v>
      </c>
      <c r="B55" s="88">
        <v>47</v>
      </c>
      <c r="C55" s="85" t="s">
        <v>236</v>
      </c>
      <c r="D55" s="85" t="s">
        <v>237</v>
      </c>
      <c r="E55" s="85" t="s">
        <v>238</v>
      </c>
      <c r="F55" s="114">
        <v>12</v>
      </c>
      <c r="G55" s="114">
        <v>32</v>
      </c>
      <c r="H55" s="114">
        <v>6</v>
      </c>
      <c r="I55" s="114">
        <v>16</v>
      </c>
      <c r="J55" s="110">
        <f t="shared" si="7"/>
        <v>66</v>
      </c>
      <c r="K55" s="111">
        <f t="shared" si="0"/>
        <v>2</v>
      </c>
      <c r="L55" s="195"/>
      <c r="M55" s="114">
        <v>9</v>
      </c>
      <c r="N55" s="114">
        <v>41</v>
      </c>
      <c r="O55" s="114">
        <v>5</v>
      </c>
      <c r="P55" s="114">
        <v>16</v>
      </c>
      <c r="Q55" s="110">
        <f t="shared" si="8"/>
        <v>71</v>
      </c>
      <c r="R55" s="111">
        <f t="shared" si="19"/>
        <v>2</v>
      </c>
      <c r="S55" s="195"/>
      <c r="T55" s="114">
        <v>5</v>
      </c>
      <c r="U55" s="114">
        <v>0</v>
      </c>
      <c r="V55" s="110">
        <f t="shared" si="9"/>
        <v>5</v>
      </c>
      <c r="W55" s="81" t="str">
        <f t="shared" si="10"/>
        <v>F</v>
      </c>
      <c r="X55" s="195"/>
      <c r="Y55" s="114">
        <v>2</v>
      </c>
      <c r="Z55" s="114">
        <v>2</v>
      </c>
      <c r="AA55" s="110">
        <f t="shared" si="18"/>
        <v>4</v>
      </c>
      <c r="AB55" s="81" t="str">
        <f t="shared" si="11"/>
        <v>F</v>
      </c>
      <c r="AC55" s="195"/>
      <c r="AD55" s="114">
        <v>4</v>
      </c>
      <c r="AE55" s="114">
        <v>18</v>
      </c>
      <c r="AF55" s="110">
        <f t="shared" si="12"/>
        <v>22</v>
      </c>
      <c r="AG55" s="81" t="str">
        <f t="shared" si="13"/>
        <v>F</v>
      </c>
      <c r="AH55" s="195"/>
      <c r="AI55" s="114">
        <v>8</v>
      </c>
      <c r="AJ55" s="114">
        <v>21</v>
      </c>
      <c r="AK55" s="110">
        <f t="shared" si="14"/>
        <v>29</v>
      </c>
      <c r="AL55" s="81" t="str">
        <f t="shared" si="15"/>
        <v>F</v>
      </c>
      <c r="AM55" s="195"/>
      <c r="AN55" s="114"/>
      <c r="AO55" s="114">
        <v>26</v>
      </c>
      <c r="AP55" s="110">
        <f t="shared" si="16"/>
        <v>26</v>
      </c>
      <c r="AQ55" s="81">
        <f t="shared" si="17"/>
        <v>3</v>
      </c>
      <c r="AR55" s="195"/>
      <c r="AS55" s="108" t="str">
        <f t="shared" si="3"/>
        <v>F</v>
      </c>
      <c r="AT55" s="112" t="str">
        <f t="shared" si="4"/>
        <v>F</v>
      </c>
      <c r="AU55" s="113">
        <f t="shared" si="5"/>
        <v>223</v>
      </c>
      <c r="AV55" s="108"/>
      <c r="AW55" s="108"/>
      <c r="AX55" s="99" t="str">
        <f t="shared" si="6"/>
        <v>NEED TO PROGRESS</v>
      </c>
    </row>
    <row r="56" spans="1:50" ht="15.75">
      <c r="A56" s="53">
        <v>49</v>
      </c>
      <c r="B56" s="89">
        <v>50</v>
      </c>
      <c r="C56" s="85" t="s">
        <v>239</v>
      </c>
      <c r="D56" s="85" t="s">
        <v>240</v>
      </c>
      <c r="E56" s="85" t="s">
        <v>241</v>
      </c>
      <c r="F56" s="114">
        <v>20</v>
      </c>
      <c r="G56" s="114">
        <v>74</v>
      </c>
      <c r="H56" s="114">
        <v>7</v>
      </c>
      <c r="I56" s="114">
        <v>31</v>
      </c>
      <c r="J56" s="110">
        <f t="shared" si="7"/>
        <v>132</v>
      </c>
      <c r="K56" s="111">
        <f t="shared" si="0"/>
        <v>5</v>
      </c>
      <c r="L56" s="195"/>
      <c r="M56" s="114">
        <v>19</v>
      </c>
      <c r="N56" s="114">
        <v>61</v>
      </c>
      <c r="O56" s="114">
        <v>8</v>
      </c>
      <c r="P56" s="114">
        <v>20</v>
      </c>
      <c r="Q56" s="110">
        <f t="shared" si="8"/>
        <v>108</v>
      </c>
      <c r="R56" s="111">
        <f t="shared" si="19"/>
        <v>4</v>
      </c>
      <c r="S56" s="195"/>
      <c r="T56" s="114">
        <v>10</v>
      </c>
      <c r="U56" s="114">
        <v>14</v>
      </c>
      <c r="V56" s="110">
        <f t="shared" si="9"/>
        <v>24</v>
      </c>
      <c r="W56" s="81" t="str">
        <f t="shared" si="10"/>
        <v>F</v>
      </c>
      <c r="X56" s="195"/>
      <c r="Y56" s="114">
        <v>20</v>
      </c>
      <c r="Z56" s="114">
        <v>69</v>
      </c>
      <c r="AA56" s="110">
        <f t="shared" si="18"/>
        <v>89</v>
      </c>
      <c r="AB56" s="81">
        <f t="shared" si="11"/>
        <v>5</v>
      </c>
      <c r="AC56" s="195"/>
      <c r="AD56" s="114">
        <v>16</v>
      </c>
      <c r="AE56" s="114">
        <v>56</v>
      </c>
      <c r="AF56" s="110">
        <f t="shared" si="12"/>
        <v>72</v>
      </c>
      <c r="AG56" s="81">
        <f t="shared" si="13"/>
        <v>4</v>
      </c>
      <c r="AH56" s="195"/>
      <c r="AI56" s="114">
        <v>19</v>
      </c>
      <c r="AJ56" s="114">
        <v>64</v>
      </c>
      <c r="AK56" s="110">
        <f t="shared" si="14"/>
        <v>83</v>
      </c>
      <c r="AL56" s="81">
        <f t="shared" si="15"/>
        <v>5</v>
      </c>
      <c r="AM56" s="195"/>
      <c r="AN56" s="114"/>
      <c r="AO56" s="114">
        <v>47</v>
      </c>
      <c r="AP56" s="110">
        <f t="shared" si="16"/>
        <v>47</v>
      </c>
      <c r="AQ56" s="81">
        <f t="shared" si="17"/>
        <v>5</v>
      </c>
      <c r="AR56" s="195"/>
      <c r="AS56" s="108" t="str">
        <f t="shared" si="3"/>
        <v>F</v>
      </c>
      <c r="AT56" s="112" t="str">
        <f t="shared" si="4"/>
        <v>F</v>
      </c>
      <c r="AU56" s="113">
        <f t="shared" si="5"/>
        <v>555</v>
      </c>
      <c r="AV56" s="108"/>
      <c r="AW56" s="108"/>
      <c r="AX56" s="99" t="str">
        <f t="shared" si="6"/>
        <v>NEED TO PROGRESS</v>
      </c>
    </row>
    <row r="57" spans="1:50" ht="15.75">
      <c r="A57" s="53">
        <v>50</v>
      </c>
      <c r="B57" s="89">
        <v>53</v>
      </c>
      <c r="C57" s="85" t="s">
        <v>242</v>
      </c>
      <c r="D57" s="85" t="s">
        <v>243</v>
      </c>
      <c r="E57" s="85" t="s">
        <v>244</v>
      </c>
      <c r="F57" s="114">
        <v>17</v>
      </c>
      <c r="G57" s="114">
        <v>52</v>
      </c>
      <c r="H57" s="114">
        <v>8</v>
      </c>
      <c r="I57" s="114">
        <v>30</v>
      </c>
      <c r="J57" s="110">
        <f t="shared" si="7"/>
        <v>107</v>
      </c>
      <c r="K57" s="111">
        <f t="shared" si="0"/>
        <v>4</v>
      </c>
      <c r="L57" s="195"/>
      <c r="M57" s="114">
        <v>17</v>
      </c>
      <c r="N57" s="114">
        <v>42</v>
      </c>
      <c r="O57" s="114">
        <v>8</v>
      </c>
      <c r="P57" s="114">
        <v>26</v>
      </c>
      <c r="Q57" s="110">
        <f t="shared" si="8"/>
        <v>93</v>
      </c>
      <c r="R57" s="111">
        <f t="shared" si="19"/>
        <v>3.5</v>
      </c>
      <c r="S57" s="195"/>
      <c r="T57" s="114">
        <v>5</v>
      </c>
      <c r="U57" s="114">
        <v>8</v>
      </c>
      <c r="V57" s="110">
        <f t="shared" si="9"/>
        <v>13</v>
      </c>
      <c r="W57" s="81" t="str">
        <f t="shared" si="10"/>
        <v>F</v>
      </c>
      <c r="X57" s="195"/>
      <c r="Y57" s="114">
        <v>15</v>
      </c>
      <c r="Z57" s="114">
        <v>59</v>
      </c>
      <c r="AA57" s="110">
        <f t="shared" si="18"/>
        <v>74</v>
      </c>
      <c r="AB57" s="81">
        <f t="shared" si="11"/>
        <v>4</v>
      </c>
      <c r="AC57" s="195"/>
      <c r="AD57" s="114">
        <v>15</v>
      </c>
      <c r="AE57" s="114">
        <v>39</v>
      </c>
      <c r="AF57" s="110">
        <f t="shared" si="12"/>
        <v>54</v>
      </c>
      <c r="AG57" s="81">
        <f t="shared" si="13"/>
        <v>3</v>
      </c>
      <c r="AH57" s="195"/>
      <c r="AI57" s="114">
        <v>16</v>
      </c>
      <c r="AJ57" s="114">
        <v>51</v>
      </c>
      <c r="AK57" s="110">
        <f t="shared" si="14"/>
        <v>67</v>
      </c>
      <c r="AL57" s="81">
        <f t="shared" si="15"/>
        <v>3.5</v>
      </c>
      <c r="AM57" s="195"/>
      <c r="AN57" s="114"/>
      <c r="AO57" s="114">
        <v>35</v>
      </c>
      <c r="AP57" s="110">
        <f t="shared" si="16"/>
        <v>35</v>
      </c>
      <c r="AQ57" s="81">
        <f t="shared" si="17"/>
        <v>4</v>
      </c>
      <c r="AR57" s="195"/>
      <c r="AS57" s="108" t="str">
        <f t="shared" si="3"/>
        <v>F</v>
      </c>
      <c r="AT57" s="112" t="str">
        <f t="shared" si="4"/>
        <v>F</v>
      </c>
      <c r="AU57" s="113">
        <f t="shared" si="5"/>
        <v>443</v>
      </c>
      <c r="AV57" s="108"/>
      <c r="AW57" s="108"/>
      <c r="AX57" s="99" t="str">
        <f t="shared" si="6"/>
        <v>NEED TO PROGRESS</v>
      </c>
    </row>
    <row r="58" spans="1:50" ht="15.75">
      <c r="A58" s="53">
        <v>51</v>
      </c>
      <c r="B58" s="89">
        <v>59</v>
      </c>
      <c r="C58" s="85" t="s">
        <v>245</v>
      </c>
      <c r="D58" s="85" t="s">
        <v>246</v>
      </c>
      <c r="E58" s="85" t="s">
        <v>247</v>
      </c>
      <c r="F58" s="114">
        <v>18</v>
      </c>
      <c r="G58" s="114">
        <v>52</v>
      </c>
      <c r="H58" s="114">
        <v>7</v>
      </c>
      <c r="I58" s="114">
        <v>30</v>
      </c>
      <c r="J58" s="110">
        <f t="shared" si="7"/>
        <v>107</v>
      </c>
      <c r="K58" s="111">
        <f t="shared" si="0"/>
        <v>4</v>
      </c>
      <c r="L58" s="195"/>
      <c r="M58" s="114">
        <v>15</v>
      </c>
      <c r="N58" s="114">
        <v>57</v>
      </c>
      <c r="O58" s="114">
        <v>9</v>
      </c>
      <c r="P58" s="114">
        <v>27</v>
      </c>
      <c r="Q58" s="110">
        <f t="shared" si="8"/>
        <v>108</v>
      </c>
      <c r="R58" s="111">
        <f t="shared" si="19"/>
        <v>4</v>
      </c>
      <c r="S58" s="195"/>
      <c r="T58" s="114">
        <v>10</v>
      </c>
      <c r="U58" s="114">
        <v>30</v>
      </c>
      <c r="V58" s="110">
        <f t="shared" si="9"/>
        <v>40</v>
      </c>
      <c r="W58" s="81">
        <f t="shared" si="10"/>
        <v>2</v>
      </c>
      <c r="X58" s="195"/>
      <c r="Y58" s="114">
        <v>16</v>
      </c>
      <c r="Z58" s="114">
        <v>55</v>
      </c>
      <c r="AA58" s="110">
        <f t="shared" si="18"/>
        <v>71</v>
      </c>
      <c r="AB58" s="81">
        <f t="shared" si="11"/>
        <v>4</v>
      </c>
      <c r="AC58" s="195"/>
      <c r="AD58" s="114">
        <v>12</v>
      </c>
      <c r="AE58" s="114">
        <v>62</v>
      </c>
      <c r="AF58" s="110">
        <f t="shared" si="12"/>
        <v>74</v>
      </c>
      <c r="AG58" s="81">
        <f t="shared" si="13"/>
        <v>4</v>
      </c>
      <c r="AH58" s="195"/>
      <c r="AI58" s="114">
        <v>15</v>
      </c>
      <c r="AJ58" s="114">
        <v>62</v>
      </c>
      <c r="AK58" s="110">
        <f t="shared" si="14"/>
        <v>77</v>
      </c>
      <c r="AL58" s="81">
        <f t="shared" si="15"/>
        <v>4</v>
      </c>
      <c r="AM58" s="195"/>
      <c r="AN58" s="114"/>
      <c r="AO58" s="114">
        <v>37</v>
      </c>
      <c r="AP58" s="110">
        <f t="shared" si="16"/>
        <v>37</v>
      </c>
      <c r="AQ58" s="81">
        <f t="shared" si="17"/>
        <v>4</v>
      </c>
      <c r="AR58" s="195"/>
      <c r="AS58" s="108">
        <f t="shared" si="3"/>
        <v>26</v>
      </c>
      <c r="AT58" s="112">
        <f t="shared" si="4"/>
        <v>3.7142857142857144</v>
      </c>
      <c r="AU58" s="113">
        <f t="shared" si="5"/>
        <v>514</v>
      </c>
      <c r="AV58" s="108"/>
      <c r="AW58" s="108"/>
      <c r="AX58" s="99" t="str">
        <f t="shared" si="6"/>
        <v>GOOD</v>
      </c>
    </row>
    <row r="59" spans="1:50" ht="15.75">
      <c r="A59" s="53">
        <v>52</v>
      </c>
      <c r="B59" s="89">
        <v>60</v>
      </c>
      <c r="C59" s="85" t="s">
        <v>248</v>
      </c>
      <c r="D59" s="85" t="s">
        <v>249</v>
      </c>
      <c r="E59" s="85" t="s">
        <v>250</v>
      </c>
      <c r="F59" s="114">
        <v>20</v>
      </c>
      <c r="G59" s="114">
        <v>46</v>
      </c>
      <c r="H59" s="114">
        <v>9</v>
      </c>
      <c r="I59" s="114">
        <v>22</v>
      </c>
      <c r="J59" s="110">
        <f t="shared" si="7"/>
        <v>97</v>
      </c>
      <c r="K59" s="111">
        <f t="shared" si="0"/>
        <v>3.5</v>
      </c>
      <c r="L59" s="195"/>
      <c r="M59" s="114">
        <v>13</v>
      </c>
      <c r="N59" s="114">
        <v>40</v>
      </c>
      <c r="O59" s="114">
        <v>7</v>
      </c>
      <c r="P59" s="114">
        <v>16</v>
      </c>
      <c r="Q59" s="110">
        <f t="shared" si="8"/>
        <v>76</v>
      </c>
      <c r="R59" s="111">
        <f t="shared" si="19"/>
        <v>3</v>
      </c>
      <c r="S59" s="195"/>
      <c r="T59" s="114">
        <v>12</v>
      </c>
      <c r="U59" s="114">
        <v>45</v>
      </c>
      <c r="V59" s="110">
        <f t="shared" si="9"/>
        <v>57</v>
      </c>
      <c r="W59" s="81">
        <f t="shared" si="10"/>
        <v>3</v>
      </c>
      <c r="X59" s="195"/>
      <c r="Y59" s="114">
        <v>9</v>
      </c>
      <c r="Z59" s="114">
        <v>50</v>
      </c>
      <c r="AA59" s="110">
        <f t="shared" si="18"/>
        <v>59</v>
      </c>
      <c r="AB59" s="81">
        <f t="shared" si="11"/>
        <v>3</v>
      </c>
      <c r="AC59" s="195"/>
      <c r="AD59" s="114">
        <v>8</v>
      </c>
      <c r="AE59" s="114">
        <v>34</v>
      </c>
      <c r="AF59" s="110">
        <f t="shared" si="12"/>
        <v>42</v>
      </c>
      <c r="AG59" s="81">
        <f t="shared" si="13"/>
        <v>2</v>
      </c>
      <c r="AH59" s="195"/>
      <c r="AI59" s="114">
        <v>8</v>
      </c>
      <c r="AJ59" s="114">
        <v>32</v>
      </c>
      <c r="AK59" s="110">
        <f t="shared" si="14"/>
        <v>40</v>
      </c>
      <c r="AL59" s="81">
        <f t="shared" si="15"/>
        <v>2</v>
      </c>
      <c r="AM59" s="195"/>
      <c r="AN59" s="114"/>
      <c r="AO59" s="114">
        <v>30</v>
      </c>
      <c r="AP59" s="110">
        <f t="shared" si="16"/>
        <v>30</v>
      </c>
      <c r="AQ59" s="81">
        <f t="shared" si="17"/>
        <v>3.5</v>
      </c>
      <c r="AR59" s="195"/>
      <c r="AS59" s="108">
        <f t="shared" si="3"/>
        <v>20</v>
      </c>
      <c r="AT59" s="112">
        <f t="shared" si="4"/>
        <v>2.8571428571428572</v>
      </c>
      <c r="AU59" s="113">
        <f t="shared" si="5"/>
        <v>401</v>
      </c>
      <c r="AV59" s="108"/>
      <c r="AW59" s="108"/>
      <c r="AX59" s="99" t="str">
        <f t="shared" si="6"/>
        <v>GOOD</v>
      </c>
    </row>
    <row r="60" spans="1:50" ht="15.75">
      <c r="A60" s="53">
        <v>53</v>
      </c>
      <c r="B60" s="89">
        <v>63</v>
      </c>
      <c r="C60" s="85" t="s">
        <v>251</v>
      </c>
      <c r="D60" s="85" t="s">
        <v>252</v>
      </c>
      <c r="E60" s="85" t="s">
        <v>253</v>
      </c>
      <c r="F60" s="114">
        <v>16</v>
      </c>
      <c r="G60" s="114">
        <v>39</v>
      </c>
      <c r="H60" s="114">
        <v>6</v>
      </c>
      <c r="I60" s="114">
        <v>16</v>
      </c>
      <c r="J60" s="110">
        <f t="shared" si="7"/>
        <v>77</v>
      </c>
      <c r="K60" s="111">
        <f t="shared" si="0"/>
        <v>3</v>
      </c>
      <c r="L60" s="195"/>
      <c r="M60" s="114">
        <v>18</v>
      </c>
      <c r="N60" s="114">
        <v>63</v>
      </c>
      <c r="O60" s="114">
        <v>9</v>
      </c>
      <c r="P60" s="114">
        <v>30</v>
      </c>
      <c r="Q60" s="110">
        <f t="shared" si="8"/>
        <v>120</v>
      </c>
      <c r="R60" s="111">
        <f t="shared" si="19"/>
        <v>5</v>
      </c>
      <c r="S60" s="195"/>
      <c r="T60" s="114">
        <v>11</v>
      </c>
      <c r="U60" s="114">
        <v>20</v>
      </c>
      <c r="V60" s="110">
        <f t="shared" si="9"/>
        <v>31</v>
      </c>
      <c r="W60" s="81" t="str">
        <f t="shared" si="10"/>
        <v>F</v>
      </c>
      <c r="X60" s="195"/>
      <c r="Y60" s="114">
        <v>13</v>
      </c>
      <c r="Z60" s="114">
        <v>48</v>
      </c>
      <c r="AA60" s="110">
        <f t="shared" si="18"/>
        <v>61</v>
      </c>
      <c r="AB60" s="81">
        <f t="shared" si="11"/>
        <v>3.5</v>
      </c>
      <c r="AC60" s="195"/>
      <c r="AD60" s="114">
        <v>8</v>
      </c>
      <c r="AE60" s="114">
        <v>36</v>
      </c>
      <c r="AF60" s="110">
        <f t="shared" si="12"/>
        <v>44</v>
      </c>
      <c r="AG60" s="81">
        <f t="shared" si="13"/>
        <v>2</v>
      </c>
      <c r="AH60" s="195"/>
      <c r="AI60" s="114">
        <v>17</v>
      </c>
      <c r="AJ60" s="114">
        <v>59</v>
      </c>
      <c r="AK60" s="110">
        <f t="shared" si="14"/>
        <v>76</v>
      </c>
      <c r="AL60" s="81">
        <f t="shared" si="15"/>
        <v>4</v>
      </c>
      <c r="AM60" s="195"/>
      <c r="AN60" s="114"/>
      <c r="AO60" s="114">
        <v>10</v>
      </c>
      <c r="AP60" s="110">
        <f t="shared" si="16"/>
        <v>10</v>
      </c>
      <c r="AQ60" s="81" t="str">
        <f t="shared" si="17"/>
        <v>F</v>
      </c>
      <c r="AR60" s="195"/>
      <c r="AS60" s="108" t="str">
        <f t="shared" si="3"/>
        <v>F</v>
      </c>
      <c r="AT60" s="112" t="str">
        <f t="shared" si="4"/>
        <v>F</v>
      </c>
      <c r="AU60" s="113">
        <f t="shared" si="5"/>
        <v>419</v>
      </c>
      <c r="AV60" s="108"/>
      <c r="AW60" s="108"/>
      <c r="AX60" s="99" t="str">
        <f t="shared" si="6"/>
        <v>NEED TO PROGRESS</v>
      </c>
    </row>
    <row r="61" spans="1:50" ht="15.75">
      <c r="A61" s="53">
        <v>54</v>
      </c>
      <c r="B61" s="89">
        <v>66</v>
      </c>
      <c r="C61" s="85" t="s">
        <v>254</v>
      </c>
      <c r="D61" s="85" t="s">
        <v>255</v>
      </c>
      <c r="E61" s="85" t="s">
        <v>256</v>
      </c>
      <c r="F61" s="114">
        <v>14</v>
      </c>
      <c r="G61" s="114">
        <v>42</v>
      </c>
      <c r="H61" s="114">
        <v>6</v>
      </c>
      <c r="I61" s="114">
        <v>26</v>
      </c>
      <c r="J61" s="110">
        <f t="shared" si="7"/>
        <v>88</v>
      </c>
      <c r="K61" s="111">
        <f t="shared" si="0"/>
        <v>3</v>
      </c>
      <c r="L61" s="195"/>
      <c r="M61" s="114">
        <v>14</v>
      </c>
      <c r="N61" s="114">
        <v>35</v>
      </c>
      <c r="O61" s="114">
        <v>7</v>
      </c>
      <c r="P61" s="114">
        <v>26</v>
      </c>
      <c r="Q61" s="110">
        <f t="shared" si="8"/>
        <v>82</v>
      </c>
      <c r="R61" s="111">
        <f t="shared" si="19"/>
        <v>3</v>
      </c>
      <c r="S61" s="195"/>
      <c r="T61" s="114">
        <v>5</v>
      </c>
      <c r="U61" s="114">
        <v>13</v>
      </c>
      <c r="V61" s="110">
        <f t="shared" si="9"/>
        <v>18</v>
      </c>
      <c r="W61" s="81" t="str">
        <f t="shared" si="10"/>
        <v>F</v>
      </c>
      <c r="X61" s="195"/>
      <c r="Y61" s="114">
        <v>4</v>
      </c>
      <c r="Z61" s="114">
        <v>48</v>
      </c>
      <c r="AA61" s="110">
        <f t="shared" si="18"/>
        <v>52</v>
      </c>
      <c r="AB61" s="81">
        <f t="shared" si="11"/>
        <v>3</v>
      </c>
      <c r="AC61" s="195"/>
      <c r="AD61" s="114">
        <v>6</v>
      </c>
      <c r="AE61" s="114">
        <v>19</v>
      </c>
      <c r="AF61" s="110">
        <f t="shared" si="12"/>
        <v>25</v>
      </c>
      <c r="AG61" s="81" t="str">
        <f t="shared" si="13"/>
        <v>F</v>
      </c>
      <c r="AH61" s="195"/>
      <c r="AI61" s="114">
        <v>9</v>
      </c>
      <c r="AJ61" s="114">
        <v>50</v>
      </c>
      <c r="AK61" s="110">
        <f t="shared" si="14"/>
        <v>59</v>
      </c>
      <c r="AL61" s="81">
        <f t="shared" si="15"/>
        <v>3</v>
      </c>
      <c r="AM61" s="195"/>
      <c r="AN61" s="114"/>
      <c r="AO61" s="114">
        <v>44</v>
      </c>
      <c r="AP61" s="110">
        <f t="shared" si="16"/>
        <v>44</v>
      </c>
      <c r="AQ61" s="81">
        <f t="shared" si="17"/>
        <v>5</v>
      </c>
      <c r="AR61" s="195"/>
      <c r="AS61" s="108" t="str">
        <f t="shared" si="3"/>
        <v>F</v>
      </c>
      <c r="AT61" s="112" t="str">
        <f t="shared" si="4"/>
        <v>F</v>
      </c>
      <c r="AU61" s="113">
        <f t="shared" si="5"/>
        <v>368</v>
      </c>
      <c r="AV61" s="108"/>
      <c r="AW61" s="108"/>
      <c r="AX61" s="99" t="str">
        <f t="shared" si="6"/>
        <v>NEED TO PROGRESS</v>
      </c>
    </row>
    <row r="62" spans="1:50" ht="15.75">
      <c r="A62" s="53">
        <v>55</v>
      </c>
      <c r="B62" s="89">
        <v>67</v>
      </c>
      <c r="C62" s="85" t="s">
        <v>257</v>
      </c>
      <c r="D62" s="85" t="s">
        <v>258</v>
      </c>
      <c r="E62" s="85" t="s">
        <v>259</v>
      </c>
      <c r="F62" s="114">
        <v>11</v>
      </c>
      <c r="G62" s="114">
        <v>15</v>
      </c>
      <c r="H62" s="114">
        <v>5</v>
      </c>
      <c r="I62" s="114">
        <v>6</v>
      </c>
      <c r="J62" s="110">
        <f t="shared" si="7"/>
        <v>37</v>
      </c>
      <c r="K62" s="111" t="str">
        <f t="shared" si="0"/>
        <v>F</v>
      </c>
      <c r="L62" s="195"/>
      <c r="M62" s="114">
        <v>9</v>
      </c>
      <c r="N62" s="114">
        <v>7</v>
      </c>
      <c r="O62" s="114">
        <v>6</v>
      </c>
      <c r="P62" s="114">
        <v>16</v>
      </c>
      <c r="Q62" s="110">
        <f t="shared" si="8"/>
        <v>38</v>
      </c>
      <c r="R62" s="111" t="str">
        <f t="shared" si="19"/>
        <v>F</v>
      </c>
      <c r="S62" s="195"/>
      <c r="T62" s="114">
        <v>4</v>
      </c>
      <c r="U62" s="114">
        <v>6</v>
      </c>
      <c r="V62" s="110">
        <f t="shared" si="9"/>
        <v>10</v>
      </c>
      <c r="W62" s="81" t="str">
        <f t="shared" si="10"/>
        <v>F</v>
      </c>
      <c r="X62" s="195"/>
      <c r="Y62" s="114">
        <v>11</v>
      </c>
      <c r="Z62" s="114">
        <v>37</v>
      </c>
      <c r="AA62" s="110">
        <f t="shared" si="18"/>
        <v>48</v>
      </c>
      <c r="AB62" s="81">
        <f t="shared" si="11"/>
        <v>2</v>
      </c>
      <c r="AC62" s="195"/>
      <c r="AD62" s="114">
        <v>4</v>
      </c>
      <c r="AE62" s="114">
        <v>10</v>
      </c>
      <c r="AF62" s="110">
        <f t="shared" si="12"/>
        <v>14</v>
      </c>
      <c r="AG62" s="81" t="str">
        <f t="shared" si="13"/>
        <v>F</v>
      </c>
      <c r="AH62" s="195"/>
      <c r="AI62" s="114">
        <v>8</v>
      </c>
      <c r="AJ62" s="114">
        <v>12</v>
      </c>
      <c r="AK62" s="110">
        <f t="shared" si="14"/>
        <v>20</v>
      </c>
      <c r="AL62" s="81" t="str">
        <f t="shared" si="15"/>
        <v>F</v>
      </c>
      <c r="AM62" s="195"/>
      <c r="AN62" s="114"/>
      <c r="AO62" s="114">
        <v>28</v>
      </c>
      <c r="AP62" s="110">
        <f t="shared" si="16"/>
        <v>28</v>
      </c>
      <c r="AQ62" s="81">
        <f t="shared" si="17"/>
        <v>3</v>
      </c>
      <c r="AR62" s="195"/>
      <c r="AS62" s="108" t="str">
        <f t="shared" ref="AS62:AS82" si="20">IF(K62="F","F",IF(R62="F","F",IF(W62="F","F",IF(AB62="F","F",IF(AG62="F","F",IF(AL62="F","F",IF(AQ62="F","F",SUM(K62,R62,W62,AB62,AG62,AL62,AQ62))))))))</f>
        <v>F</v>
      </c>
      <c r="AT62" s="112" t="str">
        <f t="shared" ref="AT62:AT82" si="21">IF(AS62="F","F", IF(AS62&gt;=35,5,IF(AS62&lt;35,AS62/7)))</f>
        <v>F</v>
      </c>
      <c r="AU62" s="113">
        <f t="shared" ref="AU62:AU82" si="22">J62+Q62+V62+AA62+AF62+AK62+AP62</f>
        <v>195</v>
      </c>
      <c r="AV62" s="108"/>
      <c r="AW62" s="108"/>
      <c r="AX62" s="99" t="str">
        <f t="shared" ref="AX62:AX82" si="23">IF(AT62="F","NEED TO PROGRESS",IF(AT62&gt;=5,"BEST",IF(AT62&gt;=4,"BETTER",IF(AT62&gt;2,"GOOD"))))</f>
        <v>NEED TO PROGRESS</v>
      </c>
    </row>
    <row r="63" spans="1:50" ht="15.75">
      <c r="A63" s="53">
        <v>56</v>
      </c>
      <c r="B63" s="89">
        <v>68</v>
      </c>
      <c r="C63" s="85" t="s">
        <v>260</v>
      </c>
      <c r="D63" s="85" t="s">
        <v>261</v>
      </c>
      <c r="E63" s="85" t="s">
        <v>262</v>
      </c>
      <c r="F63" s="114">
        <v>20</v>
      </c>
      <c r="G63" s="114">
        <v>50</v>
      </c>
      <c r="H63" s="114">
        <v>7</v>
      </c>
      <c r="I63" s="114">
        <v>22</v>
      </c>
      <c r="J63" s="110">
        <f t="shared" si="7"/>
        <v>99</v>
      </c>
      <c r="K63" s="111">
        <f t="shared" si="0"/>
        <v>3.5</v>
      </c>
      <c r="L63" s="195"/>
      <c r="M63" s="114">
        <v>18</v>
      </c>
      <c r="N63" s="114">
        <v>28</v>
      </c>
      <c r="O63" s="114">
        <v>7</v>
      </c>
      <c r="P63" s="114">
        <v>19</v>
      </c>
      <c r="Q63" s="110">
        <f t="shared" si="8"/>
        <v>72</v>
      </c>
      <c r="R63" s="111">
        <f t="shared" si="19"/>
        <v>2</v>
      </c>
      <c r="S63" s="195"/>
      <c r="T63" s="114">
        <v>10</v>
      </c>
      <c r="U63" s="114">
        <v>49</v>
      </c>
      <c r="V63" s="110">
        <f t="shared" si="9"/>
        <v>59</v>
      </c>
      <c r="W63" s="81">
        <f t="shared" si="10"/>
        <v>3</v>
      </c>
      <c r="X63" s="195"/>
      <c r="Y63" s="114">
        <v>14</v>
      </c>
      <c r="Z63" s="114">
        <v>48</v>
      </c>
      <c r="AA63" s="110">
        <f t="shared" si="18"/>
        <v>62</v>
      </c>
      <c r="AB63" s="81">
        <f t="shared" si="11"/>
        <v>3.5</v>
      </c>
      <c r="AC63" s="195"/>
      <c r="AD63" s="114">
        <v>10</v>
      </c>
      <c r="AE63" s="114">
        <v>44</v>
      </c>
      <c r="AF63" s="110">
        <f t="shared" si="12"/>
        <v>54</v>
      </c>
      <c r="AG63" s="81">
        <f t="shared" si="13"/>
        <v>3</v>
      </c>
      <c r="AH63" s="195"/>
      <c r="AI63" s="114">
        <v>18</v>
      </c>
      <c r="AJ63" s="114">
        <v>70</v>
      </c>
      <c r="AK63" s="110">
        <f t="shared" si="14"/>
        <v>88</v>
      </c>
      <c r="AL63" s="81">
        <f t="shared" si="15"/>
        <v>5</v>
      </c>
      <c r="AM63" s="195"/>
      <c r="AN63" s="114"/>
      <c r="AO63" s="114">
        <v>28</v>
      </c>
      <c r="AP63" s="110">
        <f t="shared" si="16"/>
        <v>28</v>
      </c>
      <c r="AQ63" s="81">
        <f t="shared" si="17"/>
        <v>3</v>
      </c>
      <c r="AR63" s="195"/>
      <c r="AS63" s="108">
        <f t="shared" si="20"/>
        <v>23</v>
      </c>
      <c r="AT63" s="112">
        <f t="shared" si="21"/>
        <v>3.2857142857142856</v>
      </c>
      <c r="AU63" s="113">
        <f t="shared" si="22"/>
        <v>462</v>
      </c>
      <c r="AV63" s="108"/>
      <c r="AW63" s="108"/>
      <c r="AX63" s="99" t="str">
        <f t="shared" si="23"/>
        <v>GOOD</v>
      </c>
    </row>
    <row r="64" spans="1:50" ht="15.75">
      <c r="A64" s="53">
        <v>57</v>
      </c>
      <c r="B64" s="89">
        <v>69</v>
      </c>
      <c r="C64" s="85" t="s">
        <v>263</v>
      </c>
      <c r="D64" s="85" t="s">
        <v>264</v>
      </c>
      <c r="E64" s="85" t="s">
        <v>265</v>
      </c>
      <c r="F64" s="114">
        <v>16</v>
      </c>
      <c r="G64" s="114">
        <v>56</v>
      </c>
      <c r="H64" s="114">
        <v>7</v>
      </c>
      <c r="I64" s="114">
        <v>16</v>
      </c>
      <c r="J64" s="110">
        <f t="shared" si="7"/>
        <v>95</v>
      </c>
      <c r="K64" s="111">
        <f t="shared" si="0"/>
        <v>3.5</v>
      </c>
      <c r="L64" s="195"/>
      <c r="M64" s="114">
        <v>14</v>
      </c>
      <c r="N64" s="114">
        <v>18</v>
      </c>
      <c r="O64" s="114">
        <v>7</v>
      </c>
      <c r="P64" s="114">
        <v>18</v>
      </c>
      <c r="Q64" s="110">
        <f t="shared" si="8"/>
        <v>57</v>
      </c>
      <c r="R64" s="111" t="str">
        <f t="shared" si="19"/>
        <v>F</v>
      </c>
      <c r="S64" s="195"/>
      <c r="T64" s="114">
        <v>5</v>
      </c>
      <c r="U64" s="114">
        <v>14</v>
      </c>
      <c r="V64" s="110">
        <f t="shared" si="9"/>
        <v>19</v>
      </c>
      <c r="W64" s="81" t="str">
        <f t="shared" si="10"/>
        <v>F</v>
      </c>
      <c r="X64" s="195"/>
      <c r="Y64" s="114">
        <v>15</v>
      </c>
      <c r="Z64" s="114">
        <v>54</v>
      </c>
      <c r="AA64" s="110">
        <f t="shared" si="18"/>
        <v>69</v>
      </c>
      <c r="AB64" s="81">
        <f t="shared" si="11"/>
        <v>3.5</v>
      </c>
      <c r="AC64" s="195"/>
      <c r="AD64" s="114">
        <v>8</v>
      </c>
      <c r="AE64" s="114">
        <v>47</v>
      </c>
      <c r="AF64" s="110">
        <f t="shared" si="12"/>
        <v>55</v>
      </c>
      <c r="AG64" s="81">
        <f t="shared" si="13"/>
        <v>3</v>
      </c>
      <c r="AH64" s="195"/>
      <c r="AI64" s="114">
        <v>14</v>
      </c>
      <c r="AJ64" s="114">
        <v>53</v>
      </c>
      <c r="AK64" s="110">
        <f t="shared" si="14"/>
        <v>67</v>
      </c>
      <c r="AL64" s="81">
        <f t="shared" si="15"/>
        <v>3.5</v>
      </c>
      <c r="AM64" s="195"/>
      <c r="AN64" s="114"/>
      <c r="AO64" s="114">
        <v>29</v>
      </c>
      <c r="AP64" s="110">
        <f t="shared" si="16"/>
        <v>29</v>
      </c>
      <c r="AQ64" s="81">
        <f t="shared" si="17"/>
        <v>3</v>
      </c>
      <c r="AR64" s="195"/>
      <c r="AS64" s="108" t="str">
        <f t="shared" si="20"/>
        <v>F</v>
      </c>
      <c r="AT64" s="112" t="str">
        <f t="shared" si="21"/>
        <v>F</v>
      </c>
      <c r="AU64" s="113">
        <f t="shared" si="22"/>
        <v>391</v>
      </c>
      <c r="AV64" s="108"/>
      <c r="AW64" s="108"/>
      <c r="AX64" s="99" t="str">
        <f t="shared" si="23"/>
        <v>NEED TO PROGRESS</v>
      </c>
    </row>
    <row r="65" spans="1:50" ht="15.75">
      <c r="A65" s="53">
        <v>58</v>
      </c>
      <c r="B65" s="89">
        <v>70</v>
      </c>
      <c r="C65" s="85" t="s">
        <v>266</v>
      </c>
      <c r="D65" s="85" t="s">
        <v>267</v>
      </c>
      <c r="E65" s="85" t="s">
        <v>268</v>
      </c>
      <c r="F65" s="114">
        <v>13</v>
      </c>
      <c r="G65" s="114">
        <v>34</v>
      </c>
      <c r="H65" s="114">
        <v>7</v>
      </c>
      <c r="I65" s="114">
        <v>18</v>
      </c>
      <c r="J65" s="110">
        <f t="shared" si="7"/>
        <v>72</v>
      </c>
      <c r="K65" s="111">
        <f t="shared" si="0"/>
        <v>2</v>
      </c>
      <c r="L65" s="195"/>
      <c r="M65" s="114">
        <v>8</v>
      </c>
      <c r="N65" s="114">
        <v>18</v>
      </c>
      <c r="O65" s="114">
        <v>7</v>
      </c>
      <c r="P65" s="114">
        <v>11</v>
      </c>
      <c r="Q65" s="110">
        <f t="shared" si="8"/>
        <v>44</v>
      </c>
      <c r="R65" s="111" t="str">
        <f t="shared" si="19"/>
        <v>F</v>
      </c>
      <c r="S65" s="195"/>
      <c r="T65" s="114">
        <v>10</v>
      </c>
      <c r="U65" s="114">
        <v>16</v>
      </c>
      <c r="V65" s="110">
        <f t="shared" si="9"/>
        <v>26</v>
      </c>
      <c r="W65" s="81" t="str">
        <f t="shared" si="10"/>
        <v>F</v>
      </c>
      <c r="X65" s="195"/>
      <c r="Y65" s="114">
        <v>13</v>
      </c>
      <c r="Z65" s="114">
        <v>48</v>
      </c>
      <c r="AA65" s="110">
        <f t="shared" si="18"/>
        <v>61</v>
      </c>
      <c r="AB65" s="81">
        <f t="shared" si="11"/>
        <v>3.5</v>
      </c>
      <c r="AC65" s="195"/>
      <c r="AD65" s="114">
        <v>3</v>
      </c>
      <c r="AE65" s="114">
        <v>26</v>
      </c>
      <c r="AF65" s="110">
        <f t="shared" si="12"/>
        <v>29</v>
      </c>
      <c r="AG65" s="81" t="str">
        <f t="shared" si="13"/>
        <v>F</v>
      </c>
      <c r="AH65" s="195"/>
      <c r="AI65" s="114">
        <v>10</v>
      </c>
      <c r="AJ65" s="114">
        <v>30</v>
      </c>
      <c r="AK65" s="110">
        <f t="shared" si="14"/>
        <v>40</v>
      </c>
      <c r="AL65" s="81">
        <f t="shared" si="15"/>
        <v>2</v>
      </c>
      <c r="AM65" s="195"/>
      <c r="AN65" s="114"/>
      <c r="AO65" s="114">
        <v>33</v>
      </c>
      <c r="AP65" s="110">
        <f t="shared" si="16"/>
        <v>33</v>
      </c>
      <c r="AQ65" s="81">
        <f t="shared" si="17"/>
        <v>3.5</v>
      </c>
      <c r="AR65" s="195"/>
      <c r="AS65" s="108" t="str">
        <f t="shared" si="20"/>
        <v>F</v>
      </c>
      <c r="AT65" s="112" t="str">
        <f t="shared" si="21"/>
        <v>F</v>
      </c>
      <c r="AU65" s="113">
        <f t="shared" si="22"/>
        <v>305</v>
      </c>
      <c r="AV65" s="108"/>
      <c r="AW65" s="108"/>
      <c r="AX65" s="99" t="str">
        <f t="shared" si="23"/>
        <v>NEED TO PROGRESS</v>
      </c>
    </row>
    <row r="66" spans="1:50" ht="15.75">
      <c r="A66" s="53">
        <v>59</v>
      </c>
      <c r="B66" s="89">
        <v>71</v>
      </c>
      <c r="C66" s="85" t="s">
        <v>269</v>
      </c>
      <c r="D66" s="85" t="s">
        <v>261</v>
      </c>
      <c r="E66" s="85" t="s">
        <v>270</v>
      </c>
      <c r="F66" s="114">
        <v>15</v>
      </c>
      <c r="G66" s="114">
        <v>32</v>
      </c>
      <c r="H66" s="114">
        <v>5</v>
      </c>
      <c r="I66" s="114">
        <v>17</v>
      </c>
      <c r="J66" s="110">
        <f t="shared" si="7"/>
        <v>69</v>
      </c>
      <c r="K66" s="111">
        <f t="shared" si="0"/>
        <v>2</v>
      </c>
      <c r="L66" s="195"/>
      <c r="M66" s="114">
        <v>11</v>
      </c>
      <c r="N66" s="114">
        <v>16</v>
      </c>
      <c r="O66" s="114">
        <v>7</v>
      </c>
      <c r="P66" s="114">
        <v>16</v>
      </c>
      <c r="Q66" s="110">
        <f t="shared" si="8"/>
        <v>50</v>
      </c>
      <c r="R66" s="111" t="str">
        <f t="shared" si="19"/>
        <v>F</v>
      </c>
      <c r="S66" s="195"/>
      <c r="T66" s="114">
        <v>4</v>
      </c>
      <c r="U66" s="114">
        <v>12</v>
      </c>
      <c r="V66" s="110">
        <f t="shared" si="9"/>
        <v>16</v>
      </c>
      <c r="W66" s="81" t="str">
        <f t="shared" si="10"/>
        <v>F</v>
      </c>
      <c r="X66" s="195"/>
      <c r="Y66" s="114">
        <v>12</v>
      </c>
      <c r="Z66" s="114">
        <v>37</v>
      </c>
      <c r="AA66" s="110">
        <f t="shared" si="18"/>
        <v>49</v>
      </c>
      <c r="AB66" s="81">
        <f t="shared" si="11"/>
        <v>2</v>
      </c>
      <c r="AC66" s="195"/>
      <c r="AD66" s="114">
        <v>13</v>
      </c>
      <c r="AE66" s="114">
        <v>29</v>
      </c>
      <c r="AF66" s="110">
        <f t="shared" si="12"/>
        <v>42</v>
      </c>
      <c r="AG66" s="81">
        <f t="shared" si="13"/>
        <v>2</v>
      </c>
      <c r="AH66" s="195"/>
      <c r="AI66" s="114">
        <v>15</v>
      </c>
      <c r="AJ66" s="114">
        <v>43</v>
      </c>
      <c r="AK66" s="110">
        <f t="shared" si="14"/>
        <v>58</v>
      </c>
      <c r="AL66" s="81">
        <f t="shared" si="15"/>
        <v>3</v>
      </c>
      <c r="AM66" s="195"/>
      <c r="AN66" s="114"/>
      <c r="AO66" s="114">
        <v>37</v>
      </c>
      <c r="AP66" s="110">
        <f t="shared" si="16"/>
        <v>37</v>
      </c>
      <c r="AQ66" s="81">
        <f t="shared" si="17"/>
        <v>4</v>
      </c>
      <c r="AR66" s="195"/>
      <c r="AS66" s="108" t="str">
        <f t="shared" si="20"/>
        <v>F</v>
      </c>
      <c r="AT66" s="112" t="str">
        <f t="shared" si="21"/>
        <v>F</v>
      </c>
      <c r="AU66" s="113">
        <f t="shared" si="22"/>
        <v>321</v>
      </c>
      <c r="AV66" s="108"/>
      <c r="AW66" s="108"/>
      <c r="AX66" s="99" t="str">
        <f t="shared" si="23"/>
        <v>NEED TO PROGRESS</v>
      </c>
    </row>
    <row r="67" spans="1:50" ht="15.75">
      <c r="A67" s="53">
        <v>60</v>
      </c>
      <c r="B67" s="89">
        <v>72</v>
      </c>
      <c r="C67" s="85" t="s">
        <v>271</v>
      </c>
      <c r="D67" s="85" t="s">
        <v>272</v>
      </c>
      <c r="E67" s="85" t="s">
        <v>273</v>
      </c>
      <c r="F67" s="114">
        <v>16</v>
      </c>
      <c r="G67" s="114">
        <v>43</v>
      </c>
      <c r="H67" s="114">
        <v>7</v>
      </c>
      <c r="I67" s="114">
        <v>19</v>
      </c>
      <c r="J67" s="110">
        <f t="shared" si="7"/>
        <v>85</v>
      </c>
      <c r="K67" s="111">
        <f t="shared" si="0"/>
        <v>3</v>
      </c>
      <c r="L67" s="195"/>
      <c r="M67" s="114">
        <v>8</v>
      </c>
      <c r="N67" s="114">
        <v>20</v>
      </c>
      <c r="O67" s="114">
        <v>5</v>
      </c>
      <c r="P67" s="114">
        <v>5</v>
      </c>
      <c r="Q67" s="110">
        <f t="shared" si="8"/>
        <v>38</v>
      </c>
      <c r="R67" s="111" t="str">
        <f t="shared" si="19"/>
        <v>F</v>
      </c>
      <c r="S67" s="195"/>
      <c r="T67" s="114">
        <v>4</v>
      </c>
      <c r="U67" s="114">
        <v>14</v>
      </c>
      <c r="V67" s="110">
        <f t="shared" si="9"/>
        <v>18</v>
      </c>
      <c r="W67" s="81" t="str">
        <f t="shared" si="10"/>
        <v>F</v>
      </c>
      <c r="X67" s="195"/>
      <c r="Y67" s="114">
        <v>13</v>
      </c>
      <c r="Z67" s="114">
        <v>37</v>
      </c>
      <c r="AA67" s="110">
        <f t="shared" si="18"/>
        <v>50</v>
      </c>
      <c r="AB67" s="81">
        <f t="shared" si="11"/>
        <v>3</v>
      </c>
      <c r="AC67" s="195"/>
      <c r="AD67" s="114">
        <v>6</v>
      </c>
      <c r="AE67" s="114">
        <v>21</v>
      </c>
      <c r="AF67" s="110">
        <f t="shared" si="12"/>
        <v>27</v>
      </c>
      <c r="AG67" s="81" t="str">
        <f t="shared" si="13"/>
        <v>F</v>
      </c>
      <c r="AH67" s="195"/>
      <c r="AI67" s="114">
        <v>12</v>
      </c>
      <c r="AJ67" s="114">
        <v>42</v>
      </c>
      <c r="AK67" s="110">
        <f t="shared" si="14"/>
        <v>54</v>
      </c>
      <c r="AL67" s="81">
        <f t="shared" si="15"/>
        <v>3</v>
      </c>
      <c r="AM67" s="195"/>
      <c r="AN67" s="114"/>
      <c r="AO67" s="114">
        <v>14</v>
      </c>
      <c r="AP67" s="110">
        <f t="shared" si="16"/>
        <v>14</v>
      </c>
      <c r="AQ67" s="81" t="str">
        <f t="shared" si="17"/>
        <v>F</v>
      </c>
      <c r="AR67" s="195"/>
      <c r="AS67" s="108" t="str">
        <f t="shared" si="20"/>
        <v>F</v>
      </c>
      <c r="AT67" s="112" t="str">
        <f t="shared" si="21"/>
        <v>F</v>
      </c>
      <c r="AU67" s="113">
        <f t="shared" si="22"/>
        <v>286</v>
      </c>
      <c r="AV67" s="108"/>
      <c r="AW67" s="108"/>
      <c r="AX67" s="99" t="str">
        <f t="shared" si="23"/>
        <v>NEED TO PROGRESS</v>
      </c>
    </row>
    <row r="68" spans="1:50" ht="15.75">
      <c r="A68" s="53">
        <v>61</v>
      </c>
      <c r="B68" s="89">
        <v>73</v>
      </c>
      <c r="C68" s="85" t="s">
        <v>274</v>
      </c>
      <c r="D68" s="85" t="s">
        <v>275</v>
      </c>
      <c r="E68" s="85" t="s">
        <v>276</v>
      </c>
      <c r="F68" s="114">
        <v>18</v>
      </c>
      <c r="G68" s="114">
        <v>50</v>
      </c>
      <c r="H68" s="114">
        <v>9</v>
      </c>
      <c r="I68" s="114">
        <v>30</v>
      </c>
      <c r="J68" s="110">
        <f t="shared" si="7"/>
        <v>107</v>
      </c>
      <c r="K68" s="111">
        <f t="shared" si="0"/>
        <v>4</v>
      </c>
      <c r="L68" s="195"/>
      <c r="M68" s="114">
        <v>18</v>
      </c>
      <c r="N68" s="114">
        <v>53</v>
      </c>
      <c r="O68" s="114">
        <v>7</v>
      </c>
      <c r="P68" s="114">
        <v>29</v>
      </c>
      <c r="Q68" s="110">
        <f t="shared" si="8"/>
        <v>107</v>
      </c>
      <c r="R68" s="111">
        <f t="shared" si="19"/>
        <v>4</v>
      </c>
      <c r="S68" s="195"/>
      <c r="T68" s="114">
        <v>10</v>
      </c>
      <c r="U68" s="114">
        <v>37</v>
      </c>
      <c r="V68" s="110">
        <f t="shared" si="9"/>
        <v>47</v>
      </c>
      <c r="W68" s="81">
        <f t="shared" si="10"/>
        <v>2</v>
      </c>
      <c r="X68" s="195"/>
      <c r="Y68" s="114">
        <v>16</v>
      </c>
      <c r="Z68" s="114">
        <v>70</v>
      </c>
      <c r="AA68" s="110">
        <f t="shared" si="18"/>
        <v>86</v>
      </c>
      <c r="AB68" s="81">
        <f t="shared" si="11"/>
        <v>5</v>
      </c>
      <c r="AC68" s="195"/>
      <c r="AD68" s="114">
        <v>11</v>
      </c>
      <c r="AE68" s="114">
        <v>46</v>
      </c>
      <c r="AF68" s="110">
        <f t="shared" si="12"/>
        <v>57</v>
      </c>
      <c r="AG68" s="81">
        <f t="shared" si="13"/>
        <v>3</v>
      </c>
      <c r="AH68" s="195"/>
      <c r="AI68" s="114">
        <v>20</v>
      </c>
      <c r="AJ68" s="114">
        <v>62</v>
      </c>
      <c r="AK68" s="110">
        <f t="shared" si="14"/>
        <v>82</v>
      </c>
      <c r="AL68" s="81">
        <f t="shared" si="15"/>
        <v>5</v>
      </c>
      <c r="AM68" s="195"/>
      <c r="AN68" s="114"/>
      <c r="AO68" s="114">
        <v>32</v>
      </c>
      <c r="AP68" s="110">
        <f t="shared" si="16"/>
        <v>32</v>
      </c>
      <c r="AQ68" s="81">
        <f t="shared" si="17"/>
        <v>3.5</v>
      </c>
      <c r="AR68" s="195"/>
      <c r="AS68" s="108">
        <f t="shared" si="20"/>
        <v>26.5</v>
      </c>
      <c r="AT68" s="112">
        <f t="shared" si="21"/>
        <v>3.7857142857142856</v>
      </c>
      <c r="AU68" s="113">
        <f t="shared" si="22"/>
        <v>518</v>
      </c>
      <c r="AV68" s="108"/>
      <c r="AW68" s="108"/>
      <c r="AX68" s="99" t="str">
        <f t="shared" si="23"/>
        <v>GOOD</v>
      </c>
    </row>
    <row r="69" spans="1:50" ht="15.75">
      <c r="A69" s="53">
        <v>62</v>
      </c>
      <c r="B69" s="89">
        <v>74</v>
      </c>
      <c r="C69" s="85" t="s">
        <v>277</v>
      </c>
      <c r="D69" s="85" t="s">
        <v>278</v>
      </c>
      <c r="E69" s="85" t="s">
        <v>279</v>
      </c>
      <c r="F69" s="114">
        <v>17</v>
      </c>
      <c r="G69" s="114">
        <v>46</v>
      </c>
      <c r="H69" s="114">
        <v>7</v>
      </c>
      <c r="I69" s="114">
        <v>18</v>
      </c>
      <c r="J69" s="110">
        <f t="shared" si="7"/>
        <v>88</v>
      </c>
      <c r="K69" s="111">
        <f t="shared" si="0"/>
        <v>3</v>
      </c>
      <c r="L69" s="195"/>
      <c r="M69" s="114">
        <v>16</v>
      </c>
      <c r="N69" s="114">
        <v>24</v>
      </c>
      <c r="O69" s="114">
        <v>8</v>
      </c>
      <c r="P69" s="114">
        <v>19</v>
      </c>
      <c r="Q69" s="110">
        <f t="shared" si="8"/>
        <v>67</v>
      </c>
      <c r="R69" s="111">
        <f t="shared" si="19"/>
        <v>2</v>
      </c>
      <c r="S69" s="195"/>
      <c r="T69" s="114">
        <v>4</v>
      </c>
      <c r="U69" s="114">
        <v>28</v>
      </c>
      <c r="V69" s="110">
        <f t="shared" si="9"/>
        <v>32</v>
      </c>
      <c r="W69" s="81" t="str">
        <f t="shared" si="10"/>
        <v>F</v>
      </c>
      <c r="X69" s="195"/>
      <c r="Y69" s="114">
        <v>17</v>
      </c>
      <c r="Z69" s="114">
        <v>58</v>
      </c>
      <c r="AA69" s="110">
        <f t="shared" si="18"/>
        <v>75</v>
      </c>
      <c r="AB69" s="81">
        <f t="shared" si="11"/>
        <v>4</v>
      </c>
      <c r="AC69" s="195"/>
      <c r="AD69" s="114">
        <v>6</v>
      </c>
      <c r="AE69" s="114">
        <v>34</v>
      </c>
      <c r="AF69" s="110">
        <f t="shared" si="12"/>
        <v>40</v>
      </c>
      <c r="AG69" s="81">
        <f t="shared" si="13"/>
        <v>2</v>
      </c>
      <c r="AH69" s="195"/>
      <c r="AI69" s="114">
        <v>15</v>
      </c>
      <c r="AJ69" s="114">
        <v>33</v>
      </c>
      <c r="AK69" s="110">
        <f t="shared" si="14"/>
        <v>48</v>
      </c>
      <c r="AL69" s="81">
        <f t="shared" si="15"/>
        <v>2</v>
      </c>
      <c r="AM69" s="195"/>
      <c r="AN69" s="114"/>
      <c r="AO69" s="114">
        <v>22</v>
      </c>
      <c r="AP69" s="110">
        <f t="shared" si="16"/>
        <v>22</v>
      </c>
      <c r="AQ69" s="81">
        <f t="shared" si="17"/>
        <v>2</v>
      </c>
      <c r="AR69" s="195"/>
      <c r="AS69" s="108" t="str">
        <f t="shared" si="20"/>
        <v>F</v>
      </c>
      <c r="AT69" s="112" t="str">
        <f t="shared" si="21"/>
        <v>F</v>
      </c>
      <c r="AU69" s="113">
        <f t="shared" si="22"/>
        <v>372</v>
      </c>
      <c r="AV69" s="108"/>
      <c r="AW69" s="108"/>
      <c r="AX69" s="99" t="str">
        <f t="shared" si="23"/>
        <v>NEED TO PROGRESS</v>
      </c>
    </row>
    <row r="70" spans="1:50" ht="15.75">
      <c r="A70" s="53">
        <v>63</v>
      </c>
      <c r="B70" s="89">
        <v>78</v>
      </c>
      <c r="C70" s="85" t="s">
        <v>280</v>
      </c>
      <c r="D70" s="85" t="s">
        <v>281</v>
      </c>
      <c r="E70" s="85" t="s">
        <v>282</v>
      </c>
      <c r="F70" s="114">
        <v>20</v>
      </c>
      <c r="G70" s="114">
        <v>50</v>
      </c>
      <c r="H70" s="114">
        <v>5</v>
      </c>
      <c r="I70" s="114">
        <v>19</v>
      </c>
      <c r="J70" s="110">
        <f t="shared" si="7"/>
        <v>94</v>
      </c>
      <c r="K70" s="111">
        <f t="shared" si="0"/>
        <v>3.5</v>
      </c>
      <c r="L70" s="195"/>
      <c r="M70" s="114">
        <v>14</v>
      </c>
      <c r="N70" s="114">
        <v>29</v>
      </c>
      <c r="O70" s="114">
        <v>7</v>
      </c>
      <c r="P70" s="114">
        <v>23</v>
      </c>
      <c r="Q70" s="110">
        <f t="shared" si="8"/>
        <v>73</v>
      </c>
      <c r="R70" s="111">
        <f t="shared" si="19"/>
        <v>2</v>
      </c>
      <c r="S70" s="195"/>
      <c r="T70" s="114">
        <v>10</v>
      </c>
      <c r="U70" s="114">
        <v>38</v>
      </c>
      <c r="V70" s="110">
        <f t="shared" si="9"/>
        <v>48</v>
      </c>
      <c r="W70" s="81">
        <f t="shared" si="10"/>
        <v>2</v>
      </c>
      <c r="X70" s="195"/>
      <c r="Y70" s="114">
        <v>14</v>
      </c>
      <c r="Z70" s="114">
        <v>56</v>
      </c>
      <c r="AA70" s="110">
        <f t="shared" si="18"/>
        <v>70</v>
      </c>
      <c r="AB70" s="81">
        <f t="shared" si="11"/>
        <v>4</v>
      </c>
      <c r="AC70" s="195"/>
      <c r="AD70" s="114">
        <v>10</v>
      </c>
      <c r="AE70" s="114">
        <v>40</v>
      </c>
      <c r="AF70" s="110">
        <f t="shared" si="12"/>
        <v>50</v>
      </c>
      <c r="AG70" s="81">
        <f t="shared" si="13"/>
        <v>3</v>
      </c>
      <c r="AH70" s="195"/>
      <c r="AI70" s="114">
        <v>17</v>
      </c>
      <c r="AJ70" s="114">
        <v>58</v>
      </c>
      <c r="AK70" s="110">
        <f t="shared" si="14"/>
        <v>75</v>
      </c>
      <c r="AL70" s="81">
        <f t="shared" si="15"/>
        <v>4</v>
      </c>
      <c r="AM70" s="195"/>
      <c r="AN70" s="114"/>
      <c r="AO70" s="114">
        <v>29</v>
      </c>
      <c r="AP70" s="110">
        <f t="shared" si="16"/>
        <v>29</v>
      </c>
      <c r="AQ70" s="81">
        <f t="shared" si="17"/>
        <v>3</v>
      </c>
      <c r="AR70" s="195"/>
      <c r="AS70" s="108">
        <f t="shared" si="20"/>
        <v>21.5</v>
      </c>
      <c r="AT70" s="112">
        <f t="shared" si="21"/>
        <v>3.0714285714285716</v>
      </c>
      <c r="AU70" s="113">
        <f t="shared" si="22"/>
        <v>439</v>
      </c>
      <c r="AV70" s="108"/>
      <c r="AW70" s="108"/>
      <c r="AX70" s="99" t="str">
        <f t="shared" si="23"/>
        <v>GOOD</v>
      </c>
    </row>
    <row r="71" spans="1:50" ht="15.75">
      <c r="A71" s="53">
        <v>64</v>
      </c>
      <c r="B71" s="89">
        <v>81</v>
      </c>
      <c r="C71" s="86" t="s">
        <v>283</v>
      </c>
      <c r="D71" s="86" t="s">
        <v>284</v>
      </c>
      <c r="E71" s="86" t="s">
        <v>285</v>
      </c>
      <c r="F71" s="114">
        <v>18</v>
      </c>
      <c r="G71" s="114">
        <v>39</v>
      </c>
      <c r="H71" s="114">
        <v>9</v>
      </c>
      <c r="I71" s="114">
        <v>21</v>
      </c>
      <c r="J71" s="110">
        <f t="shared" si="7"/>
        <v>87</v>
      </c>
      <c r="K71" s="111">
        <f t="shared" si="0"/>
        <v>3</v>
      </c>
      <c r="L71" s="195"/>
      <c r="M71" s="114">
        <v>20</v>
      </c>
      <c r="N71" s="114">
        <v>31</v>
      </c>
      <c r="O71" s="114">
        <v>7</v>
      </c>
      <c r="P71" s="114">
        <v>18</v>
      </c>
      <c r="Q71" s="110">
        <f t="shared" si="8"/>
        <v>76</v>
      </c>
      <c r="R71" s="111">
        <f t="shared" si="19"/>
        <v>3</v>
      </c>
      <c r="S71" s="195"/>
      <c r="T71" s="114">
        <v>4</v>
      </c>
      <c r="U71" s="114">
        <v>7</v>
      </c>
      <c r="V71" s="110">
        <f t="shared" si="9"/>
        <v>11</v>
      </c>
      <c r="W71" s="81" t="str">
        <f t="shared" si="10"/>
        <v>F</v>
      </c>
      <c r="X71" s="195"/>
      <c r="Y71" s="114">
        <v>15</v>
      </c>
      <c r="Z71" s="114">
        <v>43</v>
      </c>
      <c r="AA71" s="110">
        <f t="shared" si="18"/>
        <v>58</v>
      </c>
      <c r="AB71" s="81">
        <f t="shared" si="11"/>
        <v>3</v>
      </c>
      <c r="AC71" s="195"/>
      <c r="AD71" s="114">
        <v>13</v>
      </c>
      <c r="AE71" s="114">
        <v>38</v>
      </c>
      <c r="AF71" s="110">
        <f t="shared" si="12"/>
        <v>51</v>
      </c>
      <c r="AG71" s="81">
        <f t="shared" si="13"/>
        <v>3</v>
      </c>
      <c r="AH71" s="195"/>
      <c r="AI71" s="114">
        <v>12</v>
      </c>
      <c r="AJ71" s="114">
        <v>33</v>
      </c>
      <c r="AK71" s="110">
        <f t="shared" si="14"/>
        <v>45</v>
      </c>
      <c r="AL71" s="81">
        <f t="shared" si="15"/>
        <v>2</v>
      </c>
      <c r="AM71" s="195"/>
      <c r="AN71" s="114"/>
      <c r="AO71" s="114">
        <v>20</v>
      </c>
      <c r="AP71" s="110">
        <f t="shared" si="16"/>
        <v>20</v>
      </c>
      <c r="AQ71" s="81">
        <f t="shared" si="17"/>
        <v>2</v>
      </c>
      <c r="AR71" s="195"/>
      <c r="AS71" s="108" t="str">
        <f t="shared" si="20"/>
        <v>F</v>
      </c>
      <c r="AT71" s="112" t="str">
        <f t="shared" si="21"/>
        <v>F</v>
      </c>
      <c r="AU71" s="113">
        <f t="shared" si="22"/>
        <v>348</v>
      </c>
      <c r="AV71" s="108"/>
      <c r="AW71" s="108"/>
      <c r="AX71" s="99" t="str">
        <f t="shared" si="23"/>
        <v>NEED TO PROGRESS</v>
      </c>
    </row>
    <row r="72" spans="1:50" ht="15.75">
      <c r="A72" s="53">
        <v>65</v>
      </c>
      <c r="B72" s="89">
        <v>82</v>
      </c>
      <c r="C72" s="86" t="s">
        <v>286</v>
      </c>
      <c r="D72" s="86" t="s">
        <v>287</v>
      </c>
      <c r="E72" s="86" t="s">
        <v>288</v>
      </c>
      <c r="F72" s="114">
        <v>20</v>
      </c>
      <c r="G72" s="114">
        <v>67</v>
      </c>
      <c r="H72" s="114">
        <v>6</v>
      </c>
      <c r="I72" s="114">
        <v>34</v>
      </c>
      <c r="J72" s="110">
        <f t="shared" si="7"/>
        <v>127</v>
      </c>
      <c r="K72" s="111">
        <f t="shared" ref="K72:K82" si="24">IF(J72&lt;60,"F",IF(J72&lt;75,2,IF(J72&lt;90,3,IF(J72&lt;105,3.5,IF(J72&lt;120,4,5)))))</f>
        <v>5</v>
      </c>
      <c r="L72" s="195"/>
      <c r="M72" s="114">
        <v>16</v>
      </c>
      <c r="N72" s="114">
        <v>62</v>
      </c>
      <c r="O72" s="114">
        <v>7</v>
      </c>
      <c r="P72" s="114">
        <v>20</v>
      </c>
      <c r="Q72" s="110">
        <f t="shared" si="8"/>
        <v>105</v>
      </c>
      <c r="R72" s="111">
        <f t="shared" si="19"/>
        <v>4</v>
      </c>
      <c r="S72" s="195"/>
      <c r="T72" s="114">
        <v>8</v>
      </c>
      <c r="U72" s="114">
        <v>46</v>
      </c>
      <c r="V72" s="110">
        <f t="shared" si="9"/>
        <v>54</v>
      </c>
      <c r="W72" s="81">
        <f t="shared" si="10"/>
        <v>3</v>
      </c>
      <c r="X72" s="195"/>
      <c r="Y72" s="114">
        <v>19</v>
      </c>
      <c r="Z72" s="114">
        <v>74</v>
      </c>
      <c r="AA72" s="110">
        <f t="shared" si="18"/>
        <v>93</v>
      </c>
      <c r="AB72" s="81">
        <f t="shared" si="11"/>
        <v>5</v>
      </c>
      <c r="AC72" s="195"/>
      <c r="AD72" s="114">
        <v>13</v>
      </c>
      <c r="AE72" s="114">
        <v>55</v>
      </c>
      <c r="AF72" s="110">
        <f t="shared" si="12"/>
        <v>68</v>
      </c>
      <c r="AG72" s="81">
        <f t="shared" si="13"/>
        <v>3.5</v>
      </c>
      <c r="AH72" s="195"/>
      <c r="AI72" s="114">
        <v>16</v>
      </c>
      <c r="AJ72" s="114">
        <v>63</v>
      </c>
      <c r="AK72" s="110">
        <f t="shared" si="14"/>
        <v>79</v>
      </c>
      <c r="AL72" s="81">
        <f t="shared" si="15"/>
        <v>4</v>
      </c>
      <c r="AM72" s="195"/>
      <c r="AN72" s="114"/>
      <c r="AO72" s="114">
        <v>48</v>
      </c>
      <c r="AP72" s="110">
        <f t="shared" si="16"/>
        <v>48</v>
      </c>
      <c r="AQ72" s="81">
        <f t="shared" si="17"/>
        <v>5</v>
      </c>
      <c r="AR72" s="195"/>
      <c r="AS72" s="108">
        <f t="shared" si="20"/>
        <v>29.5</v>
      </c>
      <c r="AT72" s="112">
        <f t="shared" si="21"/>
        <v>4.2142857142857144</v>
      </c>
      <c r="AU72" s="113">
        <f t="shared" si="22"/>
        <v>574</v>
      </c>
      <c r="AV72" s="108"/>
      <c r="AW72" s="108"/>
      <c r="AX72" s="99" t="str">
        <f t="shared" si="23"/>
        <v>BETTER</v>
      </c>
    </row>
    <row r="73" spans="1:50" ht="15.75">
      <c r="A73" s="53">
        <v>66</v>
      </c>
      <c r="B73" s="89">
        <v>83</v>
      </c>
      <c r="C73" s="86" t="s">
        <v>289</v>
      </c>
      <c r="D73" s="86" t="s">
        <v>290</v>
      </c>
      <c r="E73" s="86" t="s">
        <v>291</v>
      </c>
      <c r="F73" s="114">
        <v>20</v>
      </c>
      <c r="G73" s="114">
        <v>49</v>
      </c>
      <c r="H73" s="114">
        <v>9</v>
      </c>
      <c r="I73" s="114">
        <v>27</v>
      </c>
      <c r="J73" s="110">
        <f t="shared" ref="J73:J82" si="25">SUM(F73:I73)</f>
        <v>105</v>
      </c>
      <c r="K73" s="111">
        <f t="shared" si="24"/>
        <v>4</v>
      </c>
      <c r="L73" s="195"/>
      <c r="M73" s="114">
        <v>17</v>
      </c>
      <c r="N73" s="114">
        <v>29</v>
      </c>
      <c r="O73" s="114">
        <v>9</v>
      </c>
      <c r="P73" s="114">
        <v>17</v>
      </c>
      <c r="Q73" s="110">
        <f t="shared" ref="Q73:Q82" si="26">SUM(M73:P73)</f>
        <v>72</v>
      </c>
      <c r="R73" s="111">
        <f t="shared" si="19"/>
        <v>2</v>
      </c>
      <c r="S73" s="195"/>
      <c r="T73" s="114">
        <v>9</v>
      </c>
      <c r="U73" s="114">
        <v>19</v>
      </c>
      <c r="V73" s="110">
        <f t="shared" ref="V73:V82" si="27">SUM(T73:U73)</f>
        <v>28</v>
      </c>
      <c r="W73" s="81" t="str">
        <f t="shared" ref="W73:W82" si="28">IF(V73&lt;40,"F",IF(V73&lt;50,2,IF(V73&lt;60,3,IF(V73&lt;70,3.5,IF(V73&lt;80,4,5)))))</f>
        <v>F</v>
      </c>
      <c r="X73" s="195"/>
      <c r="Y73" s="114">
        <v>17</v>
      </c>
      <c r="Z73" s="114">
        <v>52</v>
      </c>
      <c r="AA73" s="110">
        <f t="shared" si="18"/>
        <v>69</v>
      </c>
      <c r="AB73" s="81">
        <f t="shared" ref="AB73:AB82" si="29">IF(AA73&lt;40,"F",IF(AA73&lt;50,2,IF(AA73&lt;60,3,IF(AA73&lt;70,3.5,IF(AA73&lt;80,4,5)))))</f>
        <v>3.5</v>
      </c>
      <c r="AC73" s="195"/>
      <c r="AD73" s="114">
        <v>10</v>
      </c>
      <c r="AE73" s="114">
        <v>41</v>
      </c>
      <c r="AF73" s="110">
        <f t="shared" ref="AF73:AF82" si="30">SUM(AD73:AE73)</f>
        <v>51</v>
      </c>
      <c r="AG73" s="81">
        <f t="shared" ref="AG73:AG82" si="31">IF(AF73&lt;40,"F",IF(AF73&lt;50,2,IF(AF73&lt;60,3,IF(AF73&lt;70,3.5,IF(AF73&lt;80,4,5)))))</f>
        <v>3</v>
      </c>
      <c r="AH73" s="195"/>
      <c r="AI73" s="114">
        <v>18</v>
      </c>
      <c r="AJ73" s="114">
        <v>54</v>
      </c>
      <c r="AK73" s="110">
        <f t="shared" ref="AK73:AK82" si="32">SUM(AI73:AJ73)</f>
        <v>72</v>
      </c>
      <c r="AL73" s="81">
        <f t="shared" ref="AL73:AL82" si="33">IF(AK73&lt;40,"F",IF(AK73&lt;50,2,IF(AK73&lt;60,3,IF(AK73&lt;70,3.5,IF(AK73&lt;80,4,5)))))</f>
        <v>4</v>
      </c>
      <c r="AM73" s="195"/>
      <c r="AN73" s="114"/>
      <c r="AO73" s="114">
        <v>35</v>
      </c>
      <c r="AP73" s="110">
        <f t="shared" ref="AP73:AP82" si="34">SUM(AN73:AO73)</f>
        <v>35</v>
      </c>
      <c r="AQ73" s="81">
        <f t="shared" ref="AQ73:AQ82" si="35">IF(AP73&lt;20,"F",IF(AP73&lt;25,2,IF(AP73&lt;30,3,IF(AP73&lt;35,3.5,IF(AP73&lt;40,4,5)))))</f>
        <v>4</v>
      </c>
      <c r="AR73" s="195"/>
      <c r="AS73" s="108" t="str">
        <f t="shared" si="20"/>
        <v>F</v>
      </c>
      <c r="AT73" s="112" t="str">
        <f t="shared" si="21"/>
        <v>F</v>
      </c>
      <c r="AU73" s="113">
        <f t="shared" si="22"/>
        <v>432</v>
      </c>
      <c r="AV73" s="108"/>
      <c r="AW73" s="108"/>
      <c r="AX73" s="99" t="str">
        <f t="shared" si="23"/>
        <v>NEED TO PROGRESS</v>
      </c>
    </row>
    <row r="74" spans="1:50" ht="15.75">
      <c r="A74" s="53">
        <v>67</v>
      </c>
      <c r="B74" s="88">
        <v>86</v>
      </c>
      <c r="C74" s="85" t="s">
        <v>292</v>
      </c>
      <c r="D74" s="85" t="s">
        <v>293</v>
      </c>
      <c r="E74" s="85" t="s">
        <v>294</v>
      </c>
      <c r="F74" s="114">
        <v>20</v>
      </c>
      <c r="G74" s="114">
        <v>67</v>
      </c>
      <c r="H74" s="114">
        <v>9</v>
      </c>
      <c r="I74" s="114">
        <v>34</v>
      </c>
      <c r="J74" s="110">
        <f t="shared" si="25"/>
        <v>130</v>
      </c>
      <c r="K74" s="111">
        <f t="shared" si="24"/>
        <v>5</v>
      </c>
      <c r="L74" s="195"/>
      <c r="M74" s="114">
        <v>18</v>
      </c>
      <c r="N74" s="114">
        <v>59</v>
      </c>
      <c r="O74" s="114">
        <v>7</v>
      </c>
      <c r="P74" s="114">
        <v>28</v>
      </c>
      <c r="Q74" s="110">
        <f t="shared" si="26"/>
        <v>112</v>
      </c>
      <c r="R74" s="111">
        <f t="shared" si="19"/>
        <v>4</v>
      </c>
      <c r="S74" s="195"/>
      <c r="T74" s="114">
        <v>10</v>
      </c>
      <c r="U74" s="114">
        <v>43</v>
      </c>
      <c r="V74" s="110">
        <f t="shared" si="27"/>
        <v>53</v>
      </c>
      <c r="W74" s="81">
        <f t="shared" si="28"/>
        <v>3</v>
      </c>
      <c r="X74" s="195"/>
      <c r="Y74" s="114">
        <v>20</v>
      </c>
      <c r="Z74" s="114">
        <v>78</v>
      </c>
      <c r="AA74" s="110">
        <f t="shared" ref="AA74:AA82" si="36">SUM(Y74:Z74)</f>
        <v>98</v>
      </c>
      <c r="AB74" s="81">
        <f t="shared" si="29"/>
        <v>5</v>
      </c>
      <c r="AC74" s="195"/>
      <c r="AD74" s="114">
        <v>14</v>
      </c>
      <c r="AE74" s="114">
        <v>49</v>
      </c>
      <c r="AF74" s="110">
        <f t="shared" si="30"/>
        <v>63</v>
      </c>
      <c r="AG74" s="81">
        <f t="shared" si="31"/>
        <v>3.5</v>
      </c>
      <c r="AH74" s="195"/>
      <c r="AI74" s="114">
        <v>14</v>
      </c>
      <c r="AJ74" s="114">
        <v>66</v>
      </c>
      <c r="AK74" s="110">
        <f t="shared" si="32"/>
        <v>80</v>
      </c>
      <c r="AL74" s="81">
        <f t="shared" si="33"/>
        <v>5</v>
      </c>
      <c r="AM74" s="195"/>
      <c r="AN74" s="114"/>
      <c r="AO74" s="114">
        <v>49</v>
      </c>
      <c r="AP74" s="110">
        <f t="shared" si="34"/>
        <v>49</v>
      </c>
      <c r="AQ74" s="81">
        <f t="shared" si="35"/>
        <v>5</v>
      </c>
      <c r="AR74" s="195"/>
      <c r="AS74" s="108">
        <f t="shared" si="20"/>
        <v>30.5</v>
      </c>
      <c r="AT74" s="112">
        <f t="shared" si="21"/>
        <v>4.3571428571428568</v>
      </c>
      <c r="AU74" s="113">
        <f t="shared" si="22"/>
        <v>585</v>
      </c>
      <c r="AV74" s="108"/>
      <c r="AW74" s="108"/>
      <c r="AX74" s="99" t="str">
        <f t="shared" si="23"/>
        <v>BETTER</v>
      </c>
    </row>
    <row r="75" spans="1:50" ht="15.75">
      <c r="A75" s="53">
        <v>68</v>
      </c>
      <c r="B75" s="88">
        <v>87</v>
      </c>
      <c r="C75" s="85" t="s">
        <v>295</v>
      </c>
      <c r="D75" s="85" t="s">
        <v>296</v>
      </c>
      <c r="E75" s="85" t="s">
        <v>297</v>
      </c>
      <c r="F75" s="114">
        <v>20</v>
      </c>
      <c r="G75" s="114">
        <v>56</v>
      </c>
      <c r="H75" s="114">
        <v>7</v>
      </c>
      <c r="I75" s="114">
        <v>21</v>
      </c>
      <c r="J75" s="110">
        <f t="shared" si="25"/>
        <v>104</v>
      </c>
      <c r="K75" s="111">
        <f t="shared" si="24"/>
        <v>3.5</v>
      </c>
      <c r="L75" s="195"/>
      <c r="M75" s="114">
        <v>15</v>
      </c>
      <c r="N75" s="114">
        <v>56</v>
      </c>
      <c r="O75" s="114">
        <v>7</v>
      </c>
      <c r="P75" s="114">
        <v>23</v>
      </c>
      <c r="Q75" s="110">
        <f t="shared" si="26"/>
        <v>101</v>
      </c>
      <c r="R75" s="111">
        <f t="shared" si="19"/>
        <v>3.5</v>
      </c>
      <c r="S75" s="195"/>
      <c r="T75" s="114">
        <v>5</v>
      </c>
      <c r="U75" s="114">
        <v>35</v>
      </c>
      <c r="V75" s="110">
        <f t="shared" si="27"/>
        <v>40</v>
      </c>
      <c r="W75" s="81">
        <f t="shared" si="28"/>
        <v>2</v>
      </c>
      <c r="X75" s="195"/>
      <c r="Y75" s="114">
        <v>17</v>
      </c>
      <c r="Z75" s="114">
        <v>79</v>
      </c>
      <c r="AA75" s="110">
        <f t="shared" si="36"/>
        <v>96</v>
      </c>
      <c r="AB75" s="81">
        <f t="shared" si="29"/>
        <v>5</v>
      </c>
      <c r="AC75" s="195"/>
      <c r="AD75" s="114">
        <v>10</v>
      </c>
      <c r="AE75" s="114">
        <v>38</v>
      </c>
      <c r="AF75" s="110">
        <f t="shared" si="30"/>
        <v>48</v>
      </c>
      <c r="AG75" s="81">
        <f t="shared" si="31"/>
        <v>2</v>
      </c>
      <c r="AH75" s="195"/>
      <c r="AI75" s="114">
        <v>12</v>
      </c>
      <c r="AJ75" s="114">
        <v>66</v>
      </c>
      <c r="AK75" s="110">
        <f t="shared" si="32"/>
        <v>78</v>
      </c>
      <c r="AL75" s="81">
        <f t="shared" si="33"/>
        <v>4</v>
      </c>
      <c r="AM75" s="195"/>
      <c r="AN75" s="114"/>
      <c r="AO75" s="114">
        <v>49</v>
      </c>
      <c r="AP75" s="110">
        <f t="shared" si="34"/>
        <v>49</v>
      </c>
      <c r="AQ75" s="81">
        <f t="shared" si="35"/>
        <v>5</v>
      </c>
      <c r="AR75" s="195"/>
      <c r="AS75" s="108">
        <f t="shared" si="20"/>
        <v>25</v>
      </c>
      <c r="AT75" s="112">
        <f t="shared" si="21"/>
        <v>3.5714285714285716</v>
      </c>
      <c r="AU75" s="113">
        <f t="shared" si="22"/>
        <v>516</v>
      </c>
      <c r="AV75" s="108"/>
      <c r="AW75" s="108"/>
      <c r="AX75" s="99" t="str">
        <f t="shared" si="23"/>
        <v>GOOD</v>
      </c>
    </row>
    <row r="76" spans="1:50" ht="15.75">
      <c r="A76" s="53">
        <v>69</v>
      </c>
      <c r="B76" s="88">
        <v>88</v>
      </c>
      <c r="C76" s="85" t="s">
        <v>298</v>
      </c>
      <c r="D76" s="85" t="s">
        <v>171</v>
      </c>
      <c r="E76" s="85" t="s">
        <v>299</v>
      </c>
      <c r="F76" s="114">
        <v>20</v>
      </c>
      <c r="G76" s="114">
        <v>35</v>
      </c>
      <c r="H76" s="114">
        <v>5</v>
      </c>
      <c r="I76" s="114">
        <v>19</v>
      </c>
      <c r="J76" s="110">
        <f t="shared" si="25"/>
        <v>79</v>
      </c>
      <c r="K76" s="111">
        <f t="shared" si="24"/>
        <v>3</v>
      </c>
      <c r="L76" s="195"/>
      <c r="M76" s="114">
        <v>10</v>
      </c>
      <c r="N76" s="114">
        <v>32</v>
      </c>
      <c r="O76" s="114">
        <v>4</v>
      </c>
      <c r="P76" s="114">
        <v>16</v>
      </c>
      <c r="Q76" s="110">
        <f t="shared" si="26"/>
        <v>62</v>
      </c>
      <c r="R76" s="111">
        <f t="shared" si="19"/>
        <v>2</v>
      </c>
      <c r="S76" s="195"/>
      <c r="T76" s="114">
        <v>5</v>
      </c>
      <c r="U76" s="114">
        <v>19</v>
      </c>
      <c r="V76" s="110">
        <f t="shared" si="27"/>
        <v>24</v>
      </c>
      <c r="W76" s="81" t="str">
        <f t="shared" si="28"/>
        <v>F</v>
      </c>
      <c r="X76" s="195"/>
      <c r="Y76" s="114">
        <v>13</v>
      </c>
      <c r="Z76" s="114">
        <v>47</v>
      </c>
      <c r="AA76" s="110">
        <f t="shared" si="36"/>
        <v>60</v>
      </c>
      <c r="AB76" s="81">
        <f t="shared" si="29"/>
        <v>3.5</v>
      </c>
      <c r="AC76" s="195"/>
      <c r="AD76" s="114">
        <v>0</v>
      </c>
      <c r="AE76" s="114">
        <v>40</v>
      </c>
      <c r="AF76" s="110">
        <f t="shared" si="30"/>
        <v>40</v>
      </c>
      <c r="AG76" s="81">
        <f t="shared" si="31"/>
        <v>2</v>
      </c>
      <c r="AH76" s="195"/>
      <c r="AI76" s="114">
        <v>3</v>
      </c>
      <c r="AJ76" s="114">
        <v>40</v>
      </c>
      <c r="AK76" s="110">
        <f t="shared" si="32"/>
        <v>43</v>
      </c>
      <c r="AL76" s="81">
        <f t="shared" si="33"/>
        <v>2</v>
      </c>
      <c r="AM76" s="195"/>
      <c r="AN76" s="114"/>
      <c r="AO76" s="114">
        <v>28</v>
      </c>
      <c r="AP76" s="110">
        <f t="shared" si="34"/>
        <v>28</v>
      </c>
      <c r="AQ76" s="81">
        <f t="shared" si="35"/>
        <v>3</v>
      </c>
      <c r="AR76" s="195"/>
      <c r="AS76" s="108" t="str">
        <f t="shared" si="20"/>
        <v>F</v>
      </c>
      <c r="AT76" s="112" t="str">
        <f t="shared" si="21"/>
        <v>F</v>
      </c>
      <c r="AU76" s="113">
        <f t="shared" si="22"/>
        <v>336</v>
      </c>
      <c r="AV76" s="108"/>
      <c r="AW76" s="108"/>
      <c r="AX76" s="99" t="str">
        <f t="shared" si="23"/>
        <v>NEED TO PROGRESS</v>
      </c>
    </row>
    <row r="77" spans="1:50" ht="15.75">
      <c r="A77" s="53">
        <v>70</v>
      </c>
      <c r="B77" s="88">
        <v>89</v>
      </c>
      <c r="C77" s="85" t="s">
        <v>300</v>
      </c>
      <c r="D77" s="85" t="s">
        <v>301</v>
      </c>
      <c r="E77" s="85" t="s">
        <v>302</v>
      </c>
      <c r="F77" s="114">
        <v>0</v>
      </c>
      <c r="G77" s="114">
        <v>69</v>
      </c>
      <c r="H77" s="114">
        <v>0</v>
      </c>
      <c r="I77" s="114">
        <v>34</v>
      </c>
      <c r="J77" s="110">
        <f t="shared" si="25"/>
        <v>103</v>
      </c>
      <c r="K77" s="111">
        <f t="shared" si="24"/>
        <v>3.5</v>
      </c>
      <c r="L77" s="195"/>
      <c r="M77" s="114">
        <v>0</v>
      </c>
      <c r="N77" s="114">
        <v>54</v>
      </c>
      <c r="O77" s="114">
        <v>0</v>
      </c>
      <c r="P77" s="114">
        <v>34</v>
      </c>
      <c r="Q77" s="110">
        <f t="shared" si="26"/>
        <v>88</v>
      </c>
      <c r="R77" s="111">
        <f t="shared" si="19"/>
        <v>3</v>
      </c>
      <c r="S77" s="195"/>
      <c r="T77" s="114">
        <v>0</v>
      </c>
      <c r="U77" s="114">
        <v>76</v>
      </c>
      <c r="V77" s="110">
        <f t="shared" si="27"/>
        <v>76</v>
      </c>
      <c r="W77" s="81">
        <f t="shared" si="28"/>
        <v>4</v>
      </c>
      <c r="X77" s="195"/>
      <c r="Y77" s="114">
        <v>0</v>
      </c>
      <c r="Z77" s="114">
        <v>56</v>
      </c>
      <c r="AA77" s="110">
        <f t="shared" si="36"/>
        <v>56</v>
      </c>
      <c r="AB77" s="81">
        <f t="shared" si="29"/>
        <v>3</v>
      </c>
      <c r="AC77" s="195"/>
      <c r="AD77" s="114">
        <v>0</v>
      </c>
      <c r="AE77" s="114">
        <v>42</v>
      </c>
      <c r="AF77" s="110">
        <f t="shared" si="30"/>
        <v>42</v>
      </c>
      <c r="AG77" s="81">
        <f t="shared" si="31"/>
        <v>2</v>
      </c>
      <c r="AH77" s="195"/>
      <c r="AI77" s="114">
        <v>0</v>
      </c>
      <c r="AJ77" s="114">
        <v>71</v>
      </c>
      <c r="AK77" s="110">
        <f t="shared" si="32"/>
        <v>71</v>
      </c>
      <c r="AL77" s="81">
        <f t="shared" si="33"/>
        <v>4</v>
      </c>
      <c r="AM77" s="195"/>
      <c r="AN77" s="114"/>
      <c r="AO77" s="114">
        <v>32</v>
      </c>
      <c r="AP77" s="110">
        <f t="shared" si="34"/>
        <v>32</v>
      </c>
      <c r="AQ77" s="81">
        <f t="shared" si="35"/>
        <v>3.5</v>
      </c>
      <c r="AR77" s="195"/>
      <c r="AS77" s="108">
        <f t="shared" si="20"/>
        <v>23</v>
      </c>
      <c r="AT77" s="112">
        <f t="shared" si="21"/>
        <v>3.2857142857142856</v>
      </c>
      <c r="AU77" s="113">
        <f t="shared" si="22"/>
        <v>468</v>
      </c>
      <c r="AV77" s="108"/>
      <c r="AW77" s="108"/>
      <c r="AX77" s="99" t="str">
        <f t="shared" si="23"/>
        <v>GOOD</v>
      </c>
    </row>
    <row r="78" spans="1:50" s="94" customFormat="1" ht="15.75">
      <c r="A78" s="116">
        <v>71</v>
      </c>
      <c r="B78" s="92">
        <v>92</v>
      </c>
      <c r="C78" s="93" t="s">
        <v>303</v>
      </c>
      <c r="D78" s="95" t="s">
        <v>114</v>
      </c>
      <c r="E78" s="93" t="s">
        <v>304</v>
      </c>
      <c r="F78" s="125">
        <v>0</v>
      </c>
      <c r="G78" s="125">
        <v>37</v>
      </c>
      <c r="H78" s="125">
        <v>0</v>
      </c>
      <c r="I78" s="125">
        <v>20</v>
      </c>
      <c r="J78" s="118">
        <f t="shared" si="25"/>
        <v>57</v>
      </c>
      <c r="K78" s="119" t="str">
        <f t="shared" si="24"/>
        <v>F</v>
      </c>
      <c r="L78" s="195"/>
      <c r="M78" s="125">
        <v>0</v>
      </c>
      <c r="N78" s="125">
        <v>40</v>
      </c>
      <c r="O78" s="125">
        <v>0</v>
      </c>
      <c r="P78" s="125">
        <v>20</v>
      </c>
      <c r="Q78" s="118">
        <f t="shared" si="26"/>
        <v>60</v>
      </c>
      <c r="R78" s="119">
        <f t="shared" si="19"/>
        <v>2</v>
      </c>
      <c r="S78" s="195"/>
      <c r="T78" s="125">
        <v>0</v>
      </c>
      <c r="U78" s="125">
        <v>22</v>
      </c>
      <c r="V78" s="110">
        <f t="shared" si="27"/>
        <v>22</v>
      </c>
      <c r="W78" s="81" t="str">
        <f t="shared" si="28"/>
        <v>F</v>
      </c>
      <c r="X78" s="195"/>
      <c r="Y78" s="125">
        <v>0</v>
      </c>
      <c r="Z78" s="125">
        <v>51</v>
      </c>
      <c r="AA78" s="110">
        <f t="shared" si="36"/>
        <v>51</v>
      </c>
      <c r="AB78" s="81">
        <f t="shared" si="29"/>
        <v>3</v>
      </c>
      <c r="AC78" s="195"/>
      <c r="AD78" s="125">
        <v>0</v>
      </c>
      <c r="AE78" s="125">
        <v>44</v>
      </c>
      <c r="AF78" s="110">
        <f t="shared" si="30"/>
        <v>44</v>
      </c>
      <c r="AG78" s="81">
        <f t="shared" si="31"/>
        <v>2</v>
      </c>
      <c r="AH78" s="195"/>
      <c r="AI78" s="125">
        <v>0</v>
      </c>
      <c r="AJ78" s="125">
        <v>46</v>
      </c>
      <c r="AK78" s="110">
        <f t="shared" si="32"/>
        <v>46</v>
      </c>
      <c r="AL78" s="81">
        <f t="shared" si="33"/>
        <v>2</v>
      </c>
      <c r="AM78" s="195"/>
      <c r="AN78" s="125"/>
      <c r="AO78" s="125">
        <v>28</v>
      </c>
      <c r="AP78" s="110">
        <f t="shared" si="34"/>
        <v>28</v>
      </c>
      <c r="AQ78" s="81">
        <f t="shared" si="35"/>
        <v>3</v>
      </c>
      <c r="AR78" s="195"/>
      <c r="AS78" s="117" t="str">
        <f t="shared" si="20"/>
        <v>F</v>
      </c>
      <c r="AT78" s="120" t="str">
        <f t="shared" si="21"/>
        <v>F</v>
      </c>
      <c r="AU78" s="121">
        <f t="shared" si="22"/>
        <v>308</v>
      </c>
      <c r="AV78" s="117"/>
      <c r="AW78" s="117"/>
      <c r="AX78" s="122" t="str">
        <f t="shared" si="23"/>
        <v>NEED TO PROGRESS</v>
      </c>
    </row>
    <row r="79" spans="1:50" s="94" customFormat="1" ht="15.75">
      <c r="A79" s="116">
        <v>72</v>
      </c>
      <c r="B79" s="92">
        <v>93</v>
      </c>
      <c r="C79" s="93" t="s">
        <v>305</v>
      </c>
      <c r="D79" s="95"/>
      <c r="E79" s="93"/>
      <c r="F79" s="125">
        <v>0</v>
      </c>
      <c r="G79" s="125">
        <v>0</v>
      </c>
      <c r="H79" s="125">
        <v>0</v>
      </c>
      <c r="I79" s="125">
        <v>0</v>
      </c>
      <c r="J79" s="118">
        <f t="shared" si="25"/>
        <v>0</v>
      </c>
      <c r="K79" s="119" t="str">
        <f t="shared" si="24"/>
        <v>F</v>
      </c>
      <c r="L79" s="195"/>
      <c r="M79" s="125">
        <v>0</v>
      </c>
      <c r="N79" s="125">
        <v>0</v>
      </c>
      <c r="O79" s="125">
        <v>0</v>
      </c>
      <c r="P79" s="125">
        <v>0</v>
      </c>
      <c r="Q79" s="118">
        <f t="shared" si="26"/>
        <v>0</v>
      </c>
      <c r="R79" s="119" t="str">
        <f t="shared" si="19"/>
        <v>F</v>
      </c>
      <c r="S79" s="195"/>
      <c r="T79" s="125">
        <v>0</v>
      </c>
      <c r="U79" s="125">
        <v>0</v>
      </c>
      <c r="V79" s="110">
        <f t="shared" si="27"/>
        <v>0</v>
      </c>
      <c r="W79" s="81" t="str">
        <f t="shared" si="28"/>
        <v>F</v>
      </c>
      <c r="X79" s="195"/>
      <c r="Y79" s="125">
        <v>0</v>
      </c>
      <c r="Z79" s="125">
        <v>0</v>
      </c>
      <c r="AA79" s="110">
        <f t="shared" si="36"/>
        <v>0</v>
      </c>
      <c r="AB79" s="81" t="str">
        <f t="shared" si="29"/>
        <v>F</v>
      </c>
      <c r="AC79" s="195"/>
      <c r="AD79" s="125">
        <v>0</v>
      </c>
      <c r="AE79" s="125">
        <v>0</v>
      </c>
      <c r="AF79" s="110">
        <f t="shared" si="30"/>
        <v>0</v>
      </c>
      <c r="AG79" s="81" t="str">
        <f t="shared" si="31"/>
        <v>F</v>
      </c>
      <c r="AH79" s="195"/>
      <c r="AI79" s="125">
        <v>0</v>
      </c>
      <c r="AJ79" s="125">
        <v>0</v>
      </c>
      <c r="AK79" s="110">
        <f t="shared" si="32"/>
        <v>0</v>
      </c>
      <c r="AL79" s="81" t="str">
        <f t="shared" si="33"/>
        <v>F</v>
      </c>
      <c r="AM79" s="195"/>
      <c r="AN79" s="125"/>
      <c r="AO79" s="125">
        <v>0</v>
      </c>
      <c r="AP79" s="110">
        <f t="shared" si="34"/>
        <v>0</v>
      </c>
      <c r="AQ79" s="81" t="str">
        <f t="shared" si="35"/>
        <v>F</v>
      </c>
      <c r="AR79" s="195"/>
      <c r="AS79" s="117" t="str">
        <f t="shared" si="20"/>
        <v>F</v>
      </c>
      <c r="AT79" s="120" t="str">
        <f t="shared" si="21"/>
        <v>F</v>
      </c>
      <c r="AU79" s="121">
        <f t="shared" si="22"/>
        <v>0</v>
      </c>
      <c r="AV79" s="117"/>
      <c r="AW79" s="117"/>
      <c r="AX79" s="122" t="str">
        <f t="shared" si="23"/>
        <v>NEED TO PROGRESS</v>
      </c>
    </row>
    <row r="80" spans="1:50" s="94" customFormat="1" ht="15.75">
      <c r="A80" s="116">
        <v>73</v>
      </c>
      <c r="B80" s="92">
        <v>95</v>
      </c>
      <c r="C80" s="93" t="s">
        <v>306</v>
      </c>
      <c r="D80" s="93"/>
      <c r="E80" s="93"/>
      <c r="F80" s="125">
        <v>0</v>
      </c>
      <c r="G80" s="125">
        <v>0</v>
      </c>
      <c r="H80" s="125">
        <v>0</v>
      </c>
      <c r="I80" s="125">
        <v>0</v>
      </c>
      <c r="J80" s="118">
        <f t="shared" si="25"/>
        <v>0</v>
      </c>
      <c r="K80" s="119" t="str">
        <f t="shared" si="24"/>
        <v>F</v>
      </c>
      <c r="L80" s="195"/>
      <c r="M80" s="125">
        <v>0</v>
      </c>
      <c r="N80" s="125">
        <v>0</v>
      </c>
      <c r="O80" s="125">
        <v>0</v>
      </c>
      <c r="P80" s="125">
        <v>0</v>
      </c>
      <c r="Q80" s="118">
        <f t="shared" si="26"/>
        <v>0</v>
      </c>
      <c r="R80" s="119" t="str">
        <f t="shared" si="19"/>
        <v>F</v>
      </c>
      <c r="S80" s="195"/>
      <c r="T80" s="125">
        <v>0</v>
      </c>
      <c r="U80" s="125">
        <v>0</v>
      </c>
      <c r="V80" s="110">
        <f t="shared" si="27"/>
        <v>0</v>
      </c>
      <c r="W80" s="81" t="str">
        <f t="shared" si="28"/>
        <v>F</v>
      </c>
      <c r="X80" s="195"/>
      <c r="Y80" s="125">
        <v>0</v>
      </c>
      <c r="Z80" s="125">
        <v>0</v>
      </c>
      <c r="AA80" s="110">
        <f t="shared" si="36"/>
        <v>0</v>
      </c>
      <c r="AB80" s="81" t="str">
        <f t="shared" si="29"/>
        <v>F</v>
      </c>
      <c r="AC80" s="195"/>
      <c r="AD80" s="125">
        <v>0</v>
      </c>
      <c r="AE80" s="125">
        <v>0</v>
      </c>
      <c r="AF80" s="110">
        <f t="shared" si="30"/>
        <v>0</v>
      </c>
      <c r="AG80" s="81" t="str">
        <f t="shared" si="31"/>
        <v>F</v>
      </c>
      <c r="AH80" s="195"/>
      <c r="AI80" s="125">
        <v>0</v>
      </c>
      <c r="AJ80" s="125">
        <v>0</v>
      </c>
      <c r="AK80" s="110">
        <f t="shared" si="32"/>
        <v>0</v>
      </c>
      <c r="AL80" s="81" t="str">
        <f t="shared" si="33"/>
        <v>F</v>
      </c>
      <c r="AM80" s="195"/>
      <c r="AN80" s="125"/>
      <c r="AO80" s="125">
        <v>0</v>
      </c>
      <c r="AP80" s="110">
        <f t="shared" si="34"/>
        <v>0</v>
      </c>
      <c r="AQ80" s="81" t="str">
        <f t="shared" si="35"/>
        <v>F</v>
      </c>
      <c r="AR80" s="195"/>
      <c r="AS80" s="117" t="str">
        <f t="shared" si="20"/>
        <v>F</v>
      </c>
      <c r="AT80" s="120" t="str">
        <f t="shared" si="21"/>
        <v>F</v>
      </c>
      <c r="AU80" s="121">
        <f t="shared" si="22"/>
        <v>0</v>
      </c>
      <c r="AV80" s="117"/>
      <c r="AW80" s="117"/>
      <c r="AX80" s="122" t="str">
        <f t="shared" si="23"/>
        <v>NEED TO PROGRESS</v>
      </c>
    </row>
    <row r="81" spans="1:50" s="94" customFormat="1" ht="15.75">
      <c r="A81" s="116">
        <v>74</v>
      </c>
      <c r="B81" s="92">
        <v>96</v>
      </c>
      <c r="C81" s="93" t="s">
        <v>307</v>
      </c>
      <c r="D81" s="93"/>
      <c r="E81" s="93"/>
      <c r="F81" s="125">
        <v>0</v>
      </c>
      <c r="G81" s="125">
        <v>0</v>
      </c>
      <c r="H81" s="125">
        <v>0</v>
      </c>
      <c r="I81" s="125">
        <v>0</v>
      </c>
      <c r="J81" s="118">
        <f t="shared" si="25"/>
        <v>0</v>
      </c>
      <c r="K81" s="119" t="str">
        <f t="shared" si="24"/>
        <v>F</v>
      </c>
      <c r="L81" s="195"/>
      <c r="M81" s="125">
        <v>0</v>
      </c>
      <c r="N81" s="125">
        <v>0</v>
      </c>
      <c r="O81" s="125">
        <v>0</v>
      </c>
      <c r="P81" s="125">
        <v>0</v>
      </c>
      <c r="Q81" s="118">
        <f t="shared" si="26"/>
        <v>0</v>
      </c>
      <c r="R81" s="119" t="str">
        <f t="shared" si="19"/>
        <v>F</v>
      </c>
      <c r="S81" s="195"/>
      <c r="T81" s="125">
        <v>0</v>
      </c>
      <c r="U81" s="125">
        <v>0</v>
      </c>
      <c r="V81" s="110">
        <f t="shared" si="27"/>
        <v>0</v>
      </c>
      <c r="W81" s="81" t="str">
        <f t="shared" si="28"/>
        <v>F</v>
      </c>
      <c r="X81" s="195"/>
      <c r="Y81" s="125">
        <v>0</v>
      </c>
      <c r="Z81" s="125">
        <v>0</v>
      </c>
      <c r="AA81" s="110">
        <f t="shared" si="36"/>
        <v>0</v>
      </c>
      <c r="AB81" s="81" t="str">
        <f t="shared" si="29"/>
        <v>F</v>
      </c>
      <c r="AC81" s="195"/>
      <c r="AD81" s="125">
        <v>0</v>
      </c>
      <c r="AE81" s="125">
        <v>0</v>
      </c>
      <c r="AF81" s="110">
        <f t="shared" si="30"/>
        <v>0</v>
      </c>
      <c r="AG81" s="81" t="str">
        <f t="shared" si="31"/>
        <v>F</v>
      </c>
      <c r="AH81" s="195"/>
      <c r="AI81" s="125">
        <v>0</v>
      </c>
      <c r="AJ81" s="125">
        <v>0</v>
      </c>
      <c r="AK81" s="110">
        <f t="shared" si="32"/>
        <v>0</v>
      </c>
      <c r="AL81" s="81" t="str">
        <f t="shared" si="33"/>
        <v>F</v>
      </c>
      <c r="AM81" s="195"/>
      <c r="AN81" s="125"/>
      <c r="AO81" s="125">
        <v>0</v>
      </c>
      <c r="AP81" s="110">
        <f t="shared" si="34"/>
        <v>0</v>
      </c>
      <c r="AQ81" s="81" t="str">
        <f t="shared" si="35"/>
        <v>F</v>
      </c>
      <c r="AR81" s="195"/>
      <c r="AS81" s="117" t="str">
        <f t="shared" si="20"/>
        <v>F</v>
      </c>
      <c r="AT81" s="120" t="str">
        <f t="shared" si="21"/>
        <v>F</v>
      </c>
      <c r="AU81" s="121">
        <f t="shared" si="22"/>
        <v>0</v>
      </c>
      <c r="AV81" s="117"/>
      <c r="AW81" s="117"/>
      <c r="AX81" s="122" t="str">
        <f t="shared" si="23"/>
        <v>NEED TO PROGRESS</v>
      </c>
    </row>
    <row r="82" spans="1:50" s="94" customFormat="1" ht="15.75">
      <c r="A82" s="116">
        <v>75</v>
      </c>
      <c r="B82" s="92">
        <v>98</v>
      </c>
      <c r="C82" s="93" t="s">
        <v>308</v>
      </c>
      <c r="D82" s="95" t="s">
        <v>309</v>
      </c>
      <c r="E82" s="93" t="s">
        <v>310</v>
      </c>
      <c r="F82" s="125">
        <v>0</v>
      </c>
      <c r="G82" s="125">
        <v>0</v>
      </c>
      <c r="H82" s="125">
        <v>0</v>
      </c>
      <c r="I82" s="125">
        <v>0</v>
      </c>
      <c r="J82" s="118">
        <f t="shared" si="25"/>
        <v>0</v>
      </c>
      <c r="K82" s="119" t="str">
        <f t="shared" si="24"/>
        <v>F</v>
      </c>
      <c r="L82" s="196"/>
      <c r="M82" s="125">
        <v>0</v>
      </c>
      <c r="N82" s="125">
        <v>0</v>
      </c>
      <c r="O82" s="125">
        <v>0</v>
      </c>
      <c r="P82" s="125">
        <v>0</v>
      </c>
      <c r="Q82" s="118">
        <f t="shared" si="26"/>
        <v>0</v>
      </c>
      <c r="R82" s="119" t="str">
        <f t="shared" si="19"/>
        <v>F</v>
      </c>
      <c r="S82" s="196"/>
      <c r="T82" s="125">
        <v>0</v>
      </c>
      <c r="U82" s="125">
        <v>0</v>
      </c>
      <c r="V82" s="110">
        <f t="shared" si="27"/>
        <v>0</v>
      </c>
      <c r="W82" s="81" t="str">
        <f t="shared" si="28"/>
        <v>F</v>
      </c>
      <c r="X82" s="196"/>
      <c r="Y82" s="125">
        <v>0</v>
      </c>
      <c r="Z82" s="125">
        <v>0</v>
      </c>
      <c r="AA82" s="110">
        <f t="shared" si="36"/>
        <v>0</v>
      </c>
      <c r="AB82" s="81" t="str">
        <f t="shared" si="29"/>
        <v>F</v>
      </c>
      <c r="AC82" s="196"/>
      <c r="AD82" s="125">
        <v>0</v>
      </c>
      <c r="AE82" s="125">
        <v>0</v>
      </c>
      <c r="AF82" s="110">
        <f t="shared" si="30"/>
        <v>0</v>
      </c>
      <c r="AG82" s="81" t="str">
        <f t="shared" si="31"/>
        <v>F</v>
      </c>
      <c r="AH82" s="196"/>
      <c r="AI82" s="125">
        <v>0</v>
      </c>
      <c r="AJ82" s="125">
        <v>0</v>
      </c>
      <c r="AK82" s="110">
        <f t="shared" si="32"/>
        <v>0</v>
      </c>
      <c r="AL82" s="81" t="str">
        <f t="shared" si="33"/>
        <v>F</v>
      </c>
      <c r="AM82" s="196"/>
      <c r="AN82" s="125"/>
      <c r="AO82" s="125">
        <v>0</v>
      </c>
      <c r="AP82" s="110">
        <f t="shared" si="34"/>
        <v>0</v>
      </c>
      <c r="AQ82" s="81" t="str">
        <f t="shared" si="35"/>
        <v>F</v>
      </c>
      <c r="AR82" s="196"/>
      <c r="AS82" s="117" t="str">
        <f t="shared" si="20"/>
        <v>F</v>
      </c>
      <c r="AT82" s="120" t="str">
        <f t="shared" si="21"/>
        <v>F</v>
      </c>
      <c r="AU82" s="121">
        <f t="shared" si="22"/>
        <v>0</v>
      </c>
      <c r="AV82" s="117"/>
      <c r="AW82" s="117"/>
      <c r="AX82" s="122" t="str">
        <f t="shared" si="23"/>
        <v>NEED TO PROGRESS</v>
      </c>
    </row>
  </sheetData>
  <mergeCells count="42">
    <mergeCell ref="A1:AX4"/>
    <mergeCell ref="L8:L82"/>
    <mergeCell ref="S8:S82"/>
    <mergeCell ref="X8:X82"/>
    <mergeCell ref="AC8:AC82"/>
    <mergeCell ref="AH8:AH82"/>
    <mergeCell ref="AM8:AM82"/>
    <mergeCell ref="AR8:AR82"/>
    <mergeCell ref="AH5:AL5"/>
    <mergeCell ref="A5:B5"/>
    <mergeCell ref="D5:F5"/>
    <mergeCell ref="G5:L5"/>
    <mergeCell ref="N5:Q5"/>
    <mergeCell ref="R5:T5"/>
    <mergeCell ref="V5:Z5"/>
    <mergeCell ref="AD5:AG5"/>
    <mergeCell ref="E6:E7"/>
    <mergeCell ref="A6:A7"/>
    <mergeCell ref="D6:D7"/>
    <mergeCell ref="B6:B7"/>
    <mergeCell ref="C6:C7"/>
    <mergeCell ref="K6:K7"/>
    <mergeCell ref="L6:L7"/>
    <mergeCell ref="F6:G6"/>
    <mergeCell ref="J6:J7"/>
    <mergeCell ref="AU6:AU7"/>
    <mergeCell ref="AS6:AS7"/>
    <mergeCell ref="AT6:AT7"/>
    <mergeCell ref="Q6:Q7"/>
    <mergeCell ref="R6:R7"/>
    <mergeCell ref="H6:I6"/>
    <mergeCell ref="M6:N6"/>
    <mergeCell ref="AI6:AM6"/>
    <mergeCell ref="AN6:AR6"/>
    <mergeCell ref="AD6:AH6"/>
    <mergeCell ref="T6:X6"/>
    <mergeCell ref="S6:S7"/>
    <mergeCell ref="AW6:AW7"/>
    <mergeCell ref="AX6:AX7"/>
    <mergeCell ref="O6:P6"/>
    <mergeCell ref="AV6:AV7"/>
    <mergeCell ref="Y6:AC6"/>
  </mergeCells>
  <conditionalFormatting sqref="B8:B39">
    <cfRule type="duplicateValues" dxfId="77" priority="18"/>
  </conditionalFormatting>
  <conditionalFormatting sqref="B8">
    <cfRule type="duplicateValues" dxfId="76" priority="17"/>
  </conditionalFormatting>
  <conditionalFormatting sqref="B9:B14 B16:B27">
    <cfRule type="duplicateValues" dxfId="75" priority="16"/>
  </conditionalFormatting>
  <conditionalFormatting sqref="B15">
    <cfRule type="duplicateValues" dxfId="74" priority="15"/>
  </conditionalFormatting>
  <conditionalFormatting sqref="B28">
    <cfRule type="duplicateValues" dxfId="73" priority="14"/>
  </conditionalFormatting>
  <conditionalFormatting sqref="B29:B39">
    <cfRule type="duplicateValues" dxfId="72" priority="13"/>
  </conditionalFormatting>
  <conditionalFormatting sqref="B43">
    <cfRule type="duplicateValues" dxfId="71" priority="12"/>
  </conditionalFormatting>
  <conditionalFormatting sqref="B44:B70">
    <cfRule type="duplicateValues" dxfId="70" priority="11"/>
  </conditionalFormatting>
  <conditionalFormatting sqref="F44:F82 AI44:AI82 AD44:AD82 Y44:Y82 T44:T82 M44:M82">
    <cfRule type="cellIs" dxfId="69" priority="10" operator="greaterThan">
      <formula>20</formula>
    </cfRule>
  </conditionalFormatting>
  <conditionalFormatting sqref="G44:G82 U44:U82">
    <cfRule type="cellIs" dxfId="68" priority="9" operator="greaterThan">
      <formula>100</formula>
    </cfRule>
  </conditionalFormatting>
  <conditionalFormatting sqref="H44:H82 O44:O82 AN44:AN82">
    <cfRule type="cellIs" dxfId="67" priority="8" operator="greaterThan">
      <formula>10</formula>
    </cfRule>
  </conditionalFormatting>
  <conditionalFormatting sqref="I44:I82">
    <cfRule type="cellIs" dxfId="66" priority="7" operator="greaterThan">
      <formula>50</formula>
    </cfRule>
  </conditionalFormatting>
  <conditionalFormatting sqref="B44:B55">
    <cfRule type="duplicateValues" dxfId="65" priority="4"/>
  </conditionalFormatting>
  <conditionalFormatting sqref="B56:B69">
    <cfRule type="duplicateValues" dxfId="64" priority="3"/>
  </conditionalFormatting>
  <conditionalFormatting sqref="B70">
    <cfRule type="duplicateValues" dxfId="63" priority="2"/>
  </conditionalFormatting>
  <conditionalFormatting sqref="B74:B82">
    <cfRule type="duplicateValues" dxfId="62" priority="1"/>
  </conditionalFormatting>
  <pageMargins left="0.25" right="0.25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KH84"/>
  <sheetViews>
    <sheetView zoomScale="115" zoomScaleNormal="115" workbookViewId="0">
      <selection activeCell="U14" sqref="U14"/>
    </sheetView>
  </sheetViews>
  <sheetFormatPr defaultRowHeight="15"/>
  <cols>
    <col min="1" max="1" width="3.28515625" customWidth="1"/>
    <col min="2" max="2" width="4.42578125" bestFit="1" customWidth="1"/>
    <col min="3" max="3" width="28.42578125" style="37" bestFit="1" customWidth="1"/>
    <col min="4" max="4" width="22.85546875" style="37" hidden="1" customWidth="1"/>
    <col min="5" max="5" width="22" style="37" hidden="1" customWidth="1"/>
    <col min="6" max="6" width="3.7109375" style="37" customWidth="1"/>
    <col min="7" max="7" width="4.5703125" customWidth="1"/>
    <col min="8" max="11" width="3.7109375" customWidth="1"/>
    <col min="12" max="12" width="7.7109375" bestFit="1" customWidth="1"/>
    <col min="13" max="13" width="4.7109375" customWidth="1"/>
    <col min="14" max="18" width="3.7109375" customWidth="1"/>
    <col min="19" max="19" width="7.7109375" bestFit="1" customWidth="1"/>
    <col min="20" max="23" width="3.7109375" customWidth="1"/>
    <col min="24" max="24" width="7.7109375" bestFit="1" customWidth="1"/>
    <col min="25" max="25" width="5.42578125" customWidth="1"/>
    <col min="26" max="28" width="3.7109375" customWidth="1"/>
    <col min="29" max="29" width="7.7109375" bestFit="1" customWidth="1"/>
    <col min="30" max="30" width="3.7109375" customWidth="1"/>
    <col min="31" max="31" width="4" customWidth="1"/>
    <col min="32" max="33" width="3.7109375" customWidth="1"/>
    <col min="34" max="34" width="7.7109375" bestFit="1" customWidth="1"/>
    <col min="35" max="36" width="3.7109375" customWidth="1"/>
    <col min="37" max="37" width="3.85546875" customWidth="1"/>
    <col min="38" max="38" width="3.7109375" customWidth="1"/>
    <col min="39" max="39" width="7.7109375" bestFit="1" customWidth="1"/>
    <col min="40" max="40" width="3.7109375" customWidth="1"/>
    <col min="41" max="43" width="4" customWidth="1"/>
    <col min="44" max="44" width="7.7109375" bestFit="1" customWidth="1"/>
    <col min="45" max="45" width="4.5703125" customWidth="1"/>
    <col min="46" max="46" width="3.7109375" customWidth="1"/>
    <col min="47" max="47" width="5.28515625" customWidth="1"/>
    <col min="48" max="48" width="5.140625" customWidth="1"/>
    <col min="49" max="49" width="10.42578125" bestFit="1" customWidth="1"/>
    <col min="50" max="50" width="13.5703125" bestFit="1" customWidth="1"/>
    <col min="52" max="52" width="8.42578125" customWidth="1"/>
  </cols>
  <sheetData>
    <row r="1" spans="1:50" ht="18.75" customHeight="1">
      <c r="A1" s="193" t="s">
        <v>311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  <c r="AD1" s="193"/>
      <c r="AE1" s="193"/>
      <c r="AF1" s="193"/>
      <c r="AG1" s="193"/>
      <c r="AH1" s="193"/>
      <c r="AI1" s="193"/>
      <c r="AJ1" s="193"/>
      <c r="AK1" s="193"/>
      <c r="AL1" s="193"/>
      <c r="AM1" s="193"/>
      <c r="AN1" s="193"/>
      <c r="AO1" s="193"/>
      <c r="AP1" s="193"/>
      <c r="AQ1" s="193"/>
      <c r="AR1" s="193"/>
      <c r="AS1" s="193"/>
      <c r="AT1" s="193"/>
      <c r="AU1" s="193"/>
      <c r="AV1" s="193"/>
      <c r="AW1" s="193"/>
      <c r="AX1" s="193"/>
    </row>
    <row r="2" spans="1:50" ht="18.75" customHeight="1">
      <c r="A2" s="193"/>
      <c r="B2" s="193"/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  <c r="X2" s="193"/>
      <c r="Y2" s="193"/>
      <c r="Z2" s="193"/>
      <c r="AA2" s="193"/>
      <c r="AB2" s="193"/>
      <c r="AC2" s="193"/>
      <c r="AD2" s="193"/>
      <c r="AE2" s="193"/>
      <c r="AF2" s="193"/>
      <c r="AG2" s="193"/>
      <c r="AH2" s="193"/>
      <c r="AI2" s="193"/>
      <c r="AJ2" s="193"/>
      <c r="AK2" s="193"/>
      <c r="AL2" s="193"/>
      <c r="AM2" s="193"/>
      <c r="AN2" s="193"/>
      <c r="AO2" s="193"/>
      <c r="AP2" s="193"/>
      <c r="AQ2" s="193"/>
      <c r="AR2" s="193"/>
      <c r="AS2" s="193"/>
      <c r="AT2" s="193"/>
      <c r="AU2" s="193"/>
      <c r="AV2" s="193"/>
      <c r="AW2" s="193"/>
      <c r="AX2" s="193"/>
    </row>
    <row r="3" spans="1:50" ht="18.75" customHeight="1">
      <c r="A3" s="193"/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  <c r="X3" s="193"/>
      <c r="Y3" s="193"/>
      <c r="Z3" s="193"/>
      <c r="AA3" s="193"/>
      <c r="AB3" s="193"/>
      <c r="AC3" s="193"/>
      <c r="AD3" s="193"/>
      <c r="AE3" s="193"/>
      <c r="AF3" s="193"/>
      <c r="AG3" s="193"/>
      <c r="AH3" s="193"/>
      <c r="AI3" s="193"/>
      <c r="AJ3" s="193"/>
      <c r="AK3" s="193"/>
      <c r="AL3" s="193"/>
      <c r="AM3" s="193"/>
      <c r="AN3" s="193"/>
      <c r="AO3" s="193"/>
      <c r="AP3" s="193"/>
      <c r="AQ3" s="193"/>
      <c r="AR3" s="193"/>
      <c r="AS3" s="193"/>
      <c r="AT3" s="193"/>
      <c r="AU3" s="193"/>
      <c r="AV3" s="193"/>
      <c r="AW3" s="193"/>
      <c r="AX3" s="193"/>
    </row>
    <row r="4" spans="1:50" ht="16.5" customHeight="1">
      <c r="A4" s="193"/>
      <c r="B4" s="193"/>
      <c r="C4" s="193"/>
      <c r="D4" s="193"/>
      <c r="E4" s="193"/>
      <c r="F4" s="193"/>
      <c r="G4" s="193"/>
      <c r="H4" s="193"/>
      <c r="I4" s="193"/>
      <c r="J4" s="193"/>
      <c r="K4" s="193"/>
      <c r="L4" s="193"/>
      <c r="M4" s="193"/>
      <c r="N4" s="193"/>
      <c r="O4" s="193"/>
      <c r="P4" s="193"/>
      <c r="Q4" s="193"/>
      <c r="R4" s="193"/>
      <c r="S4" s="193"/>
      <c r="T4" s="193"/>
      <c r="U4" s="193"/>
      <c r="V4" s="193"/>
      <c r="W4" s="193"/>
      <c r="X4" s="193"/>
      <c r="Y4" s="193"/>
      <c r="Z4" s="193"/>
      <c r="AA4" s="193"/>
      <c r="AB4" s="193"/>
      <c r="AC4" s="193"/>
      <c r="AD4" s="193"/>
      <c r="AE4" s="193"/>
      <c r="AF4" s="193"/>
      <c r="AG4" s="193"/>
      <c r="AH4" s="193"/>
      <c r="AI4" s="193"/>
      <c r="AJ4" s="193"/>
      <c r="AK4" s="193"/>
      <c r="AL4" s="193"/>
      <c r="AM4" s="193"/>
      <c r="AN4" s="193"/>
      <c r="AO4" s="193"/>
      <c r="AP4" s="193"/>
      <c r="AQ4" s="193"/>
      <c r="AR4" s="193"/>
      <c r="AS4" s="193"/>
      <c r="AT4" s="193"/>
      <c r="AU4" s="193"/>
      <c r="AV4" s="193"/>
      <c r="AW4" s="193"/>
      <c r="AX4" s="193"/>
    </row>
    <row r="5" spans="1:50" ht="16.5" customHeight="1">
      <c r="A5" s="200" t="s">
        <v>29</v>
      </c>
      <c r="B5" s="202"/>
      <c r="C5" s="201"/>
      <c r="D5" s="49" t="s">
        <v>30</v>
      </c>
      <c r="E5" s="200" t="s">
        <v>74</v>
      </c>
      <c r="F5" s="202"/>
      <c r="G5" s="201"/>
      <c r="H5" s="203" t="s">
        <v>75</v>
      </c>
      <c r="I5" s="203"/>
      <c r="J5" s="203"/>
      <c r="K5" s="203"/>
      <c r="L5" s="203"/>
      <c r="M5" s="203"/>
      <c r="N5" s="65"/>
      <c r="O5" s="203" t="s">
        <v>31</v>
      </c>
      <c r="P5" s="203"/>
      <c r="Q5" s="203"/>
      <c r="R5" s="203"/>
      <c r="S5" s="203" t="s">
        <v>66</v>
      </c>
      <c r="T5" s="203"/>
      <c r="U5" s="203"/>
      <c r="V5" s="65"/>
      <c r="W5" s="203" t="s">
        <v>76</v>
      </c>
      <c r="X5" s="203"/>
      <c r="Y5" s="203"/>
      <c r="Z5" s="203"/>
      <c r="AA5" s="203"/>
      <c r="AB5" s="49"/>
      <c r="AC5" s="49">
        <v>50</v>
      </c>
      <c r="AD5" s="65"/>
      <c r="AE5" s="203" t="s">
        <v>77</v>
      </c>
      <c r="AF5" s="203"/>
      <c r="AG5" s="203"/>
      <c r="AH5" s="203"/>
      <c r="AI5" s="197" t="s">
        <v>78</v>
      </c>
      <c r="AJ5" s="198"/>
      <c r="AK5" s="198"/>
      <c r="AL5" s="198"/>
      <c r="AM5" s="199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</row>
    <row r="6" spans="1:50" s="62" customFormat="1" ht="24.75" customHeight="1">
      <c r="A6" s="182" t="s">
        <v>7</v>
      </c>
      <c r="B6" s="182" t="s">
        <v>0</v>
      </c>
      <c r="C6" s="192" t="s">
        <v>9</v>
      </c>
      <c r="D6" s="190" t="s">
        <v>79</v>
      </c>
      <c r="E6" s="190" t="s">
        <v>80</v>
      </c>
      <c r="F6" s="181" t="s">
        <v>81</v>
      </c>
      <c r="G6" s="181"/>
      <c r="H6" s="186" t="s">
        <v>82</v>
      </c>
      <c r="I6" s="187"/>
      <c r="J6" s="183" t="s">
        <v>12</v>
      </c>
      <c r="K6" s="182" t="s">
        <v>1</v>
      </c>
      <c r="L6" s="182" t="s">
        <v>13</v>
      </c>
      <c r="M6" s="181" t="s">
        <v>83</v>
      </c>
      <c r="N6" s="181"/>
      <c r="O6" s="181" t="s">
        <v>84</v>
      </c>
      <c r="P6" s="181"/>
      <c r="Q6" s="182" t="s">
        <v>12</v>
      </c>
      <c r="R6" s="182" t="s">
        <v>1</v>
      </c>
      <c r="S6" s="182" t="s">
        <v>13</v>
      </c>
      <c r="T6" s="186" t="s">
        <v>22</v>
      </c>
      <c r="U6" s="187"/>
      <c r="V6" s="187"/>
      <c r="W6" s="188"/>
      <c r="X6" s="183" t="s">
        <v>13</v>
      </c>
      <c r="Y6" s="186" t="s">
        <v>5</v>
      </c>
      <c r="Z6" s="187"/>
      <c r="AA6" s="187"/>
      <c r="AB6" s="188"/>
      <c r="AC6" s="183" t="s">
        <v>13</v>
      </c>
      <c r="AD6" s="186" t="s">
        <v>6</v>
      </c>
      <c r="AE6" s="187"/>
      <c r="AF6" s="187"/>
      <c r="AG6" s="188"/>
      <c r="AH6" s="183" t="s">
        <v>13</v>
      </c>
      <c r="AI6" s="186" t="s">
        <v>2</v>
      </c>
      <c r="AJ6" s="187"/>
      <c r="AK6" s="187"/>
      <c r="AL6" s="187"/>
      <c r="AM6" s="183" t="s">
        <v>13</v>
      </c>
      <c r="AN6" s="208" t="s">
        <v>43</v>
      </c>
      <c r="AO6" s="209"/>
      <c r="AP6" s="209"/>
      <c r="AQ6" s="210"/>
      <c r="AR6" s="183" t="s">
        <v>13</v>
      </c>
      <c r="AS6" s="182" t="s">
        <v>3</v>
      </c>
      <c r="AT6" s="183" t="s">
        <v>4</v>
      </c>
      <c r="AU6" s="182" t="s">
        <v>27</v>
      </c>
      <c r="AV6" s="182" t="s">
        <v>28</v>
      </c>
      <c r="AW6" s="177" t="s">
        <v>85</v>
      </c>
      <c r="AX6" s="179" t="s">
        <v>86</v>
      </c>
    </row>
    <row r="7" spans="1:50" s="64" customFormat="1" ht="19.5" customHeight="1">
      <c r="A7" s="182"/>
      <c r="B7" s="182"/>
      <c r="C7" s="192"/>
      <c r="D7" s="191"/>
      <c r="E7" s="191"/>
      <c r="F7" s="56" t="s">
        <v>11</v>
      </c>
      <c r="G7" s="63" t="s">
        <v>10</v>
      </c>
      <c r="H7" s="56" t="s">
        <v>11</v>
      </c>
      <c r="I7" s="63" t="s">
        <v>10</v>
      </c>
      <c r="J7" s="184"/>
      <c r="K7" s="182"/>
      <c r="L7" s="182"/>
      <c r="M7" s="63" t="s">
        <v>11</v>
      </c>
      <c r="N7" s="63" t="s">
        <v>10</v>
      </c>
      <c r="O7" s="63" t="s">
        <v>11</v>
      </c>
      <c r="P7" s="63" t="s">
        <v>10</v>
      </c>
      <c r="Q7" s="182"/>
      <c r="R7" s="182"/>
      <c r="S7" s="182"/>
      <c r="T7" s="56" t="s">
        <v>11</v>
      </c>
      <c r="U7" s="63" t="s">
        <v>10</v>
      </c>
      <c r="V7" s="56" t="s">
        <v>12</v>
      </c>
      <c r="W7" s="56" t="s">
        <v>1</v>
      </c>
      <c r="X7" s="185"/>
      <c r="Y7" s="56" t="s">
        <v>11</v>
      </c>
      <c r="Z7" s="63" t="s">
        <v>10</v>
      </c>
      <c r="AA7" s="56" t="s">
        <v>12</v>
      </c>
      <c r="AB7" s="56" t="s">
        <v>1</v>
      </c>
      <c r="AC7" s="185"/>
      <c r="AD7" s="56" t="s">
        <v>11</v>
      </c>
      <c r="AE7" s="63" t="s">
        <v>10</v>
      </c>
      <c r="AF7" s="56" t="s">
        <v>12</v>
      </c>
      <c r="AG7" s="56" t="s">
        <v>1</v>
      </c>
      <c r="AH7" s="185"/>
      <c r="AI7" s="56" t="s">
        <v>11</v>
      </c>
      <c r="AJ7" s="63" t="s">
        <v>10</v>
      </c>
      <c r="AK7" s="56" t="s">
        <v>12</v>
      </c>
      <c r="AL7" s="56" t="s">
        <v>1</v>
      </c>
      <c r="AM7" s="185"/>
      <c r="AN7" s="63" t="s">
        <v>11</v>
      </c>
      <c r="AO7" s="63" t="s">
        <v>10</v>
      </c>
      <c r="AP7" s="56" t="s">
        <v>12</v>
      </c>
      <c r="AQ7" s="56" t="s">
        <v>1</v>
      </c>
      <c r="AR7" s="185"/>
      <c r="AS7" s="182"/>
      <c r="AT7" s="185"/>
      <c r="AU7" s="182"/>
      <c r="AV7" s="182"/>
      <c r="AW7" s="178"/>
      <c r="AX7" s="180"/>
    </row>
    <row r="8" spans="1:50" ht="14.1" customHeight="1">
      <c r="A8" s="53">
        <v>1</v>
      </c>
      <c r="B8" s="88">
        <v>1</v>
      </c>
      <c r="C8" s="85" t="s">
        <v>95</v>
      </c>
      <c r="D8" s="85" t="s">
        <v>96</v>
      </c>
      <c r="E8" s="85" t="s">
        <v>97</v>
      </c>
      <c r="F8" s="66">
        <v>20</v>
      </c>
      <c r="G8" s="66">
        <v>80</v>
      </c>
      <c r="H8" s="67">
        <v>10</v>
      </c>
      <c r="I8" s="67">
        <v>40</v>
      </c>
      <c r="J8" s="67">
        <f>I8+H8+G8+F8</f>
        <v>150</v>
      </c>
      <c r="K8" s="68">
        <f>IF(J8&lt;60,"F",IF(J8&lt;75,2,IF(J8&lt;90,3,IF(J8&lt;105,3.5,IF(J8&lt;120,4,5)))))</f>
        <v>5</v>
      </c>
      <c r="L8" s="205">
        <f>MAX(J8:J46)</f>
        <v>156</v>
      </c>
      <c r="M8" s="66">
        <v>20</v>
      </c>
      <c r="N8" s="67">
        <v>79</v>
      </c>
      <c r="O8" s="67">
        <v>10</v>
      </c>
      <c r="P8" s="67">
        <v>39</v>
      </c>
      <c r="Q8" s="67">
        <f t="shared" ref="Q8:Q71" si="0">M8+N8+O8+P8</f>
        <v>148</v>
      </c>
      <c r="R8" s="68">
        <f>IF(Q8&lt;60,"F",IF(Q8&lt;75,2,IF(Q8&lt;90,3,IF(Q8&lt;105,3.5,IF(Q8&lt;120,4,5)))))</f>
        <v>5</v>
      </c>
      <c r="S8" s="205">
        <f>MAX(Q8:Q46)</f>
        <v>148</v>
      </c>
      <c r="T8" s="66">
        <v>20</v>
      </c>
      <c r="U8" s="66">
        <v>77</v>
      </c>
      <c r="V8" s="67">
        <f>SUM(T8+U8)</f>
        <v>97</v>
      </c>
      <c r="W8" s="68">
        <f>IF(V8&lt;40,"F",IF(V8&lt;50,2,IF(V8&lt;60,3,IF(V8&lt;70,3.5,IF(V8&lt;80,4,5)))))</f>
        <v>5</v>
      </c>
      <c r="X8" s="205">
        <f>MAX(V8:V46)</f>
        <v>97</v>
      </c>
      <c r="Y8" s="66">
        <v>20</v>
      </c>
      <c r="Z8" s="67">
        <v>80</v>
      </c>
      <c r="AA8" s="67">
        <f t="shared" ref="AA8:AA52" si="1">Y8+Z8</f>
        <v>100</v>
      </c>
      <c r="AB8" s="68">
        <f>IF(AA8&lt;40,"F",IF(AA8&lt;50,2,IF(AA8&lt;60,3,IF(AA8&lt;70,3.5,IF(AA8&lt;80,4,5)))))</f>
        <v>5</v>
      </c>
      <c r="AC8" s="205">
        <f>MAX(AA8:AA46)</f>
        <v>100</v>
      </c>
      <c r="AD8" s="66">
        <v>20</v>
      </c>
      <c r="AE8" s="67">
        <v>78</v>
      </c>
      <c r="AF8" s="67">
        <f t="shared" ref="AF8:AF71" si="2">AD8+AE8</f>
        <v>98</v>
      </c>
      <c r="AG8" s="68">
        <f>IF(AF8&lt;40,"F",IF(AF8&lt;50,2,IF(AF8&lt;60,3,IF(AF8&lt;70,3.5,IF(AF8&lt;80,4,5)))))</f>
        <v>5</v>
      </c>
      <c r="AH8" s="205">
        <f>MAX(AF8:AF46)</f>
        <v>98</v>
      </c>
      <c r="AI8" s="66">
        <v>20</v>
      </c>
      <c r="AJ8" s="67">
        <v>79</v>
      </c>
      <c r="AK8" s="67">
        <f t="shared" ref="AK8:AK71" si="3">AI8+AJ8</f>
        <v>99</v>
      </c>
      <c r="AL8" s="68">
        <f>IF(AK8&lt;40,"F",IF(AK8&lt;50,2,IF(AK8&lt;60,3,IF(AK8&lt;70,3.5,IF(AK8&lt;80,4,5)))))</f>
        <v>5</v>
      </c>
      <c r="AM8" s="205">
        <f>MAX(AK8:AK46)</f>
        <v>99</v>
      </c>
      <c r="AN8" s="53"/>
      <c r="AO8" s="67">
        <v>50</v>
      </c>
      <c r="AP8" s="60">
        <f>AO8</f>
        <v>50</v>
      </c>
      <c r="AQ8" s="68">
        <f>IF(AP8&lt;20,"F",IF(AP8&lt;25,2,IF(AP8&lt;30,3,IF(AP8&lt;35,3.5,IF(AP8&lt;40,4,5)))))</f>
        <v>5</v>
      </c>
      <c r="AR8" s="205">
        <f>MAX(AP8:AP46)</f>
        <v>50</v>
      </c>
      <c r="AS8" s="53">
        <f t="shared" ref="AS8:AS43" si="4">IF(K8="F","F",IF(R8="F","F",IF(W8="F","F",IF(AB8="F","F",IF(AG8="F","F",IF(AL8="F","F",IF(AQ8="F","F",SUM(K8,R8,W8,AB8,AG8,AL8,AQ8))))))))</f>
        <v>35</v>
      </c>
      <c r="AT8" s="61">
        <f>IF(AS8="F","F", IF(AS8&gt;=35,5,IF(AS8&lt;35,AS8/7)))</f>
        <v>5</v>
      </c>
      <c r="AU8" s="58">
        <f t="shared" ref="AU8:AU43" si="5">J8+Q8+V8+AA8+AF8+AK8+AP8</f>
        <v>742</v>
      </c>
      <c r="AV8" s="57">
        <v>0</v>
      </c>
      <c r="AW8" s="57">
        <v>0</v>
      </c>
      <c r="AX8" s="57" t="str">
        <f t="shared" ref="AX8:AX52" si="6">IF(AT8="F","NEED TO PROGRESS",IF(AT8&gt;=5,"BEST",IF(AT8&gt;=4,"BETTER",IF(AT8&gt;2,"GOOD"))))</f>
        <v>BEST</v>
      </c>
    </row>
    <row r="9" spans="1:50">
      <c r="A9" s="53">
        <v>2</v>
      </c>
      <c r="B9" s="88">
        <v>2</v>
      </c>
      <c r="C9" s="85" t="s">
        <v>98</v>
      </c>
      <c r="D9" s="85" t="s">
        <v>99</v>
      </c>
      <c r="E9" s="85" t="s">
        <v>100</v>
      </c>
      <c r="F9" s="66">
        <v>20</v>
      </c>
      <c r="G9" s="66">
        <v>78</v>
      </c>
      <c r="H9" s="67">
        <v>10</v>
      </c>
      <c r="I9" s="67">
        <v>40</v>
      </c>
      <c r="J9" s="67">
        <f t="shared" ref="J9:J17" si="7">I9+H9+G9+F9</f>
        <v>148</v>
      </c>
      <c r="K9" s="68">
        <f t="shared" ref="K9:K72" si="8">IF(J9&lt;60,"F",IF(J9&lt;75,2,IF(J9&lt;90,3,IF(J9&lt;105,3.5,IF(J9&lt;120,4,5)))))</f>
        <v>5</v>
      </c>
      <c r="L9" s="206"/>
      <c r="M9" s="66">
        <v>19</v>
      </c>
      <c r="N9" s="67">
        <v>79</v>
      </c>
      <c r="O9" s="67">
        <v>10</v>
      </c>
      <c r="P9" s="67">
        <v>39</v>
      </c>
      <c r="Q9" s="67">
        <f t="shared" si="0"/>
        <v>147</v>
      </c>
      <c r="R9" s="68">
        <f t="shared" ref="R9:R43" si="9">IF(Q9&lt;60,"F",IF(Q9&lt;75,2,IF(Q9&lt;90,3,IF(Q9&lt;105,3.5,IF(Q9&lt;120,4,5)))))</f>
        <v>5</v>
      </c>
      <c r="S9" s="206"/>
      <c r="T9" s="66">
        <v>20</v>
      </c>
      <c r="U9" s="66">
        <v>74</v>
      </c>
      <c r="V9" s="67">
        <f t="shared" ref="V9:V43" si="10">SUM(T9+U9)</f>
        <v>94</v>
      </c>
      <c r="W9" s="68">
        <f t="shared" ref="W9:W43" si="11">IF(V9&lt;40,"F",IF(V9&lt;50,2,IF(V9&lt;60,3,IF(V9&lt;70,3.5,IF(V9&lt;80,4,5)))))</f>
        <v>5</v>
      </c>
      <c r="X9" s="206"/>
      <c r="Y9" s="66">
        <v>20</v>
      </c>
      <c r="Z9" s="67">
        <v>78</v>
      </c>
      <c r="AA9" s="67">
        <f t="shared" si="1"/>
        <v>98</v>
      </c>
      <c r="AB9" s="68">
        <f t="shared" ref="AB9:AB16" si="12">IF(AA9&lt;40,"F",IF(AA9&lt;50,2,IF(AA9&lt;60,3,IF(AA9&lt;70,3.5,IF(AA9&lt;80,4,5)))))</f>
        <v>5</v>
      </c>
      <c r="AC9" s="206"/>
      <c r="AD9" s="66">
        <v>20</v>
      </c>
      <c r="AE9" s="67">
        <v>76</v>
      </c>
      <c r="AF9" s="67">
        <f t="shared" si="2"/>
        <v>96</v>
      </c>
      <c r="AG9" s="68">
        <f t="shared" ref="AG9:AG43" si="13">IF(AF9&lt;40,"F",IF(AF9&lt;50,2,IF(AF9&lt;60,3,IF(AF9&lt;70,3.5,IF(AF9&lt;80,4,5)))))</f>
        <v>5</v>
      </c>
      <c r="AH9" s="206"/>
      <c r="AI9" s="66">
        <v>20</v>
      </c>
      <c r="AJ9" s="67">
        <v>74</v>
      </c>
      <c r="AK9" s="67">
        <f t="shared" si="3"/>
        <v>94</v>
      </c>
      <c r="AL9" s="68">
        <f t="shared" ref="AL9:AL43" si="14">IF(AK9&lt;40,"F",IF(AK9&lt;50,2,IF(AK9&lt;60,3,IF(AK9&lt;70,3.5,IF(AK9&lt;80,4,5)))))</f>
        <v>5</v>
      </c>
      <c r="AM9" s="206"/>
      <c r="AN9" s="53"/>
      <c r="AO9" s="67">
        <v>50</v>
      </c>
      <c r="AP9" s="60">
        <f t="shared" ref="AP9:AP43" si="15">AO9</f>
        <v>50</v>
      </c>
      <c r="AQ9" s="68">
        <f t="shared" ref="AQ9:AQ43" si="16">IF(AP9&lt;20,"F",IF(AP9&lt;25,2,IF(AP9&lt;30,3,IF(AP9&lt;35,3.5,IF(AP9&lt;40,4,5)))))</f>
        <v>5</v>
      </c>
      <c r="AR9" s="206"/>
      <c r="AS9" s="53">
        <f t="shared" si="4"/>
        <v>35</v>
      </c>
      <c r="AT9" s="61">
        <f t="shared" ref="AT9:AT72" si="17">IF(AS9="F","F", IF(AS9&gt;=35,5,IF(AS9&lt;35,AS9/7)))</f>
        <v>5</v>
      </c>
      <c r="AU9" s="58">
        <f t="shared" si="5"/>
        <v>727</v>
      </c>
      <c r="AV9" s="57">
        <v>0</v>
      </c>
      <c r="AW9" s="57">
        <v>0</v>
      </c>
      <c r="AX9" s="57" t="str">
        <f t="shared" si="6"/>
        <v>BEST</v>
      </c>
    </row>
    <row r="10" spans="1:50" ht="14.1" customHeight="1">
      <c r="A10" s="53">
        <v>3</v>
      </c>
      <c r="B10" s="88">
        <v>4</v>
      </c>
      <c r="C10" s="85" t="s">
        <v>101</v>
      </c>
      <c r="D10" s="85" t="s">
        <v>102</v>
      </c>
      <c r="E10" s="85" t="s">
        <v>103</v>
      </c>
      <c r="F10" s="66">
        <v>20</v>
      </c>
      <c r="G10" s="66">
        <v>78</v>
      </c>
      <c r="H10" s="67">
        <v>10</v>
      </c>
      <c r="I10" s="67">
        <v>40</v>
      </c>
      <c r="J10" s="67">
        <f t="shared" si="7"/>
        <v>148</v>
      </c>
      <c r="K10" s="68">
        <f t="shared" si="8"/>
        <v>5</v>
      </c>
      <c r="L10" s="206"/>
      <c r="M10" s="66">
        <v>19</v>
      </c>
      <c r="N10" s="67">
        <v>76</v>
      </c>
      <c r="O10" s="67">
        <v>10</v>
      </c>
      <c r="P10" s="67">
        <v>34</v>
      </c>
      <c r="Q10" s="67">
        <f t="shared" si="0"/>
        <v>139</v>
      </c>
      <c r="R10" s="68">
        <f t="shared" si="9"/>
        <v>5</v>
      </c>
      <c r="S10" s="206"/>
      <c r="T10" s="66">
        <v>20</v>
      </c>
      <c r="U10" s="66">
        <v>72</v>
      </c>
      <c r="V10" s="67">
        <f t="shared" si="10"/>
        <v>92</v>
      </c>
      <c r="W10" s="68">
        <f t="shared" si="11"/>
        <v>5</v>
      </c>
      <c r="X10" s="206"/>
      <c r="Y10" s="66">
        <v>20</v>
      </c>
      <c r="Z10" s="67">
        <v>79</v>
      </c>
      <c r="AA10" s="67">
        <f t="shared" si="1"/>
        <v>99</v>
      </c>
      <c r="AB10" s="68">
        <f t="shared" si="12"/>
        <v>5</v>
      </c>
      <c r="AC10" s="206"/>
      <c r="AD10" s="66">
        <v>20</v>
      </c>
      <c r="AE10" s="67">
        <v>77</v>
      </c>
      <c r="AF10" s="67">
        <f t="shared" si="2"/>
        <v>97</v>
      </c>
      <c r="AG10" s="68">
        <f t="shared" si="13"/>
        <v>5</v>
      </c>
      <c r="AH10" s="206"/>
      <c r="AI10" s="66">
        <v>20</v>
      </c>
      <c r="AJ10" s="67">
        <v>77</v>
      </c>
      <c r="AK10" s="67">
        <f t="shared" si="3"/>
        <v>97</v>
      </c>
      <c r="AL10" s="68">
        <f t="shared" si="14"/>
        <v>5</v>
      </c>
      <c r="AM10" s="206"/>
      <c r="AN10" s="53"/>
      <c r="AO10" s="67">
        <v>50</v>
      </c>
      <c r="AP10" s="60">
        <f t="shared" si="15"/>
        <v>50</v>
      </c>
      <c r="AQ10" s="68">
        <f t="shared" si="16"/>
        <v>5</v>
      </c>
      <c r="AR10" s="206"/>
      <c r="AS10" s="53">
        <f t="shared" si="4"/>
        <v>35</v>
      </c>
      <c r="AT10" s="61">
        <f t="shared" si="17"/>
        <v>5</v>
      </c>
      <c r="AU10" s="58">
        <f t="shared" si="5"/>
        <v>722</v>
      </c>
      <c r="AV10" s="57">
        <v>0</v>
      </c>
      <c r="AW10" s="57">
        <v>0</v>
      </c>
      <c r="AX10" s="57" t="str">
        <f t="shared" si="6"/>
        <v>BEST</v>
      </c>
    </row>
    <row r="11" spans="1:50">
      <c r="A11" s="53">
        <v>4</v>
      </c>
      <c r="B11" s="88">
        <v>5</v>
      </c>
      <c r="C11" s="85" t="s">
        <v>104</v>
      </c>
      <c r="D11" s="85" t="s">
        <v>105</v>
      </c>
      <c r="E11" s="85" t="s">
        <v>106</v>
      </c>
      <c r="F11" s="66">
        <v>20</v>
      </c>
      <c r="G11" s="66">
        <v>0</v>
      </c>
      <c r="H11" s="67">
        <v>10</v>
      </c>
      <c r="I11" s="67">
        <v>0</v>
      </c>
      <c r="J11" s="67">
        <f t="shared" si="7"/>
        <v>30</v>
      </c>
      <c r="K11" s="68" t="str">
        <f t="shared" si="8"/>
        <v>F</v>
      </c>
      <c r="L11" s="206"/>
      <c r="M11" s="66">
        <v>17</v>
      </c>
      <c r="N11" s="67">
        <v>0</v>
      </c>
      <c r="O11" s="67">
        <v>10</v>
      </c>
      <c r="P11" s="67">
        <v>0</v>
      </c>
      <c r="Q11" s="67">
        <f t="shared" si="0"/>
        <v>27</v>
      </c>
      <c r="R11" s="68" t="str">
        <f t="shared" si="9"/>
        <v>F</v>
      </c>
      <c r="S11" s="206"/>
      <c r="T11" s="66">
        <v>20</v>
      </c>
      <c r="U11" s="66">
        <v>0</v>
      </c>
      <c r="V11" s="67">
        <f t="shared" si="10"/>
        <v>20</v>
      </c>
      <c r="W11" s="68" t="str">
        <f t="shared" si="11"/>
        <v>F</v>
      </c>
      <c r="X11" s="206"/>
      <c r="Y11" s="66">
        <v>20</v>
      </c>
      <c r="Z11" s="67">
        <v>0</v>
      </c>
      <c r="AA11" s="67">
        <f t="shared" si="1"/>
        <v>20</v>
      </c>
      <c r="AB11" s="68" t="str">
        <f t="shared" si="12"/>
        <v>F</v>
      </c>
      <c r="AC11" s="206"/>
      <c r="AD11" s="66">
        <v>20</v>
      </c>
      <c r="AE11" s="67">
        <v>0</v>
      </c>
      <c r="AF11" s="67">
        <f t="shared" si="2"/>
        <v>20</v>
      </c>
      <c r="AG11" s="68" t="str">
        <f t="shared" si="13"/>
        <v>F</v>
      </c>
      <c r="AH11" s="206"/>
      <c r="AI11" s="66">
        <v>19</v>
      </c>
      <c r="AJ11" s="67">
        <v>0</v>
      </c>
      <c r="AK11" s="67">
        <f t="shared" si="3"/>
        <v>19</v>
      </c>
      <c r="AL11" s="68" t="str">
        <f t="shared" si="14"/>
        <v>F</v>
      </c>
      <c r="AM11" s="206"/>
      <c r="AN11" s="53"/>
      <c r="AO11" s="67">
        <v>0</v>
      </c>
      <c r="AP11" s="60">
        <f t="shared" si="15"/>
        <v>0</v>
      </c>
      <c r="AQ11" s="68" t="str">
        <f t="shared" si="16"/>
        <v>F</v>
      </c>
      <c r="AR11" s="206"/>
      <c r="AS11" s="53" t="str">
        <f t="shared" si="4"/>
        <v>F</v>
      </c>
      <c r="AT11" s="61" t="str">
        <f t="shared" si="17"/>
        <v>F</v>
      </c>
      <c r="AU11" s="58">
        <f t="shared" si="5"/>
        <v>136</v>
      </c>
      <c r="AV11" s="57">
        <v>0</v>
      </c>
      <c r="AW11" s="57">
        <v>0</v>
      </c>
      <c r="AX11" s="57" t="str">
        <f t="shared" si="6"/>
        <v>NEED TO PROGRESS</v>
      </c>
    </row>
    <row r="12" spans="1:50" ht="14.1" customHeight="1">
      <c r="A12" s="53">
        <v>5</v>
      </c>
      <c r="B12" s="88">
        <v>6</v>
      </c>
      <c r="C12" s="85" t="s">
        <v>107</v>
      </c>
      <c r="D12" s="85" t="s">
        <v>108</v>
      </c>
      <c r="E12" s="85" t="s">
        <v>109</v>
      </c>
      <c r="F12" s="66">
        <v>20</v>
      </c>
      <c r="G12" s="66">
        <v>79</v>
      </c>
      <c r="H12" s="67">
        <v>10</v>
      </c>
      <c r="I12" s="67">
        <v>40</v>
      </c>
      <c r="J12" s="67">
        <f t="shared" si="7"/>
        <v>149</v>
      </c>
      <c r="K12" s="68">
        <f t="shared" si="8"/>
        <v>5</v>
      </c>
      <c r="L12" s="206"/>
      <c r="M12" s="66">
        <v>17</v>
      </c>
      <c r="N12" s="67">
        <v>74</v>
      </c>
      <c r="O12" s="67">
        <v>10</v>
      </c>
      <c r="P12" s="67">
        <v>36</v>
      </c>
      <c r="Q12" s="67">
        <f t="shared" si="0"/>
        <v>137</v>
      </c>
      <c r="R12" s="68">
        <f t="shared" si="9"/>
        <v>5</v>
      </c>
      <c r="S12" s="206"/>
      <c r="T12" s="66">
        <v>19</v>
      </c>
      <c r="U12" s="66">
        <v>69</v>
      </c>
      <c r="V12" s="67">
        <f t="shared" si="10"/>
        <v>88</v>
      </c>
      <c r="W12" s="68">
        <f t="shared" si="11"/>
        <v>5</v>
      </c>
      <c r="X12" s="206"/>
      <c r="Y12" s="66">
        <v>19</v>
      </c>
      <c r="Z12" s="67">
        <v>78</v>
      </c>
      <c r="AA12" s="67">
        <f t="shared" si="1"/>
        <v>97</v>
      </c>
      <c r="AB12" s="68">
        <f t="shared" si="12"/>
        <v>5</v>
      </c>
      <c r="AC12" s="206"/>
      <c r="AD12" s="66">
        <v>19</v>
      </c>
      <c r="AE12" s="67">
        <v>73</v>
      </c>
      <c r="AF12" s="67">
        <f t="shared" si="2"/>
        <v>92</v>
      </c>
      <c r="AG12" s="68">
        <f t="shared" si="13"/>
        <v>5</v>
      </c>
      <c r="AH12" s="206"/>
      <c r="AI12" s="66">
        <v>19</v>
      </c>
      <c r="AJ12" s="67">
        <v>79</v>
      </c>
      <c r="AK12" s="67">
        <f t="shared" si="3"/>
        <v>98</v>
      </c>
      <c r="AL12" s="68">
        <f t="shared" si="14"/>
        <v>5</v>
      </c>
      <c r="AM12" s="206"/>
      <c r="AN12" s="53"/>
      <c r="AO12" s="67">
        <v>48</v>
      </c>
      <c r="AP12" s="60">
        <f t="shared" si="15"/>
        <v>48</v>
      </c>
      <c r="AQ12" s="68">
        <f t="shared" si="16"/>
        <v>5</v>
      </c>
      <c r="AR12" s="206"/>
      <c r="AS12" s="53">
        <f t="shared" si="4"/>
        <v>35</v>
      </c>
      <c r="AT12" s="61">
        <f t="shared" si="17"/>
        <v>5</v>
      </c>
      <c r="AU12" s="58">
        <f t="shared" si="5"/>
        <v>709</v>
      </c>
      <c r="AV12" s="57">
        <v>0</v>
      </c>
      <c r="AW12" s="57">
        <v>0</v>
      </c>
      <c r="AX12" s="57" t="str">
        <f t="shared" si="6"/>
        <v>BEST</v>
      </c>
    </row>
    <row r="13" spans="1:50" s="94" customFormat="1" ht="14.1" customHeight="1">
      <c r="A13" s="116">
        <v>6</v>
      </c>
      <c r="B13" s="92">
        <v>8</v>
      </c>
      <c r="C13" s="93" t="s">
        <v>110</v>
      </c>
      <c r="D13" s="93" t="s">
        <v>111</v>
      </c>
      <c r="E13" s="93" t="s">
        <v>112</v>
      </c>
      <c r="F13" s="167">
        <v>20</v>
      </c>
      <c r="G13" s="167">
        <v>78</v>
      </c>
      <c r="H13" s="168">
        <v>10</v>
      </c>
      <c r="I13" s="168">
        <v>40</v>
      </c>
      <c r="J13" s="168">
        <f t="shared" si="7"/>
        <v>148</v>
      </c>
      <c r="K13" s="169">
        <f t="shared" si="8"/>
        <v>5</v>
      </c>
      <c r="L13" s="206"/>
      <c r="M13" s="167">
        <v>19</v>
      </c>
      <c r="N13" s="168">
        <v>78</v>
      </c>
      <c r="O13" s="168">
        <v>10</v>
      </c>
      <c r="P13" s="168">
        <v>30</v>
      </c>
      <c r="Q13" s="168">
        <f t="shared" si="0"/>
        <v>137</v>
      </c>
      <c r="R13" s="169">
        <f t="shared" si="9"/>
        <v>5</v>
      </c>
      <c r="S13" s="206"/>
      <c r="T13" s="167">
        <v>20</v>
      </c>
      <c r="U13" s="167">
        <v>72</v>
      </c>
      <c r="V13" s="168">
        <f t="shared" si="10"/>
        <v>92</v>
      </c>
      <c r="W13" s="169">
        <f t="shared" si="11"/>
        <v>5</v>
      </c>
      <c r="X13" s="206"/>
      <c r="Y13" s="167">
        <v>20</v>
      </c>
      <c r="Z13" s="168">
        <v>79</v>
      </c>
      <c r="AA13" s="168">
        <f t="shared" si="1"/>
        <v>99</v>
      </c>
      <c r="AB13" s="169">
        <f t="shared" si="12"/>
        <v>5</v>
      </c>
      <c r="AC13" s="206"/>
      <c r="AD13" s="167">
        <v>19</v>
      </c>
      <c r="AE13" s="168">
        <v>73</v>
      </c>
      <c r="AF13" s="168">
        <f t="shared" si="2"/>
        <v>92</v>
      </c>
      <c r="AG13" s="169">
        <f t="shared" si="13"/>
        <v>5</v>
      </c>
      <c r="AH13" s="206"/>
      <c r="AI13" s="167">
        <v>19</v>
      </c>
      <c r="AJ13" s="168">
        <v>74</v>
      </c>
      <c r="AK13" s="168">
        <f t="shared" si="3"/>
        <v>93</v>
      </c>
      <c r="AL13" s="169">
        <f t="shared" si="14"/>
        <v>5</v>
      </c>
      <c r="AM13" s="206"/>
      <c r="AN13" s="116"/>
      <c r="AO13" s="168">
        <v>49</v>
      </c>
      <c r="AP13" s="170">
        <f t="shared" si="15"/>
        <v>49</v>
      </c>
      <c r="AQ13" s="169">
        <f t="shared" si="16"/>
        <v>5</v>
      </c>
      <c r="AR13" s="206"/>
      <c r="AS13" s="116">
        <f t="shared" si="4"/>
        <v>35</v>
      </c>
      <c r="AT13" s="171">
        <f t="shared" si="17"/>
        <v>5</v>
      </c>
      <c r="AU13" s="172">
        <f t="shared" si="5"/>
        <v>710</v>
      </c>
      <c r="AV13" s="173">
        <v>0</v>
      </c>
      <c r="AW13" s="173">
        <v>0</v>
      </c>
      <c r="AX13" s="173" t="str">
        <f t="shared" si="6"/>
        <v>BEST</v>
      </c>
    </row>
    <row r="14" spans="1:50" ht="14.1" customHeight="1">
      <c r="A14" s="53">
        <v>7</v>
      </c>
      <c r="B14" s="88">
        <v>11</v>
      </c>
      <c r="C14" s="85" t="s">
        <v>113</v>
      </c>
      <c r="D14" s="85" t="s">
        <v>114</v>
      </c>
      <c r="E14" s="85" t="s">
        <v>115</v>
      </c>
      <c r="F14" s="66">
        <v>20</v>
      </c>
      <c r="G14" s="66">
        <v>76</v>
      </c>
      <c r="H14" s="67">
        <v>10</v>
      </c>
      <c r="I14" s="67">
        <v>40</v>
      </c>
      <c r="J14" s="67">
        <f t="shared" si="7"/>
        <v>146</v>
      </c>
      <c r="K14" s="68">
        <f t="shared" si="8"/>
        <v>5</v>
      </c>
      <c r="L14" s="206"/>
      <c r="M14" s="66">
        <v>20</v>
      </c>
      <c r="N14" s="67">
        <v>63</v>
      </c>
      <c r="O14" s="67">
        <v>10</v>
      </c>
      <c r="P14" s="67">
        <v>29</v>
      </c>
      <c r="Q14" s="67">
        <f t="shared" si="0"/>
        <v>122</v>
      </c>
      <c r="R14" s="68">
        <f t="shared" si="9"/>
        <v>5</v>
      </c>
      <c r="S14" s="206"/>
      <c r="T14" s="66">
        <v>16</v>
      </c>
      <c r="U14" s="66">
        <v>54</v>
      </c>
      <c r="V14" s="67">
        <f t="shared" si="10"/>
        <v>70</v>
      </c>
      <c r="W14" s="68">
        <f t="shared" si="11"/>
        <v>4</v>
      </c>
      <c r="X14" s="206"/>
      <c r="Y14" s="66">
        <v>20</v>
      </c>
      <c r="Z14" s="67">
        <v>78</v>
      </c>
      <c r="AA14" s="67">
        <f t="shared" si="1"/>
        <v>98</v>
      </c>
      <c r="AB14" s="68">
        <f t="shared" si="12"/>
        <v>5</v>
      </c>
      <c r="AC14" s="206"/>
      <c r="AD14" s="66">
        <v>19</v>
      </c>
      <c r="AE14" s="67">
        <v>64</v>
      </c>
      <c r="AF14" s="67">
        <f t="shared" si="2"/>
        <v>83</v>
      </c>
      <c r="AG14" s="68">
        <f t="shared" si="13"/>
        <v>5</v>
      </c>
      <c r="AH14" s="206"/>
      <c r="AI14" s="66">
        <v>19</v>
      </c>
      <c r="AJ14" s="67">
        <v>61</v>
      </c>
      <c r="AK14" s="67">
        <f t="shared" si="3"/>
        <v>80</v>
      </c>
      <c r="AL14" s="68">
        <f t="shared" si="14"/>
        <v>5</v>
      </c>
      <c r="AM14" s="206"/>
      <c r="AN14" s="53"/>
      <c r="AO14" s="67">
        <v>49</v>
      </c>
      <c r="AP14" s="60">
        <f t="shared" si="15"/>
        <v>49</v>
      </c>
      <c r="AQ14" s="68">
        <f t="shared" si="16"/>
        <v>5</v>
      </c>
      <c r="AR14" s="206"/>
      <c r="AS14" s="53">
        <f t="shared" si="4"/>
        <v>34</v>
      </c>
      <c r="AT14" s="61">
        <f t="shared" si="17"/>
        <v>4.8571428571428568</v>
      </c>
      <c r="AU14" s="58">
        <f t="shared" si="5"/>
        <v>648</v>
      </c>
      <c r="AV14" s="57">
        <v>0</v>
      </c>
      <c r="AW14" s="57">
        <v>0</v>
      </c>
      <c r="AX14" s="57" t="str">
        <f t="shared" si="6"/>
        <v>BETTER</v>
      </c>
    </row>
    <row r="15" spans="1:50">
      <c r="A15" s="53">
        <v>8</v>
      </c>
      <c r="B15" s="88">
        <v>13</v>
      </c>
      <c r="C15" s="85" t="s">
        <v>116</v>
      </c>
      <c r="D15" s="85" t="s">
        <v>117</v>
      </c>
      <c r="E15" s="85" t="s">
        <v>118</v>
      </c>
      <c r="F15" s="66">
        <v>20</v>
      </c>
      <c r="G15" s="66">
        <v>0</v>
      </c>
      <c r="H15" s="67">
        <v>10</v>
      </c>
      <c r="I15" s="67">
        <v>0</v>
      </c>
      <c r="J15" s="67">
        <f t="shared" si="7"/>
        <v>30</v>
      </c>
      <c r="K15" s="68" t="str">
        <f t="shared" si="8"/>
        <v>F</v>
      </c>
      <c r="L15" s="206"/>
      <c r="M15" s="66">
        <v>20</v>
      </c>
      <c r="N15" s="67">
        <v>0</v>
      </c>
      <c r="O15" s="67">
        <v>10</v>
      </c>
      <c r="P15" s="67">
        <v>0</v>
      </c>
      <c r="Q15" s="67">
        <f t="shared" si="0"/>
        <v>30</v>
      </c>
      <c r="R15" s="68" t="str">
        <f t="shared" si="9"/>
        <v>F</v>
      </c>
      <c r="S15" s="206"/>
      <c r="T15" s="66">
        <v>17</v>
      </c>
      <c r="U15" s="66">
        <v>72</v>
      </c>
      <c r="V15" s="67">
        <f t="shared" si="10"/>
        <v>89</v>
      </c>
      <c r="W15" s="68">
        <f t="shared" si="11"/>
        <v>5</v>
      </c>
      <c r="X15" s="206"/>
      <c r="Y15" s="66">
        <v>19</v>
      </c>
      <c r="Z15" s="67">
        <v>0</v>
      </c>
      <c r="AA15" s="67">
        <f t="shared" si="1"/>
        <v>19</v>
      </c>
      <c r="AB15" s="68" t="str">
        <f t="shared" si="12"/>
        <v>F</v>
      </c>
      <c r="AC15" s="206"/>
      <c r="AD15" s="66">
        <v>19</v>
      </c>
      <c r="AE15" s="67">
        <v>0</v>
      </c>
      <c r="AF15" s="67">
        <f t="shared" si="2"/>
        <v>19</v>
      </c>
      <c r="AG15" s="68" t="str">
        <f t="shared" si="13"/>
        <v>F</v>
      </c>
      <c r="AH15" s="206"/>
      <c r="AI15" s="66">
        <v>20</v>
      </c>
      <c r="AJ15" s="67">
        <v>0</v>
      </c>
      <c r="AK15" s="67">
        <f t="shared" si="3"/>
        <v>20</v>
      </c>
      <c r="AL15" s="68" t="str">
        <f t="shared" si="14"/>
        <v>F</v>
      </c>
      <c r="AM15" s="206"/>
      <c r="AN15" s="53"/>
      <c r="AO15" s="67">
        <v>49</v>
      </c>
      <c r="AP15" s="60">
        <f t="shared" si="15"/>
        <v>49</v>
      </c>
      <c r="AQ15" s="68">
        <f t="shared" si="16"/>
        <v>5</v>
      </c>
      <c r="AR15" s="206"/>
      <c r="AS15" s="53" t="str">
        <f t="shared" si="4"/>
        <v>F</v>
      </c>
      <c r="AT15" s="61" t="str">
        <f t="shared" si="17"/>
        <v>F</v>
      </c>
      <c r="AU15" s="58">
        <f t="shared" si="5"/>
        <v>256</v>
      </c>
      <c r="AV15" s="57">
        <v>0</v>
      </c>
      <c r="AW15" s="57">
        <v>0</v>
      </c>
      <c r="AX15" s="57" t="str">
        <f t="shared" si="6"/>
        <v>NEED TO PROGRESS</v>
      </c>
    </row>
    <row r="16" spans="1:50">
      <c r="A16" s="53">
        <v>9</v>
      </c>
      <c r="B16" s="88">
        <v>14</v>
      </c>
      <c r="C16" s="85" t="s">
        <v>119</v>
      </c>
      <c r="D16" s="85" t="s">
        <v>120</v>
      </c>
      <c r="E16" s="85" t="s">
        <v>121</v>
      </c>
      <c r="F16" s="66">
        <v>20</v>
      </c>
      <c r="G16" s="66">
        <v>78</v>
      </c>
      <c r="H16" s="67">
        <v>10</v>
      </c>
      <c r="I16" s="67">
        <v>40</v>
      </c>
      <c r="J16" s="67">
        <f t="shared" si="7"/>
        <v>148</v>
      </c>
      <c r="K16" s="68">
        <f t="shared" si="8"/>
        <v>5</v>
      </c>
      <c r="L16" s="206"/>
      <c r="M16" s="66">
        <v>20</v>
      </c>
      <c r="N16" s="67">
        <v>74</v>
      </c>
      <c r="O16" s="67">
        <v>10</v>
      </c>
      <c r="P16" s="67">
        <v>36</v>
      </c>
      <c r="Q16" s="67">
        <f t="shared" si="0"/>
        <v>140</v>
      </c>
      <c r="R16" s="68">
        <f t="shared" si="9"/>
        <v>5</v>
      </c>
      <c r="S16" s="206"/>
      <c r="T16" s="66">
        <v>16</v>
      </c>
      <c r="U16" s="66">
        <v>50</v>
      </c>
      <c r="V16" s="67">
        <f t="shared" si="10"/>
        <v>66</v>
      </c>
      <c r="W16" s="68">
        <f t="shared" si="11"/>
        <v>3.5</v>
      </c>
      <c r="X16" s="206"/>
      <c r="Y16" s="66">
        <v>19</v>
      </c>
      <c r="Z16" s="67">
        <v>79</v>
      </c>
      <c r="AA16" s="67">
        <f>Y16+Z16</f>
        <v>98</v>
      </c>
      <c r="AB16" s="68">
        <f t="shared" si="12"/>
        <v>5</v>
      </c>
      <c r="AC16" s="206"/>
      <c r="AD16" s="66">
        <v>20</v>
      </c>
      <c r="AE16" s="67">
        <v>78</v>
      </c>
      <c r="AF16" s="67">
        <f t="shared" si="2"/>
        <v>98</v>
      </c>
      <c r="AG16" s="68">
        <f t="shared" si="13"/>
        <v>5</v>
      </c>
      <c r="AH16" s="206"/>
      <c r="AI16" s="66">
        <v>20</v>
      </c>
      <c r="AJ16" s="67">
        <v>70</v>
      </c>
      <c r="AK16" s="67">
        <f t="shared" si="3"/>
        <v>90</v>
      </c>
      <c r="AL16" s="68">
        <f t="shared" si="14"/>
        <v>5</v>
      </c>
      <c r="AM16" s="206"/>
      <c r="AN16" s="53"/>
      <c r="AO16" s="67">
        <v>0</v>
      </c>
      <c r="AP16" s="60">
        <f t="shared" si="15"/>
        <v>0</v>
      </c>
      <c r="AQ16" s="68" t="str">
        <f t="shared" si="16"/>
        <v>F</v>
      </c>
      <c r="AR16" s="206"/>
      <c r="AS16" s="53" t="str">
        <f t="shared" si="4"/>
        <v>F</v>
      </c>
      <c r="AT16" s="61" t="str">
        <f t="shared" si="17"/>
        <v>F</v>
      </c>
      <c r="AU16" s="58">
        <f t="shared" si="5"/>
        <v>640</v>
      </c>
      <c r="AV16" s="57">
        <v>0</v>
      </c>
      <c r="AW16" s="57">
        <v>0</v>
      </c>
      <c r="AX16" s="57" t="str">
        <f t="shared" si="6"/>
        <v>NEED TO PROGRESS</v>
      </c>
    </row>
    <row r="17" spans="1:50">
      <c r="A17" s="53">
        <v>10</v>
      </c>
      <c r="B17" s="88">
        <v>16</v>
      </c>
      <c r="C17" s="85" t="s">
        <v>122</v>
      </c>
      <c r="D17" s="85" t="s">
        <v>123</v>
      </c>
      <c r="E17" s="85" t="s">
        <v>124</v>
      </c>
      <c r="F17" s="66">
        <v>20</v>
      </c>
      <c r="G17" s="66">
        <v>76</v>
      </c>
      <c r="H17" s="67">
        <v>10</v>
      </c>
      <c r="I17" s="67">
        <v>38</v>
      </c>
      <c r="J17" s="67">
        <f t="shared" si="7"/>
        <v>144</v>
      </c>
      <c r="K17" s="68">
        <f t="shared" si="8"/>
        <v>5</v>
      </c>
      <c r="L17" s="206"/>
      <c r="M17" s="66">
        <v>19</v>
      </c>
      <c r="N17" s="67">
        <v>66</v>
      </c>
      <c r="O17" s="67">
        <v>10</v>
      </c>
      <c r="P17" s="67">
        <v>31</v>
      </c>
      <c r="Q17" s="67">
        <f t="shared" ref="Q17:Q38" si="18">M17+N17+O17+P17</f>
        <v>126</v>
      </c>
      <c r="R17" s="68">
        <f t="shared" ref="R17:R38" si="19">IF(Q17&lt;60,"F",IF(Q17&lt;75,2,IF(Q17&lt;90,3,IF(Q17&lt;105,3.5,IF(Q17&lt;120,4,5)))))</f>
        <v>5</v>
      </c>
      <c r="S17" s="206"/>
      <c r="T17" s="66">
        <v>16</v>
      </c>
      <c r="U17" s="66">
        <v>64</v>
      </c>
      <c r="V17" s="67">
        <f t="shared" ref="V17:V35" si="20">SUM(T17+U17)</f>
        <v>80</v>
      </c>
      <c r="W17" s="68">
        <f t="shared" ref="W17:W35" si="21">IF(V17&lt;40,"F",IF(V17&lt;50,2,IF(V17&lt;60,3,IF(V17&lt;70,3.5,IF(V17&lt;80,4,5)))))</f>
        <v>5</v>
      </c>
      <c r="X17" s="206"/>
      <c r="Y17" s="66">
        <v>19</v>
      </c>
      <c r="Z17" s="67">
        <v>78</v>
      </c>
      <c r="AA17" s="67">
        <f t="shared" ref="AA17:AA47" si="22">Y17+Z17</f>
        <v>97</v>
      </c>
      <c r="AB17" s="68">
        <f t="shared" ref="AB17:AB47" si="23">IF(AA17&lt;40,"F",IF(AA17&lt;50,2,IF(AA17&lt;60,3,IF(AA17&lt;70,3.5,IF(AA17&lt;80,4,5)))))</f>
        <v>5</v>
      </c>
      <c r="AC17" s="206"/>
      <c r="AD17" s="66">
        <v>19</v>
      </c>
      <c r="AE17" s="67">
        <v>69</v>
      </c>
      <c r="AF17" s="67">
        <f t="shared" ref="AF17:AF36" si="24">AD17+AE17</f>
        <v>88</v>
      </c>
      <c r="AG17" s="68">
        <f t="shared" ref="AG17:AG36" si="25">IF(AF17&lt;40,"F",IF(AF17&lt;50,2,IF(AF17&lt;60,3,IF(AF17&lt;70,3.5,IF(AF17&lt;80,4,5)))))</f>
        <v>5</v>
      </c>
      <c r="AH17" s="206"/>
      <c r="AI17" s="66">
        <v>19</v>
      </c>
      <c r="AJ17" s="67">
        <v>66</v>
      </c>
      <c r="AK17" s="67">
        <f t="shared" ref="AK17:AK37" si="26">AI17+AJ17</f>
        <v>85</v>
      </c>
      <c r="AL17" s="68">
        <f t="shared" ref="AL17:AL37" si="27">IF(AK17&lt;40,"F",IF(AK17&lt;50,2,IF(AK17&lt;60,3,IF(AK17&lt;70,3.5,IF(AK17&lt;80,4,5)))))</f>
        <v>5</v>
      </c>
      <c r="AM17" s="206"/>
      <c r="AN17" s="53"/>
      <c r="AO17" s="67">
        <v>50</v>
      </c>
      <c r="AP17" s="60">
        <f t="shared" ref="AP17:AP36" si="28">AO17</f>
        <v>50</v>
      </c>
      <c r="AQ17" s="68">
        <f t="shared" ref="AQ17:AQ36" si="29">IF(AP17&lt;20,"F",IF(AP17&lt;25,2,IF(AP17&lt;30,3,IF(AP17&lt;35,3.5,IF(AP17&lt;40,4,5)))))</f>
        <v>5</v>
      </c>
      <c r="AR17" s="206"/>
      <c r="AS17" s="53">
        <f t="shared" ref="AS17:AS38" si="30">IF(K17="F","F",IF(R17="F","F",IF(W17="F","F",IF(AB17="F","F",IF(AG17="F","F",IF(AL17="F","F",IF(AQ17="F","F",SUM(K17,R17,W17,AB17,AG17,AL17,AQ17))))))))</f>
        <v>35</v>
      </c>
      <c r="AT17" s="61">
        <f t="shared" ref="AT17:AT38" si="31">IF(AS17="F","F", IF(AS17&gt;=35,5,IF(AS17&lt;35,AS17/7)))</f>
        <v>5</v>
      </c>
      <c r="AU17" s="58">
        <f t="shared" ref="AU17:AU38" si="32">J17+Q17+V17+AA17+AF17+AK17+AP17</f>
        <v>670</v>
      </c>
      <c r="AV17" s="57">
        <v>0</v>
      </c>
      <c r="AW17" s="57">
        <v>0</v>
      </c>
      <c r="AX17" s="57" t="str">
        <f t="shared" ref="AX17:AX38" si="33">IF(AT17="F","NEED TO PROGRESS",IF(AT17&gt;=5,"BEST",IF(AT17&gt;=4,"BETTER",IF(AT17&gt;2,"GOOD"))))</f>
        <v>BEST</v>
      </c>
    </row>
    <row r="18" spans="1:50">
      <c r="A18" s="53">
        <v>11</v>
      </c>
      <c r="B18" s="88">
        <v>18</v>
      </c>
      <c r="C18" s="85" t="s">
        <v>125</v>
      </c>
      <c r="D18" s="85" t="s">
        <v>126</v>
      </c>
      <c r="E18" s="85" t="s">
        <v>127</v>
      </c>
      <c r="F18" s="66">
        <v>20</v>
      </c>
      <c r="G18" s="66">
        <v>74</v>
      </c>
      <c r="H18" s="67">
        <v>10</v>
      </c>
      <c r="I18" s="67">
        <v>40</v>
      </c>
      <c r="J18" s="67">
        <f t="shared" ref="J18:J81" si="34">I18+H18+G18+F18</f>
        <v>144</v>
      </c>
      <c r="K18" s="68">
        <f t="shared" si="8"/>
        <v>5</v>
      </c>
      <c r="L18" s="206"/>
      <c r="M18" s="66">
        <v>17</v>
      </c>
      <c r="N18" s="67">
        <v>60</v>
      </c>
      <c r="O18" s="67">
        <v>10</v>
      </c>
      <c r="P18" s="67">
        <v>28</v>
      </c>
      <c r="Q18" s="67">
        <f t="shared" si="18"/>
        <v>115</v>
      </c>
      <c r="R18" s="68">
        <f t="shared" si="19"/>
        <v>4</v>
      </c>
      <c r="S18" s="206"/>
      <c r="T18" s="66">
        <v>20</v>
      </c>
      <c r="U18" s="66">
        <v>62</v>
      </c>
      <c r="V18" s="67">
        <f t="shared" si="20"/>
        <v>82</v>
      </c>
      <c r="W18" s="68">
        <f t="shared" si="21"/>
        <v>5</v>
      </c>
      <c r="X18" s="206"/>
      <c r="Y18" s="66">
        <v>20</v>
      </c>
      <c r="Z18" s="67">
        <v>78</v>
      </c>
      <c r="AA18" s="67">
        <f t="shared" si="22"/>
        <v>98</v>
      </c>
      <c r="AB18" s="68">
        <f t="shared" si="23"/>
        <v>5</v>
      </c>
      <c r="AC18" s="206"/>
      <c r="AD18" s="66">
        <v>20</v>
      </c>
      <c r="AE18" s="67">
        <v>66</v>
      </c>
      <c r="AF18" s="67">
        <f t="shared" si="24"/>
        <v>86</v>
      </c>
      <c r="AG18" s="68">
        <f t="shared" si="25"/>
        <v>5</v>
      </c>
      <c r="AH18" s="206"/>
      <c r="AI18" s="66">
        <v>20</v>
      </c>
      <c r="AJ18" s="67">
        <v>65</v>
      </c>
      <c r="AK18" s="67">
        <f t="shared" si="26"/>
        <v>85</v>
      </c>
      <c r="AL18" s="68">
        <f t="shared" si="27"/>
        <v>5</v>
      </c>
      <c r="AM18" s="206"/>
      <c r="AN18" s="53"/>
      <c r="AO18" s="67">
        <v>50</v>
      </c>
      <c r="AP18" s="60">
        <f t="shared" si="28"/>
        <v>50</v>
      </c>
      <c r="AQ18" s="68">
        <f t="shared" si="29"/>
        <v>5</v>
      </c>
      <c r="AR18" s="206"/>
      <c r="AS18" s="53">
        <f t="shared" si="30"/>
        <v>34</v>
      </c>
      <c r="AT18" s="61">
        <f t="shared" si="31"/>
        <v>4.8571428571428568</v>
      </c>
      <c r="AU18" s="58">
        <f t="shared" si="32"/>
        <v>660</v>
      </c>
      <c r="AV18" s="57">
        <v>0</v>
      </c>
      <c r="AW18" s="57">
        <v>0</v>
      </c>
      <c r="AX18" s="57" t="str">
        <f t="shared" si="33"/>
        <v>BETTER</v>
      </c>
    </row>
    <row r="19" spans="1:50">
      <c r="A19" s="53">
        <v>12</v>
      </c>
      <c r="B19" s="88">
        <v>19</v>
      </c>
      <c r="C19" s="85" t="s">
        <v>128</v>
      </c>
      <c r="D19" s="85" t="s">
        <v>129</v>
      </c>
      <c r="E19" s="85" t="s">
        <v>130</v>
      </c>
      <c r="F19" s="66">
        <v>20</v>
      </c>
      <c r="G19" s="66">
        <v>78</v>
      </c>
      <c r="H19" s="67">
        <v>10</v>
      </c>
      <c r="I19" s="67">
        <v>40</v>
      </c>
      <c r="J19" s="67">
        <f t="shared" si="34"/>
        <v>148</v>
      </c>
      <c r="K19" s="68">
        <f t="shared" si="8"/>
        <v>5</v>
      </c>
      <c r="L19" s="206"/>
      <c r="M19" s="66">
        <v>20</v>
      </c>
      <c r="N19" s="67">
        <v>77</v>
      </c>
      <c r="O19" s="67">
        <v>10</v>
      </c>
      <c r="P19" s="67">
        <v>37</v>
      </c>
      <c r="Q19" s="67">
        <f t="shared" si="18"/>
        <v>144</v>
      </c>
      <c r="R19" s="68">
        <f t="shared" si="19"/>
        <v>5</v>
      </c>
      <c r="S19" s="206"/>
      <c r="T19" s="66">
        <v>20</v>
      </c>
      <c r="U19" s="66">
        <v>72</v>
      </c>
      <c r="V19" s="67">
        <f t="shared" si="20"/>
        <v>92</v>
      </c>
      <c r="W19" s="68">
        <f t="shared" si="21"/>
        <v>5</v>
      </c>
      <c r="X19" s="206"/>
      <c r="Y19" s="66">
        <v>20</v>
      </c>
      <c r="Z19" s="67">
        <v>78</v>
      </c>
      <c r="AA19" s="67">
        <f t="shared" si="22"/>
        <v>98</v>
      </c>
      <c r="AB19" s="68">
        <f t="shared" si="23"/>
        <v>5</v>
      </c>
      <c r="AC19" s="206"/>
      <c r="AD19" s="66">
        <v>20</v>
      </c>
      <c r="AE19" s="67">
        <v>70</v>
      </c>
      <c r="AF19" s="67">
        <f t="shared" si="24"/>
        <v>90</v>
      </c>
      <c r="AG19" s="68">
        <f t="shared" si="25"/>
        <v>5</v>
      </c>
      <c r="AH19" s="206"/>
      <c r="AI19" s="66">
        <v>19</v>
      </c>
      <c r="AJ19" s="67">
        <v>71</v>
      </c>
      <c r="AK19" s="67">
        <f t="shared" si="26"/>
        <v>90</v>
      </c>
      <c r="AL19" s="68">
        <f t="shared" si="27"/>
        <v>5</v>
      </c>
      <c r="AM19" s="206"/>
      <c r="AN19" s="53"/>
      <c r="AO19" s="67">
        <v>50</v>
      </c>
      <c r="AP19" s="60">
        <f t="shared" si="28"/>
        <v>50</v>
      </c>
      <c r="AQ19" s="68">
        <f t="shared" si="29"/>
        <v>5</v>
      </c>
      <c r="AR19" s="206"/>
      <c r="AS19" s="53">
        <f t="shared" si="30"/>
        <v>35</v>
      </c>
      <c r="AT19" s="61">
        <f t="shared" si="31"/>
        <v>5</v>
      </c>
      <c r="AU19" s="58">
        <f t="shared" si="32"/>
        <v>712</v>
      </c>
      <c r="AV19" s="57">
        <v>0</v>
      </c>
      <c r="AW19" s="57">
        <v>0</v>
      </c>
      <c r="AX19" s="57" t="str">
        <f t="shared" si="33"/>
        <v>BEST</v>
      </c>
    </row>
    <row r="20" spans="1:50">
      <c r="A20" s="53">
        <v>13</v>
      </c>
      <c r="B20" s="88">
        <v>20</v>
      </c>
      <c r="C20" s="85" t="s">
        <v>131</v>
      </c>
      <c r="D20" s="85" t="s">
        <v>132</v>
      </c>
      <c r="E20" s="85" t="s">
        <v>133</v>
      </c>
      <c r="F20" s="66">
        <v>20</v>
      </c>
      <c r="G20" s="66">
        <v>78</v>
      </c>
      <c r="H20" s="67">
        <v>10</v>
      </c>
      <c r="I20" s="67">
        <v>39</v>
      </c>
      <c r="J20" s="67">
        <f t="shared" si="34"/>
        <v>147</v>
      </c>
      <c r="K20" s="68">
        <f t="shared" si="8"/>
        <v>5</v>
      </c>
      <c r="L20" s="206"/>
      <c r="M20" s="66">
        <v>20</v>
      </c>
      <c r="N20" s="67">
        <v>64</v>
      </c>
      <c r="O20" s="67">
        <v>10</v>
      </c>
      <c r="P20" s="67">
        <v>27</v>
      </c>
      <c r="Q20" s="67">
        <f t="shared" si="18"/>
        <v>121</v>
      </c>
      <c r="R20" s="68">
        <f t="shared" si="19"/>
        <v>5</v>
      </c>
      <c r="S20" s="206"/>
      <c r="T20" s="66">
        <v>19</v>
      </c>
      <c r="U20" s="66">
        <v>49</v>
      </c>
      <c r="V20" s="67">
        <f t="shared" si="20"/>
        <v>68</v>
      </c>
      <c r="W20" s="68">
        <f t="shared" si="21"/>
        <v>3.5</v>
      </c>
      <c r="X20" s="206"/>
      <c r="Y20" s="66">
        <v>19</v>
      </c>
      <c r="Z20" s="67">
        <v>77</v>
      </c>
      <c r="AA20" s="67">
        <f t="shared" si="22"/>
        <v>96</v>
      </c>
      <c r="AB20" s="68">
        <f t="shared" si="23"/>
        <v>5</v>
      </c>
      <c r="AC20" s="206"/>
      <c r="AD20" s="66">
        <v>20</v>
      </c>
      <c r="AE20" s="67">
        <v>78</v>
      </c>
      <c r="AF20" s="67">
        <f t="shared" si="24"/>
        <v>98</v>
      </c>
      <c r="AG20" s="68">
        <f t="shared" si="25"/>
        <v>5</v>
      </c>
      <c r="AH20" s="206"/>
      <c r="AI20" s="66">
        <v>19</v>
      </c>
      <c r="AJ20" s="67">
        <v>75</v>
      </c>
      <c r="AK20" s="67">
        <f t="shared" si="26"/>
        <v>94</v>
      </c>
      <c r="AL20" s="68">
        <f t="shared" si="27"/>
        <v>5</v>
      </c>
      <c r="AM20" s="206"/>
      <c r="AN20" s="53"/>
      <c r="AO20" s="67">
        <v>48</v>
      </c>
      <c r="AP20" s="60">
        <f t="shared" si="28"/>
        <v>48</v>
      </c>
      <c r="AQ20" s="68">
        <f t="shared" si="29"/>
        <v>5</v>
      </c>
      <c r="AR20" s="206"/>
      <c r="AS20" s="53">
        <f t="shared" si="30"/>
        <v>33.5</v>
      </c>
      <c r="AT20" s="61">
        <f t="shared" si="31"/>
        <v>4.7857142857142856</v>
      </c>
      <c r="AU20" s="58">
        <f t="shared" si="32"/>
        <v>672</v>
      </c>
      <c r="AV20" s="57">
        <v>0</v>
      </c>
      <c r="AW20" s="57">
        <v>0</v>
      </c>
      <c r="AX20" s="57" t="str">
        <f t="shared" si="33"/>
        <v>BETTER</v>
      </c>
    </row>
    <row r="21" spans="1:50">
      <c r="A21" s="53">
        <v>14</v>
      </c>
      <c r="B21" s="88">
        <v>21</v>
      </c>
      <c r="C21" s="85" t="s">
        <v>134</v>
      </c>
      <c r="D21" s="85" t="s">
        <v>135</v>
      </c>
      <c r="E21" s="85" t="s">
        <v>136</v>
      </c>
      <c r="F21" s="66">
        <v>18</v>
      </c>
      <c r="G21" s="66">
        <v>66</v>
      </c>
      <c r="H21" s="67">
        <v>10</v>
      </c>
      <c r="I21" s="67">
        <v>38</v>
      </c>
      <c r="J21" s="67">
        <f t="shared" si="34"/>
        <v>132</v>
      </c>
      <c r="K21" s="68">
        <f t="shared" si="8"/>
        <v>5</v>
      </c>
      <c r="L21" s="206"/>
      <c r="M21" s="66">
        <v>17</v>
      </c>
      <c r="N21" s="67">
        <v>62</v>
      </c>
      <c r="O21" s="67">
        <v>10</v>
      </c>
      <c r="P21" s="67">
        <v>30</v>
      </c>
      <c r="Q21" s="67">
        <f t="shared" si="18"/>
        <v>119</v>
      </c>
      <c r="R21" s="68">
        <f t="shared" si="19"/>
        <v>4</v>
      </c>
      <c r="S21" s="206"/>
      <c r="T21" s="66">
        <v>16</v>
      </c>
      <c r="U21" s="66">
        <v>54</v>
      </c>
      <c r="V21" s="67">
        <f t="shared" si="20"/>
        <v>70</v>
      </c>
      <c r="W21" s="68">
        <f t="shared" si="21"/>
        <v>4</v>
      </c>
      <c r="X21" s="206"/>
      <c r="Y21" s="66">
        <v>19</v>
      </c>
      <c r="Z21" s="67">
        <v>77</v>
      </c>
      <c r="AA21" s="67">
        <f t="shared" si="22"/>
        <v>96</v>
      </c>
      <c r="AB21" s="68">
        <f t="shared" si="23"/>
        <v>5</v>
      </c>
      <c r="AC21" s="206"/>
      <c r="AD21" s="66">
        <v>18</v>
      </c>
      <c r="AE21" s="67">
        <v>65</v>
      </c>
      <c r="AF21" s="67">
        <f t="shared" si="24"/>
        <v>83</v>
      </c>
      <c r="AG21" s="68">
        <f t="shared" si="25"/>
        <v>5</v>
      </c>
      <c r="AH21" s="206"/>
      <c r="AI21" s="66">
        <v>17</v>
      </c>
      <c r="AJ21" s="67">
        <v>55</v>
      </c>
      <c r="AK21" s="67">
        <f t="shared" si="26"/>
        <v>72</v>
      </c>
      <c r="AL21" s="68">
        <f t="shared" si="27"/>
        <v>4</v>
      </c>
      <c r="AM21" s="206"/>
      <c r="AN21" s="53"/>
      <c r="AO21" s="67">
        <v>50</v>
      </c>
      <c r="AP21" s="60">
        <f t="shared" si="28"/>
        <v>50</v>
      </c>
      <c r="AQ21" s="68">
        <f t="shared" si="29"/>
        <v>5</v>
      </c>
      <c r="AR21" s="206"/>
      <c r="AS21" s="53">
        <f t="shared" si="30"/>
        <v>32</v>
      </c>
      <c r="AT21" s="61">
        <f t="shared" si="31"/>
        <v>4.5714285714285712</v>
      </c>
      <c r="AU21" s="58">
        <f t="shared" si="32"/>
        <v>622</v>
      </c>
      <c r="AV21" s="57">
        <v>0</v>
      </c>
      <c r="AW21" s="57">
        <v>0</v>
      </c>
      <c r="AX21" s="57" t="str">
        <f t="shared" si="33"/>
        <v>BETTER</v>
      </c>
    </row>
    <row r="22" spans="1:50">
      <c r="A22" s="53">
        <v>15</v>
      </c>
      <c r="B22" s="88">
        <v>22</v>
      </c>
      <c r="C22" s="85" t="s">
        <v>137</v>
      </c>
      <c r="D22" s="85" t="s">
        <v>138</v>
      </c>
      <c r="E22" s="85" t="s">
        <v>139</v>
      </c>
      <c r="F22" s="66">
        <v>20</v>
      </c>
      <c r="G22" s="66">
        <v>66</v>
      </c>
      <c r="H22" s="67">
        <v>10</v>
      </c>
      <c r="I22" s="67">
        <v>40</v>
      </c>
      <c r="J22" s="67">
        <f t="shared" si="34"/>
        <v>136</v>
      </c>
      <c r="K22" s="68">
        <f t="shared" si="8"/>
        <v>5</v>
      </c>
      <c r="L22" s="206"/>
      <c r="M22" s="66">
        <v>17</v>
      </c>
      <c r="N22" s="67">
        <v>46</v>
      </c>
      <c r="O22" s="67">
        <v>10</v>
      </c>
      <c r="P22" s="67">
        <v>18</v>
      </c>
      <c r="Q22" s="67">
        <f t="shared" si="18"/>
        <v>91</v>
      </c>
      <c r="R22" s="68">
        <f t="shared" si="19"/>
        <v>3.5</v>
      </c>
      <c r="S22" s="206"/>
      <c r="T22" s="66">
        <v>13</v>
      </c>
      <c r="U22" s="66">
        <v>38</v>
      </c>
      <c r="V22" s="67">
        <f t="shared" si="20"/>
        <v>51</v>
      </c>
      <c r="W22" s="68">
        <f t="shared" si="21"/>
        <v>3</v>
      </c>
      <c r="X22" s="206"/>
      <c r="Y22" s="66">
        <v>20</v>
      </c>
      <c r="Z22" s="67">
        <v>76</v>
      </c>
      <c r="AA22" s="67">
        <f t="shared" si="22"/>
        <v>96</v>
      </c>
      <c r="AB22" s="68">
        <f t="shared" si="23"/>
        <v>5</v>
      </c>
      <c r="AC22" s="206"/>
      <c r="AD22" s="66">
        <v>19</v>
      </c>
      <c r="AE22" s="67">
        <v>66</v>
      </c>
      <c r="AF22" s="67">
        <f t="shared" si="24"/>
        <v>85</v>
      </c>
      <c r="AG22" s="68">
        <f t="shared" si="25"/>
        <v>5</v>
      </c>
      <c r="AH22" s="206"/>
      <c r="AI22" s="66">
        <v>20</v>
      </c>
      <c r="AJ22" s="67">
        <v>48</v>
      </c>
      <c r="AK22" s="67">
        <f t="shared" si="26"/>
        <v>68</v>
      </c>
      <c r="AL22" s="68">
        <f t="shared" si="27"/>
        <v>3.5</v>
      </c>
      <c r="AM22" s="206"/>
      <c r="AN22" s="53"/>
      <c r="AO22" s="67">
        <v>50</v>
      </c>
      <c r="AP22" s="60">
        <f t="shared" si="28"/>
        <v>50</v>
      </c>
      <c r="AQ22" s="68">
        <f t="shared" si="29"/>
        <v>5</v>
      </c>
      <c r="AR22" s="206"/>
      <c r="AS22" s="53">
        <f t="shared" si="30"/>
        <v>30</v>
      </c>
      <c r="AT22" s="61">
        <f t="shared" si="31"/>
        <v>4.2857142857142856</v>
      </c>
      <c r="AU22" s="58">
        <f t="shared" si="32"/>
        <v>577</v>
      </c>
      <c r="AV22" s="57">
        <v>0</v>
      </c>
      <c r="AW22" s="57">
        <v>0</v>
      </c>
      <c r="AX22" s="57" t="str">
        <f t="shared" si="33"/>
        <v>BETTER</v>
      </c>
    </row>
    <row r="23" spans="1:50">
      <c r="A23" s="53">
        <v>16</v>
      </c>
      <c r="B23" s="88">
        <v>24</v>
      </c>
      <c r="C23" s="85" t="s">
        <v>140</v>
      </c>
      <c r="D23" s="85" t="s">
        <v>141</v>
      </c>
      <c r="E23" s="85" t="s">
        <v>142</v>
      </c>
      <c r="F23" s="66">
        <v>20</v>
      </c>
      <c r="G23" s="66">
        <v>77</v>
      </c>
      <c r="H23" s="67">
        <v>10</v>
      </c>
      <c r="I23" s="67">
        <v>40</v>
      </c>
      <c r="J23" s="67">
        <f t="shared" si="34"/>
        <v>147</v>
      </c>
      <c r="K23" s="68">
        <f t="shared" si="8"/>
        <v>5</v>
      </c>
      <c r="L23" s="206"/>
      <c r="M23" s="66">
        <v>16</v>
      </c>
      <c r="N23" s="67">
        <v>53</v>
      </c>
      <c r="O23" s="67">
        <v>10</v>
      </c>
      <c r="P23" s="67">
        <v>18</v>
      </c>
      <c r="Q23" s="67">
        <f t="shared" si="18"/>
        <v>97</v>
      </c>
      <c r="R23" s="68">
        <f t="shared" si="19"/>
        <v>3.5</v>
      </c>
      <c r="S23" s="206"/>
      <c r="T23" s="66">
        <v>18</v>
      </c>
      <c r="U23" s="66">
        <v>42</v>
      </c>
      <c r="V23" s="67">
        <f t="shared" si="20"/>
        <v>60</v>
      </c>
      <c r="W23" s="68">
        <f t="shared" si="21"/>
        <v>3.5</v>
      </c>
      <c r="X23" s="206"/>
      <c r="Y23" s="66">
        <v>19</v>
      </c>
      <c r="Z23" s="67">
        <v>79</v>
      </c>
      <c r="AA23" s="67">
        <f t="shared" si="22"/>
        <v>98</v>
      </c>
      <c r="AB23" s="68">
        <f t="shared" si="23"/>
        <v>5</v>
      </c>
      <c r="AC23" s="206"/>
      <c r="AD23" s="66">
        <v>19</v>
      </c>
      <c r="AE23" s="67">
        <v>66</v>
      </c>
      <c r="AF23" s="67">
        <f t="shared" si="24"/>
        <v>85</v>
      </c>
      <c r="AG23" s="68">
        <f t="shared" si="25"/>
        <v>5</v>
      </c>
      <c r="AH23" s="206"/>
      <c r="AI23" s="66">
        <v>19</v>
      </c>
      <c r="AJ23" s="67">
        <v>70</v>
      </c>
      <c r="AK23" s="67">
        <f t="shared" si="26"/>
        <v>89</v>
      </c>
      <c r="AL23" s="68">
        <f t="shared" si="27"/>
        <v>5</v>
      </c>
      <c r="AM23" s="206"/>
      <c r="AN23" s="53"/>
      <c r="AO23" s="67">
        <v>43</v>
      </c>
      <c r="AP23" s="60">
        <f t="shared" si="28"/>
        <v>43</v>
      </c>
      <c r="AQ23" s="68">
        <f t="shared" si="29"/>
        <v>5</v>
      </c>
      <c r="AR23" s="206"/>
      <c r="AS23" s="53">
        <f t="shared" si="30"/>
        <v>32</v>
      </c>
      <c r="AT23" s="61">
        <f t="shared" si="31"/>
        <v>4.5714285714285712</v>
      </c>
      <c r="AU23" s="58">
        <f t="shared" si="32"/>
        <v>619</v>
      </c>
      <c r="AV23" s="57">
        <v>0</v>
      </c>
      <c r="AW23" s="57">
        <v>0</v>
      </c>
      <c r="AX23" s="57" t="str">
        <f t="shared" si="33"/>
        <v>BETTER</v>
      </c>
    </row>
    <row r="24" spans="1:50">
      <c r="A24" s="53">
        <v>17</v>
      </c>
      <c r="B24" s="88">
        <v>26</v>
      </c>
      <c r="C24" s="85" t="s">
        <v>143</v>
      </c>
      <c r="D24" s="85" t="s">
        <v>144</v>
      </c>
      <c r="E24" s="85" t="s">
        <v>145</v>
      </c>
      <c r="F24" s="66">
        <v>20</v>
      </c>
      <c r="G24" s="66">
        <v>86</v>
      </c>
      <c r="H24" s="67">
        <v>10</v>
      </c>
      <c r="I24" s="67">
        <v>40</v>
      </c>
      <c r="J24" s="67">
        <f t="shared" si="34"/>
        <v>156</v>
      </c>
      <c r="K24" s="68">
        <f t="shared" si="8"/>
        <v>5</v>
      </c>
      <c r="L24" s="206"/>
      <c r="M24" s="66">
        <v>20</v>
      </c>
      <c r="N24" s="67">
        <v>69</v>
      </c>
      <c r="O24" s="67">
        <v>10</v>
      </c>
      <c r="P24" s="67">
        <v>32</v>
      </c>
      <c r="Q24" s="67">
        <f t="shared" si="18"/>
        <v>131</v>
      </c>
      <c r="R24" s="68">
        <f t="shared" si="19"/>
        <v>5</v>
      </c>
      <c r="S24" s="206"/>
      <c r="T24" s="66">
        <v>19</v>
      </c>
      <c r="U24" s="66">
        <v>51</v>
      </c>
      <c r="V24" s="67">
        <f t="shared" si="20"/>
        <v>70</v>
      </c>
      <c r="W24" s="68">
        <f t="shared" si="21"/>
        <v>4</v>
      </c>
      <c r="X24" s="206"/>
      <c r="Y24" s="66">
        <v>20</v>
      </c>
      <c r="Z24" s="67">
        <v>80</v>
      </c>
      <c r="AA24" s="67">
        <f t="shared" si="22"/>
        <v>100</v>
      </c>
      <c r="AB24" s="68">
        <f t="shared" si="23"/>
        <v>5</v>
      </c>
      <c r="AC24" s="206"/>
      <c r="AD24" s="66">
        <v>20</v>
      </c>
      <c r="AE24" s="67">
        <v>76</v>
      </c>
      <c r="AF24" s="67">
        <f t="shared" si="24"/>
        <v>96</v>
      </c>
      <c r="AG24" s="68">
        <f t="shared" si="25"/>
        <v>5</v>
      </c>
      <c r="AH24" s="206"/>
      <c r="AI24" s="66">
        <v>20</v>
      </c>
      <c r="AJ24" s="67">
        <v>79</v>
      </c>
      <c r="AK24" s="67">
        <f t="shared" si="26"/>
        <v>99</v>
      </c>
      <c r="AL24" s="68">
        <f t="shared" si="27"/>
        <v>5</v>
      </c>
      <c r="AM24" s="206"/>
      <c r="AN24" s="53"/>
      <c r="AO24" s="67">
        <v>47</v>
      </c>
      <c r="AP24" s="60">
        <f t="shared" si="28"/>
        <v>47</v>
      </c>
      <c r="AQ24" s="68">
        <f t="shared" si="29"/>
        <v>5</v>
      </c>
      <c r="AR24" s="206"/>
      <c r="AS24" s="53">
        <f t="shared" si="30"/>
        <v>34</v>
      </c>
      <c r="AT24" s="61">
        <f t="shared" si="31"/>
        <v>4.8571428571428568</v>
      </c>
      <c r="AU24" s="58">
        <f t="shared" si="32"/>
        <v>699</v>
      </c>
      <c r="AV24" s="57">
        <v>0</v>
      </c>
      <c r="AW24" s="57">
        <v>0</v>
      </c>
      <c r="AX24" s="57" t="str">
        <f t="shared" si="33"/>
        <v>BETTER</v>
      </c>
    </row>
    <row r="25" spans="1:50">
      <c r="A25" s="53">
        <v>18</v>
      </c>
      <c r="B25" s="88">
        <v>30</v>
      </c>
      <c r="C25" s="85" t="s">
        <v>146</v>
      </c>
      <c r="D25" s="85" t="s">
        <v>147</v>
      </c>
      <c r="E25" s="85" t="s">
        <v>148</v>
      </c>
      <c r="F25" s="66">
        <v>20</v>
      </c>
      <c r="G25" s="66">
        <v>78</v>
      </c>
      <c r="H25" s="67">
        <v>10</v>
      </c>
      <c r="I25" s="67">
        <v>39</v>
      </c>
      <c r="J25" s="67">
        <f t="shared" si="34"/>
        <v>147</v>
      </c>
      <c r="K25" s="68">
        <f t="shared" si="8"/>
        <v>5</v>
      </c>
      <c r="L25" s="206"/>
      <c r="M25" s="66">
        <v>17</v>
      </c>
      <c r="N25" s="67">
        <v>69</v>
      </c>
      <c r="O25" s="67">
        <v>10</v>
      </c>
      <c r="P25" s="67">
        <v>22</v>
      </c>
      <c r="Q25" s="67">
        <f t="shared" si="18"/>
        <v>118</v>
      </c>
      <c r="R25" s="68">
        <f t="shared" si="19"/>
        <v>4</v>
      </c>
      <c r="S25" s="206"/>
      <c r="T25" s="66">
        <v>19</v>
      </c>
      <c r="U25" s="66">
        <v>46</v>
      </c>
      <c r="V25" s="67">
        <f t="shared" si="20"/>
        <v>65</v>
      </c>
      <c r="W25" s="68">
        <f t="shared" si="21"/>
        <v>3.5</v>
      </c>
      <c r="X25" s="206"/>
      <c r="Y25" s="66">
        <v>20</v>
      </c>
      <c r="Z25" s="67">
        <v>76</v>
      </c>
      <c r="AA25" s="67">
        <f t="shared" si="22"/>
        <v>96</v>
      </c>
      <c r="AB25" s="68">
        <f t="shared" si="23"/>
        <v>5</v>
      </c>
      <c r="AC25" s="206"/>
      <c r="AD25" s="66">
        <v>19</v>
      </c>
      <c r="AE25" s="67">
        <v>67</v>
      </c>
      <c r="AF25" s="67">
        <f t="shared" si="24"/>
        <v>86</v>
      </c>
      <c r="AG25" s="68">
        <f t="shared" si="25"/>
        <v>5</v>
      </c>
      <c r="AH25" s="206"/>
      <c r="AI25" s="66">
        <v>20</v>
      </c>
      <c r="AJ25" s="67">
        <v>74</v>
      </c>
      <c r="AK25" s="67">
        <f t="shared" si="26"/>
        <v>94</v>
      </c>
      <c r="AL25" s="68">
        <f t="shared" si="27"/>
        <v>5</v>
      </c>
      <c r="AM25" s="206"/>
      <c r="AN25" s="53"/>
      <c r="AO25" s="67">
        <v>48</v>
      </c>
      <c r="AP25" s="60">
        <f t="shared" si="28"/>
        <v>48</v>
      </c>
      <c r="AQ25" s="68">
        <f t="shared" si="29"/>
        <v>5</v>
      </c>
      <c r="AR25" s="206"/>
      <c r="AS25" s="53">
        <f t="shared" si="30"/>
        <v>32.5</v>
      </c>
      <c r="AT25" s="61">
        <f t="shared" si="31"/>
        <v>4.6428571428571432</v>
      </c>
      <c r="AU25" s="58">
        <f t="shared" si="32"/>
        <v>654</v>
      </c>
      <c r="AV25" s="57">
        <v>0</v>
      </c>
      <c r="AW25" s="57">
        <v>0</v>
      </c>
      <c r="AX25" s="57" t="str">
        <f t="shared" si="33"/>
        <v>BETTER</v>
      </c>
    </row>
    <row r="26" spans="1:50">
      <c r="A26" s="53">
        <v>19</v>
      </c>
      <c r="B26" s="88">
        <v>34</v>
      </c>
      <c r="C26" s="85" t="s">
        <v>149</v>
      </c>
      <c r="D26" s="85" t="s">
        <v>150</v>
      </c>
      <c r="E26" s="85" t="s">
        <v>151</v>
      </c>
      <c r="F26" s="66">
        <v>20</v>
      </c>
      <c r="G26" s="66">
        <v>72</v>
      </c>
      <c r="H26" s="67">
        <v>10</v>
      </c>
      <c r="I26" s="67">
        <v>38</v>
      </c>
      <c r="J26" s="67">
        <f t="shared" si="34"/>
        <v>140</v>
      </c>
      <c r="K26" s="68">
        <f t="shared" si="8"/>
        <v>5</v>
      </c>
      <c r="L26" s="206"/>
      <c r="M26" s="66">
        <v>16</v>
      </c>
      <c r="N26" s="67">
        <v>59</v>
      </c>
      <c r="O26" s="67">
        <v>10</v>
      </c>
      <c r="P26" s="67">
        <v>27</v>
      </c>
      <c r="Q26" s="67">
        <f t="shared" si="18"/>
        <v>112</v>
      </c>
      <c r="R26" s="68">
        <f t="shared" si="19"/>
        <v>4</v>
      </c>
      <c r="S26" s="206"/>
      <c r="T26" s="66">
        <v>19</v>
      </c>
      <c r="U26" s="66">
        <v>49</v>
      </c>
      <c r="V26" s="67">
        <f t="shared" si="20"/>
        <v>68</v>
      </c>
      <c r="W26" s="68">
        <f t="shared" si="21"/>
        <v>3.5</v>
      </c>
      <c r="X26" s="206"/>
      <c r="Y26" s="66">
        <v>20</v>
      </c>
      <c r="Z26" s="67">
        <v>76</v>
      </c>
      <c r="AA26" s="67">
        <f t="shared" si="22"/>
        <v>96</v>
      </c>
      <c r="AB26" s="68">
        <f t="shared" si="23"/>
        <v>5</v>
      </c>
      <c r="AC26" s="206"/>
      <c r="AD26" s="66">
        <v>16</v>
      </c>
      <c r="AE26" s="67">
        <v>62</v>
      </c>
      <c r="AF26" s="67">
        <f t="shared" si="24"/>
        <v>78</v>
      </c>
      <c r="AG26" s="68">
        <f t="shared" si="25"/>
        <v>4</v>
      </c>
      <c r="AH26" s="206"/>
      <c r="AI26" s="66">
        <v>19</v>
      </c>
      <c r="AJ26" s="67">
        <v>50</v>
      </c>
      <c r="AK26" s="67">
        <f t="shared" si="26"/>
        <v>69</v>
      </c>
      <c r="AL26" s="68">
        <f t="shared" si="27"/>
        <v>3.5</v>
      </c>
      <c r="AM26" s="206"/>
      <c r="AN26" s="53"/>
      <c r="AO26" s="67">
        <v>45</v>
      </c>
      <c r="AP26" s="60">
        <f t="shared" si="28"/>
        <v>45</v>
      </c>
      <c r="AQ26" s="68">
        <f t="shared" si="29"/>
        <v>5</v>
      </c>
      <c r="AR26" s="206"/>
      <c r="AS26" s="53">
        <f t="shared" si="30"/>
        <v>30</v>
      </c>
      <c r="AT26" s="61">
        <f t="shared" si="31"/>
        <v>4.2857142857142856</v>
      </c>
      <c r="AU26" s="58">
        <f t="shared" si="32"/>
        <v>608</v>
      </c>
      <c r="AV26" s="57">
        <v>0</v>
      </c>
      <c r="AW26" s="57">
        <v>0</v>
      </c>
      <c r="AX26" s="57" t="str">
        <f t="shared" si="33"/>
        <v>BETTER</v>
      </c>
    </row>
    <row r="27" spans="1:50">
      <c r="A27" s="53">
        <v>20</v>
      </c>
      <c r="B27" s="88">
        <v>35</v>
      </c>
      <c r="C27" s="85" t="s">
        <v>152</v>
      </c>
      <c r="D27" s="85" t="s">
        <v>153</v>
      </c>
      <c r="E27" s="85" t="s">
        <v>154</v>
      </c>
      <c r="F27" s="66">
        <v>20</v>
      </c>
      <c r="G27" s="66">
        <v>73</v>
      </c>
      <c r="H27" s="67">
        <v>10</v>
      </c>
      <c r="I27" s="67">
        <v>38</v>
      </c>
      <c r="J27" s="67">
        <f t="shared" si="34"/>
        <v>141</v>
      </c>
      <c r="K27" s="68">
        <f t="shared" si="8"/>
        <v>5</v>
      </c>
      <c r="L27" s="206"/>
      <c r="M27" s="66">
        <v>18</v>
      </c>
      <c r="N27" s="67">
        <v>70</v>
      </c>
      <c r="O27" s="67">
        <v>9</v>
      </c>
      <c r="P27" s="67">
        <v>19</v>
      </c>
      <c r="Q27" s="67">
        <f t="shared" si="18"/>
        <v>116</v>
      </c>
      <c r="R27" s="68">
        <f t="shared" si="19"/>
        <v>4</v>
      </c>
      <c r="S27" s="206"/>
      <c r="T27" s="66">
        <v>19</v>
      </c>
      <c r="U27" s="66">
        <v>42</v>
      </c>
      <c r="V27" s="67">
        <f t="shared" si="20"/>
        <v>61</v>
      </c>
      <c r="W27" s="68">
        <f t="shared" si="21"/>
        <v>3.5</v>
      </c>
      <c r="X27" s="206"/>
      <c r="Y27" s="66">
        <v>20</v>
      </c>
      <c r="Z27" s="67">
        <v>77</v>
      </c>
      <c r="AA27" s="67">
        <f t="shared" si="22"/>
        <v>97</v>
      </c>
      <c r="AB27" s="68">
        <f t="shared" si="23"/>
        <v>5</v>
      </c>
      <c r="AC27" s="206"/>
      <c r="AD27" s="66">
        <v>19</v>
      </c>
      <c r="AE27" s="67">
        <v>62</v>
      </c>
      <c r="AF27" s="67">
        <f t="shared" si="24"/>
        <v>81</v>
      </c>
      <c r="AG27" s="68">
        <f t="shared" si="25"/>
        <v>5</v>
      </c>
      <c r="AH27" s="206"/>
      <c r="AI27" s="66">
        <v>18</v>
      </c>
      <c r="AJ27" s="67">
        <v>58</v>
      </c>
      <c r="AK27" s="67">
        <f t="shared" si="26"/>
        <v>76</v>
      </c>
      <c r="AL27" s="68">
        <f t="shared" si="27"/>
        <v>4</v>
      </c>
      <c r="AM27" s="206"/>
      <c r="AN27" s="53"/>
      <c r="AO27" s="67">
        <v>36</v>
      </c>
      <c r="AP27" s="60">
        <f t="shared" si="28"/>
        <v>36</v>
      </c>
      <c r="AQ27" s="68">
        <f t="shared" si="29"/>
        <v>4</v>
      </c>
      <c r="AR27" s="206"/>
      <c r="AS27" s="53">
        <f t="shared" si="30"/>
        <v>30.5</v>
      </c>
      <c r="AT27" s="61">
        <f t="shared" si="31"/>
        <v>4.3571428571428568</v>
      </c>
      <c r="AU27" s="58">
        <f t="shared" si="32"/>
        <v>608</v>
      </c>
      <c r="AV27" s="57">
        <v>0</v>
      </c>
      <c r="AW27" s="57">
        <v>0</v>
      </c>
      <c r="AX27" s="57" t="str">
        <f t="shared" si="33"/>
        <v>BETTER</v>
      </c>
    </row>
    <row r="28" spans="1:50">
      <c r="A28" s="53">
        <v>21</v>
      </c>
      <c r="B28" s="88">
        <v>40</v>
      </c>
      <c r="C28" s="85" t="s">
        <v>155</v>
      </c>
      <c r="D28" s="85" t="s">
        <v>156</v>
      </c>
      <c r="E28" s="85" t="s">
        <v>157</v>
      </c>
      <c r="F28" s="66">
        <v>20</v>
      </c>
      <c r="G28" s="66">
        <v>77</v>
      </c>
      <c r="H28" s="67">
        <v>10</v>
      </c>
      <c r="I28" s="67">
        <v>40</v>
      </c>
      <c r="J28" s="67">
        <f t="shared" si="34"/>
        <v>147</v>
      </c>
      <c r="K28" s="68">
        <f t="shared" si="8"/>
        <v>5</v>
      </c>
      <c r="L28" s="206"/>
      <c r="M28" s="66">
        <v>19</v>
      </c>
      <c r="N28" s="67">
        <v>64</v>
      </c>
      <c r="O28" s="67">
        <v>10</v>
      </c>
      <c r="P28" s="67">
        <v>22</v>
      </c>
      <c r="Q28" s="67">
        <f t="shared" si="18"/>
        <v>115</v>
      </c>
      <c r="R28" s="68">
        <f t="shared" si="19"/>
        <v>4</v>
      </c>
      <c r="S28" s="206"/>
      <c r="T28" s="66">
        <v>17</v>
      </c>
      <c r="U28" s="66">
        <v>38</v>
      </c>
      <c r="V28" s="67">
        <f t="shared" si="20"/>
        <v>55</v>
      </c>
      <c r="W28" s="68">
        <f t="shared" si="21"/>
        <v>3</v>
      </c>
      <c r="X28" s="206"/>
      <c r="Y28" s="66">
        <v>19</v>
      </c>
      <c r="Z28" s="67">
        <v>76</v>
      </c>
      <c r="AA28" s="67">
        <f t="shared" si="22"/>
        <v>95</v>
      </c>
      <c r="AB28" s="68">
        <f t="shared" si="23"/>
        <v>5</v>
      </c>
      <c r="AC28" s="206"/>
      <c r="AD28" s="66">
        <v>19</v>
      </c>
      <c r="AE28" s="67">
        <v>72</v>
      </c>
      <c r="AF28" s="67">
        <f t="shared" si="24"/>
        <v>91</v>
      </c>
      <c r="AG28" s="68">
        <f t="shared" si="25"/>
        <v>5</v>
      </c>
      <c r="AH28" s="206"/>
      <c r="AI28" s="66">
        <v>19</v>
      </c>
      <c r="AJ28" s="67">
        <v>70</v>
      </c>
      <c r="AK28" s="67">
        <f t="shared" si="26"/>
        <v>89</v>
      </c>
      <c r="AL28" s="68">
        <f t="shared" si="27"/>
        <v>5</v>
      </c>
      <c r="AM28" s="206"/>
      <c r="AN28" s="53"/>
      <c r="AO28" s="67">
        <v>27</v>
      </c>
      <c r="AP28" s="60">
        <f t="shared" si="28"/>
        <v>27</v>
      </c>
      <c r="AQ28" s="68">
        <f t="shared" si="29"/>
        <v>3</v>
      </c>
      <c r="AR28" s="206"/>
      <c r="AS28" s="53">
        <f t="shared" si="30"/>
        <v>30</v>
      </c>
      <c r="AT28" s="61">
        <f t="shared" si="31"/>
        <v>4.2857142857142856</v>
      </c>
      <c r="AU28" s="58">
        <f t="shared" si="32"/>
        <v>619</v>
      </c>
      <c r="AV28" s="57">
        <v>0</v>
      </c>
      <c r="AW28" s="57">
        <v>0</v>
      </c>
      <c r="AX28" s="57" t="str">
        <f t="shared" si="33"/>
        <v>BETTER</v>
      </c>
    </row>
    <row r="29" spans="1:50">
      <c r="A29" s="53">
        <v>22</v>
      </c>
      <c r="B29" s="89">
        <v>51</v>
      </c>
      <c r="C29" s="85" t="s">
        <v>158</v>
      </c>
      <c r="D29" s="85" t="s">
        <v>159</v>
      </c>
      <c r="E29" s="85" t="s">
        <v>160</v>
      </c>
      <c r="F29" s="66">
        <v>18</v>
      </c>
      <c r="G29" s="66">
        <v>76</v>
      </c>
      <c r="H29" s="67">
        <v>10</v>
      </c>
      <c r="I29" s="67">
        <v>39</v>
      </c>
      <c r="J29" s="67">
        <f t="shared" si="34"/>
        <v>143</v>
      </c>
      <c r="K29" s="68">
        <f t="shared" si="8"/>
        <v>5</v>
      </c>
      <c r="L29" s="206"/>
      <c r="M29" s="66">
        <v>19</v>
      </c>
      <c r="N29" s="67">
        <v>74</v>
      </c>
      <c r="O29" s="67">
        <v>10</v>
      </c>
      <c r="P29" s="67">
        <v>32</v>
      </c>
      <c r="Q29" s="67">
        <f t="shared" si="18"/>
        <v>135</v>
      </c>
      <c r="R29" s="68">
        <f t="shared" si="19"/>
        <v>5</v>
      </c>
      <c r="S29" s="206"/>
      <c r="T29" s="66">
        <v>20</v>
      </c>
      <c r="U29" s="66">
        <v>60</v>
      </c>
      <c r="V29" s="67">
        <f t="shared" si="20"/>
        <v>80</v>
      </c>
      <c r="W29" s="68">
        <f t="shared" si="21"/>
        <v>5</v>
      </c>
      <c r="X29" s="206"/>
      <c r="Y29" s="66">
        <v>20</v>
      </c>
      <c r="Z29" s="67">
        <v>78</v>
      </c>
      <c r="AA29" s="67">
        <f t="shared" si="22"/>
        <v>98</v>
      </c>
      <c r="AB29" s="68">
        <f t="shared" si="23"/>
        <v>5</v>
      </c>
      <c r="AC29" s="206"/>
      <c r="AD29" s="66">
        <v>19</v>
      </c>
      <c r="AE29" s="67">
        <v>69</v>
      </c>
      <c r="AF29" s="67">
        <f t="shared" si="24"/>
        <v>88</v>
      </c>
      <c r="AG29" s="68">
        <f t="shared" si="25"/>
        <v>5</v>
      </c>
      <c r="AH29" s="206"/>
      <c r="AI29" s="66">
        <v>19</v>
      </c>
      <c r="AJ29" s="67">
        <v>74</v>
      </c>
      <c r="AK29" s="67">
        <f t="shared" si="26"/>
        <v>93</v>
      </c>
      <c r="AL29" s="68">
        <f t="shared" si="27"/>
        <v>5</v>
      </c>
      <c r="AM29" s="206"/>
      <c r="AN29" s="53"/>
      <c r="AO29" s="67">
        <v>43</v>
      </c>
      <c r="AP29" s="60">
        <f t="shared" si="28"/>
        <v>43</v>
      </c>
      <c r="AQ29" s="68">
        <f t="shared" si="29"/>
        <v>5</v>
      </c>
      <c r="AR29" s="206"/>
      <c r="AS29" s="53">
        <f t="shared" si="30"/>
        <v>35</v>
      </c>
      <c r="AT29" s="61">
        <f t="shared" si="31"/>
        <v>5</v>
      </c>
      <c r="AU29" s="58">
        <f t="shared" si="32"/>
        <v>680</v>
      </c>
      <c r="AV29" s="57">
        <v>0</v>
      </c>
      <c r="AW29" s="57">
        <v>0</v>
      </c>
      <c r="AX29" s="57" t="str">
        <f t="shared" si="33"/>
        <v>BEST</v>
      </c>
    </row>
    <row r="30" spans="1:50">
      <c r="A30" s="53">
        <v>23</v>
      </c>
      <c r="B30" s="89">
        <v>52</v>
      </c>
      <c r="C30" s="85" t="s">
        <v>161</v>
      </c>
      <c r="D30" s="85" t="s">
        <v>162</v>
      </c>
      <c r="E30" s="85" t="s">
        <v>163</v>
      </c>
      <c r="F30" s="66">
        <v>20</v>
      </c>
      <c r="G30" s="66">
        <v>79</v>
      </c>
      <c r="H30" s="67">
        <v>10</v>
      </c>
      <c r="I30" s="67">
        <v>40</v>
      </c>
      <c r="J30" s="67">
        <f t="shared" si="34"/>
        <v>149</v>
      </c>
      <c r="K30" s="68">
        <f t="shared" si="8"/>
        <v>5</v>
      </c>
      <c r="L30" s="206"/>
      <c r="M30" s="66">
        <v>19</v>
      </c>
      <c r="N30" s="67">
        <v>61</v>
      </c>
      <c r="O30" s="67">
        <v>10</v>
      </c>
      <c r="P30" s="67">
        <v>21</v>
      </c>
      <c r="Q30" s="67">
        <f t="shared" si="18"/>
        <v>111</v>
      </c>
      <c r="R30" s="68">
        <f t="shared" si="19"/>
        <v>4</v>
      </c>
      <c r="S30" s="206"/>
      <c r="T30" s="66">
        <v>18</v>
      </c>
      <c r="U30" s="66">
        <v>52</v>
      </c>
      <c r="V30" s="67">
        <f t="shared" si="20"/>
        <v>70</v>
      </c>
      <c r="W30" s="68">
        <f t="shared" si="21"/>
        <v>4</v>
      </c>
      <c r="X30" s="206"/>
      <c r="Y30" s="66">
        <v>19</v>
      </c>
      <c r="Z30" s="67">
        <v>78</v>
      </c>
      <c r="AA30" s="67">
        <f t="shared" si="22"/>
        <v>97</v>
      </c>
      <c r="AB30" s="68">
        <f t="shared" si="23"/>
        <v>5</v>
      </c>
      <c r="AC30" s="206"/>
      <c r="AD30" s="66">
        <v>18</v>
      </c>
      <c r="AE30" s="67">
        <v>72</v>
      </c>
      <c r="AF30" s="67">
        <f t="shared" si="24"/>
        <v>90</v>
      </c>
      <c r="AG30" s="68">
        <f t="shared" si="25"/>
        <v>5</v>
      </c>
      <c r="AH30" s="206"/>
      <c r="AI30" s="66">
        <v>17</v>
      </c>
      <c r="AJ30" s="67">
        <v>74</v>
      </c>
      <c r="AK30" s="67">
        <f t="shared" si="26"/>
        <v>91</v>
      </c>
      <c r="AL30" s="68">
        <f t="shared" si="27"/>
        <v>5</v>
      </c>
      <c r="AM30" s="206"/>
      <c r="AN30" s="53"/>
      <c r="AO30" s="67">
        <v>48</v>
      </c>
      <c r="AP30" s="60">
        <f t="shared" si="28"/>
        <v>48</v>
      </c>
      <c r="AQ30" s="68">
        <f t="shared" si="29"/>
        <v>5</v>
      </c>
      <c r="AR30" s="206"/>
      <c r="AS30" s="53">
        <f t="shared" si="30"/>
        <v>33</v>
      </c>
      <c r="AT30" s="61">
        <f t="shared" si="31"/>
        <v>4.7142857142857144</v>
      </c>
      <c r="AU30" s="58">
        <f t="shared" si="32"/>
        <v>656</v>
      </c>
      <c r="AV30" s="57">
        <v>0</v>
      </c>
      <c r="AW30" s="57">
        <v>0</v>
      </c>
      <c r="AX30" s="57" t="str">
        <f t="shared" si="33"/>
        <v>BETTER</v>
      </c>
    </row>
    <row r="31" spans="1:50">
      <c r="A31" s="53">
        <v>24</v>
      </c>
      <c r="B31" s="89">
        <v>54</v>
      </c>
      <c r="C31" s="85" t="s">
        <v>164</v>
      </c>
      <c r="D31" s="85" t="s">
        <v>165</v>
      </c>
      <c r="E31" s="85" t="s">
        <v>166</v>
      </c>
      <c r="F31" s="66">
        <v>20</v>
      </c>
      <c r="G31" s="66">
        <v>77</v>
      </c>
      <c r="H31" s="67">
        <v>10</v>
      </c>
      <c r="I31" s="67">
        <v>38</v>
      </c>
      <c r="J31" s="67">
        <f t="shared" si="34"/>
        <v>145</v>
      </c>
      <c r="K31" s="68">
        <f t="shared" si="8"/>
        <v>5</v>
      </c>
      <c r="L31" s="206"/>
      <c r="M31" s="66">
        <v>15</v>
      </c>
      <c r="N31" s="67">
        <v>46</v>
      </c>
      <c r="O31" s="67">
        <v>10</v>
      </c>
      <c r="P31" s="67">
        <v>25</v>
      </c>
      <c r="Q31" s="67">
        <f t="shared" si="18"/>
        <v>96</v>
      </c>
      <c r="R31" s="68">
        <f t="shared" si="19"/>
        <v>3.5</v>
      </c>
      <c r="S31" s="206"/>
      <c r="T31" s="66">
        <v>12</v>
      </c>
      <c r="U31" s="66">
        <v>40</v>
      </c>
      <c r="V31" s="67">
        <f t="shared" si="20"/>
        <v>52</v>
      </c>
      <c r="W31" s="68">
        <f t="shared" si="21"/>
        <v>3</v>
      </c>
      <c r="X31" s="206"/>
      <c r="Y31" s="66">
        <v>19</v>
      </c>
      <c r="Z31" s="67">
        <v>76</v>
      </c>
      <c r="AA31" s="67">
        <f t="shared" si="22"/>
        <v>95</v>
      </c>
      <c r="AB31" s="68">
        <f t="shared" si="23"/>
        <v>5</v>
      </c>
      <c r="AC31" s="206"/>
      <c r="AD31" s="66">
        <v>19</v>
      </c>
      <c r="AE31" s="67">
        <v>72</v>
      </c>
      <c r="AF31" s="67">
        <f t="shared" si="24"/>
        <v>91</v>
      </c>
      <c r="AG31" s="68">
        <f t="shared" si="25"/>
        <v>5</v>
      </c>
      <c r="AH31" s="206"/>
      <c r="AI31" s="66">
        <v>17</v>
      </c>
      <c r="AJ31" s="67">
        <v>70</v>
      </c>
      <c r="AK31" s="67">
        <f t="shared" si="26"/>
        <v>87</v>
      </c>
      <c r="AL31" s="68">
        <f t="shared" si="27"/>
        <v>5</v>
      </c>
      <c r="AM31" s="206"/>
      <c r="AN31" s="53"/>
      <c r="AO31" s="67">
        <v>45</v>
      </c>
      <c r="AP31" s="60">
        <f t="shared" si="28"/>
        <v>45</v>
      </c>
      <c r="AQ31" s="68">
        <f t="shared" si="29"/>
        <v>5</v>
      </c>
      <c r="AR31" s="206"/>
      <c r="AS31" s="53">
        <f t="shared" si="30"/>
        <v>31.5</v>
      </c>
      <c r="AT31" s="61">
        <f t="shared" si="31"/>
        <v>4.5</v>
      </c>
      <c r="AU31" s="58">
        <f t="shared" si="32"/>
        <v>611</v>
      </c>
      <c r="AV31" s="57">
        <v>0</v>
      </c>
      <c r="AW31" s="57">
        <v>0</v>
      </c>
      <c r="AX31" s="57" t="str">
        <f t="shared" si="33"/>
        <v>BETTER</v>
      </c>
    </row>
    <row r="32" spans="1:50">
      <c r="A32" s="53">
        <v>25</v>
      </c>
      <c r="B32" s="89">
        <v>57</v>
      </c>
      <c r="C32" s="85" t="s">
        <v>167</v>
      </c>
      <c r="D32" s="85" t="s">
        <v>168</v>
      </c>
      <c r="E32" s="85" t="s">
        <v>169</v>
      </c>
      <c r="F32" s="66">
        <v>20</v>
      </c>
      <c r="G32" s="66">
        <v>78</v>
      </c>
      <c r="H32" s="67">
        <v>10</v>
      </c>
      <c r="I32" s="67">
        <v>40</v>
      </c>
      <c r="J32" s="67">
        <f t="shared" si="34"/>
        <v>148</v>
      </c>
      <c r="K32" s="68">
        <f t="shared" si="8"/>
        <v>5</v>
      </c>
      <c r="L32" s="206"/>
      <c r="M32" s="66">
        <v>19</v>
      </c>
      <c r="N32" s="67">
        <v>38</v>
      </c>
      <c r="O32" s="67">
        <v>10</v>
      </c>
      <c r="P32" s="67">
        <v>32</v>
      </c>
      <c r="Q32" s="67">
        <f t="shared" si="18"/>
        <v>99</v>
      </c>
      <c r="R32" s="68">
        <f t="shared" si="19"/>
        <v>3.5</v>
      </c>
      <c r="S32" s="206"/>
      <c r="T32" s="66">
        <v>19</v>
      </c>
      <c r="U32" s="66">
        <v>40</v>
      </c>
      <c r="V32" s="67">
        <f t="shared" si="20"/>
        <v>59</v>
      </c>
      <c r="W32" s="68">
        <f t="shared" si="21"/>
        <v>3</v>
      </c>
      <c r="X32" s="206"/>
      <c r="Y32" s="66">
        <v>20</v>
      </c>
      <c r="Z32" s="67">
        <v>73</v>
      </c>
      <c r="AA32" s="67">
        <f t="shared" si="22"/>
        <v>93</v>
      </c>
      <c r="AB32" s="68">
        <f t="shared" si="23"/>
        <v>5</v>
      </c>
      <c r="AC32" s="206"/>
      <c r="AD32" s="66">
        <v>18</v>
      </c>
      <c r="AE32" s="67">
        <v>74</v>
      </c>
      <c r="AF32" s="67">
        <f t="shared" si="24"/>
        <v>92</v>
      </c>
      <c r="AG32" s="68">
        <f t="shared" si="25"/>
        <v>5</v>
      </c>
      <c r="AH32" s="206"/>
      <c r="AI32" s="66">
        <v>19</v>
      </c>
      <c r="AJ32" s="67">
        <v>70</v>
      </c>
      <c r="AK32" s="67">
        <f t="shared" si="26"/>
        <v>89</v>
      </c>
      <c r="AL32" s="68">
        <f t="shared" si="27"/>
        <v>5</v>
      </c>
      <c r="AM32" s="206"/>
      <c r="AN32" s="53"/>
      <c r="AO32" s="67">
        <v>43</v>
      </c>
      <c r="AP32" s="60">
        <f t="shared" si="28"/>
        <v>43</v>
      </c>
      <c r="AQ32" s="68">
        <f t="shared" si="29"/>
        <v>5</v>
      </c>
      <c r="AR32" s="206"/>
      <c r="AS32" s="53">
        <f t="shared" si="30"/>
        <v>31.5</v>
      </c>
      <c r="AT32" s="61">
        <f t="shared" si="31"/>
        <v>4.5</v>
      </c>
      <c r="AU32" s="58">
        <f t="shared" si="32"/>
        <v>623</v>
      </c>
      <c r="AV32" s="57">
        <v>0</v>
      </c>
      <c r="AW32" s="57">
        <v>0</v>
      </c>
      <c r="AX32" s="57" t="str">
        <f t="shared" si="33"/>
        <v>BETTER</v>
      </c>
    </row>
    <row r="33" spans="1:294">
      <c r="A33" s="53">
        <v>26</v>
      </c>
      <c r="B33" s="89">
        <v>61</v>
      </c>
      <c r="C33" s="85" t="s">
        <v>170</v>
      </c>
      <c r="D33" s="85" t="s">
        <v>171</v>
      </c>
      <c r="E33" s="85" t="s">
        <v>172</v>
      </c>
      <c r="F33" s="66">
        <v>20</v>
      </c>
      <c r="G33" s="66">
        <v>77</v>
      </c>
      <c r="H33" s="67">
        <v>10</v>
      </c>
      <c r="I33" s="67">
        <v>39</v>
      </c>
      <c r="J33" s="67">
        <f t="shared" si="34"/>
        <v>146</v>
      </c>
      <c r="K33" s="68">
        <f t="shared" si="8"/>
        <v>5</v>
      </c>
      <c r="L33" s="206"/>
      <c r="M33" s="66">
        <v>18</v>
      </c>
      <c r="N33" s="67">
        <v>50</v>
      </c>
      <c r="O33" s="67">
        <v>10</v>
      </c>
      <c r="P33" s="67">
        <v>26</v>
      </c>
      <c r="Q33" s="67">
        <f t="shared" si="18"/>
        <v>104</v>
      </c>
      <c r="R33" s="68">
        <f t="shared" si="19"/>
        <v>3.5</v>
      </c>
      <c r="S33" s="206"/>
      <c r="T33" s="66">
        <v>20</v>
      </c>
      <c r="U33" s="66">
        <v>64</v>
      </c>
      <c r="V33" s="67">
        <f t="shared" si="20"/>
        <v>84</v>
      </c>
      <c r="W33" s="68">
        <f t="shared" si="21"/>
        <v>5</v>
      </c>
      <c r="X33" s="206"/>
      <c r="Y33" s="66">
        <v>20</v>
      </c>
      <c r="Z33" s="67">
        <v>79</v>
      </c>
      <c r="AA33" s="67">
        <f t="shared" si="22"/>
        <v>99</v>
      </c>
      <c r="AB33" s="68">
        <f t="shared" si="23"/>
        <v>5</v>
      </c>
      <c r="AC33" s="206"/>
      <c r="AD33" s="66">
        <v>20</v>
      </c>
      <c r="AE33" s="67">
        <v>74</v>
      </c>
      <c r="AF33" s="67">
        <f t="shared" si="24"/>
        <v>94</v>
      </c>
      <c r="AG33" s="68">
        <f t="shared" si="25"/>
        <v>5</v>
      </c>
      <c r="AH33" s="206"/>
      <c r="AI33" s="66">
        <v>20</v>
      </c>
      <c r="AJ33" s="67">
        <v>74</v>
      </c>
      <c r="AK33" s="67">
        <f t="shared" si="26"/>
        <v>94</v>
      </c>
      <c r="AL33" s="68">
        <f t="shared" si="27"/>
        <v>5</v>
      </c>
      <c r="AM33" s="206"/>
      <c r="AN33" s="53"/>
      <c r="AO33" s="67">
        <v>48</v>
      </c>
      <c r="AP33" s="60">
        <f t="shared" si="28"/>
        <v>48</v>
      </c>
      <c r="AQ33" s="68">
        <f t="shared" si="29"/>
        <v>5</v>
      </c>
      <c r="AR33" s="206"/>
      <c r="AS33" s="53">
        <f t="shared" si="30"/>
        <v>33.5</v>
      </c>
      <c r="AT33" s="61">
        <f t="shared" si="31"/>
        <v>4.7857142857142856</v>
      </c>
      <c r="AU33" s="58">
        <f t="shared" si="32"/>
        <v>669</v>
      </c>
      <c r="AV33" s="57">
        <v>0</v>
      </c>
      <c r="AW33" s="57">
        <v>0</v>
      </c>
      <c r="AX33" s="57" t="str">
        <f t="shared" si="33"/>
        <v>BETTER</v>
      </c>
    </row>
    <row r="34" spans="1:294">
      <c r="A34" s="53">
        <v>27</v>
      </c>
      <c r="B34" s="89">
        <v>62</v>
      </c>
      <c r="C34" s="85" t="s">
        <v>173</v>
      </c>
      <c r="D34" s="85" t="s">
        <v>174</v>
      </c>
      <c r="E34" s="85" t="s">
        <v>175</v>
      </c>
      <c r="F34" s="66">
        <v>20</v>
      </c>
      <c r="G34" s="66">
        <v>77</v>
      </c>
      <c r="H34" s="67">
        <v>10</v>
      </c>
      <c r="I34" s="67">
        <v>38</v>
      </c>
      <c r="J34" s="67">
        <f t="shared" si="34"/>
        <v>145</v>
      </c>
      <c r="K34" s="68">
        <f t="shared" si="8"/>
        <v>5</v>
      </c>
      <c r="L34" s="206"/>
      <c r="M34" s="66">
        <v>17</v>
      </c>
      <c r="N34" s="67">
        <v>67</v>
      </c>
      <c r="O34" s="67">
        <v>10</v>
      </c>
      <c r="P34" s="67">
        <v>34</v>
      </c>
      <c r="Q34" s="67">
        <f t="shared" si="18"/>
        <v>128</v>
      </c>
      <c r="R34" s="68">
        <f t="shared" si="19"/>
        <v>5</v>
      </c>
      <c r="S34" s="206"/>
      <c r="T34" s="66">
        <v>20</v>
      </c>
      <c r="U34" s="66">
        <v>64</v>
      </c>
      <c r="V34" s="67">
        <f t="shared" si="20"/>
        <v>84</v>
      </c>
      <c r="W34" s="68">
        <f t="shared" si="21"/>
        <v>5</v>
      </c>
      <c r="X34" s="206"/>
      <c r="Y34" s="66">
        <v>20</v>
      </c>
      <c r="Z34" s="67">
        <v>78</v>
      </c>
      <c r="AA34" s="67">
        <f t="shared" si="22"/>
        <v>98</v>
      </c>
      <c r="AB34" s="68">
        <f t="shared" si="23"/>
        <v>5</v>
      </c>
      <c r="AC34" s="206"/>
      <c r="AD34" s="66">
        <v>19</v>
      </c>
      <c r="AE34" s="67">
        <v>70</v>
      </c>
      <c r="AF34" s="67">
        <f t="shared" si="24"/>
        <v>89</v>
      </c>
      <c r="AG34" s="68">
        <f t="shared" si="25"/>
        <v>5</v>
      </c>
      <c r="AH34" s="206"/>
      <c r="AI34" s="66">
        <v>19</v>
      </c>
      <c r="AJ34" s="67">
        <v>66</v>
      </c>
      <c r="AK34" s="67">
        <f t="shared" si="26"/>
        <v>85</v>
      </c>
      <c r="AL34" s="68">
        <f t="shared" si="27"/>
        <v>5</v>
      </c>
      <c r="AM34" s="206"/>
      <c r="AN34" s="53"/>
      <c r="AO34" s="67">
        <v>50</v>
      </c>
      <c r="AP34" s="60">
        <f t="shared" si="28"/>
        <v>50</v>
      </c>
      <c r="AQ34" s="68">
        <f t="shared" si="29"/>
        <v>5</v>
      </c>
      <c r="AR34" s="206"/>
      <c r="AS34" s="53">
        <f t="shared" si="30"/>
        <v>35</v>
      </c>
      <c r="AT34" s="61">
        <f t="shared" si="31"/>
        <v>5</v>
      </c>
      <c r="AU34" s="58">
        <f t="shared" si="32"/>
        <v>679</v>
      </c>
      <c r="AV34" s="57">
        <v>0</v>
      </c>
      <c r="AW34" s="57">
        <v>0</v>
      </c>
      <c r="AX34" s="57" t="str">
        <f t="shared" si="33"/>
        <v>BEST</v>
      </c>
    </row>
    <row r="35" spans="1:294">
      <c r="A35" s="53">
        <v>28</v>
      </c>
      <c r="B35" s="89">
        <v>64</v>
      </c>
      <c r="C35" s="85" t="s">
        <v>176</v>
      </c>
      <c r="D35" s="85" t="s">
        <v>177</v>
      </c>
      <c r="E35" s="85" t="s">
        <v>178</v>
      </c>
      <c r="F35" s="66">
        <v>20</v>
      </c>
      <c r="G35" s="66">
        <v>78</v>
      </c>
      <c r="H35" s="67">
        <v>10</v>
      </c>
      <c r="I35" s="67">
        <v>40</v>
      </c>
      <c r="J35" s="67">
        <f t="shared" si="34"/>
        <v>148</v>
      </c>
      <c r="K35" s="68">
        <f t="shared" si="8"/>
        <v>5</v>
      </c>
      <c r="L35" s="206"/>
      <c r="M35" s="66">
        <v>19</v>
      </c>
      <c r="N35" s="67">
        <v>76</v>
      </c>
      <c r="O35" s="67">
        <v>10</v>
      </c>
      <c r="P35" s="67">
        <v>32</v>
      </c>
      <c r="Q35" s="67">
        <f t="shared" si="18"/>
        <v>137</v>
      </c>
      <c r="R35" s="68">
        <f t="shared" si="19"/>
        <v>5</v>
      </c>
      <c r="S35" s="206"/>
      <c r="T35" s="66">
        <v>20</v>
      </c>
      <c r="U35" s="66">
        <v>76</v>
      </c>
      <c r="V35" s="67">
        <f t="shared" si="20"/>
        <v>96</v>
      </c>
      <c r="W35" s="68">
        <f t="shared" si="21"/>
        <v>5</v>
      </c>
      <c r="X35" s="206"/>
      <c r="Y35" s="66">
        <v>20</v>
      </c>
      <c r="Z35" s="67">
        <v>79</v>
      </c>
      <c r="AA35" s="67">
        <f t="shared" si="22"/>
        <v>99</v>
      </c>
      <c r="AB35" s="68">
        <f t="shared" si="23"/>
        <v>5</v>
      </c>
      <c r="AC35" s="206"/>
      <c r="AD35" s="66">
        <v>20</v>
      </c>
      <c r="AE35" s="67">
        <v>73</v>
      </c>
      <c r="AF35" s="67">
        <f t="shared" si="24"/>
        <v>93</v>
      </c>
      <c r="AG35" s="68">
        <f t="shared" si="25"/>
        <v>5</v>
      </c>
      <c r="AH35" s="206"/>
      <c r="AI35" s="66">
        <v>19</v>
      </c>
      <c r="AJ35" s="67">
        <v>64</v>
      </c>
      <c r="AK35" s="67">
        <f t="shared" si="26"/>
        <v>83</v>
      </c>
      <c r="AL35" s="68">
        <f t="shared" si="27"/>
        <v>5</v>
      </c>
      <c r="AM35" s="206"/>
      <c r="AN35" s="53"/>
      <c r="AO35" s="67">
        <v>50</v>
      </c>
      <c r="AP35" s="60">
        <f t="shared" si="28"/>
        <v>50</v>
      </c>
      <c r="AQ35" s="68">
        <f t="shared" si="29"/>
        <v>5</v>
      </c>
      <c r="AR35" s="206"/>
      <c r="AS35" s="53">
        <f t="shared" si="30"/>
        <v>35</v>
      </c>
      <c r="AT35" s="61">
        <f t="shared" si="31"/>
        <v>5</v>
      </c>
      <c r="AU35" s="58">
        <f t="shared" si="32"/>
        <v>706</v>
      </c>
      <c r="AV35" s="57">
        <v>0</v>
      </c>
      <c r="AW35" s="57">
        <v>0</v>
      </c>
      <c r="AX35" s="57" t="str">
        <f t="shared" si="33"/>
        <v>BEST</v>
      </c>
    </row>
    <row r="36" spans="1:294">
      <c r="A36" s="53">
        <v>29</v>
      </c>
      <c r="B36" s="89">
        <v>65</v>
      </c>
      <c r="C36" s="85" t="s">
        <v>179</v>
      </c>
      <c r="D36" s="85" t="s">
        <v>180</v>
      </c>
      <c r="E36" s="85" t="s">
        <v>181</v>
      </c>
      <c r="F36" s="66">
        <v>20</v>
      </c>
      <c r="G36" s="66">
        <v>78</v>
      </c>
      <c r="H36" s="67">
        <v>10</v>
      </c>
      <c r="I36" s="67">
        <v>38</v>
      </c>
      <c r="J36" s="67">
        <f t="shared" si="34"/>
        <v>146</v>
      </c>
      <c r="K36" s="68">
        <f t="shared" si="8"/>
        <v>5</v>
      </c>
      <c r="L36" s="206"/>
      <c r="M36" s="66">
        <v>18</v>
      </c>
      <c r="N36" s="67">
        <v>72</v>
      </c>
      <c r="O36" s="67">
        <v>10</v>
      </c>
      <c r="P36" s="67">
        <v>33</v>
      </c>
      <c r="Q36" s="67">
        <f t="shared" si="18"/>
        <v>133</v>
      </c>
      <c r="R36" s="68">
        <f t="shared" si="19"/>
        <v>5</v>
      </c>
      <c r="S36" s="206"/>
      <c r="T36" s="66">
        <v>16</v>
      </c>
      <c r="U36" s="66">
        <v>66</v>
      </c>
      <c r="V36" s="67">
        <f t="shared" si="10"/>
        <v>82</v>
      </c>
      <c r="W36" s="68">
        <f t="shared" si="11"/>
        <v>5</v>
      </c>
      <c r="X36" s="206"/>
      <c r="Y36" s="66">
        <v>19</v>
      </c>
      <c r="Z36" s="67">
        <v>78</v>
      </c>
      <c r="AA36" s="67">
        <f t="shared" si="22"/>
        <v>97</v>
      </c>
      <c r="AB36" s="68">
        <f t="shared" si="23"/>
        <v>5</v>
      </c>
      <c r="AC36" s="206"/>
      <c r="AD36" s="66">
        <v>19</v>
      </c>
      <c r="AE36" s="67">
        <v>72</v>
      </c>
      <c r="AF36" s="67">
        <f t="shared" si="24"/>
        <v>91</v>
      </c>
      <c r="AG36" s="68">
        <f t="shared" si="25"/>
        <v>5</v>
      </c>
      <c r="AH36" s="206"/>
      <c r="AI36" s="66">
        <v>15</v>
      </c>
      <c r="AJ36" s="67">
        <v>49</v>
      </c>
      <c r="AK36" s="67">
        <f t="shared" si="26"/>
        <v>64</v>
      </c>
      <c r="AL36" s="68">
        <f t="shared" si="27"/>
        <v>3.5</v>
      </c>
      <c r="AM36" s="206"/>
      <c r="AN36" s="53"/>
      <c r="AO36" s="67">
        <v>50</v>
      </c>
      <c r="AP36" s="60">
        <f t="shared" si="28"/>
        <v>50</v>
      </c>
      <c r="AQ36" s="68">
        <f t="shared" si="29"/>
        <v>5</v>
      </c>
      <c r="AR36" s="206"/>
      <c r="AS36" s="53">
        <f t="shared" si="30"/>
        <v>33.5</v>
      </c>
      <c r="AT36" s="61">
        <f t="shared" si="31"/>
        <v>4.7857142857142856</v>
      </c>
      <c r="AU36" s="58">
        <f t="shared" si="32"/>
        <v>663</v>
      </c>
      <c r="AV36" s="57">
        <v>0</v>
      </c>
      <c r="AW36" s="57">
        <v>0</v>
      </c>
      <c r="AX36" s="57" t="str">
        <f t="shared" si="33"/>
        <v>BETTER</v>
      </c>
    </row>
    <row r="37" spans="1:294">
      <c r="A37" s="53">
        <v>30</v>
      </c>
      <c r="B37" s="89">
        <v>75</v>
      </c>
      <c r="C37" s="85" t="s">
        <v>182</v>
      </c>
      <c r="D37" s="85" t="s">
        <v>183</v>
      </c>
      <c r="E37" s="85" t="s">
        <v>184</v>
      </c>
      <c r="F37" s="66">
        <v>20</v>
      </c>
      <c r="G37" s="66">
        <v>78</v>
      </c>
      <c r="H37" s="67">
        <v>10</v>
      </c>
      <c r="I37" s="67">
        <v>40</v>
      </c>
      <c r="J37" s="67">
        <f t="shared" si="34"/>
        <v>148</v>
      </c>
      <c r="K37" s="68">
        <f t="shared" si="8"/>
        <v>5</v>
      </c>
      <c r="L37" s="206"/>
      <c r="M37" s="66">
        <v>20</v>
      </c>
      <c r="N37" s="67">
        <v>70</v>
      </c>
      <c r="O37" s="67">
        <v>10</v>
      </c>
      <c r="P37" s="67">
        <v>29</v>
      </c>
      <c r="Q37" s="67">
        <f t="shared" si="18"/>
        <v>129</v>
      </c>
      <c r="R37" s="68">
        <f t="shared" si="19"/>
        <v>5</v>
      </c>
      <c r="S37" s="206"/>
      <c r="T37" s="66">
        <v>20</v>
      </c>
      <c r="U37" s="66">
        <v>66</v>
      </c>
      <c r="V37" s="67">
        <f t="shared" si="10"/>
        <v>86</v>
      </c>
      <c r="W37" s="68">
        <f t="shared" si="11"/>
        <v>5</v>
      </c>
      <c r="X37" s="206"/>
      <c r="Y37" s="66">
        <v>20</v>
      </c>
      <c r="Z37" s="67">
        <v>78</v>
      </c>
      <c r="AA37" s="67">
        <f t="shared" si="22"/>
        <v>98</v>
      </c>
      <c r="AB37" s="68">
        <f t="shared" si="23"/>
        <v>5</v>
      </c>
      <c r="AC37" s="206"/>
      <c r="AD37" s="66">
        <v>20</v>
      </c>
      <c r="AE37" s="67">
        <v>74</v>
      </c>
      <c r="AF37" s="67">
        <f t="shared" si="2"/>
        <v>94</v>
      </c>
      <c r="AG37" s="68">
        <f t="shared" si="13"/>
        <v>5</v>
      </c>
      <c r="AH37" s="206"/>
      <c r="AI37" s="66">
        <v>20</v>
      </c>
      <c r="AJ37" s="67">
        <v>62</v>
      </c>
      <c r="AK37" s="67">
        <f t="shared" si="26"/>
        <v>82</v>
      </c>
      <c r="AL37" s="68">
        <f t="shared" si="27"/>
        <v>5</v>
      </c>
      <c r="AM37" s="206"/>
      <c r="AN37" s="53"/>
      <c r="AO37" s="67">
        <v>50</v>
      </c>
      <c r="AP37" s="60">
        <f t="shared" si="15"/>
        <v>50</v>
      </c>
      <c r="AQ37" s="68">
        <f t="shared" si="16"/>
        <v>5</v>
      </c>
      <c r="AR37" s="206"/>
      <c r="AS37" s="53">
        <f t="shared" si="30"/>
        <v>35</v>
      </c>
      <c r="AT37" s="61">
        <f t="shared" si="31"/>
        <v>5</v>
      </c>
      <c r="AU37" s="58">
        <f t="shared" si="32"/>
        <v>687</v>
      </c>
      <c r="AV37" s="57">
        <v>0</v>
      </c>
      <c r="AW37" s="57">
        <v>0</v>
      </c>
      <c r="AX37" s="57" t="str">
        <f t="shared" si="33"/>
        <v>BEST</v>
      </c>
    </row>
    <row r="38" spans="1:294">
      <c r="A38" s="53">
        <v>31</v>
      </c>
      <c r="B38" s="89">
        <v>76</v>
      </c>
      <c r="C38" s="85" t="s">
        <v>185</v>
      </c>
      <c r="D38" s="85" t="s">
        <v>186</v>
      </c>
      <c r="E38" s="85" t="s">
        <v>187</v>
      </c>
      <c r="F38" s="66">
        <v>20</v>
      </c>
      <c r="G38" s="66">
        <v>78</v>
      </c>
      <c r="H38" s="67">
        <v>10</v>
      </c>
      <c r="I38" s="67">
        <v>38</v>
      </c>
      <c r="J38" s="67">
        <f t="shared" si="34"/>
        <v>146</v>
      </c>
      <c r="K38" s="68">
        <f t="shared" si="8"/>
        <v>5</v>
      </c>
      <c r="L38" s="206"/>
      <c r="M38" s="66">
        <v>17</v>
      </c>
      <c r="N38" s="67">
        <v>78</v>
      </c>
      <c r="O38" s="67">
        <v>10</v>
      </c>
      <c r="P38" s="67">
        <v>36</v>
      </c>
      <c r="Q38" s="67">
        <f t="shared" si="18"/>
        <v>141</v>
      </c>
      <c r="R38" s="68">
        <f t="shared" si="19"/>
        <v>5</v>
      </c>
      <c r="S38" s="206"/>
      <c r="T38" s="66">
        <v>19</v>
      </c>
      <c r="U38" s="66">
        <v>73</v>
      </c>
      <c r="V38" s="67">
        <f t="shared" si="10"/>
        <v>92</v>
      </c>
      <c r="W38" s="68">
        <f t="shared" si="11"/>
        <v>5</v>
      </c>
      <c r="X38" s="206"/>
      <c r="Y38" s="66">
        <v>19</v>
      </c>
      <c r="Z38" s="67">
        <v>78</v>
      </c>
      <c r="AA38" s="67">
        <f t="shared" si="22"/>
        <v>97</v>
      </c>
      <c r="AB38" s="68">
        <f t="shared" si="23"/>
        <v>5</v>
      </c>
      <c r="AC38" s="206"/>
      <c r="AD38" s="66">
        <v>19</v>
      </c>
      <c r="AE38" s="67">
        <v>77</v>
      </c>
      <c r="AF38" s="67">
        <f t="shared" si="2"/>
        <v>96</v>
      </c>
      <c r="AG38" s="68">
        <f t="shared" si="13"/>
        <v>5</v>
      </c>
      <c r="AH38" s="206"/>
      <c r="AI38" s="66">
        <v>19</v>
      </c>
      <c r="AJ38" s="67">
        <v>75</v>
      </c>
      <c r="AK38" s="67">
        <f t="shared" si="3"/>
        <v>94</v>
      </c>
      <c r="AL38" s="68">
        <f t="shared" si="14"/>
        <v>5</v>
      </c>
      <c r="AM38" s="206"/>
      <c r="AN38" s="53"/>
      <c r="AO38" s="67">
        <v>50</v>
      </c>
      <c r="AP38" s="60">
        <f t="shared" si="15"/>
        <v>50</v>
      </c>
      <c r="AQ38" s="68">
        <f t="shared" si="16"/>
        <v>5</v>
      </c>
      <c r="AR38" s="206"/>
      <c r="AS38" s="53">
        <f t="shared" si="30"/>
        <v>35</v>
      </c>
      <c r="AT38" s="61">
        <f t="shared" si="31"/>
        <v>5</v>
      </c>
      <c r="AU38" s="58">
        <f t="shared" si="32"/>
        <v>716</v>
      </c>
      <c r="AV38" s="57">
        <v>0</v>
      </c>
      <c r="AW38" s="57">
        <v>0</v>
      </c>
      <c r="AX38" s="57" t="str">
        <f t="shared" si="33"/>
        <v>BEST</v>
      </c>
    </row>
    <row r="39" spans="1:294">
      <c r="A39" s="53">
        <v>32</v>
      </c>
      <c r="B39" s="89">
        <v>77</v>
      </c>
      <c r="C39" s="85" t="s">
        <v>188</v>
      </c>
      <c r="D39" s="85" t="s">
        <v>189</v>
      </c>
      <c r="E39" s="85" t="s">
        <v>190</v>
      </c>
      <c r="F39" s="66">
        <v>20</v>
      </c>
      <c r="G39" s="66">
        <v>0</v>
      </c>
      <c r="H39" s="67">
        <v>10</v>
      </c>
      <c r="I39" s="67">
        <v>0</v>
      </c>
      <c r="J39" s="67">
        <f t="shared" si="34"/>
        <v>30</v>
      </c>
      <c r="K39" s="68" t="str">
        <f t="shared" si="8"/>
        <v>F</v>
      </c>
      <c r="L39" s="206"/>
      <c r="M39" s="66">
        <v>17</v>
      </c>
      <c r="N39" s="67">
        <v>0</v>
      </c>
      <c r="O39" s="67">
        <v>10</v>
      </c>
      <c r="P39" s="67">
        <v>0</v>
      </c>
      <c r="Q39" s="67">
        <f t="shared" si="0"/>
        <v>27</v>
      </c>
      <c r="R39" s="68" t="str">
        <f t="shared" si="9"/>
        <v>F</v>
      </c>
      <c r="S39" s="206"/>
      <c r="T39" s="66">
        <v>20</v>
      </c>
      <c r="U39" s="66">
        <v>0</v>
      </c>
      <c r="V39" s="67">
        <f t="shared" si="10"/>
        <v>20</v>
      </c>
      <c r="W39" s="68" t="str">
        <f t="shared" si="11"/>
        <v>F</v>
      </c>
      <c r="X39" s="206"/>
      <c r="Y39" s="66">
        <v>20</v>
      </c>
      <c r="Z39" s="67">
        <v>0</v>
      </c>
      <c r="AA39" s="67">
        <f t="shared" si="22"/>
        <v>20</v>
      </c>
      <c r="AB39" s="68" t="str">
        <f t="shared" si="23"/>
        <v>F</v>
      </c>
      <c r="AC39" s="206"/>
      <c r="AD39" s="66">
        <v>20</v>
      </c>
      <c r="AE39" s="67">
        <v>0</v>
      </c>
      <c r="AF39" s="67">
        <f t="shared" si="2"/>
        <v>20</v>
      </c>
      <c r="AG39" s="68" t="str">
        <f t="shared" si="13"/>
        <v>F</v>
      </c>
      <c r="AH39" s="206"/>
      <c r="AI39" s="66">
        <v>20</v>
      </c>
      <c r="AJ39" s="67">
        <v>0</v>
      </c>
      <c r="AK39" s="67">
        <f t="shared" si="3"/>
        <v>20</v>
      </c>
      <c r="AL39" s="68" t="str">
        <f t="shared" si="14"/>
        <v>F</v>
      </c>
      <c r="AM39" s="206"/>
      <c r="AN39" s="53"/>
      <c r="AO39" s="67">
        <v>0</v>
      </c>
      <c r="AP39" s="60">
        <f t="shared" si="15"/>
        <v>0</v>
      </c>
      <c r="AQ39" s="68" t="str">
        <f t="shared" si="16"/>
        <v>F</v>
      </c>
      <c r="AR39" s="206"/>
      <c r="AS39" s="53" t="str">
        <f t="shared" si="4"/>
        <v>F</v>
      </c>
      <c r="AT39" s="61" t="str">
        <f t="shared" si="17"/>
        <v>F</v>
      </c>
      <c r="AU39" s="58">
        <f t="shared" si="5"/>
        <v>137</v>
      </c>
      <c r="AV39" s="57">
        <v>0</v>
      </c>
      <c r="AW39" s="57">
        <v>0</v>
      </c>
      <c r="AX39" s="57" t="str">
        <f t="shared" si="6"/>
        <v>NEED TO PROGRESS</v>
      </c>
    </row>
    <row r="40" spans="1:294">
      <c r="A40" s="53">
        <v>33</v>
      </c>
      <c r="B40" s="89">
        <v>79</v>
      </c>
      <c r="C40" s="85" t="s">
        <v>191</v>
      </c>
      <c r="D40" s="86" t="s">
        <v>192</v>
      </c>
      <c r="E40" s="86" t="s">
        <v>193</v>
      </c>
      <c r="F40" s="66">
        <v>20</v>
      </c>
      <c r="G40" s="66">
        <v>79</v>
      </c>
      <c r="H40" s="67">
        <v>10</v>
      </c>
      <c r="I40" s="67">
        <v>40</v>
      </c>
      <c r="J40" s="67">
        <f t="shared" si="34"/>
        <v>149</v>
      </c>
      <c r="K40" s="68">
        <f t="shared" si="8"/>
        <v>5</v>
      </c>
      <c r="L40" s="206"/>
      <c r="M40" s="66">
        <v>20</v>
      </c>
      <c r="N40" s="67">
        <v>80</v>
      </c>
      <c r="O40" s="67">
        <v>10</v>
      </c>
      <c r="P40" s="67">
        <v>38</v>
      </c>
      <c r="Q40" s="67">
        <f t="shared" si="0"/>
        <v>148</v>
      </c>
      <c r="R40" s="68">
        <f t="shared" si="9"/>
        <v>5</v>
      </c>
      <c r="S40" s="206"/>
      <c r="T40" s="66">
        <v>20</v>
      </c>
      <c r="U40" s="66">
        <v>71</v>
      </c>
      <c r="V40" s="67">
        <f t="shared" si="10"/>
        <v>91</v>
      </c>
      <c r="W40" s="68">
        <f t="shared" si="11"/>
        <v>5</v>
      </c>
      <c r="X40" s="206"/>
      <c r="Y40" s="66">
        <v>20</v>
      </c>
      <c r="Z40" s="67">
        <v>80</v>
      </c>
      <c r="AA40" s="67">
        <f t="shared" si="22"/>
        <v>100</v>
      </c>
      <c r="AB40" s="68">
        <f t="shared" si="23"/>
        <v>5</v>
      </c>
      <c r="AC40" s="206"/>
      <c r="AD40" s="66">
        <v>20</v>
      </c>
      <c r="AE40" s="67">
        <v>78</v>
      </c>
      <c r="AF40" s="67">
        <f t="shared" si="2"/>
        <v>98</v>
      </c>
      <c r="AG40" s="68">
        <f t="shared" si="13"/>
        <v>5</v>
      </c>
      <c r="AH40" s="206"/>
      <c r="AI40" s="66">
        <v>20</v>
      </c>
      <c r="AJ40" s="67">
        <v>79</v>
      </c>
      <c r="AK40" s="67">
        <f t="shared" si="3"/>
        <v>99</v>
      </c>
      <c r="AL40" s="68">
        <f t="shared" si="14"/>
        <v>5</v>
      </c>
      <c r="AM40" s="206"/>
      <c r="AN40" s="53"/>
      <c r="AO40" s="67">
        <v>50</v>
      </c>
      <c r="AP40" s="60">
        <f t="shared" si="15"/>
        <v>50</v>
      </c>
      <c r="AQ40" s="68">
        <f t="shared" si="16"/>
        <v>5</v>
      </c>
      <c r="AR40" s="206"/>
      <c r="AS40" s="53">
        <f t="shared" si="4"/>
        <v>35</v>
      </c>
      <c r="AT40" s="61">
        <f t="shared" si="17"/>
        <v>5</v>
      </c>
      <c r="AU40" s="58">
        <f t="shared" si="5"/>
        <v>735</v>
      </c>
      <c r="AV40" s="57">
        <v>0</v>
      </c>
      <c r="AW40" s="57">
        <v>0</v>
      </c>
      <c r="AX40" s="57" t="str">
        <f t="shared" si="6"/>
        <v>BEST</v>
      </c>
    </row>
    <row r="41" spans="1:294">
      <c r="A41" s="53">
        <v>34</v>
      </c>
      <c r="B41" s="89">
        <v>84</v>
      </c>
      <c r="C41" s="86" t="s">
        <v>194</v>
      </c>
      <c r="D41" s="86" t="s">
        <v>195</v>
      </c>
      <c r="E41" s="86" t="s">
        <v>196</v>
      </c>
      <c r="F41" s="66">
        <v>20</v>
      </c>
      <c r="G41" s="66">
        <v>80</v>
      </c>
      <c r="H41" s="67">
        <v>10</v>
      </c>
      <c r="I41" s="67">
        <v>40</v>
      </c>
      <c r="J41" s="67">
        <f t="shared" si="34"/>
        <v>150</v>
      </c>
      <c r="K41" s="68">
        <f t="shared" si="8"/>
        <v>5</v>
      </c>
      <c r="L41" s="206"/>
      <c r="M41" s="66">
        <v>19</v>
      </c>
      <c r="N41" s="67">
        <v>71</v>
      </c>
      <c r="O41" s="67">
        <v>10</v>
      </c>
      <c r="P41" s="67">
        <v>34</v>
      </c>
      <c r="Q41" s="67">
        <f t="shared" si="0"/>
        <v>134</v>
      </c>
      <c r="R41" s="68">
        <f t="shared" si="9"/>
        <v>5</v>
      </c>
      <c r="S41" s="206"/>
      <c r="T41" s="66">
        <v>20</v>
      </c>
      <c r="U41" s="66">
        <v>77</v>
      </c>
      <c r="V41" s="67">
        <f t="shared" si="10"/>
        <v>97</v>
      </c>
      <c r="W41" s="68">
        <f t="shared" si="11"/>
        <v>5</v>
      </c>
      <c r="X41" s="206"/>
      <c r="Y41" s="66">
        <v>20</v>
      </c>
      <c r="Z41" s="67">
        <v>78</v>
      </c>
      <c r="AA41" s="67">
        <f t="shared" si="22"/>
        <v>98</v>
      </c>
      <c r="AB41" s="68">
        <f t="shared" si="23"/>
        <v>5</v>
      </c>
      <c r="AC41" s="206"/>
      <c r="AD41" s="66">
        <v>20</v>
      </c>
      <c r="AE41" s="67">
        <v>78</v>
      </c>
      <c r="AF41" s="67">
        <f t="shared" si="2"/>
        <v>98</v>
      </c>
      <c r="AG41" s="68">
        <f t="shared" si="13"/>
        <v>5</v>
      </c>
      <c r="AH41" s="206"/>
      <c r="AI41" s="66">
        <v>19</v>
      </c>
      <c r="AJ41" s="67">
        <v>78</v>
      </c>
      <c r="AK41" s="67">
        <f t="shared" si="3"/>
        <v>97</v>
      </c>
      <c r="AL41" s="68">
        <f t="shared" si="14"/>
        <v>5</v>
      </c>
      <c r="AM41" s="206"/>
      <c r="AN41" s="53"/>
      <c r="AO41" s="67">
        <v>49</v>
      </c>
      <c r="AP41" s="60">
        <f t="shared" si="15"/>
        <v>49</v>
      </c>
      <c r="AQ41" s="68">
        <f t="shared" si="16"/>
        <v>5</v>
      </c>
      <c r="AR41" s="206"/>
      <c r="AS41" s="53">
        <f t="shared" si="4"/>
        <v>35</v>
      </c>
      <c r="AT41" s="61">
        <f t="shared" si="17"/>
        <v>5</v>
      </c>
      <c r="AU41" s="58">
        <f t="shared" si="5"/>
        <v>723</v>
      </c>
      <c r="AV41" s="57">
        <v>0</v>
      </c>
      <c r="AW41" s="57">
        <v>0</v>
      </c>
      <c r="AX41" s="57" t="str">
        <f t="shared" si="6"/>
        <v>BEST</v>
      </c>
    </row>
    <row r="42" spans="1:294">
      <c r="A42" s="53">
        <v>35</v>
      </c>
      <c r="B42" s="89">
        <v>85</v>
      </c>
      <c r="C42" s="86" t="s">
        <v>197</v>
      </c>
      <c r="D42" s="86" t="s">
        <v>198</v>
      </c>
      <c r="E42" s="86" t="s">
        <v>199</v>
      </c>
      <c r="F42" s="66">
        <v>20</v>
      </c>
      <c r="G42" s="66">
        <v>66</v>
      </c>
      <c r="H42" s="67">
        <v>10</v>
      </c>
      <c r="I42" s="67">
        <v>39</v>
      </c>
      <c r="J42" s="67">
        <f t="shared" si="34"/>
        <v>135</v>
      </c>
      <c r="K42" s="68">
        <f t="shared" si="8"/>
        <v>5</v>
      </c>
      <c r="L42" s="206"/>
      <c r="M42" s="66">
        <v>19</v>
      </c>
      <c r="N42" s="67">
        <v>75</v>
      </c>
      <c r="O42" s="67">
        <v>10</v>
      </c>
      <c r="P42" s="67">
        <v>29</v>
      </c>
      <c r="Q42" s="67">
        <f t="shared" si="0"/>
        <v>133</v>
      </c>
      <c r="R42" s="68">
        <f t="shared" si="9"/>
        <v>5</v>
      </c>
      <c r="S42" s="206"/>
      <c r="T42" s="66">
        <v>20</v>
      </c>
      <c r="U42" s="66">
        <v>32</v>
      </c>
      <c r="V42" s="67">
        <f t="shared" si="10"/>
        <v>52</v>
      </c>
      <c r="W42" s="68">
        <f t="shared" si="11"/>
        <v>3</v>
      </c>
      <c r="X42" s="206"/>
      <c r="Y42" s="66">
        <v>20</v>
      </c>
      <c r="Z42" s="67">
        <v>78</v>
      </c>
      <c r="AA42" s="67">
        <f t="shared" si="22"/>
        <v>98</v>
      </c>
      <c r="AB42" s="68">
        <f t="shared" si="23"/>
        <v>5</v>
      </c>
      <c r="AC42" s="206"/>
      <c r="AD42" s="66">
        <v>18</v>
      </c>
      <c r="AE42" s="67">
        <v>77</v>
      </c>
      <c r="AF42" s="67">
        <f t="shared" si="2"/>
        <v>95</v>
      </c>
      <c r="AG42" s="68">
        <f t="shared" si="13"/>
        <v>5</v>
      </c>
      <c r="AH42" s="206"/>
      <c r="AI42" s="66">
        <v>19</v>
      </c>
      <c r="AJ42" s="67">
        <v>69</v>
      </c>
      <c r="AK42" s="67">
        <f t="shared" si="3"/>
        <v>88</v>
      </c>
      <c r="AL42" s="68">
        <f t="shared" si="14"/>
        <v>5</v>
      </c>
      <c r="AM42" s="206"/>
      <c r="AN42" s="53"/>
      <c r="AO42" s="67">
        <v>49</v>
      </c>
      <c r="AP42" s="60">
        <v>49</v>
      </c>
      <c r="AQ42" s="68">
        <f t="shared" si="16"/>
        <v>5</v>
      </c>
      <c r="AR42" s="206"/>
      <c r="AS42" s="53">
        <f t="shared" si="4"/>
        <v>33</v>
      </c>
      <c r="AT42" s="61">
        <f t="shared" si="17"/>
        <v>4.7142857142857144</v>
      </c>
      <c r="AU42" s="58">
        <f t="shared" si="5"/>
        <v>650</v>
      </c>
      <c r="AV42" s="57">
        <v>0</v>
      </c>
      <c r="AW42" s="57">
        <v>0</v>
      </c>
      <c r="AX42" s="57" t="str">
        <f t="shared" si="6"/>
        <v>BETTER</v>
      </c>
    </row>
    <row r="43" spans="1:294" s="124" customFormat="1">
      <c r="A43" s="53">
        <v>36</v>
      </c>
      <c r="B43" s="88">
        <v>90</v>
      </c>
      <c r="C43" s="85" t="s">
        <v>200</v>
      </c>
      <c r="D43" s="123" t="s">
        <v>314</v>
      </c>
      <c r="E43" s="88" t="s">
        <v>191</v>
      </c>
      <c r="F43" s="66">
        <v>20</v>
      </c>
      <c r="G43" s="66">
        <v>79</v>
      </c>
      <c r="H43" s="67">
        <v>10</v>
      </c>
      <c r="I43" s="67">
        <v>40</v>
      </c>
      <c r="J43" s="67">
        <f t="shared" si="34"/>
        <v>149</v>
      </c>
      <c r="K43" s="68">
        <f t="shared" si="8"/>
        <v>5</v>
      </c>
      <c r="L43" s="206"/>
      <c r="M43" s="66">
        <v>17</v>
      </c>
      <c r="N43" s="67">
        <v>78</v>
      </c>
      <c r="O43" s="67">
        <v>10</v>
      </c>
      <c r="P43" s="67">
        <v>37</v>
      </c>
      <c r="Q43" s="67">
        <f t="shared" si="0"/>
        <v>142</v>
      </c>
      <c r="R43" s="68">
        <f t="shared" si="9"/>
        <v>5</v>
      </c>
      <c r="S43" s="206"/>
      <c r="T43" s="66">
        <v>20</v>
      </c>
      <c r="U43" s="66">
        <v>60</v>
      </c>
      <c r="V43" s="67">
        <f t="shared" si="10"/>
        <v>80</v>
      </c>
      <c r="W43" s="68">
        <f t="shared" si="11"/>
        <v>5</v>
      </c>
      <c r="X43" s="206"/>
      <c r="Y43" s="66">
        <v>19</v>
      </c>
      <c r="Z43" s="67">
        <v>78</v>
      </c>
      <c r="AA43" s="67">
        <f t="shared" si="22"/>
        <v>97</v>
      </c>
      <c r="AB43" s="68">
        <f t="shared" si="23"/>
        <v>5</v>
      </c>
      <c r="AC43" s="206"/>
      <c r="AD43" s="66">
        <v>20</v>
      </c>
      <c r="AE43" s="67">
        <v>77</v>
      </c>
      <c r="AF43" s="67">
        <f t="shared" si="2"/>
        <v>97</v>
      </c>
      <c r="AG43" s="68">
        <f t="shared" si="13"/>
        <v>5</v>
      </c>
      <c r="AH43" s="206"/>
      <c r="AI43" s="66">
        <v>20</v>
      </c>
      <c r="AJ43" s="67">
        <v>75</v>
      </c>
      <c r="AK43" s="67">
        <f t="shared" si="3"/>
        <v>95</v>
      </c>
      <c r="AL43" s="68">
        <f t="shared" si="14"/>
        <v>5</v>
      </c>
      <c r="AM43" s="206"/>
      <c r="AN43" s="53"/>
      <c r="AO43" s="67">
        <v>47</v>
      </c>
      <c r="AP43" s="60">
        <f t="shared" si="15"/>
        <v>47</v>
      </c>
      <c r="AQ43" s="68">
        <f t="shared" si="16"/>
        <v>5</v>
      </c>
      <c r="AR43" s="206"/>
      <c r="AS43" s="53">
        <f t="shared" si="4"/>
        <v>35</v>
      </c>
      <c r="AT43" s="61">
        <f t="shared" si="17"/>
        <v>5</v>
      </c>
      <c r="AU43" s="58">
        <f t="shared" si="5"/>
        <v>707</v>
      </c>
      <c r="AV43" s="57">
        <v>0</v>
      </c>
      <c r="AW43" s="57">
        <v>0</v>
      </c>
      <c r="AX43" s="57" t="str">
        <f t="shared" si="6"/>
        <v>BEST</v>
      </c>
    </row>
    <row r="44" spans="1:294">
      <c r="A44" s="53">
        <v>37</v>
      </c>
      <c r="B44" s="88">
        <v>27</v>
      </c>
      <c r="C44" s="85" t="s">
        <v>203</v>
      </c>
      <c r="D44" s="85" t="s">
        <v>204</v>
      </c>
      <c r="E44" s="85" t="s">
        <v>205</v>
      </c>
      <c r="F44" s="97">
        <v>5</v>
      </c>
      <c r="G44" s="97">
        <v>54</v>
      </c>
      <c r="H44" s="97">
        <v>5</v>
      </c>
      <c r="I44" s="97">
        <v>30</v>
      </c>
      <c r="J44" s="67">
        <f t="shared" si="34"/>
        <v>94</v>
      </c>
      <c r="K44" s="68">
        <f t="shared" si="8"/>
        <v>3.5</v>
      </c>
      <c r="L44" s="206"/>
      <c r="M44" s="97">
        <v>0</v>
      </c>
      <c r="N44" s="97">
        <v>54</v>
      </c>
      <c r="O44" s="97">
        <v>5</v>
      </c>
      <c r="P44" s="97">
        <v>17</v>
      </c>
      <c r="Q44" s="97">
        <f t="shared" si="0"/>
        <v>76</v>
      </c>
      <c r="R44" s="98">
        <f>IF(Q44&lt;60,"F",IF(Q44&lt;75,2,IF(Q44&lt;90,3,IF(Q44&lt;105,3.5,IF(Q44&lt;120,4,5)))))</f>
        <v>3</v>
      </c>
      <c r="S44" s="206"/>
      <c r="T44" s="97">
        <v>0</v>
      </c>
      <c r="U44" s="97">
        <v>0</v>
      </c>
      <c r="V44" s="97">
        <f>SUM(T44+U44)</f>
        <v>0</v>
      </c>
      <c r="W44" s="98" t="str">
        <f>IF(V44&lt;40,"F",IF(V44&lt;50,2,IF(V44&lt;60,3,IF(V44&lt;70,3.5,IF(V44&lt;80,4,5)))))</f>
        <v>F</v>
      </c>
      <c r="X44" s="206"/>
      <c r="Y44" s="97">
        <v>0</v>
      </c>
      <c r="Z44" s="97">
        <v>60</v>
      </c>
      <c r="AA44" s="67">
        <f t="shared" si="22"/>
        <v>60</v>
      </c>
      <c r="AB44" s="68">
        <f t="shared" si="23"/>
        <v>3.5</v>
      </c>
      <c r="AC44" s="206"/>
      <c r="AD44" s="66">
        <v>5</v>
      </c>
      <c r="AE44" s="67">
        <v>62</v>
      </c>
      <c r="AF44" s="97">
        <f t="shared" si="2"/>
        <v>67</v>
      </c>
      <c r="AG44" s="98">
        <f>IF(AF44&lt;40,"F",IF(AF44&lt;50,2,IF(AF44&lt;60,3,IF(AF44&lt;70,3.5,IF(AF44&lt;80,4,5)))))</f>
        <v>3.5</v>
      </c>
      <c r="AH44" s="206"/>
      <c r="AI44" s="97">
        <v>0</v>
      </c>
      <c r="AJ44" s="97">
        <v>66</v>
      </c>
      <c r="AK44" s="97">
        <f t="shared" si="3"/>
        <v>66</v>
      </c>
      <c r="AL44" s="98">
        <f>IF(AK44&lt;40,"F",IF(AK44&lt;50,2,IF(AK44&lt;60,3,IF(AK44&lt;70,3.5,IF(AK44&lt;80,4,5)))))</f>
        <v>3.5</v>
      </c>
      <c r="AM44" s="206"/>
      <c r="AN44" s="97"/>
      <c r="AO44" s="97">
        <v>21</v>
      </c>
      <c r="AP44" s="97">
        <f>AO44</f>
        <v>21</v>
      </c>
      <c r="AQ44" s="98">
        <f>IF(AP44&lt;20,"F",IF(AP44&lt;25,2,IF(AP44&lt;30,3,IF(AP44&lt;35,3.5,IF(AP44&lt;40,4,5)))))</f>
        <v>2</v>
      </c>
      <c r="AR44" s="206"/>
      <c r="AS44" s="99" t="str">
        <f>IF(K44="F","F",IF(R44="F","F",IF(W44="F","F",IF(AB44="F","F",IF(AG44="F","F",IF(AL44="F","F",IF(AQ44="F","F",SUM(K44,R44,W44,AB44,AG44,AL44,AQ44))))))))</f>
        <v>F</v>
      </c>
      <c r="AT44" s="61" t="str">
        <f t="shared" si="17"/>
        <v>F</v>
      </c>
      <c r="AU44" s="101">
        <f>J44+Q44+V44+AA44+AF44+AK44+AP44</f>
        <v>384</v>
      </c>
      <c r="AV44" s="57">
        <v>0</v>
      </c>
      <c r="AW44" s="57">
        <v>0</v>
      </c>
      <c r="AX44" s="99" t="str">
        <f t="shared" si="6"/>
        <v>NEED TO PROGRESS</v>
      </c>
    </row>
    <row r="45" spans="1:294">
      <c r="A45" s="53">
        <v>38</v>
      </c>
      <c r="B45" s="88">
        <v>28</v>
      </c>
      <c r="C45" s="85" t="s">
        <v>206</v>
      </c>
      <c r="D45" s="85" t="s">
        <v>207</v>
      </c>
      <c r="E45" s="85" t="s">
        <v>208</v>
      </c>
      <c r="F45" s="97">
        <v>20</v>
      </c>
      <c r="G45" s="97">
        <v>72</v>
      </c>
      <c r="H45" s="97">
        <v>10</v>
      </c>
      <c r="I45" s="97">
        <v>36</v>
      </c>
      <c r="J45" s="67">
        <f t="shared" si="34"/>
        <v>138</v>
      </c>
      <c r="K45" s="68">
        <f t="shared" si="8"/>
        <v>5</v>
      </c>
      <c r="L45" s="206"/>
      <c r="M45" s="97">
        <v>17</v>
      </c>
      <c r="N45" s="97">
        <v>62</v>
      </c>
      <c r="O45" s="97">
        <v>10</v>
      </c>
      <c r="P45" s="97">
        <v>20</v>
      </c>
      <c r="Q45" s="97">
        <f t="shared" si="0"/>
        <v>109</v>
      </c>
      <c r="R45" s="98">
        <f t="shared" ref="R45:R84" si="35">IF(Q45&lt;60,"F",IF(Q45&lt;75,2,IF(Q45&lt;90,3,IF(Q45&lt;105,3.5,IF(Q45&lt;120,4,5)))))</f>
        <v>4</v>
      </c>
      <c r="S45" s="206"/>
      <c r="T45" s="97">
        <v>17</v>
      </c>
      <c r="U45" s="97">
        <v>34</v>
      </c>
      <c r="V45" s="97">
        <f t="shared" ref="V45:V84" si="36">SUM(T45+U45)</f>
        <v>51</v>
      </c>
      <c r="W45" s="98">
        <f t="shared" ref="W45:W84" si="37">IF(V45&lt;40,"F",IF(V45&lt;50,2,IF(V45&lt;60,3,IF(V45&lt;70,3.5,IF(V45&lt;80,4,5)))))</f>
        <v>3</v>
      </c>
      <c r="X45" s="206"/>
      <c r="Y45" s="97">
        <v>19</v>
      </c>
      <c r="Z45" s="97">
        <v>62</v>
      </c>
      <c r="AA45" s="67">
        <f t="shared" si="22"/>
        <v>81</v>
      </c>
      <c r="AB45" s="68">
        <f t="shared" si="23"/>
        <v>5</v>
      </c>
      <c r="AC45" s="206"/>
      <c r="AD45" s="66">
        <v>18</v>
      </c>
      <c r="AE45" s="67">
        <v>64</v>
      </c>
      <c r="AF45" s="97">
        <f t="shared" si="2"/>
        <v>82</v>
      </c>
      <c r="AG45" s="98">
        <f t="shared" ref="AG45:AG84" si="38">IF(AF45&lt;40,"F",IF(AF45&lt;50,2,IF(AF45&lt;60,3,IF(AF45&lt;70,3.5,IF(AF45&lt;80,4,5)))))</f>
        <v>5</v>
      </c>
      <c r="AH45" s="206"/>
      <c r="AI45" s="97">
        <v>17</v>
      </c>
      <c r="AJ45" s="97">
        <v>61</v>
      </c>
      <c r="AK45" s="97">
        <f t="shared" si="3"/>
        <v>78</v>
      </c>
      <c r="AL45" s="98">
        <f t="shared" ref="AL45:AL84" si="39">IF(AK45&lt;40,"F",IF(AK45&lt;50,2,IF(AK45&lt;60,3,IF(AK45&lt;70,3.5,IF(AK45&lt;80,4,5)))))</f>
        <v>4</v>
      </c>
      <c r="AM45" s="206"/>
      <c r="AN45" s="97"/>
      <c r="AO45" s="97">
        <v>23</v>
      </c>
      <c r="AP45" s="97">
        <f t="shared" ref="AP45:AP84" si="40">AO45</f>
        <v>23</v>
      </c>
      <c r="AQ45" s="98">
        <f t="shared" ref="AQ45:AQ84" si="41">IF(AP45&lt;20,"F",IF(AP45&lt;25,2,IF(AP45&lt;30,3,IF(AP45&lt;35,3.5,IF(AP45&lt;40,4,5)))))</f>
        <v>2</v>
      </c>
      <c r="AR45" s="206"/>
      <c r="AS45" s="99">
        <f t="shared" ref="AS45:AS84" si="42">IF(K45="F","F",IF(R45="F","F",IF(W45="F","F",IF(AB45="F","F",IF(AG45="F","F",IF(AL45="F","F",IF(AQ45="F","F",SUM(K45,R45,W45,AB45,AG45,AL45,AQ45))))))))</f>
        <v>28</v>
      </c>
      <c r="AT45" s="61">
        <f t="shared" si="17"/>
        <v>4</v>
      </c>
      <c r="AU45" s="101">
        <f t="shared" ref="AU45:AU84" si="43">J45+Q45+V45+AA45+AF45+AK45+AP45</f>
        <v>562</v>
      </c>
      <c r="AV45" s="57">
        <v>0</v>
      </c>
      <c r="AW45" s="57">
        <v>0</v>
      </c>
      <c r="AX45" s="99" t="str">
        <f t="shared" si="6"/>
        <v>BETTER</v>
      </c>
    </row>
    <row r="46" spans="1:294" s="36" customFormat="1">
      <c r="A46" s="53">
        <v>39</v>
      </c>
      <c r="B46" s="88">
        <v>29</v>
      </c>
      <c r="C46" s="85" t="s">
        <v>209</v>
      </c>
      <c r="D46" s="85" t="s">
        <v>210</v>
      </c>
      <c r="E46" s="85" t="s">
        <v>211</v>
      </c>
      <c r="F46" s="97">
        <v>20</v>
      </c>
      <c r="G46" s="97">
        <v>73</v>
      </c>
      <c r="H46" s="97">
        <v>10</v>
      </c>
      <c r="I46" s="97">
        <v>18</v>
      </c>
      <c r="J46" s="67">
        <f t="shared" si="34"/>
        <v>121</v>
      </c>
      <c r="K46" s="68">
        <f t="shared" si="8"/>
        <v>5</v>
      </c>
      <c r="L46" s="206"/>
      <c r="M46" s="97">
        <v>18</v>
      </c>
      <c r="N46" s="97">
        <v>77</v>
      </c>
      <c r="O46" s="97">
        <v>9</v>
      </c>
      <c r="P46" s="97">
        <v>19</v>
      </c>
      <c r="Q46" s="97">
        <f t="shared" si="0"/>
        <v>123</v>
      </c>
      <c r="R46" s="98">
        <f t="shared" si="35"/>
        <v>5</v>
      </c>
      <c r="S46" s="206"/>
      <c r="T46" s="97">
        <v>17</v>
      </c>
      <c r="U46" s="97">
        <v>55</v>
      </c>
      <c r="V46" s="97">
        <f t="shared" si="36"/>
        <v>72</v>
      </c>
      <c r="W46" s="98">
        <f t="shared" si="37"/>
        <v>4</v>
      </c>
      <c r="X46" s="206"/>
      <c r="Y46" s="97">
        <v>20</v>
      </c>
      <c r="Z46" s="97">
        <v>71</v>
      </c>
      <c r="AA46" s="67">
        <f t="shared" si="22"/>
        <v>91</v>
      </c>
      <c r="AB46" s="68">
        <f t="shared" si="23"/>
        <v>5</v>
      </c>
      <c r="AC46" s="206"/>
      <c r="AD46" s="66">
        <v>20</v>
      </c>
      <c r="AE46" s="67">
        <v>69</v>
      </c>
      <c r="AF46" s="97">
        <f t="shared" si="2"/>
        <v>89</v>
      </c>
      <c r="AG46" s="98">
        <f t="shared" si="38"/>
        <v>5</v>
      </c>
      <c r="AH46" s="206"/>
      <c r="AI46" s="97">
        <v>18</v>
      </c>
      <c r="AJ46" s="97">
        <v>53</v>
      </c>
      <c r="AK46" s="97">
        <f t="shared" si="3"/>
        <v>71</v>
      </c>
      <c r="AL46" s="98">
        <f t="shared" si="39"/>
        <v>4</v>
      </c>
      <c r="AM46" s="206"/>
      <c r="AN46" s="97"/>
      <c r="AO46" s="97">
        <v>27</v>
      </c>
      <c r="AP46" s="97">
        <f t="shared" si="40"/>
        <v>27</v>
      </c>
      <c r="AQ46" s="98">
        <f t="shared" si="41"/>
        <v>3</v>
      </c>
      <c r="AR46" s="206"/>
      <c r="AS46" s="99">
        <f t="shared" si="42"/>
        <v>31</v>
      </c>
      <c r="AT46" s="61">
        <f t="shared" si="17"/>
        <v>4.4285714285714288</v>
      </c>
      <c r="AU46" s="101">
        <f t="shared" si="43"/>
        <v>594</v>
      </c>
      <c r="AV46" s="57">
        <v>0</v>
      </c>
      <c r="AW46" s="57">
        <v>0</v>
      </c>
      <c r="AX46" s="99" t="str">
        <f t="shared" si="6"/>
        <v>BETTER</v>
      </c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 s="35"/>
    </row>
    <row r="47" spans="1:294" s="90" customFormat="1">
      <c r="A47" s="53">
        <v>40</v>
      </c>
      <c r="B47" s="88">
        <v>32</v>
      </c>
      <c r="C47" s="85" t="s">
        <v>212</v>
      </c>
      <c r="D47" s="85" t="s">
        <v>213</v>
      </c>
      <c r="E47" s="85" t="s">
        <v>214</v>
      </c>
      <c r="F47" s="97">
        <v>20</v>
      </c>
      <c r="G47" s="97">
        <v>70</v>
      </c>
      <c r="H47" s="97">
        <v>10</v>
      </c>
      <c r="I47" s="97">
        <v>38</v>
      </c>
      <c r="J47" s="67">
        <f t="shared" si="34"/>
        <v>138</v>
      </c>
      <c r="K47" s="68">
        <f t="shared" si="8"/>
        <v>5</v>
      </c>
      <c r="L47" s="206"/>
      <c r="M47" s="97">
        <v>17</v>
      </c>
      <c r="N47" s="97">
        <v>54</v>
      </c>
      <c r="O47" s="97">
        <v>10</v>
      </c>
      <c r="P47" s="97">
        <v>26</v>
      </c>
      <c r="Q47" s="97">
        <f t="shared" si="0"/>
        <v>107</v>
      </c>
      <c r="R47" s="98">
        <f t="shared" si="35"/>
        <v>4</v>
      </c>
      <c r="S47" s="206"/>
      <c r="T47" s="97">
        <v>13</v>
      </c>
      <c r="U47" s="97">
        <v>34</v>
      </c>
      <c r="V47" s="97">
        <f t="shared" si="36"/>
        <v>47</v>
      </c>
      <c r="W47" s="98">
        <f t="shared" si="37"/>
        <v>2</v>
      </c>
      <c r="X47" s="206"/>
      <c r="Y47" s="97">
        <v>20</v>
      </c>
      <c r="Z47" s="97">
        <v>75</v>
      </c>
      <c r="AA47" s="67">
        <f t="shared" si="22"/>
        <v>95</v>
      </c>
      <c r="AB47" s="68">
        <f t="shared" si="23"/>
        <v>5</v>
      </c>
      <c r="AC47" s="206"/>
      <c r="AD47" s="66">
        <v>20</v>
      </c>
      <c r="AE47" s="67">
        <v>74</v>
      </c>
      <c r="AF47" s="97">
        <f t="shared" si="2"/>
        <v>94</v>
      </c>
      <c r="AG47" s="98">
        <f t="shared" si="38"/>
        <v>5</v>
      </c>
      <c r="AH47" s="206"/>
      <c r="AI47" s="97">
        <v>20</v>
      </c>
      <c r="AJ47" s="97">
        <v>66</v>
      </c>
      <c r="AK47" s="97">
        <f t="shared" si="3"/>
        <v>86</v>
      </c>
      <c r="AL47" s="98">
        <f t="shared" si="39"/>
        <v>5</v>
      </c>
      <c r="AM47" s="206"/>
      <c r="AN47" s="97"/>
      <c r="AO47" s="97">
        <v>33</v>
      </c>
      <c r="AP47" s="97">
        <f t="shared" si="40"/>
        <v>33</v>
      </c>
      <c r="AQ47" s="98">
        <f t="shared" si="41"/>
        <v>3.5</v>
      </c>
      <c r="AR47" s="206"/>
      <c r="AS47" s="99">
        <f t="shared" si="42"/>
        <v>29.5</v>
      </c>
      <c r="AT47" s="61">
        <f t="shared" si="17"/>
        <v>4.2142857142857144</v>
      </c>
      <c r="AU47" s="101">
        <f t="shared" si="43"/>
        <v>600</v>
      </c>
      <c r="AV47" s="57">
        <v>0</v>
      </c>
      <c r="AW47" s="57">
        <v>0</v>
      </c>
      <c r="AX47" s="99" t="str">
        <f t="shared" si="6"/>
        <v>BETTER</v>
      </c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</row>
    <row r="48" spans="1:294" ht="18.95" customHeight="1">
      <c r="A48" s="53">
        <v>41</v>
      </c>
      <c r="B48" s="88">
        <v>36</v>
      </c>
      <c r="C48" s="85" t="s">
        <v>215</v>
      </c>
      <c r="D48" s="85" t="s">
        <v>216</v>
      </c>
      <c r="E48" s="85" t="s">
        <v>217</v>
      </c>
      <c r="F48" s="97">
        <v>20</v>
      </c>
      <c r="G48" s="97">
        <v>64</v>
      </c>
      <c r="H48" s="97">
        <v>10</v>
      </c>
      <c r="I48" s="97">
        <v>28</v>
      </c>
      <c r="J48" s="67">
        <f t="shared" si="34"/>
        <v>122</v>
      </c>
      <c r="K48" s="68">
        <f t="shared" si="8"/>
        <v>5</v>
      </c>
      <c r="L48" s="206"/>
      <c r="M48" s="97">
        <v>17</v>
      </c>
      <c r="N48" s="97">
        <v>52</v>
      </c>
      <c r="O48" s="97">
        <v>10</v>
      </c>
      <c r="P48" s="97">
        <v>16</v>
      </c>
      <c r="Q48" s="97">
        <f t="shared" si="0"/>
        <v>95</v>
      </c>
      <c r="R48" s="98">
        <f t="shared" si="35"/>
        <v>3.5</v>
      </c>
      <c r="S48" s="206"/>
      <c r="T48" s="97">
        <v>18</v>
      </c>
      <c r="U48" s="97">
        <v>51</v>
      </c>
      <c r="V48" s="97">
        <f t="shared" si="36"/>
        <v>69</v>
      </c>
      <c r="W48" s="98">
        <f t="shared" si="37"/>
        <v>3.5</v>
      </c>
      <c r="X48" s="206"/>
      <c r="Y48" s="97">
        <v>19</v>
      </c>
      <c r="Z48" s="97">
        <v>62</v>
      </c>
      <c r="AA48" s="97">
        <f t="shared" si="1"/>
        <v>81</v>
      </c>
      <c r="AB48" s="98">
        <f t="shared" ref="AB48:AB52" si="44">IF(AA48&lt;40,"F",IF(AA48&lt;50,2,IF(AA48&lt;60,3,IF(AA48&lt;70,3.5,IF(AA48&lt;80,4,5)))))</f>
        <v>5</v>
      </c>
      <c r="AC48" s="206"/>
      <c r="AD48" s="66">
        <v>17</v>
      </c>
      <c r="AE48" s="67">
        <v>66</v>
      </c>
      <c r="AF48" s="97">
        <f t="shared" si="2"/>
        <v>83</v>
      </c>
      <c r="AG48" s="98">
        <f t="shared" si="38"/>
        <v>5</v>
      </c>
      <c r="AH48" s="206"/>
      <c r="AI48" s="97">
        <v>14</v>
      </c>
      <c r="AJ48" s="97">
        <v>46</v>
      </c>
      <c r="AK48" s="97">
        <f t="shared" si="3"/>
        <v>60</v>
      </c>
      <c r="AL48" s="98">
        <f t="shared" si="39"/>
        <v>3.5</v>
      </c>
      <c r="AM48" s="206"/>
      <c r="AN48" s="97"/>
      <c r="AO48" s="97">
        <v>22</v>
      </c>
      <c r="AP48" s="97">
        <f t="shared" si="40"/>
        <v>22</v>
      </c>
      <c r="AQ48" s="98">
        <f t="shared" si="41"/>
        <v>2</v>
      </c>
      <c r="AR48" s="206"/>
      <c r="AS48" s="99">
        <f t="shared" si="42"/>
        <v>27.5</v>
      </c>
      <c r="AT48" s="61">
        <f t="shared" si="17"/>
        <v>3.9285714285714284</v>
      </c>
      <c r="AU48" s="101">
        <f t="shared" si="43"/>
        <v>532</v>
      </c>
      <c r="AV48" s="57">
        <v>0</v>
      </c>
      <c r="AW48" s="57">
        <v>0</v>
      </c>
      <c r="AX48" s="99" t="str">
        <f t="shared" si="6"/>
        <v>GOOD</v>
      </c>
    </row>
    <row r="49" spans="1:50" ht="16.5" customHeight="1">
      <c r="A49" s="53">
        <v>42</v>
      </c>
      <c r="B49" s="88">
        <v>37</v>
      </c>
      <c r="C49" s="85" t="s">
        <v>218</v>
      </c>
      <c r="D49" s="85" t="s">
        <v>219</v>
      </c>
      <c r="E49" s="85" t="s">
        <v>220</v>
      </c>
      <c r="F49" s="97">
        <v>19</v>
      </c>
      <c r="G49" s="97">
        <v>58</v>
      </c>
      <c r="H49" s="97">
        <v>10</v>
      </c>
      <c r="I49" s="97">
        <v>34</v>
      </c>
      <c r="J49" s="67">
        <f t="shared" si="34"/>
        <v>121</v>
      </c>
      <c r="K49" s="68">
        <f t="shared" si="8"/>
        <v>5</v>
      </c>
      <c r="L49" s="206"/>
      <c r="M49" s="97">
        <v>16</v>
      </c>
      <c r="N49" s="97">
        <v>34</v>
      </c>
      <c r="O49" s="97">
        <v>9</v>
      </c>
      <c r="P49" s="97">
        <v>21</v>
      </c>
      <c r="Q49" s="97">
        <f t="shared" si="0"/>
        <v>80</v>
      </c>
      <c r="R49" s="98">
        <f t="shared" si="35"/>
        <v>3</v>
      </c>
      <c r="S49" s="206"/>
      <c r="T49" s="97">
        <v>18</v>
      </c>
      <c r="U49" s="97">
        <v>42</v>
      </c>
      <c r="V49" s="97">
        <f t="shared" si="36"/>
        <v>60</v>
      </c>
      <c r="W49" s="98">
        <f t="shared" si="37"/>
        <v>3.5</v>
      </c>
      <c r="X49" s="206"/>
      <c r="Y49" s="97">
        <v>19</v>
      </c>
      <c r="Z49" s="97">
        <v>70</v>
      </c>
      <c r="AA49" s="97">
        <f t="shared" si="1"/>
        <v>89</v>
      </c>
      <c r="AB49" s="98">
        <f t="shared" si="44"/>
        <v>5</v>
      </c>
      <c r="AC49" s="206"/>
      <c r="AD49" s="66">
        <v>16</v>
      </c>
      <c r="AE49" s="67">
        <v>68</v>
      </c>
      <c r="AF49" s="97">
        <f t="shared" si="2"/>
        <v>84</v>
      </c>
      <c r="AG49" s="98">
        <f t="shared" si="38"/>
        <v>5</v>
      </c>
      <c r="AH49" s="206"/>
      <c r="AI49" s="97">
        <v>19</v>
      </c>
      <c r="AJ49" s="97">
        <v>57</v>
      </c>
      <c r="AK49" s="97">
        <f t="shared" si="3"/>
        <v>76</v>
      </c>
      <c r="AL49" s="98">
        <f t="shared" si="39"/>
        <v>4</v>
      </c>
      <c r="AM49" s="206"/>
      <c r="AN49" s="97"/>
      <c r="AO49" s="97">
        <v>38</v>
      </c>
      <c r="AP49" s="97">
        <f t="shared" si="40"/>
        <v>38</v>
      </c>
      <c r="AQ49" s="98">
        <f t="shared" si="41"/>
        <v>4</v>
      </c>
      <c r="AR49" s="206"/>
      <c r="AS49" s="99">
        <f t="shared" si="42"/>
        <v>29.5</v>
      </c>
      <c r="AT49" s="61">
        <f t="shared" si="17"/>
        <v>4.2142857142857144</v>
      </c>
      <c r="AU49" s="101">
        <f t="shared" si="43"/>
        <v>548</v>
      </c>
      <c r="AV49" s="57">
        <v>0</v>
      </c>
      <c r="AW49" s="57">
        <v>0</v>
      </c>
      <c r="AX49" s="99" t="str">
        <f t="shared" si="6"/>
        <v>BETTER</v>
      </c>
    </row>
    <row r="50" spans="1:50" ht="18.75" customHeight="1">
      <c r="A50" s="53">
        <v>43</v>
      </c>
      <c r="B50" s="88">
        <v>38</v>
      </c>
      <c r="C50" s="85" t="s">
        <v>221</v>
      </c>
      <c r="D50" s="85" t="s">
        <v>222</v>
      </c>
      <c r="E50" s="85" t="s">
        <v>223</v>
      </c>
      <c r="F50" s="97">
        <v>19</v>
      </c>
      <c r="G50" s="97">
        <v>60</v>
      </c>
      <c r="H50" s="97">
        <v>10</v>
      </c>
      <c r="I50" s="97">
        <v>29</v>
      </c>
      <c r="J50" s="67">
        <f t="shared" si="34"/>
        <v>118</v>
      </c>
      <c r="K50" s="68">
        <f t="shared" si="8"/>
        <v>4</v>
      </c>
      <c r="L50" s="206"/>
      <c r="M50" s="97">
        <v>15</v>
      </c>
      <c r="N50" s="97">
        <v>16</v>
      </c>
      <c r="O50" s="97">
        <v>10</v>
      </c>
      <c r="P50" s="97">
        <v>10</v>
      </c>
      <c r="Q50" s="97">
        <f t="shared" si="0"/>
        <v>51</v>
      </c>
      <c r="R50" s="98" t="str">
        <f t="shared" si="35"/>
        <v>F</v>
      </c>
      <c r="S50" s="206"/>
      <c r="T50" s="97">
        <v>18</v>
      </c>
      <c r="U50" s="97">
        <v>26</v>
      </c>
      <c r="V50" s="97">
        <f t="shared" si="36"/>
        <v>44</v>
      </c>
      <c r="W50" s="98">
        <f t="shared" si="37"/>
        <v>2</v>
      </c>
      <c r="X50" s="206"/>
      <c r="Y50" s="97">
        <v>14</v>
      </c>
      <c r="Z50" s="97">
        <v>60</v>
      </c>
      <c r="AA50" s="97">
        <f t="shared" si="1"/>
        <v>74</v>
      </c>
      <c r="AB50" s="98">
        <f t="shared" si="44"/>
        <v>4</v>
      </c>
      <c r="AC50" s="206"/>
      <c r="AD50" s="66">
        <v>16</v>
      </c>
      <c r="AE50" s="67">
        <v>61</v>
      </c>
      <c r="AF50" s="97">
        <f t="shared" si="2"/>
        <v>77</v>
      </c>
      <c r="AG50" s="98">
        <f t="shared" si="38"/>
        <v>4</v>
      </c>
      <c r="AH50" s="206"/>
      <c r="AI50" s="97">
        <v>18</v>
      </c>
      <c r="AJ50" s="97">
        <v>35</v>
      </c>
      <c r="AK50" s="97">
        <f t="shared" si="3"/>
        <v>53</v>
      </c>
      <c r="AL50" s="98">
        <f t="shared" si="39"/>
        <v>3</v>
      </c>
      <c r="AM50" s="206"/>
      <c r="AN50" s="97"/>
      <c r="AO50" s="97">
        <v>36</v>
      </c>
      <c r="AP50" s="97">
        <f t="shared" si="40"/>
        <v>36</v>
      </c>
      <c r="AQ50" s="98">
        <f t="shared" si="41"/>
        <v>4</v>
      </c>
      <c r="AR50" s="206"/>
      <c r="AS50" s="99" t="str">
        <f t="shared" si="42"/>
        <v>F</v>
      </c>
      <c r="AT50" s="61" t="str">
        <f t="shared" si="17"/>
        <v>F</v>
      </c>
      <c r="AU50" s="101">
        <f t="shared" si="43"/>
        <v>453</v>
      </c>
      <c r="AV50" s="57">
        <v>0</v>
      </c>
      <c r="AW50" s="57">
        <v>0</v>
      </c>
      <c r="AX50" s="99" t="str">
        <f t="shared" si="6"/>
        <v>NEED TO PROGRESS</v>
      </c>
    </row>
    <row r="51" spans="1:50">
      <c r="A51" s="53">
        <v>44</v>
      </c>
      <c r="B51" s="88">
        <v>41</v>
      </c>
      <c r="C51" s="85" t="s">
        <v>224</v>
      </c>
      <c r="D51" s="85" t="s">
        <v>225</v>
      </c>
      <c r="E51" s="85" t="s">
        <v>226</v>
      </c>
      <c r="F51" s="97">
        <v>19</v>
      </c>
      <c r="G51" s="97">
        <v>64</v>
      </c>
      <c r="H51" s="97">
        <v>9</v>
      </c>
      <c r="I51" s="97">
        <v>30</v>
      </c>
      <c r="J51" s="67">
        <f t="shared" si="34"/>
        <v>122</v>
      </c>
      <c r="K51" s="68">
        <f t="shared" si="8"/>
        <v>5</v>
      </c>
      <c r="L51" s="206"/>
      <c r="M51" s="97">
        <v>13</v>
      </c>
      <c r="N51" s="97">
        <v>51</v>
      </c>
      <c r="O51" s="97">
        <v>10</v>
      </c>
      <c r="P51" s="97">
        <v>16</v>
      </c>
      <c r="Q51" s="97">
        <f t="shared" si="0"/>
        <v>90</v>
      </c>
      <c r="R51" s="98">
        <f t="shared" si="35"/>
        <v>3.5</v>
      </c>
      <c r="S51" s="206"/>
      <c r="T51" s="97">
        <v>18</v>
      </c>
      <c r="U51" s="97">
        <v>52</v>
      </c>
      <c r="V51" s="97">
        <f t="shared" si="36"/>
        <v>70</v>
      </c>
      <c r="W51" s="98">
        <f t="shared" si="37"/>
        <v>4</v>
      </c>
      <c r="X51" s="206"/>
      <c r="Y51" s="97">
        <v>19</v>
      </c>
      <c r="Z51" s="97">
        <v>63</v>
      </c>
      <c r="AA51" s="97">
        <f t="shared" si="1"/>
        <v>82</v>
      </c>
      <c r="AB51" s="98">
        <f t="shared" si="44"/>
        <v>5</v>
      </c>
      <c r="AC51" s="206"/>
      <c r="AD51" s="66">
        <v>17</v>
      </c>
      <c r="AE51" s="67">
        <v>45</v>
      </c>
      <c r="AF51" s="97">
        <f t="shared" si="2"/>
        <v>62</v>
      </c>
      <c r="AG51" s="98">
        <f t="shared" si="38"/>
        <v>3.5</v>
      </c>
      <c r="AH51" s="206"/>
      <c r="AI51" s="97">
        <v>19</v>
      </c>
      <c r="AJ51" s="97">
        <v>56</v>
      </c>
      <c r="AK51" s="97">
        <f t="shared" si="3"/>
        <v>75</v>
      </c>
      <c r="AL51" s="98">
        <f t="shared" si="39"/>
        <v>4</v>
      </c>
      <c r="AM51" s="206"/>
      <c r="AN51" s="97"/>
      <c r="AO51" s="97">
        <v>20</v>
      </c>
      <c r="AP51" s="97">
        <f t="shared" si="40"/>
        <v>20</v>
      </c>
      <c r="AQ51" s="98">
        <f t="shared" si="41"/>
        <v>2</v>
      </c>
      <c r="AR51" s="206"/>
      <c r="AS51" s="99">
        <f t="shared" si="42"/>
        <v>27</v>
      </c>
      <c r="AT51" s="61">
        <f t="shared" si="17"/>
        <v>3.8571428571428572</v>
      </c>
      <c r="AU51" s="101">
        <f t="shared" si="43"/>
        <v>521</v>
      </c>
      <c r="AV51" s="57">
        <v>0</v>
      </c>
      <c r="AW51" s="57">
        <v>0</v>
      </c>
      <c r="AX51" s="99" t="str">
        <f t="shared" si="6"/>
        <v>GOOD</v>
      </c>
    </row>
    <row r="52" spans="1:50">
      <c r="A52" s="53">
        <v>45</v>
      </c>
      <c r="B52" s="88">
        <v>42</v>
      </c>
      <c r="C52" s="85" t="s">
        <v>227</v>
      </c>
      <c r="D52" s="85" t="s">
        <v>228</v>
      </c>
      <c r="E52" s="85" t="s">
        <v>229</v>
      </c>
      <c r="F52" s="97">
        <v>20</v>
      </c>
      <c r="G52" s="97">
        <v>68</v>
      </c>
      <c r="H52" s="97">
        <v>10</v>
      </c>
      <c r="I52" s="97">
        <v>34</v>
      </c>
      <c r="J52" s="67">
        <f t="shared" si="34"/>
        <v>132</v>
      </c>
      <c r="K52" s="68">
        <f t="shared" si="8"/>
        <v>5</v>
      </c>
      <c r="L52" s="206"/>
      <c r="M52" s="97">
        <v>18</v>
      </c>
      <c r="N52" s="97">
        <v>63</v>
      </c>
      <c r="O52" s="97">
        <v>10</v>
      </c>
      <c r="P52" s="97">
        <v>22</v>
      </c>
      <c r="Q52" s="97">
        <f t="shared" si="0"/>
        <v>113</v>
      </c>
      <c r="R52" s="98">
        <f t="shared" si="35"/>
        <v>4</v>
      </c>
      <c r="S52" s="206"/>
      <c r="T52" s="97">
        <v>20</v>
      </c>
      <c r="U52" s="97">
        <v>64</v>
      </c>
      <c r="V52" s="97">
        <f t="shared" si="36"/>
        <v>84</v>
      </c>
      <c r="W52" s="98">
        <f t="shared" si="37"/>
        <v>5</v>
      </c>
      <c r="X52" s="206"/>
      <c r="Y52" s="97">
        <v>20</v>
      </c>
      <c r="Z52" s="97">
        <v>71</v>
      </c>
      <c r="AA52" s="97">
        <f t="shared" si="1"/>
        <v>91</v>
      </c>
      <c r="AB52" s="98">
        <f t="shared" si="44"/>
        <v>5</v>
      </c>
      <c r="AC52" s="206"/>
      <c r="AD52" s="66">
        <v>19</v>
      </c>
      <c r="AE52" s="67">
        <v>68</v>
      </c>
      <c r="AF52" s="97">
        <f t="shared" si="2"/>
        <v>87</v>
      </c>
      <c r="AG52" s="98">
        <f t="shared" si="38"/>
        <v>5</v>
      </c>
      <c r="AH52" s="206"/>
      <c r="AI52" s="97">
        <v>19</v>
      </c>
      <c r="AJ52" s="97">
        <v>67</v>
      </c>
      <c r="AK52" s="97">
        <f t="shared" si="3"/>
        <v>86</v>
      </c>
      <c r="AL52" s="98">
        <f t="shared" si="39"/>
        <v>5</v>
      </c>
      <c r="AM52" s="206"/>
      <c r="AN52" s="97"/>
      <c r="AO52" s="97">
        <v>29</v>
      </c>
      <c r="AP52" s="97">
        <f t="shared" si="40"/>
        <v>29</v>
      </c>
      <c r="AQ52" s="98">
        <f t="shared" si="41"/>
        <v>3</v>
      </c>
      <c r="AR52" s="206"/>
      <c r="AS52" s="99">
        <f t="shared" si="42"/>
        <v>32</v>
      </c>
      <c r="AT52" s="61">
        <f t="shared" si="17"/>
        <v>4.5714285714285712</v>
      </c>
      <c r="AU52" s="101">
        <f t="shared" si="43"/>
        <v>622</v>
      </c>
      <c r="AV52" s="57">
        <v>0</v>
      </c>
      <c r="AW52" s="57">
        <v>0</v>
      </c>
      <c r="AX52" s="99" t="str">
        <f t="shared" si="6"/>
        <v>BETTER</v>
      </c>
    </row>
    <row r="53" spans="1:50">
      <c r="A53" s="53">
        <v>46</v>
      </c>
      <c r="B53" s="88">
        <v>44</v>
      </c>
      <c r="C53" s="85" t="s">
        <v>230</v>
      </c>
      <c r="D53" s="85" t="s">
        <v>231</v>
      </c>
      <c r="E53" s="85" t="s">
        <v>232</v>
      </c>
      <c r="F53" s="97">
        <v>20</v>
      </c>
      <c r="G53" s="97">
        <v>67</v>
      </c>
      <c r="H53" s="97">
        <v>10</v>
      </c>
      <c r="I53" s="97">
        <v>31</v>
      </c>
      <c r="J53" s="67">
        <f t="shared" si="34"/>
        <v>128</v>
      </c>
      <c r="K53" s="68">
        <f t="shared" si="8"/>
        <v>5</v>
      </c>
      <c r="L53" s="206"/>
      <c r="M53" s="97">
        <v>14</v>
      </c>
      <c r="N53" s="97">
        <v>62</v>
      </c>
      <c r="O53" s="97">
        <v>9</v>
      </c>
      <c r="P53" s="97">
        <v>18</v>
      </c>
      <c r="Q53" s="97">
        <f t="shared" ref="Q53:Q69" si="45">M53+N53+O53+P53</f>
        <v>103</v>
      </c>
      <c r="R53" s="98">
        <f t="shared" ref="R53:R69" si="46">IF(Q53&lt;60,"F",IF(Q53&lt;75,2,IF(Q53&lt;90,3,IF(Q53&lt;105,3.5,IF(Q53&lt;120,4,5)))))</f>
        <v>3.5</v>
      </c>
      <c r="S53" s="206"/>
      <c r="T53" s="97">
        <v>18</v>
      </c>
      <c r="U53" s="97">
        <v>33</v>
      </c>
      <c r="V53" s="97">
        <f t="shared" ref="V53:V69" si="47">SUM(T53+U53)</f>
        <v>51</v>
      </c>
      <c r="W53" s="98">
        <f t="shared" ref="W53:W69" si="48">IF(V53&lt;40,"F",IF(V53&lt;50,2,IF(V53&lt;60,3,IF(V53&lt;70,3.5,IF(V53&lt;80,4,5)))))</f>
        <v>3</v>
      </c>
      <c r="X53" s="206"/>
      <c r="Y53" s="97">
        <v>17</v>
      </c>
      <c r="Z53" s="97">
        <v>75</v>
      </c>
      <c r="AA53" s="97">
        <f t="shared" ref="AA53:AA84" si="49">Y53+Z53</f>
        <v>92</v>
      </c>
      <c r="AB53" s="98">
        <f t="shared" ref="AB53:AB84" si="50">IF(AA53&lt;40,"F",IF(AA53&lt;50,2,IF(AA53&lt;60,3,IF(AA53&lt;70,3.5,IF(AA53&lt;80,4,5)))))</f>
        <v>5</v>
      </c>
      <c r="AC53" s="206"/>
      <c r="AD53" s="66">
        <v>18</v>
      </c>
      <c r="AE53" s="67">
        <v>54</v>
      </c>
      <c r="AF53" s="97">
        <f t="shared" ref="AF53:AF69" si="51">AD53+AE53</f>
        <v>72</v>
      </c>
      <c r="AG53" s="98">
        <f t="shared" ref="AG53:AG69" si="52">IF(AF53&lt;40,"F",IF(AF53&lt;50,2,IF(AF53&lt;60,3,IF(AF53&lt;70,3.5,IF(AF53&lt;80,4,5)))))</f>
        <v>4</v>
      </c>
      <c r="AH53" s="206"/>
      <c r="AI53" s="97">
        <v>19</v>
      </c>
      <c r="AJ53" s="97">
        <v>56</v>
      </c>
      <c r="AK53" s="97">
        <f t="shared" ref="AK53:AK68" si="53">AI53+AJ53</f>
        <v>75</v>
      </c>
      <c r="AL53" s="98">
        <f t="shared" ref="AL53:AL68" si="54">IF(AK53&lt;40,"F",IF(AK53&lt;50,2,IF(AK53&lt;60,3,IF(AK53&lt;70,3.5,IF(AK53&lt;80,4,5)))))</f>
        <v>4</v>
      </c>
      <c r="AM53" s="206"/>
      <c r="AN53" s="97"/>
      <c r="AO53" s="97">
        <v>21</v>
      </c>
      <c r="AP53" s="97">
        <f t="shared" ref="AP53:AP70" si="55">AO53</f>
        <v>21</v>
      </c>
      <c r="AQ53" s="98">
        <f t="shared" ref="AQ53:AQ70" si="56">IF(AP53&lt;20,"F",IF(AP53&lt;25,2,IF(AP53&lt;30,3,IF(AP53&lt;35,3.5,IF(AP53&lt;40,4,5)))))</f>
        <v>2</v>
      </c>
      <c r="AR53" s="206"/>
      <c r="AS53" s="99">
        <f t="shared" ref="AS53:AS77" si="57">IF(K53="F","F",IF(R53="F","F",IF(W53="F","F",IF(AB53="F","F",IF(AG53="F","F",IF(AL53="F","F",IF(AQ53="F","F",SUM(K53,R53,W53,AB53,AG53,AL53,AQ53))))))))</f>
        <v>26.5</v>
      </c>
      <c r="AT53" s="61">
        <f t="shared" si="17"/>
        <v>3.7857142857142856</v>
      </c>
      <c r="AU53" s="101">
        <f t="shared" ref="AU53:AU77" si="58">J53+Q53+V53+AA53+AF53+AK53+AP53</f>
        <v>542</v>
      </c>
      <c r="AV53" s="57">
        <v>0</v>
      </c>
      <c r="AW53" s="57">
        <v>0</v>
      </c>
      <c r="AX53" s="99" t="str">
        <f t="shared" ref="AX53:AX77" si="59">IF(AT53="F","NEED TO PROGRESS",IF(AT53&gt;=5,"BEST",IF(AT53&gt;=4,"BETTER",IF(AT53&gt;2,"GOOD"))))</f>
        <v>GOOD</v>
      </c>
    </row>
    <row r="54" spans="1:50">
      <c r="A54" s="53">
        <v>47</v>
      </c>
      <c r="B54" s="88">
        <v>46</v>
      </c>
      <c r="C54" s="85" t="s">
        <v>233</v>
      </c>
      <c r="D54" s="85" t="s">
        <v>234</v>
      </c>
      <c r="E54" s="85" t="s">
        <v>235</v>
      </c>
      <c r="F54" s="97">
        <v>16</v>
      </c>
      <c r="G54" s="97">
        <v>58</v>
      </c>
      <c r="H54" s="97">
        <v>8</v>
      </c>
      <c r="I54" s="97">
        <v>27</v>
      </c>
      <c r="J54" s="67">
        <f t="shared" si="34"/>
        <v>109</v>
      </c>
      <c r="K54" s="68">
        <f t="shared" si="8"/>
        <v>4</v>
      </c>
      <c r="L54" s="206"/>
      <c r="M54" s="97">
        <v>13</v>
      </c>
      <c r="N54" s="97">
        <v>46</v>
      </c>
      <c r="O54" s="97">
        <v>10</v>
      </c>
      <c r="P54" s="97">
        <v>19</v>
      </c>
      <c r="Q54" s="97">
        <f t="shared" si="45"/>
        <v>88</v>
      </c>
      <c r="R54" s="98">
        <f t="shared" si="46"/>
        <v>3</v>
      </c>
      <c r="S54" s="206"/>
      <c r="T54" s="97">
        <v>12</v>
      </c>
      <c r="U54" s="97">
        <v>30</v>
      </c>
      <c r="V54" s="97">
        <f t="shared" si="47"/>
        <v>42</v>
      </c>
      <c r="W54" s="98">
        <f t="shared" si="48"/>
        <v>2</v>
      </c>
      <c r="X54" s="206"/>
      <c r="Y54" s="97">
        <v>14</v>
      </c>
      <c r="Z54" s="97">
        <v>50</v>
      </c>
      <c r="AA54" s="97">
        <f t="shared" si="49"/>
        <v>64</v>
      </c>
      <c r="AB54" s="98">
        <f t="shared" si="50"/>
        <v>3.5</v>
      </c>
      <c r="AC54" s="206"/>
      <c r="AD54" s="66">
        <v>17</v>
      </c>
      <c r="AE54" s="67">
        <v>39</v>
      </c>
      <c r="AF54" s="97">
        <f t="shared" si="51"/>
        <v>56</v>
      </c>
      <c r="AG54" s="98">
        <f t="shared" si="52"/>
        <v>3</v>
      </c>
      <c r="AH54" s="206"/>
      <c r="AI54" s="97">
        <v>11</v>
      </c>
      <c r="AJ54" s="97">
        <v>41</v>
      </c>
      <c r="AK54" s="97">
        <f t="shared" si="53"/>
        <v>52</v>
      </c>
      <c r="AL54" s="98">
        <f t="shared" si="54"/>
        <v>3</v>
      </c>
      <c r="AM54" s="206"/>
      <c r="AN54" s="97"/>
      <c r="AO54" s="97">
        <v>16</v>
      </c>
      <c r="AP54" s="97">
        <f t="shared" si="55"/>
        <v>16</v>
      </c>
      <c r="AQ54" s="98" t="str">
        <f t="shared" si="56"/>
        <v>F</v>
      </c>
      <c r="AR54" s="206"/>
      <c r="AS54" s="99" t="str">
        <f t="shared" si="57"/>
        <v>F</v>
      </c>
      <c r="AT54" s="61" t="str">
        <f t="shared" si="17"/>
        <v>F</v>
      </c>
      <c r="AU54" s="101">
        <f t="shared" si="58"/>
        <v>427</v>
      </c>
      <c r="AV54" s="57">
        <v>0</v>
      </c>
      <c r="AW54" s="57">
        <v>0</v>
      </c>
      <c r="AX54" s="99" t="str">
        <f t="shared" si="59"/>
        <v>NEED TO PROGRESS</v>
      </c>
    </row>
    <row r="55" spans="1:50">
      <c r="A55" s="53">
        <v>48</v>
      </c>
      <c r="B55" s="88">
        <v>47</v>
      </c>
      <c r="C55" s="85" t="s">
        <v>236</v>
      </c>
      <c r="D55" s="85" t="s">
        <v>237</v>
      </c>
      <c r="E55" s="85" t="s">
        <v>238</v>
      </c>
      <c r="F55" s="97">
        <v>14</v>
      </c>
      <c r="G55" s="97">
        <v>54</v>
      </c>
      <c r="H55" s="97">
        <v>10</v>
      </c>
      <c r="I55" s="97">
        <v>30</v>
      </c>
      <c r="J55" s="67">
        <f t="shared" si="34"/>
        <v>108</v>
      </c>
      <c r="K55" s="68">
        <f t="shared" si="8"/>
        <v>4</v>
      </c>
      <c r="L55" s="206"/>
      <c r="M55" s="97">
        <v>13</v>
      </c>
      <c r="N55" s="97">
        <v>43</v>
      </c>
      <c r="O55" s="97">
        <v>8</v>
      </c>
      <c r="P55" s="97">
        <v>16</v>
      </c>
      <c r="Q55" s="97">
        <f t="shared" si="45"/>
        <v>80</v>
      </c>
      <c r="R55" s="98">
        <f t="shared" si="46"/>
        <v>3</v>
      </c>
      <c r="S55" s="206"/>
      <c r="T55" s="97">
        <v>12</v>
      </c>
      <c r="U55" s="97">
        <v>7</v>
      </c>
      <c r="V55" s="97">
        <f t="shared" si="47"/>
        <v>19</v>
      </c>
      <c r="W55" s="98" t="str">
        <f t="shared" si="48"/>
        <v>F</v>
      </c>
      <c r="X55" s="206"/>
      <c r="Y55" s="97">
        <v>12</v>
      </c>
      <c r="Z55" s="97">
        <v>62</v>
      </c>
      <c r="AA55" s="97">
        <f t="shared" si="49"/>
        <v>74</v>
      </c>
      <c r="AB55" s="98">
        <f t="shared" si="50"/>
        <v>4</v>
      </c>
      <c r="AC55" s="206"/>
      <c r="AD55" s="66">
        <v>16</v>
      </c>
      <c r="AE55" s="67">
        <v>28</v>
      </c>
      <c r="AF55" s="97">
        <f t="shared" si="51"/>
        <v>44</v>
      </c>
      <c r="AG55" s="98">
        <f t="shared" si="52"/>
        <v>2</v>
      </c>
      <c r="AH55" s="206"/>
      <c r="AI55" s="97">
        <v>15</v>
      </c>
      <c r="AJ55" s="97">
        <v>54</v>
      </c>
      <c r="AK55" s="97">
        <f t="shared" si="53"/>
        <v>69</v>
      </c>
      <c r="AL55" s="98">
        <f t="shared" si="54"/>
        <v>3.5</v>
      </c>
      <c r="AM55" s="206"/>
      <c r="AN55" s="97"/>
      <c r="AO55" s="97">
        <v>28</v>
      </c>
      <c r="AP55" s="97">
        <f t="shared" si="55"/>
        <v>28</v>
      </c>
      <c r="AQ55" s="98">
        <f t="shared" si="56"/>
        <v>3</v>
      </c>
      <c r="AR55" s="206"/>
      <c r="AS55" s="99" t="str">
        <f t="shared" si="57"/>
        <v>F</v>
      </c>
      <c r="AT55" s="61" t="str">
        <f t="shared" si="17"/>
        <v>F</v>
      </c>
      <c r="AU55" s="101">
        <f t="shared" si="58"/>
        <v>422</v>
      </c>
      <c r="AV55" s="57">
        <v>0</v>
      </c>
      <c r="AW55" s="57">
        <v>0</v>
      </c>
      <c r="AX55" s="99" t="str">
        <f t="shared" si="59"/>
        <v>NEED TO PROGRESS</v>
      </c>
    </row>
    <row r="56" spans="1:50">
      <c r="A56" s="53">
        <v>49</v>
      </c>
      <c r="B56" s="89">
        <v>50</v>
      </c>
      <c r="C56" s="85" t="s">
        <v>239</v>
      </c>
      <c r="D56" s="85" t="s">
        <v>240</v>
      </c>
      <c r="E56" s="85" t="s">
        <v>241</v>
      </c>
      <c r="F56" s="97">
        <v>20</v>
      </c>
      <c r="G56" s="97">
        <v>68</v>
      </c>
      <c r="H56" s="97">
        <v>10</v>
      </c>
      <c r="I56" s="97">
        <v>38</v>
      </c>
      <c r="J56" s="67">
        <f t="shared" si="34"/>
        <v>136</v>
      </c>
      <c r="K56" s="68">
        <f t="shared" si="8"/>
        <v>5</v>
      </c>
      <c r="L56" s="206"/>
      <c r="M56" s="97">
        <v>18</v>
      </c>
      <c r="N56" s="97">
        <v>70</v>
      </c>
      <c r="O56" s="97">
        <v>10</v>
      </c>
      <c r="P56" s="97">
        <v>17</v>
      </c>
      <c r="Q56" s="97">
        <f t="shared" si="45"/>
        <v>115</v>
      </c>
      <c r="R56" s="98">
        <f t="shared" si="46"/>
        <v>4</v>
      </c>
      <c r="S56" s="206"/>
      <c r="T56" s="97">
        <v>15</v>
      </c>
      <c r="U56" s="97">
        <v>59</v>
      </c>
      <c r="V56" s="97">
        <f t="shared" si="47"/>
        <v>74</v>
      </c>
      <c r="W56" s="98">
        <f t="shared" si="48"/>
        <v>4</v>
      </c>
      <c r="X56" s="206"/>
      <c r="Y56" s="97">
        <v>20</v>
      </c>
      <c r="Z56" s="97">
        <v>70</v>
      </c>
      <c r="AA56" s="97">
        <f t="shared" si="49"/>
        <v>90</v>
      </c>
      <c r="AB56" s="98">
        <f t="shared" si="50"/>
        <v>5</v>
      </c>
      <c r="AC56" s="206"/>
      <c r="AD56" s="66">
        <v>19</v>
      </c>
      <c r="AE56" s="67">
        <v>66</v>
      </c>
      <c r="AF56" s="97">
        <f t="shared" si="51"/>
        <v>85</v>
      </c>
      <c r="AG56" s="98">
        <f t="shared" si="52"/>
        <v>5</v>
      </c>
      <c r="AH56" s="206"/>
      <c r="AI56" s="97">
        <v>19</v>
      </c>
      <c r="AJ56" s="97">
        <v>61</v>
      </c>
      <c r="AK56" s="97">
        <f t="shared" si="53"/>
        <v>80</v>
      </c>
      <c r="AL56" s="98">
        <f t="shared" si="54"/>
        <v>5</v>
      </c>
      <c r="AM56" s="206"/>
      <c r="AN56" s="97"/>
      <c r="AO56" s="97">
        <v>26</v>
      </c>
      <c r="AP56" s="97">
        <f t="shared" si="55"/>
        <v>26</v>
      </c>
      <c r="AQ56" s="98">
        <f t="shared" si="56"/>
        <v>3</v>
      </c>
      <c r="AR56" s="206"/>
      <c r="AS56" s="99">
        <f t="shared" si="57"/>
        <v>31</v>
      </c>
      <c r="AT56" s="61">
        <f t="shared" si="17"/>
        <v>4.4285714285714288</v>
      </c>
      <c r="AU56" s="101">
        <f t="shared" si="58"/>
        <v>606</v>
      </c>
      <c r="AV56" s="57">
        <v>0</v>
      </c>
      <c r="AW56" s="57">
        <v>0</v>
      </c>
      <c r="AX56" s="99" t="str">
        <f t="shared" si="59"/>
        <v>BETTER</v>
      </c>
    </row>
    <row r="57" spans="1:50">
      <c r="A57" s="53">
        <v>50</v>
      </c>
      <c r="B57" s="89">
        <v>53</v>
      </c>
      <c r="C57" s="85" t="s">
        <v>242</v>
      </c>
      <c r="D57" s="85" t="s">
        <v>243</v>
      </c>
      <c r="E57" s="85" t="s">
        <v>244</v>
      </c>
      <c r="F57" s="97">
        <v>20</v>
      </c>
      <c r="G57" s="97">
        <v>62</v>
      </c>
      <c r="H57" s="97">
        <v>9</v>
      </c>
      <c r="I57" s="97">
        <v>39</v>
      </c>
      <c r="J57" s="67">
        <f t="shared" si="34"/>
        <v>130</v>
      </c>
      <c r="K57" s="68">
        <f t="shared" si="8"/>
        <v>5</v>
      </c>
      <c r="L57" s="206"/>
      <c r="M57" s="97">
        <v>16</v>
      </c>
      <c r="N57" s="97">
        <v>61</v>
      </c>
      <c r="O57" s="97">
        <v>10</v>
      </c>
      <c r="P57" s="97">
        <v>16</v>
      </c>
      <c r="Q57" s="97">
        <f t="shared" si="45"/>
        <v>103</v>
      </c>
      <c r="R57" s="98">
        <f t="shared" si="46"/>
        <v>3.5</v>
      </c>
      <c r="S57" s="206"/>
      <c r="T57" s="97">
        <v>13</v>
      </c>
      <c r="U57" s="97">
        <v>53</v>
      </c>
      <c r="V57" s="97">
        <f t="shared" si="47"/>
        <v>66</v>
      </c>
      <c r="W57" s="98">
        <f t="shared" si="48"/>
        <v>3.5</v>
      </c>
      <c r="X57" s="206"/>
      <c r="Y57" s="97">
        <v>17</v>
      </c>
      <c r="Z57" s="97">
        <v>65</v>
      </c>
      <c r="AA57" s="97">
        <f t="shared" si="49"/>
        <v>82</v>
      </c>
      <c r="AB57" s="98">
        <f t="shared" si="50"/>
        <v>5</v>
      </c>
      <c r="AC57" s="206"/>
      <c r="AD57" s="66">
        <v>16</v>
      </c>
      <c r="AE57" s="67">
        <v>58</v>
      </c>
      <c r="AF57" s="97">
        <f t="shared" si="51"/>
        <v>74</v>
      </c>
      <c r="AG57" s="98">
        <f t="shared" si="52"/>
        <v>4</v>
      </c>
      <c r="AH57" s="206"/>
      <c r="AI57" s="97">
        <v>15</v>
      </c>
      <c r="AJ57" s="97">
        <v>59</v>
      </c>
      <c r="AK57" s="97">
        <f t="shared" si="53"/>
        <v>74</v>
      </c>
      <c r="AL57" s="98">
        <f t="shared" si="54"/>
        <v>4</v>
      </c>
      <c r="AM57" s="206"/>
      <c r="AN57" s="97"/>
      <c r="AO57" s="97">
        <v>37</v>
      </c>
      <c r="AP57" s="97">
        <f t="shared" si="55"/>
        <v>37</v>
      </c>
      <c r="AQ57" s="98">
        <f t="shared" si="56"/>
        <v>4</v>
      </c>
      <c r="AR57" s="206"/>
      <c r="AS57" s="99">
        <f t="shared" si="57"/>
        <v>29</v>
      </c>
      <c r="AT57" s="61">
        <f t="shared" si="17"/>
        <v>4.1428571428571432</v>
      </c>
      <c r="AU57" s="101">
        <f t="shared" si="58"/>
        <v>566</v>
      </c>
      <c r="AV57" s="57">
        <v>0</v>
      </c>
      <c r="AW57" s="57">
        <v>0</v>
      </c>
      <c r="AX57" s="99" t="str">
        <f t="shared" si="59"/>
        <v>BETTER</v>
      </c>
    </row>
    <row r="58" spans="1:50">
      <c r="A58" s="53">
        <v>51</v>
      </c>
      <c r="B58" s="89">
        <v>59</v>
      </c>
      <c r="C58" s="85" t="s">
        <v>245</v>
      </c>
      <c r="D58" s="85" t="s">
        <v>246</v>
      </c>
      <c r="E58" s="85" t="s">
        <v>247</v>
      </c>
      <c r="F58" s="97">
        <v>20</v>
      </c>
      <c r="G58" s="97">
        <v>74</v>
      </c>
      <c r="H58" s="97">
        <v>10</v>
      </c>
      <c r="I58" s="97">
        <v>39</v>
      </c>
      <c r="J58" s="67">
        <f t="shared" si="34"/>
        <v>143</v>
      </c>
      <c r="K58" s="68">
        <f t="shared" si="8"/>
        <v>5</v>
      </c>
      <c r="L58" s="206"/>
      <c r="M58" s="97">
        <v>19</v>
      </c>
      <c r="N58" s="97">
        <v>73</v>
      </c>
      <c r="O58" s="97">
        <v>8</v>
      </c>
      <c r="P58" s="97">
        <v>26</v>
      </c>
      <c r="Q58" s="97">
        <f t="shared" si="45"/>
        <v>126</v>
      </c>
      <c r="R58" s="98">
        <f t="shared" si="46"/>
        <v>5</v>
      </c>
      <c r="S58" s="206"/>
      <c r="T58" s="97">
        <v>13</v>
      </c>
      <c r="U58" s="97">
        <v>73</v>
      </c>
      <c r="V58" s="97">
        <f t="shared" si="47"/>
        <v>86</v>
      </c>
      <c r="W58" s="98">
        <f t="shared" si="48"/>
        <v>5</v>
      </c>
      <c r="X58" s="206"/>
      <c r="Y58" s="97">
        <v>19</v>
      </c>
      <c r="Z58" s="97">
        <v>71</v>
      </c>
      <c r="AA58" s="97">
        <f t="shared" si="49"/>
        <v>90</v>
      </c>
      <c r="AB58" s="98">
        <f t="shared" si="50"/>
        <v>5</v>
      </c>
      <c r="AC58" s="206"/>
      <c r="AD58" s="66">
        <v>19</v>
      </c>
      <c r="AE58" s="67">
        <v>69</v>
      </c>
      <c r="AF58" s="97">
        <f t="shared" si="51"/>
        <v>88</v>
      </c>
      <c r="AG58" s="98">
        <f t="shared" si="52"/>
        <v>5</v>
      </c>
      <c r="AH58" s="206"/>
      <c r="AI58" s="97">
        <v>19</v>
      </c>
      <c r="AJ58" s="97">
        <v>77</v>
      </c>
      <c r="AK58" s="97">
        <f t="shared" si="53"/>
        <v>96</v>
      </c>
      <c r="AL58" s="98">
        <f t="shared" si="54"/>
        <v>5</v>
      </c>
      <c r="AM58" s="206"/>
      <c r="AN58" s="97"/>
      <c r="AO58" s="97">
        <v>44</v>
      </c>
      <c r="AP58" s="97">
        <f t="shared" si="55"/>
        <v>44</v>
      </c>
      <c r="AQ58" s="98">
        <f t="shared" si="56"/>
        <v>5</v>
      </c>
      <c r="AR58" s="206"/>
      <c r="AS58" s="99">
        <f t="shared" si="57"/>
        <v>35</v>
      </c>
      <c r="AT58" s="61">
        <f t="shared" si="17"/>
        <v>5</v>
      </c>
      <c r="AU58" s="101">
        <f t="shared" si="58"/>
        <v>673</v>
      </c>
      <c r="AV58" s="57">
        <v>0</v>
      </c>
      <c r="AW58" s="57">
        <v>0</v>
      </c>
      <c r="AX58" s="99" t="str">
        <f t="shared" si="59"/>
        <v>BEST</v>
      </c>
    </row>
    <row r="59" spans="1:50">
      <c r="A59" s="53">
        <v>52</v>
      </c>
      <c r="B59" s="89">
        <v>60</v>
      </c>
      <c r="C59" s="85" t="s">
        <v>248</v>
      </c>
      <c r="D59" s="85" t="s">
        <v>249</v>
      </c>
      <c r="E59" s="85" t="s">
        <v>250</v>
      </c>
      <c r="F59" s="97">
        <v>14</v>
      </c>
      <c r="G59" s="97">
        <v>38</v>
      </c>
      <c r="H59" s="97">
        <v>7</v>
      </c>
      <c r="I59" s="97">
        <v>28</v>
      </c>
      <c r="J59" s="67">
        <f t="shared" si="34"/>
        <v>87</v>
      </c>
      <c r="K59" s="68">
        <f t="shared" si="8"/>
        <v>3</v>
      </c>
      <c r="L59" s="206"/>
      <c r="M59" s="97">
        <v>0</v>
      </c>
      <c r="N59" s="97">
        <v>55</v>
      </c>
      <c r="O59" s="97">
        <v>8</v>
      </c>
      <c r="P59" s="97">
        <v>16</v>
      </c>
      <c r="Q59" s="97">
        <f t="shared" si="45"/>
        <v>79</v>
      </c>
      <c r="R59" s="98">
        <f t="shared" si="46"/>
        <v>3</v>
      </c>
      <c r="S59" s="206"/>
      <c r="T59" s="97">
        <v>12</v>
      </c>
      <c r="U59" s="97">
        <v>35</v>
      </c>
      <c r="V59" s="97">
        <f t="shared" si="47"/>
        <v>47</v>
      </c>
      <c r="W59" s="98">
        <f t="shared" si="48"/>
        <v>2</v>
      </c>
      <c r="X59" s="206"/>
      <c r="Y59" s="97">
        <v>7</v>
      </c>
      <c r="Z59" s="97">
        <v>42</v>
      </c>
      <c r="AA59" s="97">
        <f t="shared" si="49"/>
        <v>49</v>
      </c>
      <c r="AB59" s="98">
        <f t="shared" si="50"/>
        <v>2</v>
      </c>
      <c r="AC59" s="206"/>
      <c r="AD59" s="66">
        <v>14</v>
      </c>
      <c r="AE59" s="67">
        <v>46</v>
      </c>
      <c r="AF59" s="97">
        <f t="shared" si="51"/>
        <v>60</v>
      </c>
      <c r="AG59" s="98">
        <f t="shared" si="52"/>
        <v>3.5</v>
      </c>
      <c r="AH59" s="206"/>
      <c r="AI59" s="97">
        <v>20</v>
      </c>
      <c r="AJ59" s="97">
        <v>26</v>
      </c>
      <c r="AK59" s="97">
        <f t="shared" si="53"/>
        <v>46</v>
      </c>
      <c r="AL59" s="98">
        <f t="shared" si="54"/>
        <v>2</v>
      </c>
      <c r="AM59" s="206"/>
      <c r="AN59" s="97"/>
      <c r="AO59" s="97">
        <v>27</v>
      </c>
      <c r="AP59" s="97">
        <f t="shared" si="55"/>
        <v>27</v>
      </c>
      <c r="AQ59" s="98">
        <f t="shared" si="56"/>
        <v>3</v>
      </c>
      <c r="AR59" s="206"/>
      <c r="AS59" s="99">
        <f t="shared" si="57"/>
        <v>18.5</v>
      </c>
      <c r="AT59" s="61">
        <f t="shared" si="17"/>
        <v>2.6428571428571428</v>
      </c>
      <c r="AU59" s="101">
        <f t="shared" si="58"/>
        <v>395</v>
      </c>
      <c r="AV59" s="57">
        <v>0</v>
      </c>
      <c r="AW59" s="57">
        <v>0</v>
      </c>
      <c r="AX59" s="99" t="str">
        <f t="shared" si="59"/>
        <v>GOOD</v>
      </c>
    </row>
    <row r="60" spans="1:50">
      <c r="A60" s="53">
        <v>53</v>
      </c>
      <c r="B60" s="89">
        <v>63</v>
      </c>
      <c r="C60" s="85" t="s">
        <v>251</v>
      </c>
      <c r="D60" s="85" t="s">
        <v>252</v>
      </c>
      <c r="E60" s="85" t="s">
        <v>253</v>
      </c>
      <c r="F60" s="97">
        <v>19</v>
      </c>
      <c r="G60" s="97">
        <v>68</v>
      </c>
      <c r="H60" s="97">
        <v>10</v>
      </c>
      <c r="I60" s="97">
        <v>34</v>
      </c>
      <c r="J60" s="67">
        <f t="shared" si="34"/>
        <v>131</v>
      </c>
      <c r="K60" s="68">
        <f t="shared" si="8"/>
        <v>5</v>
      </c>
      <c r="L60" s="206"/>
      <c r="M60" s="97">
        <v>19</v>
      </c>
      <c r="N60" s="97">
        <v>60</v>
      </c>
      <c r="O60" s="97">
        <v>10</v>
      </c>
      <c r="P60" s="97">
        <v>22</v>
      </c>
      <c r="Q60" s="97">
        <f t="shared" si="45"/>
        <v>111</v>
      </c>
      <c r="R60" s="98">
        <f t="shared" si="46"/>
        <v>4</v>
      </c>
      <c r="S60" s="206"/>
      <c r="T60" s="97">
        <v>17</v>
      </c>
      <c r="U60" s="97">
        <v>52</v>
      </c>
      <c r="V60" s="97">
        <f t="shared" si="47"/>
        <v>69</v>
      </c>
      <c r="W60" s="98">
        <f t="shared" si="48"/>
        <v>3.5</v>
      </c>
      <c r="X60" s="206"/>
      <c r="Y60" s="97">
        <v>15</v>
      </c>
      <c r="Z60" s="97">
        <v>62</v>
      </c>
      <c r="AA60" s="97">
        <f t="shared" si="49"/>
        <v>77</v>
      </c>
      <c r="AB60" s="98">
        <f t="shared" si="50"/>
        <v>4</v>
      </c>
      <c r="AC60" s="206"/>
      <c r="AD60" s="66">
        <v>15</v>
      </c>
      <c r="AE60" s="67">
        <v>53</v>
      </c>
      <c r="AF60" s="97">
        <f t="shared" si="51"/>
        <v>68</v>
      </c>
      <c r="AG60" s="98">
        <f t="shared" si="52"/>
        <v>3.5</v>
      </c>
      <c r="AH60" s="206"/>
      <c r="AI60" s="97">
        <v>18</v>
      </c>
      <c r="AJ60" s="97">
        <v>44</v>
      </c>
      <c r="AK60" s="97">
        <f t="shared" si="53"/>
        <v>62</v>
      </c>
      <c r="AL60" s="98">
        <f t="shared" si="54"/>
        <v>3.5</v>
      </c>
      <c r="AM60" s="206"/>
      <c r="AN60" s="97"/>
      <c r="AO60" s="97">
        <v>30</v>
      </c>
      <c r="AP60" s="97">
        <f t="shared" si="55"/>
        <v>30</v>
      </c>
      <c r="AQ60" s="98">
        <f t="shared" si="56"/>
        <v>3.5</v>
      </c>
      <c r="AR60" s="206"/>
      <c r="AS60" s="99">
        <f t="shared" si="57"/>
        <v>27</v>
      </c>
      <c r="AT60" s="61">
        <f t="shared" si="17"/>
        <v>3.8571428571428572</v>
      </c>
      <c r="AU60" s="101">
        <f t="shared" si="58"/>
        <v>548</v>
      </c>
      <c r="AV60" s="57">
        <v>0</v>
      </c>
      <c r="AW60" s="57">
        <v>0</v>
      </c>
      <c r="AX60" s="99" t="str">
        <f t="shared" si="59"/>
        <v>GOOD</v>
      </c>
    </row>
    <row r="61" spans="1:50">
      <c r="A61" s="53">
        <v>54</v>
      </c>
      <c r="B61" s="89">
        <v>66</v>
      </c>
      <c r="C61" s="85" t="s">
        <v>254</v>
      </c>
      <c r="D61" s="85" t="s">
        <v>255</v>
      </c>
      <c r="E61" s="85" t="s">
        <v>256</v>
      </c>
      <c r="F61" s="97">
        <v>18</v>
      </c>
      <c r="G61" s="97">
        <v>47</v>
      </c>
      <c r="H61" s="97">
        <v>10</v>
      </c>
      <c r="I61" s="97">
        <v>23</v>
      </c>
      <c r="J61" s="67">
        <f t="shared" si="34"/>
        <v>98</v>
      </c>
      <c r="K61" s="68">
        <f t="shared" si="8"/>
        <v>3.5</v>
      </c>
      <c r="L61" s="206"/>
      <c r="M61" s="97">
        <v>17</v>
      </c>
      <c r="N61" s="97">
        <v>32</v>
      </c>
      <c r="O61" s="97">
        <v>10</v>
      </c>
      <c r="P61" s="97">
        <v>16</v>
      </c>
      <c r="Q61" s="97">
        <f t="shared" si="45"/>
        <v>75</v>
      </c>
      <c r="R61" s="98">
        <f t="shared" si="46"/>
        <v>3</v>
      </c>
      <c r="S61" s="206"/>
      <c r="T61" s="97">
        <v>15</v>
      </c>
      <c r="U61" s="97">
        <v>15</v>
      </c>
      <c r="V61" s="97">
        <f t="shared" si="47"/>
        <v>30</v>
      </c>
      <c r="W61" s="98" t="str">
        <f t="shared" si="48"/>
        <v>F</v>
      </c>
      <c r="X61" s="206"/>
      <c r="Y61" s="97">
        <v>12</v>
      </c>
      <c r="Z61" s="97">
        <v>33</v>
      </c>
      <c r="AA61" s="97">
        <f t="shared" si="49"/>
        <v>45</v>
      </c>
      <c r="AB61" s="98">
        <f t="shared" si="50"/>
        <v>2</v>
      </c>
      <c r="AC61" s="206"/>
      <c r="AD61" s="66">
        <v>15</v>
      </c>
      <c r="AE61" s="67">
        <v>35</v>
      </c>
      <c r="AF61" s="97">
        <f t="shared" si="51"/>
        <v>50</v>
      </c>
      <c r="AG61" s="98">
        <f t="shared" si="52"/>
        <v>3</v>
      </c>
      <c r="AH61" s="206"/>
      <c r="AI61" s="97">
        <v>14</v>
      </c>
      <c r="AJ61" s="97">
        <v>18</v>
      </c>
      <c r="AK61" s="97">
        <f t="shared" si="53"/>
        <v>32</v>
      </c>
      <c r="AL61" s="98" t="str">
        <f t="shared" si="54"/>
        <v>F</v>
      </c>
      <c r="AM61" s="206"/>
      <c r="AN61" s="97"/>
      <c r="AO61" s="97">
        <v>17</v>
      </c>
      <c r="AP61" s="97">
        <f t="shared" si="55"/>
        <v>17</v>
      </c>
      <c r="AQ61" s="98" t="str">
        <f t="shared" si="56"/>
        <v>F</v>
      </c>
      <c r="AR61" s="206"/>
      <c r="AS61" s="99" t="str">
        <f t="shared" si="57"/>
        <v>F</v>
      </c>
      <c r="AT61" s="61" t="str">
        <f t="shared" si="17"/>
        <v>F</v>
      </c>
      <c r="AU61" s="101">
        <f t="shared" si="58"/>
        <v>347</v>
      </c>
      <c r="AV61" s="57">
        <v>0</v>
      </c>
      <c r="AW61" s="57">
        <v>0</v>
      </c>
      <c r="AX61" s="99" t="str">
        <f t="shared" si="59"/>
        <v>NEED TO PROGRESS</v>
      </c>
    </row>
    <row r="62" spans="1:50">
      <c r="A62" s="53">
        <v>55</v>
      </c>
      <c r="B62" s="89">
        <v>67</v>
      </c>
      <c r="C62" s="85" t="s">
        <v>257</v>
      </c>
      <c r="D62" s="85" t="s">
        <v>258</v>
      </c>
      <c r="E62" s="85" t="s">
        <v>259</v>
      </c>
      <c r="F62" s="97">
        <v>13</v>
      </c>
      <c r="G62" s="97">
        <v>32</v>
      </c>
      <c r="H62" s="97">
        <v>9</v>
      </c>
      <c r="I62" s="97">
        <v>12</v>
      </c>
      <c r="J62" s="67">
        <f t="shared" si="34"/>
        <v>66</v>
      </c>
      <c r="K62" s="68">
        <f t="shared" si="8"/>
        <v>2</v>
      </c>
      <c r="L62" s="206"/>
      <c r="M62" s="97">
        <v>13</v>
      </c>
      <c r="N62" s="97">
        <v>38</v>
      </c>
      <c r="O62" s="97">
        <v>8</v>
      </c>
      <c r="P62" s="97">
        <v>5</v>
      </c>
      <c r="Q62" s="97">
        <f t="shared" si="45"/>
        <v>64</v>
      </c>
      <c r="R62" s="98">
        <f t="shared" si="46"/>
        <v>2</v>
      </c>
      <c r="S62" s="206"/>
      <c r="T62" s="97">
        <v>11</v>
      </c>
      <c r="U62" s="97">
        <v>15</v>
      </c>
      <c r="V62" s="97">
        <f t="shared" si="47"/>
        <v>26</v>
      </c>
      <c r="W62" s="98" t="str">
        <f t="shared" si="48"/>
        <v>F</v>
      </c>
      <c r="X62" s="206"/>
      <c r="Y62" s="97">
        <v>10</v>
      </c>
      <c r="Z62" s="97">
        <v>32</v>
      </c>
      <c r="AA62" s="97">
        <f t="shared" si="49"/>
        <v>42</v>
      </c>
      <c r="AB62" s="98">
        <f t="shared" si="50"/>
        <v>2</v>
      </c>
      <c r="AC62" s="206"/>
      <c r="AD62" s="66">
        <v>8</v>
      </c>
      <c r="AE62" s="67">
        <v>20</v>
      </c>
      <c r="AF62" s="97">
        <f t="shared" si="51"/>
        <v>28</v>
      </c>
      <c r="AG62" s="98" t="str">
        <f t="shared" si="52"/>
        <v>F</v>
      </c>
      <c r="AH62" s="206"/>
      <c r="AI62" s="97">
        <v>9</v>
      </c>
      <c r="AJ62" s="97">
        <v>25</v>
      </c>
      <c r="AK62" s="97">
        <f t="shared" si="53"/>
        <v>34</v>
      </c>
      <c r="AL62" s="98" t="str">
        <f t="shared" si="54"/>
        <v>F</v>
      </c>
      <c r="AM62" s="206"/>
      <c r="AN62" s="97"/>
      <c r="AO62" s="97">
        <v>16</v>
      </c>
      <c r="AP62" s="97">
        <f t="shared" si="55"/>
        <v>16</v>
      </c>
      <c r="AQ62" s="98" t="str">
        <f t="shared" si="56"/>
        <v>F</v>
      </c>
      <c r="AR62" s="206"/>
      <c r="AS62" s="99" t="str">
        <f t="shared" si="57"/>
        <v>F</v>
      </c>
      <c r="AT62" s="61" t="str">
        <f t="shared" si="17"/>
        <v>F</v>
      </c>
      <c r="AU62" s="101">
        <f t="shared" si="58"/>
        <v>276</v>
      </c>
      <c r="AV62" s="57">
        <v>0</v>
      </c>
      <c r="AW62" s="57">
        <v>0</v>
      </c>
      <c r="AX62" s="99" t="str">
        <f t="shared" si="59"/>
        <v>NEED TO PROGRESS</v>
      </c>
    </row>
    <row r="63" spans="1:50">
      <c r="A63" s="53">
        <v>56</v>
      </c>
      <c r="B63" s="89">
        <v>68</v>
      </c>
      <c r="C63" s="85" t="s">
        <v>260</v>
      </c>
      <c r="D63" s="85" t="s">
        <v>261</v>
      </c>
      <c r="E63" s="85" t="s">
        <v>262</v>
      </c>
      <c r="F63" s="97">
        <v>19</v>
      </c>
      <c r="G63" s="97">
        <v>66</v>
      </c>
      <c r="H63" s="97">
        <v>10</v>
      </c>
      <c r="I63" s="97">
        <v>31</v>
      </c>
      <c r="J63" s="67">
        <f t="shared" si="34"/>
        <v>126</v>
      </c>
      <c r="K63" s="68">
        <f t="shared" si="8"/>
        <v>5</v>
      </c>
      <c r="L63" s="206"/>
      <c r="M63" s="97">
        <v>13</v>
      </c>
      <c r="N63" s="97">
        <v>61</v>
      </c>
      <c r="O63" s="97">
        <v>10</v>
      </c>
      <c r="P63" s="97">
        <v>16</v>
      </c>
      <c r="Q63" s="97">
        <f t="shared" si="45"/>
        <v>100</v>
      </c>
      <c r="R63" s="98">
        <f t="shared" si="46"/>
        <v>3.5</v>
      </c>
      <c r="S63" s="206"/>
      <c r="T63" s="97">
        <v>19</v>
      </c>
      <c r="U63" s="97">
        <v>46</v>
      </c>
      <c r="V63" s="97">
        <f t="shared" si="47"/>
        <v>65</v>
      </c>
      <c r="W63" s="98">
        <f t="shared" si="48"/>
        <v>3.5</v>
      </c>
      <c r="X63" s="206"/>
      <c r="Y63" s="97">
        <v>18</v>
      </c>
      <c r="Z63" s="97">
        <v>65</v>
      </c>
      <c r="AA63" s="97">
        <f t="shared" si="49"/>
        <v>83</v>
      </c>
      <c r="AB63" s="98">
        <f t="shared" si="50"/>
        <v>5</v>
      </c>
      <c r="AC63" s="206"/>
      <c r="AD63" s="66">
        <v>17</v>
      </c>
      <c r="AE63" s="67">
        <v>54</v>
      </c>
      <c r="AF63" s="97">
        <f t="shared" si="51"/>
        <v>71</v>
      </c>
      <c r="AG63" s="98">
        <f t="shared" si="52"/>
        <v>4</v>
      </c>
      <c r="AH63" s="206"/>
      <c r="AI63" s="97">
        <v>19</v>
      </c>
      <c r="AJ63" s="97">
        <v>59</v>
      </c>
      <c r="AK63" s="97">
        <f t="shared" si="53"/>
        <v>78</v>
      </c>
      <c r="AL63" s="98">
        <f t="shared" si="54"/>
        <v>4</v>
      </c>
      <c r="AM63" s="206"/>
      <c r="AN63" s="97"/>
      <c r="AO63" s="97">
        <v>19</v>
      </c>
      <c r="AP63" s="97">
        <f t="shared" si="55"/>
        <v>19</v>
      </c>
      <c r="AQ63" s="98" t="str">
        <f t="shared" si="56"/>
        <v>F</v>
      </c>
      <c r="AR63" s="206"/>
      <c r="AS63" s="99" t="str">
        <f t="shared" si="57"/>
        <v>F</v>
      </c>
      <c r="AT63" s="61" t="str">
        <f t="shared" si="17"/>
        <v>F</v>
      </c>
      <c r="AU63" s="101">
        <f t="shared" si="58"/>
        <v>542</v>
      </c>
      <c r="AV63" s="57">
        <v>0</v>
      </c>
      <c r="AW63" s="57">
        <v>0</v>
      </c>
      <c r="AX63" s="99" t="str">
        <f t="shared" si="59"/>
        <v>NEED TO PROGRESS</v>
      </c>
    </row>
    <row r="64" spans="1:50">
      <c r="A64" s="53">
        <v>57</v>
      </c>
      <c r="B64" s="89">
        <v>69</v>
      </c>
      <c r="C64" s="85" t="s">
        <v>263</v>
      </c>
      <c r="D64" s="85" t="s">
        <v>264</v>
      </c>
      <c r="E64" s="85" t="s">
        <v>265</v>
      </c>
      <c r="F64" s="97">
        <v>20</v>
      </c>
      <c r="G64" s="97">
        <v>57</v>
      </c>
      <c r="H64" s="97">
        <v>10</v>
      </c>
      <c r="I64" s="97">
        <v>30</v>
      </c>
      <c r="J64" s="67">
        <f t="shared" si="34"/>
        <v>117</v>
      </c>
      <c r="K64" s="68">
        <f t="shared" si="8"/>
        <v>4</v>
      </c>
      <c r="L64" s="206"/>
      <c r="M64" s="97">
        <v>13</v>
      </c>
      <c r="N64" s="97">
        <v>50</v>
      </c>
      <c r="O64" s="97">
        <v>9</v>
      </c>
      <c r="P64" s="97">
        <v>16</v>
      </c>
      <c r="Q64" s="97">
        <f t="shared" si="45"/>
        <v>88</v>
      </c>
      <c r="R64" s="98">
        <f t="shared" si="46"/>
        <v>3</v>
      </c>
      <c r="S64" s="206"/>
      <c r="T64" s="97">
        <v>17</v>
      </c>
      <c r="U64" s="97">
        <v>35</v>
      </c>
      <c r="V64" s="97">
        <f t="shared" si="47"/>
        <v>52</v>
      </c>
      <c r="W64" s="98">
        <f t="shared" si="48"/>
        <v>3</v>
      </c>
      <c r="X64" s="206"/>
      <c r="Y64" s="97">
        <v>18</v>
      </c>
      <c r="Z64" s="97">
        <v>62</v>
      </c>
      <c r="AA64" s="97">
        <f t="shared" si="49"/>
        <v>80</v>
      </c>
      <c r="AB64" s="98">
        <f t="shared" si="50"/>
        <v>5</v>
      </c>
      <c r="AC64" s="206"/>
      <c r="AD64" s="66">
        <v>13</v>
      </c>
      <c r="AE64" s="67">
        <v>43</v>
      </c>
      <c r="AF64" s="97">
        <f t="shared" si="51"/>
        <v>56</v>
      </c>
      <c r="AG64" s="98">
        <f t="shared" si="52"/>
        <v>3</v>
      </c>
      <c r="AH64" s="206"/>
      <c r="AI64" s="97">
        <v>15</v>
      </c>
      <c r="AJ64" s="97">
        <v>46</v>
      </c>
      <c r="AK64" s="97">
        <f t="shared" si="53"/>
        <v>61</v>
      </c>
      <c r="AL64" s="98">
        <f t="shared" si="54"/>
        <v>3.5</v>
      </c>
      <c r="AM64" s="206"/>
      <c r="AN64" s="97"/>
      <c r="AO64" s="97">
        <v>23</v>
      </c>
      <c r="AP64" s="97">
        <f t="shared" si="55"/>
        <v>23</v>
      </c>
      <c r="AQ64" s="98">
        <f t="shared" si="56"/>
        <v>2</v>
      </c>
      <c r="AR64" s="206"/>
      <c r="AS64" s="99">
        <f t="shared" si="57"/>
        <v>23.5</v>
      </c>
      <c r="AT64" s="61">
        <f t="shared" si="17"/>
        <v>3.3571428571428572</v>
      </c>
      <c r="AU64" s="101">
        <f t="shared" si="58"/>
        <v>477</v>
      </c>
      <c r="AV64" s="57">
        <v>0</v>
      </c>
      <c r="AW64" s="57">
        <v>0</v>
      </c>
      <c r="AX64" s="99" t="str">
        <f t="shared" si="59"/>
        <v>GOOD</v>
      </c>
    </row>
    <row r="65" spans="1:50">
      <c r="A65" s="53">
        <v>58</v>
      </c>
      <c r="B65" s="89">
        <v>70</v>
      </c>
      <c r="C65" s="85" t="s">
        <v>266</v>
      </c>
      <c r="D65" s="85" t="s">
        <v>267</v>
      </c>
      <c r="E65" s="85" t="s">
        <v>268</v>
      </c>
      <c r="F65" s="97">
        <v>16</v>
      </c>
      <c r="G65" s="97">
        <v>49</v>
      </c>
      <c r="H65" s="97">
        <v>9</v>
      </c>
      <c r="I65" s="97">
        <v>26</v>
      </c>
      <c r="J65" s="67">
        <f t="shared" si="34"/>
        <v>100</v>
      </c>
      <c r="K65" s="68">
        <f t="shared" si="8"/>
        <v>3.5</v>
      </c>
      <c r="L65" s="206"/>
      <c r="M65" s="97">
        <v>9</v>
      </c>
      <c r="N65" s="97">
        <v>38</v>
      </c>
      <c r="O65" s="97">
        <v>9</v>
      </c>
      <c r="P65" s="97">
        <v>16</v>
      </c>
      <c r="Q65" s="97">
        <f t="shared" si="45"/>
        <v>72</v>
      </c>
      <c r="R65" s="98">
        <f t="shared" si="46"/>
        <v>2</v>
      </c>
      <c r="S65" s="206"/>
      <c r="T65" s="97">
        <v>15</v>
      </c>
      <c r="U65" s="97">
        <v>26</v>
      </c>
      <c r="V65" s="97">
        <f t="shared" si="47"/>
        <v>41</v>
      </c>
      <c r="W65" s="98">
        <f t="shared" si="48"/>
        <v>2</v>
      </c>
      <c r="X65" s="206"/>
      <c r="Y65" s="97">
        <v>12</v>
      </c>
      <c r="Z65" s="97">
        <v>72</v>
      </c>
      <c r="AA65" s="97">
        <f t="shared" si="49"/>
        <v>84</v>
      </c>
      <c r="AB65" s="98">
        <f t="shared" si="50"/>
        <v>5</v>
      </c>
      <c r="AC65" s="206"/>
      <c r="AD65" s="66">
        <v>11</v>
      </c>
      <c r="AE65" s="67">
        <v>34</v>
      </c>
      <c r="AF65" s="97">
        <f t="shared" si="51"/>
        <v>45</v>
      </c>
      <c r="AG65" s="98">
        <f t="shared" si="52"/>
        <v>2</v>
      </c>
      <c r="AH65" s="206"/>
      <c r="AI65" s="97">
        <v>13</v>
      </c>
      <c r="AJ65" s="97">
        <v>32</v>
      </c>
      <c r="AK65" s="97">
        <f t="shared" si="53"/>
        <v>45</v>
      </c>
      <c r="AL65" s="98">
        <f t="shared" si="54"/>
        <v>2</v>
      </c>
      <c r="AM65" s="206"/>
      <c r="AN65" s="97"/>
      <c r="AO65" s="97">
        <v>38</v>
      </c>
      <c r="AP65" s="97">
        <f t="shared" si="55"/>
        <v>38</v>
      </c>
      <c r="AQ65" s="98">
        <f t="shared" si="56"/>
        <v>4</v>
      </c>
      <c r="AR65" s="206"/>
      <c r="AS65" s="99">
        <f t="shared" si="57"/>
        <v>20.5</v>
      </c>
      <c r="AT65" s="61">
        <f t="shared" si="17"/>
        <v>2.9285714285714284</v>
      </c>
      <c r="AU65" s="101">
        <f t="shared" si="58"/>
        <v>425</v>
      </c>
      <c r="AV65" s="57">
        <v>0</v>
      </c>
      <c r="AW65" s="57">
        <v>0</v>
      </c>
      <c r="AX65" s="99" t="str">
        <f t="shared" si="59"/>
        <v>GOOD</v>
      </c>
    </row>
    <row r="66" spans="1:50">
      <c r="A66" s="53">
        <v>59</v>
      </c>
      <c r="B66" s="89">
        <v>71</v>
      </c>
      <c r="C66" s="85" t="s">
        <v>269</v>
      </c>
      <c r="D66" s="85" t="s">
        <v>261</v>
      </c>
      <c r="E66" s="85" t="s">
        <v>270</v>
      </c>
      <c r="F66" s="97">
        <v>18</v>
      </c>
      <c r="G66" s="97">
        <v>46</v>
      </c>
      <c r="H66" s="97">
        <v>10</v>
      </c>
      <c r="I66" s="97">
        <v>27</v>
      </c>
      <c r="J66" s="67">
        <f t="shared" si="34"/>
        <v>101</v>
      </c>
      <c r="K66" s="68">
        <f t="shared" si="8"/>
        <v>3.5</v>
      </c>
      <c r="L66" s="206"/>
      <c r="M66" s="97">
        <v>8</v>
      </c>
      <c r="N66" s="97">
        <v>35</v>
      </c>
      <c r="O66" s="97">
        <v>9</v>
      </c>
      <c r="P66" s="97">
        <v>16</v>
      </c>
      <c r="Q66" s="97">
        <f t="shared" si="45"/>
        <v>68</v>
      </c>
      <c r="R66" s="98">
        <f t="shared" si="46"/>
        <v>2</v>
      </c>
      <c r="S66" s="206"/>
      <c r="T66" s="97">
        <v>15</v>
      </c>
      <c r="U66" s="97">
        <v>26</v>
      </c>
      <c r="V66" s="97">
        <f t="shared" si="47"/>
        <v>41</v>
      </c>
      <c r="W66" s="98">
        <f t="shared" si="48"/>
        <v>2</v>
      </c>
      <c r="X66" s="206"/>
      <c r="Y66" s="97">
        <v>14</v>
      </c>
      <c r="Z66" s="97">
        <v>38</v>
      </c>
      <c r="AA66" s="97">
        <f t="shared" si="49"/>
        <v>52</v>
      </c>
      <c r="AB66" s="98">
        <f t="shared" si="50"/>
        <v>3</v>
      </c>
      <c r="AC66" s="206"/>
      <c r="AD66" s="66">
        <v>11</v>
      </c>
      <c r="AE66" s="67">
        <v>37</v>
      </c>
      <c r="AF66" s="97">
        <f t="shared" si="51"/>
        <v>48</v>
      </c>
      <c r="AG66" s="98">
        <f t="shared" si="52"/>
        <v>2</v>
      </c>
      <c r="AH66" s="206"/>
      <c r="AI66" s="97">
        <v>16</v>
      </c>
      <c r="AJ66" s="97">
        <v>38</v>
      </c>
      <c r="AK66" s="97">
        <f t="shared" si="53"/>
        <v>54</v>
      </c>
      <c r="AL66" s="98">
        <f t="shared" si="54"/>
        <v>3</v>
      </c>
      <c r="AM66" s="206"/>
      <c r="AN66" s="97"/>
      <c r="AO66" s="97">
        <v>37</v>
      </c>
      <c r="AP66" s="97">
        <f t="shared" si="55"/>
        <v>37</v>
      </c>
      <c r="AQ66" s="98">
        <f t="shared" si="56"/>
        <v>4</v>
      </c>
      <c r="AR66" s="206"/>
      <c r="AS66" s="99">
        <f t="shared" si="57"/>
        <v>19.5</v>
      </c>
      <c r="AT66" s="61">
        <f t="shared" si="17"/>
        <v>2.7857142857142856</v>
      </c>
      <c r="AU66" s="101">
        <f t="shared" si="58"/>
        <v>401</v>
      </c>
      <c r="AV66" s="57">
        <v>0</v>
      </c>
      <c r="AW66" s="57">
        <v>0</v>
      </c>
      <c r="AX66" s="99" t="str">
        <f t="shared" si="59"/>
        <v>GOOD</v>
      </c>
    </row>
    <row r="67" spans="1:50">
      <c r="A67" s="53">
        <v>60</v>
      </c>
      <c r="B67" s="89">
        <v>72</v>
      </c>
      <c r="C67" s="85" t="s">
        <v>271</v>
      </c>
      <c r="D67" s="85" t="s">
        <v>272</v>
      </c>
      <c r="E67" s="85" t="s">
        <v>273</v>
      </c>
      <c r="F67" s="97">
        <v>18</v>
      </c>
      <c r="G67" s="97">
        <v>54</v>
      </c>
      <c r="H67" s="97">
        <v>8</v>
      </c>
      <c r="I67" s="97">
        <v>32</v>
      </c>
      <c r="J67" s="67">
        <f t="shared" si="34"/>
        <v>112</v>
      </c>
      <c r="K67" s="68">
        <f t="shared" si="8"/>
        <v>4</v>
      </c>
      <c r="L67" s="206"/>
      <c r="M67" s="97">
        <v>8</v>
      </c>
      <c r="N67" s="97">
        <v>74</v>
      </c>
      <c r="O67" s="97">
        <v>9</v>
      </c>
      <c r="P67" s="97">
        <v>18</v>
      </c>
      <c r="Q67" s="97">
        <f t="shared" si="45"/>
        <v>109</v>
      </c>
      <c r="R67" s="98">
        <f t="shared" si="46"/>
        <v>4</v>
      </c>
      <c r="S67" s="206"/>
      <c r="T67" s="97">
        <v>14</v>
      </c>
      <c r="U67" s="97">
        <v>26</v>
      </c>
      <c r="V67" s="97">
        <f t="shared" si="47"/>
        <v>40</v>
      </c>
      <c r="W67" s="98">
        <f t="shared" si="48"/>
        <v>2</v>
      </c>
      <c r="X67" s="206"/>
      <c r="Y67" s="97">
        <v>12</v>
      </c>
      <c r="Z67" s="97">
        <v>65</v>
      </c>
      <c r="AA67" s="97">
        <f t="shared" si="49"/>
        <v>77</v>
      </c>
      <c r="AB67" s="98">
        <f t="shared" si="50"/>
        <v>4</v>
      </c>
      <c r="AC67" s="206"/>
      <c r="AD67" s="66">
        <v>8</v>
      </c>
      <c r="AE67" s="67">
        <v>32</v>
      </c>
      <c r="AF67" s="97">
        <f t="shared" si="51"/>
        <v>40</v>
      </c>
      <c r="AG67" s="98">
        <f t="shared" si="52"/>
        <v>2</v>
      </c>
      <c r="AH67" s="206"/>
      <c r="AI67" s="97">
        <v>11</v>
      </c>
      <c r="AJ67" s="97">
        <v>51</v>
      </c>
      <c r="AK67" s="97">
        <f t="shared" si="53"/>
        <v>62</v>
      </c>
      <c r="AL67" s="98">
        <f t="shared" si="54"/>
        <v>3.5</v>
      </c>
      <c r="AM67" s="206"/>
      <c r="AN67" s="97"/>
      <c r="AO67" s="97">
        <v>46</v>
      </c>
      <c r="AP67" s="97">
        <f t="shared" si="55"/>
        <v>46</v>
      </c>
      <c r="AQ67" s="98">
        <f t="shared" si="56"/>
        <v>5</v>
      </c>
      <c r="AR67" s="206"/>
      <c r="AS67" s="99">
        <f t="shared" si="57"/>
        <v>24.5</v>
      </c>
      <c r="AT67" s="61">
        <f t="shared" si="17"/>
        <v>3.5</v>
      </c>
      <c r="AU67" s="101">
        <f t="shared" si="58"/>
        <v>486</v>
      </c>
      <c r="AV67" s="57">
        <v>0</v>
      </c>
      <c r="AW67" s="57">
        <v>0</v>
      </c>
      <c r="AX67" s="99" t="str">
        <f t="shared" si="59"/>
        <v>GOOD</v>
      </c>
    </row>
    <row r="68" spans="1:50">
      <c r="A68" s="53">
        <v>61</v>
      </c>
      <c r="B68" s="89">
        <v>73</v>
      </c>
      <c r="C68" s="85" t="s">
        <v>274</v>
      </c>
      <c r="D68" s="85" t="s">
        <v>275</v>
      </c>
      <c r="E68" s="85" t="s">
        <v>276</v>
      </c>
      <c r="F68" s="97">
        <v>20</v>
      </c>
      <c r="G68" s="97">
        <v>65</v>
      </c>
      <c r="H68" s="97">
        <v>10</v>
      </c>
      <c r="I68" s="97">
        <v>38</v>
      </c>
      <c r="J68" s="67">
        <f t="shared" si="34"/>
        <v>133</v>
      </c>
      <c r="K68" s="68">
        <f t="shared" si="8"/>
        <v>5</v>
      </c>
      <c r="L68" s="206"/>
      <c r="M68" s="97">
        <v>18</v>
      </c>
      <c r="N68" s="97">
        <v>71</v>
      </c>
      <c r="O68" s="97">
        <v>10</v>
      </c>
      <c r="P68" s="97">
        <v>26</v>
      </c>
      <c r="Q68" s="97">
        <f t="shared" si="45"/>
        <v>125</v>
      </c>
      <c r="R68" s="98">
        <f t="shared" si="46"/>
        <v>5</v>
      </c>
      <c r="S68" s="206"/>
      <c r="T68" s="97">
        <v>17</v>
      </c>
      <c r="U68" s="97">
        <v>39</v>
      </c>
      <c r="V68" s="97">
        <f t="shared" si="47"/>
        <v>56</v>
      </c>
      <c r="W68" s="98">
        <f t="shared" si="48"/>
        <v>3</v>
      </c>
      <c r="X68" s="206"/>
      <c r="Y68" s="97">
        <v>17</v>
      </c>
      <c r="Z68" s="97">
        <v>62</v>
      </c>
      <c r="AA68" s="97">
        <f t="shared" si="49"/>
        <v>79</v>
      </c>
      <c r="AB68" s="98">
        <f t="shared" si="50"/>
        <v>4</v>
      </c>
      <c r="AC68" s="206"/>
      <c r="AD68" s="66">
        <v>16</v>
      </c>
      <c r="AE68" s="67">
        <v>48</v>
      </c>
      <c r="AF68" s="97">
        <f t="shared" si="51"/>
        <v>64</v>
      </c>
      <c r="AG68" s="98">
        <f t="shared" si="52"/>
        <v>3.5</v>
      </c>
      <c r="AH68" s="206"/>
      <c r="AI68" s="97">
        <v>19</v>
      </c>
      <c r="AJ68" s="97">
        <v>57</v>
      </c>
      <c r="AK68" s="97">
        <f t="shared" si="53"/>
        <v>76</v>
      </c>
      <c r="AL68" s="98">
        <f t="shared" si="54"/>
        <v>4</v>
      </c>
      <c r="AM68" s="206"/>
      <c r="AN68" s="97"/>
      <c r="AO68" s="97">
        <v>29</v>
      </c>
      <c r="AP68" s="97">
        <f t="shared" si="55"/>
        <v>29</v>
      </c>
      <c r="AQ68" s="98">
        <f t="shared" si="56"/>
        <v>3</v>
      </c>
      <c r="AR68" s="206"/>
      <c r="AS68" s="99">
        <f t="shared" si="57"/>
        <v>27.5</v>
      </c>
      <c r="AT68" s="61">
        <f t="shared" si="17"/>
        <v>3.9285714285714284</v>
      </c>
      <c r="AU68" s="101">
        <f t="shared" si="58"/>
        <v>562</v>
      </c>
      <c r="AV68" s="57">
        <v>0</v>
      </c>
      <c r="AW68" s="57">
        <v>0</v>
      </c>
      <c r="AX68" s="99" t="str">
        <f t="shared" si="59"/>
        <v>GOOD</v>
      </c>
    </row>
    <row r="69" spans="1:50">
      <c r="A69" s="53">
        <v>62</v>
      </c>
      <c r="B69" s="89">
        <v>74</v>
      </c>
      <c r="C69" s="85" t="s">
        <v>277</v>
      </c>
      <c r="D69" s="85" t="s">
        <v>278</v>
      </c>
      <c r="E69" s="85" t="s">
        <v>279</v>
      </c>
      <c r="F69" s="97">
        <v>17</v>
      </c>
      <c r="G69" s="97">
        <v>50</v>
      </c>
      <c r="H69" s="97">
        <v>10</v>
      </c>
      <c r="I69" s="97">
        <v>28</v>
      </c>
      <c r="J69" s="67">
        <f t="shared" si="34"/>
        <v>105</v>
      </c>
      <c r="K69" s="68">
        <f t="shared" si="8"/>
        <v>4</v>
      </c>
      <c r="L69" s="206"/>
      <c r="M69" s="97">
        <v>11</v>
      </c>
      <c r="N69" s="97">
        <v>38</v>
      </c>
      <c r="O69" s="97">
        <v>8</v>
      </c>
      <c r="P69" s="97">
        <v>16</v>
      </c>
      <c r="Q69" s="97">
        <f t="shared" si="45"/>
        <v>73</v>
      </c>
      <c r="R69" s="98">
        <f t="shared" si="46"/>
        <v>2</v>
      </c>
      <c r="S69" s="206"/>
      <c r="T69" s="97">
        <v>15</v>
      </c>
      <c r="U69" s="97">
        <v>30</v>
      </c>
      <c r="V69" s="97">
        <f t="shared" si="47"/>
        <v>45</v>
      </c>
      <c r="W69" s="98">
        <f t="shared" si="48"/>
        <v>2</v>
      </c>
      <c r="X69" s="206"/>
      <c r="Y69" s="97">
        <v>16</v>
      </c>
      <c r="Z69" s="97">
        <v>53</v>
      </c>
      <c r="AA69" s="97">
        <f t="shared" si="49"/>
        <v>69</v>
      </c>
      <c r="AB69" s="98">
        <f t="shared" si="50"/>
        <v>3.5</v>
      </c>
      <c r="AC69" s="206"/>
      <c r="AD69" s="66">
        <v>14</v>
      </c>
      <c r="AE69" s="67">
        <v>46</v>
      </c>
      <c r="AF69" s="97">
        <f t="shared" si="51"/>
        <v>60</v>
      </c>
      <c r="AG69" s="98">
        <f t="shared" si="52"/>
        <v>3.5</v>
      </c>
      <c r="AH69" s="206"/>
      <c r="AI69" s="97">
        <v>11</v>
      </c>
      <c r="AJ69" s="97">
        <v>42</v>
      </c>
      <c r="AK69" s="97">
        <f t="shared" si="3"/>
        <v>53</v>
      </c>
      <c r="AL69" s="98">
        <f t="shared" si="39"/>
        <v>3</v>
      </c>
      <c r="AM69" s="206"/>
      <c r="AN69" s="97"/>
      <c r="AO69" s="97">
        <v>29</v>
      </c>
      <c r="AP69" s="97">
        <f t="shared" si="55"/>
        <v>29</v>
      </c>
      <c r="AQ69" s="98">
        <f t="shared" si="56"/>
        <v>3</v>
      </c>
      <c r="AR69" s="206"/>
      <c r="AS69" s="99">
        <f t="shared" si="57"/>
        <v>21</v>
      </c>
      <c r="AT69" s="61">
        <f t="shared" si="17"/>
        <v>3</v>
      </c>
      <c r="AU69" s="101">
        <f t="shared" si="58"/>
        <v>434</v>
      </c>
      <c r="AV69" s="57">
        <v>0</v>
      </c>
      <c r="AW69" s="57">
        <v>0</v>
      </c>
      <c r="AX69" s="99" t="str">
        <f t="shared" si="59"/>
        <v>GOOD</v>
      </c>
    </row>
    <row r="70" spans="1:50">
      <c r="A70" s="53">
        <v>63</v>
      </c>
      <c r="B70" s="89">
        <v>78</v>
      </c>
      <c r="C70" s="85" t="s">
        <v>280</v>
      </c>
      <c r="D70" s="85" t="s">
        <v>281</v>
      </c>
      <c r="E70" s="85" t="s">
        <v>282</v>
      </c>
      <c r="F70" s="97">
        <v>20</v>
      </c>
      <c r="G70" s="97">
        <v>73</v>
      </c>
      <c r="H70" s="97">
        <v>10</v>
      </c>
      <c r="I70" s="97">
        <v>40</v>
      </c>
      <c r="J70" s="67">
        <f t="shared" si="34"/>
        <v>143</v>
      </c>
      <c r="K70" s="68">
        <f t="shared" si="8"/>
        <v>5</v>
      </c>
      <c r="L70" s="206"/>
      <c r="M70" s="97">
        <v>16</v>
      </c>
      <c r="N70" s="97">
        <v>56</v>
      </c>
      <c r="O70" s="97">
        <v>9</v>
      </c>
      <c r="P70" s="97">
        <v>18</v>
      </c>
      <c r="Q70" s="97">
        <f t="shared" si="0"/>
        <v>99</v>
      </c>
      <c r="R70" s="98">
        <f t="shared" si="35"/>
        <v>3.5</v>
      </c>
      <c r="S70" s="206"/>
      <c r="T70" s="97">
        <v>14</v>
      </c>
      <c r="U70" s="97">
        <v>34</v>
      </c>
      <c r="V70" s="97">
        <f t="shared" si="36"/>
        <v>48</v>
      </c>
      <c r="W70" s="98">
        <f t="shared" si="37"/>
        <v>2</v>
      </c>
      <c r="X70" s="206"/>
      <c r="Y70" s="97">
        <v>20</v>
      </c>
      <c r="Z70" s="97">
        <v>66</v>
      </c>
      <c r="AA70" s="97">
        <f t="shared" si="49"/>
        <v>86</v>
      </c>
      <c r="AB70" s="98">
        <f t="shared" si="50"/>
        <v>5</v>
      </c>
      <c r="AC70" s="206"/>
      <c r="AD70" s="66">
        <v>19</v>
      </c>
      <c r="AE70" s="67">
        <v>58</v>
      </c>
      <c r="AF70" s="97">
        <f t="shared" si="2"/>
        <v>77</v>
      </c>
      <c r="AG70" s="98">
        <f t="shared" si="38"/>
        <v>4</v>
      </c>
      <c r="AH70" s="206"/>
      <c r="AI70" s="97">
        <v>19</v>
      </c>
      <c r="AJ70" s="97">
        <v>58</v>
      </c>
      <c r="AK70" s="97">
        <f t="shared" si="3"/>
        <v>77</v>
      </c>
      <c r="AL70" s="98">
        <f t="shared" si="39"/>
        <v>4</v>
      </c>
      <c r="AM70" s="206"/>
      <c r="AN70" s="97"/>
      <c r="AO70" s="97">
        <v>30</v>
      </c>
      <c r="AP70" s="97">
        <f t="shared" si="55"/>
        <v>30</v>
      </c>
      <c r="AQ70" s="98">
        <f t="shared" si="56"/>
        <v>3.5</v>
      </c>
      <c r="AR70" s="206"/>
      <c r="AS70" s="99">
        <f t="shared" si="57"/>
        <v>27</v>
      </c>
      <c r="AT70" s="61">
        <f t="shared" si="17"/>
        <v>3.8571428571428572</v>
      </c>
      <c r="AU70" s="101">
        <f t="shared" si="58"/>
        <v>560</v>
      </c>
      <c r="AV70" s="57">
        <v>0</v>
      </c>
      <c r="AW70" s="57">
        <v>0</v>
      </c>
      <c r="AX70" s="99" t="str">
        <f t="shared" si="59"/>
        <v>GOOD</v>
      </c>
    </row>
    <row r="71" spans="1:50">
      <c r="A71" s="53">
        <v>64</v>
      </c>
      <c r="B71" s="89">
        <v>81</v>
      </c>
      <c r="C71" s="86" t="s">
        <v>283</v>
      </c>
      <c r="D71" s="86" t="s">
        <v>284</v>
      </c>
      <c r="E71" s="86" t="s">
        <v>285</v>
      </c>
      <c r="F71" s="97">
        <v>18</v>
      </c>
      <c r="G71" s="97">
        <v>60</v>
      </c>
      <c r="H71" s="97">
        <v>10</v>
      </c>
      <c r="I71" s="97">
        <v>37</v>
      </c>
      <c r="J71" s="67">
        <f t="shared" si="34"/>
        <v>125</v>
      </c>
      <c r="K71" s="68">
        <f t="shared" si="8"/>
        <v>5</v>
      </c>
      <c r="L71" s="206"/>
      <c r="M71" s="97">
        <v>16</v>
      </c>
      <c r="N71" s="97">
        <v>32</v>
      </c>
      <c r="O71" s="97">
        <v>8</v>
      </c>
      <c r="P71" s="97">
        <v>16</v>
      </c>
      <c r="Q71" s="97">
        <f t="shared" si="0"/>
        <v>72</v>
      </c>
      <c r="R71" s="98">
        <f t="shared" si="35"/>
        <v>2</v>
      </c>
      <c r="S71" s="206"/>
      <c r="T71" s="97">
        <v>15</v>
      </c>
      <c r="U71" s="97">
        <v>36</v>
      </c>
      <c r="V71" s="97">
        <f t="shared" si="36"/>
        <v>51</v>
      </c>
      <c r="W71" s="98">
        <f t="shared" si="37"/>
        <v>3</v>
      </c>
      <c r="X71" s="206"/>
      <c r="Y71" s="97">
        <v>16</v>
      </c>
      <c r="Z71" s="97">
        <v>54</v>
      </c>
      <c r="AA71" s="97">
        <f t="shared" si="49"/>
        <v>70</v>
      </c>
      <c r="AB71" s="98">
        <f t="shared" si="50"/>
        <v>4</v>
      </c>
      <c r="AC71" s="206"/>
      <c r="AD71" s="66">
        <v>12</v>
      </c>
      <c r="AE71" s="67">
        <v>48</v>
      </c>
      <c r="AF71" s="97">
        <f t="shared" si="2"/>
        <v>60</v>
      </c>
      <c r="AG71" s="98">
        <f t="shared" si="38"/>
        <v>3.5</v>
      </c>
      <c r="AH71" s="206"/>
      <c r="AI71" s="97">
        <v>16</v>
      </c>
      <c r="AJ71" s="97">
        <v>65</v>
      </c>
      <c r="AK71" s="97">
        <f t="shared" si="3"/>
        <v>81</v>
      </c>
      <c r="AL71" s="98">
        <f t="shared" si="39"/>
        <v>5</v>
      </c>
      <c r="AM71" s="206"/>
      <c r="AN71" s="97"/>
      <c r="AO71" s="97">
        <v>15</v>
      </c>
      <c r="AP71" s="97">
        <f t="shared" si="40"/>
        <v>15</v>
      </c>
      <c r="AQ71" s="98" t="str">
        <f t="shared" si="41"/>
        <v>F</v>
      </c>
      <c r="AR71" s="206"/>
      <c r="AS71" s="99" t="str">
        <f t="shared" si="57"/>
        <v>F</v>
      </c>
      <c r="AT71" s="61" t="str">
        <f t="shared" si="17"/>
        <v>F</v>
      </c>
      <c r="AU71" s="101">
        <f t="shared" si="58"/>
        <v>474</v>
      </c>
      <c r="AV71" s="57">
        <v>0</v>
      </c>
      <c r="AW71" s="57">
        <v>0</v>
      </c>
      <c r="AX71" s="99" t="str">
        <f t="shared" si="59"/>
        <v>NEED TO PROGRESS</v>
      </c>
    </row>
    <row r="72" spans="1:50">
      <c r="A72" s="53">
        <v>65</v>
      </c>
      <c r="B72" s="89">
        <v>82</v>
      </c>
      <c r="C72" s="86" t="s">
        <v>286</v>
      </c>
      <c r="D72" s="86" t="s">
        <v>287</v>
      </c>
      <c r="E72" s="86" t="s">
        <v>288</v>
      </c>
      <c r="F72" s="97">
        <v>20</v>
      </c>
      <c r="G72" s="97">
        <v>66</v>
      </c>
      <c r="H72" s="97">
        <v>9</v>
      </c>
      <c r="I72" s="97">
        <v>32</v>
      </c>
      <c r="J72" s="67">
        <f t="shared" si="34"/>
        <v>127</v>
      </c>
      <c r="K72" s="68">
        <f t="shared" si="8"/>
        <v>5</v>
      </c>
      <c r="L72" s="206"/>
      <c r="M72" s="97">
        <v>16</v>
      </c>
      <c r="N72" s="97">
        <v>62</v>
      </c>
      <c r="O72" s="97">
        <v>9</v>
      </c>
      <c r="P72" s="97">
        <v>19</v>
      </c>
      <c r="Q72" s="97">
        <f t="shared" ref="Q72:Q84" si="60">M72+N72+O72+P72</f>
        <v>106</v>
      </c>
      <c r="R72" s="98">
        <f t="shared" si="35"/>
        <v>4</v>
      </c>
      <c r="S72" s="206"/>
      <c r="T72" s="97">
        <v>17</v>
      </c>
      <c r="U72" s="97">
        <v>57</v>
      </c>
      <c r="V72" s="97">
        <f t="shared" si="36"/>
        <v>74</v>
      </c>
      <c r="W72" s="98">
        <f t="shared" si="37"/>
        <v>4</v>
      </c>
      <c r="X72" s="206"/>
      <c r="Y72" s="97">
        <v>18</v>
      </c>
      <c r="Z72" s="97">
        <v>66</v>
      </c>
      <c r="AA72" s="97">
        <f t="shared" si="49"/>
        <v>84</v>
      </c>
      <c r="AB72" s="98">
        <f t="shared" si="50"/>
        <v>5</v>
      </c>
      <c r="AC72" s="206"/>
      <c r="AD72" s="66">
        <v>19</v>
      </c>
      <c r="AE72" s="67">
        <v>64</v>
      </c>
      <c r="AF72" s="97">
        <f t="shared" ref="AF72:AF84" si="61">AD72+AE72</f>
        <v>83</v>
      </c>
      <c r="AG72" s="98">
        <f t="shared" si="38"/>
        <v>5</v>
      </c>
      <c r="AH72" s="206"/>
      <c r="AI72" s="97">
        <v>18</v>
      </c>
      <c r="AJ72" s="97">
        <v>66</v>
      </c>
      <c r="AK72" s="97">
        <f t="shared" ref="AK72:AK84" si="62">AI72+AJ72</f>
        <v>84</v>
      </c>
      <c r="AL72" s="98">
        <f t="shared" si="39"/>
        <v>5</v>
      </c>
      <c r="AM72" s="206"/>
      <c r="AN72" s="97"/>
      <c r="AO72" s="97">
        <v>28</v>
      </c>
      <c r="AP72" s="97">
        <f t="shared" si="40"/>
        <v>28</v>
      </c>
      <c r="AQ72" s="98">
        <f t="shared" si="41"/>
        <v>3</v>
      </c>
      <c r="AR72" s="206"/>
      <c r="AS72" s="99">
        <f t="shared" si="57"/>
        <v>31</v>
      </c>
      <c r="AT72" s="61">
        <f t="shared" si="17"/>
        <v>4.4285714285714288</v>
      </c>
      <c r="AU72" s="101">
        <f t="shared" si="58"/>
        <v>586</v>
      </c>
      <c r="AV72" s="57">
        <v>0</v>
      </c>
      <c r="AW72" s="57">
        <v>0</v>
      </c>
      <c r="AX72" s="99" t="str">
        <f t="shared" si="59"/>
        <v>BETTER</v>
      </c>
    </row>
    <row r="73" spans="1:50">
      <c r="A73" s="53">
        <v>66</v>
      </c>
      <c r="B73" s="89">
        <v>83</v>
      </c>
      <c r="C73" s="86" t="s">
        <v>289</v>
      </c>
      <c r="D73" s="86" t="s">
        <v>290</v>
      </c>
      <c r="E73" s="86" t="s">
        <v>291</v>
      </c>
      <c r="F73" s="97">
        <v>19</v>
      </c>
      <c r="G73" s="97">
        <v>72</v>
      </c>
      <c r="H73" s="97">
        <v>10</v>
      </c>
      <c r="I73" s="97">
        <v>34</v>
      </c>
      <c r="J73" s="67">
        <f t="shared" si="34"/>
        <v>135</v>
      </c>
      <c r="K73" s="68">
        <f t="shared" ref="K73:K84" si="63">IF(J73&lt;60,"F",IF(J73&lt;75,2,IF(J73&lt;90,3,IF(J73&lt;105,3.5,IF(J73&lt;120,4,5)))))</f>
        <v>5</v>
      </c>
      <c r="L73" s="206"/>
      <c r="M73" s="97">
        <v>16</v>
      </c>
      <c r="N73" s="97">
        <v>62</v>
      </c>
      <c r="O73" s="97">
        <v>10</v>
      </c>
      <c r="P73" s="97">
        <v>24</v>
      </c>
      <c r="Q73" s="97">
        <f t="shared" si="60"/>
        <v>112</v>
      </c>
      <c r="R73" s="98">
        <f t="shared" si="35"/>
        <v>4</v>
      </c>
      <c r="S73" s="206"/>
      <c r="T73" s="97">
        <v>13</v>
      </c>
      <c r="U73" s="97">
        <v>44</v>
      </c>
      <c r="V73" s="97">
        <f t="shared" si="36"/>
        <v>57</v>
      </c>
      <c r="W73" s="98">
        <f t="shared" si="37"/>
        <v>3</v>
      </c>
      <c r="X73" s="206"/>
      <c r="Y73" s="97">
        <v>19</v>
      </c>
      <c r="Z73" s="97">
        <v>71</v>
      </c>
      <c r="AA73" s="97">
        <f t="shared" si="49"/>
        <v>90</v>
      </c>
      <c r="AB73" s="98">
        <f t="shared" si="50"/>
        <v>5</v>
      </c>
      <c r="AC73" s="206"/>
      <c r="AD73" s="66">
        <v>20</v>
      </c>
      <c r="AE73" s="67">
        <v>72</v>
      </c>
      <c r="AF73" s="97">
        <f t="shared" si="61"/>
        <v>92</v>
      </c>
      <c r="AG73" s="98">
        <f t="shared" si="38"/>
        <v>5</v>
      </c>
      <c r="AH73" s="206"/>
      <c r="AI73" s="97">
        <v>20</v>
      </c>
      <c r="AJ73" s="97">
        <v>68</v>
      </c>
      <c r="AK73" s="97">
        <f t="shared" si="62"/>
        <v>88</v>
      </c>
      <c r="AL73" s="98">
        <f t="shared" si="39"/>
        <v>5</v>
      </c>
      <c r="AM73" s="206"/>
      <c r="AN73" s="97"/>
      <c r="AO73" s="97">
        <v>25</v>
      </c>
      <c r="AP73" s="97">
        <f t="shared" si="40"/>
        <v>25</v>
      </c>
      <c r="AQ73" s="98">
        <f t="shared" si="41"/>
        <v>3</v>
      </c>
      <c r="AR73" s="206"/>
      <c r="AS73" s="99">
        <f t="shared" si="57"/>
        <v>30</v>
      </c>
      <c r="AT73" s="61">
        <f t="shared" ref="AT73:AT84" si="64">IF(AS73="F","F", IF(AS73&gt;=35,5,IF(AS73&lt;35,AS73/7)))</f>
        <v>4.2857142857142856</v>
      </c>
      <c r="AU73" s="101">
        <f t="shared" si="58"/>
        <v>599</v>
      </c>
      <c r="AV73" s="57">
        <v>0</v>
      </c>
      <c r="AW73" s="57">
        <v>0</v>
      </c>
      <c r="AX73" s="99" t="str">
        <f t="shared" si="59"/>
        <v>BETTER</v>
      </c>
    </row>
    <row r="74" spans="1:50">
      <c r="A74" s="53">
        <v>67</v>
      </c>
      <c r="B74" s="88">
        <v>86</v>
      </c>
      <c r="C74" s="85" t="s">
        <v>292</v>
      </c>
      <c r="D74" s="85" t="s">
        <v>293</v>
      </c>
      <c r="E74" s="85" t="s">
        <v>294</v>
      </c>
      <c r="F74" s="97">
        <v>19</v>
      </c>
      <c r="G74" s="97">
        <v>66</v>
      </c>
      <c r="H74" s="97">
        <v>10</v>
      </c>
      <c r="I74" s="97">
        <v>32</v>
      </c>
      <c r="J74" s="67">
        <f t="shared" si="34"/>
        <v>127</v>
      </c>
      <c r="K74" s="68">
        <f t="shared" si="63"/>
        <v>5</v>
      </c>
      <c r="L74" s="206"/>
      <c r="M74" s="97">
        <v>17</v>
      </c>
      <c r="N74" s="97">
        <v>64</v>
      </c>
      <c r="O74" s="97">
        <v>10</v>
      </c>
      <c r="P74" s="97">
        <v>21</v>
      </c>
      <c r="Q74" s="97">
        <f t="shared" si="60"/>
        <v>112</v>
      </c>
      <c r="R74" s="98">
        <f t="shared" si="35"/>
        <v>4</v>
      </c>
      <c r="S74" s="206"/>
      <c r="T74" s="97">
        <v>17</v>
      </c>
      <c r="U74" s="97">
        <v>40</v>
      </c>
      <c r="V74" s="97">
        <f t="shared" si="36"/>
        <v>57</v>
      </c>
      <c r="W74" s="98">
        <f t="shared" si="37"/>
        <v>3</v>
      </c>
      <c r="X74" s="206"/>
      <c r="Y74" s="97">
        <v>19</v>
      </c>
      <c r="Z74" s="97">
        <v>70</v>
      </c>
      <c r="AA74" s="97">
        <f t="shared" si="49"/>
        <v>89</v>
      </c>
      <c r="AB74" s="98">
        <f t="shared" si="50"/>
        <v>5</v>
      </c>
      <c r="AC74" s="206"/>
      <c r="AD74" s="66">
        <v>18</v>
      </c>
      <c r="AE74" s="67">
        <v>66</v>
      </c>
      <c r="AF74" s="97">
        <f t="shared" si="61"/>
        <v>84</v>
      </c>
      <c r="AG74" s="98">
        <f t="shared" si="38"/>
        <v>5</v>
      </c>
      <c r="AH74" s="206"/>
      <c r="AI74" s="97">
        <v>20</v>
      </c>
      <c r="AJ74" s="97">
        <v>60</v>
      </c>
      <c r="AK74" s="97">
        <f t="shared" si="62"/>
        <v>80</v>
      </c>
      <c r="AL74" s="98">
        <f t="shared" si="39"/>
        <v>5</v>
      </c>
      <c r="AM74" s="206"/>
      <c r="AN74" s="97"/>
      <c r="AO74" s="97">
        <v>30</v>
      </c>
      <c r="AP74" s="97">
        <f t="shared" si="40"/>
        <v>30</v>
      </c>
      <c r="AQ74" s="98">
        <f t="shared" si="41"/>
        <v>3.5</v>
      </c>
      <c r="AR74" s="206"/>
      <c r="AS74" s="99">
        <f t="shared" si="57"/>
        <v>30.5</v>
      </c>
      <c r="AT74" s="61">
        <f t="shared" si="64"/>
        <v>4.3571428571428568</v>
      </c>
      <c r="AU74" s="101">
        <f t="shared" si="58"/>
        <v>579</v>
      </c>
      <c r="AV74" s="57">
        <v>0</v>
      </c>
      <c r="AW74" s="57">
        <v>0</v>
      </c>
      <c r="AX74" s="99" t="str">
        <f t="shared" si="59"/>
        <v>BETTER</v>
      </c>
    </row>
    <row r="75" spans="1:50">
      <c r="A75" s="53">
        <v>68</v>
      </c>
      <c r="B75" s="88">
        <v>87</v>
      </c>
      <c r="C75" s="85" t="s">
        <v>295</v>
      </c>
      <c r="D75" s="85" t="s">
        <v>296</v>
      </c>
      <c r="E75" s="85" t="s">
        <v>297</v>
      </c>
      <c r="F75" s="97">
        <v>19</v>
      </c>
      <c r="G75" s="97">
        <v>62</v>
      </c>
      <c r="H75" s="97">
        <v>10</v>
      </c>
      <c r="I75" s="97">
        <v>38</v>
      </c>
      <c r="J75" s="67">
        <f t="shared" si="34"/>
        <v>129</v>
      </c>
      <c r="K75" s="68">
        <f t="shared" si="63"/>
        <v>5</v>
      </c>
      <c r="L75" s="206"/>
      <c r="M75" s="97">
        <v>16</v>
      </c>
      <c r="N75" s="97">
        <v>66</v>
      </c>
      <c r="O75" s="97">
        <v>10</v>
      </c>
      <c r="P75" s="97">
        <v>21</v>
      </c>
      <c r="Q75" s="97">
        <f t="shared" si="60"/>
        <v>113</v>
      </c>
      <c r="R75" s="98">
        <f t="shared" si="35"/>
        <v>4</v>
      </c>
      <c r="S75" s="206"/>
      <c r="T75" s="97">
        <v>11</v>
      </c>
      <c r="U75" s="97">
        <v>46</v>
      </c>
      <c r="V75" s="97">
        <f t="shared" si="36"/>
        <v>57</v>
      </c>
      <c r="W75" s="98">
        <f t="shared" si="37"/>
        <v>3</v>
      </c>
      <c r="X75" s="206"/>
      <c r="Y75" s="97">
        <v>17</v>
      </c>
      <c r="Z75" s="97">
        <v>66</v>
      </c>
      <c r="AA75" s="97">
        <f t="shared" si="49"/>
        <v>83</v>
      </c>
      <c r="AB75" s="98">
        <f t="shared" si="50"/>
        <v>5</v>
      </c>
      <c r="AC75" s="206"/>
      <c r="AD75" s="66">
        <v>16</v>
      </c>
      <c r="AE75" s="67">
        <v>68</v>
      </c>
      <c r="AF75" s="97">
        <f t="shared" si="61"/>
        <v>84</v>
      </c>
      <c r="AG75" s="98">
        <f t="shared" si="38"/>
        <v>5</v>
      </c>
      <c r="AH75" s="206"/>
      <c r="AI75" s="97">
        <v>19</v>
      </c>
      <c r="AJ75" s="97">
        <v>68</v>
      </c>
      <c r="AK75" s="97">
        <f t="shared" si="62"/>
        <v>87</v>
      </c>
      <c r="AL75" s="98">
        <f t="shared" si="39"/>
        <v>5</v>
      </c>
      <c r="AM75" s="206"/>
      <c r="AN75" s="97"/>
      <c r="AO75" s="97">
        <v>38</v>
      </c>
      <c r="AP75" s="97">
        <f t="shared" si="40"/>
        <v>38</v>
      </c>
      <c r="AQ75" s="98">
        <f t="shared" si="41"/>
        <v>4</v>
      </c>
      <c r="AR75" s="206"/>
      <c r="AS75" s="99">
        <f t="shared" si="57"/>
        <v>31</v>
      </c>
      <c r="AT75" s="61">
        <f t="shared" si="64"/>
        <v>4.4285714285714288</v>
      </c>
      <c r="AU75" s="101">
        <f t="shared" si="58"/>
        <v>591</v>
      </c>
      <c r="AV75" s="57">
        <v>0</v>
      </c>
      <c r="AW75" s="57">
        <v>0</v>
      </c>
      <c r="AX75" s="99" t="str">
        <f t="shared" si="59"/>
        <v>BETTER</v>
      </c>
    </row>
    <row r="76" spans="1:50">
      <c r="A76" s="53">
        <v>69</v>
      </c>
      <c r="B76" s="88">
        <v>88</v>
      </c>
      <c r="C76" s="85" t="s">
        <v>298</v>
      </c>
      <c r="D76" s="85" t="s">
        <v>171</v>
      </c>
      <c r="E76" s="85" t="s">
        <v>299</v>
      </c>
      <c r="F76" s="97">
        <v>19</v>
      </c>
      <c r="G76" s="97">
        <v>59</v>
      </c>
      <c r="H76" s="97">
        <v>8</v>
      </c>
      <c r="I76" s="97">
        <v>31</v>
      </c>
      <c r="J76" s="67">
        <f t="shared" si="34"/>
        <v>117</v>
      </c>
      <c r="K76" s="68">
        <f t="shared" si="63"/>
        <v>4</v>
      </c>
      <c r="L76" s="206"/>
      <c r="M76" s="97">
        <v>14</v>
      </c>
      <c r="N76" s="97">
        <v>42</v>
      </c>
      <c r="O76" s="97">
        <v>8</v>
      </c>
      <c r="P76" s="97">
        <v>16</v>
      </c>
      <c r="Q76" s="97">
        <f t="shared" si="60"/>
        <v>80</v>
      </c>
      <c r="R76" s="98">
        <f t="shared" si="35"/>
        <v>3</v>
      </c>
      <c r="S76" s="206"/>
      <c r="T76" s="97">
        <v>17</v>
      </c>
      <c r="U76" s="97">
        <v>47</v>
      </c>
      <c r="V76" s="97">
        <f t="shared" si="36"/>
        <v>64</v>
      </c>
      <c r="W76" s="98">
        <f t="shared" si="37"/>
        <v>3.5</v>
      </c>
      <c r="X76" s="206"/>
      <c r="Y76" s="97">
        <v>18</v>
      </c>
      <c r="Z76" s="97">
        <v>54</v>
      </c>
      <c r="AA76" s="97">
        <f t="shared" si="49"/>
        <v>72</v>
      </c>
      <c r="AB76" s="98">
        <f t="shared" si="50"/>
        <v>4</v>
      </c>
      <c r="AC76" s="206"/>
      <c r="AD76" s="66">
        <v>14</v>
      </c>
      <c r="AE76" s="67">
        <v>45</v>
      </c>
      <c r="AF76" s="97">
        <f t="shared" si="61"/>
        <v>59</v>
      </c>
      <c r="AG76" s="98">
        <f t="shared" si="38"/>
        <v>3</v>
      </c>
      <c r="AH76" s="206"/>
      <c r="AI76" s="97">
        <v>18</v>
      </c>
      <c r="AJ76" s="97">
        <v>47</v>
      </c>
      <c r="AK76" s="97">
        <f t="shared" si="62"/>
        <v>65</v>
      </c>
      <c r="AL76" s="98">
        <f t="shared" si="39"/>
        <v>3.5</v>
      </c>
      <c r="AM76" s="206"/>
      <c r="AN76" s="97"/>
      <c r="AO76" s="97">
        <v>23</v>
      </c>
      <c r="AP76" s="97">
        <f t="shared" si="40"/>
        <v>23</v>
      </c>
      <c r="AQ76" s="98">
        <f t="shared" si="41"/>
        <v>2</v>
      </c>
      <c r="AR76" s="206"/>
      <c r="AS76" s="99">
        <f t="shared" si="57"/>
        <v>23</v>
      </c>
      <c r="AT76" s="61">
        <f t="shared" si="64"/>
        <v>3.2857142857142856</v>
      </c>
      <c r="AU76" s="101">
        <f t="shared" si="58"/>
        <v>480</v>
      </c>
      <c r="AV76" s="57">
        <v>0</v>
      </c>
      <c r="AW76" s="57">
        <v>0</v>
      </c>
      <c r="AX76" s="99" t="str">
        <f t="shared" si="59"/>
        <v>GOOD</v>
      </c>
    </row>
    <row r="77" spans="1:50">
      <c r="A77" s="53">
        <v>70</v>
      </c>
      <c r="B77" s="88">
        <v>89</v>
      </c>
      <c r="C77" s="85" t="s">
        <v>300</v>
      </c>
      <c r="D77" s="85" t="s">
        <v>301</v>
      </c>
      <c r="E77" s="85" t="s">
        <v>302</v>
      </c>
      <c r="F77" s="97">
        <v>19</v>
      </c>
      <c r="G77" s="97">
        <v>70</v>
      </c>
      <c r="H77" s="97">
        <v>10</v>
      </c>
      <c r="I77" s="97">
        <v>39</v>
      </c>
      <c r="J77" s="67">
        <f t="shared" si="34"/>
        <v>138</v>
      </c>
      <c r="K77" s="68">
        <f t="shared" si="63"/>
        <v>5</v>
      </c>
      <c r="L77" s="206"/>
      <c r="M77" s="97">
        <v>16</v>
      </c>
      <c r="N77" s="97">
        <v>66</v>
      </c>
      <c r="O77" s="97">
        <v>10</v>
      </c>
      <c r="P77" s="97">
        <v>25</v>
      </c>
      <c r="Q77" s="97">
        <f t="shared" si="60"/>
        <v>117</v>
      </c>
      <c r="R77" s="98">
        <f t="shared" si="35"/>
        <v>4</v>
      </c>
      <c r="S77" s="206"/>
      <c r="T77" s="97">
        <v>20</v>
      </c>
      <c r="U77" s="97">
        <v>53</v>
      </c>
      <c r="V77" s="97">
        <f t="shared" si="36"/>
        <v>73</v>
      </c>
      <c r="W77" s="98">
        <f t="shared" si="37"/>
        <v>4</v>
      </c>
      <c r="X77" s="206"/>
      <c r="Y77" s="97">
        <v>20</v>
      </c>
      <c r="Z77" s="97">
        <v>74</v>
      </c>
      <c r="AA77" s="97">
        <f t="shared" si="49"/>
        <v>94</v>
      </c>
      <c r="AB77" s="98">
        <f t="shared" si="50"/>
        <v>5</v>
      </c>
      <c r="AC77" s="206"/>
      <c r="AD77" s="66">
        <v>19</v>
      </c>
      <c r="AE77" s="67">
        <v>65</v>
      </c>
      <c r="AF77" s="97">
        <f t="shared" si="61"/>
        <v>84</v>
      </c>
      <c r="AG77" s="98">
        <f t="shared" si="38"/>
        <v>5</v>
      </c>
      <c r="AH77" s="206"/>
      <c r="AI77" s="97">
        <v>19</v>
      </c>
      <c r="AJ77" s="97">
        <v>69</v>
      </c>
      <c r="AK77" s="97">
        <f t="shared" si="62"/>
        <v>88</v>
      </c>
      <c r="AL77" s="98">
        <f t="shared" si="39"/>
        <v>5</v>
      </c>
      <c r="AM77" s="206"/>
      <c r="AN77" s="97"/>
      <c r="AO77" s="97">
        <v>30</v>
      </c>
      <c r="AP77" s="97">
        <f t="shared" si="40"/>
        <v>30</v>
      </c>
      <c r="AQ77" s="98">
        <f t="shared" si="41"/>
        <v>3.5</v>
      </c>
      <c r="AR77" s="206"/>
      <c r="AS77" s="99">
        <f t="shared" si="57"/>
        <v>31.5</v>
      </c>
      <c r="AT77" s="61">
        <f t="shared" si="64"/>
        <v>4.5</v>
      </c>
      <c r="AU77" s="101">
        <f t="shared" si="58"/>
        <v>624</v>
      </c>
      <c r="AV77" s="57">
        <v>0</v>
      </c>
      <c r="AW77" s="57">
        <v>0</v>
      </c>
      <c r="AX77" s="99" t="str">
        <f t="shared" si="59"/>
        <v>BETTER</v>
      </c>
    </row>
    <row r="78" spans="1:50">
      <c r="A78" s="53">
        <v>71</v>
      </c>
      <c r="B78" s="88">
        <v>92</v>
      </c>
      <c r="C78" s="85" t="s">
        <v>303</v>
      </c>
      <c r="D78" s="87" t="s">
        <v>114</v>
      </c>
      <c r="E78" s="85" t="s">
        <v>304</v>
      </c>
      <c r="F78" s="97">
        <v>19</v>
      </c>
      <c r="G78" s="97">
        <v>65</v>
      </c>
      <c r="H78" s="97">
        <v>8</v>
      </c>
      <c r="I78" s="97">
        <v>33</v>
      </c>
      <c r="J78" s="67">
        <f t="shared" si="34"/>
        <v>125</v>
      </c>
      <c r="K78" s="68">
        <f t="shared" si="63"/>
        <v>5</v>
      </c>
      <c r="L78" s="206"/>
      <c r="M78" s="97">
        <v>17</v>
      </c>
      <c r="N78" s="97">
        <v>45</v>
      </c>
      <c r="O78" s="97">
        <v>9</v>
      </c>
      <c r="P78" s="97">
        <v>17</v>
      </c>
      <c r="Q78" s="97">
        <f t="shared" si="60"/>
        <v>88</v>
      </c>
      <c r="R78" s="98">
        <f t="shared" si="35"/>
        <v>3</v>
      </c>
      <c r="S78" s="206"/>
      <c r="T78" s="97">
        <v>17</v>
      </c>
      <c r="U78" s="97">
        <v>33</v>
      </c>
      <c r="V78" s="97">
        <f t="shared" si="36"/>
        <v>50</v>
      </c>
      <c r="W78" s="98">
        <f t="shared" si="37"/>
        <v>3</v>
      </c>
      <c r="X78" s="206"/>
      <c r="Y78" s="97">
        <v>18</v>
      </c>
      <c r="Z78" s="97">
        <v>57</v>
      </c>
      <c r="AA78" s="97">
        <f t="shared" si="49"/>
        <v>75</v>
      </c>
      <c r="AB78" s="98">
        <f t="shared" si="50"/>
        <v>4</v>
      </c>
      <c r="AC78" s="206"/>
      <c r="AD78" s="66">
        <v>16</v>
      </c>
      <c r="AE78" s="67">
        <v>44</v>
      </c>
      <c r="AF78" s="97">
        <f t="shared" si="61"/>
        <v>60</v>
      </c>
      <c r="AG78" s="98">
        <f t="shared" si="38"/>
        <v>3.5</v>
      </c>
      <c r="AH78" s="206"/>
      <c r="AI78" s="97">
        <v>18</v>
      </c>
      <c r="AJ78" s="97">
        <v>46</v>
      </c>
      <c r="AK78" s="97">
        <f t="shared" si="62"/>
        <v>64</v>
      </c>
      <c r="AL78" s="98">
        <f t="shared" si="39"/>
        <v>3.5</v>
      </c>
      <c r="AM78" s="206"/>
      <c r="AN78" s="97"/>
      <c r="AO78" s="97">
        <v>20</v>
      </c>
      <c r="AP78" s="97">
        <f t="shared" si="40"/>
        <v>20</v>
      </c>
      <c r="AQ78" s="98">
        <f t="shared" si="41"/>
        <v>2</v>
      </c>
      <c r="AR78" s="206"/>
      <c r="AS78" s="99">
        <f t="shared" si="42"/>
        <v>24</v>
      </c>
      <c r="AT78" s="61">
        <f t="shared" si="64"/>
        <v>3.4285714285714284</v>
      </c>
      <c r="AU78" s="101">
        <f t="shared" si="43"/>
        <v>482</v>
      </c>
      <c r="AV78" s="57">
        <v>0</v>
      </c>
      <c r="AW78" s="57">
        <v>0</v>
      </c>
      <c r="AX78" s="99" t="str">
        <f t="shared" ref="AX78:AX84" si="65">IF(AT78="F","NEED TO PROGRESS",IF(AT78&gt;=5,"BEST",IF(AT78&gt;=4,"BETTER",IF(AT78&gt;2,"GOOD"))))</f>
        <v>GOOD</v>
      </c>
    </row>
    <row r="79" spans="1:50">
      <c r="A79" s="53">
        <v>72</v>
      </c>
      <c r="B79" s="88">
        <v>93</v>
      </c>
      <c r="C79" s="85" t="s">
        <v>305</v>
      </c>
      <c r="D79" s="87"/>
      <c r="E79" s="85"/>
      <c r="F79" s="97">
        <v>19</v>
      </c>
      <c r="G79" s="97">
        <v>73</v>
      </c>
      <c r="H79" s="97">
        <v>10</v>
      </c>
      <c r="I79" s="97">
        <v>22</v>
      </c>
      <c r="J79" s="67">
        <f t="shared" si="34"/>
        <v>124</v>
      </c>
      <c r="K79" s="68">
        <f t="shared" si="63"/>
        <v>5</v>
      </c>
      <c r="L79" s="206"/>
      <c r="M79" s="97">
        <v>15</v>
      </c>
      <c r="N79" s="97">
        <v>32</v>
      </c>
      <c r="O79" s="97">
        <v>8</v>
      </c>
      <c r="P79" s="97">
        <v>16</v>
      </c>
      <c r="Q79" s="97">
        <f t="shared" si="60"/>
        <v>71</v>
      </c>
      <c r="R79" s="98">
        <f t="shared" si="35"/>
        <v>2</v>
      </c>
      <c r="S79" s="206"/>
      <c r="T79" s="97">
        <v>10</v>
      </c>
      <c r="U79" s="97">
        <v>36</v>
      </c>
      <c r="V79" s="97">
        <f t="shared" si="36"/>
        <v>46</v>
      </c>
      <c r="W79" s="98">
        <f t="shared" si="37"/>
        <v>2</v>
      </c>
      <c r="X79" s="206"/>
      <c r="Y79" s="97">
        <v>15</v>
      </c>
      <c r="Z79" s="97">
        <v>44</v>
      </c>
      <c r="AA79" s="97">
        <f t="shared" si="49"/>
        <v>59</v>
      </c>
      <c r="AB79" s="98">
        <f t="shared" si="50"/>
        <v>3</v>
      </c>
      <c r="AC79" s="206"/>
      <c r="AD79" s="66">
        <v>12</v>
      </c>
      <c r="AE79" s="67">
        <v>57</v>
      </c>
      <c r="AF79" s="97">
        <f t="shared" si="61"/>
        <v>69</v>
      </c>
      <c r="AG79" s="98">
        <f t="shared" si="38"/>
        <v>3.5</v>
      </c>
      <c r="AH79" s="206"/>
      <c r="AI79" s="97">
        <v>19</v>
      </c>
      <c r="AJ79" s="97">
        <v>47</v>
      </c>
      <c r="AK79" s="97">
        <f t="shared" si="62"/>
        <v>66</v>
      </c>
      <c r="AL79" s="98">
        <f t="shared" si="39"/>
        <v>3.5</v>
      </c>
      <c r="AM79" s="206"/>
      <c r="AN79" s="97"/>
      <c r="AO79" s="97">
        <v>24</v>
      </c>
      <c r="AP79" s="97">
        <f t="shared" si="40"/>
        <v>24</v>
      </c>
      <c r="AQ79" s="98">
        <f t="shared" si="41"/>
        <v>2</v>
      </c>
      <c r="AR79" s="206"/>
      <c r="AS79" s="99">
        <f t="shared" si="42"/>
        <v>21</v>
      </c>
      <c r="AT79" s="61">
        <f t="shared" si="64"/>
        <v>3</v>
      </c>
      <c r="AU79" s="101">
        <f t="shared" si="43"/>
        <v>459</v>
      </c>
      <c r="AV79" s="57">
        <v>0</v>
      </c>
      <c r="AW79" s="57">
        <v>0</v>
      </c>
      <c r="AX79" s="99" t="str">
        <f t="shared" si="65"/>
        <v>GOOD</v>
      </c>
    </row>
    <row r="80" spans="1:50">
      <c r="A80" s="53">
        <v>73</v>
      </c>
      <c r="B80" s="88">
        <v>94</v>
      </c>
      <c r="C80" s="85" t="s">
        <v>312</v>
      </c>
      <c r="D80" s="87"/>
      <c r="E80" s="85"/>
      <c r="F80" s="97">
        <v>0</v>
      </c>
      <c r="G80" s="97">
        <v>0</v>
      </c>
      <c r="H80" s="97">
        <v>0</v>
      </c>
      <c r="I80" s="97">
        <v>0</v>
      </c>
      <c r="J80" s="67">
        <f t="shared" si="34"/>
        <v>0</v>
      </c>
      <c r="K80" s="68" t="str">
        <f t="shared" si="63"/>
        <v>F</v>
      </c>
      <c r="L80" s="206"/>
      <c r="M80" s="97">
        <v>0</v>
      </c>
      <c r="N80" s="97">
        <v>0</v>
      </c>
      <c r="O80" s="97">
        <v>5</v>
      </c>
      <c r="P80" s="97">
        <v>0</v>
      </c>
      <c r="Q80" s="97">
        <f t="shared" si="60"/>
        <v>5</v>
      </c>
      <c r="R80" s="98" t="str">
        <f t="shared" si="35"/>
        <v>F</v>
      </c>
      <c r="S80" s="206"/>
      <c r="T80" s="97">
        <v>0</v>
      </c>
      <c r="U80" s="97">
        <v>0</v>
      </c>
      <c r="V80" s="97">
        <f t="shared" si="36"/>
        <v>0</v>
      </c>
      <c r="W80" s="98" t="str">
        <f t="shared" si="37"/>
        <v>F</v>
      </c>
      <c r="X80" s="206"/>
      <c r="Y80" s="97">
        <v>0</v>
      </c>
      <c r="Z80" s="97">
        <v>0</v>
      </c>
      <c r="AA80" s="97">
        <f t="shared" si="49"/>
        <v>0</v>
      </c>
      <c r="AB80" s="98" t="str">
        <f t="shared" si="50"/>
        <v>F</v>
      </c>
      <c r="AC80" s="206"/>
      <c r="AD80" s="66">
        <v>0</v>
      </c>
      <c r="AE80" s="67">
        <v>0</v>
      </c>
      <c r="AF80" s="97">
        <f t="shared" si="61"/>
        <v>0</v>
      </c>
      <c r="AG80" s="98" t="str">
        <f t="shared" si="38"/>
        <v>F</v>
      </c>
      <c r="AH80" s="206"/>
      <c r="AI80" s="97">
        <v>0</v>
      </c>
      <c r="AJ80" s="97">
        <v>0</v>
      </c>
      <c r="AK80" s="97">
        <f t="shared" si="62"/>
        <v>0</v>
      </c>
      <c r="AL80" s="98" t="str">
        <f t="shared" si="39"/>
        <v>F</v>
      </c>
      <c r="AM80" s="206"/>
      <c r="AN80" s="97"/>
      <c r="AO80" s="97">
        <v>0</v>
      </c>
      <c r="AP80" s="97">
        <f t="shared" si="40"/>
        <v>0</v>
      </c>
      <c r="AQ80" s="98" t="str">
        <f t="shared" si="41"/>
        <v>F</v>
      </c>
      <c r="AR80" s="206"/>
      <c r="AS80" s="99" t="str">
        <f t="shared" si="42"/>
        <v>F</v>
      </c>
      <c r="AT80" s="61" t="str">
        <f t="shared" si="64"/>
        <v>F</v>
      </c>
      <c r="AU80" s="101">
        <f t="shared" si="43"/>
        <v>5</v>
      </c>
      <c r="AV80" s="57">
        <v>0</v>
      </c>
      <c r="AW80" s="57">
        <v>0</v>
      </c>
      <c r="AX80" s="99" t="str">
        <f t="shared" si="65"/>
        <v>NEED TO PROGRESS</v>
      </c>
    </row>
    <row r="81" spans="1:50">
      <c r="A81" s="53">
        <v>74</v>
      </c>
      <c r="B81" s="88">
        <v>95</v>
      </c>
      <c r="C81" s="85" t="s">
        <v>306</v>
      </c>
      <c r="D81" s="103"/>
      <c r="E81" s="103"/>
      <c r="F81" s="97">
        <v>16</v>
      </c>
      <c r="G81" s="97">
        <v>62</v>
      </c>
      <c r="H81" s="97">
        <v>9</v>
      </c>
      <c r="I81" s="97">
        <v>30</v>
      </c>
      <c r="J81" s="67">
        <f t="shared" si="34"/>
        <v>117</v>
      </c>
      <c r="K81" s="68">
        <f t="shared" si="63"/>
        <v>4</v>
      </c>
      <c r="L81" s="206"/>
      <c r="M81" s="97">
        <v>14</v>
      </c>
      <c r="N81" s="97">
        <v>50</v>
      </c>
      <c r="O81" s="97">
        <v>8</v>
      </c>
      <c r="P81" s="97">
        <v>16</v>
      </c>
      <c r="Q81" s="97">
        <f t="shared" si="60"/>
        <v>88</v>
      </c>
      <c r="R81" s="98">
        <f t="shared" si="35"/>
        <v>3</v>
      </c>
      <c r="S81" s="206"/>
      <c r="T81" s="97">
        <v>8</v>
      </c>
      <c r="U81" s="97">
        <v>36</v>
      </c>
      <c r="V81" s="97">
        <f t="shared" si="36"/>
        <v>44</v>
      </c>
      <c r="W81" s="98">
        <f t="shared" si="37"/>
        <v>2</v>
      </c>
      <c r="X81" s="206"/>
      <c r="Y81" s="97">
        <v>8</v>
      </c>
      <c r="Z81" s="97">
        <v>52</v>
      </c>
      <c r="AA81" s="97">
        <f t="shared" si="49"/>
        <v>60</v>
      </c>
      <c r="AB81" s="98">
        <f t="shared" si="50"/>
        <v>3.5</v>
      </c>
      <c r="AC81" s="206"/>
      <c r="AD81" s="66">
        <v>14</v>
      </c>
      <c r="AE81" s="67">
        <v>37</v>
      </c>
      <c r="AF81" s="97">
        <f t="shared" si="61"/>
        <v>51</v>
      </c>
      <c r="AG81" s="98">
        <f t="shared" si="38"/>
        <v>3</v>
      </c>
      <c r="AH81" s="206"/>
      <c r="AI81" s="97">
        <v>8</v>
      </c>
      <c r="AJ81" s="97">
        <v>49</v>
      </c>
      <c r="AK81" s="97">
        <f t="shared" si="62"/>
        <v>57</v>
      </c>
      <c r="AL81" s="98">
        <f t="shared" si="39"/>
        <v>3</v>
      </c>
      <c r="AM81" s="206"/>
      <c r="AN81" s="97"/>
      <c r="AO81" s="97">
        <v>30</v>
      </c>
      <c r="AP81" s="97">
        <f t="shared" si="40"/>
        <v>30</v>
      </c>
      <c r="AQ81" s="98">
        <f t="shared" si="41"/>
        <v>3.5</v>
      </c>
      <c r="AR81" s="206"/>
      <c r="AS81" s="99">
        <f t="shared" si="42"/>
        <v>22</v>
      </c>
      <c r="AT81" s="61">
        <f t="shared" si="64"/>
        <v>3.1428571428571428</v>
      </c>
      <c r="AU81" s="101">
        <f t="shared" si="43"/>
        <v>447</v>
      </c>
      <c r="AV81" s="57">
        <v>0</v>
      </c>
      <c r="AW81" s="57">
        <v>0</v>
      </c>
      <c r="AX81" s="99" t="str">
        <f t="shared" si="65"/>
        <v>GOOD</v>
      </c>
    </row>
    <row r="82" spans="1:50">
      <c r="A82" s="53">
        <v>75</v>
      </c>
      <c r="B82" s="88">
        <v>96</v>
      </c>
      <c r="C82" s="85" t="s">
        <v>307</v>
      </c>
      <c r="D82" s="103"/>
      <c r="E82" s="103"/>
      <c r="F82" s="97">
        <v>0</v>
      </c>
      <c r="G82" s="97">
        <v>52</v>
      </c>
      <c r="H82" s="97">
        <v>0</v>
      </c>
      <c r="I82" s="97">
        <v>26</v>
      </c>
      <c r="J82" s="67">
        <f t="shared" ref="J82:J84" si="66">I82+H82+G82+F82</f>
        <v>78</v>
      </c>
      <c r="K82" s="68">
        <f t="shared" si="63"/>
        <v>3</v>
      </c>
      <c r="L82" s="206"/>
      <c r="M82" s="97">
        <v>0</v>
      </c>
      <c r="N82" s="97">
        <v>24</v>
      </c>
      <c r="O82" s="97">
        <v>0</v>
      </c>
      <c r="P82" s="97">
        <v>7</v>
      </c>
      <c r="Q82" s="97">
        <f t="shared" si="60"/>
        <v>31</v>
      </c>
      <c r="R82" s="98" t="str">
        <f t="shared" si="35"/>
        <v>F</v>
      </c>
      <c r="S82" s="206"/>
      <c r="T82" s="97">
        <v>0</v>
      </c>
      <c r="U82" s="97">
        <v>27</v>
      </c>
      <c r="V82" s="97">
        <f t="shared" si="36"/>
        <v>27</v>
      </c>
      <c r="W82" s="98" t="str">
        <f t="shared" si="37"/>
        <v>F</v>
      </c>
      <c r="X82" s="206"/>
      <c r="Y82" s="97">
        <v>0</v>
      </c>
      <c r="Z82" s="97">
        <v>44</v>
      </c>
      <c r="AA82" s="97">
        <f t="shared" si="49"/>
        <v>44</v>
      </c>
      <c r="AB82" s="98">
        <f t="shared" si="50"/>
        <v>2</v>
      </c>
      <c r="AC82" s="206"/>
      <c r="AD82" s="66">
        <v>0</v>
      </c>
      <c r="AE82" s="67">
        <v>29</v>
      </c>
      <c r="AF82" s="97">
        <f t="shared" si="61"/>
        <v>29</v>
      </c>
      <c r="AG82" s="98" t="str">
        <f t="shared" si="38"/>
        <v>F</v>
      </c>
      <c r="AH82" s="206"/>
      <c r="AI82" s="97">
        <v>0</v>
      </c>
      <c r="AJ82" s="97">
        <v>48</v>
      </c>
      <c r="AK82" s="97">
        <f t="shared" si="62"/>
        <v>48</v>
      </c>
      <c r="AL82" s="98">
        <f t="shared" si="39"/>
        <v>2</v>
      </c>
      <c r="AM82" s="206"/>
      <c r="AN82" s="97"/>
      <c r="AO82" s="97">
        <v>30</v>
      </c>
      <c r="AP82" s="97">
        <f t="shared" si="40"/>
        <v>30</v>
      </c>
      <c r="AQ82" s="98">
        <f t="shared" si="41"/>
        <v>3.5</v>
      </c>
      <c r="AR82" s="206"/>
      <c r="AS82" s="99" t="str">
        <f t="shared" si="42"/>
        <v>F</v>
      </c>
      <c r="AT82" s="61" t="str">
        <f t="shared" si="64"/>
        <v>F</v>
      </c>
      <c r="AU82" s="101">
        <f t="shared" si="43"/>
        <v>287</v>
      </c>
      <c r="AV82" s="57">
        <v>0</v>
      </c>
      <c r="AW82" s="57">
        <v>0</v>
      </c>
      <c r="AX82" s="99" t="str">
        <f t="shared" si="65"/>
        <v>NEED TO PROGRESS</v>
      </c>
    </row>
    <row r="83" spans="1:50">
      <c r="A83" s="53">
        <v>76</v>
      </c>
      <c r="B83" s="88">
        <v>98</v>
      </c>
      <c r="C83" s="104" t="s">
        <v>308</v>
      </c>
      <c r="D83" s="105" t="s">
        <v>309</v>
      </c>
      <c r="E83" s="104" t="s">
        <v>310</v>
      </c>
      <c r="F83" s="97">
        <v>0</v>
      </c>
      <c r="G83" s="97">
        <v>0</v>
      </c>
      <c r="H83" s="97">
        <v>0</v>
      </c>
      <c r="I83" s="97">
        <v>0</v>
      </c>
      <c r="J83" s="67">
        <f t="shared" si="66"/>
        <v>0</v>
      </c>
      <c r="K83" s="68" t="str">
        <f t="shared" si="63"/>
        <v>F</v>
      </c>
      <c r="L83" s="206"/>
      <c r="M83" s="97">
        <v>0</v>
      </c>
      <c r="N83" s="97">
        <v>0</v>
      </c>
      <c r="O83" s="97">
        <v>0</v>
      </c>
      <c r="P83" s="97">
        <v>0</v>
      </c>
      <c r="Q83" s="97">
        <f t="shared" si="60"/>
        <v>0</v>
      </c>
      <c r="R83" s="98" t="str">
        <f t="shared" si="35"/>
        <v>F</v>
      </c>
      <c r="S83" s="206"/>
      <c r="T83" s="97">
        <v>0</v>
      </c>
      <c r="U83" s="97">
        <v>0</v>
      </c>
      <c r="V83" s="97">
        <f t="shared" si="36"/>
        <v>0</v>
      </c>
      <c r="W83" s="98" t="str">
        <f t="shared" si="37"/>
        <v>F</v>
      </c>
      <c r="X83" s="206"/>
      <c r="Y83" s="97">
        <v>0</v>
      </c>
      <c r="Z83" s="97">
        <v>0</v>
      </c>
      <c r="AA83" s="97">
        <f t="shared" si="49"/>
        <v>0</v>
      </c>
      <c r="AB83" s="98" t="str">
        <f t="shared" si="50"/>
        <v>F</v>
      </c>
      <c r="AC83" s="206"/>
      <c r="AD83" s="66">
        <v>0</v>
      </c>
      <c r="AE83" s="67">
        <v>0</v>
      </c>
      <c r="AF83" s="97">
        <f t="shared" si="61"/>
        <v>0</v>
      </c>
      <c r="AG83" s="98" t="str">
        <f t="shared" si="38"/>
        <v>F</v>
      </c>
      <c r="AH83" s="206"/>
      <c r="AI83" s="97">
        <v>0</v>
      </c>
      <c r="AJ83" s="97">
        <v>0</v>
      </c>
      <c r="AK83" s="97">
        <f t="shared" si="62"/>
        <v>0</v>
      </c>
      <c r="AL83" s="98" t="str">
        <f t="shared" si="39"/>
        <v>F</v>
      </c>
      <c r="AM83" s="206"/>
      <c r="AN83" s="97"/>
      <c r="AO83" s="97">
        <v>0</v>
      </c>
      <c r="AP83" s="97">
        <f t="shared" si="40"/>
        <v>0</v>
      </c>
      <c r="AQ83" s="98" t="str">
        <f t="shared" si="41"/>
        <v>F</v>
      </c>
      <c r="AR83" s="206"/>
      <c r="AS83" s="99" t="str">
        <f t="shared" si="42"/>
        <v>F</v>
      </c>
      <c r="AT83" s="61" t="str">
        <f t="shared" si="64"/>
        <v>F</v>
      </c>
      <c r="AU83" s="101">
        <f t="shared" si="43"/>
        <v>0</v>
      </c>
      <c r="AV83" s="57">
        <v>0</v>
      </c>
      <c r="AW83" s="57">
        <v>0</v>
      </c>
      <c r="AX83" s="99" t="str">
        <f t="shared" si="65"/>
        <v>NEED TO PROGRESS</v>
      </c>
    </row>
    <row r="84" spans="1:50">
      <c r="A84" s="53">
        <v>77</v>
      </c>
      <c r="B84" s="107"/>
      <c r="C84" s="55"/>
      <c r="D84" s="55"/>
      <c r="E84" s="55"/>
      <c r="F84" s="97"/>
      <c r="G84" s="97"/>
      <c r="H84" s="97"/>
      <c r="I84" s="97"/>
      <c r="J84" s="67">
        <f t="shared" si="66"/>
        <v>0</v>
      </c>
      <c r="K84" s="68" t="str">
        <f t="shared" si="63"/>
        <v>F</v>
      </c>
      <c r="L84" s="207"/>
      <c r="M84" s="97"/>
      <c r="N84" s="97"/>
      <c r="O84" s="97"/>
      <c r="P84" s="97"/>
      <c r="Q84" s="97">
        <f t="shared" si="60"/>
        <v>0</v>
      </c>
      <c r="R84" s="98" t="str">
        <f t="shared" si="35"/>
        <v>F</v>
      </c>
      <c r="S84" s="207"/>
      <c r="T84" s="97"/>
      <c r="U84" s="97"/>
      <c r="V84" s="97">
        <f t="shared" si="36"/>
        <v>0</v>
      </c>
      <c r="W84" s="98" t="str">
        <f t="shared" si="37"/>
        <v>F</v>
      </c>
      <c r="X84" s="207"/>
      <c r="Y84" s="97"/>
      <c r="Z84" s="97"/>
      <c r="AA84" s="97">
        <f t="shared" si="49"/>
        <v>0</v>
      </c>
      <c r="AB84" s="98" t="str">
        <f t="shared" si="50"/>
        <v>F</v>
      </c>
      <c r="AC84" s="207"/>
      <c r="AD84" s="66"/>
      <c r="AE84" s="67"/>
      <c r="AF84" s="97">
        <f t="shared" si="61"/>
        <v>0</v>
      </c>
      <c r="AG84" s="98" t="str">
        <f t="shared" si="38"/>
        <v>F</v>
      </c>
      <c r="AH84" s="207"/>
      <c r="AI84" s="97"/>
      <c r="AJ84" s="97"/>
      <c r="AK84" s="97">
        <f t="shared" si="62"/>
        <v>0</v>
      </c>
      <c r="AL84" s="98" t="str">
        <f t="shared" si="39"/>
        <v>F</v>
      </c>
      <c r="AM84" s="207"/>
      <c r="AN84" s="97"/>
      <c r="AO84" s="97"/>
      <c r="AP84" s="97">
        <f t="shared" si="40"/>
        <v>0</v>
      </c>
      <c r="AQ84" s="98" t="str">
        <f t="shared" si="41"/>
        <v>F</v>
      </c>
      <c r="AR84" s="207"/>
      <c r="AS84" s="99" t="str">
        <f t="shared" si="42"/>
        <v>F</v>
      </c>
      <c r="AT84" s="61" t="str">
        <f t="shared" si="64"/>
        <v>F</v>
      </c>
      <c r="AU84" s="101">
        <f t="shared" si="43"/>
        <v>0</v>
      </c>
      <c r="AV84" s="57">
        <v>0</v>
      </c>
      <c r="AW84" s="57">
        <v>0</v>
      </c>
      <c r="AX84" s="99" t="str">
        <f t="shared" si="65"/>
        <v>NEED TO PROGRESS</v>
      </c>
    </row>
  </sheetData>
  <mergeCells count="47">
    <mergeCell ref="AX6:AX7"/>
    <mergeCell ref="AU6:AU7"/>
    <mergeCell ref="AV6:AV7"/>
    <mergeCell ref="AS6:AS7"/>
    <mergeCell ref="AT6:AT7"/>
    <mergeCell ref="AW6:AW7"/>
    <mergeCell ref="A6:A7"/>
    <mergeCell ref="AC6:AC7"/>
    <mergeCell ref="AR6:AR7"/>
    <mergeCell ref="AH6:AH7"/>
    <mergeCell ref="B6:B7"/>
    <mergeCell ref="X6:X7"/>
    <mergeCell ref="Y6:AB6"/>
    <mergeCell ref="C6:C7"/>
    <mergeCell ref="J6:J7"/>
    <mergeCell ref="F6:G6"/>
    <mergeCell ref="H6:I6"/>
    <mergeCell ref="K6:K7"/>
    <mergeCell ref="AM6:AM7"/>
    <mergeCell ref="AN6:AQ6"/>
    <mergeCell ref="E6:E7"/>
    <mergeCell ref="AD6:AG6"/>
    <mergeCell ref="AM8:AM84"/>
    <mergeCell ref="AR8:AR84"/>
    <mergeCell ref="S6:S7"/>
    <mergeCell ref="L8:L84"/>
    <mergeCell ref="S8:S84"/>
    <mergeCell ref="X8:X84"/>
    <mergeCell ref="M6:N6"/>
    <mergeCell ref="O6:P6"/>
    <mergeCell ref="R6:R7"/>
    <mergeCell ref="Q6:Q7"/>
    <mergeCell ref="T6:W6"/>
    <mergeCell ref="A1:AX4"/>
    <mergeCell ref="A5:C5"/>
    <mergeCell ref="E5:G5"/>
    <mergeCell ref="H5:M5"/>
    <mergeCell ref="O5:R5"/>
    <mergeCell ref="S5:U5"/>
    <mergeCell ref="W5:AA5"/>
    <mergeCell ref="AE5:AH5"/>
    <mergeCell ref="AI5:AM5"/>
    <mergeCell ref="D6:D7"/>
    <mergeCell ref="AI6:AL6"/>
    <mergeCell ref="L6:L7"/>
    <mergeCell ref="AC8:AC84"/>
    <mergeCell ref="AH8:AH84"/>
  </mergeCells>
  <conditionalFormatting sqref="B8:B43">
    <cfRule type="duplicateValues" dxfId="61" priority="28"/>
  </conditionalFormatting>
  <conditionalFormatting sqref="F8:F47 M8:M47 T8:T47 Y8:Y47 AI8:AI47 AD8:AD84">
    <cfRule type="cellIs" dxfId="60" priority="25" operator="greaterThan">
      <formula>20</formula>
    </cfRule>
  </conditionalFormatting>
  <conditionalFormatting sqref="G8:G47 U8:V47 AA8:AA47 AF8:AF47 AK8:AK47">
    <cfRule type="cellIs" dxfId="59" priority="22" operator="greaterThan">
      <formula>100</formula>
    </cfRule>
  </conditionalFormatting>
  <conditionalFormatting sqref="H8:H47 O8:O47 AN8:AN47">
    <cfRule type="cellIs" dxfId="58" priority="26" operator="greaterThan">
      <formula>10</formula>
    </cfRule>
  </conditionalFormatting>
  <conditionalFormatting sqref="I8:I47">
    <cfRule type="cellIs" dxfId="57" priority="23" operator="greaterThan">
      <formula>50</formula>
    </cfRule>
  </conditionalFormatting>
  <conditionalFormatting sqref="J8:J84 Q8:Q47">
    <cfRule type="cellIs" dxfId="56" priority="24" operator="greaterThan">
      <formula>150</formula>
    </cfRule>
  </conditionalFormatting>
  <conditionalFormatting sqref="AP8:AP47">
    <cfRule type="cellIs" dxfId="55" priority="21" operator="greaterThan">
      <formula>50</formula>
    </cfRule>
  </conditionalFormatting>
  <conditionalFormatting sqref="AS6:AS7">
    <cfRule type="cellIs" dxfId="54" priority="27" operator="equal">
      <formula>"F"</formula>
    </cfRule>
  </conditionalFormatting>
  <conditionalFormatting sqref="B8:B39">
    <cfRule type="duplicateValues" dxfId="53" priority="20"/>
  </conditionalFormatting>
  <conditionalFormatting sqref="B8">
    <cfRule type="duplicateValues" dxfId="52" priority="19"/>
  </conditionalFormatting>
  <conditionalFormatting sqref="B9:B14 B16:B27">
    <cfRule type="duplicateValues" dxfId="51" priority="18"/>
  </conditionalFormatting>
  <conditionalFormatting sqref="B15">
    <cfRule type="duplicateValues" dxfId="50" priority="17"/>
  </conditionalFormatting>
  <conditionalFormatting sqref="B28">
    <cfRule type="duplicateValues" dxfId="49" priority="16"/>
  </conditionalFormatting>
  <conditionalFormatting sqref="B29:B39">
    <cfRule type="duplicateValues" dxfId="48" priority="15"/>
  </conditionalFormatting>
  <conditionalFormatting sqref="B43">
    <cfRule type="duplicateValues" dxfId="47" priority="14"/>
  </conditionalFormatting>
  <conditionalFormatting sqref="B44:B72">
    <cfRule type="duplicateValues" dxfId="46" priority="13"/>
  </conditionalFormatting>
  <conditionalFormatting sqref="F44:F84 M44:M84 T44:T84 Y44:Y84 AD44:AD84 AI44:AI84">
    <cfRule type="cellIs" dxfId="45" priority="12" operator="greaterThan">
      <formula>20</formula>
    </cfRule>
  </conditionalFormatting>
  <conditionalFormatting sqref="G44:G84 U44:V84 AA44:AA84 AF44:AF84 AK44:AK84">
    <cfRule type="cellIs" dxfId="44" priority="11" operator="greaterThan">
      <formula>100</formula>
    </cfRule>
  </conditionalFormatting>
  <conditionalFormatting sqref="H44:H84 O44:O84 AN44:AN84">
    <cfRule type="cellIs" dxfId="43" priority="10" operator="greaterThan">
      <formula>10</formula>
    </cfRule>
  </conditionalFormatting>
  <conditionalFormatting sqref="I44:I84">
    <cfRule type="cellIs" dxfId="42" priority="9" operator="greaterThan">
      <formula>50</formula>
    </cfRule>
  </conditionalFormatting>
  <conditionalFormatting sqref="J44:J84 Q44:Q84">
    <cfRule type="cellIs" dxfId="41" priority="8" operator="greaterThan">
      <formula>150</formula>
    </cfRule>
  </conditionalFormatting>
  <conditionalFormatting sqref="AP44:AP84">
    <cfRule type="cellIs" dxfId="40" priority="7" operator="greaterThan">
      <formula>50</formula>
    </cfRule>
  </conditionalFormatting>
  <conditionalFormatting sqref="B44:B70">
    <cfRule type="duplicateValues" dxfId="39" priority="6"/>
  </conditionalFormatting>
  <conditionalFormatting sqref="B44:B55">
    <cfRule type="duplicateValues" dxfId="38" priority="5"/>
  </conditionalFormatting>
  <conditionalFormatting sqref="B56:B69">
    <cfRule type="duplicateValues" dxfId="37" priority="4"/>
  </conditionalFormatting>
  <conditionalFormatting sqref="B70">
    <cfRule type="duplicateValues" dxfId="36" priority="3"/>
  </conditionalFormatting>
  <conditionalFormatting sqref="B74:B82">
    <cfRule type="duplicateValues" dxfId="35" priority="2"/>
  </conditionalFormatting>
  <conditionalFormatting sqref="B83">
    <cfRule type="duplicateValues" dxfId="34" priority="1"/>
  </conditionalFormatting>
  <pageMargins left="0" right="0" top="0" bottom="0" header="0" footer="0"/>
  <pageSetup paperSize="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BC82"/>
  <sheetViews>
    <sheetView workbookViewId="0">
      <pane xSplit="2" ySplit="7" topLeftCell="F8" activePane="bottomRight" state="frozen"/>
      <selection pane="topRight" activeCell="C1" sqref="C1"/>
      <selection pane="bottomLeft" activeCell="A8" sqref="A8"/>
      <selection pane="bottomRight" activeCell="AV19" sqref="AV19"/>
    </sheetView>
  </sheetViews>
  <sheetFormatPr defaultColWidth="4.7109375" defaultRowHeight="9.9499999999999993" customHeight="1"/>
  <cols>
    <col min="1" max="1" width="4.7109375" style="48"/>
    <col min="2" max="2" width="4.42578125" style="106" bestFit="1" customWidth="1"/>
    <col min="3" max="3" width="24.28515625" style="106" bestFit="1" customWidth="1"/>
    <col min="4" max="4" width="21" style="106" bestFit="1" customWidth="1"/>
    <col min="5" max="5" width="20.28515625" style="106" bestFit="1" customWidth="1"/>
    <col min="6" max="47" width="4.7109375" style="48"/>
    <col min="48" max="48" width="5.28515625" style="48" customWidth="1"/>
    <col min="49" max="49" width="6" style="48" customWidth="1"/>
    <col min="50" max="50" width="17.5703125" style="48" bestFit="1" customWidth="1"/>
    <col min="51" max="51" width="4.42578125" style="48" bestFit="1" customWidth="1"/>
    <col min="52" max="52" width="4.5703125" style="48" bestFit="1" customWidth="1"/>
    <col min="53" max="53" width="7.42578125" style="48" bestFit="1" customWidth="1"/>
    <col min="54" max="54" width="4.85546875" style="48" bestFit="1" customWidth="1"/>
    <col min="55" max="55" width="5.85546875" style="48" bestFit="1" customWidth="1"/>
  </cols>
  <sheetData>
    <row r="1" spans="1:55" ht="15">
      <c r="A1" s="193" t="s">
        <v>94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  <c r="AD1" s="193"/>
      <c r="AE1" s="193"/>
      <c r="AF1" s="193"/>
      <c r="AG1" s="193"/>
      <c r="AH1" s="193"/>
      <c r="AI1" s="193"/>
      <c r="AJ1" s="193"/>
      <c r="AK1" s="193"/>
      <c r="AL1" s="193"/>
      <c r="AM1" s="193"/>
      <c r="AN1" s="193"/>
      <c r="AO1" s="193"/>
      <c r="AP1" s="193"/>
      <c r="AQ1" s="193"/>
      <c r="AR1" s="193"/>
      <c r="AS1" s="193"/>
      <c r="AT1" s="193"/>
      <c r="AU1" s="193"/>
      <c r="AV1" s="193"/>
      <c r="AW1" s="193"/>
      <c r="AX1" s="193"/>
    </row>
    <row r="2" spans="1:55" ht="15">
      <c r="A2" s="193"/>
      <c r="B2" s="193"/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  <c r="X2" s="193"/>
      <c r="Y2" s="193"/>
      <c r="Z2" s="193"/>
      <c r="AA2" s="193"/>
      <c r="AB2" s="193"/>
      <c r="AC2" s="193"/>
      <c r="AD2" s="193"/>
      <c r="AE2" s="193"/>
      <c r="AF2" s="193"/>
      <c r="AG2" s="193"/>
      <c r="AH2" s="193"/>
      <c r="AI2" s="193"/>
      <c r="AJ2" s="193"/>
      <c r="AK2" s="193"/>
      <c r="AL2" s="193"/>
      <c r="AM2" s="193"/>
      <c r="AN2" s="193"/>
      <c r="AO2" s="193"/>
      <c r="AP2" s="193"/>
      <c r="AQ2" s="193"/>
      <c r="AR2" s="193"/>
      <c r="AS2" s="193"/>
      <c r="AT2" s="193"/>
      <c r="AU2" s="193"/>
      <c r="AV2" s="193"/>
      <c r="AW2" s="193"/>
      <c r="AX2" s="193"/>
    </row>
    <row r="3" spans="1:55" ht="15">
      <c r="A3" s="193"/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  <c r="X3" s="193"/>
      <c r="Y3" s="193"/>
      <c r="Z3" s="193"/>
      <c r="AA3" s="193"/>
      <c r="AB3" s="193"/>
      <c r="AC3" s="193"/>
      <c r="AD3" s="193"/>
      <c r="AE3" s="193"/>
      <c r="AF3" s="193"/>
      <c r="AG3" s="193"/>
      <c r="AH3" s="193"/>
      <c r="AI3" s="193"/>
      <c r="AJ3" s="193"/>
      <c r="AK3" s="193"/>
      <c r="AL3" s="193"/>
      <c r="AM3" s="193"/>
      <c r="AN3" s="193"/>
      <c r="AO3" s="193"/>
      <c r="AP3" s="193"/>
      <c r="AQ3" s="193"/>
      <c r="AR3" s="193"/>
      <c r="AS3" s="193"/>
      <c r="AT3" s="193"/>
      <c r="AU3" s="193"/>
      <c r="AV3" s="193"/>
      <c r="AW3" s="193"/>
      <c r="AX3" s="193"/>
    </row>
    <row r="4" spans="1:55" ht="15">
      <c r="A4" s="193"/>
      <c r="B4" s="193"/>
      <c r="C4" s="193"/>
      <c r="D4" s="193"/>
      <c r="E4" s="193"/>
      <c r="F4" s="193"/>
      <c r="G4" s="193"/>
      <c r="H4" s="193"/>
      <c r="I4" s="193"/>
      <c r="J4" s="193"/>
      <c r="K4" s="193"/>
      <c r="L4" s="193"/>
      <c r="M4" s="193"/>
      <c r="N4" s="193"/>
      <c r="O4" s="193"/>
      <c r="P4" s="193"/>
      <c r="Q4" s="193"/>
      <c r="R4" s="193"/>
      <c r="S4" s="193"/>
      <c r="T4" s="193"/>
      <c r="U4" s="193"/>
      <c r="V4" s="193"/>
      <c r="W4" s="193"/>
      <c r="X4" s="193"/>
      <c r="Y4" s="193"/>
      <c r="Z4" s="193"/>
      <c r="AA4" s="193"/>
      <c r="AB4" s="193"/>
      <c r="AC4" s="193"/>
      <c r="AD4" s="193"/>
      <c r="AE4" s="193"/>
      <c r="AF4" s="193"/>
      <c r="AG4" s="193"/>
      <c r="AH4" s="193"/>
      <c r="AI4" s="193"/>
      <c r="AJ4" s="193"/>
      <c r="AK4" s="193"/>
      <c r="AL4" s="193"/>
      <c r="AM4" s="193"/>
      <c r="AN4" s="193"/>
      <c r="AO4" s="193"/>
      <c r="AP4" s="193"/>
      <c r="AQ4" s="193"/>
      <c r="AR4" s="193"/>
      <c r="AS4" s="193"/>
      <c r="AT4" s="193"/>
      <c r="AU4" s="193"/>
      <c r="AV4" s="193"/>
      <c r="AW4" s="193"/>
      <c r="AX4" s="193"/>
    </row>
    <row r="5" spans="1:55" ht="15">
      <c r="A5" s="219" t="s">
        <v>29</v>
      </c>
      <c r="B5" s="220"/>
      <c r="C5" s="221"/>
      <c r="D5" s="96" t="s">
        <v>30</v>
      </c>
      <c r="E5" s="219" t="s">
        <v>74</v>
      </c>
      <c r="F5" s="220"/>
      <c r="G5" s="221"/>
      <c r="H5" s="222" t="s">
        <v>202</v>
      </c>
      <c r="I5" s="222"/>
      <c r="J5" s="222"/>
      <c r="K5" s="222"/>
      <c r="L5" s="222"/>
      <c r="M5" s="222"/>
      <c r="N5" s="76"/>
      <c r="O5" s="222" t="s">
        <v>31</v>
      </c>
      <c r="P5" s="222"/>
      <c r="Q5" s="222"/>
      <c r="R5" s="222"/>
      <c r="S5" s="222" t="s">
        <v>66</v>
      </c>
      <c r="T5" s="222"/>
      <c r="U5" s="222"/>
      <c r="V5" s="76"/>
      <c r="W5" s="222" t="s">
        <v>76</v>
      </c>
      <c r="X5" s="222"/>
      <c r="Y5" s="222"/>
      <c r="Z5" s="222"/>
      <c r="AA5" s="222"/>
      <c r="AB5" s="80"/>
      <c r="AC5" s="80">
        <v>50</v>
      </c>
      <c r="AD5" s="76"/>
      <c r="AE5" s="222" t="s">
        <v>77</v>
      </c>
      <c r="AF5" s="222"/>
      <c r="AG5" s="222"/>
      <c r="AH5" s="222"/>
      <c r="AI5" s="223" t="s">
        <v>78</v>
      </c>
      <c r="AJ5" s="224"/>
      <c r="AK5" s="224"/>
      <c r="AL5" s="224"/>
      <c r="AM5" s="225"/>
      <c r="AN5" s="197"/>
      <c r="AO5" s="198"/>
      <c r="AP5" s="198"/>
      <c r="AQ5" s="198"/>
      <c r="AR5" s="198"/>
      <c r="AS5" s="198"/>
      <c r="AT5" s="198"/>
      <c r="AU5" s="198"/>
      <c r="AV5" s="198"/>
      <c r="AW5" s="198"/>
      <c r="AX5" s="199"/>
    </row>
    <row r="6" spans="1:55" s="62" customFormat="1" ht="24.75" customHeight="1">
      <c r="A6" s="182" t="s">
        <v>7</v>
      </c>
      <c r="B6" s="226" t="s">
        <v>0</v>
      </c>
      <c r="C6" s="226" t="s">
        <v>9</v>
      </c>
      <c r="D6" s="227" t="s">
        <v>79</v>
      </c>
      <c r="E6" s="227" t="s">
        <v>80</v>
      </c>
      <c r="F6" s="181" t="s">
        <v>81</v>
      </c>
      <c r="G6" s="181"/>
      <c r="H6" s="186" t="s">
        <v>82</v>
      </c>
      <c r="I6" s="187"/>
      <c r="J6" s="183" t="s">
        <v>12</v>
      </c>
      <c r="K6" s="182" t="s">
        <v>1</v>
      </c>
      <c r="L6" s="182" t="s">
        <v>13</v>
      </c>
      <c r="M6" s="181" t="s">
        <v>83</v>
      </c>
      <c r="N6" s="181"/>
      <c r="O6" s="181" t="s">
        <v>84</v>
      </c>
      <c r="P6" s="181"/>
      <c r="Q6" s="182" t="s">
        <v>12</v>
      </c>
      <c r="R6" s="182" t="s">
        <v>1</v>
      </c>
      <c r="S6" s="182" t="s">
        <v>13</v>
      </c>
      <c r="T6" s="186" t="s">
        <v>22</v>
      </c>
      <c r="U6" s="187"/>
      <c r="V6" s="187"/>
      <c r="W6" s="188"/>
      <c r="X6" s="183" t="s">
        <v>13</v>
      </c>
      <c r="Y6" s="186" t="s">
        <v>5</v>
      </c>
      <c r="Z6" s="187"/>
      <c r="AA6" s="187"/>
      <c r="AB6" s="188"/>
      <c r="AC6" s="183" t="s">
        <v>13</v>
      </c>
      <c r="AD6" s="186" t="s">
        <v>6</v>
      </c>
      <c r="AE6" s="187"/>
      <c r="AF6" s="187"/>
      <c r="AG6" s="188"/>
      <c r="AH6" s="183" t="s">
        <v>13</v>
      </c>
      <c r="AI6" s="186" t="s">
        <v>2</v>
      </c>
      <c r="AJ6" s="187"/>
      <c r="AK6" s="187"/>
      <c r="AL6" s="187"/>
      <c r="AM6" s="183" t="s">
        <v>13</v>
      </c>
      <c r="AN6" s="208" t="s">
        <v>43</v>
      </c>
      <c r="AO6" s="209"/>
      <c r="AP6" s="209"/>
      <c r="AQ6" s="210"/>
      <c r="AR6" s="183" t="s">
        <v>13</v>
      </c>
      <c r="AS6" s="182" t="s">
        <v>3</v>
      </c>
      <c r="AT6" s="183" t="s">
        <v>4</v>
      </c>
      <c r="AU6" s="182" t="s">
        <v>27</v>
      </c>
      <c r="AV6" s="182" t="s">
        <v>28</v>
      </c>
      <c r="AW6" s="177" t="s">
        <v>85</v>
      </c>
      <c r="AX6" s="179" t="s">
        <v>86</v>
      </c>
      <c r="AY6" s="211" t="s">
        <v>88</v>
      </c>
      <c r="AZ6" s="211"/>
      <c r="BA6" s="211"/>
      <c r="BB6" s="211"/>
      <c r="BC6" s="211"/>
    </row>
    <row r="7" spans="1:55" s="64" customFormat="1" ht="18">
      <c r="A7" s="182"/>
      <c r="B7" s="226"/>
      <c r="C7" s="226"/>
      <c r="D7" s="228"/>
      <c r="E7" s="228"/>
      <c r="F7" s="78" t="s">
        <v>11</v>
      </c>
      <c r="G7" s="79" t="s">
        <v>10</v>
      </c>
      <c r="H7" s="78" t="s">
        <v>11</v>
      </c>
      <c r="I7" s="79" t="s">
        <v>10</v>
      </c>
      <c r="J7" s="218"/>
      <c r="K7" s="182"/>
      <c r="L7" s="182"/>
      <c r="M7" s="79" t="s">
        <v>11</v>
      </c>
      <c r="N7" s="79" t="s">
        <v>10</v>
      </c>
      <c r="O7" s="79" t="s">
        <v>11</v>
      </c>
      <c r="P7" s="79" t="s">
        <v>10</v>
      </c>
      <c r="Q7" s="182"/>
      <c r="R7" s="182"/>
      <c r="S7" s="182"/>
      <c r="T7" s="78" t="s">
        <v>11</v>
      </c>
      <c r="U7" s="79" t="s">
        <v>10</v>
      </c>
      <c r="V7" s="78" t="s">
        <v>12</v>
      </c>
      <c r="W7" s="78" t="s">
        <v>1</v>
      </c>
      <c r="X7" s="185"/>
      <c r="Y7" s="78" t="s">
        <v>11</v>
      </c>
      <c r="Z7" s="79" t="s">
        <v>10</v>
      </c>
      <c r="AA7" s="78" t="s">
        <v>12</v>
      </c>
      <c r="AB7" s="78" t="s">
        <v>1</v>
      </c>
      <c r="AC7" s="185"/>
      <c r="AD7" s="78" t="s">
        <v>11</v>
      </c>
      <c r="AE7" s="79" t="s">
        <v>10</v>
      </c>
      <c r="AF7" s="78" t="s">
        <v>12</v>
      </c>
      <c r="AG7" s="78" t="s">
        <v>1</v>
      </c>
      <c r="AH7" s="185"/>
      <c r="AI7" s="78" t="s">
        <v>11</v>
      </c>
      <c r="AJ7" s="79" t="s">
        <v>10</v>
      </c>
      <c r="AK7" s="78" t="s">
        <v>12</v>
      </c>
      <c r="AL7" s="78" t="s">
        <v>1</v>
      </c>
      <c r="AM7" s="185"/>
      <c r="AN7" s="79" t="s">
        <v>11</v>
      </c>
      <c r="AO7" s="79" t="s">
        <v>10</v>
      </c>
      <c r="AP7" s="78" t="s">
        <v>12</v>
      </c>
      <c r="AQ7" s="78" t="s">
        <v>1</v>
      </c>
      <c r="AR7" s="185"/>
      <c r="AS7" s="182"/>
      <c r="AT7" s="185"/>
      <c r="AU7" s="182"/>
      <c r="AV7" s="182"/>
      <c r="AW7" s="178"/>
      <c r="AX7" s="180"/>
      <c r="AY7" s="74" t="s">
        <v>89</v>
      </c>
      <c r="AZ7" s="74" t="s">
        <v>90</v>
      </c>
      <c r="BA7" s="74" t="s">
        <v>64</v>
      </c>
      <c r="BB7" s="75" t="s">
        <v>91</v>
      </c>
      <c r="BC7" s="75" t="s">
        <v>92</v>
      </c>
    </row>
    <row r="8" spans="1:55" s="38" customFormat="1" ht="14.1" customHeight="1">
      <c r="A8" s="59">
        <v>1</v>
      </c>
      <c r="B8" s="88">
        <v>1</v>
      </c>
      <c r="C8" s="85" t="s">
        <v>95</v>
      </c>
      <c r="D8" s="85" t="s">
        <v>96</v>
      </c>
      <c r="E8" s="85" t="s">
        <v>97</v>
      </c>
      <c r="F8" s="71">
        <v>20</v>
      </c>
      <c r="G8" s="71">
        <v>79</v>
      </c>
      <c r="H8" s="71">
        <v>10</v>
      </c>
      <c r="I8" s="71">
        <v>40</v>
      </c>
      <c r="J8" s="71">
        <f>I8+H8+G8+F8</f>
        <v>149</v>
      </c>
      <c r="K8" s="81">
        <f>IF(J8&lt;60,"F",IF(J8&lt;75,2,IF(J8&lt;90,3,IF(J8&lt;105,3.5,IF(J8&lt;120,4,5)))))</f>
        <v>5</v>
      </c>
      <c r="L8" s="212">
        <f>MAX(J8:J43)</f>
        <v>150</v>
      </c>
      <c r="M8" s="71">
        <v>19</v>
      </c>
      <c r="N8" s="71">
        <v>78</v>
      </c>
      <c r="O8" s="71">
        <v>10</v>
      </c>
      <c r="P8" s="71">
        <v>40</v>
      </c>
      <c r="Q8" s="71">
        <f t="shared" ref="Q8:Q71" si="0">M8+N8+O8+P8</f>
        <v>147</v>
      </c>
      <c r="R8" s="81">
        <f>IF(Q8&lt;60,"F",IF(Q8&lt;75,2,IF(Q8&lt;90,3,IF(Q8&lt;105,3.5,IF(Q8&lt;120,4,5)))))</f>
        <v>5</v>
      </c>
      <c r="S8" s="212">
        <f>MAX(Q8:Q43)</f>
        <v>148</v>
      </c>
      <c r="T8" s="71">
        <v>20</v>
      </c>
      <c r="U8" s="71">
        <v>77</v>
      </c>
      <c r="V8" s="71">
        <f>SUM(T8+U8)</f>
        <v>97</v>
      </c>
      <c r="W8" s="81">
        <f>IF(V8&lt;40,"F",IF(V8&lt;50,2,IF(V8&lt;60,3,IF(V8&lt;70,3.5,IF(V8&lt;80,4,5)))))</f>
        <v>5</v>
      </c>
      <c r="X8" s="212">
        <f>MAX(V8:V43)</f>
        <v>97</v>
      </c>
      <c r="Y8" s="71">
        <v>20</v>
      </c>
      <c r="Z8" s="71">
        <v>80</v>
      </c>
      <c r="AA8" s="71">
        <f>Y8+Z8</f>
        <v>100</v>
      </c>
      <c r="AB8" s="81">
        <f>IF(AA8&lt;40,"F",IF(AA8&lt;50,2,IF(AA8&lt;60,3,IF(AA8&lt;70,3.5,IF(AA8&lt;80,4,5)))))</f>
        <v>5</v>
      </c>
      <c r="AC8" s="212">
        <f>MAX(AA8:AA43)</f>
        <v>100</v>
      </c>
      <c r="AD8" s="71">
        <v>20</v>
      </c>
      <c r="AE8" s="71">
        <v>78</v>
      </c>
      <c r="AF8" s="71">
        <f t="shared" ref="AF8:AF71" si="1">AD8+AE8</f>
        <v>98</v>
      </c>
      <c r="AG8" s="81">
        <f>IF(AF8&lt;40,"F",IF(AF8&lt;50,2,IF(AF8&lt;60,3,IF(AF8&lt;70,3.5,IF(AF8&lt;80,4,5)))))</f>
        <v>5</v>
      </c>
      <c r="AH8" s="212">
        <f>MAX(AF8:AF43)</f>
        <v>99</v>
      </c>
      <c r="AI8" s="71">
        <v>20</v>
      </c>
      <c r="AJ8" s="71">
        <v>80</v>
      </c>
      <c r="AK8" s="71">
        <f t="shared" ref="AK8:AK71" si="2">AI8+AJ8</f>
        <v>100</v>
      </c>
      <c r="AL8" s="81">
        <f>IF(AK8&lt;40,"F",IF(AK8&lt;50,2,IF(AK8&lt;60,3,IF(AK8&lt;70,3.5,IF(AK8&lt;80,4,5)))))</f>
        <v>5</v>
      </c>
      <c r="AM8" s="212">
        <f>MAX(AK8:AK43)</f>
        <v>100</v>
      </c>
      <c r="AN8" s="54">
        <v>0</v>
      </c>
      <c r="AO8" s="71">
        <v>49</v>
      </c>
      <c r="AP8" s="72">
        <f>AO8</f>
        <v>49</v>
      </c>
      <c r="AQ8" s="81">
        <f>IF(AP8&lt;20,"F",IF(AP8&lt;25,2,IF(AP8&lt;30,3,IF(AP8&lt;35,3.5,IF(AP8&lt;40,4,5)))))</f>
        <v>5</v>
      </c>
      <c r="AR8" s="212">
        <f>MAX(AP8:AP42)</f>
        <v>50</v>
      </c>
      <c r="AS8" s="54">
        <f>IF(K8="F","F",IF(R8="F","F",IF(W8="F","F",IF(AB8="F","F",IF(AG8="F","F",IF(AL8="F","F",IF(AQ8="F","F",SUM(K8,R8,W8,AB8,AG8,AL8,AQ8))))))))</f>
        <v>35</v>
      </c>
      <c r="AT8" s="91">
        <f>IF(AS8="F","F", IF(AS8&gt;=35,5,IF(AS8&lt;35,AS8/7)))</f>
        <v>5</v>
      </c>
      <c r="AU8" s="72">
        <f t="shared" ref="AU8:AU43" si="3">J8+Q8+V8+AA8+AF8+AK8+AP8</f>
        <v>740</v>
      </c>
      <c r="AV8" s="77">
        <v>1</v>
      </c>
      <c r="AW8" s="73"/>
      <c r="AX8" s="73" t="str">
        <f t="shared" ref="AX8:AX71" si="4">IF(AT8="F","NEED TO PROGRESS",IF(AT8&gt;=5,"BEST",IF(AT8&gt;=4,"BETTER",IF(AT8&gt;2,"GOOD"))))</f>
        <v>BEST</v>
      </c>
      <c r="AY8" s="83">
        <f>'1st_Semester'!AU8</f>
        <v>726</v>
      </c>
      <c r="AZ8" s="58">
        <f>'2nd_Semester'!AU8</f>
        <v>742</v>
      </c>
      <c r="BA8" s="83">
        <f>AU8</f>
        <v>740</v>
      </c>
      <c r="BB8" s="84">
        <f>SUM(AY8:BA8)/3</f>
        <v>736</v>
      </c>
      <c r="BC8" s="82"/>
    </row>
    <row r="9" spans="1:55" s="38" customFormat="1" ht="15">
      <c r="A9" s="59">
        <v>2</v>
      </c>
      <c r="B9" s="88">
        <v>2</v>
      </c>
      <c r="C9" s="85" t="s">
        <v>98</v>
      </c>
      <c r="D9" s="85" t="s">
        <v>99</v>
      </c>
      <c r="E9" s="85" t="s">
        <v>100</v>
      </c>
      <c r="F9" s="71">
        <v>20</v>
      </c>
      <c r="G9" s="71">
        <v>80</v>
      </c>
      <c r="H9" s="71">
        <v>10</v>
      </c>
      <c r="I9" s="71">
        <v>38</v>
      </c>
      <c r="J9" s="71">
        <f t="shared" ref="J9:J42" si="5">I9+H9+G9+F9</f>
        <v>148</v>
      </c>
      <c r="K9" s="81">
        <f t="shared" ref="K9:K72" si="6">IF(J9&lt;60,"F",IF(J9&lt;75,2,IF(J9&lt;90,3,IF(J9&lt;105,3.5,IF(J9&lt;120,4,5)))))</f>
        <v>5</v>
      </c>
      <c r="L9" s="213"/>
      <c r="M9" s="71">
        <v>20</v>
      </c>
      <c r="N9" s="71">
        <v>78</v>
      </c>
      <c r="O9" s="71">
        <v>10</v>
      </c>
      <c r="P9" s="71">
        <v>40</v>
      </c>
      <c r="Q9" s="71">
        <f t="shared" si="0"/>
        <v>148</v>
      </c>
      <c r="R9" s="81">
        <f t="shared" ref="R9:R43" si="7">IF(Q9&lt;60,"F",IF(Q9&lt;75,2,IF(Q9&lt;90,3,IF(Q9&lt;105,3.5,IF(Q9&lt;120,4,5)))))</f>
        <v>5</v>
      </c>
      <c r="S9" s="213"/>
      <c r="T9" s="71">
        <v>20</v>
      </c>
      <c r="U9" s="71">
        <v>75</v>
      </c>
      <c r="V9" s="71">
        <f t="shared" ref="V9:V43" si="8">SUM(T9+U9)</f>
        <v>95</v>
      </c>
      <c r="W9" s="81">
        <f t="shared" ref="W9:W43" si="9">IF(V9&lt;40,"F",IF(V9&lt;50,2,IF(V9&lt;60,3,IF(V9&lt;70,3.5,IF(V9&lt;80,4,5)))))</f>
        <v>5</v>
      </c>
      <c r="X9" s="213"/>
      <c r="Y9" s="71">
        <v>20</v>
      </c>
      <c r="Z9" s="71">
        <v>79</v>
      </c>
      <c r="AA9" s="71">
        <f t="shared" ref="AA9:AA72" si="10">Y9+Z9</f>
        <v>99</v>
      </c>
      <c r="AB9" s="81">
        <f t="shared" ref="AB9:AB43" si="11">IF(AA9&lt;40,"F",IF(AA9&lt;50,2,IF(AA9&lt;60,3,IF(AA9&lt;70,3.5,IF(AA9&lt;80,4,5)))))</f>
        <v>5</v>
      </c>
      <c r="AC9" s="213"/>
      <c r="AD9" s="71">
        <v>20</v>
      </c>
      <c r="AE9" s="71">
        <v>77</v>
      </c>
      <c r="AF9" s="71">
        <f t="shared" si="1"/>
        <v>97</v>
      </c>
      <c r="AG9" s="81">
        <f t="shared" ref="AG9:AG43" si="12">IF(AF9&lt;40,"F",IF(AF9&lt;50,2,IF(AF9&lt;60,3,IF(AF9&lt;70,3.5,IF(AF9&lt;80,4,5)))))</f>
        <v>5</v>
      </c>
      <c r="AH9" s="213"/>
      <c r="AI9" s="71">
        <v>20</v>
      </c>
      <c r="AJ9" s="71">
        <v>74</v>
      </c>
      <c r="AK9" s="71">
        <f t="shared" si="2"/>
        <v>94</v>
      </c>
      <c r="AL9" s="81">
        <f t="shared" ref="AL9:AL43" si="13">IF(AK9&lt;40,"F",IF(AK9&lt;50,2,IF(AK9&lt;60,3,IF(AK9&lt;70,3.5,IF(AK9&lt;80,4,5)))))</f>
        <v>5</v>
      </c>
      <c r="AM9" s="213"/>
      <c r="AN9" s="54">
        <v>0</v>
      </c>
      <c r="AO9" s="71">
        <v>49</v>
      </c>
      <c r="AP9" s="72">
        <f t="shared" ref="AP9:AP43" si="14">AO9</f>
        <v>49</v>
      </c>
      <c r="AQ9" s="81">
        <f t="shared" ref="AQ9:AQ43" si="15">IF(AP9&lt;20,"F",IF(AP9&lt;25,2,IF(AP9&lt;30,3,IF(AP9&lt;35,3.5,IF(AP9&lt;40,4,5)))))</f>
        <v>5</v>
      </c>
      <c r="AR9" s="213"/>
      <c r="AS9" s="54">
        <f t="shared" ref="AS9:AS72" si="16">IF(K9="F","F",IF(R9="F","F",IF(W9="F","F",IF(AB9="F","F",IF(AG9="F","F",IF(AL9="F","F",IF(AQ9="F","F",SUM(K9,R9,W9,AB9,AG9,AL9,AQ9))))))))</f>
        <v>35</v>
      </c>
      <c r="AT9" s="91">
        <f t="shared" ref="AT9:AT43" si="17">IF(AS9="F","F", IF(AS9&gt;=35,5,IF(AS9&lt;35,AS9/7)))</f>
        <v>5</v>
      </c>
      <c r="AU9" s="72">
        <f t="shared" si="3"/>
        <v>730</v>
      </c>
      <c r="AV9" s="77">
        <v>3</v>
      </c>
      <c r="AW9" s="73"/>
      <c r="AX9" s="73" t="str">
        <f t="shared" si="4"/>
        <v>BEST</v>
      </c>
      <c r="AY9" s="83">
        <f>'1st_Semester'!AU9</f>
        <v>720</v>
      </c>
      <c r="AZ9" s="58">
        <f>'2nd_Semester'!AU9</f>
        <v>727</v>
      </c>
      <c r="BA9" s="83">
        <f t="shared" ref="BA9:BA72" si="18">AU9</f>
        <v>730</v>
      </c>
      <c r="BB9" s="84">
        <f t="shared" ref="BB9:BB72" si="19">SUM(AY9:BA9)/3</f>
        <v>725.66666666666663</v>
      </c>
      <c r="BC9" s="82"/>
    </row>
    <row r="10" spans="1:55" s="38" customFormat="1" ht="14.1" customHeight="1">
      <c r="A10" s="59">
        <v>3</v>
      </c>
      <c r="B10" s="127">
        <v>4</v>
      </c>
      <c r="C10" s="103" t="s">
        <v>101</v>
      </c>
      <c r="D10" s="103" t="s">
        <v>102</v>
      </c>
      <c r="E10" s="103" t="s">
        <v>103</v>
      </c>
      <c r="F10" s="71">
        <v>20</v>
      </c>
      <c r="G10" s="71">
        <v>78</v>
      </c>
      <c r="H10" s="71">
        <v>10</v>
      </c>
      <c r="I10" s="71">
        <v>40</v>
      </c>
      <c r="J10" s="71">
        <f t="shared" si="5"/>
        <v>148</v>
      </c>
      <c r="K10" s="81">
        <f t="shared" si="6"/>
        <v>5</v>
      </c>
      <c r="L10" s="213"/>
      <c r="M10" s="71">
        <v>19</v>
      </c>
      <c r="N10" s="71">
        <v>77</v>
      </c>
      <c r="O10" s="71">
        <v>10</v>
      </c>
      <c r="P10" s="71">
        <v>39</v>
      </c>
      <c r="Q10" s="71">
        <f t="shared" si="0"/>
        <v>145</v>
      </c>
      <c r="R10" s="81">
        <f t="shared" si="7"/>
        <v>5</v>
      </c>
      <c r="S10" s="213"/>
      <c r="T10" s="71">
        <v>20</v>
      </c>
      <c r="U10" s="71">
        <v>76</v>
      </c>
      <c r="V10" s="71">
        <f t="shared" si="8"/>
        <v>96</v>
      </c>
      <c r="W10" s="81">
        <f t="shared" si="9"/>
        <v>5</v>
      </c>
      <c r="X10" s="213"/>
      <c r="Y10" s="71">
        <v>20</v>
      </c>
      <c r="Z10" s="71">
        <v>80</v>
      </c>
      <c r="AA10" s="71">
        <f t="shared" si="10"/>
        <v>100</v>
      </c>
      <c r="AB10" s="81">
        <f t="shared" si="11"/>
        <v>5</v>
      </c>
      <c r="AC10" s="213"/>
      <c r="AD10" s="71">
        <v>19</v>
      </c>
      <c r="AE10" s="71">
        <v>75</v>
      </c>
      <c r="AF10" s="71">
        <f t="shared" si="1"/>
        <v>94</v>
      </c>
      <c r="AG10" s="81">
        <f t="shared" si="12"/>
        <v>5</v>
      </c>
      <c r="AH10" s="213"/>
      <c r="AI10" s="71">
        <v>20</v>
      </c>
      <c r="AJ10" s="71">
        <v>78</v>
      </c>
      <c r="AK10" s="71">
        <f t="shared" si="2"/>
        <v>98</v>
      </c>
      <c r="AL10" s="81">
        <f t="shared" si="13"/>
        <v>5</v>
      </c>
      <c r="AM10" s="213"/>
      <c r="AN10" s="54">
        <v>0</v>
      </c>
      <c r="AO10" s="71">
        <v>49</v>
      </c>
      <c r="AP10" s="72">
        <f t="shared" si="14"/>
        <v>49</v>
      </c>
      <c r="AQ10" s="81">
        <f t="shared" si="15"/>
        <v>5</v>
      </c>
      <c r="AR10" s="213"/>
      <c r="AS10" s="54">
        <f t="shared" si="16"/>
        <v>35</v>
      </c>
      <c r="AT10" s="91">
        <f t="shared" si="17"/>
        <v>5</v>
      </c>
      <c r="AU10" s="72">
        <f t="shared" si="3"/>
        <v>730</v>
      </c>
      <c r="AV10" s="77">
        <v>4</v>
      </c>
      <c r="AW10" s="73"/>
      <c r="AX10" s="73" t="str">
        <f t="shared" si="4"/>
        <v>BEST</v>
      </c>
      <c r="AY10" s="83">
        <f>'1st_Semester'!AU10</f>
        <v>717</v>
      </c>
      <c r="AZ10" s="58">
        <f>'2nd_Semester'!AU10</f>
        <v>722</v>
      </c>
      <c r="BA10" s="83">
        <f t="shared" si="18"/>
        <v>730</v>
      </c>
      <c r="BB10" s="84">
        <f t="shared" si="19"/>
        <v>723</v>
      </c>
      <c r="BC10" s="82"/>
    </row>
    <row r="11" spans="1:55" s="38" customFormat="1" ht="15">
      <c r="A11" s="59">
        <v>4</v>
      </c>
      <c r="B11" s="127">
        <v>5</v>
      </c>
      <c r="C11" s="103" t="s">
        <v>104</v>
      </c>
      <c r="D11" s="103" t="s">
        <v>105</v>
      </c>
      <c r="E11" s="103" t="s">
        <v>106</v>
      </c>
      <c r="F11" s="71">
        <v>0</v>
      </c>
      <c r="G11" s="71">
        <v>0</v>
      </c>
      <c r="H11" s="71">
        <v>0</v>
      </c>
      <c r="I11" s="71">
        <v>0</v>
      </c>
      <c r="J11" s="71">
        <v>0</v>
      </c>
      <c r="K11" s="81" t="str">
        <f t="shared" si="6"/>
        <v>F</v>
      </c>
      <c r="L11" s="213"/>
      <c r="M11" s="71">
        <v>5</v>
      </c>
      <c r="N11" s="71">
        <v>0</v>
      </c>
      <c r="O11" s="71">
        <v>0</v>
      </c>
      <c r="P11" s="71"/>
      <c r="Q11" s="71">
        <f t="shared" si="0"/>
        <v>5</v>
      </c>
      <c r="R11" s="81" t="str">
        <f t="shared" si="7"/>
        <v>F</v>
      </c>
      <c r="S11" s="213"/>
      <c r="T11" s="71">
        <v>0</v>
      </c>
      <c r="U11" s="71">
        <v>0</v>
      </c>
      <c r="V11" s="71">
        <f t="shared" si="8"/>
        <v>0</v>
      </c>
      <c r="W11" s="81" t="str">
        <f t="shared" si="9"/>
        <v>F</v>
      </c>
      <c r="X11" s="213"/>
      <c r="Y11" s="71">
        <v>0</v>
      </c>
      <c r="Z11" s="71">
        <v>0</v>
      </c>
      <c r="AA11" s="71">
        <f t="shared" si="10"/>
        <v>0</v>
      </c>
      <c r="AB11" s="81" t="str">
        <f t="shared" si="11"/>
        <v>F</v>
      </c>
      <c r="AC11" s="213"/>
      <c r="AD11" s="71">
        <v>0</v>
      </c>
      <c r="AE11" s="71">
        <v>0</v>
      </c>
      <c r="AF11" s="71">
        <f t="shared" si="1"/>
        <v>0</v>
      </c>
      <c r="AG11" s="81" t="str">
        <f t="shared" si="12"/>
        <v>F</v>
      </c>
      <c r="AH11" s="213"/>
      <c r="AI11" s="71">
        <v>0</v>
      </c>
      <c r="AJ11" s="71">
        <v>0</v>
      </c>
      <c r="AK11" s="71">
        <f t="shared" si="2"/>
        <v>0</v>
      </c>
      <c r="AL11" s="81" t="str">
        <f t="shared" si="13"/>
        <v>F</v>
      </c>
      <c r="AM11" s="213"/>
      <c r="AN11" s="54">
        <v>0</v>
      </c>
      <c r="AO11" s="71">
        <v>0</v>
      </c>
      <c r="AP11" s="72">
        <f t="shared" si="14"/>
        <v>0</v>
      </c>
      <c r="AQ11" s="81" t="str">
        <f t="shared" si="15"/>
        <v>F</v>
      </c>
      <c r="AR11" s="213"/>
      <c r="AS11" s="54" t="str">
        <f t="shared" si="16"/>
        <v>F</v>
      </c>
      <c r="AT11" s="91" t="str">
        <f t="shared" si="17"/>
        <v>F</v>
      </c>
      <c r="AU11" s="72">
        <f t="shared" si="3"/>
        <v>5</v>
      </c>
      <c r="AV11" s="77">
        <v>0</v>
      </c>
      <c r="AW11" s="73"/>
      <c r="AX11" s="73" t="str">
        <f t="shared" si="4"/>
        <v>NEED TO PROGRESS</v>
      </c>
      <c r="AY11" s="83">
        <f>'1st_Semester'!AU11</f>
        <v>679</v>
      </c>
      <c r="AZ11" s="58">
        <f>'2nd_Semester'!AU11</f>
        <v>136</v>
      </c>
      <c r="BA11" s="83">
        <f t="shared" si="18"/>
        <v>5</v>
      </c>
      <c r="BB11" s="84">
        <f t="shared" si="19"/>
        <v>273.33333333333331</v>
      </c>
      <c r="BC11" s="82"/>
    </row>
    <row r="12" spans="1:55" s="38" customFormat="1" ht="14.1" customHeight="1">
      <c r="A12" s="59">
        <v>5</v>
      </c>
      <c r="B12" s="127">
        <v>6</v>
      </c>
      <c r="C12" s="103" t="s">
        <v>107</v>
      </c>
      <c r="D12" s="103" t="s">
        <v>108</v>
      </c>
      <c r="E12" s="103" t="s">
        <v>109</v>
      </c>
      <c r="F12" s="71">
        <v>20</v>
      </c>
      <c r="G12" s="71">
        <v>79</v>
      </c>
      <c r="H12" s="71">
        <v>10</v>
      </c>
      <c r="I12" s="71">
        <v>40</v>
      </c>
      <c r="J12" s="71">
        <f t="shared" si="5"/>
        <v>149</v>
      </c>
      <c r="K12" s="81">
        <f t="shared" si="6"/>
        <v>5</v>
      </c>
      <c r="L12" s="213"/>
      <c r="M12" s="71">
        <v>20</v>
      </c>
      <c r="N12" s="71">
        <v>78</v>
      </c>
      <c r="O12" s="71">
        <v>10</v>
      </c>
      <c r="P12" s="71">
        <v>38</v>
      </c>
      <c r="Q12" s="71">
        <f t="shared" si="0"/>
        <v>146</v>
      </c>
      <c r="R12" s="81">
        <f t="shared" si="7"/>
        <v>5</v>
      </c>
      <c r="S12" s="213"/>
      <c r="T12" s="71">
        <v>16</v>
      </c>
      <c r="U12" s="71">
        <v>58</v>
      </c>
      <c r="V12" s="71">
        <f t="shared" si="8"/>
        <v>74</v>
      </c>
      <c r="W12" s="81">
        <f t="shared" si="9"/>
        <v>4</v>
      </c>
      <c r="X12" s="213"/>
      <c r="Y12" s="71">
        <v>20</v>
      </c>
      <c r="Z12" s="71">
        <v>80</v>
      </c>
      <c r="AA12" s="71">
        <f t="shared" si="10"/>
        <v>100</v>
      </c>
      <c r="AB12" s="81">
        <f t="shared" si="11"/>
        <v>5</v>
      </c>
      <c r="AC12" s="213"/>
      <c r="AD12" s="71">
        <v>20</v>
      </c>
      <c r="AE12" s="71">
        <v>78</v>
      </c>
      <c r="AF12" s="71">
        <f t="shared" si="1"/>
        <v>98</v>
      </c>
      <c r="AG12" s="81">
        <f t="shared" si="12"/>
        <v>5</v>
      </c>
      <c r="AH12" s="213"/>
      <c r="AI12" s="71">
        <v>20</v>
      </c>
      <c r="AJ12" s="71">
        <v>70</v>
      </c>
      <c r="AK12" s="71">
        <f t="shared" si="2"/>
        <v>90</v>
      </c>
      <c r="AL12" s="81">
        <f t="shared" si="13"/>
        <v>5</v>
      </c>
      <c r="AM12" s="213"/>
      <c r="AN12" s="54">
        <v>0</v>
      </c>
      <c r="AO12" s="71">
        <v>49</v>
      </c>
      <c r="AP12" s="72">
        <f t="shared" si="14"/>
        <v>49</v>
      </c>
      <c r="AQ12" s="81">
        <f t="shared" si="15"/>
        <v>5</v>
      </c>
      <c r="AR12" s="213"/>
      <c r="AS12" s="54">
        <f t="shared" si="16"/>
        <v>34</v>
      </c>
      <c r="AT12" s="91">
        <f t="shared" si="17"/>
        <v>4.8571428571428568</v>
      </c>
      <c r="AU12" s="72">
        <f t="shared" si="3"/>
        <v>706</v>
      </c>
      <c r="AV12" s="77">
        <v>6</v>
      </c>
      <c r="AW12" s="73"/>
      <c r="AX12" s="73" t="str">
        <f t="shared" si="4"/>
        <v>BETTER</v>
      </c>
      <c r="AY12" s="83">
        <f>'1st_Semester'!AU12</f>
        <v>693</v>
      </c>
      <c r="AZ12" s="58">
        <f>'2nd_Semester'!AU12</f>
        <v>709</v>
      </c>
      <c r="BA12" s="83">
        <f t="shared" si="18"/>
        <v>706</v>
      </c>
      <c r="BB12" s="84">
        <f t="shared" si="19"/>
        <v>702.66666666666663</v>
      </c>
      <c r="BC12" s="82"/>
    </row>
    <row r="13" spans="1:55" s="38" customFormat="1" ht="14.1" customHeight="1">
      <c r="A13" s="59">
        <v>6</v>
      </c>
      <c r="B13" s="127">
        <v>8</v>
      </c>
      <c r="C13" s="103" t="s">
        <v>110</v>
      </c>
      <c r="D13" s="103" t="s">
        <v>111</v>
      </c>
      <c r="E13" s="103" t="s">
        <v>112</v>
      </c>
      <c r="F13" s="71">
        <v>20</v>
      </c>
      <c r="G13" s="71">
        <v>79</v>
      </c>
      <c r="H13" s="71">
        <v>10</v>
      </c>
      <c r="I13" s="71">
        <v>37</v>
      </c>
      <c r="J13" s="71">
        <f t="shared" si="5"/>
        <v>146</v>
      </c>
      <c r="K13" s="81">
        <f t="shared" si="6"/>
        <v>5</v>
      </c>
      <c r="L13" s="213"/>
      <c r="M13" s="71">
        <v>20</v>
      </c>
      <c r="N13" s="71">
        <v>77</v>
      </c>
      <c r="O13" s="71">
        <v>10</v>
      </c>
      <c r="P13" s="71">
        <v>39</v>
      </c>
      <c r="Q13" s="71">
        <f t="shared" si="0"/>
        <v>146</v>
      </c>
      <c r="R13" s="81">
        <f t="shared" si="7"/>
        <v>5</v>
      </c>
      <c r="S13" s="213"/>
      <c r="T13" s="71">
        <v>19</v>
      </c>
      <c r="U13" s="71">
        <v>70</v>
      </c>
      <c r="V13" s="71">
        <f t="shared" si="8"/>
        <v>89</v>
      </c>
      <c r="W13" s="81">
        <f t="shared" si="9"/>
        <v>5</v>
      </c>
      <c r="X13" s="213"/>
      <c r="Y13" s="71">
        <v>20</v>
      </c>
      <c r="Z13" s="71">
        <v>79</v>
      </c>
      <c r="AA13" s="71">
        <f t="shared" si="10"/>
        <v>99</v>
      </c>
      <c r="AB13" s="81">
        <f t="shared" si="11"/>
        <v>5</v>
      </c>
      <c r="AC13" s="213"/>
      <c r="AD13" s="71">
        <v>19</v>
      </c>
      <c r="AE13" s="71">
        <v>73</v>
      </c>
      <c r="AF13" s="71">
        <f t="shared" si="1"/>
        <v>92</v>
      </c>
      <c r="AG13" s="81">
        <f t="shared" si="12"/>
        <v>5</v>
      </c>
      <c r="AH13" s="213"/>
      <c r="AI13" s="71">
        <v>20</v>
      </c>
      <c r="AJ13" s="71">
        <v>62</v>
      </c>
      <c r="AK13" s="71">
        <f t="shared" si="2"/>
        <v>82</v>
      </c>
      <c r="AL13" s="81">
        <f t="shared" si="13"/>
        <v>5</v>
      </c>
      <c r="AM13" s="213"/>
      <c r="AN13" s="54">
        <v>0</v>
      </c>
      <c r="AO13" s="71">
        <v>45</v>
      </c>
      <c r="AP13" s="72">
        <f t="shared" si="14"/>
        <v>45</v>
      </c>
      <c r="AQ13" s="81">
        <f t="shared" si="15"/>
        <v>5</v>
      </c>
      <c r="AR13" s="213"/>
      <c r="AS13" s="54">
        <f t="shared" si="16"/>
        <v>35</v>
      </c>
      <c r="AT13" s="91">
        <f t="shared" si="17"/>
        <v>5</v>
      </c>
      <c r="AU13" s="72">
        <f t="shared" si="3"/>
        <v>699</v>
      </c>
      <c r="AV13" s="77">
        <v>7</v>
      </c>
      <c r="AW13" s="73"/>
      <c r="AX13" s="73" t="str">
        <f t="shared" si="4"/>
        <v>BEST</v>
      </c>
      <c r="AY13" s="83">
        <f>'1st_Semester'!AU13</f>
        <v>690</v>
      </c>
      <c r="AZ13" s="58">
        <f>'2nd_Semester'!AU13</f>
        <v>710</v>
      </c>
      <c r="BA13" s="83">
        <f t="shared" si="18"/>
        <v>699</v>
      </c>
      <c r="BB13" s="84">
        <f t="shared" si="19"/>
        <v>699.66666666666663</v>
      </c>
      <c r="BC13" s="82"/>
    </row>
    <row r="14" spans="1:55" s="38" customFormat="1" ht="14.1" customHeight="1">
      <c r="A14" s="59">
        <v>7</v>
      </c>
      <c r="B14" s="127">
        <v>11</v>
      </c>
      <c r="C14" s="103" t="s">
        <v>113</v>
      </c>
      <c r="D14" s="103" t="s">
        <v>114</v>
      </c>
      <c r="E14" s="103" t="s">
        <v>115</v>
      </c>
      <c r="F14" s="71">
        <v>19</v>
      </c>
      <c r="G14" s="71">
        <v>78</v>
      </c>
      <c r="H14" s="71">
        <v>10</v>
      </c>
      <c r="I14" s="71">
        <v>38</v>
      </c>
      <c r="J14" s="71">
        <f t="shared" si="5"/>
        <v>145</v>
      </c>
      <c r="K14" s="81">
        <f t="shared" si="6"/>
        <v>5</v>
      </c>
      <c r="L14" s="213"/>
      <c r="M14" s="71">
        <v>19</v>
      </c>
      <c r="N14" s="71">
        <v>66</v>
      </c>
      <c r="O14" s="71">
        <v>10</v>
      </c>
      <c r="P14" s="71">
        <v>39</v>
      </c>
      <c r="Q14" s="71">
        <f t="shared" si="0"/>
        <v>134</v>
      </c>
      <c r="R14" s="81">
        <f t="shared" si="7"/>
        <v>5</v>
      </c>
      <c r="S14" s="213"/>
      <c r="T14" s="71">
        <v>18</v>
      </c>
      <c r="U14" s="71">
        <v>62</v>
      </c>
      <c r="V14" s="71">
        <f t="shared" si="8"/>
        <v>80</v>
      </c>
      <c r="W14" s="81">
        <f t="shared" si="9"/>
        <v>5</v>
      </c>
      <c r="X14" s="213"/>
      <c r="Y14" s="71">
        <v>20</v>
      </c>
      <c r="Z14" s="71">
        <v>77</v>
      </c>
      <c r="AA14" s="71">
        <f t="shared" si="10"/>
        <v>97</v>
      </c>
      <c r="AB14" s="81">
        <f t="shared" si="11"/>
        <v>5</v>
      </c>
      <c r="AC14" s="213"/>
      <c r="AD14" s="71">
        <v>18</v>
      </c>
      <c r="AE14" s="71">
        <v>70</v>
      </c>
      <c r="AF14" s="71">
        <f t="shared" si="1"/>
        <v>88</v>
      </c>
      <c r="AG14" s="81">
        <f t="shared" si="12"/>
        <v>5</v>
      </c>
      <c r="AH14" s="213"/>
      <c r="AI14" s="71">
        <v>20</v>
      </c>
      <c r="AJ14" s="71">
        <v>65</v>
      </c>
      <c r="AK14" s="71">
        <f t="shared" si="2"/>
        <v>85</v>
      </c>
      <c r="AL14" s="81">
        <f t="shared" si="13"/>
        <v>5</v>
      </c>
      <c r="AM14" s="213"/>
      <c r="AN14" s="54">
        <v>0</v>
      </c>
      <c r="AO14" s="71">
        <v>49</v>
      </c>
      <c r="AP14" s="72">
        <f t="shared" si="14"/>
        <v>49</v>
      </c>
      <c r="AQ14" s="81">
        <f t="shared" si="15"/>
        <v>5</v>
      </c>
      <c r="AR14" s="213"/>
      <c r="AS14" s="54">
        <f t="shared" si="16"/>
        <v>35</v>
      </c>
      <c r="AT14" s="91">
        <f t="shared" si="17"/>
        <v>5</v>
      </c>
      <c r="AU14" s="72">
        <f t="shared" si="3"/>
        <v>678</v>
      </c>
      <c r="AV14" s="77">
        <v>20</v>
      </c>
      <c r="AW14" s="73"/>
      <c r="AX14" s="73" t="str">
        <f t="shared" si="4"/>
        <v>BEST</v>
      </c>
      <c r="AY14" s="83">
        <f>'1st_Semester'!AU14</f>
        <v>607</v>
      </c>
      <c r="AZ14" s="58">
        <f>'2nd_Semester'!AU14</f>
        <v>648</v>
      </c>
      <c r="BA14" s="83">
        <f t="shared" si="18"/>
        <v>678</v>
      </c>
      <c r="BB14" s="84">
        <f t="shared" si="19"/>
        <v>644.33333333333337</v>
      </c>
      <c r="BC14" s="82"/>
    </row>
    <row r="15" spans="1:55" s="38" customFormat="1" ht="15">
      <c r="A15" s="59">
        <v>8</v>
      </c>
      <c r="B15" s="127">
        <v>13</v>
      </c>
      <c r="C15" s="103" t="s">
        <v>116</v>
      </c>
      <c r="D15" s="103" t="s">
        <v>117</v>
      </c>
      <c r="E15" s="103" t="s">
        <v>118</v>
      </c>
      <c r="F15" s="71">
        <v>0</v>
      </c>
      <c r="G15" s="71">
        <v>0</v>
      </c>
      <c r="H15" s="71">
        <v>0</v>
      </c>
      <c r="I15" s="71">
        <v>0</v>
      </c>
      <c r="J15" s="71">
        <f t="shared" si="5"/>
        <v>0</v>
      </c>
      <c r="K15" s="81" t="str">
        <f t="shared" si="6"/>
        <v>F</v>
      </c>
      <c r="L15" s="213"/>
      <c r="M15" s="71">
        <v>5</v>
      </c>
      <c r="N15" s="71">
        <v>0</v>
      </c>
      <c r="O15" s="71">
        <v>0</v>
      </c>
      <c r="P15" s="71"/>
      <c r="Q15" s="71">
        <f t="shared" si="0"/>
        <v>5</v>
      </c>
      <c r="R15" s="81" t="str">
        <f t="shared" si="7"/>
        <v>F</v>
      </c>
      <c r="S15" s="213"/>
      <c r="T15" s="71">
        <v>0</v>
      </c>
      <c r="U15" s="71">
        <v>0</v>
      </c>
      <c r="V15" s="71">
        <f t="shared" si="8"/>
        <v>0</v>
      </c>
      <c r="W15" s="81" t="str">
        <f t="shared" si="9"/>
        <v>F</v>
      </c>
      <c r="X15" s="213"/>
      <c r="Y15" s="71">
        <v>0</v>
      </c>
      <c r="Z15" s="71">
        <v>0</v>
      </c>
      <c r="AA15" s="71">
        <f t="shared" si="10"/>
        <v>0</v>
      </c>
      <c r="AB15" s="81" t="str">
        <f t="shared" si="11"/>
        <v>F</v>
      </c>
      <c r="AC15" s="213"/>
      <c r="AD15" s="71">
        <v>0</v>
      </c>
      <c r="AE15" s="71">
        <v>0</v>
      </c>
      <c r="AF15" s="71">
        <f t="shared" si="1"/>
        <v>0</v>
      </c>
      <c r="AG15" s="81" t="str">
        <f t="shared" si="12"/>
        <v>F</v>
      </c>
      <c r="AH15" s="213"/>
      <c r="AI15" s="71">
        <v>0</v>
      </c>
      <c r="AJ15" s="71">
        <v>0</v>
      </c>
      <c r="AK15" s="71">
        <f t="shared" si="2"/>
        <v>0</v>
      </c>
      <c r="AL15" s="81" t="str">
        <f t="shared" si="13"/>
        <v>F</v>
      </c>
      <c r="AM15" s="213"/>
      <c r="AN15" s="54">
        <v>0</v>
      </c>
      <c r="AO15" s="71">
        <v>0</v>
      </c>
      <c r="AP15" s="72">
        <f t="shared" si="14"/>
        <v>0</v>
      </c>
      <c r="AQ15" s="81" t="str">
        <f t="shared" si="15"/>
        <v>F</v>
      </c>
      <c r="AR15" s="213"/>
      <c r="AS15" s="54" t="str">
        <f t="shared" si="16"/>
        <v>F</v>
      </c>
      <c r="AT15" s="91" t="str">
        <f t="shared" si="17"/>
        <v>F</v>
      </c>
      <c r="AU15" s="72">
        <f t="shared" si="3"/>
        <v>5</v>
      </c>
      <c r="AV15" s="77">
        <v>0</v>
      </c>
      <c r="AW15" s="73"/>
      <c r="AX15" s="73" t="str">
        <f t="shared" si="4"/>
        <v>NEED TO PROGRESS</v>
      </c>
      <c r="AY15" s="83">
        <f>'1st_Semester'!AU15</f>
        <v>625</v>
      </c>
      <c r="AZ15" s="58">
        <f>'2nd_Semester'!AU15</f>
        <v>256</v>
      </c>
      <c r="BA15" s="83">
        <f t="shared" si="18"/>
        <v>5</v>
      </c>
      <c r="BB15" s="84">
        <f t="shared" si="19"/>
        <v>295.33333333333331</v>
      </c>
      <c r="BC15" s="82"/>
    </row>
    <row r="16" spans="1:55" s="38" customFormat="1" ht="15">
      <c r="A16" s="59">
        <v>9</v>
      </c>
      <c r="B16" s="127">
        <v>14</v>
      </c>
      <c r="C16" s="103" t="s">
        <v>119</v>
      </c>
      <c r="D16" s="103" t="s">
        <v>120</v>
      </c>
      <c r="E16" s="103" t="s">
        <v>121</v>
      </c>
      <c r="F16" s="71">
        <v>20</v>
      </c>
      <c r="G16" s="71">
        <v>80</v>
      </c>
      <c r="H16" s="71">
        <v>10</v>
      </c>
      <c r="I16" s="71">
        <v>40</v>
      </c>
      <c r="J16" s="71">
        <f t="shared" si="5"/>
        <v>150</v>
      </c>
      <c r="K16" s="81">
        <f t="shared" si="6"/>
        <v>5</v>
      </c>
      <c r="L16" s="213"/>
      <c r="M16" s="71">
        <v>19</v>
      </c>
      <c r="N16" s="71">
        <v>66</v>
      </c>
      <c r="O16" s="71">
        <v>10</v>
      </c>
      <c r="P16" s="71">
        <v>39</v>
      </c>
      <c r="Q16" s="71">
        <f t="shared" si="0"/>
        <v>134</v>
      </c>
      <c r="R16" s="81">
        <f t="shared" si="7"/>
        <v>5</v>
      </c>
      <c r="S16" s="213"/>
      <c r="T16" s="71">
        <v>16</v>
      </c>
      <c r="U16" s="71">
        <v>56</v>
      </c>
      <c r="V16" s="71">
        <f t="shared" si="8"/>
        <v>72</v>
      </c>
      <c r="W16" s="81">
        <f t="shared" si="9"/>
        <v>4</v>
      </c>
      <c r="X16" s="213"/>
      <c r="Y16" s="71">
        <v>20</v>
      </c>
      <c r="Z16" s="71">
        <v>80</v>
      </c>
      <c r="AA16" s="71">
        <f t="shared" si="10"/>
        <v>100</v>
      </c>
      <c r="AB16" s="81">
        <f t="shared" si="11"/>
        <v>5</v>
      </c>
      <c r="AC16" s="213"/>
      <c r="AD16" s="71">
        <v>20</v>
      </c>
      <c r="AE16" s="71">
        <v>75</v>
      </c>
      <c r="AF16" s="71">
        <f t="shared" si="1"/>
        <v>95</v>
      </c>
      <c r="AG16" s="81">
        <f t="shared" si="12"/>
        <v>5</v>
      </c>
      <c r="AH16" s="213"/>
      <c r="AI16" s="71">
        <v>19</v>
      </c>
      <c r="AJ16" s="71">
        <v>79</v>
      </c>
      <c r="AK16" s="71">
        <f t="shared" si="2"/>
        <v>98</v>
      </c>
      <c r="AL16" s="81">
        <f t="shared" si="13"/>
        <v>5</v>
      </c>
      <c r="AM16" s="213"/>
      <c r="AN16" s="54">
        <v>0</v>
      </c>
      <c r="AO16" s="71">
        <v>48</v>
      </c>
      <c r="AP16" s="72">
        <f t="shared" si="14"/>
        <v>48</v>
      </c>
      <c r="AQ16" s="81">
        <f t="shared" si="15"/>
        <v>5</v>
      </c>
      <c r="AR16" s="213"/>
      <c r="AS16" s="54">
        <f t="shared" si="16"/>
        <v>34</v>
      </c>
      <c r="AT16" s="91">
        <f t="shared" si="17"/>
        <v>4.8571428571428568</v>
      </c>
      <c r="AU16" s="72">
        <f t="shared" si="3"/>
        <v>697</v>
      </c>
      <c r="AV16" s="77">
        <v>16</v>
      </c>
      <c r="AW16" s="73"/>
      <c r="AX16" s="73" t="str">
        <f t="shared" si="4"/>
        <v>BETTER</v>
      </c>
      <c r="AY16" s="83">
        <f>'1st_Semester'!AU16</f>
        <v>645</v>
      </c>
      <c r="AZ16" s="58">
        <f>'2nd_Semester'!AU16</f>
        <v>640</v>
      </c>
      <c r="BA16" s="83">
        <f t="shared" si="18"/>
        <v>697</v>
      </c>
      <c r="BB16" s="84">
        <f t="shared" si="19"/>
        <v>660.66666666666663</v>
      </c>
      <c r="BC16" s="82"/>
    </row>
    <row r="17" spans="1:55" s="38" customFormat="1" ht="15">
      <c r="A17" s="59">
        <v>10</v>
      </c>
      <c r="B17" s="127">
        <v>16</v>
      </c>
      <c r="C17" s="103" t="s">
        <v>122</v>
      </c>
      <c r="D17" s="103" t="s">
        <v>123</v>
      </c>
      <c r="E17" s="103" t="s">
        <v>124</v>
      </c>
      <c r="F17" s="71">
        <v>20</v>
      </c>
      <c r="G17" s="71">
        <v>77</v>
      </c>
      <c r="H17" s="71">
        <v>10</v>
      </c>
      <c r="I17" s="71">
        <v>31</v>
      </c>
      <c r="J17" s="71">
        <f t="shared" ref="J17:J32" si="20">I17+H17+G17+F17</f>
        <v>138</v>
      </c>
      <c r="K17" s="81">
        <f t="shared" si="6"/>
        <v>5</v>
      </c>
      <c r="L17" s="213"/>
      <c r="M17" s="71">
        <v>17</v>
      </c>
      <c r="N17" s="71">
        <v>78</v>
      </c>
      <c r="O17" s="71">
        <v>9</v>
      </c>
      <c r="P17" s="71">
        <v>39</v>
      </c>
      <c r="Q17" s="71">
        <f t="shared" ref="Q17:Q29" si="21">M17+N17+O17+P17</f>
        <v>143</v>
      </c>
      <c r="R17" s="81">
        <f t="shared" ref="R17:R29" si="22">IF(Q17&lt;60,"F",IF(Q17&lt;75,2,IF(Q17&lt;90,3,IF(Q17&lt;105,3.5,IF(Q17&lt;120,4,5)))))</f>
        <v>5</v>
      </c>
      <c r="S17" s="213"/>
      <c r="T17" s="71">
        <v>19</v>
      </c>
      <c r="U17" s="71">
        <v>72</v>
      </c>
      <c r="V17" s="71">
        <f t="shared" ref="V17:V29" si="23">SUM(T17+U17)</f>
        <v>91</v>
      </c>
      <c r="W17" s="81">
        <f t="shared" ref="W17:W29" si="24">IF(V17&lt;40,"F",IF(V17&lt;50,2,IF(V17&lt;60,3,IF(V17&lt;70,3.5,IF(V17&lt;80,4,5)))))</f>
        <v>5</v>
      </c>
      <c r="X17" s="213"/>
      <c r="Y17" s="71">
        <v>20</v>
      </c>
      <c r="Z17" s="71">
        <v>72</v>
      </c>
      <c r="AA17" s="71">
        <f t="shared" ref="AA17:AA31" si="25">Y17+Z17</f>
        <v>92</v>
      </c>
      <c r="AB17" s="81">
        <f t="shared" ref="AB17:AB31" si="26">IF(AA17&lt;40,"F",IF(AA17&lt;50,2,IF(AA17&lt;60,3,IF(AA17&lt;70,3.5,IF(AA17&lt;80,4,5)))))</f>
        <v>5</v>
      </c>
      <c r="AC17" s="213"/>
      <c r="AD17" s="71">
        <v>19</v>
      </c>
      <c r="AE17" s="71">
        <v>74</v>
      </c>
      <c r="AF17" s="71">
        <f t="shared" ref="AF17:AF31" si="27">AD17+AE17</f>
        <v>93</v>
      </c>
      <c r="AG17" s="81">
        <f t="shared" ref="AG17:AG31" si="28">IF(AF17&lt;40,"F",IF(AF17&lt;50,2,IF(AF17&lt;60,3,IF(AF17&lt;70,3.5,IF(AF17&lt;80,4,5)))))</f>
        <v>5</v>
      </c>
      <c r="AH17" s="213"/>
      <c r="AI17" s="71">
        <v>20</v>
      </c>
      <c r="AJ17" s="71">
        <v>63</v>
      </c>
      <c r="AK17" s="71">
        <f t="shared" ref="AK17:AK31" si="29">AI17+AJ17</f>
        <v>83</v>
      </c>
      <c r="AL17" s="81">
        <f t="shared" ref="AL17:AL31" si="30">IF(AK17&lt;40,"F",IF(AK17&lt;50,2,IF(AK17&lt;60,3,IF(AK17&lt;70,3.5,IF(AK17&lt;80,4,5)))))</f>
        <v>5</v>
      </c>
      <c r="AM17" s="213"/>
      <c r="AN17" s="54">
        <v>0</v>
      </c>
      <c r="AO17" s="71">
        <v>46</v>
      </c>
      <c r="AP17" s="72">
        <f t="shared" ref="AP17:AP32" si="31">AO17</f>
        <v>46</v>
      </c>
      <c r="AQ17" s="81">
        <f t="shared" ref="AQ17:AQ32" si="32">IF(AP17&lt;20,"F",IF(AP17&lt;25,2,IF(AP17&lt;30,3,IF(AP17&lt;35,3.5,IF(AP17&lt;40,4,5)))))</f>
        <v>5</v>
      </c>
      <c r="AR17" s="213"/>
      <c r="AS17" s="54">
        <f t="shared" si="16"/>
        <v>35</v>
      </c>
      <c r="AT17" s="91">
        <f t="shared" ref="AT17:AT31" si="33">IF(AS17="F","F", IF(AS17&gt;=35,5,IF(AS17&lt;35,AS17/7)))</f>
        <v>5</v>
      </c>
      <c r="AU17" s="72">
        <f t="shared" ref="AU17:AU31" si="34">J17+Q17+V17+AA17+AF17+AK17+AP17</f>
        <v>686</v>
      </c>
      <c r="AV17" s="77">
        <v>13</v>
      </c>
      <c r="AW17" s="73"/>
      <c r="AX17" s="73" t="str">
        <f t="shared" si="4"/>
        <v>BEST</v>
      </c>
      <c r="AY17" s="83">
        <f>'1st_Semester'!AU17</f>
        <v>667</v>
      </c>
      <c r="AZ17" s="58">
        <f>'2nd_Semester'!AU17</f>
        <v>670</v>
      </c>
      <c r="BA17" s="83">
        <f t="shared" si="18"/>
        <v>686</v>
      </c>
      <c r="BB17" s="84">
        <f t="shared" si="19"/>
        <v>674.33333333333337</v>
      </c>
      <c r="BC17" s="82"/>
    </row>
    <row r="18" spans="1:55" s="38" customFormat="1" ht="15">
      <c r="A18" s="59">
        <v>11</v>
      </c>
      <c r="B18" s="127">
        <v>18</v>
      </c>
      <c r="C18" s="103" t="s">
        <v>125</v>
      </c>
      <c r="D18" s="103" t="s">
        <v>126</v>
      </c>
      <c r="E18" s="103" t="s">
        <v>127</v>
      </c>
      <c r="F18" s="71">
        <v>20</v>
      </c>
      <c r="G18" s="71">
        <v>77</v>
      </c>
      <c r="H18" s="71">
        <v>10</v>
      </c>
      <c r="I18" s="71">
        <v>34</v>
      </c>
      <c r="J18" s="71">
        <f t="shared" si="20"/>
        <v>141</v>
      </c>
      <c r="K18" s="81">
        <f t="shared" si="6"/>
        <v>5</v>
      </c>
      <c r="L18" s="213"/>
      <c r="M18" s="71">
        <v>19</v>
      </c>
      <c r="N18" s="71">
        <v>50</v>
      </c>
      <c r="O18" s="71">
        <v>10</v>
      </c>
      <c r="P18" s="71">
        <v>34</v>
      </c>
      <c r="Q18" s="71">
        <f t="shared" si="21"/>
        <v>113</v>
      </c>
      <c r="R18" s="81">
        <f t="shared" si="22"/>
        <v>4</v>
      </c>
      <c r="S18" s="213"/>
      <c r="T18" s="71">
        <v>15</v>
      </c>
      <c r="U18" s="71">
        <v>54</v>
      </c>
      <c r="V18" s="71">
        <f t="shared" si="23"/>
        <v>69</v>
      </c>
      <c r="W18" s="81">
        <f t="shared" si="24"/>
        <v>3.5</v>
      </c>
      <c r="X18" s="213"/>
      <c r="Y18" s="71">
        <v>20</v>
      </c>
      <c r="Z18" s="71">
        <v>69</v>
      </c>
      <c r="AA18" s="71">
        <f t="shared" si="25"/>
        <v>89</v>
      </c>
      <c r="AB18" s="81">
        <f t="shared" si="26"/>
        <v>5</v>
      </c>
      <c r="AC18" s="213"/>
      <c r="AD18" s="71">
        <v>19</v>
      </c>
      <c r="AE18" s="71">
        <v>71</v>
      </c>
      <c r="AF18" s="71">
        <f t="shared" si="27"/>
        <v>90</v>
      </c>
      <c r="AG18" s="81">
        <f t="shared" si="28"/>
        <v>5</v>
      </c>
      <c r="AH18" s="213"/>
      <c r="AI18" s="71">
        <v>19</v>
      </c>
      <c r="AJ18" s="71">
        <v>60</v>
      </c>
      <c r="AK18" s="71">
        <f t="shared" si="29"/>
        <v>79</v>
      </c>
      <c r="AL18" s="81">
        <f t="shared" si="30"/>
        <v>4</v>
      </c>
      <c r="AM18" s="213"/>
      <c r="AN18" s="54">
        <v>0</v>
      </c>
      <c r="AO18" s="71">
        <v>46</v>
      </c>
      <c r="AP18" s="72">
        <f t="shared" si="31"/>
        <v>46</v>
      </c>
      <c r="AQ18" s="81">
        <f t="shared" si="32"/>
        <v>5</v>
      </c>
      <c r="AR18" s="213"/>
      <c r="AS18" s="54">
        <f t="shared" si="16"/>
        <v>31.5</v>
      </c>
      <c r="AT18" s="91">
        <f t="shared" si="33"/>
        <v>4.5</v>
      </c>
      <c r="AU18" s="72">
        <f t="shared" si="34"/>
        <v>627</v>
      </c>
      <c r="AV18" s="77">
        <v>19</v>
      </c>
      <c r="AW18" s="73"/>
      <c r="AX18" s="73" t="str">
        <f t="shared" si="4"/>
        <v>BETTER</v>
      </c>
      <c r="AY18" s="83">
        <f>'1st_Semester'!AU18</f>
        <v>669</v>
      </c>
      <c r="AZ18" s="58">
        <f>'2nd_Semester'!AU18</f>
        <v>660</v>
      </c>
      <c r="BA18" s="83">
        <f t="shared" si="18"/>
        <v>627</v>
      </c>
      <c r="BB18" s="84">
        <f t="shared" si="19"/>
        <v>652</v>
      </c>
      <c r="BC18" s="82"/>
    </row>
    <row r="19" spans="1:55" s="38" customFormat="1" ht="15">
      <c r="A19" s="59">
        <v>12</v>
      </c>
      <c r="B19" s="127">
        <v>19</v>
      </c>
      <c r="C19" s="103" t="s">
        <v>128</v>
      </c>
      <c r="D19" s="103" t="s">
        <v>129</v>
      </c>
      <c r="E19" s="103" t="s">
        <v>130</v>
      </c>
      <c r="F19" s="71">
        <v>20</v>
      </c>
      <c r="G19" s="71">
        <v>79</v>
      </c>
      <c r="H19" s="71">
        <v>10</v>
      </c>
      <c r="I19" s="71">
        <v>39</v>
      </c>
      <c r="J19" s="71">
        <f t="shared" si="20"/>
        <v>148</v>
      </c>
      <c r="K19" s="81">
        <f t="shared" si="6"/>
        <v>5</v>
      </c>
      <c r="L19" s="213"/>
      <c r="M19" s="71">
        <v>19</v>
      </c>
      <c r="N19" s="71">
        <v>76</v>
      </c>
      <c r="O19" s="71">
        <v>10</v>
      </c>
      <c r="P19" s="71">
        <v>40</v>
      </c>
      <c r="Q19" s="71">
        <f t="shared" si="21"/>
        <v>145</v>
      </c>
      <c r="R19" s="81">
        <f t="shared" si="22"/>
        <v>5</v>
      </c>
      <c r="S19" s="213"/>
      <c r="T19" s="71">
        <v>20</v>
      </c>
      <c r="U19" s="71">
        <v>66</v>
      </c>
      <c r="V19" s="71">
        <f t="shared" si="23"/>
        <v>86</v>
      </c>
      <c r="W19" s="81">
        <f t="shared" si="24"/>
        <v>5</v>
      </c>
      <c r="X19" s="213"/>
      <c r="Y19" s="71">
        <v>20</v>
      </c>
      <c r="Z19" s="71">
        <v>78</v>
      </c>
      <c r="AA19" s="71">
        <f t="shared" si="25"/>
        <v>98</v>
      </c>
      <c r="AB19" s="81">
        <f t="shared" si="26"/>
        <v>5</v>
      </c>
      <c r="AC19" s="213"/>
      <c r="AD19" s="71">
        <v>19</v>
      </c>
      <c r="AE19" s="71">
        <v>73</v>
      </c>
      <c r="AF19" s="71">
        <f t="shared" si="27"/>
        <v>92</v>
      </c>
      <c r="AG19" s="81">
        <f t="shared" si="28"/>
        <v>5</v>
      </c>
      <c r="AH19" s="213"/>
      <c r="AI19" s="71">
        <v>19</v>
      </c>
      <c r="AJ19" s="71">
        <v>68</v>
      </c>
      <c r="AK19" s="71">
        <f t="shared" si="29"/>
        <v>87</v>
      </c>
      <c r="AL19" s="81">
        <f t="shared" si="30"/>
        <v>5</v>
      </c>
      <c r="AM19" s="213"/>
      <c r="AN19" s="54">
        <v>0</v>
      </c>
      <c r="AO19" s="71">
        <v>48</v>
      </c>
      <c r="AP19" s="72">
        <f t="shared" si="31"/>
        <v>48</v>
      </c>
      <c r="AQ19" s="81">
        <f t="shared" si="32"/>
        <v>5</v>
      </c>
      <c r="AR19" s="213"/>
      <c r="AS19" s="54">
        <f t="shared" si="16"/>
        <v>35</v>
      </c>
      <c r="AT19" s="91">
        <f t="shared" si="33"/>
        <v>5</v>
      </c>
      <c r="AU19" s="72">
        <f t="shared" si="34"/>
        <v>704</v>
      </c>
      <c r="AV19" s="77">
        <v>10</v>
      </c>
      <c r="AW19" s="73"/>
      <c r="AX19" s="73" t="str">
        <f t="shared" si="4"/>
        <v>BEST</v>
      </c>
      <c r="AY19" s="83">
        <f>'1st_Semester'!AU19</f>
        <v>623</v>
      </c>
      <c r="AZ19" s="58">
        <f>'2nd_Semester'!AU19</f>
        <v>712</v>
      </c>
      <c r="BA19" s="83">
        <f t="shared" si="18"/>
        <v>704</v>
      </c>
      <c r="BB19" s="84">
        <f t="shared" si="19"/>
        <v>679.66666666666663</v>
      </c>
      <c r="BC19" s="82"/>
    </row>
    <row r="20" spans="1:55" s="38" customFormat="1" ht="15">
      <c r="A20" s="59">
        <v>13</v>
      </c>
      <c r="B20" s="127">
        <v>20</v>
      </c>
      <c r="C20" s="103" t="s">
        <v>131</v>
      </c>
      <c r="D20" s="103" t="s">
        <v>132</v>
      </c>
      <c r="E20" s="103" t="s">
        <v>133</v>
      </c>
      <c r="F20" s="71">
        <v>20</v>
      </c>
      <c r="G20" s="71">
        <v>79</v>
      </c>
      <c r="H20" s="71">
        <v>10</v>
      </c>
      <c r="I20" s="71">
        <v>38</v>
      </c>
      <c r="J20" s="71">
        <f t="shared" si="20"/>
        <v>147</v>
      </c>
      <c r="K20" s="81">
        <f t="shared" si="6"/>
        <v>5</v>
      </c>
      <c r="L20" s="213"/>
      <c r="M20" s="71">
        <v>20</v>
      </c>
      <c r="N20" s="71">
        <v>73</v>
      </c>
      <c r="O20" s="71">
        <v>10</v>
      </c>
      <c r="P20" s="71">
        <v>38</v>
      </c>
      <c r="Q20" s="71">
        <f t="shared" si="21"/>
        <v>141</v>
      </c>
      <c r="R20" s="81">
        <f t="shared" si="22"/>
        <v>5</v>
      </c>
      <c r="S20" s="213"/>
      <c r="T20" s="71">
        <v>20</v>
      </c>
      <c r="U20" s="71">
        <v>56</v>
      </c>
      <c r="V20" s="71">
        <f t="shared" si="23"/>
        <v>76</v>
      </c>
      <c r="W20" s="81">
        <f t="shared" si="24"/>
        <v>4</v>
      </c>
      <c r="X20" s="213"/>
      <c r="Y20" s="71">
        <v>20</v>
      </c>
      <c r="Z20" s="71">
        <v>80</v>
      </c>
      <c r="AA20" s="71">
        <f t="shared" si="25"/>
        <v>100</v>
      </c>
      <c r="AB20" s="81">
        <f t="shared" si="26"/>
        <v>5</v>
      </c>
      <c r="AC20" s="213"/>
      <c r="AD20" s="71">
        <v>19</v>
      </c>
      <c r="AE20" s="71">
        <v>77</v>
      </c>
      <c r="AF20" s="71">
        <f t="shared" si="27"/>
        <v>96</v>
      </c>
      <c r="AG20" s="81">
        <f t="shared" si="28"/>
        <v>5</v>
      </c>
      <c r="AH20" s="213"/>
      <c r="AI20" s="71">
        <v>20</v>
      </c>
      <c r="AJ20" s="71">
        <v>73</v>
      </c>
      <c r="AK20" s="71">
        <f t="shared" si="29"/>
        <v>93</v>
      </c>
      <c r="AL20" s="81">
        <f t="shared" si="30"/>
        <v>5</v>
      </c>
      <c r="AM20" s="213"/>
      <c r="AN20" s="54">
        <v>0</v>
      </c>
      <c r="AO20" s="71">
        <v>49</v>
      </c>
      <c r="AP20" s="72">
        <f t="shared" si="31"/>
        <v>49</v>
      </c>
      <c r="AQ20" s="81">
        <f t="shared" si="32"/>
        <v>5</v>
      </c>
      <c r="AR20" s="213"/>
      <c r="AS20" s="54">
        <f t="shared" si="16"/>
        <v>34</v>
      </c>
      <c r="AT20" s="91">
        <f t="shared" si="33"/>
        <v>4.8571428571428568</v>
      </c>
      <c r="AU20" s="72">
        <f t="shared" si="34"/>
        <v>702</v>
      </c>
      <c r="AV20" s="77">
        <v>12</v>
      </c>
      <c r="AW20" s="73"/>
      <c r="AX20" s="73" t="str">
        <f t="shared" si="4"/>
        <v>BETTER</v>
      </c>
      <c r="AY20" s="83">
        <f>'1st_Semester'!AU20</f>
        <v>652</v>
      </c>
      <c r="AZ20" s="58">
        <f>'2nd_Semester'!AU20</f>
        <v>672</v>
      </c>
      <c r="BA20" s="83">
        <f t="shared" si="18"/>
        <v>702</v>
      </c>
      <c r="BB20" s="84">
        <f t="shared" si="19"/>
        <v>675.33333333333337</v>
      </c>
      <c r="BC20" s="82"/>
    </row>
    <row r="21" spans="1:55" s="38" customFormat="1" ht="15">
      <c r="A21" s="59">
        <v>14</v>
      </c>
      <c r="B21" s="127">
        <v>21</v>
      </c>
      <c r="C21" s="103" t="s">
        <v>134</v>
      </c>
      <c r="D21" s="103" t="s">
        <v>135</v>
      </c>
      <c r="E21" s="103" t="s">
        <v>136</v>
      </c>
      <c r="F21" s="71">
        <v>20</v>
      </c>
      <c r="G21" s="71">
        <v>78</v>
      </c>
      <c r="H21" s="71">
        <v>10</v>
      </c>
      <c r="I21" s="71">
        <v>38</v>
      </c>
      <c r="J21" s="71">
        <f t="shared" si="20"/>
        <v>146</v>
      </c>
      <c r="K21" s="81">
        <f t="shared" si="6"/>
        <v>5</v>
      </c>
      <c r="L21" s="213"/>
      <c r="M21" s="71">
        <v>19</v>
      </c>
      <c r="N21" s="71">
        <v>69</v>
      </c>
      <c r="O21" s="71">
        <v>10</v>
      </c>
      <c r="P21" s="71">
        <v>37</v>
      </c>
      <c r="Q21" s="71">
        <f t="shared" si="21"/>
        <v>135</v>
      </c>
      <c r="R21" s="81">
        <f t="shared" si="22"/>
        <v>5</v>
      </c>
      <c r="S21" s="213"/>
      <c r="T21" s="71">
        <v>14</v>
      </c>
      <c r="U21" s="71">
        <v>66</v>
      </c>
      <c r="V21" s="71">
        <f t="shared" si="23"/>
        <v>80</v>
      </c>
      <c r="W21" s="81">
        <f t="shared" si="24"/>
        <v>5</v>
      </c>
      <c r="X21" s="213"/>
      <c r="Y21" s="71">
        <v>20</v>
      </c>
      <c r="Z21" s="71">
        <v>74</v>
      </c>
      <c r="AA21" s="71">
        <f t="shared" si="25"/>
        <v>94</v>
      </c>
      <c r="AB21" s="81">
        <f t="shared" si="26"/>
        <v>5</v>
      </c>
      <c r="AC21" s="213"/>
      <c r="AD21" s="71">
        <v>15</v>
      </c>
      <c r="AE21" s="71">
        <v>73</v>
      </c>
      <c r="AF21" s="71">
        <f t="shared" si="27"/>
        <v>88</v>
      </c>
      <c r="AG21" s="81">
        <f t="shared" si="28"/>
        <v>5</v>
      </c>
      <c r="AH21" s="213"/>
      <c r="AI21" s="71">
        <v>19</v>
      </c>
      <c r="AJ21" s="71">
        <v>62</v>
      </c>
      <c r="AK21" s="71">
        <f t="shared" si="29"/>
        <v>81</v>
      </c>
      <c r="AL21" s="81">
        <f t="shared" si="30"/>
        <v>5</v>
      </c>
      <c r="AM21" s="213"/>
      <c r="AN21" s="54">
        <v>0</v>
      </c>
      <c r="AO21" s="71">
        <v>49</v>
      </c>
      <c r="AP21" s="72">
        <f t="shared" si="31"/>
        <v>49</v>
      </c>
      <c r="AQ21" s="81">
        <f t="shared" si="32"/>
        <v>5</v>
      </c>
      <c r="AR21" s="213"/>
      <c r="AS21" s="54">
        <f t="shared" si="16"/>
        <v>35</v>
      </c>
      <c r="AT21" s="91">
        <f t="shared" si="33"/>
        <v>5</v>
      </c>
      <c r="AU21" s="72">
        <f t="shared" si="34"/>
        <v>673</v>
      </c>
      <c r="AV21" s="77">
        <v>21</v>
      </c>
      <c r="AW21" s="73"/>
      <c r="AX21" s="73" t="str">
        <f t="shared" si="4"/>
        <v>BEST</v>
      </c>
      <c r="AY21" s="83">
        <f>'1st_Semester'!AU21</f>
        <v>632</v>
      </c>
      <c r="AZ21" s="58">
        <f>'2nd_Semester'!AU21</f>
        <v>622</v>
      </c>
      <c r="BA21" s="83">
        <f t="shared" si="18"/>
        <v>673</v>
      </c>
      <c r="BB21" s="84">
        <f t="shared" si="19"/>
        <v>642.33333333333337</v>
      </c>
      <c r="BC21" s="82"/>
    </row>
    <row r="22" spans="1:55" s="38" customFormat="1" ht="15">
      <c r="A22" s="59">
        <v>15</v>
      </c>
      <c r="B22" s="127">
        <v>22</v>
      </c>
      <c r="C22" s="103" t="s">
        <v>137</v>
      </c>
      <c r="D22" s="103" t="s">
        <v>138</v>
      </c>
      <c r="E22" s="103" t="s">
        <v>139</v>
      </c>
      <c r="F22" s="71">
        <v>20</v>
      </c>
      <c r="G22" s="71">
        <v>78</v>
      </c>
      <c r="H22" s="71">
        <v>10</v>
      </c>
      <c r="I22" s="71">
        <v>27</v>
      </c>
      <c r="J22" s="71">
        <f t="shared" si="20"/>
        <v>135</v>
      </c>
      <c r="K22" s="81">
        <f t="shared" si="6"/>
        <v>5</v>
      </c>
      <c r="L22" s="213"/>
      <c r="M22" s="71">
        <v>20</v>
      </c>
      <c r="N22" s="71">
        <v>64</v>
      </c>
      <c r="O22" s="71">
        <v>9</v>
      </c>
      <c r="P22" s="71">
        <v>38</v>
      </c>
      <c r="Q22" s="71">
        <f t="shared" si="21"/>
        <v>131</v>
      </c>
      <c r="R22" s="81">
        <f t="shared" si="22"/>
        <v>5</v>
      </c>
      <c r="S22" s="213"/>
      <c r="T22" s="71">
        <v>16</v>
      </c>
      <c r="U22" s="71">
        <v>52</v>
      </c>
      <c r="V22" s="71">
        <f t="shared" si="23"/>
        <v>68</v>
      </c>
      <c r="W22" s="81">
        <f t="shared" si="24"/>
        <v>3.5</v>
      </c>
      <c r="X22" s="213"/>
      <c r="Y22" s="71">
        <v>20</v>
      </c>
      <c r="Z22" s="71">
        <v>80</v>
      </c>
      <c r="AA22" s="71">
        <f t="shared" si="25"/>
        <v>100</v>
      </c>
      <c r="AB22" s="81">
        <f t="shared" si="26"/>
        <v>5</v>
      </c>
      <c r="AC22" s="213"/>
      <c r="AD22" s="71">
        <v>19</v>
      </c>
      <c r="AE22" s="71">
        <v>76</v>
      </c>
      <c r="AF22" s="71">
        <f t="shared" si="27"/>
        <v>95</v>
      </c>
      <c r="AG22" s="81">
        <f t="shared" si="28"/>
        <v>5</v>
      </c>
      <c r="AH22" s="213"/>
      <c r="AI22" s="71">
        <v>19</v>
      </c>
      <c r="AJ22" s="71">
        <v>72</v>
      </c>
      <c r="AK22" s="71">
        <f t="shared" si="29"/>
        <v>91</v>
      </c>
      <c r="AL22" s="81">
        <f t="shared" si="30"/>
        <v>5</v>
      </c>
      <c r="AM22" s="213"/>
      <c r="AN22" s="54">
        <v>0</v>
      </c>
      <c r="AO22" s="71">
        <v>50</v>
      </c>
      <c r="AP22" s="72">
        <f t="shared" si="31"/>
        <v>50</v>
      </c>
      <c r="AQ22" s="81">
        <f t="shared" si="32"/>
        <v>5</v>
      </c>
      <c r="AR22" s="213"/>
      <c r="AS22" s="54">
        <f t="shared" si="16"/>
        <v>33.5</v>
      </c>
      <c r="AT22" s="91">
        <f t="shared" si="33"/>
        <v>4.7857142857142856</v>
      </c>
      <c r="AU22" s="72">
        <f t="shared" si="34"/>
        <v>670</v>
      </c>
      <c r="AV22" s="77">
        <v>27</v>
      </c>
      <c r="AW22" s="73"/>
      <c r="AX22" s="73" t="str">
        <f t="shared" si="4"/>
        <v>BETTER</v>
      </c>
      <c r="AY22" s="83">
        <f>'1st_Semester'!AU22</f>
        <v>629</v>
      </c>
      <c r="AZ22" s="58">
        <f>'2nd_Semester'!AU22</f>
        <v>577</v>
      </c>
      <c r="BA22" s="83">
        <f t="shared" si="18"/>
        <v>670</v>
      </c>
      <c r="BB22" s="84">
        <f t="shared" si="19"/>
        <v>625.33333333333337</v>
      </c>
      <c r="BC22" s="82"/>
    </row>
    <row r="23" spans="1:55" s="38" customFormat="1" ht="15">
      <c r="A23" s="59">
        <v>16</v>
      </c>
      <c r="B23" s="127">
        <v>24</v>
      </c>
      <c r="C23" s="103" t="s">
        <v>140</v>
      </c>
      <c r="D23" s="103" t="s">
        <v>141</v>
      </c>
      <c r="E23" s="103" t="s">
        <v>142</v>
      </c>
      <c r="F23" s="71">
        <v>20</v>
      </c>
      <c r="G23" s="71">
        <v>78</v>
      </c>
      <c r="H23" s="71">
        <v>10</v>
      </c>
      <c r="I23" s="71">
        <v>38</v>
      </c>
      <c r="J23" s="71">
        <f t="shared" si="20"/>
        <v>146</v>
      </c>
      <c r="K23" s="81">
        <f t="shared" si="6"/>
        <v>5</v>
      </c>
      <c r="L23" s="213"/>
      <c r="M23" s="71">
        <v>20</v>
      </c>
      <c r="N23" s="71">
        <v>58</v>
      </c>
      <c r="O23" s="71">
        <v>9</v>
      </c>
      <c r="P23" s="71">
        <v>38</v>
      </c>
      <c r="Q23" s="71">
        <f t="shared" si="21"/>
        <v>125</v>
      </c>
      <c r="R23" s="81">
        <f t="shared" si="22"/>
        <v>5</v>
      </c>
      <c r="S23" s="213"/>
      <c r="T23" s="71">
        <v>13</v>
      </c>
      <c r="U23" s="71">
        <v>44</v>
      </c>
      <c r="V23" s="71">
        <f t="shared" si="23"/>
        <v>57</v>
      </c>
      <c r="W23" s="81">
        <f t="shared" si="24"/>
        <v>3</v>
      </c>
      <c r="X23" s="213"/>
      <c r="Y23" s="71">
        <v>20</v>
      </c>
      <c r="Z23" s="71">
        <v>78</v>
      </c>
      <c r="AA23" s="71">
        <f t="shared" si="25"/>
        <v>98</v>
      </c>
      <c r="AB23" s="81">
        <f t="shared" si="26"/>
        <v>5</v>
      </c>
      <c r="AC23" s="213"/>
      <c r="AD23" s="71">
        <v>19</v>
      </c>
      <c r="AE23" s="71">
        <v>71</v>
      </c>
      <c r="AF23" s="71">
        <f t="shared" si="27"/>
        <v>90</v>
      </c>
      <c r="AG23" s="81">
        <f t="shared" si="28"/>
        <v>5</v>
      </c>
      <c r="AH23" s="213"/>
      <c r="AI23" s="71">
        <v>18</v>
      </c>
      <c r="AJ23" s="71">
        <v>62</v>
      </c>
      <c r="AK23" s="71">
        <f t="shared" si="29"/>
        <v>80</v>
      </c>
      <c r="AL23" s="81">
        <f t="shared" si="30"/>
        <v>5</v>
      </c>
      <c r="AM23" s="213"/>
      <c r="AN23" s="54">
        <v>0</v>
      </c>
      <c r="AO23" s="71">
        <v>48</v>
      </c>
      <c r="AP23" s="72">
        <f t="shared" si="31"/>
        <v>48</v>
      </c>
      <c r="AQ23" s="81">
        <f t="shared" si="32"/>
        <v>5</v>
      </c>
      <c r="AR23" s="213"/>
      <c r="AS23" s="54">
        <f t="shared" si="16"/>
        <v>33</v>
      </c>
      <c r="AT23" s="91">
        <f t="shared" si="33"/>
        <v>4.7142857142857144</v>
      </c>
      <c r="AU23" s="72">
        <f t="shared" si="34"/>
        <v>644</v>
      </c>
      <c r="AV23" s="77">
        <v>26</v>
      </c>
      <c r="AW23" s="73"/>
      <c r="AX23" s="73" t="str">
        <f t="shared" si="4"/>
        <v>BETTER</v>
      </c>
      <c r="AY23" s="83">
        <f>'1st_Semester'!AU23</f>
        <v>615</v>
      </c>
      <c r="AZ23" s="58">
        <f>'2nd_Semester'!AU23</f>
        <v>619</v>
      </c>
      <c r="BA23" s="83">
        <f t="shared" si="18"/>
        <v>644</v>
      </c>
      <c r="BB23" s="84">
        <f t="shared" si="19"/>
        <v>626</v>
      </c>
      <c r="BC23" s="82"/>
    </row>
    <row r="24" spans="1:55" s="38" customFormat="1" ht="15">
      <c r="A24" s="59">
        <v>17</v>
      </c>
      <c r="B24" s="127">
        <v>26</v>
      </c>
      <c r="C24" s="103" t="s">
        <v>143</v>
      </c>
      <c r="D24" s="103" t="s">
        <v>144</v>
      </c>
      <c r="E24" s="103" t="s">
        <v>145</v>
      </c>
      <c r="F24" s="71">
        <v>20</v>
      </c>
      <c r="G24" s="71">
        <v>79</v>
      </c>
      <c r="H24" s="71">
        <v>10</v>
      </c>
      <c r="I24" s="71">
        <v>40</v>
      </c>
      <c r="J24" s="71">
        <f t="shared" si="20"/>
        <v>149</v>
      </c>
      <c r="K24" s="81">
        <f t="shared" si="6"/>
        <v>5</v>
      </c>
      <c r="L24" s="213"/>
      <c r="M24" s="71">
        <v>20</v>
      </c>
      <c r="N24" s="71">
        <v>76</v>
      </c>
      <c r="O24" s="71">
        <v>10</v>
      </c>
      <c r="P24" s="71">
        <v>34</v>
      </c>
      <c r="Q24" s="71">
        <f t="shared" si="21"/>
        <v>140</v>
      </c>
      <c r="R24" s="81">
        <f t="shared" si="22"/>
        <v>5</v>
      </c>
      <c r="S24" s="213"/>
      <c r="T24" s="71">
        <v>16</v>
      </c>
      <c r="U24" s="71">
        <v>38</v>
      </c>
      <c r="V24" s="71">
        <f t="shared" si="23"/>
        <v>54</v>
      </c>
      <c r="W24" s="81">
        <f t="shared" si="24"/>
        <v>3</v>
      </c>
      <c r="X24" s="213"/>
      <c r="Y24" s="71">
        <v>20</v>
      </c>
      <c r="Z24" s="71">
        <v>80</v>
      </c>
      <c r="AA24" s="71">
        <f t="shared" si="25"/>
        <v>100</v>
      </c>
      <c r="AB24" s="81">
        <f t="shared" si="26"/>
        <v>5</v>
      </c>
      <c r="AC24" s="213"/>
      <c r="AD24" s="71">
        <v>20</v>
      </c>
      <c r="AE24" s="71">
        <v>76</v>
      </c>
      <c r="AF24" s="71">
        <f t="shared" si="27"/>
        <v>96</v>
      </c>
      <c r="AG24" s="81">
        <f t="shared" si="28"/>
        <v>5</v>
      </c>
      <c r="AH24" s="213"/>
      <c r="AI24" s="71">
        <v>15</v>
      </c>
      <c r="AJ24" s="71">
        <v>66</v>
      </c>
      <c r="AK24" s="71">
        <f t="shared" si="29"/>
        <v>81</v>
      </c>
      <c r="AL24" s="81">
        <f t="shared" si="30"/>
        <v>5</v>
      </c>
      <c r="AM24" s="213"/>
      <c r="AN24" s="54">
        <v>0</v>
      </c>
      <c r="AO24" s="71">
        <v>50</v>
      </c>
      <c r="AP24" s="72">
        <f t="shared" si="31"/>
        <v>50</v>
      </c>
      <c r="AQ24" s="81">
        <f t="shared" si="32"/>
        <v>5</v>
      </c>
      <c r="AR24" s="213"/>
      <c r="AS24" s="54">
        <f t="shared" si="16"/>
        <v>33</v>
      </c>
      <c r="AT24" s="91">
        <f t="shared" si="33"/>
        <v>4.7142857142857144</v>
      </c>
      <c r="AU24" s="72">
        <f t="shared" si="34"/>
        <v>670</v>
      </c>
      <c r="AV24" s="77">
        <v>11</v>
      </c>
      <c r="AW24" s="73"/>
      <c r="AX24" s="73" t="str">
        <f t="shared" si="4"/>
        <v>BETTER</v>
      </c>
      <c r="AY24" s="83">
        <f>'1st_Semester'!AU24</f>
        <v>672</v>
      </c>
      <c r="AZ24" s="58">
        <f>'2nd_Semester'!AU24</f>
        <v>699</v>
      </c>
      <c r="BA24" s="83">
        <f t="shared" si="18"/>
        <v>670</v>
      </c>
      <c r="BB24" s="84">
        <f t="shared" si="19"/>
        <v>680.33333333333337</v>
      </c>
      <c r="BC24" s="82"/>
    </row>
    <row r="25" spans="1:55" s="38" customFormat="1" ht="15">
      <c r="A25" s="59">
        <v>18</v>
      </c>
      <c r="B25" s="127">
        <v>30</v>
      </c>
      <c r="C25" s="103" t="s">
        <v>146</v>
      </c>
      <c r="D25" s="103" t="s">
        <v>147</v>
      </c>
      <c r="E25" s="103" t="s">
        <v>148</v>
      </c>
      <c r="F25" s="71">
        <v>20</v>
      </c>
      <c r="G25" s="71">
        <v>78</v>
      </c>
      <c r="H25" s="71">
        <v>10</v>
      </c>
      <c r="I25" s="71">
        <v>36</v>
      </c>
      <c r="J25" s="71">
        <f t="shared" si="20"/>
        <v>144</v>
      </c>
      <c r="K25" s="81">
        <f t="shared" si="6"/>
        <v>5</v>
      </c>
      <c r="L25" s="213"/>
      <c r="M25" s="71">
        <v>19</v>
      </c>
      <c r="N25" s="71">
        <v>75</v>
      </c>
      <c r="O25" s="71">
        <v>10</v>
      </c>
      <c r="P25" s="71">
        <v>39</v>
      </c>
      <c r="Q25" s="71">
        <f t="shared" si="21"/>
        <v>143</v>
      </c>
      <c r="R25" s="81">
        <f t="shared" si="22"/>
        <v>5</v>
      </c>
      <c r="S25" s="213"/>
      <c r="T25" s="71">
        <v>13</v>
      </c>
      <c r="U25" s="71">
        <v>42</v>
      </c>
      <c r="V25" s="71">
        <f t="shared" si="23"/>
        <v>55</v>
      </c>
      <c r="W25" s="81">
        <f t="shared" si="24"/>
        <v>3</v>
      </c>
      <c r="X25" s="213"/>
      <c r="Y25" s="71">
        <v>20</v>
      </c>
      <c r="Z25" s="71">
        <v>78</v>
      </c>
      <c r="AA25" s="71">
        <f t="shared" si="25"/>
        <v>98</v>
      </c>
      <c r="AB25" s="81">
        <f t="shared" si="26"/>
        <v>5</v>
      </c>
      <c r="AC25" s="213"/>
      <c r="AD25" s="71">
        <v>17</v>
      </c>
      <c r="AE25" s="71">
        <v>70</v>
      </c>
      <c r="AF25" s="71">
        <f t="shared" si="27"/>
        <v>87</v>
      </c>
      <c r="AG25" s="81">
        <f t="shared" si="28"/>
        <v>5</v>
      </c>
      <c r="AH25" s="213"/>
      <c r="AI25" s="71">
        <v>18</v>
      </c>
      <c r="AJ25" s="71">
        <v>67</v>
      </c>
      <c r="AK25" s="71">
        <f t="shared" si="29"/>
        <v>85</v>
      </c>
      <c r="AL25" s="81">
        <f t="shared" si="30"/>
        <v>5</v>
      </c>
      <c r="AM25" s="213"/>
      <c r="AN25" s="54">
        <v>0</v>
      </c>
      <c r="AO25" s="71">
        <v>48</v>
      </c>
      <c r="AP25" s="72">
        <f t="shared" si="31"/>
        <v>48</v>
      </c>
      <c r="AQ25" s="81">
        <f t="shared" si="32"/>
        <v>5</v>
      </c>
      <c r="AR25" s="213"/>
      <c r="AS25" s="54">
        <f t="shared" si="16"/>
        <v>33</v>
      </c>
      <c r="AT25" s="91">
        <f t="shared" si="33"/>
        <v>4.7142857142857144</v>
      </c>
      <c r="AU25" s="72">
        <f t="shared" si="34"/>
        <v>660</v>
      </c>
      <c r="AV25" s="77">
        <v>23</v>
      </c>
      <c r="AW25" s="73"/>
      <c r="AX25" s="73" t="str">
        <f t="shared" si="4"/>
        <v>BETTER</v>
      </c>
      <c r="AY25" s="83">
        <f>'1st_Semester'!AU25</f>
        <v>585</v>
      </c>
      <c r="AZ25" s="58">
        <f>'2nd_Semester'!AU25</f>
        <v>654</v>
      </c>
      <c r="BA25" s="83">
        <f t="shared" si="18"/>
        <v>660</v>
      </c>
      <c r="BB25" s="84">
        <f t="shared" si="19"/>
        <v>633</v>
      </c>
      <c r="BC25" s="82"/>
    </row>
    <row r="26" spans="1:55" s="38" customFormat="1" ht="15">
      <c r="A26" s="59">
        <v>19</v>
      </c>
      <c r="B26" s="127">
        <v>34</v>
      </c>
      <c r="C26" s="103" t="s">
        <v>149</v>
      </c>
      <c r="D26" s="103" t="s">
        <v>150</v>
      </c>
      <c r="E26" s="103" t="s">
        <v>151</v>
      </c>
      <c r="F26" s="71">
        <v>20</v>
      </c>
      <c r="G26" s="71">
        <v>77</v>
      </c>
      <c r="H26" s="71">
        <v>10</v>
      </c>
      <c r="I26" s="71">
        <v>33</v>
      </c>
      <c r="J26" s="71">
        <f t="shared" si="20"/>
        <v>140</v>
      </c>
      <c r="K26" s="81">
        <f t="shared" si="6"/>
        <v>5</v>
      </c>
      <c r="L26" s="213"/>
      <c r="M26" s="71">
        <v>20</v>
      </c>
      <c r="N26" s="71">
        <v>64</v>
      </c>
      <c r="O26" s="71">
        <v>10</v>
      </c>
      <c r="P26" s="71">
        <v>33</v>
      </c>
      <c r="Q26" s="71">
        <f t="shared" si="21"/>
        <v>127</v>
      </c>
      <c r="R26" s="81">
        <f t="shared" si="22"/>
        <v>5</v>
      </c>
      <c r="S26" s="213"/>
      <c r="T26" s="71">
        <v>16</v>
      </c>
      <c r="U26" s="71">
        <v>43</v>
      </c>
      <c r="V26" s="71">
        <f t="shared" si="23"/>
        <v>59</v>
      </c>
      <c r="W26" s="81">
        <f t="shared" si="24"/>
        <v>3</v>
      </c>
      <c r="X26" s="213"/>
      <c r="Y26" s="71">
        <v>19</v>
      </c>
      <c r="Z26" s="71">
        <v>65</v>
      </c>
      <c r="AA26" s="71">
        <f t="shared" si="25"/>
        <v>84</v>
      </c>
      <c r="AB26" s="81">
        <f t="shared" si="26"/>
        <v>5</v>
      </c>
      <c r="AC26" s="213"/>
      <c r="AD26" s="71">
        <v>12</v>
      </c>
      <c r="AE26" s="71">
        <v>72</v>
      </c>
      <c r="AF26" s="71">
        <f t="shared" si="27"/>
        <v>84</v>
      </c>
      <c r="AG26" s="81">
        <f t="shared" si="28"/>
        <v>5</v>
      </c>
      <c r="AH26" s="213"/>
      <c r="AI26" s="71">
        <v>19</v>
      </c>
      <c r="AJ26" s="71">
        <v>49</v>
      </c>
      <c r="AK26" s="71">
        <f t="shared" si="29"/>
        <v>68</v>
      </c>
      <c r="AL26" s="81">
        <f t="shared" si="30"/>
        <v>3.5</v>
      </c>
      <c r="AM26" s="213"/>
      <c r="AN26" s="54">
        <v>0</v>
      </c>
      <c r="AO26" s="71">
        <v>50</v>
      </c>
      <c r="AP26" s="72">
        <f t="shared" si="31"/>
        <v>50</v>
      </c>
      <c r="AQ26" s="81">
        <f t="shared" si="32"/>
        <v>5</v>
      </c>
      <c r="AR26" s="213"/>
      <c r="AS26" s="54">
        <f t="shared" si="16"/>
        <v>31.5</v>
      </c>
      <c r="AT26" s="91">
        <f t="shared" si="33"/>
        <v>4.5</v>
      </c>
      <c r="AU26" s="72">
        <f t="shared" si="34"/>
        <v>612</v>
      </c>
      <c r="AV26" s="77">
        <v>30</v>
      </c>
      <c r="AW26" s="73"/>
      <c r="AX26" s="73" t="str">
        <f t="shared" si="4"/>
        <v>BETTER</v>
      </c>
      <c r="AY26" s="83">
        <f>'1st_Semester'!AU26</f>
        <v>602</v>
      </c>
      <c r="AZ26" s="58">
        <f>'2nd_Semester'!AU26</f>
        <v>608</v>
      </c>
      <c r="BA26" s="83">
        <f t="shared" si="18"/>
        <v>612</v>
      </c>
      <c r="BB26" s="84">
        <f t="shared" si="19"/>
        <v>607.33333333333337</v>
      </c>
      <c r="BC26" s="82"/>
    </row>
    <row r="27" spans="1:55" s="38" customFormat="1" ht="15">
      <c r="A27" s="59">
        <v>20</v>
      </c>
      <c r="B27" s="127">
        <v>35</v>
      </c>
      <c r="C27" s="103" t="s">
        <v>152</v>
      </c>
      <c r="D27" s="103" t="s">
        <v>153</v>
      </c>
      <c r="E27" s="103" t="s">
        <v>154</v>
      </c>
      <c r="F27" s="71">
        <v>20</v>
      </c>
      <c r="G27" s="71">
        <v>79</v>
      </c>
      <c r="H27" s="71">
        <v>10</v>
      </c>
      <c r="I27" s="71">
        <v>32</v>
      </c>
      <c r="J27" s="71">
        <f t="shared" si="20"/>
        <v>141</v>
      </c>
      <c r="K27" s="81">
        <f t="shared" si="6"/>
        <v>5</v>
      </c>
      <c r="L27" s="213"/>
      <c r="M27" s="71">
        <v>20</v>
      </c>
      <c r="N27" s="71">
        <v>70</v>
      </c>
      <c r="O27" s="71">
        <v>10</v>
      </c>
      <c r="P27" s="71">
        <v>33</v>
      </c>
      <c r="Q27" s="71">
        <f t="shared" si="21"/>
        <v>133</v>
      </c>
      <c r="R27" s="81">
        <f t="shared" si="22"/>
        <v>5</v>
      </c>
      <c r="S27" s="213"/>
      <c r="T27" s="71">
        <v>16</v>
      </c>
      <c r="U27" s="71">
        <v>45</v>
      </c>
      <c r="V27" s="71">
        <f t="shared" si="23"/>
        <v>61</v>
      </c>
      <c r="W27" s="81">
        <f t="shared" si="24"/>
        <v>3.5</v>
      </c>
      <c r="X27" s="213"/>
      <c r="Y27" s="71">
        <v>19</v>
      </c>
      <c r="Z27" s="71">
        <v>70</v>
      </c>
      <c r="AA27" s="71">
        <f t="shared" si="25"/>
        <v>89</v>
      </c>
      <c r="AB27" s="81">
        <f t="shared" si="26"/>
        <v>5</v>
      </c>
      <c r="AC27" s="213"/>
      <c r="AD27" s="71">
        <v>15</v>
      </c>
      <c r="AE27" s="71">
        <v>75</v>
      </c>
      <c r="AF27" s="71">
        <f t="shared" si="27"/>
        <v>90</v>
      </c>
      <c r="AG27" s="81">
        <f t="shared" si="28"/>
        <v>5</v>
      </c>
      <c r="AH27" s="213"/>
      <c r="AI27" s="71">
        <v>20</v>
      </c>
      <c r="AJ27" s="71">
        <v>69</v>
      </c>
      <c r="AK27" s="71">
        <f t="shared" si="29"/>
        <v>89</v>
      </c>
      <c r="AL27" s="81">
        <f t="shared" si="30"/>
        <v>5</v>
      </c>
      <c r="AM27" s="213"/>
      <c r="AN27" s="54">
        <v>0</v>
      </c>
      <c r="AO27" s="71">
        <v>49</v>
      </c>
      <c r="AP27" s="72">
        <f t="shared" si="31"/>
        <v>49</v>
      </c>
      <c r="AQ27" s="81">
        <f t="shared" si="32"/>
        <v>5</v>
      </c>
      <c r="AR27" s="213"/>
      <c r="AS27" s="54">
        <f t="shared" si="16"/>
        <v>33.5</v>
      </c>
      <c r="AT27" s="91">
        <f t="shared" si="33"/>
        <v>4.7857142857142856</v>
      </c>
      <c r="AU27" s="72">
        <f t="shared" si="34"/>
        <v>652</v>
      </c>
      <c r="AV27" s="77">
        <v>29</v>
      </c>
      <c r="AW27" s="73"/>
      <c r="AX27" s="73" t="str">
        <f t="shared" si="4"/>
        <v>BETTER</v>
      </c>
      <c r="AY27" s="83">
        <f>'1st_Semester'!AU27</f>
        <v>583</v>
      </c>
      <c r="AZ27" s="58">
        <f>'2nd_Semester'!AU27</f>
        <v>608</v>
      </c>
      <c r="BA27" s="83">
        <f t="shared" si="18"/>
        <v>652</v>
      </c>
      <c r="BB27" s="84">
        <f t="shared" si="19"/>
        <v>614.33333333333337</v>
      </c>
      <c r="BC27" s="82"/>
    </row>
    <row r="28" spans="1:55" s="38" customFormat="1" ht="15">
      <c r="A28" s="59">
        <v>21</v>
      </c>
      <c r="B28" s="127">
        <v>40</v>
      </c>
      <c r="C28" s="103" t="s">
        <v>155</v>
      </c>
      <c r="D28" s="103" t="s">
        <v>156</v>
      </c>
      <c r="E28" s="103" t="s">
        <v>157</v>
      </c>
      <c r="F28" s="71">
        <v>20</v>
      </c>
      <c r="G28" s="71">
        <v>80</v>
      </c>
      <c r="H28" s="71">
        <v>10</v>
      </c>
      <c r="I28" s="71">
        <v>36</v>
      </c>
      <c r="J28" s="71">
        <f t="shared" si="20"/>
        <v>146</v>
      </c>
      <c r="K28" s="81">
        <f t="shared" si="6"/>
        <v>5</v>
      </c>
      <c r="L28" s="213"/>
      <c r="M28" s="71">
        <v>19</v>
      </c>
      <c r="N28" s="71">
        <v>60</v>
      </c>
      <c r="O28" s="71">
        <v>9</v>
      </c>
      <c r="P28" s="71">
        <v>39</v>
      </c>
      <c r="Q28" s="71">
        <f t="shared" si="21"/>
        <v>127</v>
      </c>
      <c r="R28" s="81">
        <f t="shared" si="22"/>
        <v>5</v>
      </c>
      <c r="S28" s="213"/>
      <c r="T28" s="71">
        <v>13</v>
      </c>
      <c r="U28" s="71">
        <v>48</v>
      </c>
      <c r="V28" s="71">
        <f t="shared" si="23"/>
        <v>61</v>
      </c>
      <c r="W28" s="81">
        <f t="shared" si="24"/>
        <v>3.5</v>
      </c>
      <c r="X28" s="213"/>
      <c r="Y28" s="71">
        <v>20</v>
      </c>
      <c r="Z28" s="71">
        <v>74</v>
      </c>
      <c r="AA28" s="71">
        <f t="shared" si="25"/>
        <v>94</v>
      </c>
      <c r="AB28" s="81">
        <f t="shared" si="26"/>
        <v>5</v>
      </c>
      <c r="AC28" s="213"/>
      <c r="AD28" s="71">
        <v>19</v>
      </c>
      <c r="AE28" s="71">
        <v>72</v>
      </c>
      <c r="AF28" s="71">
        <f t="shared" si="27"/>
        <v>91</v>
      </c>
      <c r="AG28" s="81">
        <f t="shared" si="28"/>
        <v>5</v>
      </c>
      <c r="AH28" s="213"/>
      <c r="AI28" s="71">
        <v>19</v>
      </c>
      <c r="AJ28" s="71">
        <v>66</v>
      </c>
      <c r="AK28" s="71">
        <f t="shared" si="29"/>
        <v>85</v>
      </c>
      <c r="AL28" s="81">
        <f t="shared" si="30"/>
        <v>5</v>
      </c>
      <c r="AM28" s="213"/>
      <c r="AN28" s="54">
        <v>0</v>
      </c>
      <c r="AO28" s="71">
        <v>48</v>
      </c>
      <c r="AP28" s="72">
        <f t="shared" si="31"/>
        <v>48</v>
      </c>
      <c r="AQ28" s="81">
        <f t="shared" si="32"/>
        <v>5</v>
      </c>
      <c r="AR28" s="213"/>
      <c r="AS28" s="54">
        <f t="shared" si="16"/>
        <v>33.5</v>
      </c>
      <c r="AT28" s="91">
        <f t="shared" si="33"/>
        <v>4.7857142857142856</v>
      </c>
      <c r="AU28" s="72">
        <f t="shared" si="34"/>
        <v>652</v>
      </c>
      <c r="AV28" s="77">
        <v>28</v>
      </c>
      <c r="AW28" s="73"/>
      <c r="AX28" s="73" t="str">
        <f t="shared" si="4"/>
        <v>BETTER</v>
      </c>
      <c r="AY28" s="83">
        <f>'1st_Semester'!AU28</f>
        <v>598</v>
      </c>
      <c r="AZ28" s="58">
        <f>'2nd_Semester'!AU28</f>
        <v>619</v>
      </c>
      <c r="BA28" s="83">
        <f t="shared" si="18"/>
        <v>652</v>
      </c>
      <c r="BB28" s="84">
        <f t="shared" si="19"/>
        <v>623</v>
      </c>
      <c r="BC28" s="82"/>
    </row>
    <row r="29" spans="1:55" s="38" customFormat="1" ht="15">
      <c r="A29" s="59">
        <v>22</v>
      </c>
      <c r="B29" s="54">
        <v>51</v>
      </c>
      <c r="C29" s="103" t="s">
        <v>158</v>
      </c>
      <c r="D29" s="103" t="s">
        <v>159</v>
      </c>
      <c r="E29" s="103" t="s">
        <v>160</v>
      </c>
      <c r="F29" s="71">
        <v>20</v>
      </c>
      <c r="G29" s="71">
        <v>0</v>
      </c>
      <c r="H29" s="71">
        <v>10</v>
      </c>
      <c r="I29" s="71">
        <v>0</v>
      </c>
      <c r="J29" s="71">
        <f t="shared" si="20"/>
        <v>30</v>
      </c>
      <c r="K29" s="81" t="str">
        <f t="shared" si="6"/>
        <v>F</v>
      </c>
      <c r="L29" s="213"/>
      <c r="M29" s="71">
        <v>19</v>
      </c>
      <c r="N29" s="71">
        <v>66</v>
      </c>
      <c r="O29" s="71">
        <v>10</v>
      </c>
      <c r="P29" s="71">
        <v>0</v>
      </c>
      <c r="Q29" s="71">
        <f t="shared" si="21"/>
        <v>95</v>
      </c>
      <c r="R29" s="81">
        <f t="shared" si="22"/>
        <v>3.5</v>
      </c>
      <c r="S29" s="213"/>
      <c r="T29" s="71">
        <v>19</v>
      </c>
      <c r="U29" s="71">
        <v>0</v>
      </c>
      <c r="V29" s="71">
        <f t="shared" si="23"/>
        <v>19</v>
      </c>
      <c r="W29" s="81" t="str">
        <f t="shared" si="24"/>
        <v>F</v>
      </c>
      <c r="X29" s="213"/>
      <c r="Y29" s="71">
        <v>19</v>
      </c>
      <c r="Z29" s="71">
        <v>0</v>
      </c>
      <c r="AA29" s="71">
        <f t="shared" si="25"/>
        <v>19</v>
      </c>
      <c r="AB29" s="81" t="str">
        <f t="shared" si="26"/>
        <v>F</v>
      </c>
      <c r="AC29" s="213"/>
      <c r="AD29" s="71">
        <v>16</v>
      </c>
      <c r="AE29" s="71">
        <v>0</v>
      </c>
      <c r="AF29" s="71">
        <f t="shared" si="27"/>
        <v>16</v>
      </c>
      <c r="AG29" s="81" t="str">
        <f t="shared" si="28"/>
        <v>F</v>
      </c>
      <c r="AH29" s="213"/>
      <c r="AI29" s="71">
        <v>17</v>
      </c>
      <c r="AJ29" s="71">
        <v>0</v>
      </c>
      <c r="AK29" s="71">
        <f t="shared" si="29"/>
        <v>17</v>
      </c>
      <c r="AL29" s="81" t="str">
        <f t="shared" si="30"/>
        <v>F</v>
      </c>
      <c r="AM29" s="213"/>
      <c r="AN29" s="54">
        <v>0</v>
      </c>
      <c r="AO29" s="71">
        <v>0</v>
      </c>
      <c r="AP29" s="72">
        <f t="shared" si="31"/>
        <v>0</v>
      </c>
      <c r="AQ29" s="81" t="str">
        <f t="shared" si="32"/>
        <v>F</v>
      </c>
      <c r="AR29" s="213"/>
      <c r="AS29" s="54" t="str">
        <f t="shared" si="16"/>
        <v>F</v>
      </c>
      <c r="AT29" s="91" t="str">
        <f t="shared" si="33"/>
        <v>F</v>
      </c>
      <c r="AU29" s="72">
        <f t="shared" si="34"/>
        <v>196</v>
      </c>
      <c r="AV29" s="77">
        <v>0</v>
      </c>
      <c r="AW29" s="73"/>
      <c r="AX29" s="73" t="str">
        <f t="shared" si="4"/>
        <v>NEED TO PROGRESS</v>
      </c>
      <c r="AY29" s="83">
        <f>'1st_Semester'!AU29</f>
        <v>613</v>
      </c>
      <c r="AZ29" s="58">
        <f>'2nd_Semester'!AU29</f>
        <v>680</v>
      </c>
      <c r="BA29" s="83">
        <f t="shared" si="18"/>
        <v>196</v>
      </c>
      <c r="BB29" s="84">
        <f t="shared" si="19"/>
        <v>496.33333333333331</v>
      </c>
      <c r="BC29" s="82"/>
    </row>
    <row r="30" spans="1:55" s="38" customFormat="1" ht="15">
      <c r="A30" s="59">
        <v>23</v>
      </c>
      <c r="B30" s="54">
        <v>52</v>
      </c>
      <c r="C30" s="103" t="s">
        <v>161</v>
      </c>
      <c r="D30" s="103" t="s">
        <v>162</v>
      </c>
      <c r="E30" s="103" t="s">
        <v>163</v>
      </c>
      <c r="F30" s="71">
        <v>20</v>
      </c>
      <c r="G30" s="71">
        <v>79</v>
      </c>
      <c r="H30" s="71">
        <v>10</v>
      </c>
      <c r="I30" s="71">
        <v>30</v>
      </c>
      <c r="J30" s="71">
        <f t="shared" si="20"/>
        <v>139</v>
      </c>
      <c r="K30" s="81">
        <f t="shared" si="6"/>
        <v>5</v>
      </c>
      <c r="L30" s="213"/>
      <c r="M30" s="71">
        <v>19</v>
      </c>
      <c r="N30" s="71">
        <v>74</v>
      </c>
      <c r="O30" s="71">
        <v>9</v>
      </c>
      <c r="P30" s="71">
        <v>38</v>
      </c>
      <c r="Q30" s="71">
        <f t="shared" si="0"/>
        <v>140</v>
      </c>
      <c r="R30" s="81">
        <f t="shared" si="7"/>
        <v>5</v>
      </c>
      <c r="S30" s="213"/>
      <c r="T30" s="71">
        <v>16</v>
      </c>
      <c r="U30" s="71">
        <v>45</v>
      </c>
      <c r="V30" s="71">
        <f t="shared" si="8"/>
        <v>61</v>
      </c>
      <c r="W30" s="81">
        <f t="shared" si="9"/>
        <v>3.5</v>
      </c>
      <c r="X30" s="213"/>
      <c r="Y30" s="71">
        <v>20</v>
      </c>
      <c r="Z30" s="71">
        <v>79</v>
      </c>
      <c r="AA30" s="71">
        <f t="shared" si="25"/>
        <v>99</v>
      </c>
      <c r="AB30" s="81">
        <f t="shared" si="26"/>
        <v>5</v>
      </c>
      <c r="AC30" s="213"/>
      <c r="AD30" s="71">
        <v>19</v>
      </c>
      <c r="AE30" s="71">
        <v>73</v>
      </c>
      <c r="AF30" s="71">
        <f t="shared" si="27"/>
        <v>92</v>
      </c>
      <c r="AG30" s="81">
        <f t="shared" si="28"/>
        <v>5</v>
      </c>
      <c r="AH30" s="213"/>
      <c r="AI30" s="71">
        <v>19</v>
      </c>
      <c r="AJ30" s="71">
        <v>74</v>
      </c>
      <c r="AK30" s="71">
        <f t="shared" si="29"/>
        <v>93</v>
      </c>
      <c r="AL30" s="81">
        <f t="shared" si="30"/>
        <v>5</v>
      </c>
      <c r="AM30" s="213"/>
      <c r="AN30" s="54">
        <v>0</v>
      </c>
      <c r="AO30" s="71">
        <v>47</v>
      </c>
      <c r="AP30" s="72">
        <f t="shared" si="31"/>
        <v>47</v>
      </c>
      <c r="AQ30" s="81">
        <f t="shared" si="32"/>
        <v>5</v>
      </c>
      <c r="AR30" s="213"/>
      <c r="AS30" s="54">
        <f t="shared" si="16"/>
        <v>33.5</v>
      </c>
      <c r="AT30" s="91">
        <f t="shared" si="33"/>
        <v>4.7857142857142856</v>
      </c>
      <c r="AU30" s="72">
        <f t="shared" si="34"/>
        <v>671</v>
      </c>
      <c r="AV30" s="77">
        <v>17</v>
      </c>
      <c r="AW30" s="73"/>
      <c r="AX30" s="73" t="str">
        <f t="shared" si="4"/>
        <v>BETTER</v>
      </c>
      <c r="AY30" s="83">
        <f>'1st_Semester'!AU30</f>
        <v>648</v>
      </c>
      <c r="AZ30" s="58">
        <f>'2nd_Semester'!AU30</f>
        <v>656</v>
      </c>
      <c r="BA30" s="83">
        <f t="shared" si="18"/>
        <v>671</v>
      </c>
      <c r="BB30" s="84">
        <f t="shared" si="19"/>
        <v>658.33333333333337</v>
      </c>
      <c r="BC30" s="82"/>
    </row>
    <row r="31" spans="1:55" s="38" customFormat="1" ht="15">
      <c r="A31" s="59">
        <v>24</v>
      </c>
      <c r="B31" s="54">
        <v>54</v>
      </c>
      <c r="C31" s="103" t="s">
        <v>164</v>
      </c>
      <c r="D31" s="103" t="s">
        <v>165</v>
      </c>
      <c r="E31" s="103" t="s">
        <v>166</v>
      </c>
      <c r="F31" s="71">
        <v>20</v>
      </c>
      <c r="G31" s="71">
        <v>80</v>
      </c>
      <c r="H31" s="71">
        <v>10</v>
      </c>
      <c r="I31" s="71">
        <v>37</v>
      </c>
      <c r="J31" s="71">
        <f t="shared" si="20"/>
        <v>147</v>
      </c>
      <c r="K31" s="81">
        <f t="shared" si="6"/>
        <v>5</v>
      </c>
      <c r="L31" s="213"/>
      <c r="M31" s="71">
        <v>19</v>
      </c>
      <c r="N31" s="71">
        <v>74</v>
      </c>
      <c r="O31" s="71">
        <v>10</v>
      </c>
      <c r="P31" s="71">
        <v>38</v>
      </c>
      <c r="Q31" s="71">
        <f t="shared" si="0"/>
        <v>141</v>
      </c>
      <c r="R31" s="81">
        <f t="shared" si="7"/>
        <v>5</v>
      </c>
      <c r="S31" s="213"/>
      <c r="T31" s="71">
        <v>19</v>
      </c>
      <c r="U31" s="71">
        <v>50</v>
      </c>
      <c r="V31" s="71">
        <f t="shared" si="8"/>
        <v>69</v>
      </c>
      <c r="W31" s="81">
        <f t="shared" si="9"/>
        <v>3.5</v>
      </c>
      <c r="X31" s="213"/>
      <c r="Y31" s="71">
        <v>20</v>
      </c>
      <c r="Z31" s="71">
        <v>75</v>
      </c>
      <c r="AA31" s="71">
        <f t="shared" si="25"/>
        <v>95</v>
      </c>
      <c r="AB31" s="81">
        <f t="shared" si="26"/>
        <v>5</v>
      </c>
      <c r="AC31" s="213"/>
      <c r="AD31" s="71">
        <v>19</v>
      </c>
      <c r="AE31" s="71">
        <v>74</v>
      </c>
      <c r="AF31" s="71">
        <f t="shared" si="27"/>
        <v>93</v>
      </c>
      <c r="AG31" s="81">
        <f t="shared" si="28"/>
        <v>5</v>
      </c>
      <c r="AH31" s="213"/>
      <c r="AI31" s="71">
        <v>19</v>
      </c>
      <c r="AJ31" s="71">
        <v>76</v>
      </c>
      <c r="AK31" s="71">
        <f t="shared" si="29"/>
        <v>95</v>
      </c>
      <c r="AL31" s="81">
        <f t="shared" si="30"/>
        <v>5</v>
      </c>
      <c r="AM31" s="213"/>
      <c r="AN31" s="54">
        <v>0</v>
      </c>
      <c r="AO31" s="71">
        <v>49</v>
      </c>
      <c r="AP31" s="72">
        <f t="shared" si="31"/>
        <v>49</v>
      </c>
      <c r="AQ31" s="81">
        <f t="shared" si="32"/>
        <v>5</v>
      </c>
      <c r="AR31" s="213"/>
      <c r="AS31" s="54">
        <f t="shared" si="16"/>
        <v>33.5</v>
      </c>
      <c r="AT31" s="91">
        <f t="shared" si="33"/>
        <v>4.7857142857142856</v>
      </c>
      <c r="AU31" s="72">
        <f t="shared" si="34"/>
        <v>689</v>
      </c>
      <c r="AV31" s="77">
        <v>24</v>
      </c>
      <c r="AW31" s="73"/>
      <c r="AX31" s="73" t="str">
        <f t="shared" si="4"/>
        <v>BETTER</v>
      </c>
      <c r="AY31" s="83">
        <f>'1st_Semester'!AU31</f>
        <v>587</v>
      </c>
      <c r="AZ31" s="58">
        <f>'2nd_Semester'!AU31</f>
        <v>611</v>
      </c>
      <c r="BA31" s="83">
        <f t="shared" si="18"/>
        <v>689</v>
      </c>
      <c r="BB31" s="84">
        <f t="shared" si="19"/>
        <v>629</v>
      </c>
      <c r="BC31" s="82"/>
    </row>
    <row r="32" spans="1:55" s="38" customFormat="1" ht="15">
      <c r="A32" s="59">
        <v>25</v>
      </c>
      <c r="B32" s="54">
        <v>57</v>
      </c>
      <c r="C32" s="103" t="s">
        <v>167</v>
      </c>
      <c r="D32" s="103" t="s">
        <v>168</v>
      </c>
      <c r="E32" s="103" t="s">
        <v>169</v>
      </c>
      <c r="F32" s="71">
        <v>20</v>
      </c>
      <c r="G32" s="71">
        <v>77</v>
      </c>
      <c r="H32" s="71">
        <v>10</v>
      </c>
      <c r="I32" s="71">
        <v>33</v>
      </c>
      <c r="J32" s="71">
        <f t="shared" si="20"/>
        <v>140</v>
      </c>
      <c r="K32" s="81">
        <f t="shared" si="6"/>
        <v>5</v>
      </c>
      <c r="L32" s="213"/>
      <c r="M32" s="71">
        <v>19</v>
      </c>
      <c r="N32" s="71">
        <v>62</v>
      </c>
      <c r="O32" s="71">
        <v>10</v>
      </c>
      <c r="P32" s="71">
        <v>35</v>
      </c>
      <c r="Q32" s="71">
        <f t="shared" si="0"/>
        <v>126</v>
      </c>
      <c r="R32" s="81">
        <f t="shared" si="7"/>
        <v>5</v>
      </c>
      <c r="S32" s="213"/>
      <c r="T32" s="71">
        <v>18</v>
      </c>
      <c r="U32" s="71">
        <v>62</v>
      </c>
      <c r="V32" s="71">
        <f t="shared" si="8"/>
        <v>80</v>
      </c>
      <c r="W32" s="81">
        <f t="shared" si="9"/>
        <v>5</v>
      </c>
      <c r="X32" s="213"/>
      <c r="Y32" s="71">
        <v>20</v>
      </c>
      <c r="Z32" s="71">
        <v>74</v>
      </c>
      <c r="AA32" s="71">
        <f t="shared" si="10"/>
        <v>94</v>
      </c>
      <c r="AB32" s="81">
        <f t="shared" si="11"/>
        <v>5</v>
      </c>
      <c r="AC32" s="213"/>
      <c r="AD32" s="71">
        <v>19</v>
      </c>
      <c r="AE32" s="71">
        <v>74</v>
      </c>
      <c r="AF32" s="71">
        <f t="shared" si="1"/>
        <v>93</v>
      </c>
      <c r="AG32" s="81">
        <f t="shared" si="12"/>
        <v>5</v>
      </c>
      <c r="AH32" s="213"/>
      <c r="AI32" s="71">
        <v>20</v>
      </c>
      <c r="AJ32" s="71">
        <v>47</v>
      </c>
      <c r="AK32" s="71">
        <f t="shared" si="2"/>
        <v>67</v>
      </c>
      <c r="AL32" s="81">
        <f t="shared" si="13"/>
        <v>3.5</v>
      </c>
      <c r="AM32" s="213"/>
      <c r="AN32" s="54">
        <v>0</v>
      </c>
      <c r="AO32" s="71">
        <v>49</v>
      </c>
      <c r="AP32" s="72">
        <f t="shared" si="31"/>
        <v>49</v>
      </c>
      <c r="AQ32" s="81">
        <f t="shared" si="32"/>
        <v>5</v>
      </c>
      <c r="AR32" s="213"/>
      <c r="AS32" s="54">
        <f t="shared" si="16"/>
        <v>33.5</v>
      </c>
      <c r="AT32" s="91">
        <f t="shared" si="17"/>
        <v>4.7857142857142856</v>
      </c>
      <c r="AU32" s="72">
        <f t="shared" si="3"/>
        <v>649</v>
      </c>
      <c r="AV32" s="77">
        <v>25</v>
      </c>
      <c r="AW32" s="73"/>
      <c r="AX32" s="73" t="str">
        <f t="shared" si="4"/>
        <v>BETTER</v>
      </c>
      <c r="AY32" s="83">
        <f>'1st_Semester'!AU32</f>
        <v>608</v>
      </c>
      <c r="AZ32" s="58">
        <f>'2nd_Semester'!AU32</f>
        <v>623</v>
      </c>
      <c r="BA32" s="83">
        <f t="shared" si="18"/>
        <v>649</v>
      </c>
      <c r="BB32" s="84">
        <f t="shared" si="19"/>
        <v>626.66666666666663</v>
      </c>
      <c r="BC32" s="82"/>
    </row>
    <row r="33" spans="1:55" s="38" customFormat="1" ht="15">
      <c r="A33" s="59">
        <v>26</v>
      </c>
      <c r="B33" s="54">
        <v>61</v>
      </c>
      <c r="C33" s="103" t="s">
        <v>170</v>
      </c>
      <c r="D33" s="103" t="s">
        <v>171</v>
      </c>
      <c r="E33" s="103" t="s">
        <v>172</v>
      </c>
      <c r="F33" s="71">
        <v>20</v>
      </c>
      <c r="G33" s="71">
        <v>78</v>
      </c>
      <c r="H33" s="71">
        <v>10</v>
      </c>
      <c r="I33" s="71">
        <v>38</v>
      </c>
      <c r="J33" s="71">
        <f t="shared" si="5"/>
        <v>146</v>
      </c>
      <c r="K33" s="81">
        <f t="shared" si="6"/>
        <v>5</v>
      </c>
      <c r="L33" s="213"/>
      <c r="M33" s="71">
        <v>19</v>
      </c>
      <c r="N33" s="71">
        <v>72</v>
      </c>
      <c r="O33" s="71">
        <v>10</v>
      </c>
      <c r="P33" s="71">
        <v>32</v>
      </c>
      <c r="Q33" s="71">
        <f t="shared" si="0"/>
        <v>133</v>
      </c>
      <c r="R33" s="81">
        <f t="shared" si="7"/>
        <v>5</v>
      </c>
      <c r="S33" s="213"/>
      <c r="T33" s="71">
        <v>18</v>
      </c>
      <c r="U33" s="71">
        <v>56</v>
      </c>
      <c r="V33" s="71">
        <f t="shared" si="8"/>
        <v>74</v>
      </c>
      <c r="W33" s="81">
        <f t="shared" si="9"/>
        <v>4</v>
      </c>
      <c r="X33" s="213"/>
      <c r="Y33" s="71">
        <v>20</v>
      </c>
      <c r="Z33" s="71">
        <v>78</v>
      </c>
      <c r="AA33" s="71">
        <f t="shared" si="10"/>
        <v>98</v>
      </c>
      <c r="AB33" s="81">
        <f t="shared" si="11"/>
        <v>5</v>
      </c>
      <c r="AC33" s="213"/>
      <c r="AD33" s="71">
        <v>20</v>
      </c>
      <c r="AE33" s="71">
        <v>76</v>
      </c>
      <c r="AF33" s="71">
        <f t="shared" si="1"/>
        <v>96</v>
      </c>
      <c r="AG33" s="81">
        <f t="shared" si="12"/>
        <v>5</v>
      </c>
      <c r="AH33" s="213"/>
      <c r="AI33" s="71">
        <v>20</v>
      </c>
      <c r="AJ33" s="71">
        <v>77</v>
      </c>
      <c r="AK33" s="71">
        <f t="shared" si="2"/>
        <v>97</v>
      </c>
      <c r="AL33" s="81">
        <f t="shared" si="13"/>
        <v>5</v>
      </c>
      <c r="AM33" s="213"/>
      <c r="AN33" s="54">
        <v>0</v>
      </c>
      <c r="AO33" s="71">
        <v>48</v>
      </c>
      <c r="AP33" s="72">
        <f t="shared" si="14"/>
        <v>48</v>
      </c>
      <c r="AQ33" s="81">
        <f t="shared" si="15"/>
        <v>5</v>
      </c>
      <c r="AR33" s="213"/>
      <c r="AS33" s="54">
        <f t="shared" si="16"/>
        <v>34</v>
      </c>
      <c r="AT33" s="91">
        <f t="shared" si="17"/>
        <v>4.8571428571428568</v>
      </c>
      <c r="AU33" s="72">
        <f t="shared" si="3"/>
        <v>692</v>
      </c>
      <c r="AV33" s="77">
        <v>18</v>
      </c>
      <c r="AW33" s="73"/>
      <c r="AX33" s="73" t="str">
        <f t="shared" si="4"/>
        <v>BETTER</v>
      </c>
      <c r="AY33" s="83">
        <f>'1st_Semester'!AU33</f>
        <v>600</v>
      </c>
      <c r="AZ33" s="58">
        <f>'2nd_Semester'!AU33</f>
        <v>669</v>
      </c>
      <c r="BA33" s="83">
        <f t="shared" si="18"/>
        <v>692</v>
      </c>
      <c r="BB33" s="84">
        <f t="shared" si="19"/>
        <v>653.66666666666663</v>
      </c>
      <c r="BC33" s="82"/>
    </row>
    <row r="34" spans="1:55" s="38" customFormat="1" ht="15">
      <c r="A34" s="59">
        <v>27</v>
      </c>
      <c r="B34" s="54">
        <v>62</v>
      </c>
      <c r="C34" s="103" t="s">
        <v>173</v>
      </c>
      <c r="D34" s="103" t="s">
        <v>174</v>
      </c>
      <c r="E34" s="103" t="s">
        <v>175</v>
      </c>
      <c r="F34" s="71">
        <v>0</v>
      </c>
      <c r="G34" s="71">
        <v>0</v>
      </c>
      <c r="H34" s="71">
        <v>0</v>
      </c>
      <c r="I34" s="71">
        <v>0</v>
      </c>
      <c r="J34" s="71">
        <f t="shared" si="5"/>
        <v>0</v>
      </c>
      <c r="K34" s="81" t="str">
        <f t="shared" si="6"/>
        <v>F</v>
      </c>
      <c r="L34" s="213"/>
      <c r="M34" s="71">
        <v>5</v>
      </c>
      <c r="N34" s="71">
        <v>0</v>
      </c>
      <c r="O34" s="71">
        <v>0</v>
      </c>
      <c r="P34" s="71">
        <v>0</v>
      </c>
      <c r="Q34" s="71">
        <f t="shared" si="0"/>
        <v>5</v>
      </c>
      <c r="R34" s="81" t="str">
        <f t="shared" si="7"/>
        <v>F</v>
      </c>
      <c r="S34" s="213"/>
      <c r="T34" s="71">
        <v>0</v>
      </c>
      <c r="U34" s="71">
        <v>0</v>
      </c>
      <c r="V34" s="71">
        <f t="shared" si="8"/>
        <v>0</v>
      </c>
      <c r="W34" s="81" t="str">
        <f t="shared" si="9"/>
        <v>F</v>
      </c>
      <c r="X34" s="213"/>
      <c r="Y34" s="71">
        <v>20</v>
      </c>
      <c r="Z34" s="71">
        <v>0</v>
      </c>
      <c r="AA34" s="71">
        <f t="shared" si="10"/>
        <v>20</v>
      </c>
      <c r="AB34" s="81" t="str">
        <f t="shared" si="11"/>
        <v>F</v>
      </c>
      <c r="AC34" s="213"/>
      <c r="AD34" s="71">
        <v>0</v>
      </c>
      <c r="AE34" s="71">
        <v>0</v>
      </c>
      <c r="AF34" s="71">
        <f t="shared" si="1"/>
        <v>0</v>
      </c>
      <c r="AG34" s="81" t="str">
        <f t="shared" si="12"/>
        <v>F</v>
      </c>
      <c r="AH34" s="213"/>
      <c r="AI34" s="71">
        <v>0</v>
      </c>
      <c r="AJ34" s="71">
        <v>0</v>
      </c>
      <c r="AK34" s="71">
        <f t="shared" si="2"/>
        <v>0</v>
      </c>
      <c r="AL34" s="81" t="str">
        <f t="shared" si="13"/>
        <v>F</v>
      </c>
      <c r="AM34" s="213"/>
      <c r="AN34" s="54">
        <v>0</v>
      </c>
      <c r="AO34" s="71">
        <v>0</v>
      </c>
      <c r="AP34" s="72">
        <f t="shared" si="14"/>
        <v>0</v>
      </c>
      <c r="AQ34" s="81" t="str">
        <f t="shared" si="15"/>
        <v>F</v>
      </c>
      <c r="AR34" s="213"/>
      <c r="AS34" s="54" t="str">
        <f t="shared" si="16"/>
        <v>F</v>
      </c>
      <c r="AT34" s="91" t="str">
        <f t="shared" si="17"/>
        <v>F</v>
      </c>
      <c r="AU34" s="72">
        <f t="shared" si="3"/>
        <v>25</v>
      </c>
      <c r="AV34" s="77">
        <v>0</v>
      </c>
      <c r="AW34" s="73"/>
      <c r="AX34" s="73" t="str">
        <f t="shared" si="4"/>
        <v>NEED TO PROGRESS</v>
      </c>
      <c r="AY34" s="83">
        <f>'1st_Semester'!AU34</f>
        <v>648</v>
      </c>
      <c r="AZ34" s="58">
        <f>'2nd_Semester'!AU34</f>
        <v>679</v>
      </c>
      <c r="BA34" s="83">
        <f t="shared" si="18"/>
        <v>25</v>
      </c>
      <c r="BB34" s="84">
        <f t="shared" si="19"/>
        <v>450.66666666666669</v>
      </c>
      <c r="BC34" s="82"/>
    </row>
    <row r="35" spans="1:55" s="38" customFormat="1" ht="15">
      <c r="A35" s="59">
        <v>28</v>
      </c>
      <c r="B35" s="54">
        <v>64</v>
      </c>
      <c r="C35" s="103" t="s">
        <v>176</v>
      </c>
      <c r="D35" s="103" t="s">
        <v>177</v>
      </c>
      <c r="E35" s="103" t="s">
        <v>178</v>
      </c>
      <c r="F35" s="71">
        <v>20</v>
      </c>
      <c r="G35" s="71">
        <v>79</v>
      </c>
      <c r="H35" s="71">
        <v>10</v>
      </c>
      <c r="I35" s="71">
        <v>40</v>
      </c>
      <c r="J35" s="71">
        <f t="shared" si="5"/>
        <v>149</v>
      </c>
      <c r="K35" s="81">
        <f t="shared" si="6"/>
        <v>5</v>
      </c>
      <c r="L35" s="213"/>
      <c r="M35" s="71">
        <v>19</v>
      </c>
      <c r="N35" s="71">
        <v>74</v>
      </c>
      <c r="O35" s="71">
        <v>10</v>
      </c>
      <c r="P35" s="71">
        <v>40</v>
      </c>
      <c r="Q35" s="71">
        <f t="shared" si="0"/>
        <v>143</v>
      </c>
      <c r="R35" s="81">
        <f t="shared" si="7"/>
        <v>5</v>
      </c>
      <c r="S35" s="213"/>
      <c r="T35" s="71">
        <v>19</v>
      </c>
      <c r="U35" s="71">
        <v>65</v>
      </c>
      <c r="V35" s="71">
        <f t="shared" si="8"/>
        <v>84</v>
      </c>
      <c r="W35" s="81">
        <f t="shared" si="9"/>
        <v>5</v>
      </c>
      <c r="X35" s="213"/>
      <c r="Y35" s="71">
        <v>20</v>
      </c>
      <c r="Z35" s="71">
        <v>80</v>
      </c>
      <c r="AA35" s="71">
        <f t="shared" si="10"/>
        <v>100</v>
      </c>
      <c r="AB35" s="81">
        <f t="shared" si="11"/>
        <v>5</v>
      </c>
      <c r="AC35" s="213"/>
      <c r="AD35" s="71">
        <v>19</v>
      </c>
      <c r="AE35" s="71">
        <v>77</v>
      </c>
      <c r="AF35" s="71">
        <f t="shared" si="1"/>
        <v>96</v>
      </c>
      <c r="AG35" s="81">
        <f t="shared" si="12"/>
        <v>5</v>
      </c>
      <c r="AH35" s="213"/>
      <c r="AI35" s="71">
        <v>20</v>
      </c>
      <c r="AJ35" s="71">
        <v>61</v>
      </c>
      <c r="AK35" s="71">
        <f t="shared" si="2"/>
        <v>81</v>
      </c>
      <c r="AL35" s="81">
        <f t="shared" si="13"/>
        <v>5</v>
      </c>
      <c r="AM35" s="213"/>
      <c r="AN35" s="54">
        <v>0</v>
      </c>
      <c r="AO35" s="71">
        <v>49</v>
      </c>
      <c r="AP35" s="72">
        <f t="shared" si="14"/>
        <v>49</v>
      </c>
      <c r="AQ35" s="81">
        <f t="shared" si="15"/>
        <v>5</v>
      </c>
      <c r="AR35" s="213"/>
      <c r="AS35" s="54">
        <f t="shared" si="16"/>
        <v>35</v>
      </c>
      <c r="AT35" s="91">
        <f t="shared" si="17"/>
        <v>5</v>
      </c>
      <c r="AU35" s="72">
        <f t="shared" si="3"/>
        <v>702</v>
      </c>
      <c r="AV35" s="77">
        <v>9</v>
      </c>
      <c r="AW35" s="73"/>
      <c r="AX35" s="73" t="str">
        <f t="shared" si="4"/>
        <v>BEST</v>
      </c>
      <c r="AY35" s="83">
        <f>'1st_Semester'!AU35</f>
        <v>671</v>
      </c>
      <c r="AZ35" s="58">
        <f>'2nd_Semester'!AU35</f>
        <v>706</v>
      </c>
      <c r="BA35" s="83">
        <f t="shared" si="18"/>
        <v>702</v>
      </c>
      <c r="BB35" s="84">
        <f t="shared" si="19"/>
        <v>693</v>
      </c>
      <c r="BC35" s="82"/>
    </row>
    <row r="36" spans="1:55" s="38" customFormat="1" ht="15">
      <c r="A36" s="59">
        <v>29</v>
      </c>
      <c r="B36" s="54">
        <v>65</v>
      </c>
      <c r="C36" s="103" t="s">
        <v>179</v>
      </c>
      <c r="D36" s="103" t="s">
        <v>180</v>
      </c>
      <c r="E36" s="103" t="s">
        <v>181</v>
      </c>
      <c r="F36" s="71">
        <v>20</v>
      </c>
      <c r="G36" s="71">
        <v>78</v>
      </c>
      <c r="H36" s="71">
        <v>10</v>
      </c>
      <c r="I36" s="71">
        <v>39</v>
      </c>
      <c r="J36" s="71">
        <f t="shared" si="5"/>
        <v>147</v>
      </c>
      <c r="K36" s="81">
        <f t="shared" si="6"/>
        <v>5</v>
      </c>
      <c r="L36" s="213"/>
      <c r="M36" s="71">
        <v>19</v>
      </c>
      <c r="N36" s="71">
        <v>78</v>
      </c>
      <c r="O36" s="71">
        <v>10</v>
      </c>
      <c r="P36" s="71">
        <v>36</v>
      </c>
      <c r="Q36" s="71">
        <f t="shared" si="0"/>
        <v>143</v>
      </c>
      <c r="R36" s="81">
        <f t="shared" si="7"/>
        <v>5</v>
      </c>
      <c r="S36" s="213"/>
      <c r="T36" s="71">
        <v>19</v>
      </c>
      <c r="U36" s="71">
        <v>56</v>
      </c>
      <c r="V36" s="71">
        <f t="shared" si="8"/>
        <v>75</v>
      </c>
      <c r="W36" s="81">
        <f t="shared" si="9"/>
        <v>4</v>
      </c>
      <c r="X36" s="213"/>
      <c r="Y36" s="71">
        <v>20</v>
      </c>
      <c r="Z36" s="71">
        <v>79</v>
      </c>
      <c r="AA36" s="71">
        <f t="shared" si="10"/>
        <v>99</v>
      </c>
      <c r="AB36" s="81">
        <f t="shared" si="11"/>
        <v>5</v>
      </c>
      <c r="AC36" s="213"/>
      <c r="AD36" s="71">
        <v>20</v>
      </c>
      <c r="AE36" s="71">
        <v>74</v>
      </c>
      <c r="AF36" s="71">
        <f t="shared" si="1"/>
        <v>94</v>
      </c>
      <c r="AG36" s="81">
        <f t="shared" si="12"/>
        <v>5</v>
      </c>
      <c r="AH36" s="213"/>
      <c r="AI36" s="71">
        <v>20</v>
      </c>
      <c r="AJ36" s="71">
        <v>70</v>
      </c>
      <c r="AK36" s="71">
        <f t="shared" si="2"/>
        <v>90</v>
      </c>
      <c r="AL36" s="81">
        <f t="shared" si="13"/>
        <v>5</v>
      </c>
      <c r="AM36" s="213"/>
      <c r="AN36" s="54">
        <v>0</v>
      </c>
      <c r="AO36" s="71">
        <v>49</v>
      </c>
      <c r="AP36" s="72">
        <f t="shared" si="14"/>
        <v>49</v>
      </c>
      <c r="AQ36" s="81">
        <f t="shared" si="15"/>
        <v>5</v>
      </c>
      <c r="AR36" s="213"/>
      <c r="AS36" s="54">
        <f t="shared" si="16"/>
        <v>34</v>
      </c>
      <c r="AT36" s="91">
        <f t="shared" si="17"/>
        <v>4.8571428571428568</v>
      </c>
      <c r="AU36" s="72">
        <f t="shared" si="3"/>
        <v>697</v>
      </c>
      <c r="AV36" s="77">
        <v>15</v>
      </c>
      <c r="AW36" s="73"/>
      <c r="AX36" s="73" t="str">
        <f t="shared" si="4"/>
        <v>BETTER</v>
      </c>
      <c r="AY36" s="83">
        <f>'1st_Semester'!AU36</f>
        <v>636</v>
      </c>
      <c r="AZ36" s="58">
        <f>'2nd_Semester'!AU36</f>
        <v>663</v>
      </c>
      <c r="BA36" s="83">
        <f t="shared" si="18"/>
        <v>697</v>
      </c>
      <c r="BB36" s="84">
        <f t="shared" si="19"/>
        <v>665.33333333333337</v>
      </c>
      <c r="BC36" s="82"/>
    </row>
    <row r="37" spans="1:55" s="38" customFormat="1" ht="15">
      <c r="A37" s="59">
        <v>30</v>
      </c>
      <c r="B37" s="54">
        <v>75</v>
      </c>
      <c r="C37" s="103" t="s">
        <v>182</v>
      </c>
      <c r="D37" s="103" t="s">
        <v>183</v>
      </c>
      <c r="E37" s="103" t="s">
        <v>184</v>
      </c>
      <c r="F37" s="71">
        <v>20</v>
      </c>
      <c r="G37" s="71">
        <v>78</v>
      </c>
      <c r="H37" s="71">
        <v>10</v>
      </c>
      <c r="I37" s="71">
        <v>40</v>
      </c>
      <c r="J37" s="71">
        <f t="shared" si="5"/>
        <v>148</v>
      </c>
      <c r="K37" s="81">
        <f t="shared" si="6"/>
        <v>5</v>
      </c>
      <c r="L37" s="213"/>
      <c r="M37" s="71">
        <v>19</v>
      </c>
      <c r="N37" s="71">
        <v>70</v>
      </c>
      <c r="O37" s="71">
        <v>10</v>
      </c>
      <c r="P37" s="71">
        <v>37</v>
      </c>
      <c r="Q37" s="71">
        <f t="shared" si="0"/>
        <v>136</v>
      </c>
      <c r="R37" s="81">
        <f t="shared" si="7"/>
        <v>5</v>
      </c>
      <c r="S37" s="213"/>
      <c r="T37" s="71">
        <v>20</v>
      </c>
      <c r="U37" s="71">
        <v>58</v>
      </c>
      <c r="V37" s="71">
        <f t="shared" si="8"/>
        <v>78</v>
      </c>
      <c r="W37" s="81">
        <f t="shared" si="9"/>
        <v>4</v>
      </c>
      <c r="X37" s="213"/>
      <c r="Y37" s="71">
        <v>20</v>
      </c>
      <c r="Z37" s="71">
        <v>78</v>
      </c>
      <c r="AA37" s="71">
        <f t="shared" si="10"/>
        <v>98</v>
      </c>
      <c r="AB37" s="81">
        <f t="shared" si="11"/>
        <v>5</v>
      </c>
      <c r="AC37" s="213"/>
      <c r="AD37" s="71">
        <v>20</v>
      </c>
      <c r="AE37" s="71">
        <v>75</v>
      </c>
      <c r="AF37" s="71">
        <f t="shared" si="1"/>
        <v>95</v>
      </c>
      <c r="AG37" s="81">
        <f t="shared" si="12"/>
        <v>5</v>
      </c>
      <c r="AH37" s="213"/>
      <c r="AI37" s="71">
        <v>20</v>
      </c>
      <c r="AJ37" s="71">
        <v>65</v>
      </c>
      <c r="AK37" s="71">
        <f t="shared" si="2"/>
        <v>85</v>
      </c>
      <c r="AL37" s="81">
        <f t="shared" si="13"/>
        <v>5</v>
      </c>
      <c r="AM37" s="213"/>
      <c r="AN37" s="54">
        <v>0</v>
      </c>
      <c r="AO37" s="71">
        <v>49</v>
      </c>
      <c r="AP37" s="72">
        <f t="shared" si="14"/>
        <v>49</v>
      </c>
      <c r="AQ37" s="81">
        <f t="shared" si="15"/>
        <v>5</v>
      </c>
      <c r="AR37" s="213"/>
      <c r="AS37" s="54">
        <f t="shared" si="16"/>
        <v>34</v>
      </c>
      <c r="AT37" s="91">
        <f t="shared" si="17"/>
        <v>4.8571428571428568</v>
      </c>
      <c r="AU37" s="72">
        <f t="shared" si="3"/>
        <v>689</v>
      </c>
      <c r="AV37" s="77">
        <v>14</v>
      </c>
      <c r="AW37" s="73"/>
      <c r="AX37" s="73" t="str">
        <f t="shared" si="4"/>
        <v>BETTER</v>
      </c>
      <c r="AY37" s="83">
        <f>'1st_Semester'!AU37</f>
        <v>627</v>
      </c>
      <c r="AZ37" s="58">
        <f>'2nd_Semester'!AU37</f>
        <v>687</v>
      </c>
      <c r="BA37" s="83">
        <f t="shared" si="18"/>
        <v>689</v>
      </c>
      <c r="BB37" s="84">
        <f t="shared" si="19"/>
        <v>667.66666666666663</v>
      </c>
      <c r="BC37" s="82"/>
    </row>
    <row r="38" spans="1:55" s="38" customFormat="1" ht="15">
      <c r="A38" s="59">
        <v>31</v>
      </c>
      <c r="B38" s="54">
        <v>76</v>
      </c>
      <c r="C38" s="103" t="s">
        <v>185</v>
      </c>
      <c r="D38" s="103" t="s">
        <v>186</v>
      </c>
      <c r="E38" s="103" t="s">
        <v>187</v>
      </c>
      <c r="F38" s="71">
        <v>20</v>
      </c>
      <c r="G38" s="71">
        <v>79</v>
      </c>
      <c r="H38" s="71">
        <v>10</v>
      </c>
      <c r="I38" s="71">
        <v>39</v>
      </c>
      <c r="J38" s="71">
        <f t="shared" si="5"/>
        <v>148</v>
      </c>
      <c r="K38" s="81">
        <f t="shared" si="6"/>
        <v>5</v>
      </c>
      <c r="L38" s="213"/>
      <c r="M38" s="71">
        <v>19</v>
      </c>
      <c r="N38" s="71">
        <v>74</v>
      </c>
      <c r="O38" s="71">
        <v>9</v>
      </c>
      <c r="P38" s="71">
        <v>38</v>
      </c>
      <c r="Q38" s="71">
        <f t="shared" si="0"/>
        <v>140</v>
      </c>
      <c r="R38" s="81">
        <f t="shared" si="7"/>
        <v>5</v>
      </c>
      <c r="S38" s="213"/>
      <c r="T38" s="71">
        <v>20</v>
      </c>
      <c r="U38" s="71">
        <v>73</v>
      </c>
      <c r="V38" s="71">
        <f t="shared" si="8"/>
        <v>93</v>
      </c>
      <c r="W38" s="81">
        <f t="shared" si="9"/>
        <v>5</v>
      </c>
      <c r="X38" s="213"/>
      <c r="Y38" s="71">
        <v>20</v>
      </c>
      <c r="Z38" s="71">
        <v>78</v>
      </c>
      <c r="AA38" s="71">
        <f t="shared" si="10"/>
        <v>98</v>
      </c>
      <c r="AB38" s="81">
        <f t="shared" si="11"/>
        <v>5</v>
      </c>
      <c r="AC38" s="213"/>
      <c r="AD38" s="71">
        <v>20</v>
      </c>
      <c r="AE38" s="71">
        <v>76</v>
      </c>
      <c r="AF38" s="71">
        <f t="shared" si="1"/>
        <v>96</v>
      </c>
      <c r="AG38" s="81">
        <f t="shared" si="12"/>
        <v>5</v>
      </c>
      <c r="AH38" s="213"/>
      <c r="AI38" s="71">
        <v>20</v>
      </c>
      <c r="AJ38" s="71">
        <v>73</v>
      </c>
      <c r="AK38" s="71">
        <f t="shared" si="2"/>
        <v>93</v>
      </c>
      <c r="AL38" s="81">
        <f t="shared" si="13"/>
        <v>5</v>
      </c>
      <c r="AM38" s="213"/>
      <c r="AN38" s="54">
        <v>0</v>
      </c>
      <c r="AO38" s="71">
        <v>48</v>
      </c>
      <c r="AP38" s="72">
        <f t="shared" si="14"/>
        <v>48</v>
      </c>
      <c r="AQ38" s="81">
        <f t="shared" si="15"/>
        <v>5</v>
      </c>
      <c r="AR38" s="213"/>
      <c r="AS38" s="54">
        <f t="shared" si="16"/>
        <v>35</v>
      </c>
      <c r="AT38" s="91">
        <f t="shared" si="17"/>
        <v>5</v>
      </c>
      <c r="AU38" s="72">
        <f t="shared" si="3"/>
        <v>716</v>
      </c>
      <c r="AV38" s="77">
        <v>8</v>
      </c>
      <c r="AW38" s="73"/>
      <c r="AX38" s="73" t="str">
        <f t="shared" si="4"/>
        <v>BEST</v>
      </c>
      <c r="AY38" s="83">
        <f>'1st_Semester'!AU38</f>
        <v>661</v>
      </c>
      <c r="AZ38" s="58">
        <f>'2nd_Semester'!AU38</f>
        <v>716</v>
      </c>
      <c r="BA38" s="83">
        <f t="shared" si="18"/>
        <v>716</v>
      </c>
      <c r="BB38" s="84">
        <f t="shared" si="19"/>
        <v>697.66666666666663</v>
      </c>
      <c r="BC38" s="82"/>
    </row>
    <row r="39" spans="1:55" s="38" customFormat="1" ht="15">
      <c r="A39" s="59">
        <v>32</v>
      </c>
      <c r="B39" s="54">
        <v>77</v>
      </c>
      <c r="C39" s="103" t="s">
        <v>188</v>
      </c>
      <c r="D39" s="103" t="s">
        <v>189</v>
      </c>
      <c r="E39" s="103" t="s">
        <v>190</v>
      </c>
      <c r="F39" s="71">
        <v>20</v>
      </c>
      <c r="G39" s="71">
        <v>80</v>
      </c>
      <c r="H39" s="71">
        <v>10</v>
      </c>
      <c r="I39" s="71">
        <v>38</v>
      </c>
      <c r="J39" s="71">
        <f t="shared" si="5"/>
        <v>148</v>
      </c>
      <c r="K39" s="81">
        <f t="shared" si="6"/>
        <v>5</v>
      </c>
      <c r="L39" s="213"/>
      <c r="M39" s="71">
        <v>18</v>
      </c>
      <c r="N39" s="71">
        <v>77</v>
      </c>
      <c r="O39" s="71">
        <v>10</v>
      </c>
      <c r="P39" s="71">
        <v>40</v>
      </c>
      <c r="Q39" s="71">
        <f t="shared" si="0"/>
        <v>145</v>
      </c>
      <c r="R39" s="81">
        <f t="shared" si="7"/>
        <v>5</v>
      </c>
      <c r="S39" s="213"/>
      <c r="T39" s="71">
        <v>18</v>
      </c>
      <c r="U39" s="71">
        <v>64</v>
      </c>
      <c r="V39" s="71">
        <f t="shared" si="8"/>
        <v>82</v>
      </c>
      <c r="W39" s="81">
        <f t="shared" si="9"/>
        <v>5</v>
      </c>
      <c r="X39" s="213"/>
      <c r="Y39" s="71">
        <v>20</v>
      </c>
      <c r="Z39" s="71">
        <v>80</v>
      </c>
      <c r="AA39" s="71">
        <f t="shared" si="10"/>
        <v>100</v>
      </c>
      <c r="AB39" s="81">
        <f t="shared" si="11"/>
        <v>5</v>
      </c>
      <c r="AC39" s="213"/>
      <c r="AD39" s="71">
        <v>20</v>
      </c>
      <c r="AE39" s="71">
        <v>79</v>
      </c>
      <c r="AF39" s="71">
        <f t="shared" si="1"/>
        <v>99</v>
      </c>
      <c r="AG39" s="81">
        <f t="shared" si="12"/>
        <v>5</v>
      </c>
      <c r="AH39" s="213"/>
      <c r="AI39" s="71">
        <v>20</v>
      </c>
      <c r="AJ39" s="71">
        <v>72</v>
      </c>
      <c r="AK39" s="71">
        <f t="shared" si="2"/>
        <v>92</v>
      </c>
      <c r="AL39" s="81">
        <f t="shared" si="13"/>
        <v>5</v>
      </c>
      <c r="AM39" s="213"/>
      <c r="AN39" s="54">
        <v>0</v>
      </c>
      <c r="AO39" s="71">
        <v>50</v>
      </c>
      <c r="AP39" s="72">
        <f t="shared" si="14"/>
        <v>50</v>
      </c>
      <c r="AQ39" s="81">
        <f t="shared" si="15"/>
        <v>5</v>
      </c>
      <c r="AR39" s="213"/>
      <c r="AS39" s="54">
        <f t="shared" si="16"/>
        <v>35</v>
      </c>
      <c r="AT39" s="91">
        <f t="shared" si="17"/>
        <v>5</v>
      </c>
      <c r="AU39" s="72">
        <f t="shared" si="3"/>
        <v>716</v>
      </c>
      <c r="AV39" s="77">
        <v>45</v>
      </c>
      <c r="AW39" s="73"/>
      <c r="AX39" s="73" t="str">
        <f t="shared" si="4"/>
        <v>BEST</v>
      </c>
      <c r="AY39" s="83">
        <f>'1st_Semester'!AU39</f>
        <v>704</v>
      </c>
      <c r="AZ39" s="58">
        <f>'2nd_Semester'!AU39</f>
        <v>137</v>
      </c>
      <c r="BA39" s="83">
        <f t="shared" si="18"/>
        <v>716</v>
      </c>
      <c r="BB39" s="84">
        <f t="shared" si="19"/>
        <v>519</v>
      </c>
      <c r="BC39" s="82"/>
    </row>
    <row r="40" spans="1:55" s="38" customFormat="1" ht="15">
      <c r="A40" s="59">
        <v>33</v>
      </c>
      <c r="B40" s="54">
        <v>79</v>
      </c>
      <c r="C40" s="103" t="s">
        <v>191</v>
      </c>
      <c r="D40" s="55" t="s">
        <v>192</v>
      </c>
      <c r="E40" s="55" t="s">
        <v>193</v>
      </c>
      <c r="F40" s="71">
        <v>20</v>
      </c>
      <c r="G40" s="71">
        <v>80</v>
      </c>
      <c r="H40" s="71">
        <v>10</v>
      </c>
      <c r="I40" s="71">
        <v>40</v>
      </c>
      <c r="J40" s="71">
        <f t="shared" si="5"/>
        <v>150</v>
      </c>
      <c r="K40" s="81">
        <f t="shared" si="6"/>
        <v>5</v>
      </c>
      <c r="L40" s="213"/>
      <c r="M40" s="71">
        <v>19</v>
      </c>
      <c r="N40" s="71">
        <v>78</v>
      </c>
      <c r="O40" s="71">
        <v>10</v>
      </c>
      <c r="P40" s="71">
        <v>40</v>
      </c>
      <c r="Q40" s="71">
        <f t="shared" si="0"/>
        <v>147</v>
      </c>
      <c r="R40" s="81">
        <f t="shared" si="7"/>
        <v>5</v>
      </c>
      <c r="S40" s="213"/>
      <c r="T40" s="71">
        <v>15</v>
      </c>
      <c r="U40" s="71">
        <v>75</v>
      </c>
      <c r="V40" s="71">
        <f t="shared" si="8"/>
        <v>90</v>
      </c>
      <c r="W40" s="81">
        <f t="shared" si="9"/>
        <v>5</v>
      </c>
      <c r="X40" s="213"/>
      <c r="Y40" s="71">
        <v>20</v>
      </c>
      <c r="Z40" s="71">
        <v>80</v>
      </c>
      <c r="AA40" s="71">
        <f t="shared" si="10"/>
        <v>100</v>
      </c>
      <c r="AB40" s="81">
        <f t="shared" si="11"/>
        <v>5</v>
      </c>
      <c r="AC40" s="213"/>
      <c r="AD40" s="71">
        <v>20</v>
      </c>
      <c r="AE40" s="71">
        <v>79</v>
      </c>
      <c r="AF40" s="71">
        <f t="shared" si="1"/>
        <v>99</v>
      </c>
      <c r="AG40" s="81">
        <f t="shared" si="12"/>
        <v>5</v>
      </c>
      <c r="AH40" s="213"/>
      <c r="AI40" s="71">
        <v>20</v>
      </c>
      <c r="AJ40" s="71">
        <v>74</v>
      </c>
      <c r="AK40" s="71">
        <f t="shared" si="2"/>
        <v>94</v>
      </c>
      <c r="AL40" s="81">
        <f t="shared" si="13"/>
        <v>5</v>
      </c>
      <c r="AM40" s="213"/>
      <c r="AN40" s="54">
        <v>0</v>
      </c>
      <c r="AO40" s="71">
        <v>49</v>
      </c>
      <c r="AP40" s="72">
        <f t="shared" si="14"/>
        <v>49</v>
      </c>
      <c r="AQ40" s="81">
        <f t="shared" si="15"/>
        <v>5</v>
      </c>
      <c r="AR40" s="213"/>
      <c r="AS40" s="54">
        <f t="shared" si="16"/>
        <v>35</v>
      </c>
      <c r="AT40" s="91">
        <f t="shared" si="17"/>
        <v>5</v>
      </c>
      <c r="AU40" s="72">
        <f t="shared" si="3"/>
        <v>729</v>
      </c>
      <c r="AV40" s="77">
        <v>2</v>
      </c>
      <c r="AW40" s="73"/>
      <c r="AX40" s="73" t="str">
        <f t="shared" si="4"/>
        <v>BEST</v>
      </c>
      <c r="AY40" s="83">
        <f>'1st_Semester'!AU40</f>
        <v>719</v>
      </c>
      <c r="AZ40" s="58">
        <f>'2nd_Semester'!AU40</f>
        <v>735</v>
      </c>
      <c r="BA40" s="83">
        <f t="shared" si="18"/>
        <v>729</v>
      </c>
      <c r="BB40" s="84">
        <f t="shared" si="19"/>
        <v>727.66666666666663</v>
      </c>
      <c r="BC40" s="82"/>
    </row>
    <row r="41" spans="1:55" s="38" customFormat="1" ht="15.95" customHeight="1">
      <c r="A41" s="59">
        <v>34</v>
      </c>
      <c r="B41" s="54">
        <v>84</v>
      </c>
      <c r="C41" s="55" t="s">
        <v>194</v>
      </c>
      <c r="D41" s="55" t="s">
        <v>195</v>
      </c>
      <c r="E41" s="55" t="s">
        <v>196</v>
      </c>
      <c r="F41" s="71">
        <v>20</v>
      </c>
      <c r="G41" s="71">
        <v>79</v>
      </c>
      <c r="H41" s="71">
        <v>10</v>
      </c>
      <c r="I41" s="71">
        <v>40</v>
      </c>
      <c r="J41" s="71">
        <f t="shared" si="5"/>
        <v>149</v>
      </c>
      <c r="K41" s="81">
        <f t="shared" si="6"/>
        <v>5</v>
      </c>
      <c r="L41" s="213"/>
      <c r="M41" s="71">
        <v>19</v>
      </c>
      <c r="N41" s="71">
        <v>76</v>
      </c>
      <c r="O41" s="71">
        <v>10</v>
      </c>
      <c r="P41" s="71">
        <v>39</v>
      </c>
      <c r="Q41" s="71">
        <f t="shared" si="0"/>
        <v>144</v>
      </c>
      <c r="R41" s="81">
        <f t="shared" si="7"/>
        <v>5</v>
      </c>
      <c r="S41" s="213"/>
      <c r="T41" s="71">
        <v>19</v>
      </c>
      <c r="U41" s="71">
        <v>70</v>
      </c>
      <c r="V41" s="71">
        <f t="shared" si="8"/>
        <v>89</v>
      </c>
      <c r="W41" s="81">
        <f t="shared" si="9"/>
        <v>5</v>
      </c>
      <c r="X41" s="213"/>
      <c r="Y41" s="71">
        <v>20</v>
      </c>
      <c r="Z41" s="71">
        <v>80</v>
      </c>
      <c r="AA41" s="71">
        <f t="shared" si="10"/>
        <v>100</v>
      </c>
      <c r="AB41" s="81">
        <f t="shared" si="11"/>
        <v>5</v>
      </c>
      <c r="AC41" s="213"/>
      <c r="AD41" s="71">
        <v>20</v>
      </c>
      <c r="AE41" s="71">
        <v>76</v>
      </c>
      <c r="AF41" s="71">
        <f t="shared" si="1"/>
        <v>96</v>
      </c>
      <c r="AG41" s="81">
        <f t="shared" si="12"/>
        <v>5</v>
      </c>
      <c r="AH41" s="213"/>
      <c r="AI41" s="71">
        <v>20</v>
      </c>
      <c r="AJ41" s="71">
        <v>73</v>
      </c>
      <c r="AK41" s="71">
        <f t="shared" si="2"/>
        <v>93</v>
      </c>
      <c r="AL41" s="81">
        <f t="shared" si="13"/>
        <v>5</v>
      </c>
      <c r="AM41" s="213"/>
      <c r="AN41" s="54">
        <v>0</v>
      </c>
      <c r="AO41" s="71">
        <v>48</v>
      </c>
      <c r="AP41" s="72">
        <f t="shared" si="14"/>
        <v>48</v>
      </c>
      <c r="AQ41" s="81">
        <f t="shared" si="15"/>
        <v>5</v>
      </c>
      <c r="AR41" s="213"/>
      <c r="AS41" s="54">
        <f t="shared" si="16"/>
        <v>35</v>
      </c>
      <c r="AT41" s="91">
        <f t="shared" si="17"/>
        <v>5</v>
      </c>
      <c r="AU41" s="72">
        <f t="shared" si="3"/>
        <v>719</v>
      </c>
      <c r="AV41" s="77">
        <v>5</v>
      </c>
      <c r="AW41" s="73"/>
      <c r="AX41" s="73" t="str">
        <f t="shared" si="4"/>
        <v>BEST</v>
      </c>
      <c r="AY41" s="83">
        <f>'1st_Semester'!AU41</f>
        <v>672</v>
      </c>
      <c r="AZ41" s="58">
        <f>'2nd_Semester'!AU41</f>
        <v>723</v>
      </c>
      <c r="BA41" s="83">
        <f t="shared" si="18"/>
        <v>719</v>
      </c>
      <c r="BB41" s="84">
        <f t="shared" si="19"/>
        <v>704.66666666666663</v>
      </c>
      <c r="BC41" s="82"/>
    </row>
    <row r="42" spans="1:55" s="38" customFormat="1" ht="15.95" customHeight="1">
      <c r="A42" s="59">
        <v>35</v>
      </c>
      <c r="B42" s="54">
        <v>85</v>
      </c>
      <c r="C42" s="55" t="s">
        <v>197</v>
      </c>
      <c r="D42" s="55" t="s">
        <v>198</v>
      </c>
      <c r="E42" s="55" t="s">
        <v>199</v>
      </c>
      <c r="F42" s="71">
        <v>0</v>
      </c>
      <c r="G42" s="71"/>
      <c r="H42" s="71">
        <v>0</v>
      </c>
      <c r="I42" s="71">
        <v>0</v>
      </c>
      <c r="J42" s="71">
        <f t="shared" si="5"/>
        <v>0</v>
      </c>
      <c r="K42" s="81" t="str">
        <f t="shared" si="6"/>
        <v>F</v>
      </c>
      <c r="L42" s="213"/>
      <c r="M42" s="71">
        <v>0</v>
      </c>
      <c r="N42" s="71">
        <v>0</v>
      </c>
      <c r="O42" s="71">
        <v>0</v>
      </c>
      <c r="P42" s="71">
        <v>0</v>
      </c>
      <c r="Q42" s="71">
        <f t="shared" si="0"/>
        <v>0</v>
      </c>
      <c r="R42" s="81" t="str">
        <f t="shared" si="7"/>
        <v>F</v>
      </c>
      <c r="S42" s="213"/>
      <c r="T42" s="71">
        <v>0</v>
      </c>
      <c r="U42" s="71">
        <v>0</v>
      </c>
      <c r="V42" s="71">
        <f t="shared" si="8"/>
        <v>0</v>
      </c>
      <c r="W42" s="81" t="str">
        <f t="shared" si="9"/>
        <v>F</v>
      </c>
      <c r="X42" s="213"/>
      <c r="Y42" s="71">
        <v>0</v>
      </c>
      <c r="Z42" s="71">
        <v>0</v>
      </c>
      <c r="AA42" s="71">
        <f t="shared" si="10"/>
        <v>0</v>
      </c>
      <c r="AB42" s="81" t="str">
        <f t="shared" si="11"/>
        <v>F</v>
      </c>
      <c r="AC42" s="213"/>
      <c r="AD42" s="71">
        <v>0</v>
      </c>
      <c r="AE42" s="71">
        <v>0</v>
      </c>
      <c r="AF42" s="71">
        <f t="shared" si="1"/>
        <v>0</v>
      </c>
      <c r="AG42" s="81" t="str">
        <f t="shared" si="12"/>
        <v>F</v>
      </c>
      <c r="AH42" s="213"/>
      <c r="AI42" s="71">
        <v>0</v>
      </c>
      <c r="AJ42" s="71">
        <v>0</v>
      </c>
      <c r="AK42" s="71">
        <f t="shared" si="2"/>
        <v>0</v>
      </c>
      <c r="AL42" s="81" t="str">
        <f t="shared" si="13"/>
        <v>F</v>
      </c>
      <c r="AM42" s="213"/>
      <c r="AN42" s="54">
        <v>0</v>
      </c>
      <c r="AO42" s="71">
        <v>0</v>
      </c>
      <c r="AP42" s="72">
        <f t="shared" si="14"/>
        <v>0</v>
      </c>
      <c r="AQ42" s="81" t="str">
        <f t="shared" si="15"/>
        <v>F</v>
      </c>
      <c r="AR42" s="213"/>
      <c r="AS42" s="54" t="str">
        <f t="shared" si="16"/>
        <v>F</v>
      </c>
      <c r="AT42" s="91" t="str">
        <f t="shared" si="17"/>
        <v>F</v>
      </c>
      <c r="AU42" s="72">
        <f t="shared" si="3"/>
        <v>0</v>
      </c>
      <c r="AV42" s="77">
        <v>0</v>
      </c>
      <c r="AW42" s="73"/>
      <c r="AX42" s="73" t="str">
        <f t="shared" si="4"/>
        <v>NEED TO PROGRESS</v>
      </c>
      <c r="AY42" s="83">
        <f>'1st_Semester'!AU42</f>
        <v>671</v>
      </c>
      <c r="AZ42" s="58">
        <f>'2nd_Semester'!AU42</f>
        <v>650</v>
      </c>
      <c r="BA42" s="83">
        <f t="shared" si="18"/>
        <v>0</v>
      </c>
      <c r="BB42" s="84">
        <f t="shared" si="19"/>
        <v>440.33333333333331</v>
      </c>
      <c r="BC42" s="82"/>
    </row>
    <row r="43" spans="1:55" s="38" customFormat="1" ht="15.95" customHeight="1" thickBot="1">
      <c r="A43" s="134">
        <v>36</v>
      </c>
      <c r="B43" s="135">
        <v>90</v>
      </c>
      <c r="C43" s="132" t="s">
        <v>200</v>
      </c>
      <c r="D43" s="136" t="s">
        <v>201</v>
      </c>
      <c r="E43" s="132" t="s">
        <v>191</v>
      </c>
      <c r="F43" s="137">
        <v>0</v>
      </c>
      <c r="G43" s="138"/>
      <c r="H43" s="137">
        <v>0</v>
      </c>
      <c r="I43" s="138">
        <v>0</v>
      </c>
      <c r="J43" s="137">
        <f>I43+H43+G43+F43</f>
        <v>0</v>
      </c>
      <c r="K43" s="139" t="str">
        <f t="shared" si="6"/>
        <v>F</v>
      </c>
      <c r="L43" s="213"/>
      <c r="M43" s="137">
        <v>0</v>
      </c>
      <c r="N43" s="138">
        <v>0</v>
      </c>
      <c r="O43" s="137">
        <v>0</v>
      </c>
      <c r="P43" s="138">
        <v>0</v>
      </c>
      <c r="Q43" s="137">
        <f t="shared" si="0"/>
        <v>0</v>
      </c>
      <c r="R43" s="139" t="str">
        <f t="shared" si="7"/>
        <v>F</v>
      </c>
      <c r="S43" s="213"/>
      <c r="T43" s="138">
        <v>0</v>
      </c>
      <c r="U43" s="138">
        <v>0</v>
      </c>
      <c r="V43" s="137">
        <f t="shared" si="8"/>
        <v>0</v>
      </c>
      <c r="W43" s="139" t="str">
        <f t="shared" si="9"/>
        <v>F</v>
      </c>
      <c r="X43" s="214"/>
      <c r="Y43" s="137">
        <v>0</v>
      </c>
      <c r="Z43" s="137">
        <v>0</v>
      </c>
      <c r="AA43" s="137">
        <f t="shared" si="10"/>
        <v>0</v>
      </c>
      <c r="AB43" s="139" t="str">
        <f t="shared" si="11"/>
        <v>F</v>
      </c>
      <c r="AC43" s="213"/>
      <c r="AD43" s="138">
        <v>0</v>
      </c>
      <c r="AE43" s="138">
        <v>0</v>
      </c>
      <c r="AF43" s="137">
        <f t="shared" si="1"/>
        <v>0</v>
      </c>
      <c r="AG43" s="139" t="str">
        <f t="shared" si="12"/>
        <v>F</v>
      </c>
      <c r="AH43" s="213"/>
      <c r="AI43" s="137">
        <v>0</v>
      </c>
      <c r="AJ43" s="138">
        <v>0</v>
      </c>
      <c r="AK43" s="137">
        <f t="shared" si="2"/>
        <v>0</v>
      </c>
      <c r="AL43" s="139" t="str">
        <f t="shared" si="13"/>
        <v>F</v>
      </c>
      <c r="AM43" s="213"/>
      <c r="AN43" s="138">
        <v>0</v>
      </c>
      <c r="AO43" s="138">
        <v>0</v>
      </c>
      <c r="AP43" s="129">
        <f t="shared" si="14"/>
        <v>0</v>
      </c>
      <c r="AQ43" s="139" t="str">
        <f t="shared" si="15"/>
        <v>F</v>
      </c>
      <c r="AR43" s="213"/>
      <c r="AS43" s="54" t="str">
        <f t="shared" si="16"/>
        <v>F</v>
      </c>
      <c r="AT43" s="140" t="str">
        <f t="shared" si="17"/>
        <v>F</v>
      </c>
      <c r="AU43" s="129">
        <f t="shared" si="3"/>
        <v>0</v>
      </c>
      <c r="AV43" s="141">
        <v>0</v>
      </c>
      <c r="AW43" s="142"/>
      <c r="AX43" s="73" t="str">
        <f t="shared" si="4"/>
        <v>NEED TO PROGRESS</v>
      </c>
      <c r="AY43" s="83">
        <f>'1st_Semester'!AU43</f>
        <v>637</v>
      </c>
      <c r="AZ43" s="58">
        <f>'2nd_Semester'!AU43</f>
        <v>707</v>
      </c>
      <c r="BA43" s="83">
        <f t="shared" si="18"/>
        <v>0</v>
      </c>
      <c r="BB43" s="84">
        <f t="shared" si="19"/>
        <v>448</v>
      </c>
      <c r="BC43" s="143"/>
    </row>
    <row r="44" spans="1:55" s="153" customFormat="1" ht="15.95" customHeight="1" thickTop="1">
      <c r="A44" s="144">
        <v>37</v>
      </c>
      <c r="B44" s="145">
        <v>27</v>
      </c>
      <c r="C44" s="133" t="s">
        <v>203</v>
      </c>
      <c r="D44" s="133" t="s">
        <v>204</v>
      </c>
      <c r="E44" s="133" t="s">
        <v>205</v>
      </c>
      <c r="F44" s="146">
        <v>19</v>
      </c>
      <c r="G44" s="146">
        <v>62</v>
      </c>
      <c r="H44" s="146">
        <v>10</v>
      </c>
      <c r="I44" s="146">
        <v>30</v>
      </c>
      <c r="J44" s="146">
        <f>I44+H44+G44+F44</f>
        <v>121</v>
      </c>
      <c r="K44" s="147">
        <f t="shared" si="6"/>
        <v>5</v>
      </c>
      <c r="L44" s="213"/>
      <c r="M44" s="146">
        <v>19</v>
      </c>
      <c r="N44" s="146">
        <v>52</v>
      </c>
      <c r="O44" s="146">
        <v>8</v>
      </c>
      <c r="P44" s="146">
        <v>38</v>
      </c>
      <c r="Q44" s="146">
        <f t="shared" si="0"/>
        <v>117</v>
      </c>
      <c r="R44" s="148">
        <f>IF(Q44&lt;60,"F",IF(Q44&lt;75,2,IF(Q44&lt;90,3,IF(Q44&lt;105,3.5,IF(Q44&lt;120,4,5)))))</f>
        <v>4</v>
      </c>
      <c r="S44" s="213"/>
      <c r="T44" s="146">
        <v>10</v>
      </c>
      <c r="U44" s="146">
        <v>43</v>
      </c>
      <c r="V44" s="146">
        <f>SUM(T44+U44)</f>
        <v>53</v>
      </c>
      <c r="W44" s="148">
        <f>IF(V44&lt;40,"F",IF(V44&lt;50,2,IF(V44&lt;60,3,IF(V44&lt;70,3.5,IF(V44&lt;80,4,5)))))</f>
        <v>3</v>
      </c>
      <c r="X44" s="215">
        <f>MAX(V44:V82)</f>
        <v>94</v>
      </c>
      <c r="Y44" s="146">
        <v>17</v>
      </c>
      <c r="Z44" s="146">
        <v>40</v>
      </c>
      <c r="AA44" s="146">
        <f t="shared" si="10"/>
        <v>57</v>
      </c>
      <c r="AB44" s="148">
        <f>IF(AA44&lt;40,"F",IF(AA44&lt;50,2,IF(AA44&lt;60,3,IF(AA44&lt;70,3.5,IF(AA44&lt;80,4,5)))))</f>
        <v>3</v>
      </c>
      <c r="AC44" s="213"/>
      <c r="AD44" s="146">
        <v>12</v>
      </c>
      <c r="AE44" s="146">
        <v>71</v>
      </c>
      <c r="AF44" s="146">
        <f t="shared" si="1"/>
        <v>83</v>
      </c>
      <c r="AG44" s="148">
        <f>IF(AF44&lt;40,"F",IF(AF44&lt;50,2,IF(AF44&lt;60,3,IF(AF44&lt;70,3.5,IF(AF44&lt;80,4,5)))))</f>
        <v>5</v>
      </c>
      <c r="AH44" s="213"/>
      <c r="AI44" s="146">
        <v>17</v>
      </c>
      <c r="AJ44" s="146">
        <v>31</v>
      </c>
      <c r="AK44" s="146">
        <f t="shared" si="2"/>
        <v>48</v>
      </c>
      <c r="AL44" s="148">
        <f>IF(AK44&lt;40,"F",IF(AK44&lt;50,2,IF(AK44&lt;60,3,IF(AK44&lt;70,3.5,IF(AK44&lt;80,4,5)))))</f>
        <v>2</v>
      </c>
      <c r="AM44" s="213"/>
      <c r="AN44" s="146">
        <v>0</v>
      </c>
      <c r="AO44" s="146">
        <v>31</v>
      </c>
      <c r="AP44" s="146">
        <f>AO44</f>
        <v>31</v>
      </c>
      <c r="AQ44" s="148">
        <f>IF(AP44&lt;20,"F",IF(AP44&lt;25,2,IF(AP44&lt;30,3,IF(AP44&lt;35,3.5,IF(AP44&lt;40,4,5)))))</f>
        <v>3.5</v>
      </c>
      <c r="AR44" s="213"/>
      <c r="AS44" s="54">
        <f t="shared" si="16"/>
        <v>25.5</v>
      </c>
      <c r="AT44" s="150">
        <f>IF(AS44="F","F", IF(AS44&gt;=35,5,IF(AS44&lt;35,AS44/7)))</f>
        <v>3.6428571428571428</v>
      </c>
      <c r="AU44" s="151">
        <f>J44+Q44+V44+AA44+AF44+AK44+AP44</f>
        <v>510</v>
      </c>
      <c r="AV44" s="149">
        <v>58</v>
      </c>
      <c r="AW44" s="149"/>
      <c r="AX44" s="73" t="str">
        <f t="shared" si="4"/>
        <v>GOOD</v>
      </c>
      <c r="AY44" s="83">
        <f>'1st_Semester'!AU44</f>
        <v>280</v>
      </c>
      <c r="AZ44" s="58">
        <f>'2nd_Semester'!AU44</f>
        <v>384</v>
      </c>
      <c r="BA44" s="83">
        <f t="shared" si="18"/>
        <v>510</v>
      </c>
      <c r="BB44" s="84">
        <f t="shared" si="19"/>
        <v>391.33333333333331</v>
      </c>
      <c r="BC44" s="152"/>
    </row>
    <row r="45" spans="1:55" s="38" customFormat="1" ht="15.95" customHeight="1">
      <c r="A45" s="59">
        <v>38</v>
      </c>
      <c r="B45" s="127">
        <v>28</v>
      </c>
      <c r="C45" s="103" t="s">
        <v>206</v>
      </c>
      <c r="D45" s="103" t="s">
        <v>207</v>
      </c>
      <c r="E45" s="103" t="s">
        <v>208</v>
      </c>
      <c r="F45" s="97">
        <v>20</v>
      </c>
      <c r="G45" s="97">
        <v>68</v>
      </c>
      <c r="H45" s="97">
        <v>10</v>
      </c>
      <c r="I45" s="97">
        <v>34</v>
      </c>
      <c r="J45" s="97">
        <f t="shared" ref="J45:J82" si="35">I45+H45+G45+F45</f>
        <v>132</v>
      </c>
      <c r="K45" s="81">
        <f t="shared" si="6"/>
        <v>5</v>
      </c>
      <c r="L45" s="213"/>
      <c r="M45" s="97">
        <v>19</v>
      </c>
      <c r="N45" s="97">
        <v>60</v>
      </c>
      <c r="O45" s="97">
        <v>10</v>
      </c>
      <c r="P45" s="97">
        <v>37</v>
      </c>
      <c r="Q45" s="97">
        <f t="shared" si="0"/>
        <v>126</v>
      </c>
      <c r="R45" s="98">
        <f t="shared" ref="R45:R82" si="36">IF(Q45&lt;60,"F",IF(Q45&lt;75,2,IF(Q45&lt;90,3,IF(Q45&lt;105,3.5,IF(Q45&lt;120,4,5)))))</f>
        <v>5</v>
      </c>
      <c r="S45" s="213"/>
      <c r="T45" s="97">
        <v>8</v>
      </c>
      <c r="U45" s="97">
        <v>46</v>
      </c>
      <c r="V45" s="97">
        <f t="shared" ref="V45:V82" si="37">SUM(T45+U45)</f>
        <v>54</v>
      </c>
      <c r="W45" s="98">
        <f t="shared" ref="W45:W82" si="38">IF(V45&lt;40,"F",IF(V45&lt;50,2,IF(V45&lt;60,3,IF(V45&lt;70,3.5,IF(V45&lt;80,4,5)))))</f>
        <v>3</v>
      </c>
      <c r="X45" s="216"/>
      <c r="Y45" s="97">
        <v>19</v>
      </c>
      <c r="Z45" s="97">
        <v>46</v>
      </c>
      <c r="AA45" s="97">
        <f t="shared" si="10"/>
        <v>65</v>
      </c>
      <c r="AB45" s="98">
        <f t="shared" ref="AB45:AB82" si="39">IF(AA45&lt;40,"F",IF(AA45&lt;50,2,IF(AA45&lt;60,3,IF(AA45&lt;70,3.5,IF(AA45&lt;80,4,5)))))</f>
        <v>3.5</v>
      </c>
      <c r="AC45" s="213"/>
      <c r="AD45" s="97">
        <v>18</v>
      </c>
      <c r="AE45" s="97">
        <v>65</v>
      </c>
      <c r="AF45" s="97">
        <f t="shared" si="1"/>
        <v>83</v>
      </c>
      <c r="AG45" s="98">
        <f t="shared" ref="AG45:AG82" si="40">IF(AF45&lt;40,"F",IF(AF45&lt;50,2,IF(AF45&lt;60,3,IF(AF45&lt;70,3.5,IF(AF45&lt;80,4,5)))))</f>
        <v>5</v>
      </c>
      <c r="AH45" s="213"/>
      <c r="AI45" s="97">
        <v>18</v>
      </c>
      <c r="AJ45" s="97">
        <v>49</v>
      </c>
      <c r="AK45" s="97">
        <f t="shared" si="2"/>
        <v>67</v>
      </c>
      <c r="AL45" s="98">
        <f t="shared" ref="AL45:AL82" si="41">IF(AK45&lt;40,"F",IF(AK45&lt;50,2,IF(AK45&lt;60,3,IF(AK45&lt;70,3.5,IF(AK45&lt;80,4,5)))))</f>
        <v>3.5</v>
      </c>
      <c r="AM45" s="213"/>
      <c r="AN45" s="97">
        <v>0</v>
      </c>
      <c r="AO45" s="97">
        <v>46</v>
      </c>
      <c r="AP45" s="97">
        <f t="shared" ref="AP45:AP82" si="42">AO45</f>
        <v>46</v>
      </c>
      <c r="AQ45" s="98">
        <f t="shared" ref="AQ45:AQ82" si="43">IF(AP45&lt;20,"F",IF(AP45&lt;25,2,IF(AP45&lt;30,3,IF(AP45&lt;35,3.5,IF(AP45&lt;40,4,5)))))</f>
        <v>5</v>
      </c>
      <c r="AR45" s="213"/>
      <c r="AS45" s="54">
        <f t="shared" si="16"/>
        <v>30</v>
      </c>
      <c r="AT45" s="100">
        <f t="shared" ref="AT45:AT82" si="44">IF(AS45="F","F", IF(AS45&gt;=35,5,IF(AS45&lt;35,AS45/7)))</f>
        <v>4.2857142857142856</v>
      </c>
      <c r="AU45" s="101">
        <f t="shared" ref="AU45:AU82" si="45">J45+Q45+V45+AA45+AF45+AK45+AP45</f>
        <v>573</v>
      </c>
      <c r="AV45" s="99">
        <v>37</v>
      </c>
      <c r="AW45" s="99"/>
      <c r="AX45" s="73" t="str">
        <f t="shared" si="4"/>
        <v>BETTER</v>
      </c>
      <c r="AY45" s="83">
        <f>'1st_Semester'!AU45</f>
        <v>574</v>
      </c>
      <c r="AZ45" s="58">
        <f>'2nd_Semester'!AU45</f>
        <v>562</v>
      </c>
      <c r="BA45" s="83">
        <f t="shared" si="18"/>
        <v>573</v>
      </c>
      <c r="BB45" s="84">
        <f t="shared" si="19"/>
        <v>569.66666666666663</v>
      </c>
      <c r="BC45" s="82"/>
    </row>
    <row r="46" spans="1:55" s="131" customFormat="1" ht="15.95" customHeight="1">
      <c r="A46" s="59">
        <v>39</v>
      </c>
      <c r="B46" s="127">
        <v>29</v>
      </c>
      <c r="C46" s="103" t="s">
        <v>209</v>
      </c>
      <c r="D46" s="103" t="s">
        <v>210</v>
      </c>
      <c r="E46" s="103" t="s">
        <v>211</v>
      </c>
      <c r="F46" s="97">
        <v>19</v>
      </c>
      <c r="G46" s="97">
        <v>64</v>
      </c>
      <c r="H46" s="97">
        <v>10</v>
      </c>
      <c r="I46" s="97">
        <v>38</v>
      </c>
      <c r="J46" s="97">
        <f t="shared" si="35"/>
        <v>131</v>
      </c>
      <c r="K46" s="81">
        <f t="shared" si="6"/>
        <v>5</v>
      </c>
      <c r="L46" s="213"/>
      <c r="M46" s="97">
        <v>19</v>
      </c>
      <c r="N46" s="97">
        <v>71</v>
      </c>
      <c r="O46" s="97">
        <v>9</v>
      </c>
      <c r="P46" s="97">
        <v>31</v>
      </c>
      <c r="Q46" s="97">
        <f t="shared" si="0"/>
        <v>130</v>
      </c>
      <c r="R46" s="98">
        <f t="shared" si="36"/>
        <v>5</v>
      </c>
      <c r="S46" s="213"/>
      <c r="T46" s="97">
        <v>17</v>
      </c>
      <c r="U46" s="97">
        <v>53</v>
      </c>
      <c r="V46" s="97">
        <f t="shared" si="37"/>
        <v>70</v>
      </c>
      <c r="W46" s="98">
        <f t="shared" si="38"/>
        <v>4</v>
      </c>
      <c r="X46" s="216"/>
      <c r="Y46" s="97">
        <v>20</v>
      </c>
      <c r="Z46" s="97">
        <v>63</v>
      </c>
      <c r="AA46" s="97">
        <f t="shared" si="10"/>
        <v>83</v>
      </c>
      <c r="AB46" s="98">
        <f t="shared" si="39"/>
        <v>5</v>
      </c>
      <c r="AC46" s="213"/>
      <c r="AD46" s="97">
        <v>19</v>
      </c>
      <c r="AE46" s="97">
        <v>74</v>
      </c>
      <c r="AF46" s="97">
        <f t="shared" si="1"/>
        <v>93</v>
      </c>
      <c r="AG46" s="98">
        <f t="shared" si="40"/>
        <v>5</v>
      </c>
      <c r="AH46" s="213"/>
      <c r="AI46" s="97">
        <v>18</v>
      </c>
      <c r="AJ46" s="97">
        <v>46</v>
      </c>
      <c r="AK46" s="97">
        <f t="shared" si="2"/>
        <v>64</v>
      </c>
      <c r="AL46" s="98">
        <f t="shared" si="41"/>
        <v>3.5</v>
      </c>
      <c r="AM46" s="213"/>
      <c r="AN46" s="97">
        <v>0</v>
      </c>
      <c r="AO46" s="97">
        <v>43</v>
      </c>
      <c r="AP46" s="97">
        <f t="shared" si="42"/>
        <v>43</v>
      </c>
      <c r="AQ46" s="98">
        <f t="shared" si="43"/>
        <v>5</v>
      </c>
      <c r="AR46" s="213"/>
      <c r="AS46" s="54">
        <f t="shared" si="16"/>
        <v>32.5</v>
      </c>
      <c r="AT46" s="100">
        <f t="shared" si="44"/>
        <v>4.6428571428571432</v>
      </c>
      <c r="AU46" s="101">
        <f t="shared" si="45"/>
        <v>614</v>
      </c>
      <c r="AV46" s="99">
        <v>36</v>
      </c>
      <c r="AW46" s="99"/>
      <c r="AX46" s="73" t="str">
        <f t="shared" si="4"/>
        <v>BETTER</v>
      </c>
      <c r="AY46" s="83">
        <f>'1st_Semester'!AU46</f>
        <v>547</v>
      </c>
      <c r="AZ46" s="58">
        <f>'2nd_Semester'!AU46</f>
        <v>594</v>
      </c>
      <c r="BA46" s="83">
        <f t="shared" si="18"/>
        <v>614</v>
      </c>
      <c r="BB46" s="84">
        <f t="shared" si="19"/>
        <v>585</v>
      </c>
      <c r="BC46" s="82"/>
    </row>
    <row r="47" spans="1:55" s="38" customFormat="1" ht="15.95" customHeight="1">
      <c r="A47" s="59">
        <v>40</v>
      </c>
      <c r="B47" s="127">
        <v>32</v>
      </c>
      <c r="C47" s="103" t="s">
        <v>212</v>
      </c>
      <c r="D47" s="103" t="s">
        <v>213</v>
      </c>
      <c r="E47" s="103" t="s">
        <v>214</v>
      </c>
      <c r="F47" s="97">
        <v>20</v>
      </c>
      <c r="G47" s="97">
        <v>74</v>
      </c>
      <c r="H47" s="97">
        <v>10</v>
      </c>
      <c r="I47" s="97">
        <v>39</v>
      </c>
      <c r="J47" s="97">
        <f t="shared" si="35"/>
        <v>143</v>
      </c>
      <c r="K47" s="81">
        <f t="shared" si="6"/>
        <v>5</v>
      </c>
      <c r="L47" s="213"/>
      <c r="M47" s="97">
        <v>20</v>
      </c>
      <c r="N47" s="97">
        <v>62</v>
      </c>
      <c r="O47" s="97">
        <v>9</v>
      </c>
      <c r="P47" s="97">
        <v>38</v>
      </c>
      <c r="Q47" s="97">
        <f t="shared" si="0"/>
        <v>129</v>
      </c>
      <c r="R47" s="98">
        <f t="shared" si="36"/>
        <v>5</v>
      </c>
      <c r="S47" s="213"/>
      <c r="T47" s="97">
        <v>18</v>
      </c>
      <c r="U47" s="97">
        <v>59</v>
      </c>
      <c r="V47" s="97">
        <f t="shared" si="37"/>
        <v>77</v>
      </c>
      <c r="W47" s="98">
        <f t="shared" si="38"/>
        <v>4</v>
      </c>
      <c r="X47" s="216"/>
      <c r="Y47" s="97">
        <v>20</v>
      </c>
      <c r="Z47" s="97">
        <v>70</v>
      </c>
      <c r="AA47" s="97">
        <f t="shared" si="10"/>
        <v>90</v>
      </c>
      <c r="AB47" s="98">
        <f t="shared" si="39"/>
        <v>5</v>
      </c>
      <c r="AC47" s="213"/>
      <c r="AD47" s="97">
        <v>19</v>
      </c>
      <c r="AE47" s="97">
        <v>75</v>
      </c>
      <c r="AF47" s="97">
        <f t="shared" si="1"/>
        <v>94</v>
      </c>
      <c r="AG47" s="98">
        <f t="shared" si="40"/>
        <v>5</v>
      </c>
      <c r="AH47" s="213"/>
      <c r="AI47" s="97">
        <v>19</v>
      </c>
      <c r="AJ47" s="97">
        <v>65</v>
      </c>
      <c r="AK47" s="97">
        <f t="shared" si="2"/>
        <v>84</v>
      </c>
      <c r="AL47" s="98">
        <f t="shared" si="41"/>
        <v>5</v>
      </c>
      <c r="AM47" s="213"/>
      <c r="AN47" s="97">
        <v>0</v>
      </c>
      <c r="AO47" s="97">
        <v>48</v>
      </c>
      <c r="AP47" s="97">
        <f t="shared" si="42"/>
        <v>48</v>
      </c>
      <c r="AQ47" s="98">
        <f t="shared" si="43"/>
        <v>5</v>
      </c>
      <c r="AR47" s="213"/>
      <c r="AS47" s="54">
        <f t="shared" si="16"/>
        <v>34</v>
      </c>
      <c r="AT47" s="100">
        <f t="shared" si="44"/>
        <v>4.8571428571428568</v>
      </c>
      <c r="AU47" s="101">
        <f t="shared" si="45"/>
        <v>665</v>
      </c>
      <c r="AV47" s="99">
        <v>33</v>
      </c>
      <c r="AW47" s="99"/>
      <c r="AX47" s="73" t="str">
        <f t="shared" si="4"/>
        <v>BETTER</v>
      </c>
      <c r="AY47" s="83">
        <f>'1st_Semester'!AU47</f>
        <v>513</v>
      </c>
      <c r="AZ47" s="58">
        <f>'2nd_Semester'!AU47</f>
        <v>600</v>
      </c>
      <c r="BA47" s="83">
        <f t="shared" si="18"/>
        <v>665</v>
      </c>
      <c r="BB47" s="84">
        <f t="shared" si="19"/>
        <v>592.66666666666663</v>
      </c>
      <c r="BC47" s="82"/>
    </row>
    <row r="48" spans="1:55" s="38" customFormat="1" ht="15.95" customHeight="1">
      <c r="A48" s="59">
        <v>41</v>
      </c>
      <c r="B48" s="127">
        <v>36</v>
      </c>
      <c r="C48" s="103" t="s">
        <v>215</v>
      </c>
      <c r="D48" s="103" t="s">
        <v>216</v>
      </c>
      <c r="E48" s="103" t="s">
        <v>217</v>
      </c>
      <c r="F48" s="97">
        <v>16</v>
      </c>
      <c r="G48" s="97">
        <v>63</v>
      </c>
      <c r="H48" s="97">
        <v>9</v>
      </c>
      <c r="I48" s="97">
        <v>31</v>
      </c>
      <c r="J48" s="97">
        <f t="shared" si="35"/>
        <v>119</v>
      </c>
      <c r="K48" s="81">
        <f t="shared" si="6"/>
        <v>4</v>
      </c>
      <c r="L48" s="213"/>
      <c r="M48" s="97">
        <v>19</v>
      </c>
      <c r="N48" s="97">
        <v>56</v>
      </c>
      <c r="O48" s="97">
        <v>8</v>
      </c>
      <c r="P48" s="97">
        <v>21</v>
      </c>
      <c r="Q48" s="97">
        <f t="shared" si="0"/>
        <v>104</v>
      </c>
      <c r="R48" s="98">
        <f t="shared" si="36"/>
        <v>3.5</v>
      </c>
      <c r="S48" s="213"/>
      <c r="T48" s="97">
        <v>17</v>
      </c>
      <c r="U48" s="97">
        <v>39</v>
      </c>
      <c r="V48" s="97">
        <f t="shared" si="37"/>
        <v>56</v>
      </c>
      <c r="W48" s="98">
        <f t="shared" si="38"/>
        <v>3</v>
      </c>
      <c r="X48" s="216"/>
      <c r="Y48" s="97">
        <v>16</v>
      </c>
      <c r="Z48" s="97">
        <v>63</v>
      </c>
      <c r="AA48" s="97">
        <f t="shared" si="10"/>
        <v>79</v>
      </c>
      <c r="AB48" s="98">
        <f t="shared" si="39"/>
        <v>4</v>
      </c>
      <c r="AC48" s="213"/>
      <c r="AD48" s="97">
        <v>16</v>
      </c>
      <c r="AE48" s="97">
        <v>48</v>
      </c>
      <c r="AF48" s="97">
        <f t="shared" si="1"/>
        <v>64</v>
      </c>
      <c r="AG48" s="98">
        <f t="shared" si="40"/>
        <v>3.5</v>
      </c>
      <c r="AH48" s="213"/>
      <c r="AI48" s="97">
        <v>18</v>
      </c>
      <c r="AJ48" s="97">
        <v>49</v>
      </c>
      <c r="AK48" s="97">
        <f t="shared" si="2"/>
        <v>67</v>
      </c>
      <c r="AL48" s="98">
        <f t="shared" si="41"/>
        <v>3.5</v>
      </c>
      <c r="AM48" s="213"/>
      <c r="AN48" s="97">
        <v>0</v>
      </c>
      <c r="AO48" s="97">
        <v>33</v>
      </c>
      <c r="AP48" s="97">
        <f t="shared" si="42"/>
        <v>33</v>
      </c>
      <c r="AQ48" s="98">
        <f t="shared" si="43"/>
        <v>3.5</v>
      </c>
      <c r="AR48" s="213"/>
      <c r="AS48" s="54">
        <f t="shared" si="16"/>
        <v>25</v>
      </c>
      <c r="AT48" s="100">
        <f t="shared" si="44"/>
        <v>3.5714285714285716</v>
      </c>
      <c r="AU48" s="101">
        <f t="shared" si="45"/>
        <v>522</v>
      </c>
      <c r="AV48" s="99">
        <v>47</v>
      </c>
      <c r="AW48" s="99"/>
      <c r="AX48" s="73" t="str">
        <f t="shared" si="4"/>
        <v>GOOD</v>
      </c>
      <c r="AY48" s="83">
        <f>'1st_Semester'!AU48</f>
        <v>445</v>
      </c>
      <c r="AZ48" s="58">
        <f>'2nd_Semester'!AU48</f>
        <v>532</v>
      </c>
      <c r="BA48" s="83">
        <f t="shared" si="18"/>
        <v>522</v>
      </c>
      <c r="BB48" s="84">
        <f t="shared" si="19"/>
        <v>499.66666666666669</v>
      </c>
      <c r="BC48" s="82"/>
    </row>
    <row r="49" spans="1:55" s="38" customFormat="1" ht="15.95" customHeight="1">
      <c r="A49" s="59">
        <v>42</v>
      </c>
      <c r="B49" s="127">
        <v>37</v>
      </c>
      <c r="C49" s="103" t="s">
        <v>218</v>
      </c>
      <c r="D49" s="103" t="s">
        <v>219</v>
      </c>
      <c r="E49" s="103" t="s">
        <v>220</v>
      </c>
      <c r="F49" s="97">
        <v>19</v>
      </c>
      <c r="G49" s="97">
        <v>68</v>
      </c>
      <c r="H49" s="97">
        <v>10</v>
      </c>
      <c r="I49" s="97">
        <v>34</v>
      </c>
      <c r="J49" s="97">
        <f t="shared" si="35"/>
        <v>131</v>
      </c>
      <c r="K49" s="81">
        <f t="shared" si="6"/>
        <v>5</v>
      </c>
      <c r="L49" s="213"/>
      <c r="M49" s="97">
        <v>19</v>
      </c>
      <c r="N49" s="97">
        <v>67</v>
      </c>
      <c r="O49" s="97">
        <v>9</v>
      </c>
      <c r="P49" s="97">
        <v>34</v>
      </c>
      <c r="Q49" s="97">
        <f t="shared" si="0"/>
        <v>129</v>
      </c>
      <c r="R49" s="98">
        <f t="shared" si="36"/>
        <v>5</v>
      </c>
      <c r="S49" s="213"/>
      <c r="T49" s="97">
        <v>16</v>
      </c>
      <c r="U49" s="97">
        <v>49</v>
      </c>
      <c r="V49" s="97">
        <f t="shared" si="37"/>
        <v>65</v>
      </c>
      <c r="W49" s="98">
        <f t="shared" si="38"/>
        <v>3.5</v>
      </c>
      <c r="X49" s="216"/>
      <c r="Y49" s="97">
        <v>20</v>
      </c>
      <c r="Z49" s="97">
        <v>54</v>
      </c>
      <c r="AA49" s="97">
        <f t="shared" si="10"/>
        <v>74</v>
      </c>
      <c r="AB49" s="98">
        <f t="shared" si="39"/>
        <v>4</v>
      </c>
      <c r="AC49" s="213"/>
      <c r="AD49" s="97">
        <v>18</v>
      </c>
      <c r="AE49" s="97">
        <v>70</v>
      </c>
      <c r="AF49" s="97">
        <f t="shared" si="1"/>
        <v>88</v>
      </c>
      <c r="AG49" s="98">
        <f t="shared" si="40"/>
        <v>5</v>
      </c>
      <c r="AH49" s="213"/>
      <c r="AI49" s="97">
        <v>19</v>
      </c>
      <c r="AJ49" s="97">
        <v>51</v>
      </c>
      <c r="AK49" s="97">
        <f t="shared" si="2"/>
        <v>70</v>
      </c>
      <c r="AL49" s="98">
        <f t="shared" si="41"/>
        <v>4</v>
      </c>
      <c r="AM49" s="213"/>
      <c r="AN49" s="97">
        <v>0</v>
      </c>
      <c r="AO49" s="97">
        <v>40</v>
      </c>
      <c r="AP49" s="97">
        <f t="shared" si="42"/>
        <v>40</v>
      </c>
      <c r="AQ49" s="98">
        <f t="shared" si="43"/>
        <v>5</v>
      </c>
      <c r="AR49" s="213"/>
      <c r="AS49" s="54">
        <f t="shared" si="16"/>
        <v>31.5</v>
      </c>
      <c r="AT49" s="100">
        <f t="shared" si="44"/>
        <v>4.5</v>
      </c>
      <c r="AU49" s="101">
        <f t="shared" si="45"/>
        <v>597</v>
      </c>
      <c r="AV49" s="99">
        <v>42</v>
      </c>
      <c r="AW49" s="99"/>
      <c r="AX49" s="73" t="str">
        <f t="shared" si="4"/>
        <v>BETTER</v>
      </c>
      <c r="AY49" s="83">
        <f>'1st_Semester'!AU49</f>
        <v>438</v>
      </c>
      <c r="AZ49" s="58">
        <f>'2nd_Semester'!AU49</f>
        <v>548</v>
      </c>
      <c r="BA49" s="83">
        <f t="shared" si="18"/>
        <v>597</v>
      </c>
      <c r="BB49" s="84">
        <f t="shared" si="19"/>
        <v>527.66666666666663</v>
      </c>
      <c r="BC49" s="82"/>
    </row>
    <row r="50" spans="1:55" s="38" customFormat="1" ht="15.95" customHeight="1">
      <c r="A50" s="59">
        <v>43</v>
      </c>
      <c r="B50" s="127">
        <v>38</v>
      </c>
      <c r="C50" s="103" t="s">
        <v>221</v>
      </c>
      <c r="D50" s="103" t="s">
        <v>222</v>
      </c>
      <c r="E50" s="103" t="s">
        <v>223</v>
      </c>
      <c r="F50" s="102">
        <v>14</v>
      </c>
      <c r="G50" s="97">
        <v>45</v>
      </c>
      <c r="H50" s="97">
        <v>10</v>
      </c>
      <c r="I50" s="97">
        <v>16</v>
      </c>
      <c r="J50" s="97">
        <f t="shared" ref="J50:J74" si="46">I50+H50+G50+F51</f>
        <v>91</v>
      </c>
      <c r="K50" s="81">
        <f t="shared" si="6"/>
        <v>3.5</v>
      </c>
      <c r="L50" s="213"/>
      <c r="M50" s="97">
        <v>11</v>
      </c>
      <c r="N50" s="97">
        <v>36</v>
      </c>
      <c r="O50" s="97">
        <v>8</v>
      </c>
      <c r="P50" s="97">
        <v>16</v>
      </c>
      <c r="Q50" s="97">
        <f t="shared" si="0"/>
        <v>71</v>
      </c>
      <c r="R50" s="98">
        <f t="shared" si="36"/>
        <v>2</v>
      </c>
      <c r="S50" s="213"/>
      <c r="T50" s="97">
        <v>10</v>
      </c>
      <c r="U50" s="97">
        <v>6</v>
      </c>
      <c r="V50" s="97">
        <f t="shared" si="37"/>
        <v>16</v>
      </c>
      <c r="W50" s="98" t="str">
        <f t="shared" si="38"/>
        <v>F</v>
      </c>
      <c r="X50" s="216"/>
      <c r="Y50" s="97">
        <v>18</v>
      </c>
      <c r="Z50" s="97">
        <v>42</v>
      </c>
      <c r="AA50" s="97">
        <f t="shared" si="10"/>
        <v>60</v>
      </c>
      <c r="AB50" s="98">
        <f t="shared" si="39"/>
        <v>3.5</v>
      </c>
      <c r="AC50" s="213"/>
      <c r="AD50" s="97">
        <v>13</v>
      </c>
      <c r="AE50" s="97">
        <v>32</v>
      </c>
      <c r="AF50" s="97">
        <f t="shared" si="1"/>
        <v>45</v>
      </c>
      <c r="AG50" s="98">
        <f t="shared" si="40"/>
        <v>2</v>
      </c>
      <c r="AH50" s="213"/>
      <c r="AI50" s="97">
        <v>19</v>
      </c>
      <c r="AJ50" s="97">
        <v>22</v>
      </c>
      <c r="AK50" s="97">
        <f t="shared" si="2"/>
        <v>41</v>
      </c>
      <c r="AL50" s="98">
        <f t="shared" si="41"/>
        <v>2</v>
      </c>
      <c r="AM50" s="213"/>
      <c r="AN50" s="97">
        <v>0</v>
      </c>
      <c r="AO50" s="97">
        <v>24</v>
      </c>
      <c r="AP50" s="97">
        <f t="shared" si="42"/>
        <v>24</v>
      </c>
      <c r="AQ50" s="98">
        <f t="shared" si="43"/>
        <v>2</v>
      </c>
      <c r="AR50" s="213"/>
      <c r="AS50" s="54" t="str">
        <f t="shared" si="16"/>
        <v>F</v>
      </c>
      <c r="AT50" s="100" t="str">
        <f t="shared" si="44"/>
        <v>F</v>
      </c>
      <c r="AU50" s="101">
        <f t="shared" si="45"/>
        <v>348</v>
      </c>
      <c r="AV50" s="99">
        <v>68</v>
      </c>
      <c r="AW50" s="99"/>
      <c r="AX50" s="73" t="str">
        <f t="shared" si="4"/>
        <v>NEED TO PROGRESS</v>
      </c>
      <c r="AY50" s="83">
        <f>'1st_Semester'!AU50</f>
        <v>272</v>
      </c>
      <c r="AZ50" s="58">
        <f>'2nd_Semester'!AU50</f>
        <v>453</v>
      </c>
      <c r="BA50" s="83">
        <f t="shared" si="18"/>
        <v>348</v>
      </c>
      <c r="BB50" s="84">
        <f t="shared" si="19"/>
        <v>357.66666666666669</v>
      </c>
      <c r="BC50" s="82"/>
    </row>
    <row r="51" spans="1:55" s="38" customFormat="1" ht="15.95" customHeight="1">
      <c r="A51" s="59">
        <v>44</v>
      </c>
      <c r="B51" s="127">
        <v>41</v>
      </c>
      <c r="C51" s="103" t="s">
        <v>224</v>
      </c>
      <c r="D51" s="103" t="s">
        <v>225</v>
      </c>
      <c r="E51" s="103" t="s">
        <v>226</v>
      </c>
      <c r="F51" s="97">
        <v>20</v>
      </c>
      <c r="G51" s="97">
        <v>52</v>
      </c>
      <c r="H51" s="97">
        <v>10</v>
      </c>
      <c r="I51" s="97">
        <v>28</v>
      </c>
      <c r="J51" s="97">
        <f>I51+H51+G51+F64</f>
        <v>109</v>
      </c>
      <c r="K51" s="81">
        <f t="shared" si="6"/>
        <v>4</v>
      </c>
      <c r="L51" s="213"/>
      <c r="M51" s="97">
        <v>17</v>
      </c>
      <c r="N51" s="97">
        <v>61</v>
      </c>
      <c r="O51" s="97">
        <v>8</v>
      </c>
      <c r="P51" s="97">
        <v>32</v>
      </c>
      <c r="Q51" s="97">
        <f t="shared" si="0"/>
        <v>118</v>
      </c>
      <c r="R51" s="98">
        <f t="shared" si="36"/>
        <v>4</v>
      </c>
      <c r="S51" s="213"/>
      <c r="T51" s="97">
        <v>10</v>
      </c>
      <c r="U51" s="97">
        <v>37</v>
      </c>
      <c r="V51" s="97">
        <f t="shared" si="37"/>
        <v>47</v>
      </c>
      <c r="W51" s="98">
        <f t="shared" si="38"/>
        <v>2</v>
      </c>
      <c r="X51" s="216"/>
      <c r="Y51" s="97">
        <v>17</v>
      </c>
      <c r="Z51" s="97">
        <v>57</v>
      </c>
      <c r="AA51" s="97">
        <f t="shared" si="10"/>
        <v>74</v>
      </c>
      <c r="AB51" s="98">
        <f t="shared" si="39"/>
        <v>4</v>
      </c>
      <c r="AC51" s="213"/>
      <c r="AD51" s="97">
        <v>14</v>
      </c>
      <c r="AE51" s="97">
        <v>66</v>
      </c>
      <c r="AF51" s="97">
        <f t="shared" si="1"/>
        <v>80</v>
      </c>
      <c r="AG51" s="98">
        <f t="shared" si="40"/>
        <v>5</v>
      </c>
      <c r="AH51" s="213"/>
      <c r="AI51" s="97">
        <v>19</v>
      </c>
      <c r="AJ51" s="97">
        <v>45</v>
      </c>
      <c r="AK51" s="97">
        <f t="shared" si="2"/>
        <v>64</v>
      </c>
      <c r="AL51" s="98">
        <f t="shared" si="41"/>
        <v>3.5</v>
      </c>
      <c r="AM51" s="213"/>
      <c r="AN51" s="97">
        <v>0</v>
      </c>
      <c r="AO51" s="97">
        <v>41</v>
      </c>
      <c r="AP51" s="97">
        <f t="shared" si="42"/>
        <v>41</v>
      </c>
      <c r="AQ51" s="98">
        <f t="shared" si="43"/>
        <v>5</v>
      </c>
      <c r="AR51" s="213"/>
      <c r="AS51" s="54">
        <f t="shared" si="16"/>
        <v>27.5</v>
      </c>
      <c r="AT51" s="100">
        <f t="shared" si="44"/>
        <v>3.9285714285714284</v>
      </c>
      <c r="AU51" s="101">
        <f t="shared" si="45"/>
        <v>533</v>
      </c>
      <c r="AV51" s="99">
        <v>48</v>
      </c>
      <c r="AW51" s="99"/>
      <c r="AX51" s="73" t="str">
        <f t="shared" si="4"/>
        <v>GOOD</v>
      </c>
      <c r="AY51" s="83">
        <f>'1st_Semester'!AU51</f>
        <v>428</v>
      </c>
      <c r="AZ51" s="58">
        <f>'2nd_Semester'!AU51</f>
        <v>521</v>
      </c>
      <c r="BA51" s="83">
        <f t="shared" si="18"/>
        <v>533</v>
      </c>
      <c r="BB51" s="84">
        <f t="shared" si="19"/>
        <v>494</v>
      </c>
      <c r="BC51" s="82"/>
    </row>
    <row r="52" spans="1:55" s="38" customFormat="1" ht="15.95" customHeight="1">
      <c r="A52" s="59">
        <v>45</v>
      </c>
      <c r="B52" s="127">
        <v>42</v>
      </c>
      <c r="C52" s="103" t="s">
        <v>227</v>
      </c>
      <c r="D52" s="103" t="s">
        <v>228</v>
      </c>
      <c r="E52" s="103" t="s">
        <v>229</v>
      </c>
      <c r="F52" s="97">
        <v>20</v>
      </c>
      <c r="G52" s="97">
        <v>71</v>
      </c>
      <c r="H52" s="97">
        <v>10</v>
      </c>
      <c r="I52" s="97">
        <v>35</v>
      </c>
      <c r="J52" s="97">
        <f t="shared" ref="J52:J70" si="47">I52+H52+G52+F65</f>
        <v>135</v>
      </c>
      <c r="K52" s="81">
        <f t="shared" si="6"/>
        <v>5</v>
      </c>
      <c r="L52" s="213"/>
      <c r="M52" s="97">
        <v>18</v>
      </c>
      <c r="N52" s="97">
        <v>64</v>
      </c>
      <c r="O52" s="97">
        <v>9</v>
      </c>
      <c r="P52" s="97">
        <v>38</v>
      </c>
      <c r="Q52" s="97">
        <f t="shared" si="0"/>
        <v>129</v>
      </c>
      <c r="R52" s="98">
        <f t="shared" si="36"/>
        <v>5</v>
      </c>
      <c r="S52" s="213"/>
      <c r="T52" s="97">
        <v>12</v>
      </c>
      <c r="U52" s="97">
        <v>55</v>
      </c>
      <c r="V52" s="97">
        <f t="shared" si="37"/>
        <v>67</v>
      </c>
      <c r="W52" s="98">
        <f t="shared" si="38"/>
        <v>3.5</v>
      </c>
      <c r="X52" s="216"/>
      <c r="Y52" s="97">
        <v>20</v>
      </c>
      <c r="Z52" s="97">
        <v>77</v>
      </c>
      <c r="AA52" s="97">
        <f t="shared" si="10"/>
        <v>97</v>
      </c>
      <c r="AB52" s="98">
        <f t="shared" si="39"/>
        <v>5</v>
      </c>
      <c r="AC52" s="213"/>
      <c r="AD52" s="97">
        <v>16</v>
      </c>
      <c r="AE52" s="97">
        <v>68</v>
      </c>
      <c r="AF52" s="97">
        <f t="shared" si="1"/>
        <v>84</v>
      </c>
      <c r="AG52" s="98">
        <f t="shared" si="40"/>
        <v>5</v>
      </c>
      <c r="AH52" s="213"/>
      <c r="AI52" s="97">
        <v>19</v>
      </c>
      <c r="AJ52" s="97">
        <v>50</v>
      </c>
      <c r="AK52" s="97">
        <f t="shared" si="2"/>
        <v>69</v>
      </c>
      <c r="AL52" s="98">
        <f t="shared" si="41"/>
        <v>3.5</v>
      </c>
      <c r="AM52" s="213"/>
      <c r="AN52" s="97">
        <v>0</v>
      </c>
      <c r="AO52" s="97">
        <v>39</v>
      </c>
      <c r="AP52" s="97">
        <f t="shared" si="42"/>
        <v>39</v>
      </c>
      <c r="AQ52" s="98">
        <f t="shared" si="43"/>
        <v>4</v>
      </c>
      <c r="AR52" s="213"/>
      <c r="AS52" s="54">
        <f t="shared" si="16"/>
        <v>31</v>
      </c>
      <c r="AT52" s="100">
        <f t="shared" si="44"/>
        <v>4.4285714285714288</v>
      </c>
      <c r="AU52" s="101">
        <f t="shared" si="45"/>
        <v>620</v>
      </c>
      <c r="AV52" s="99">
        <v>31</v>
      </c>
      <c r="AW52" s="99"/>
      <c r="AX52" s="73" t="str">
        <f t="shared" si="4"/>
        <v>BETTER</v>
      </c>
      <c r="AY52" s="83">
        <f>'1st_Semester'!AU52</f>
        <v>577</v>
      </c>
      <c r="AZ52" s="58">
        <f>'2nd_Semester'!AU52</f>
        <v>622</v>
      </c>
      <c r="BA52" s="83">
        <f t="shared" si="18"/>
        <v>620</v>
      </c>
      <c r="BB52" s="84">
        <f t="shared" si="19"/>
        <v>606.33333333333337</v>
      </c>
      <c r="BC52" s="82"/>
    </row>
    <row r="53" spans="1:55" s="38" customFormat="1" ht="15.95" customHeight="1">
      <c r="A53" s="59">
        <v>46</v>
      </c>
      <c r="B53" s="127">
        <v>44</v>
      </c>
      <c r="C53" s="103" t="s">
        <v>230</v>
      </c>
      <c r="D53" s="103" t="s">
        <v>231</v>
      </c>
      <c r="E53" s="103" t="s">
        <v>232</v>
      </c>
      <c r="F53" s="97">
        <v>20</v>
      </c>
      <c r="G53" s="97">
        <v>59</v>
      </c>
      <c r="H53" s="97">
        <v>10</v>
      </c>
      <c r="I53" s="97">
        <v>34</v>
      </c>
      <c r="J53" s="97">
        <f t="shared" si="47"/>
        <v>122</v>
      </c>
      <c r="K53" s="81">
        <f t="shared" si="6"/>
        <v>5</v>
      </c>
      <c r="L53" s="213"/>
      <c r="M53" s="97">
        <v>18</v>
      </c>
      <c r="N53" s="97">
        <v>40</v>
      </c>
      <c r="O53" s="97">
        <v>8</v>
      </c>
      <c r="P53" s="97">
        <v>29</v>
      </c>
      <c r="Q53" s="97">
        <f t="shared" si="0"/>
        <v>95</v>
      </c>
      <c r="R53" s="98">
        <f t="shared" si="36"/>
        <v>3.5</v>
      </c>
      <c r="S53" s="213"/>
      <c r="T53" s="97">
        <v>16</v>
      </c>
      <c r="U53" s="97">
        <v>30</v>
      </c>
      <c r="V53" s="97">
        <f t="shared" si="37"/>
        <v>46</v>
      </c>
      <c r="W53" s="98">
        <f t="shared" si="38"/>
        <v>2</v>
      </c>
      <c r="X53" s="216"/>
      <c r="Y53" s="97">
        <v>20</v>
      </c>
      <c r="Z53" s="97">
        <v>52</v>
      </c>
      <c r="AA53" s="97">
        <f t="shared" si="10"/>
        <v>72</v>
      </c>
      <c r="AB53" s="98">
        <f t="shared" si="39"/>
        <v>4</v>
      </c>
      <c r="AC53" s="213"/>
      <c r="AD53" s="97">
        <v>19</v>
      </c>
      <c r="AE53" s="97">
        <v>66</v>
      </c>
      <c r="AF53" s="97">
        <f t="shared" si="1"/>
        <v>85</v>
      </c>
      <c r="AG53" s="98">
        <f t="shared" si="40"/>
        <v>5</v>
      </c>
      <c r="AH53" s="213"/>
      <c r="AI53" s="97">
        <v>17</v>
      </c>
      <c r="AJ53" s="97">
        <v>53</v>
      </c>
      <c r="AK53" s="97">
        <f t="shared" si="2"/>
        <v>70</v>
      </c>
      <c r="AL53" s="98">
        <f t="shared" si="41"/>
        <v>4</v>
      </c>
      <c r="AM53" s="213"/>
      <c r="AN53" s="97">
        <v>0</v>
      </c>
      <c r="AO53" s="97">
        <v>38</v>
      </c>
      <c r="AP53" s="97">
        <f t="shared" si="42"/>
        <v>38</v>
      </c>
      <c r="AQ53" s="98">
        <f t="shared" si="43"/>
        <v>4</v>
      </c>
      <c r="AR53" s="213"/>
      <c r="AS53" s="54">
        <f t="shared" si="16"/>
        <v>27.5</v>
      </c>
      <c r="AT53" s="100">
        <f t="shared" si="44"/>
        <v>3.9285714285714284</v>
      </c>
      <c r="AU53" s="101">
        <f t="shared" si="45"/>
        <v>528</v>
      </c>
      <c r="AV53" s="99">
        <v>49</v>
      </c>
      <c r="AW53" s="99"/>
      <c r="AX53" s="73" t="str">
        <f t="shared" si="4"/>
        <v>GOOD</v>
      </c>
      <c r="AY53" s="83">
        <f>'1st_Semester'!AU53</f>
        <v>357</v>
      </c>
      <c r="AZ53" s="58">
        <f>'2nd_Semester'!AU53</f>
        <v>542</v>
      </c>
      <c r="BA53" s="83">
        <f t="shared" si="18"/>
        <v>528</v>
      </c>
      <c r="BB53" s="84">
        <f t="shared" si="19"/>
        <v>475.66666666666669</v>
      </c>
      <c r="BC53" s="82"/>
    </row>
    <row r="54" spans="1:55" s="38" customFormat="1" ht="15.95" customHeight="1">
      <c r="A54" s="59">
        <v>47</v>
      </c>
      <c r="B54" s="127">
        <v>46</v>
      </c>
      <c r="C54" s="103" t="s">
        <v>233</v>
      </c>
      <c r="D54" s="103" t="s">
        <v>234</v>
      </c>
      <c r="E54" s="103" t="s">
        <v>235</v>
      </c>
      <c r="F54" s="97">
        <v>18</v>
      </c>
      <c r="G54" s="97">
        <v>46</v>
      </c>
      <c r="H54" s="97">
        <v>10</v>
      </c>
      <c r="I54" s="97">
        <v>24</v>
      </c>
      <c r="J54" s="97">
        <f t="shared" si="47"/>
        <v>99</v>
      </c>
      <c r="K54" s="81">
        <f t="shared" si="6"/>
        <v>3.5</v>
      </c>
      <c r="L54" s="213"/>
      <c r="M54" s="97">
        <v>19</v>
      </c>
      <c r="N54" s="97">
        <v>59</v>
      </c>
      <c r="O54" s="97">
        <v>9</v>
      </c>
      <c r="P54" s="97">
        <v>32</v>
      </c>
      <c r="Q54" s="97">
        <f t="shared" si="0"/>
        <v>119</v>
      </c>
      <c r="R54" s="98">
        <f t="shared" si="36"/>
        <v>4</v>
      </c>
      <c r="S54" s="213"/>
      <c r="T54" s="97">
        <v>12</v>
      </c>
      <c r="U54" s="97">
        <v>28</v>
      </c>
      <c r="V54" s="97">
        <f t="shared" si="37"/>
        <v>40</v>
      </c>
      <c r="W54" s="98">
        <f t="shared" si="38"/>
        <v>2</v>
      </c>
      <c r="X54" s="216"/>
      <c r="Y54" s="97">
        <v>18</v>
      </c>
      <c r="Z54" s="97">
        <v>33</v>
      </c>
      <c r="AA54" s="97">
        <f t="shared" si="10"/>
        <v>51</v>
      </c>
      <c r="AB54" s="98">
        <f t="shared" si="39"/>
        <v>3</v>
      </c>
      <c r="AC54" s="213"/>
      <c r="AD54" s="97">
        <v>12</v>
      </c>
      <c r="AE54" s="97">
        <v>45</v>
      </c>
      <c r="AF54" s="97">
        <f t="shared" si="1"/>
        <v>57</v>
      </c>
      <c r="AG54" s="98">
        <f t="shared" si="40"/>
        <v>3</v>
      </c>
      <c r="AH54" s="213"/>
      <c r="AI54" s="97">
        <v>13</v>
      </c>
      <c r="AJ54" s="97">
        <v>44</v>
      </c>
      <c r="AK54" s="97">
        <f t="shared" si="2"/>
        <v>57</v>
      </c>
      <c r="AL54" s="98">
        <f t="shared" si="41"/>
        <v>3</v>
      </c>
      <c r="AM54" s="213"/>
      <c r="AN54" s="97">
        <v>0</v>
      </c>
      <c r="AO54" s="97">
        <v>27</v>
      </c>
      <c r="AP54" s="97">
        <f t="shared" si="42"/>
        <v>27</v>
      </c>
      <c r="AQ54" s="98">
        <f t="shared" si="43"/>
        <v>3</v>
      </c>
      <c r="AR54" s="213"/>
      <c r="AS54" s="54">
        <f t="shared" si="16"/>
        <v>21.5</v>
      </c>
      <c r="AT54" s="100">
        <f t="shared" si="44"/>
        <v>3.0714285714285716</v>
      </c>
      <c r="AU54" s="101">
        <f t="shared" si="45"/>
        <v>450</v>
      </c>
      <c r="AV54" s="99">
        <v>53</v>
      </c>
      <c r="AW54" s="99"/>
      <c r="AX54" s="73" t="str">
        <f t="shared" si="4"/>
        <v>GOOD</v>
      </c>
      <c r="AY54" s="83">
        <f>'1st_Semester'!AU54</f>
        <v>448</v>
      </c>
      <c r="AZ54" s="58">
        <f>'2nd_Semester'!AU54</f>
        <v>427</v>
      </c>
      <c r="BA54" s="83">
        <f t="shared" si="18"/>
        <v>450</v>
      </c>
      <c r="BB54" s="84">
        <f t="shared" si="19"/>
        <v>441.66666666666669</v>
      </c>
      <c r="BC54" s="82"/>
    </row>
    <row r="55" spans="1:55" s="38" customFormat="1" ht="15.95" customHeight="1">
      <c r="A55" s="59">
        <v>48</v>
      </c>
      <c r="B55" s="127">
        <v>47</v>
      </c>
      <c r="C55" s="103" t="s">
        <v>236</v>
      </c>
      <c r="D55" s="103" t="s">
        <v>237</v>
      </c>
      <c r="E55" s="103" t="s">
        <v>238</v>
      </c>
      <c r="F55" s="97">
        <v>19</v>
      </c>
      <c r="G55" s="97">
        <v>42</v>
      </c>
      <c r="H55" s="97">
        <v>10</v>
      </c>
      <c r="I55" s="97">
        <v>30</v>
      </c>
      <c r="J55" s="97">
        <f t="shared" si="47"/>
        <v>101</v>
      </c>
      <c r="K55" s="81">
        <f t="shared" si="6"/>
        <v>3.5</v>
      </c>
      <c r="L55" s="213"/>
      <c r="M55" s="97">
        <v>17</v>
      </c>
      <c r="N55" s="97">
        <v>60</v>
      </c>
      <c r="O55" s="97">
        <v>9</v>
      </c>
      <c r="P55" s="97">
        <v>32</v>
      </c>
      <c r="Q55" s="97">
        <f t="shared" si="0"/>
        <v>118</v>
      </c>
      <c r="R55" s="98">
        <f t="shared" si="36"/>
        <v>4</v>
      </c>
      <c r="S55" s="213"/>
      <c r="T55" s="97">
        <v>14</v>
      </c>
      <c r="U55" s="97">
        <v>29</v>
      </c>
      <c r="V55" s="97">
        <f t="shared" si="37"/>
        <v>43</v>
      </c>
      <c r="W55" s="98">
        <f t="shared" si="38"/>
        <v>2</v>
      </c>
      <c r="X55" s="216"/>
      <c r="Y55" s="97">
        <v>20</v>
      </c>
      <c r="Z55" s="97">
        <v>43</v>
      </c>
      <c r="AA55" s="97">
        <f t="shared" si="10"/>
        <v>63</v>
      </c>
      <c r="AB55" s="98">
        <f t="shared" si="39"/>
        <v>3.5</v>
      </c>
      <c r="AC55" s="213"/>
      <c r="AD55" s="97">
        <v>17</v>
      </c>
      <c r="AE55" s="97">
        <v>42</v>
      </c>
      <c r="AF55" s="97">
        <f t="shared" si="1"/>
        <v>59</v>
      </c>
      <c r="AG55" s="98">
        <f t="shared" si="40"/>
        <v>3</v>
      </c>
      <c r="AH55" s="213"/>
      <c r="AI55" s="97">
        <v>19</v>
      </c>
      <c r="AJ55" s="97">
        <v>35</v>
      </c>
      <c r="AK55" s="97">
        <f t="shared" si="2"/>
        <v>54</v>
      </c>
      <c r="AL55" s="98">
        <f t="shared" si="41"/>
        <v>3</v>
      </c>
      <c r="AM55" s="213"/>
      <c r="AN55" s="97">
        <v>0</v>
      </c>
      <c r="AO55" s="97">
        <v>32</v>
      </c>
      <c r="AP55" s="97">
        <f t="shared" si="42"/>
        <v>32</v>
      </c>
      <c r="AQ55" s="98">
        <f t="shared" si="43"/>
        <v>3.5</v>
      </c>
      <c r="AR55" s="213"/>
      <c r="AS55" s="54">
        <f t="shared" si="16"/>
        <v>22.5</v>
      </c>
      <c r="AT55" s="100">
        <f t="shared" si="44"/>
        <v>3.2142857142857144</v>
      </c>
      <c r="AU55" s="101">
        <f t="shared" si="45"/>
        <v>470</v>
      </c>
      <c r="AV55" s="99">
        <v>61</v>
      </c>
      <c r="AW55" s="99"/>
      <c r="AX55" s="73" t="str">
        <f t="shared" si="4"/>
        <v>GOOD</v>
      </c>
      <c r="AY55" s="83">
        <f>'1st_Semester'!AU55</f>
        <v>223</v>
      </c>
      <c r="AZ55" s="58">
        <f>'2nd_Semester'!AU55</f>
        <v>422</v>
      </c>
      <c r="BA55" s="83">
        <f t="shared" si="18"/>
        <v>470</v>
      </c>
      <c r="BB55" s="84">
        <f t="shared" si="19"/>
        <v>371.66666666666669</v>
      </c>
      <c r="BC55" s="82"/>
    </row>
    <row r="56" spans="1:55" s="38" customFormat="1" ht="15.95" customHeight="1">
      <c r="A56" s="59">
        <v>49</v>
      </c>
      <c r="B56" s="54">
        <v>50</v>
      </c>
      <c r="C56" s="103" t="s">
        <v>239</v>
      </c>
      <c r="D56" s="103" t="s">
        <v>240</v>
      </c>
      <c r="E56" s="103" t="s">
        <v>241</v>
      </c>
      <c r="F56" s="97">
        <v>20</v>
      </c>
      <c r="G56" s="97">
        <v>73</v>
      </c>
      <c r="H56" s="97">
        <v>10</v>
      </c>
      <c r="I56" s="97">
        <v>38</v>
      </c>
      <c r="J56" s="97">
        <f t="shared" si="47"/>
        <v>140</v>
      </c>
      <c r="K56" s="81">
        <f t="shared" si="6"/>
        <v>5</v>
      </c>
      <c r="L56" s="213"/>
      <c r="M56" s="97">
        <v>18</v>
      </c>
      <c r="N56" s="97">
        <v>72</v>
      </c>
      <c r="O56" s="97">
        <v>9</v>
      </c>
      <c r="P56" s="97">
        <v>35</v>
      </c>
      <c r="Q56" s="97">
        <f t="shared" si="0"/>
        <v>134</v>
      </c>
      <c r="R56" s="98">
        <f t="shared" si="36"/>
        <v>5</v>
      </c>
      <c r="S56" s="213"/>
      <c r="T56" s="97">
        <v>13</v>
      </c>
      <c r="U56" s="97">
        <v>58</v>
      </c>
      <c r="V56" s="97">
        <f t="shared" si="37"/>
        <v>71</v>
      </c>
      <c r="W56" s="98">
        <f t="shared" si="38"/>
        <v>4</v>
      </c>
      <c r="X56" s="216"/>
      <c r="Y56" s="97">
        <v>20</v>
      </c>
      <c r="Z56" s="97">
        <v>74</v>
      </c>
      <c r="AA56" s="97">
        <f t="shared" si="10"/>
        <v>94</v>
      </c>
      <c r="AB56" s="98">
        <f t="shared" si="39"/>
        <v>5</v>
      </c>
      <c r="AC56" s="213"/>
      <c r="AD56" s="97">
        <v>19</v>
      </c>
      <c r="AE56" s="97">
        <v>64</v>
      </c>
      <c r="AF56" s="97">
        <f t="shared" si="1"/>
        <v>83</v>
      </c>
      <c r="AG56" s="98">
        <f t="shared" si="40"/>
        <v>5</v>
      </c>
      <c r="AH56" s="213"/>
      <c r="AI56" s="97">
        <v>20</v>
      </c>
      <c r="AJ56" s="97">
        <v>58</v>
      </c>
      <c r="AK56" s="97">
        <f t="shared" si="2"/>
        <v>78</v>
      </c>
      <c r="AL56" s="98">
        <f t="shared" si="41"/>
        <v>4</v>
      </c>
      <c r="AM56" s="213"/>
      <c r="AN56" s="97">
        <v>0</v>
      </c>
      <c r="AO56" s="97">
        <v>44</v>
      </c>
      <c r="AP56" s="97">
        <f t="shared" si="42"/>
        <v>44</v>
      </c>
      <c r="AQ56" s="98">
        <f t="shared" si="43"/>
        <v>5</v>
      </c>
      <c r="AR56" s="213"/>
      <c r="AS56" s="54">
        <f t="shared" si="16"/>
        <v>33</v>
      </c>
      <c r="AT56" s="100">
        <f t="shared" si="44"/>
        <v>4.7142857142857144</v>
      </c>
      <c r="AU56" s="101">
        <f t="shared" si="45"/>
        <v>644</v>
      </c>
      <c r="AV56" s="99">
        <v>32</v>
      </c>
      <c r="AW56" s="99"/>
      <c r="AX56" s="73" t="str">
        <f t="shared" si="4"/>
        <v>BETTER</v>
      </c>
      <c r="AY56" s="83">
        <f>'1st_Semester'!AU56</f>
        <v>555</v>
      </c>
      <c r="AZ56" s="58">
        <f>'2nd_Semester'!AU56</f>
        <v>606</v>
      </c>
      <c r="BA56" s="83">
        <f t="shared" si="18"/>
        <v>644</v>
      </c>
      <c r="BB56" s="84">
        <f t="shared" si="19"/>
        <v>601.66666666666663</v>
      </c>
      <c r="BC56" s="82"/>
    </row>
    <row r="57" spans="1:55" s="38" customFormat="1" ht="15.95" customHeight="1">
      <c r="A57" s="59">
        <v>50</v>
      </c>
      <c r="B57" s="54">
        <v>53</v>
      </c>
      <c r="C57" s="103" t="s">
        <v>242</v>
      </c>
      <c r="D57" s="103" t="s">
        <v>243</v>
      </c>
      <c r="E57" s="103" t="s">
        <v>244</v>
      </c>
      <c r="F57" s="97">
        <v>20</v>
      </c>
      <c r="G57" s="97">
        <v>70</v>
      </c>
      <c r="H57" s="97">
        <v>10</v>
      </c>
      <c r="I57" s="97">
        <v>39</v>
      </c>
      <c r="J57" s="97">
        <f t="shared" si="47"/>
        <v>139</v>
      </c>
      <c r="K57" s="81">
        <f t="shared" si="6"/>
        <v>5</v>
      </c>
      <c r="L57" s="213"/>
      <c r="M57" s="97">
        <v>17</v>
      </c>
      <c r="N57" s="97">
        <v>57</v>
      </c>
      <c r="O57" s="97">
        <v>8</v>
      </c>
      <c r="P57" s="97">
        <v>34</v>
      </c>
      <c r="Q57" s="97">
        <f t="shared" si="0"/>
        <v>116</v>
      </c>
      <c r="R57" s="98">
        <f t="shared" si="36"/>
        <v>4</v>
      </c>
      <c r="S57" s="213"/>
      <c r="T57" s="97">
        <v>13</v>
      </c>
      <c r="U57" s="97">
        <v>50</v>
      </c>
      <c r="V57" s="97">
        <f t="shared" si="37"/>
        <v>63</v>
      </c>
      <c r="W57" s="98">
        <f t="shared" si="38"/>
        <v>3.5</v>
      </c>
      <c r="X57" s="216"/>
      <c r="Y57" s="97">
        <v>20</v>
      </c>
      <c r="Z57" s="97">
        <v>74</v>
      </c>
      <c r="AA57" s="97">
        <f t="shared" si="10"/>
        <v>94</v>
      </c>
      <c r="AB57" s="98">
        <f t="shared" si="39"/>
        <v>5</v>
      </c>
      <c r="AC57" s="213"/>
      <c r="AD57" s="97">
        <v>18</v>
      </c>
      <c r="AE57" s="97">
        <v>62</v>
      </c>
      <c r="AF57" s="97">
        <f t="shared" si="1"/>
        <v>80</v>
      </c>
      <c r="AG57" s="98">
        <f t="shared" si="40"/>
        <v>5</v>
      </c>
      <c r="AH57" s="213"/>
      <c r="AI57" s="97">
        <v>19</v>
      </c>
      <c r="AJ57" s="97">
        <v>62</v>
      </c>
      <c r="AK57" s="97">
        <f t="shared" si="2"/>
        <v>81</v>
      </c>
      <c r="AL57" s="98">
        <f t="shared" si="41"/>
        <v>5</v>
      </c>
      <c r="AM57" s="213"/>
      <c r="AN57" s="97">
        <v>0</v>
      </c>
      <c r="AO57" s="97">
        <v>41</v>
      </c>
      <c r="AP57" s="97">
        <f t="shared" si="42"/>
        <v>41</v>
      </c>
      <c r="AQ57" s="98">
        <f t="shared" si="43"/>
        <v>5</v>
      </c>
      <c r="AR57" s="213"/>
      <c r="AS57" s="54">
        <f t="shared" si="16"/>
        <v>32.5</v>
      </c>
      <c r="AT57" s="100">
        <f t="shared" si="44"/>
        <v>4.6428571428571432</v>
      </c>
      <c r="AU57" s="101">
        <f t="shared" si="45"/>
        <v>614</v>
      </c>
      <c r="AV57" s="99">
        <v>40</v>
      </c>
      <c r="AW57" s="99"/>
      <c r="AX57" s="73" t="str">
        <f t="shared" si="4"/>
        <v>BETTER</v>
      </c>
      <c r="AY57" s="83">
        <f>'1st_Semester'!AU57</f>
        <v>443</v>
      </c>
      <c r="AZ57" s="58">
        <f>'2nd_Semester'!AU57</f>
        <v>566</v>
      </c>
      <c r="BA57" s="83">
        <f t="shared" si="18"/>
        <v>614</v>
      </c>
      <c r="BB57" s="84">
        <f t="shared" si="19"/>
        <v>541</v>
      </c>
      <c r="BC57" s="82"/>
    </row>
    <row r="58" spans="1:55" s="38" customFormat="1" ht="15.95" customHeight="1">
      <c r="A58" s="59">
        <v>51</v>
      </c>
      <c r="B58" s="54">
        <v>59</v>
      </c>
      <c r="C58" s="103" t="s">
        <v>245</v>
      </c>
      <c r="D58" s="103" t="s">
        <v>246</v>
      </c>
      <c r="E58" s="103" t="s">
        <v>247</v>
      </c>
      <c r="F58" s="97">
        <v>20</v>
      </c>
      <c r="G58" s="97">
        <v>78</v>
      </c>
      <c r="H58" s="97">
        <v>10</v>
      </c>
      <c r="I58" s="97">
        <v>40</v>
      </c>
      <c r="J58" s="97">
        <f t="shared" si="47"/>
        <v>148</v>
      </c>
      <c r="K58" s="81">
        <f t="shared" si="6"/>
        <v>5</v>
      </c>
      <c r="L58" s="213"/>
      <c r="M58" s="97">
        <v>20</v>
      </c>
      <c r="N58" s="97">
        <v>69</v>
      </c>
      <c r="O58" s="97">
        <v>10</v>
      </c>
      <c r="P58" s="97">
        <v>40</v>
      </c>
      <c r="Q58" s="97">
        <f t="shared" si="0"/>
        <v>139</v>
      </c>
      <c r="R58" s="98">
        <f t="shared" si="36"/>
        <v>5</v>
      </c>
      <c r="S58" s="213"/>
      <c r="T58" s="97">
        <v>16</v>
      </c>
      <c r="U58" s="97">
        <v>69</v>
      </c>
      <c r="V58" s="97">
        <f t="shared" si="37"/>
        <v>85</v>
      </c>
      <c r="W58" s="98">
        <f t="shared" si="38"/>
        <v>5</v>
      </c>
      <c r="X58" s="216"/>
      <c r="Y58" s="97">
        <v>20</v>
      </c>
      <c r="Z58" s="97">
        <v>79</v>
      </c>
      <c r="AA58" s="97">
        <f t="shared" si="10"/>
        <v>99</v>
      </c>
      <c r="AB58" s="98">
        <f t="shared" si="39"/>
        <v>5</v>
      </c>
      <c r="AC58" s="213"/>
      <c r="AD58" s="97">
        <v>19</v>
      </c>
      <c r="AE58" s="97">
        <v>77</v>
      </c>
      <c r="AF58" s="97">
        <f t="shared" si="1"/>
        <v>96</v>
      </c>
      <c r="AG58" s="98">
        <f t="shared" si="40"/>
        <v>5</v>
      </c>
      <c r="AH58" s="213"/>
      <c r="AI58" s="97">
        <v>20</v>
      </c>
      <c r="AJ58" s="97">
        <v>78</v>
      </c>
      <c r="AK58" s="97">
        <f t="shared" si="2"/>
        <v>98</v>
      </c>
      <c r="AL58" s="98">
        <f t="shared" si="41"/>
        <v>5</v>
      </c>
      <c r="AM58" s="213"/>
      <c r="AN58" s="97">
        <v>0</v>
      </c>
      <c r="AO58" s="97">
        <v>50</v>
      </c>
      <c r="AP58" s="97">
        <f t="shared" si="42"/>
        <v>50</v>
      </c>
      <c r="AQ58" s="98">
        <f t="shared" si="43"/>
        <v>5</v>
      </c>
      <c r="AR58" s="213"/>
      <c r="AS58" s="54">
        <f t="shared" si="16"/>
        <v>35</v>
      </c>
      <c r="AT58" s="100">
        <f t="shared" si="44"/>
        <v>5</v>
      </c>
      <c r="AU58" s="101">
        <f t="shared" si="45"/>
        <v>715</v>
      </c>
      <c r="AV58" s="99">
        <v>22</v>
      </c>
      <c r="AW58" s="99"/>
      <c r="AX58" s="73" t="str">
        <f t="shared" si="4"/>
        <v>BEST</v>
      </c>
      <c r="AY58" s="83">
        <f>'1st_Semester'!AU58</f>
        <v>514</v>
      </c>
      <c r="AZ58" s="58">
        <f>'2nd_Semester'!AU58</f>
        <v>673</v>
      </c>
      <c r="BA58" s="83">
        <f t="shared" si="18"/>
        <v>715</v>
      </c>
      <c r="BB58" s="84">
        <f t="shared" si="19"/>
        <v>634</v>
      </c>
      <c r="BC58" s="82"/>
    </row>
    <row r="59" spans="1:55" s="38" customFormat="1" ht="15.95" customHeight="1">
      <c r="A59" s="59">
        <v>52</v>
      </c>
      <c r="B59" s="54">
        <v>60</v>
      </c>
      <c r="C59" s="103" t="s">
        <v>248</v>
      </c>
      <c r="D59" s="103" t="s">
        <v>249</v>
      </c>
      <c r="E59" s="103" t="s">
        <v>250</v>
      </c>
      <c r="F59" s="97">
        <v>15</v>
      </c>
      <c r="G59" s="97">
        <v>47</v>
      </c>
      <c r="H59" s="97">
        <v>10</v>
      </c>
      <c r="I59" s="97">
        <v>19</v>
      </c>
      <c r="J59" s="97">
        <f t="shared" si="47"/>
        <v>96</v>
      </c>
      <c r="K59" s="81">
        <f t="shared" si="6"/>
        <v>3.5</v>
      </c>
      <c r="L59" s="213"/>
      <c r="M59" s="97">
        <v>15</v>
      </c>
      <c r="N59" s="97">
        <v>51</v>
      </c>
      <c r="O59" s="97">
        <v>7</v>
      </c>
      <c r="P59" s="97">
        <v>26</v>
      </c>
      <c r="Q59" s="97">
        <f t="shared" si="0"/>
        <v>99</v>
      </c>
      <c r="R59" s="98">
        <f t="shared" si="36"/>
        <v>3.5</v>
      </c>
      <c r="S59" s="213"/>
      <c r="T59" s="97">
        <v>14</v>
      </c>
      <c r="U59" s="97">
        <v>41</v>
      </c>
      <c r="V59" s="97">
        <f t="shared" si="37"/>
        <v>55</v>
      </c>
      <c r="W59" s="98">
        <f t="shared" si="38"/>
        <v>3</v>
      </c>
      <c r="X59" s="216"/>
      <c r="Y59" s="97">
        <v>18</v>
      </c>
      <c r="Z59" s="97">
        <v>52</v>
      </c>
      <c r="AA59" s="97">
        <f t="shared" si="10"/>
        <v>70</v>
      </c>
      <c r="AB59" s="98">
        <f t="shared" si="39"/>
        <v>4</v>
      </c>
      <c r="AC59" s="213"/>
      <c r="AD59" s="97">
        <v>13</v>
      </c>
      <c r="AE59" s="97">
        <v>34</v>
      </c>
      <c r="AF59" s="97">
        <f t="shared" si="1"/>
        <v>47</v>
      </c>
      <c r="AG59" s="98">
        <f t="shared" si="40"/>
        <v>2</v>
      </c>
      <c r="AH59" s="213"/>
      <c r="AI59" s="97">
        <v>17</v>
      </c>
      <c r="AJ59" s="97">
        <v>25</v>
      </c>
      <c r="AK59" s="97">
        <f t="shared" si="2"/>
        <v>42</v>
      </c>
      <c r="AL59" s="98">
        <f t="shared" si="41"/>
        <v>2</v>
      </c>
      <c r="AM59" s="213"/>
      <c r="AN59" s="97">
        <v>0</v>
      </c>
      <c r="AO59" s="97">
        <v>26</v>
      </c>
      <c r="AP59" s="97">
        <f t="shared" si="42"/>
        <v>26</v>
      </c>
      <c r="AQ59" s="98">
        <f t="shared" si="43"/>
        <v>3</v>
      </c>
      <c r="AR59" s="213"/>
      <c r="AS59" s="54">
        <f t="shared" si="16"/>
        <v>21</v>
      </c>
      <c r="AT59" s="100">
        <f t="shared" si="44"/>
        <v>3</v>
      </c>
      <c r="AU59" s="101">
        <f t="shared" si="45"/>
        <v>435</v>
      </c>
      <c r="AV59" s="99">
        <v>56</v>
      </c>
      <c r="AW59" s="99"/>
      <c r="AX59" s="73" t="str">
        <f t="shared" si="4"/>
        <v>GOOD</v>
      </c>
      <c r="AY59" s="83">
        <f>'1st_Semester'!AU59</f>
        <v>401</v>
      </c>
      <c r="AZ59" s="58">
        <f>'2nd_Semester'!AU59</f>
        <v>395</v>
      </c>
      <c r="BA59" s="83">
        <f t="shared" si="18"/>
        <v>435</v>
      </c>
      <c r="BB59" s="84">
        <f t="shared" si="19"/>
        <v>410.33333333333331</v>
      </c>
      <c r="BC59" s="82"/>
    </row>
    <row r="60" spans="1:55" s="38" customFormat="1" ht="15.95" customHeight="1">
      <c r="A60" s="59">
        <v>53</v>
      </c>
      <c r="B60" s="54">
        <v>63</v>
      </c>
      <c r="C60" s="103" t="s">
        <v>251</v>
      </c>
      <c r="D60" s="103" t="s">
        <v>252</v>
      </c>
      <c r="E60" s="103" t="s">
        <v>253</v>
      </c>
      <c r="F60" s="97">
        <v>20</v>
      </c>
      <c r="G60" s="97">
        <v>61</v>
      </c>
      <c r="H60" s="97">
        <v>10</v>
      </c>
      <c r="I60" s="97">
        <v>27</v>
      </c>
      <c r="J60" s="97">
        <f t="shared" si="47"/>
        <v>118</v>
      </c>
      <c r="K60" s="81">
        <f t="shared" si="6"/>
        <v>4</v>
      </c>
      <c r="L60" s="213"/>
      <c r="M60" s="97">
        <v>16</v>
      </c>
      <c r="N60" s="97">
        <v>62</v>
      </c>
      <c r="O60" s="97">
        <v>9</v>
      </c>
      <c r="P60" s="97">
        <v>34</v>
      </c>
      <c r="Q60" s="97">
        <f t="shared" si="0"/>
        <v>121</v>
      </c>
      <c r="R60" s="98">
        <f t="shared" si="36"/>
        <v>5</v>
      </c>
      <c r="S60" s="213"/>
      <c r="T60" s="97">
        <v>15</v>
      </c>
      <c r="U60" s="97">
        <v>56</v>
      </c>
      <c r="V60" s="97">
        <f t="shared" si="37"/>
        <v>71</v>
      </c>
      <c r="W60" s="98">
        <f t="shared" si="38"/>
        <v>4</v>
      </c>
      <c r="X60" s="216"/>
      <c r="Y60" s="97">
        <v>20</v>
      </c>
      <c r="Z60" s="97">
        <v>54</v>
      </c>
      <c r="AA60" s="97">
        <f t="shared" si="10"/>
        <v>74</v>
      </c>
      <c r="AB60" s="98">
        <f t="shared" si="39"/>
        <v>4</v>
      </c>
      <c r="AC60" s="213"/>
      <c r="AD60" s="97">
        <v>17</v>
      </c>
      <c r="AE60" s="97">
        <v>73</v>
      </c>
      <c r="AF60" s="97">
        <f t="shared" si="1"/>
        <v>90</v>
      </c>
      <c r="AG60" s="98">
        <f t="shared" si="40"/>
        <v>5</v>
      </c>
      <c r="AH60" s="213"/>
      <c r="AI60" s="97">
        <v>20</v>
      </c>
      <c r="AJ60" s="97">
        <v>56</v>
      </c>
      <c r="AK60" s="97">
        <f t="shared" si="2"/>
        <v>76</v>
      </c>
      <c r="AL60" s="98">
        <f t="shared" si="41"/>
        <v>4</v>
      </c>
      <c r="AM60" s="213"/>
      <c r="AN60" s="97">
        <v>0</v>
      </c>
      <c r="AO60" s="97">
        <v>34</v>
      </c>
      <c r="AP60" s="97">
        <f t="shared" si="42"/>
        <v>34</v>
      </c>
      <c r="AQ60" s="98">
        <f t="shared" si="43"/>
        <v>3.5</v>
      </c>
      <c r="AR60" s="213"/>
      <c r="AS60" s="54">
        <f t="shared" si="16"/>
        <v>29.5</v>
      </c>
      <c r="AT60" s="100">
        <f t="shared" si="44"/>
        <v>4.2142857142857144</v>
      </c>
      <c r="AU60" s="101">
        <f t="shared" si="45"/>
        <v>584</v>
      </c>
      <c r="AV60" s="99">
        <v>46</v>
      </c>
      <c r="AW60" s="99"/>
      <c r="AX60" s="73" t="str">
        <f t="shared" si="4"/>
        <v>BETTER</v>
      </c>
      <c r="AY60" s="83">
        <f>'1st_Semester'!AU60</f>
        <v>419</v>
      </c>
      <c r="AZ60" s="58">
        <f>'2nd_Semester'!AU60</f>
        <v>548</v>
      </c>
      <c r="BA60" s="83">
        <f t="shared" si="18"/>
        <v>584</v>
      </c>
      <c r="BB60" s="84">
        <f t="shared" si="19"/>
        <v>517</v>
      </c>
      <c r="BC60" s="82"/>
    </row>
    <row r="61" spans="1:55" s="38" customFormat="1" ht="15.95" customHeight="1">
      <c r="A61" s="59">
        <v>54</v>
      </c>
      <c r="B61" s="54">
        <v>66</v>
      </c>
      <c r="C61" s="103" t="s">
        <v>254</v>
      </c>
      <c r="D61" s="103" t="s">
        <v>255</v>
      </c>
      <c r="E61" s="103" t="s">
        <v>256</v>
      </c>
      <c r="F61" s="97">
        <v>18</v>
      </c>
      <c r="G61" s="97">
        <v>45</v>
      </c>
      <c r="H61" s="97">
        <v>10</v>
      </c>
      <c r="I61" s="97">
        <v>22</v>
      </c>
      <c r="J61" s="97">
        <f t="shared" si="47"/>
        <v>94</v>
      </c>
      <c r="K61" s="81">
        <f t="shared" si="6"/>
        <v>3.5</v>
      </c>
      <c r="L61" s="213"/>
      <c r="M61" s="97">
        <v>16</v>
      </c>
      <c r="N61" s="97">
        <v>42</v>
      </c>
      <c r="O61" s="97">
        <v>8</v>
      </c>
      <c r="P61" s="97">
        <v>22</v>
      </c>
      <c r="Q61" s="97">
        <f t="shared" si="0"/>
        <v>88</v>
      </c>
      <c r="R61" s="98">
        <f t="shared" si="36"/>
        <v>3</v>
      </c>
      <c r="S61" s="213"/>
      <c r="T61" s="97">
        <v>13</v>
      </c>
      <c r="U61" s="97">
        <v>27</v>
      </c>
      <c r="V61" s="97">
        <f t="shared" si="37"/>
        <v>40</v>
      </c>
      <c r="W61" s="98">
        <f t="shared" si="38"/>
        <v>2</v>
      </c>
      <c r="X61" s="216"/>
      <c r="Y61" s="97">
        <v>16</v>
      </c>
      <c r="Z61" s="97">
        <v>38</v>
      </c>
      <c r="AA61" s="97">
        <f t="shared" si="10"/>
        <v>54</v>
      </c>
      <c r="AB61" s="98">
        <f t="shared" si="39"/>
        <v>3</v>
      </c>
      <c r="AC61" s="213"/>
      <c r="AD61" s="97">
        <v>13</v>
      </c>
      <c r="AE61" s="97">
        <v>43</v>
      </c>
      <c r="AF61" s="97">
        <f t="shared" si="1"/>
        <v>56</v>
      </c>
      <c r="AG61" s="98">
        <f t="shared" si="40"/>
        <v>3</v>
      </c>
      <c r="AH61" s="213"/>
      <c r="AI61" s="97">
        <v>17</v>
      </c>
      <c r="AJ61" s="97">
        <v>34</v>
      </c>
      <c r="AK61" s="97">
        <f t="shared" si="2"/>
        <v>51</v>
      </c>
      <c r="AL61" s="98">
        <f t="shared" si="41"/>
        <v>3</v>
      </c>
      <c r="AM61" s="213"/>
      <c r="AN61" s="97">
        <v>0</v>
      </c>
      <c r="AO61" s="97">
        <v>36</v>
      </c>
      <c r="AP61" s="97">
        <f t="shared" si="42"/>
        <v>36</v>
      </c>
      <c r="AQ61" s="98">
        <f t="shared" si="43"/>
        <v>4</v>
      </c>
      <c r="AR61" s="213"/>
      <c r="AS61" s="54">
        <f t="shared" si="16"/>
        <v>21.5</v>
      </c>
      <c r="AT61" s="100">
        <f t="shared" si="44"/>
        <v>3.0714285714285716</v>
      </c>
      <c r="AU61" s="101">
        <f t="shared" si="45"/>
        <v>419</v>
      </c>
      <c r="AV61" s="99">
        <v>60</v>
      </c>
      <c r="AW61" s="99"/>
      <c r="AX61" s="73" t="str">
        <f t="shared" si="4"/>
        <v>GOOD</v>
      </c>
      <c r="AY61" s="83">
        <f>'1st_Semester'!AU61</f>
        <v>368</v>
      </c>
      <c r="AZ61" s="58">
        <f>'2nd_Semester'!AU61</f>
        <v>347</v>
      </c>
      <c r="BA61" s="83">
        <f t="shared" si="18"/>
        <v>419</v>
      </c>
      <c r="BB61" s="84">
        <f t="shared" si="19"/>
        <v>378</v>
      </c>
      <c r="BC61" s="82"/>
    </row>
    <row r="62" spans="1:55" s="38" customFormat="1" ht="15.95" customHeight="1">
      <c r="A62" s="59">
        <v>55</v>
      </c>
      <c r="B62" s="54">
        <v>67</v>
      </c>
      <c r="C62" s="103" t="s">
        <v>257</v>
      </c>
      <c r="D62" s="103" t="s">
        <v>258</v>
      </c>
      <c r="E62" s="103" t="s">
        <v>259</v>
      </c>
      <c r="F62" s="97">
        <v>13</v>
      </c>
      <c r="G62" s="97">
        <v>32</v>
      </c>
      <c r="H62" s="97">
        <v>10</v>
      </c>
      <c r="I62" s="97">
        <v>20</v>
      </c>
      <c r="J62" s="97">
        <f t="shared" si="47"/>
        <v>81</v>
      </c>
      <c r="K62" s="81">
        <f t="shared" si="6"/>
        <v>3</v>
      </c>
      <c r="L62" s="213"/>
      <c r="M62" s="97">
        <v>8</v>
      </c>
      <c r="N62" s="97">
        <v>36</v>
      </c>
      <c r="O62" s="97">
        <v>7</v>
      </c>
      <c r="P62" s="97">
        <v>16</v>
      </c>
      <c r="Q62" s="97">
        <f t="shared" si="0"/>
        <v>67</v>
      </c>
      <c r="R62" s="98">
        <f t="shared" si="36"/>
        <v>2</v>
      </c>
      <c r="S62" s="213"/>
      <c r="T62" s="97">
        <v>12</v>
      </c>
      <c r="U62" s="97">
        <v>28</v>
      </c>
      <c r="V62" s="97">
        <f t="shared" si="37"/>
        <v>40</v>
      </c>
      <c r="W62" s="98">
        <f t="shared" si="38"/>
        <v>2</v>
      </c>
      <c r="X62" s="216"/>
      <c r="Y62" s="97">
        <v>11</v>
      </c>
      <c r="Z62" s="97">
        <v>33</v>
      </c>
      <c r="AA62" s="97">
        <f t="shared" si="10"/>
        <v>44</v>
      </c>
      <c r="AB62" s="98">
        <f t="shared" si="39"/>
        <v>2</v>
      </c>
      <c r="AC62" s="213"/>
      <c r="AD62" s="97">
        <v>8</v>
      </c>
      <c r="AE62" s="97">
        <v>35</v>
      </c>
      <c r="AF62" s="97">
        <f t="shared" si="1"/>
        <v>43</v>
      </c>
      <c r="AG62" s="98">
        <f t="shared" si="40"/>
        <v>2</v>
      </c>
      <c r="AH62" s="213"/>
      <c r="AI62" s="97">
        <v>11</v>
      </c>
      <c r="AJ62" s="97">
        <v>38</v>
      </c>
      <c r="AK62" s="97">
        <f t="shared" si="2"/>
        <v>49</v>
      </c>
      <c r="AL62" s="98">
        <f t="shared" si="41"/>
        <v>2</v>
      </c>
      <c r="AM62" s="213"/>
      <c r="AN62" s="97">
        <v>0</v>
      </c>
      <c r="AO62" s="97">
        <v>27</v>
      </c>
      <c r="AP62" s="97">
        <f t="shared" si="42"/>
        <v>27</v>
      </c>
      <c r="AQ62" s="98">
        <f t="shared" si="43"/>
        <v>3</v>
      </c>
      <c r="AR62" s="213"/>
      <c r="AS62" s="54">
        <f t="shared" si="16"/>
        <v>16</v>
      </c>
      <c r="AT62" s="100">
        <f t="shared" si="44"/>
        <v>2.2857142857142856</v>
      </c>
      <c r="AU62" s="101">
        <f t="shared" si="45"/>
        <v>351</v>
      </c>
      <c r="AV62" s="99">
        <v>62</v>
      </c>
      <c r="AW62" s="99"/>
      <c r="AX62" s="73" t="str">
        <f t="shared" si="4"/>
        <v>GOOD</v>
      </c>
      <c r="AY62" s="83">
        <f>'1st_Semester'!AU62</f>
        <v>195</v>
      </c>
      <c r="AZ62" s="58">
        <f>'2nd_Semester'!AU62</f>
        <v>276</v>
      </c>
      <c r="BA62" s="83">
        <f t="shared" si="18"/>
        <v>351</v>
      </c>
      <c r="BB62" s="84">
        <f t="shared" si="19"/>
        <v>274</v>
      </c>
      <c r="BC62" s="82"/>
    </row>
    <row r="63" spans="1:55" s="38" customFormat="1" ht="15.95" customHeight="1">
      <c r="A63" s="59">
        <v>56</v>
      </c>
      <c r="B63" s="54">
        <v>68</v>
      </c>
      <c r="C63" s="103" t="s">
        <v>260</v>
      </c>
      <c r="D63" s="103" t="s">
        <v>261</v>
      </c>
      <c r="E63" s="103" t="s">
        <v>262</v>
      </c>
      <c r="F63" s="97">
        <v>20</v>
      </c>
      <c r="G63" s="97">
        <v>61</v>
      </c>
      <c r="H63" s="97">
        <v>10</v>
      </c>
      <c r="I63" s="97">
        <v>29</v>
      </c>
      <c r="J63" s="97">
        <f t="shared" si="47"/>
        <v>120</v>
      </c>
      <c r="K63" s="81">
        <f t="shared" si="6"/>
        <v>5</v>
      </c>
      <c r="L63" s="213"/>
      <c r="M63" s="97">
        <v>19</v>
      </c>
      <c r="N63" s="97">
        <v>61</v>
      </c>
      <c r="O63" s="97">
        <v>8</v>
      </c>
      <c r="P63" s="97">
        <v>22</v>
      </c>
      <c r="Q63" s="97">
        <f t="shared" si="0"/>
        <v>110</v>
      </c>
      <c r="R63" s="98">
        <f t="shared" si="36"/>
        <v>4</v>
      </c>
      <c r="S63" s="213"/>
      <c r="T63" s="97">
        <v>16</v>
      </c>
      <c r="U63" s="97">
        <v>46</v>
      </c>
      <c r="V63" s="97">
        <f t="shared" si="37"/>
        <v>62</v>
      </c>
      <c r="W63" s="98">
        <f t="shared" si="38"/>
        <v>3.5</v>
      </c>
      <c r="X63" s="216"/>
      <c r="Y63" s="97">
        <v>20</v>
      </c>
      <c r="Z63" s="97">
        <v>54</v>
      </c>
      <c r="AA63" s="97">
        <f t="shared" si="10"/>
        <v>74</v>
      </c>
      <c r="AB63" s="98">
        <f t="shared" si="39"/>
        <v>4</v>
      </c>
      <c r="AC63" s="213"/>
      <c r="AD63" s="97">
        <v>17</v>
      </c>
      <c r="AE63" s="97">
        <v>65</v>
      </c>
      <c r="AF63" s="97">
        <f t="shared" si="1"/>
        <v>82</v>
      </c>
      <c r="AG63" s="98">
        <f t="shared" si="40"/>
        <v>5</v>
      </c>
      <c r="AH63" s="213"/>
      <c r="AI63" s="97">
        <v>19</v>
      </c>
      <c r="AJ63" s="97">
        <v>45</v>
      </c>
      <c r="AK63" s="97">
        <f t="shared" si="2"/>
        <v>64</v>
      </c>
      <c r="AL63" s="98">
        <f t="shared" si="41"/>
        <v>3.5</v>
      </c>
      <c r="AM63" s="213"/>
      <c r="AN63" s="97">
        <v>0</v>
      </c>
      <c r="AO63" s="97">
        <v>41</v>
      </c>
      <c r="AP63" s="97">
        <f t="shared" si="42"/>
        <v>41</v>
      </c>
      <c r="AQ63" s="98">
        <f t="shared" si="43"/>
        <v>5</v>
      </c>
      <c r="AR63" s="213"/>
      <c r="AS63" s="54">
        <f t="shared" si="16"/>
        <v>30</v>
      </c>
      <c r="AT63" s="100">
        <f t="shared" si="44"/>
        <v>4.2857142857142856</v>
      </c>
      <c r="AU63" s="101">
        <f t="shared" si="45"/>
        <v>553</v>
      </c>
      <c r="AV63" s="99">
        <v>44</v>
      </c>
      <c r="AW63" s="99"/>
      <c r="AX63" s="73" t="str">
        <f t="shared" si="4"/>
        <v>BETTER</v>
      </c>
      <c r="AY63" s="83">
        <f>'1st_Semester'!AU63</f>
        <v>462</v>
      </c>
      <c r="AZ63" s="58">
        <f>'2nd_Semester'!AU63</f>
        <v>542</v>
      </c>
      <c r="BA63" s="83">
        <f t="shared" si="18"/>
        <v>553</v>
      </c>
      <c r="BB63" s="84">
        <f t="shared" si="19"/>
        <v>519</v>
      </c>
      <c r="BC63" s="82"/>
    </row>
    <row r="64" spans="1:55" s="38" customFormat="1" ht="15.95" customHeight="1">
      <c r="A64" s="59">
        <v>57</v>
      </c>
      <c r="B64" s="54">
        <v>69</v>
      </c>
      <c r="C64" s="103" t="s">
        <v>263</v>
      </c>
      <c r="D64" s="103" t="s">
        <v>264</v>
      </c>
      <c r="E64" s="103" t="s">
        <v>265</v>
      </c>
      <c r="F64" s="97">
        <v>19</v>
      </c>
      <c r="G64" s="97">
        <v>56</v>
      </c>
      <c r="H64" s="97">
        <v>10</v>
      </c>
      <c r="I64" s="97">
        <v>35</v>
      </c>
      <c r="J64" s="97">
        <f t="shared" si="47"/>
        <v>121</v>
      </c>
      <c r="K64" s="81">
        <f t="shared" si="6"/>
        <v>5</v>
      </c>
      <c r="L64" s="213"/>
      <c r="M64" s="97">
        <v>18</v>
      </c>
      <c r="N64" s="97">
        <v>39</v>
      </c>
      <c r="O64" s="97">
        <v>8</v>
      </c>
      <c r="P64" s="97">
        <v>26</v>
      </c>
      <c r="Q64" s="97">
        <f t="shared" si="0"/>
        <v>91</v>
      </c>
      <c r="R64" s="98">
        <f t="shared" si="36"/>
        <v>3.5</v>
      </c>
      <c r="S64" s="213"/>
      <c r="T64" s="97">
        <v>14</v>
      </c>
      <c r="U64" s="97">
        <v>34</v>
      </c>
      <c r="V64" s="97">
        <f t="shared" si="37"/>
        <v>48</v>
      </c>
      <c r="W64" s="98">
        <f t="shared" si="38"/>
        <v>2</v>
      </c>
      <c r="X64" s="216"/>
      <c r="Y64" s="97">
        <v>20</v>
      </c>
      <c r="Z64" s="97">
        <v>56</v>
      </c>
      <c r="AA64" s="97">
        <f t="shared" si="10"/>
        <v>76</v>
      </c>
      <c r="AB64" s="98">
        <f t="shared" si="39"/>
        <v>4</v>
      </c>
      <c r="AC64" s="213"/>
      <c r="AD64" s="97">
        <v>18</v>
      </c>
      <c r="AE64" s="97">
        <v>65</v>
      </c>
      <c r="AF64" s="97">
        <f t="shared" si="1"/>
        <v>83</v>
      </c>
      <c r="AG64" s="98">
        <f t="shared" si="40"/>
        <v>5</v>
      </c>
      <c r="AH64" s="213"/>
      <c r="AI64" s="97">
        <v>18</v>
      </c>
      <c r="AJ64" s="97">
        <v>52</v>
      </c>
      <c r="AK64" s="97">
        <f t="shared" si="2"/>
        <v>70</v>
      </c>
      <c r="AL64" s="98">
        <f t="shared" si="41"/>
        <v>4</v>
      </c>
      <c r="AM64" s="213"/>
      <c r="AN64" s="97">
        <v>0</v>
      </c>
      <c r="AO64" s="97">
        <v>39</v>
      </c>
      <c r="AP64" s="97">
        <f t="shared" si="42"/>
        <v>39</v>
      </c>
      <c r="AQ64" s="98">
        <f t="shared" si="43"/>
        <v>4</v>
      </c>
      <c r="AR64" s="213"/>
      <c r="AS64" s="54">
        <f t="shared" si="16"/>
        <v>27.5</v>
      </c>
      <c r="AT64" s="100">
        <f t="shared" si="44"/>
        <v>3.9285714285714284</v>
      </c>
      <c r="AU64" s="101">
        <f t="shared" si="45"/>
        <v>528</v>
      </c>
      <c r="AV64" s="99">
        <v>50</v>
      </c>
      <c r="AW64" s="99"/>
      <c r="AX64" s="73" t="str">
        <f t="shared" si="4"/>
        <v>GOOD</v>
      </c>
      <c r="AY64" s="83">
        <f>'1st_Semester'!AU64</f>
        <v>391</v>
      </c>
      <c r="AZ64" s="58">
        <f>'2nd_Semester'!AU64</f>
        <v>477</v>
      </c>
      <c r="BA64" s="83">
        <f t="shared" si="18"/>
        <v>528</v>
      </c>
      <c r="BB64" s="84">
        <f t="shared" si="19"/>
        <v>465.33333333333331</v>
      </c>
      <c r="BC64" s="82"/>
    </row>
    <row r="65" spans="1:55" s="38" customFormat="1" ht="15.95" customHeight="1">
      <c r="A65" s="59">
        <v>58</v>
      </c>
      <c r="B65" s="54">
        <v>70</v>
      </c>
      <c r="C65" s="103" t="s">
        <v>266</v>
      </c>
      <c r="D65" s="103" t="s">
        <v>267</v>
      </c>
      <c r="E65" s="103" t="s">
        <v>268</v>
      </c>
      <c r="F65" s="97">
        <v>19</v>
      </c>
      <c r="G65" s="97">
        <v>42</v>
      </c>
      <c r="H65" s="97">
        <v>10</v>
      </c>
      <c r="I65" s="97">
        <v>23</v>
      </c>
      <c r="J65" s="97">
        <f t="shared" si="47"/>
        <v>92</v>
      </c>
      <c r="K65" s="81">
        <f t="shared" si="6"/>
        <v>3.5</v>
      </c>
      <c r="L65" s="213"/>
      <c r="M65" s="97">
        <v>17</v>
      </c>
      <c r="N65" s="97">
        <v>32</v>
      </c>
      <c r="O65" s="97">
        <v>7</v>
      </c>
      <c r="P65" s="97">
        <v>16</v>
      </c>
      <c r="Q65" s="97">
        <f t="shared" si="0"/>
        <v>72</v>
      </c>
      <c r="R65" s="98">
        <f t="shared" si="36"/>
        <v>2</v>
      </c>
      <c r="S65" s="213"/>
      <c r="T65" s="97">
        <v>15</v>
      </c>
      <c r="U65" s="97">
        <v>27</v>
      </c>
      <c r="V65" s="97">
        <f t="shared" si="37"/>
        <v>42</v>
      </c>
      <c r="W65" s="98">
        <f t="shared" si="38"/>
        <v>2</v>
      </c>
      <c r="X65" s="216"/>
      <c r="Y65" s="97">
        <v>17</v>
      </c>
      <c r="Z65" s="97">
        <v>50</v>
      </c>
      <c r="AA65" s="97">
        <f t="shared" si="10"/>
        <v>67</v>
      </c>
      <c r="AB65" s="98">
        <f t="shared" si="39"/>
        <v>3.5</v>
      </c>
      <c r="AC65" s="213"/>
      <c r="AD65" s="97">
        <v>15</v>
      </c>
      <c r="AE65" s="97">
        <v>48</v>
      </c>
      <c r="AF65" s="97">
        <f t="shared" si="1"/>
        <v>63</v>
      </c>
      <c r="AG65" s="98">
        <f t="shared" si="40"/>
        <v>3.5</v>
      </c>
      <c r="AH65" s="213"/>
      <c r="AI65" s="97">
        <v>18</v>
      </c>
      <c r="AJ65" s="97">
        <v>36</v>
      </c>
      <c r="AK65" s="97">
        <f t="shared" si="2"/>
        <v>54</v>
      </c>
      <c r="AL65" s="98">
        <f t="shared" si="41"/>
        <v>3</v>
      </c>
      <c r="AM65" s="213"/>
      <c r="AN65" s="97">
        <v>0</v>
      </c>
      <c r="AO65" s="97">
        <v>43</v>
      </c>
      <c r="AP65" s="97">
        <f t="shared" si="42"/>
        <v>43</v>
      </c>
      <c r="AQ65" s="98">
        <f t="shared" si="43"/>
        <v>5</v>
      </c>
      <c r="AR65" s="213"/>
      <c r="AS65" s="54">
        <f t="shared" si="16"/>
        <v>22.5</v>
      </c>
      <c r="AT65" s="100">
        <f t="shared" si="44"/>
        <v>3.2142857142857144</v>
      </c>
      <c r="AU65" s="101">
        <f t="shared" si="45"/>
        <v>433</v>
      </c>
      <c r="AV65" s="99">
        <v>59</v>
      </c>
      <c r="AW65" s="99"/>
      <c r="AX65" s="73" t="str">
        <f t="shared" si="4"/>
        <v>GOOD</v>
      </c>
      <c r="AY65" s="83">
        <f>'1st_Semester'!AU65</f>
        <v>305</v>
      </c>
      <c r="AZ65" s="58">
        <f>'2nd_Semester'!AU65</f>
        <v>425</v>
      </c>
      <c r="BA65" s="83">
        <f t="shared" si="18"/>
        <v>433</v>
      </c>
      <c r="BB65" s="84">
        <f t="shared" si="19"/>
        <v>387.66666666666669</v>
      </c>
      <c r="BC65" s="82"/>
    </row>
    <row r="66" spans="1:55" s="38" customFormat="1" ht="15.95" customHeight="1">
      <c r="A66" s="59">
        <v>59</v>
      </c>
      <c r="B66" s="54">
        <v>71</v>
      </c>
      <c r="C66" s="103" t="s">
        <v>269</v>
      </c>
      <c r="D66" s="103" t="s">
        <v>261</v>
      </c>
      <c r="E66" s="103" t="s">
        <v>270</v>
      </c>
      <c r="F66" s="97">
        <v>19</v>
      </c>
      <c r="G66" s="97">
        <v>50</v>
      </c>
      <c r="H66" s="97">
        <v>10</v>
      </c>
      <c r="I66" s="97">
        <v>26</v>
      </c>
      <c r="J66" s="97">
        <f t="shared" si="47"/>
        <v>106</v>
      </c>
      <c r="K66" s="81">
        <f t="shared" si="6"/>
        <v>4</v>
      </c>
      <c r="L66" s="213"/>
      <c r="M66" s="97">
        <v>16</v>
      </c>
      <c r="N66" s="97">
        <v>50</v>
      </c>
      <c r="O66" s="97">
        <v>8</v>
      </c>
      <c r="P66" s="97">
        <v>18</v>
      </c>
      <c r="Q66" s="97">
        <f t="shared" si="0"/>
        <v>92</v>
      </c>
      <c r="R66" s="98">
        <f t="shared" si="36"/>
        <v>3.5</v>
      </c>
      <c r="S66" s="213"/>
      <c r="T66" s="97">
        <v>13</v>
      </c>
      <c r="U66" s="97">
        <v>27</v>
      </c>
      <c r="V66" s="97">
        <f t="shared" si="37"/>
        <v>40</v>
      </c>
      <c r="W66" s="98">
        <f t="shared" si="38"/>
        <v>2</v>
      </c>
      <c r="X66" s="216"/>
      <c r="Y66" s="97">
        <v>20</v>
      </c>
      <c r="Z66" s="97">
        <v>58</v>
      </c>
      <c r="AA66" s="97">
        <f t="shared" si="10"/>
        <v>78</v>
      </c>
      <c r="AB66" s="98">
        <f t="shared" si="39"/>
        <v>4</v>
      </c>
      <c r="AC66" s="213"/>
      <c r="AD66" s="97">
        <v>15</v>
      </c>
      <c r="AE66" s="97">
        <v>54</v>
      </c>
      <c r="AF66" s="97">
        <f t="shared" si="1"/>
        <v>69</v>
      </c>
      <c r="AG66" s="98">
        <f t="shared" si="40"/>
        <v>3.5</v>
      </c>
      <c r="AH66" s="213"/>
      <c r="AI66" s="97">
        <v>19</v>
      </c>
      <c r="AJ66" s="97">
        <v>37</v>
      </c>
      <c r="AK66" s="97">
        <f t="shared" si="2"/>
        <v>56</v>
      </c>
      <c r="AL66" s="98">
        <f t="shared" si="41"/>
        <v>3</v>
      </c>
      <c r="AM66" s="213"/>
      <c r="AN66" s="97">
        <v>0</v>
      </c>
      <c r="AO66" s="97">
        <v>43</v>
      </c>
      <c r="AP66" s="97">
        <f t="shared" si="42"/>
        <v>43</v>
      </c>
      <c r="AQ66" s="98">
        <f t="shared" si="43"/>
        <v>5</v>
      </c>
      <c r="AR66" s="213"/>
      <c r="AS66" s="54">
        <f t="shared" si="16"/>
        <v>25</v>
      </c>
      <c r="AT66" s="100">
        <f t="shared" si="44"/>
        <v>3.5714285714285716</v>
      </c>
      <c r="AU66" s="101">
        <f t="shared" si="45"/>
        <v>484</v>
      </c>
      <c r="AV66" s="99">
        <v>57</v>
      </c>
      <c r="AW66" s="99"/>
      <c r="AX66" s="73" t="str">
        <f t="shared" si="4"/>
        <v>GOOD</v>
      </c>
      <c r="AY66" s="83">
        <f>'1st_Semester'!AU66</f>
        <v>321</v>
      </c>
      <c r="AZ66" s="58">
        <f>'2nd_Semester'!AU66</f>
        <v>401</v>
      </c>
      <c r="BA66" s="83">
        <f t="shared" si="18"/>
        <v>484</v>
      </c>
      <c r="BB66" s="84">
        <f t="shared" si="19"/>
        <v>402</v>
      </c>
      <c r="BC66" s="82"/>
    </row>
    <row r="67" spans="1:55" s="38" customFormat="1" ht="15.95" customHeight="1">
      <c r="A67" s="59">
        <v>60</v>
      </c>
      <c r="B67" s="54">
        <v>72</v>
      </c>
      <c r="C67" s="103" t="s">
        <v>271</v>
      </c>
      <c r="D67" s="103" t="s">
        <v>272</v>
      </c>
      <c r="E67" s="103" t="s">
        <v>273</v>
      </c>
      <c r="F67" s="97">
        <v>19</v>
      </c>
      <c r="G67" s="97">
        <v>48</v>
      </c>
      <c r="H67" s="97">
        <v>10</v>
      </c>
      <c r="I67" s="97">
        <v>22</v>
      </c>
      <c r="J67" s="97">
        <f t="shared" si="47"/>
        <v>96</v>
      </c>
      <c r="K67" s="81">
        <f t="shared" si="6"/>
        <v>3.5</v>
      </c>
      <c r="L67" s="213"/>
      <c r="M67" s="97">
        <v>16</v>
      </c>
      <c r="N67" s="97">
        <v>44</v>
      </c>
      <c r="O67" s="97">
        <v>8</v>
      </c>
      <c r="P67" s="97">
        <v>16</v>
      </c>
      <c r="Q67" s="97">
        <f t="shared" si="0"/>
        <v>84</v>
      </c>
      <c r="R67" s="98">
        <f t="shared" si="36"/>
        <v>3</v>
      </c>
      <c r="S67" s="213"/>
      <c r="T67" s="97">
        <v>12</v>
      </c>
      <c r="U67" s="97">
        <v>29</v>
      </c>
      <c r="V67" s="97">
        <f t="shared" si="37"/>
        <v>41</v>
      </c>
      <c r="W67" s="98">
        <f t="shared" si="38"/>
        <v>2</v>
      </c>
      <c r="X67" s="216"/>
      <c r="Y67" s="97">
        <v>19</v>
      </c>
      <c r="Z67" s="97">
        <v>59</v>
      </c>
      <c r="AA67" s="97">
        <f t="shared" si="10"/>
        <v>78</v>
      </c>
      <c r="AB67" s="98">
        <f t="shared" si="39"/>
        <v>4</v>
      </c>
      <c r="AC67" s="213"/>
      <c r="AD67" s="97">
        <v>17</v>
      </c>
      <c r="AE67" s="97">
        <v>54</v>
      </c>
      <c r="AF67" s="97">
        <f t="shared" si="1"/>
        <v>71</v>
      </c>
      <c r="AG67" s="98">
        <f t="shared" si="40"/>
        <v>4</v>
      </c>
      <c r="AH67" s="213"/>
      <c r="AI67" s="97">
        <v>18</v>
      </c>
      <c r="AJ67" s="97">
        <v>50</v>
      </c>
      <c r="AK67" s="97">
        <f t="shared" si="2"/>
        <v>68</v>
      </c>
      <c r="AL67" s="98">
        <f t="shared" si="41"/>
        <v>3.5</v>
      </c>
      <c r="AM67" s="213"/>
      <c r="AN67" s="97">
        <v>0</v>
      </c>
      <c r="AO67" s="97">
        <v>35</v>
      </c>
      <c r="AP67" s="97">
        <f t="shared" si="42"/>
        <v>35</v>
      </c>
      <c r="AQ67" s="98">
        <f t="shared" si="43"/>
        <v>4</v>
      </c>
      <c r="AR67" s="213"/>
      <c r="AS67" s="54">
        <f t="shared" si="16"/>
        <v>24</v>
      </c>
      <c r="AT67" s="100">
        <f t="shared" si="44"/>
        <v>3.4285714285714284</v>
      </c>
      <c r="AU67" s="101">
        <f t="shared" si="45"/>
        <v>473</v>
      </c>
      <c r="AV67" s="99">
        <v>55</v>
      </c>
      <c r="AW67" s="99"/>
      <c r="AX67" s="73" t="str">
        <f t="shared" si="4"/>
        <v>GOOD</v>
      </c>
      <c r="AY67" s="83">
        <f>'1st_Semester'!AU67</f>
        <v>286</v>
      </c>
      <c r="AZ67" s="58">
        <f>'2nd_Semester'!AU67</f>
        <v>486</v>
      </c>
      <c r="BA67" s="83">
        <f t="shared" si="18"/>
        <v>473</v>
      </c>
      <c r="BB67" s="84">
        <f t="shared" si="19"/>
        <v>415</v>
      </c>
      <c r="BC67" s="82"/>
    </row>
    <row r="68" spans="1:55" s="38" customFormat="1" ht="15.95" customHeight="1">
      <c r="A68" s="59">
        <v>61</v>
      </c>
      <c r="B68" s="54">
        <v>73</v>
      </c>
      <c r="C68" s="103" t="s">
        <v>274</v>
      </c>
      <c r="D68" s="103" t="s">
        <v>275</v>
      </c>
      <c r="E68" s="103" t="s">
        <v>276</v>
      </c>
      <c r="F68" s="97">
        <v>19</v>
      </c>
      <c r="G68" s="97">
        <v>66</v>
      </c>
      <c r="H68" s="97">
        <v>10</v>
      </c>
      <c r="I68" s="97">
        <v>29</v>
      </c>
      <c r="J68" s="97">
        <f t="shared" si="47"/>
        <v>124</v>
      </c>
      <c r="K68" s="81">
        <f t="shared" si="6"/>
        <v>5</v>
      </c>
      <c r="L68" s="213"/>
      <c r="M68" s="97">
        <v>18</v>
      </c>
      <c r="N68" s="97">
        <v>54</v>
      </c>
      <c r="O68" s="97">
        <v>10</v>
      </c>
      <c r="P68" s="97">
        <v>31</v>
      </c>
      <c r="Q68" s="97">
        <f t="shared" si="0"/>
        <v>113</v>
      </c>
      <c r="R68" s="98">
        <f t="shared" si="36"/>
        <v>4</v>
      </c>
      <c r="S68" s="213"/>
      <c r="T68" s="97">
        <v>17</v>
      </c>
      <c r="U68" s="97">
        <v>41</v>
      </c>
      <c r="V68" s="97">
        <f t="shared" si="37"/>
        <v>58</v>
      </c>
      <c r="W68" s="98">
        <f t="shared" si="38"/>
        <v>3</v>
      </c>
      <c r="X68" s="216"/>
      <c r="Y68" s="97">
        <v>19</v>
      </c>
      <c r="Z68" s="97">
        <v>72</v>
      </c>
      <c r="AA68" s="97">
        <f t="shared" si="10"/>
        <v>91</v>
      </c>
      <c r="AB68" s="98">
        <f t="shared" si="39"/>
        <v>5</v>
      </c>
      <c r="AC68" s="213"/>
      <c r="AD68" s="97">
        <v>12</v>
      </c>
      <c r="AE68" s="97">
        <v>66</v>
      </c>
      <c r="AF68" s="97">
        <f t="shared" si="1"/>
        <v>78</v>
      </c>
      <c r="AG68" s="98">
        <f t="shared" si="40"/>
        <v>4</v>
      </c>
      <c r="AH68" s="213"/>
      <c r="AI68" s="97">
        <v>16</v>
      </c>
      <c r="AJ68" s="97">
        <v>48</v>
      </c>
      <c r="AK68" s="97">
        <f t="shared" si="2"/>
        <v>64</v>
      </c>
      <c r="AL68" s="98">
        <f t="shared" si="41"/>
        <v>3.5</v>
      </c>
      <c r="AM68" s="213"/>
      <c r="AN68" s="97">
        <v>0</v>
      </c>
      <c r="AO68" s="97">
        <v>27</v>
      </c>
      <c r="AP68" s="97">
        <f t="shared" si="42"/>
        <v>27</v>
      </c>
      <c r="AQ68" s="98">
        <f t="shared" si="43"/>
        <v>3</v>
      </c>
      <c r="AR68" s="213"/>
      <c r="AS68" s="54">
        <f t="shared" si="16"/>
        <v>27.5</v>
      </c>
      <c r="AT68" s="100">
        <f t="shared" si="44"/>
        <v>3.9285714285714284</v>
      </c>
      <c r="AU68" s="101">
        <f t="shared" si="45"/>
        <v>555</v>
      </c>
      <c r="AV68" s="99">
        <v>39</v>
      </c>
      <c r="AW68" s="99"/>
      <c r="AX68" s="73" t="str">
        <f t="shared" si="4"/>
        <v>GOOD</v>
      </c>
      <c r="AY68" s="83">
        <f>'1st_Semester'!AU68</f>
        <v>518</v>
      </c>
      <c r="AZ68" s="58">
        <f>'2nd_Semester'!AU68</f>
        <v>562</v>
      </c>
      <c r="BA68" s="83">
        <f t="shared" si="18"/>
        <v>555</v>
      </c>
      <c r="BB68" s="84">
        <f t="shared" si="19"/>
        <v>545</v>
      </c>
      <c r="BC68" s="82"/>
    </row>
    <row r="69" spans="1:55" s="38" customFormat="1" ht="15.95" customHeight="1">
      <c r="A69" s="59">
        <v>62</v>
      </c>
      <c r="B69" s="54">
        <v>74</v>
      </c>
      <c r="C69" s="103" t="s">
        <v>277</v>
      </c>
      <c r="D69" s="103" t="s">
        <v>278</v>
      </c>
      <c r="E69" s="103" t="s">
        <v>279</v>
      </c>
      <c r="F69" s="97">
        <v>19</v>
      </c>
      <c r="G69" s="97">
        <v>50</v>
      </c>
      <c r="H69" s="97">
        <v>10</v>
      </c>
      <c r="I69" s="97">
        <v>26</v>
      </c>
      <c r="J69" s="97">
        <f t="shared" si="47"/>
        <v>106</v>
      </c>
      <c r="K69" s="81">
        <f t="shared" si="6"/>
        <v>4</v>
      </c>
      <c r="L69" s="213"/>
      <c r="M69" s="97">
        <v>14</v>
      </c>
      <c r="N69" s="97">
        <v>37</v>
      </c>
      <c r="O69" s="97">
        <v>8</v>
      </c>
      <c r="P69" s="97">
        <v>23</v>
      </c>
      <c r="Q69" s="97">
        <f t="shared" si="0"/>
        <v>82</v>
      </c>
      <c r="R69" s="98">
        <f t="shared" si="36"/>
        <v>3</v>
      </c>
      <c r="S69" s="213"/>
      <c r="T69" s="97">
        <v>16</v>
      </c>
      <c r="U69" s="97">
        <v>30</v>
      </c>
      <c r="V69" s="97">
        <f t="shared" si="37"/>
        <v>46</v>
      </c>
      <c r="W69" s="98">
        <f t="shared" si="38"/>
        <v>2</v>
      </c>
      <c r="X69" s="216"/>
      <c r="Y69" s="97">
        <v>17</v>
      </c>
      <c r="Z69" s="97">
        <v>69</v>
      </c>
      <c r="AA69" s="97">
        <f t="shared" si="10"/>
        <v>86</v>
      </c>
      <c r="AB69" s="98">
        <f t="shared" si="39"/>
        <v>5</v>
      </c>
      <c r="AC69" s="213"/>
      <c r="AD69" s="97">
        <v>12</v>
      </c>
      <c r="AE69" s="97">
        <v>54</v>
      </c>
      <c r="AF69" s="97">
        <f t="shared" si="1"/>
        <v>66</v>
      </c>
      <c r="AG69" s="98">
        <f t="shared" si="40"/>
        <v>3.5</v>
      </c>
      <c r="AH69" s="213"/>
      <c r="AI69" s="97">
        <v>16</v>
      </c>
      <c r="AJ69" s="97">
        <v>37</v>
      </c>
      <c r="AK69" s="97">
        <f t="shared" si="2"/>
        <v>53</v>
      </c>
      <c r="AL69" s="98">
        <f t="shared" si="41"/>
        <v>3</v>
      </c>
      <c r="AM69" s="213"/>
      <c r="AN69" s="97">
        <v>0</v>
      </c>
      <c r="AO69" s="97">
        <v>21</v>
      </c>
      <c r="AP69" s="97">
        <f t="shared" si="42"/>
        <v>21</v>
      </c>
      <c r="AQ69" s="98">
        <f t="shared" si="43"/>
        <v>2</v>
      </c>
      <c r="AR69" s="213"/>
      <c r="AS69" s="54">
        <f t="shared" si="16"/>
        <v>22.5</v>
      </c>
      <c r="AT69" s="100">
        <f t="shared" si="44"/>
        <v>3.2142857142857144</v>
      </c>
      <c r="AU69" s="101">
        <f t="shared" si="45"/>
        <v>460</v>
      </c>
      <c r="AV69" s="99">
        <v>54</v>
      </c>
      <c r="AW69" s="99"/>
      <c r="AX69" s="73" t="str">
        <f t="shared" si="4"/>
        <v>GOOD</v>
      </c>
      <c r="AY69" s="83">
        <f>'1st_Semester'!AU69</f>
        <v>372</v>
      </c>
      <c r="AZ69" s="58">
        <f>'2nd_Semester'!AU69</f>
        <v>434</v>
      </c>
      <c r="BA69" s="83">
        <f t="shared" si="18"/>
        <v>460</v>
      </c>
      <c r="BB69" s="84">
        <f t="shared" si="19"/>
        <v>422</v>
      </c>
      <c r="BC69" s="82"/>
    </row>
    <row r="70" spans="1:55" s="38" customFormat="1" ht="15.95" customHeight="1">
      <c r="A70" s="59">
        <v>63</v>
      </c>
      <c r="B70" s="54">
        <v>78</v>
      </c>
      <c r="C70" s="103" t="s">
        <v>280</v>
      </c>
      <c r="D70" s="103" t="s">
        <v>281</v>
      </c>
      <c r="E70" s="103" t="s">
        <v>282</v>
      </c>
      <c r="F70" s="97">
        <v>20</v>
      </c>
      <c r="G70" s="97">
        <v>74</v>
      </c>
      <c r="H70" s="97">
        <v>10</v>
      </c>
      <c r="I70" s="97">
        <v>38</v>
      </c>
      <c r="J70" s="97">
        <f t="shared" si="47"/>
        <v>122</v>
      </c>
      <c r="K70" s="81">
        <f t="shared" si="6"/>
        <v>5</v>
      </c>
      <c r="L70" s="213"/>
      <c r="M70" s="97">
        <v>18</v>
      </c>
      <c r="N70" s="97">
        <v>58</v>
      </c>
      <c r="O70" s="97">
        <v>9</v>
      </c>
      <c r="P70" s="97">
        <v>28</v>
      </c>
      <c r="Q70" s="97">
        <f t="shared" si="0"/>
        <v>113</v>
      </c>
      <c r="R70" s="98">
        <f t="shared" si="36"/>
        <v>4</v>
      </c>
      <c r="S70" s="213"/>
      <c r="T70" s="97">
        <v>16</v>
      </c>
      <c r="U70" s="97">
        <v>39</v>
      </c>
      <c r="V70" s="97">
        <f t="shared" si="37"/>
        <v>55</v>
      </c>
      <c r="W70" s="98">
        <f t="shared" si="38"/>
        <v>3</v>
      </c>
      <c r="X70" s="216"/>
      <c r="Y70" s="97">
        <v>20</v>
      </c>
      <c r="Z70" s="97">
        <v>74</v>
      </c>
      <c r="AA70" s="97">
        <f t="shared" si="10"/>
        <v>94</v>
      </c>
      <c r="AB70" s="98">
        <f t="shared" si="39"/>
        <v>5</v>
      </c>
      <c r="AC70" s="213"/>
      <c r="AD70" s="97">
        <v>16</v>
      </c>
      <c r="AE70" s="97">
        <v>71</v>
      </c>
      <c r="AF70" s="97">
        <f t="shared" si="1"/>
        <v>87</v>
      </c>
      <c r="AG70" s="98">
        <f t="shared" si="40"/>
        <v>5</v>
      </c>
      <c r="AH70" s="213"/>
      <c r="AI70" s="97">
        <v>20</v>
      </c>
      <c r="AJ70" s="97">
        <v>55</v>
      </c>
      <c r="AK70" s="97">
        <f t="shared" si="2"/>
        <v>75</v>
      </c>
      <c r="AL70" s="98">
        <f t="shared" si="41"/>
        <v>4</v>
      </c>
      <c r="AM70" s="213"/>
      <c r="AN70" s="97">
        <v>0</v>
      </c>
      <c r="AO70" s="97">
        <v>50</v>
      </c>
      <c r="AP70" s="97">
        <f t="shared" si="42"/>
        <v>50</v>
      </c>
      <c r="AQ70" s="98">
        <f t="shared" si="43"/>
        <v>5</v>
      </c>
      <c r="AR70" s="213"/>
      <c r="AS70" s="54">
        <f t="shared" si="16"/>
        <v>31</v>
      </c>
      <c r="AT70" s="100">
        <f t="shared" si="44"/>
        <v>4.4285714285714288</v>
      </c>
      <c r="AU70" s="101">
        <f t="shared" si="45"/>
        <v>596</v>
      </c>
      <c r="AV70" s="99">
        <v>41</v>
      </c>
      <c r="AW70" s="99"/>
      <c r="AX70" s="73" t="str">
        <f t="shared" si="4"/>
        <v>BETTER</v>
      </c>
      <c r="AY70" s="83">
        <f>'1st_Semester'!AU70</f>
        <v>439</v>
      </c>
      <c r="AZ70" s="58">
        <f>'2nd_Semester'!AU70</f>
        <v>560</v>
      </c>
      <c r="BA70" s="83">
        <f t="shared" si="18"/>
        <v>596</v>
      </c>
      <c r="BB70" s="84">
        <f t="shared" si="19"/>
        <v>531.66666666666663</v>
      </c>
      <c r="BC70" s="82"/>
    </row>
    <row r="71" spans="1:55" s="38" customFormat="1" ht="15.95" customHeight="1">
      <c r="A71" s="59">
        <v>64</v>
      </c>
      <c r="B71" s="54">
        <v>81</v>
      </c>
      <c r="C71" s="55" t="s">
        <v>283</v>
      </c>
      <c r="D71" s="55" t="s">
        <v>284</v>
      </c>
      <c r="E71" s="55" t="s">
        <v>285</v>
      </c>
      <c r="F71" s="97">
        <v>20</v>
      </c>
      <c r="G71" s="97">
        <v>62</v>
      </c>
      <c r="H71" s="97">
        <v>10</v>
      </c>
      <c r="I71" s="97">
        <v>34</v>
      </c>
      <c r="J71" s="97">
        <f t="shared" si="46"/>
        <v>126</v>
      </c>
      <c r="K71" s="81">
        <f t="shared" si="6"/>
        <v>5</v>
      </c>
      <c r="L71" s="213"/>
      <c r="M71" s="97">
        <v>19</v>
      </c>
      <c r="N71" s="97">
        <v>49</v>
      </c>
      <c r="O71" s="97">
        <v>8</v>
      </c>
      <c r="P71" s="97">
        <v>24</v>
      </c>
      <c r="Q71" s="97">
        <f t="shared" si="0"/>
        <v>100</v>
      </c>
      <c r="R71" s="98">
        <f t="shared" si="36"/>
        <v>3.5</v>
      </c>
      <c r="S71" s="213"/>
      <c r="T71" s="97">
        <v>16</v>
      </c>
      <c r="U71" s="97">
        <v>34</v>
      </c>
      <c r="V71" s="97">
        <f t="shared" si="37"/>
        <v>50</v>
      </c>
      <c r="W71" s="98">
        <f t="shared" si="38"/>
        <v>3</v>
      </c>
      <c r="X71" s="216"/>
      <c r="Y71" s="97">
        <v>20</v>
      </c>
      <c r="Z71" s="97">
        <v>61</v>
      </c>
      <c r="AA71" s="97">
        <f t="shared" si="10"/>
        <v>81</v>
      </c>
      <c r="AB71" s="98">
        <f t="shared" si="39"/>
        <v>5</v>
      </c>
      <c r="AC71" s="213"/>
      <c r="AD71" s="97">
        <v>16</v>
      </c>
      <c r="AE71" s="97">
        <v>53</v>
      </c>
      <c r="AF71" s="97">
        <f t="shared" si="1"/>
        <v>69</v>
      </c>
      <c r="AG71" s="98">
        <f t="shared" si="40"/>
        <v>3.5</v>
      </c>
      <c r="AH71" s="213"/>
      <c r="AI71" s="97">
        <v>15</v>
      </c>
      <c r="AJ71" s="97">
        <v>51</v>
      </c>
      <c r="AK71" s="97">
        <f t="shared" si="2"/>
        <v>66</v>
      </c>
      <c r="AL71" s="98">
        <f t="shared" si="41"/>
        <v>3.5</v>
      </c>
      <c r="AM71" s="213"/>
      <c r="AN71" s="97">
        <v>0</v>
      </c>
      <c r="AO71" s="97">
        <v>23</v>
      </c>
      <c r="AP71" s="97">
        <f t="shared" si="42"/>
        <v>23</v>
      </c>
      <c r="AQ71" s="98">
        <f t="shared" si="43"/>
        <v>2</v>
      </c>
      <c r="AR71" s="213"/>
      <c r="AS71" s="54">
        <f t="shared" si="16"/>
        <v>25.5</v>
      </c>
      <c r="AT71" s="100">
        <f t="shared" si="44"/>
        <v>3.6428571428571428</v>
      </c>
      <c r="AU71" s="101">
        <f t="shared" si="45"/>
        <v>515</v>
      </c>
      <c r="AV71" s="99">
        <v>52</v>
      </c>
      <c r="AW71" s="99"/>
      <c r="AX71" s="73" t="str">
        <f t="shared" si="4"/>
        <v>GOOD</v>
      </c>
      <c r="AY71" s="83">
        <f>'1st_Semester'!AU71</f>
        <v>348</v>
      </c>
      <c r="AZ71" s="58">
        <f>'2nd_Semester'!AU71</f>
        <v>474</v>
      </c>
      <c r="BA71" s="83">
        <f t="shared" si="18"/>
        <v>515</v>
      </c>
      <c r="BB71" s="84">
        <f t="shared" si="19"/>
        <v>445.66666666666669</v>
      </c>
      <c r="BC71" s="82"/>
    </row>
    <row r="72" spans="1:55" s="38" customFormat="1" ht="15.95" customHeight="1">
      <c r="A72" s="59">
        <v>65</v>
      </c>
      <c r="B72" s="54">
        <v>82</v>
      </c>
      <c r="C72" s="55" t="s">
        <v>286</v>
      </c>
      <c r="D72" s="55" t="s">
        <v>287</v>
      </c>
      <c r="E72" s="55" t="s">
        <v>288</v>
      </c>
      <c r="F72" s="97">
        <v>20</v>
      </c>
      <c r="G72" s="97">
        <v>72</v>
      </c>
      <c r="H72" s="97">
        <v>10</v>
      </c>
      <c r="I72" s="97">
        <v>34</v>
      </c>
      <c r="J72" s="97">
        <f t="shared" si="46"/>
        <v>136</v>
      </c>
      <c r="K72" s="81">
        <f t="shared" si="6"/>
        <v>5</v>
      </c>
      <c r="L72" s="213"/>
      <c r="M72" s="97">
        <v>16</v>
      </c>
      <c r="N72" s="97">
        <v>66</v>
      </c>
      <c r="O72" s="97">
        <v>8</v>
      </c>
      <c r="P72" s="97">
        <v>35</v>
      </c>
      <c r="Q72" s="97">
        <f t="shared" ref="Q72:Q82" si="48">M72+N72+O72+P72</f>
        <v>125</v>
      </c>
      <c r="R72" s="98">
        <f t="shared" si="36"/>
        <v>5</v>
      </c>
      <c r="S72" s="213"/>
      <c r="T72" s="97">
        <v>15</v>
      </c>
      <c r="U72" s="97">
        <v>50</v>
      </c>
      <c r="V72" s="97">
        <f t="shared" si="37"/>
        <v>65</v>
      </c>
      <c r="W72" s="98">
        <f t="shared" si="38"/>
        <v>3.5</v>
      </c>
      <c r="X72" s="216"/>
      <c r="Y72" s="97">
        <v>20</v>
      </c>
      <c r="Z72" s="97">
        <v>73</v>
      </c>
      <c r="AA72" s="97">
        <f t="shared" si="10"/>
        <v>93</v>
      </c>
      <c r="AB72" s="98">
        <f t="shared" si="39"/>
        <v>5</v>
      </c>
      <c r="AC72" s="213"/>
      <c r="AD72" s="97">
        <v>19</v>
      </c>
      <c r="AE72" s="97">
        <v>62</v>
      </c>
      <c r="AF72" s="97">
        <f t="shared" ref="AF72:AF82" si="49">AD72+AE72</f>
        <v>81</v>
      </c>
      <c r="AG72" s="98">
        <f t="shared" si="40"/>
        <v>5</v>
      </c>
      <c r="AH72" s="213"/>
      <c r="AI72" s="97">
        <v>18</v>
      </c>
      <c r="AJ72" s="97">
        <v>52</v>
      </c>
      <c r="AK72" s="97">
        <f t="shared" ref="AK72:AK82" si="50">AI72+AJ72</f>
        <v>70</v>
      </c>
      <c r="AL72" s="98">
        <f t="shared" si="41"/>
        <v>4</v>
      </c>
      <c r="AM72" s="213"/>
      <c r="AN72" s="97">
        <v>0</v>
      </c>
      <c r="AO72" s="97">
        <v>46</v>
      </c>
      <c r="AP72" s="97">
        <f t="shared" si="42"/>
        <v>46</v>
      </c>
      <c r="AQ72" s="98">
        <f t="shared" si="43"/>
        <v>5</v>
      </c>
      <c r="AR72" s="213"/>
      <c r="AS72" s="54">
        <f t="shared" si="16"/>
        <v>32.5</v>
      </c>
      <c r="AT72" s="100">
        <f t="shared" si="44"/>
        <v>4.6428571428571432</v>
      </c>
      <c r="AU72" s="101">
        <f t="shared" si="45"/>
        <v>616</v>
      </c>
      <c r="AV72" s="99">
        <v>34</v>
      </c>
      <c r="AW72" s="99"/>
      <c r="AX72" s="73" t="str">
        <f t="shared" ref="AX72:AX82" si="51">IF(AT72="F","NEED TO PROGRESS",IF(AT72&gt;=5,"BEST",IF(AT72&gt;=4,"BETTER",IF(AT72&gt;2,"GOOD"))))</f>
        <v>BETTER</v>
      </c>
      <c r="AY72" s="83">
        <f>'1st_Semester'!AU72</f>
        <v>574</v>
      </c>
      <c r="AZ72" s="58">
        <f>'2nd_Semester'!AU72</f>
        <v>586</v>
      </c>
      <c r="BA72" s="83">
        <f t="shared" si="18"/>
        <v>616</v>
      </c>
      <c r="BB72" s="84">
        <f t="shared" si="19"/>
        <v>592</v>
      </c>
      <c r="BC72" s="82"/>
    </row>
    <row r="73" spans="1:55" s="38" customFormat="1" ht="15.95" customHeight="1">
      <c r="A73" s="59">
        <v>66</v>
      </c>
      <c r="B73" s="54">
        <v>83</v>
      </c>
      <c r="C73" s="55" t="s">
        <v>289</v>
      </c>
      <c r="D73" s="55" t="s">
        <v>290</v>
      </c>
      <c r="E73" s="55" t="s">
        <v>291</v>
      </c>
      <c r="F73" s="97">
        <v>20</v>
      </c>
      <c r="G73" s="97">
        <v>0</v>
      </c>
      <c r="H73" s="97">
        <v>10</v>
      </c>
      <c r="I73" s="97">
        <v>39</v>
      </c>
      <c r="J73" s="97">
        <f t="shared" si="46"/>
        <v>66</v>
      </c>
      <c r="K73" s="81">
        <f t="shared" ref="K73:K82" si="52">IF(J73&lt;60,"F",IF(J73&lt;75,2,IF(J73&lt;90,3,IF(J73&lt;105,3.5,IF(J73&lt;120,4,5)))))</f>
        <v>2</v>
      </c>
      <c r="L73" s="213"/>
      <c r="M73" s="97">
        <v>18</v>
      </c>
      <c r="N73" s="97">
        <v>66</v>
      </c>
      <c r="O73" s="97">
        <v>10</v>
      </c>
      <c r="P73" s="97">
        <v>37</v>
      </c>
      <c r="Q73" s="97">
        <f t="shared" si="48"/>
        <v>131</v>
      </c>
      <c r="R73" s="98">
        <f t="shared" si="36"/>
        <v>5</v>
      </c>
      <c r="S73" s="213"/>
      <c r="T73" s="97">
        <v>14</v>
      </c>
      <c r="U73" s="97">
        <v>57</v>
      </c>
      <c r="V73" s="97">
        <f t="shared" si="37"/>
        <v>71</v>
      </c>
      <c r="W73" s="98">
        <f t="shared" si="38"/>
        <v>4</v>
      </c>
      <c r="X73" s="216"/>
      <c r="Y73" s="97">
        <v>20</v>
      </c>
      <c r="Z73" s="97">
        <v>58</v>
      </c>
      <c r="AA73" s="97">
        <f t="shared" ref="AA73:AA82" si="53">Y73+Z73</f>
        <v>78</v>
      </c>
      <c r="AB73" s="98">
        <f t="shared" si="39"/>
        <v>4</v>
      </c>
      <c r="AC73" s="213"/>
      <c r="AD73" s="97">
        <v>20</v>
      </c>
      <c r="AE73" s="97">
        <v>70</v>
      </c>
      <c r="AF73" s="97">
        <f t="shared" si="49"/>
        <v>90</v>
      </c>
      <c r="AG73" s="98">
        <f t="shared" si="40"/>
        <v>5</v>
      </c>
      <c r="AH73" s="213"/>
      <c r="AI73" s="97">
        <v>20</v>
      </c>
      <c r="AJ73" s="97">
        <v>49</v>
      </c>
      <c r="AK73" s="97">
        <f t="shared" si="50"/>
        <v>69</v>
      </c>
      <c r="AL73" s="98">
        <f t="shared" si="41"/>
        <v>3.5</v>
      </c>
      <c r="AM73" s="213"/>
      <c r="AN73" s="97">
        <v>0</v>
      </c>
      <c r="AO73" s="97">
        <v>46</v>
      </c>
      <c r="AP73" s="97">
        <f t="shared" si="42"/>
        <v>46</v>
      </c>
      <c r="AQ73" s="98">
        <f t="shared" si="43"/>
        <v>5</v>
      </c>
      <c r="AR73" s="213"/>
      <c r="AS73" s="54">
        <f t="shared" ref="AS73:AS82" si="54">IF(K73="F","F",IF(R73="F","F",IF(W73="F","F",IF(AB73="F","F",IF(AG73="F","F",IF(AL73="F","F",IF(AQ73="F","F",SUM(K73,R73,W73,AB73,AG73,AL73,AQ73))))))))</f>
        <v>28.5</v>
      </c>
      <c r="AT73" s="100">
        <f t="shared" si="44"/>
        <v>4.0714285714285712</v>
      </c>
      <c r="AU73" s="101">
        <f t="shared" si="45"/>
        <v>551</v>
      </c>
      <c r="AV73" s="99">
        <v>43</v>
      </c>
      <c r="AW73" s="99"/>
      <c r="AX73" s="73" t="str">
        <f t="shared" si="51"/>
        <v>BETTER</v>
      </c>
      <c r="AY73" s="83">
        <f>'1st_Semester'!AU73</f>
        <v>432</v>
      </c>
      <c r="AZ73" s="58">
        <f>'2nd_Semester'!AU73</f>
        <v>599</v>
      </c>
      <c r="BA73" s="83">
        <f t="shared" ref="BA73:BA82" si="55">AU73</f>
        <v>551</v>
      </c>
      <c r="BB73" s="84">
        <f t="shared" ref="BB73:BB82" si="56">SUM(AY73:BA73)/3</f>
        <v>527.33333333333337</v>
      </c>
      <c r="BC73" s="82"/>
    </row>
    <row r="74" spans="1:55" s="38" customFormat="1" ht="15.95" customHeight="1">
      <c r="A74" s="59">
        <v>67</v>
      </c>
      <c r="B74" s="127">
        <v>86</v>
      </c>
      <c r="C74" s="103" t="s">
        <v>292</v>
      </c>
      <c r="D74" s="103" t="s">
        <v>293</v>
      </c>
      <c r="E74" s="103" t="s">
        <v>294</v>
      </c>
      <c r="F74" s="97">
        <v>17</v>
      </c>
      <c r="G74" s="97">
        <v>0</v>
      </c>
      <c r="H74" s="97">
        <v>10</v>
      </c>
      <c r="I74" s="97">
        <v>0</v>
      </c>
      <c r="J74" s="97">
        <f t="shared" si="46"/>
        <v>29</v>
      </c>
      <c r="K74" s="81" t="str">
        <f t="shared" si="52"/>
        <v>F</v>
      </c>
      <c r="L74" s="213"/>
      <c r="M74" s="97">
        <v>17</v>
      </c>
      <c r="N74" s="97">
        <v>0</v>
      </c>
      <c r="O74" s="97">
        <v>9</v>
      </c>
      <c r="P74" s="97">
        <v>0</v>
      </c>
      <c r="Q74" s="97">
        <f t="shared" si="48"/>
        <v>26</v>
      </c>
      <c r="R74" s="98" t="str">
        <f t="shared" si="36"/>
        <v>F</v>
      </c>
      <c r="S74" s="213"/>
      <c r="T74" s="97">
        <v>11</v>
      </c>
      <c r="U74" s="97">
        <v>0</v>
      </c>
      <c r="V74" s="97">
        <f t="shared" si="37"/>
        <v>11</v>
      </c>
      <c r="W74" s="98" t="str">
        <f t="shared" si="38"/>
        <v>F</v>
      </c>
      <c r="X74" s="216"/>
      <c r="Y74" s="97">
        <v>18</v>
      </c>
      <c r="Z74" s="97">
        <v>0</v>
      </c>
      <c r="AA74" s="97">
        <f t="shared" si="53"/>
        <v>18</v>
      </c>
      <c r="AB74" s="98" t="str">
        <f t="shared" si="39"/>
        <v>F</v>
      </c>
      <c r="AC74" s="213"/>
      <c r="AD74" s="97">
        <v>18</v>
      </c>
      <c r="AE74" s="97">
        <v>0</v>
      </c>
      <c r="AF74" s="97">
        <f t="shared" si="49"/>
        <v>18</v>
      </c>
      <c r="AG74" s="98" t="str">
        <f t="shared" si="40"/>
        <v>F</v>
      </c>
      <c r="AH74" s="213"/>
      <c r="AI74" s="97">
        <v>20</v>
      </c>
      <c r="AJ74" s="97">
        <v>0</v>
      </c>
      <c r="AK74" s="97">
        <f t="shared" si="50"/>
        <v>20</v>
      </c>
      <c r="AL74" s="98" t="str">
        <f t="shared" si="41"/>
        <v>F</v>
      </c>
      <c r="AM74" s="213"/>
      <c r="AN74" s="97">
        <v>0</v>
      </c>
      <c r="AO74" s="97">
        <v>0</v>
      </c>
      <c r="AP74" s="97">
        <f t="shared" si="42"/>
        <v>0</v>
      </c>
      <c r="AQ74" s="98" t="str">
        <f t="shared" si="43"/>
        <v>F</v>
      </c>
      <c r="AR74" s="213"/>
      <c r="AS74" s="54" t="str">
        <f t="shared" si="54"/>
        <v>F</v>
      </c>
      <c r="AT74" s="100" t="str">
        <f t="shared" si="44"/>
        <v>F</v>
      </c>
      <c r="AU74" s="101">
        <f t="shared" si="45"/>
        <v>122</v>
      </c>
      <c r="AV74" s="99">
        <v>0</v>
      </c>
      <c r="AW74" s="99"/>
      <c r="AX74" s="73" t="str">
        <f t="shared" si="51"/>
        <v>NEED TO PROGRESS</v>
      </c>
      <c r="AY74" s="83">
        <f>'1st_Semester'!AU74</f>
        <v>585</v>
      </c>
      <c r="AZ74" s="58">
        <f>'2nd_Semester'!AU74</f>
        <v>579</v>
      </c>
      <c r="BA74" s="83">
        <f t="shared" si="55"/>
        <v>122</v>
      </c>
      <c r="BB74" s="84">
        <f t="shared" si="56"/>
        <v>428.66666666666669</v>
      </c>
      <c r="BC74" s="82"/>
    </row>
    <row r="75" spans="1:55" s="38" customFormat="1" ht="15.95" customHeight="1">
      <c r="A75" s="59">
        <v>68</v>
      </c>
      <c r="B75" s="127">
        <v>87</v>
      </c>
      <c r="C75" s="103" t="s">
        <v>295</v>
      </c>
      <c r="D75" s="103" t="s">
        <v>296</v>
      </c>
      <c r="E75" s="103" t="s">
        <v>297</v>
      </c>
      <c r="F75" s="97">
        <v>19</v>
      </c>
      <c r="G75" s="97">
        <v>64</v>
      </c>
      <c r="H75" s="97">
        <v>10</v>
      </c>
      <c r="I75" s="97">
        <v>35</v>
      </c>
      <c r="J75" s="97">
        <f>I75+H75+G75+F75</f>
        <v>128</v>
      </c>
      <c r="K75" s="81">
        <f t="shared" si="52"/>
        <v>5</v>
      </c>
      <c r="L75" s="213"/>
      <c r="M75" s="97">
        <v>16</v>
      </c>
      <c r="N75" s="97">
        <v>62</v>
      </c>
      <c r="O75" s="97">
        <v>9</v>
      </c>
      <c r="P75" s="97">
        <v>34</v>
      </c>
      <c r="Q75" s="97">
        <f t="shared" si="48"/>
        <v>121</v>
      </c>
      <c r="R75" s="98">
        <f t="shared" si="36"/>
        <v>5</v>
      </c>
      <c r="S75" s="213"/>
      <c r="T75" s="97">
        <v>11</v>
      </c>
      <c r="U75" s="97">
        <v>30</v>
      </c>
      <c r="V75" s="97">
        <f t="shared" si="37"/>
        <v>41</v>
      </c>
      <c r="W75" s="98">
        <f t="shared" si="38"/>
        <v>2</v>
      </c>
      <c r="X75" s="216"/>
      <c r="Y75" s="97">
        <v>20</v>
      </c>
      <c r="Z75" s="97">
        <v>71</v>
      </c>
      <c r="AA75" s="97">
        <f t="shared" si="53"/>
        <v>91</v>
      </c>
      <c r="AB75" s="98">
        <f t="shared" si="39"/>
        <v>5</v>
      </c>
      <c r="AC75" s="213"/>
      <c r="AD75" s="97">
        <v>16</v>
      </c>
      <c r="AE75" s="97">
        <v>56</v>
      </c>
      <c r="AF75" s="97">
        <f t="shared" si="49"/>
        <v>72</v>
      </c>
      <c r="AG75" s="98">
        <f t="shared" si="40"/>
        <v>4</v>
      </c>
      <c r="AH75" s="213"/>
      <c r="AI75" s="97">
        <v>19</v>
      </c>
      <c r="AJ75" s="97">
        <v>50</v>
      </c>
      <c r="AK75" s="97">
        <f t="shared" si="50"/>
        <v>69</v>
      </c>
      <c r="AL75" s="98">
        <f t="shared" si="41"/>
        <v>3.5</v>
      </c>
      <c r="AM75" s="213"/>
      <c r="AN75" s="97">
        <v>0</v>
      </c>
      <c r="AO75" s="97">
        <v>35</v>
      </c>
      <c r="AP75" s="97">
        <f t="shared" si="42"/>
        <v>35</v>
      </c>
      <c r="AQ75" s="98">
        <f t="shared" si="43"/>
        <v>4</v>
      </c>
      <c r="AR75" s="213"/>
      <c r="AS75" s="54">
        <f t="shared" si="54"/>
        <v>28.5</v>
      </c>
      <c r="AT75" s="100">
        <f t="shared" si="44"/>
        <v>4.0714285714285712</v>
      </c>
      <c r="AU75" s="101">
        <f t="shared" si="45"/>
        <v>557</v>
      </c>
      <c r="AV75" s="99">
        <v>38</v>
      </c>
      <c r="AW75" s="99"/>
      <c r="AX75" s="73" t="str">
        <f t="shared" si="51"/>
        <v>BETTER</v>
      </c>
      <c r="AY75" s="83">
        <f>'1st_Semester'!AU75</f>
        <v>516</v>
      </c>
      <c r="AZ75" s="58">
        <f>'2nd_Semester'!AU75</f>
        <v>591</v>
      </c>
      <c r="BA75" s="83">
        <f t="shared" si="55"/>
        <v>557</v>
      </c>
      <c r="BB75" s="84">
        <f t="shared" si="56"/>
        <v>554.66666666666663</v>
      </c>
      <c r="BC75" s="82"/>
    </row>
    <row r="76" spans="1:55" s="38" customFormat="1" ht="15.95" customHeight="1">
      <c r="A76" s="59">
        <v>69</v>
      </c>
      <c r="B76" s="127">
        <v>88</v>
      </c>
      <c r="C76" s="103" t="s">
        <v>298</v>
      </c>
      <c r="D76" s="103" t="s">
        <v>171</v>
      </c>
      <c r="E76" s="103" t="s">
        <v>299</v>
      </c>
      <c r="F76" s="97">
        <v>20</v>
      </c>
      <c r="G76" s="97">
        <v>62</v>
      </c>
      <c r="H76" s="97">
        <v>10</v>
      </c>
      <c r="I76" s="97">
        <v>37</v>
      </c>
      <c r="J76" s="97">
        <f t="shared" si="35"/>
        <v>129</v>
      </c>
      <c r="K76" s="81">
        <f t="shared" si="52"/>
        <v>5</v>
      </c>
      <c r="L76" s="213"/>
      <c r="M76" s="97">
        <v>16</v>
      </c>
      <c r="N76" s="97">
        <v>46</v>
      </c>
      <c r="O76" s="97">
        <v>7</v>
      </c>
      <c r="P76" s="97">
        <v>22</v>
      </c>
      <c r="Q76" s="97">
        <f t="shared" si="48"/>
        <v>91</v>
      </c>
      <c r="R76" s="98">
        <f t="shared" si="36"/>
        <v>3.5</v>
      </c>
      <c r="S76" s="213"/>
      <c r="T76" s="97">
        <v>16</v>
      </c>
      <c r="U76" s="97">
        <v>11</v>
      </c>
      <c r="V76" s="97">
        <f t="shared" si="37"/>
        <v>27</v>
      </c>
      <c r="W76" s="98" t="str">
        <f t="shared" si="38"/>
        <v>F</v>
      </c>
      <c r="X76" s="216"/>
      <c r="Y76" s="97">
        <v>20</v>
      </c>
      <c r="Z76" s="97">
        <v>58</v>
      </c>
      <c r="AA76" s="97">
        <f t="shared" si="53"/>
        <v>78</v>
      </c>
      <c r="AB76" s="98">
        <f t="shared" si="39"/>
        <v>4</v>
      </c>
      <c r="AC76" s="213"/>
      <c r="AD76" s="97">
        <v>16</v>
      </c>
      <c r="AE76" s="97">
        <v>56</v>
      </c>
      <c r="AF76" s="97">
        <f>AD76+AE76</f>
        <v>72</v>
      </c>
      <c r="AG76" s="98">
        <f t="shared" si="40"/>
        <v>4</v>
      </c>
      <c r="AH76" s="213"/>
      <c r="AI76" s="97">
        <v>16</v>
      </c>
      <c r="AJ76" s="97">
        <v>58</v>
      </c>
      <c r="AK76" s="97">
        <f t="shared" si="50"/>
        <v>74</v>
      </c>
      <c r="AL76" s="98">
        <f t="shared" si="41"/>
        <v>4</v>
      </c>
      <c r="AM76" s="213"/>
      <c r="AN76" s="97">
        <v>0</v>
      </c>
      <c r="AO76" s="97">
        <v>28</v>
      </c>
      <c r="AP76" s="97">
        <f>AO76</f>
        <v>28</v>
      </c>
      <c r="AQ76" s="98">
        <f t="shared" si="43"/>
        <v>3</v>
      </c>
      <c r="AR76" s="213"/>
      <c r="AS76" s="54" t="str">
        <f t="shared" si="54"/>
        <v>F</v>
      </c>
      <c r="AT76" s="100" t="str">
        <f t="shared" si="44"/>
        <v>F</v>
      </c>
      <c r="AU76" s="101">
        <f t="shared" si="45"/>
        <v>499</v>
      </c>
      <c r="AV76" s="99">
        <v>67</v>
      </c>
      <c r="AW76" s="99"/>
      <c r="AX76" s="73" t="str">
        <f t="shared" si="51"/>
        <v>NEED TO PROGRESS</v>
      </c>
      <c r="AY76" s="83">
        <f>'1st_Semester'!AU76</f>
        <v>336</v>
      </c>
      <c r="AZ76" s="58">
        <f>'2nd_Semester'!AU76</f>
        <v>480</v>
      </c>
      <c r="BA76" s="83">
        <f t="shared" si="55"/>
        <v>499</v>
      </c>
      <c r="BB76" s="84">
        <f t="shared" si="56"/>
        <v>438.33333333333331</v>
      </c>
      <c r="BC76" s="82"/>
    </row>
    <row r="77" spans="1:55" s="38" customFormat="1" ht="15.95" customHeight="1">
      <c r="A77" s="59">
        <v>70</v>
      </c>
      <c r="B77" s="127">
        <v>89</v>
      </c>
      <c r="C77" s="103" t="s">
        <v>300</v>
      </c>
      <c r="D77" s="103" t="s">
        <v>301</v>
      </c>
      <c r="E77" s="103" t="s">
        <v>302</v>
      </c>
      <c r="F77" s="97">
        <v>20</v>
      </c>
      <c r="G77" s="97">
        <v>74</v>
      </c>
      <c r="H77" s="97">
        <v>10</v>
      </c>
      <c r="I77" s="97">
        <v>38</v>
      </c>
      <c r="J77" s="97">
        <f t="shared" si="35"/>
        <v>142</v>
      </c>
      <c r="K77" s="81">
        <f t="shared" si="52"/>
        <v>5</v>
      </c>
      <c r="L77" s="213"/>
      <c r="M77" s="97">
        <v>19</v>
      </c>
      <c r="N77" s="97">
        <v>62</v>
      </c>
      <c r="O77" s="97">
        <v>8</v>
      </c>
      <c r="P77" s="97">
        <v>38</v>
      </c>
      <c r="Q77" s="97">
        <f t="shared" si="48"/>
        <v>127</v>
      </c>
      <c r="R77" s="98">
        <f t="shared" si="36"/>
        <v>5</v>
      </c>
      <c r="S77" s="213"/>
      <c r="T77" s="97">
        <v>19</v>
      </c>
      <c r="U77" s="97">
        <v>75</v>
      </c>
      <c r="V77" s="97">
        <f t="shared" si="37"/>
        <v>94</v>
      </c>
      <c r="W77" s="98">
        <f t="shared" si="38"/>
        <v>5</v>
      </c>
      <c r="X77" s="216"/>
      <c r="Y77" s="97">
        <v>20</v>
      </c>
      <c r="Z77" s="97">
        <v>75</v>
      </c>
      <c r="AA77" s="97">
        <f t="shared" si="53"/>
        <v>95</v>
      </c>
      <c r="AB77" s="98">
        <f t="shared" si="39"/>
        <v>5</v>
      </c>
      <c r="AC77" s="213"/>
      <c r="AD77" s="97">
        <v>16</v>
      </c>
      <c r="AE77" s="97">
        <v>67</v>
      </c>
      <c r="AF77" s="97">
        <f t="shared" si="49"/>
        <v>83</v>
      </c>
      <c r="AG77" s="98">
        <f t="shared" si="40"/>
        <v>5</v>
      </c>
      <c r="AH77" s="213"/>
      <c r="AI77" s="97">
        <v>17</v>
      </c>
      <c r="AJ77" s="97">
        <v>69</v>
      </c>
      <c r="AK77" s="97">
        <f t="shared" si="50"/>
        <v>86</v>
      </c>
      <c r="AL77" s="98">
        <f t="shared" si="41"/>
        <v>5</v>
      </c>
      <c r="AM77" s="213"/>
      <c r="AN77" s="97">
        <v>0</v>
      </c>
      <c r="AO77" s="97">
        <v>39</v>
      </c>
      <c r="AP77" s="97">
        <f t="shared" si="42"/>
        <v>39</v>
      </c>
      <c r="AQ77" s="98">
        <f t="shared" si="43"/>
        <v>4</v>
      </c>
      <c r="AR77" s="213"/>
      <c r="AS77" s="54">
        <f t="shared" si="54"/>
        <v>34</v>
      </c>
      <c r="AT77" s="100">
        <f t="shared" si="44"/>
        <v>4.8571428571428568</v>
      </c>
      <c r="AU77" s="101">
        <f t="shared" si="45"/>
        <v>666</v>
      </c>
      <c r="AV77" s="99">
        <v>35</v>
      </c>
      <c r="AW77" s="99"/>
      <c r="AX77" s="73" t="str">
        <f t="shared" si="51"/>
        <v>BETTER</v>
      </c>
      <c r="AY77" s="83">
        <f>'1st_Semester'!AU77</f>
        <v>468</v>
      </c>
      <c r="AZ77" s="58">
        <f>'2nd_Semester'!AU77</f>
        <v>624</v>
      </c>
      <c r="BA77" s="83">
        <f t="shared" si="55"/>
        <v>666</v>
      </c>
      <c r="BB77" s="84">
        <f t="shared" si="56"/>
        <v>586</v>
      </c>
      <c r="BC77" s="82"/>
    </row>
    <row r="78" spans="1:55" s="38" customFormat="1" ht="15.95" customHeight="1">
      <c r="A78" s="59">
        <v>71</v>
      </c>
      <c r="B78" s="127">
        <v>92</v>
      </c>
      <c r="C78" s="103" t="s">
        <v>303</v>
      </c>
      <c r="D78" s="130" t="s">
        <v>114</v>
      </c>
      <c r="E78" s="103" t="s">
        <v>304</v>
      </c>
      <c r="F78" s="97">
        <v>17</v>
      </c>
      <c r="G78" s="97">
        <v>66</v>
      </c>
      <c r="H78" s="97">
        <v>10</v>
      </c>
      <c r="I78" s="97">
        <v>35</v>
      </c>
      <c r="J78" s="97">
        <f t="shared" si="35"/>
        <v>128</v>
      </c>
      <c r="K78" s="81">
        <f t="shared" si="52"/>
        <v>5</v>
      </c>
      <c r="L78" s="213"/>
      <c r="M78" s="97">
        <v>19</v>
      </c>
      <c r="N78" s="97">
        <v>40</v>
      </c>
      <c r="O78" s="97">
        <v>8</v>
      </c>
      <c r="P78" s="97">
        <v>33</v>
      </c>
      <c r="Q78" s="97">
        <f t="shared" si="48"/>
        <v>100</v>
      </c>
      <c r="R78" s="98">
        <f t="shared" si="36"/>
        <v>3.5</v>
      </c>
      <c r="S78" s="213"/>
      <c r="T78" s="97">
        <v>16</v>
      </c>
      <c r="U78" s="97">
        <v>54</v>
      </c>
      <c r="V78" s="97">
        <f t="shared" si="37"/>
        <v>70</v>
      </c>
      <c r="W78" s="98">
        <f t="shared" si="38"/>
        <v>4</v>
      </c>
      <c r="X78" s="216"/>
      <c r="Y78" s="97">
        <v>20</v>
      </c>
      <c r="Z78" s="97">
        <v>60</v>
      </c>
      <c r="AA78" s="97">
        <f t="shared" si="53"/>
        <v>80</v>
      </c>
      <c r="AB78" s="98">
        <f t="shared" si="39"/>
        <v>5</v>
      </c>
      <c r="AC78" s="213"/>
      <c r="AD78" s="97">
        <v>14</v>
      </c>
      <c r="AE78" s="97">
        <v>56</v>
      </c>
      <c r="AF78" s="97">
        <f t="shared" si="49"/>
        <v>70</v>
      </c>
      <c r="AG78" s="98">
        <f t="shared" si="40"/>
        <v>4</v>
      </c>
      <c r="AH78" s="213"/>
      <c r="AI78" s="97">
        <v>18</v>
      </c>
      <c r="AJ78" s="97">
        <v>65</v>
      </c>
      <c r="AK78" s="97">
        <f t="shared" si="50"/>
        <v>83</v>
      </c>
      <c r="AL78" s="98">
        <f t="shared" si="41"/>
        <v>5</v>
      </c>
      <c r="AM78" s="213"/>
      <c r="AN78" s="97">
        <v>0</v>
      </c>
      <c r="AO78" s="97">
        <v>38</v>
      </c>
      <c r="AP78" s="97">
        <f t="shared" si="42"/>
        <v>38</v>
      </c>
      <c r="AQ78" s="98">
        <f t="shared" si="43"/>
        <v>4</v>
      </c>
      <c r="AR78" s="213"/>
      <c r="AS78" s="54">
        <f t="shared" si="54"/>
        <v>30.5</v>
      </c>
      <c r="AT78" s="100">
        <f t="shared" si="44"/>
        <v>4.3571428571428568</v>
      </c>
      <c r="AU78" s="101">
        <f t="shared" si="45"/>
        <v>569</v>
      </c>
      <c r="AV78" s="99">
        <v>51</v>
      </c>
      <c r="AW78" s="99"/>
      <c r="AX78" s="73" t="str">
        <f t="shared" si="51"/>
        <v>BETTER</v>
      </c>
      <c r="AY78" s="83">
        <f>'1st_Semester'!AU78</f>
        <v>308</v>
      </c>
      <c r="AZ78" s="58">
        <f>'2nd_Semester'!AU78</f>
        <v>482</v>
      </c>
      <c r="BA78" s="83">
        <f t="shared" si="55"/>
        <v>569</v>
      </c>
      <c r="BB78" s="84">
        <f t="shared" si="56"/>
        <v>453</v>
      </c>
      <c r="BC78" s="82"/>
    </row>
    <row r="79" spans="1:55" s="38" customFormat="1" ht="15.95" customHeight="1">
      <c r="A79" s="59">
        <v>72</v>
      </c>
      <c r="B79" s="127">
        <v>93</v>
      </c>
      <c r="C79" s="103" t="s">
        <v>305</v>
      </c>
      <c r="D79" s="130"/>
      <c r="E79" s="103"/>
      <c r="F79" s="97">
        <v>20</v>
      </c>
      <c r="G79" s="97">
        <v>67</v>
      </c>
      <c r="H79" s="97">
        <v>10</v>
      </c>
      <c r="I79" s="97">
        <v>26</v>
      </c>
      <c r="J79" s="97">
        <f t="shared" si="35"/>
        <v>123</v>
      </c>
      <c r="K79" s="81">
        <f t="shared" si="52"/>
        <v>5</v>
      </c>
      <c r="L79" s="213"/>
      <c r="M79" s="97">
        <v>17</v>
      </c>
      <c r="N79" s="97">
        <v>47</v>
      </c>
      <c r="O79" s="97">
        <v>9</v>
      </c>
      <c r="P79" s="97">
        <v>24</v>
      </c>
      <c r="Q79" s="97">
        <f t="shared" si="48"/>
        <v>97</v>
      </c>
      <c r="R79" s="98">
        <f t="shared" si="36"/>
        <v>3.5</v>
      </c>
      <c r="S79" s="213"/>
      <c r="T79" s="97">
        <v>9</v>
      </c>
      <c r="U79" s="97">
        <v>32</v>
      </c>
      <c r="V79" s="97">
        <f t="shared" si="37"/>
        <v>41</v>
      </c>
      <c r="W79" s="98">
        <f t="shared" si="38"/>
        <v>2</v>
      </c>
      <c r="X79" s="216"/>
      <c r="Y79" s="97">
        <v>19</v>
      </c>
      <c r="Z79" s="97">
        <v>65</v>
      </c>
      <c r="AA79" s="97">
        <f t="shared" si="53"/>
        <v>84</v>
      </c>
      <c r="AB79" s="98">
        <f t="shared" si="39"/>
        <v>5</v>
      </c>
      <c r="AC79" s="213"/>
      <c r="AD79" s="97">
        <v>20</v>
      </c>
      <c r="AE79" s="97">
        <v>38</v>
      </c>
      <c r="AF79" s="97">
        <f t="shared" si="49"/>
        <v>58</v>
      </c>
      <c r="AG79" s="98">
        <f t="shared" si="40"/>
        <v>3</v>
      </c>
      <c r="AH79" s="213"/>
      <c r="AI79" s="97">
        <v>19</v>
      </c>
      <c r="AJ79" s="97">
        <v>28</v>
      </c>
      <c r="AK79" s="97">
        <f t="shared" si="50"/>
        <v>47</v>
      </c>
      <c r="AL79" s="98">
        <f t="shared" si="41"/>
        <v>2</v>
      </c>
      <c r="AM79" s="213"/>
      <c r="AN79" s="97">
        <v>0</v>
      </c>
      <c r="AO79" s="97">
        <v>35</v>
      </c>
      <c r="AP79" s="97">
        <f t="shared" si="42"/>
        <v>35</v>
      </c>
      <c r="AQ79" s="98">
        <f t="shared" si="43"/>
        <v>4</v>
      </c>
      <c r="AR79" s="213"/>
      <c r="AS79" s="54">
        <f t="shared" si="54"/>
        <v>24.5</v>
      </c>
      <c r="AT79" s="100">
        <f t="shared" si="44"/>
        <v>3.5</v>
      </c>
      <c r="AU79" s="101">
        <f t="shared" si="45"/>
        <v>485</v>
      </c>
      <c r="AV79" s="99">
        <v>64</v>
      </c>
      <c r="AW79" s="99"/>
      <c r="AX79" s="73" t="str">
        <f t="shared" si="51"/>
        <v>GOOD</v>
      </c>
      <c r="AY79" s="83">
        <f>'1st_Semester'!AU79</f>
        <v>0</v>
      </c>
      <c r="AZ79" s="58">
        <f>'2nd_Semester'!AU79</f>
        <v>459</v>
      </c>
      <c r="BA79" s="83">
        <f t="shared" si="55"/>
        <v>485</v>
      </c>
      <c r="BB79" s="84">
        <f t="shared" si="56"/>
        <v>314.66666666666669</v>
      </c>
      <c r="BC79" s="82"/>
    </row>
    <row r="80" spans="1:55" s="38" customFormat="1" ht="15.95" customHeight="1">
      <c r="A80" s="59">
        <v>73</v>
      </c>
      <c r="B80" s="127">
        <v>95</v>
      </c>
      <c r="C80" s="103" t="s">
        <v>306</v>
      </c>
      <c r="D80" s="103"/>
      <c r="E80" s="103"/>
      <c r="F80" s="97">
        <v>16</v>
      </c>
      <c r="G80" s="97">
        <v>66</v>
      </c>
      <c r="H80" s="97">
        <v>10</v>
      </c>
      <c r="I80" s="97">
        <v>19</v>
      </c>
      <c r="J80" s="97">
        <f t="shared" si="35"/>
        <v>111</v>
      </c>
      <c r="K80" s="81">
        <f t="shared" si="52"/>
        <v>4</v>
      </c>
      <c r="L80" s="213"/>
      <c r="M80" s="97">
        <v>16</v>
      </c>
      <c r="N80" s="97">
        <v>65</v>
      </c>
      <c r="O80" s="97">
        <v>8</v>
      </c>
      <c r="P80" s="97">
        <v>31</v>
      </c>
      <c r="Q80" s="97">
        <f t="shared" si="48"/>
        <v>120</v>
      </c>
      <c r="R80" s="98">
        <f t="shared" si="36"/>
        <v>5</v>
      </c>
      <c r="S80" s="213"/>
      <c r="T80" s="97">
        <v>10</v>
      </c>
      <c r="U80" s="97">
        <v>35</v>
      </c>
      <c r="V80" s="97">
        <f t="shared" si="37"/>
        <v>45</v>
      </c>
      <c r="W80" s="98">
        <f t="shared" si="38"/>
        <v>2</v>
      </c>
      <c r="X80" s="216"/>
      <c r="Y80" s="97">
        <v>17</v>
      </c>
      <c r="Z80" s="97">
        <v>71</v>
      </c>
      <c r="AA80" s="97">
        <f t="shared" si="53"/>
        <v>88</v>
      </c>
      <c r="AB80" s="98">
        <f t="shared" si="39"/>
        <v>5</v>
      </c>
      <c r="AC80" s="213"/>
      <c r="AD80" s="97">
        <v>14</v>
      </c>
      <c r="AE80" s="97">
        <v>56</v>
      </c>
      <c r="AF80" s="97">
        <f t="shared" si="49"/>
        <v>70</v>
      </c>
      <c r="AG80" s="98">
        <f t="shared" si="40"/>
        <v>4</v>
      </c>
      <c r="AH80" s="213"/>
      <c r="AI80" s="97">
        <v>15</v>
      </c>
      <c r="AJ80" s="97">
        <v>44</v>
      </c>
      <c r="AK80" s="97">
        <f t="shared" si="50"/>
        <v>59</v>
      </c>
      <c r="AL80" s="98">
        <f t="shared" si="41"/>
        <v>3</v>
      </c>
      <c r="AM80" s="213"/>
      <c r="AN80" s="97">
        <v>0</v>
      </c>
      <c r="AO80" s="97">
        <v>37</v>
      </c>
      <c r="AP80" s="97">
        <f t="shared" si="42"/>
        <v>37</v>
      </c>
      <c r="AQ80" s="98">
        <f t="shared" si="43"/>
        <v>4</v>
      </c>
      <c r="AR80" s="213"/>
      <c r="AS80" s="54">
        <f t="shared" si="54"/>
        <v>27</v>
      </c>
      <c r="AT80" s="100">
        <f t="shared" si="44"/>
        <v>3.8571428571428572</v>
      </c>
      <c r="AU80" s="101">
        <f t="shared" si="45"/>
        <v>530</v>
      </c>
      <c r="AV80" s="99">
        <v>63</v>
      </c>
      <c r="AW80" s="99"/>
      <c r="AX80" s="73" t="str">
        <f t="shared" si="51"/>
        <v>GOOD</v>
      </c>
      <c r="AY80" s="83">
        <f>'1st_Semester'!AU80</f>
        <v>0</v>
      </c>
      <c r="AZ80" s="58">
        <f>'2nd_Semester'!AU80</f>
        <v>5</v>
      </c>
      <c r="BA80" s="83">
        <f t="shared" si="55"/>
        <v>530</v>
      </c>
      <c r="BB80" s="84">
        <f t="shared" si="56"/>
        <v>178.33333333333334</v>
      </c>
      <c r="BC80" s="82"/>
    </row>
    <row r="81" spans="1:55" s="38" customFormat="1" ht="15.95" customHeight="1">
      <c r="A81" s="59">
        <v>74</v>
      </c>
      <c r="B81" s="127">
        <v>96</v>
      </c>
      <c r="C81" s="103" t="s">
        <v>307</v>
      </c>
      <c r="D81" s="103"/>
      <c r="E81" s="103"/>
      <c r="F81" s="97">
        <v>19</v>
      </c>
      <c r="G81" s="97">
        <v>60</v>
      </c>
      <c r="H81" s="97">
        <v>10</v>
      </c>
      <c r="I81" s="97">
        <v>26</v>
      </c>
      <c r="J81" s="97">
        <f t="shared" si="35"/>
        <v>115</v>
      </c>
      <c r="K81" s="81">
        <f t="shared" si="52"/>
        <v>4</v>
      </c>
      <c r="L81" s="213"/>
      <c r="M81" s="97">
        <v>17</v>
      </c>
      <c r="N81" s="97">
        <v>45</v>
      </c>
      <c r="O81" s="97">
        <v>8</v>
      </c>
      <c r="P81" s="97">
        <v>28</v>
      </c>
      <c r="Q81" s="97">
        <f t="shared" si="48"/>
        <v>98</v>
      </c>
      <c r="R81" s="98">
        <f t="shared" si="36"/>
        <v>3.5</v>
      </c>
      <c r="S81" s="213"/>
      <c r="T81" s="97">
        <v>14</v>
      </c>
      <c r="U81" s="97">
        <v>26</v>
      </c>
      <c r="V81" s="97">
        <f t="shared" si="37"/>
        <v>40</v>
      </c>
      <c r="W81" s="98">
        <f t="shared" si="38"/>
        <v>2</v>
      </c>
      <c r="X81" s="216"/>
      <c r="Y81" s="97">
        <v>19</v>
      </c>
      <c r="Z81" s="97">
        <v>48</v>
      </c>
      <c r="AA81" s="97">
        <f t="shared" si="53"/>
        <v>67</v>
      </c>
      <c r="AB81" s="98">
        <f t="shared" si="39"/>
        <v>3.5</v>
      </c>
      <c r="AC81" s="213"/>
      <c r="AD81" s="97">
        <v>18</v>
      </c>
      <c r="AE81" s="97">
        <v>53</v>
      </c>
      <c r="AF81" s="97">
        <f t="shared" si="49"/>
        <v>71</v>
      </c>
      <c r="AG81" s="98">
        <f t="shared" si="40"/>
        <v>4</v>
      </c>
      <c r="AH81" s="213"/>
      <c r="AI81" s="97">
        <v>18</v>
      </c>
      <c r="AJ81" s="97">
        <v>34</v>
      </c>
      <c r="AK81" s="97">
        <f t="shared" si="50"/>
        <v>52</v>
      </c>
      <c r="AL81" s="98">
        <f t="shared" si="41"/>
        <v>3</v>
      </c>
      <c r="AM81" s="213"/>
      <c r="AN81" s="97">
        <v>0</v>
      </c>
      <c r="AO81" s="97">
        <v>35</v>
      </c>
      <c r="AP81" s="97">
        <f t="shared" si="42"/>
        <v>35</v>
      </c>
      <c r="AQ81" s="98">
        <f t="shared" si="43"/>
        <v>4</v>
      </c>
      <c r="AR81" s="213"/>
      <c r="AS81" s="54">
        <f t="shared" si="54"/>
        <v>24</v>
      </c>
      <c r="AT81" s="100">
        <f t="shared" si="44"/>
        <v>3.4285714285714284</v>
      </c>
      <c r="AU81" s="101">
        <f t="shared" si="45"/>
        <v>478</v>
      </c>
      <c r="AV81" s="99">
        <v>65</v>
      </c>
      <c r="AW81" s="99"/>
      <c r="AX81" s="73" t="str">
        <f t="shared" si="51"/>
        <v>GOOD</v>
      </c>
      <c r="AY81" s="83">
        <f>'1st_Semester'!AU81</f>
        <v>0</v>
      </c>
      <c r="AZ81" s="58">
        <f>'2nd_Semester'!AU81</f>
        <v>447</v>
      </c>
      <c r="BA81" s="83">
        <f t="shared" si="55"/>
        <v>478</v>
      </c>
      <c r="BB81" s="84">
        <f t="shared" si="56"/>
        <v>308.33333333333331</v>
      </c>
      <c r="BC81" s="82"/>
    </row>
    <row r="82" spans="1:55" s="38" customFormat="1" ht="15.95" customHeight="1">
      <c r="A82" s="59">
        <v>75</v>
      </c>
      <c r="B82" s="127">
        <v>98</v>
      </c>
      <c r="C82" s="103" t="s">
        <v>308</v>
      </c>
      <c r="D82" s="130" t="s">
        <v>309</v>
      </c>
      <c r="E82" s="103" t="s">
        <v>310</v>
      </c>
      <c r="F82" s="97">
        <v>20</v>
      </c>
      <c r="G82" s="97">
        <v>74</v>
      </c>
      <c r="H82" s="97">
        <v>10</v>
      </c>
      <c r="I82" s="97">
        <v>39</v>
      </c>
      <c r="J82" s="97">
        <f t="shared" si="35"/>
        <v>143</v>
      </c>
      <c r="K82" s="81">
        <f t="shared" si="52"/>
        <v>5</v>
      </c>
      <c r="L82" s="214"/>
      <c r="M82" s="97">
        <v>18</v>
      </c>
      <c r="N82" s="97">
        <v>70</v>
      </c>
      <c r="O82" s="97">
        <v>9</v>
      </c>
      <c r="P82" s="97">
        <v>37</v>
      </c>
      <c r="Q82" s="97">
        <f t="shared" si="48"/>
        <v>134</v>
      </c>
      <c r="R82" s="98">
        <f t="shared" si="36"/>
        <v>5</v>
      </c>
      <c r="S82" s="214"/>
      <c r="T82" s="97">
        <v>19</v>
      </c>
      <c r="U82" s="97">
        <v>68</v>
      </c>
      <c r="V82" s="97">
        <f t="shared" si="37"/>
        <v>87</v>
      </c>
      <c r="W82" s="98">
        <f t="shared" si="38"/>
        <v>5</v>
      </c>
      <c r="X82" s="217"/>
      <c r="Y82" s="97">
        <v>20</v>
      </c>
      <c r="Z82" s="97">
        <v>78</v>
      </c>
      <c r="AA82" s="97">
        <f t="shared" si="53"/>
        <v>98</v>
      </c>
      <c r="AB82" s="98">
        <f t="shared" si="39"/>
        <v>5</v>
      </c>
      <c r="AC82" s="214"/>
      <c r="AD82" s="97">
        <v>19</v>
      </c>
      <c r="AE82" s="97">
        <v>72</v>
      </c>
      <c r="AF82" s="97">
        <f t="shared" si="49"/>
        <v>91</v>
      </c>
      <c r="AG82" s="98">
        <f t="shared" si="40"/>
        <v>5</v>
      </c>
      <c r="AH82" s="214"/>
      <c r="AI82" s="97">
        <v>20</v>
      </c>
      <c r="AJ82" s="97">
        <v>70</v>
      </c>
      <c r="AK82" s="97">
        <f t="shared" si="50"/>
        <v>90</v>
      </c>
      <c r="AL82" s="98">
        <f t="shared" si="41"/>
        <v>5</v>
      </c>
      <c r="AM82" s="214"/>
      <c r="AN82" s="97">
        <v>0</v>
      </c>
      <c r="AO82" s="97">
        <v>49</v>
      </c>
      <c r="AP82" s="97">
        <f t="shared" si="42"/>
        <v>49</v>
      </c>
      <c r="AQ82" s="98">
        <f t="shared" si="43"/>
        <v>5</v>
      </c>
      <c r="AR82" s="214"/>
      <c r="AS82" s="54">
        <f t="shared" si="54"/>
        <v>35</v>
      </c>
      <c r="AT82" s="100">
        <f t="shared" si="44"/>
        <v>5</v>
      </c>
      <c r="AU82" s="101">
        <f t="shared" si="45"/>
        <v>692</v>
      </c>
      <c r="AV82" s="99">
        <v>66</v>
      </c>
      <c r="AW82" s="99"/>
      <c r="AX82" s="73" t="str">
        <f t="shared" si="51"/>
        <v>BEST</v>
      </c>
      <c r="AY82" s="83">
        <f>'1st_Semester'!AU82</f>
        <v>0</v>
      </c>
      <c r="AZ82" s="58">
        <f>'2nd_Semester'!AU82</f>
        <v>287</v>
      </c>
      <c r="BA82" s="83">
        <f t="shared" si="55"/>
        <v>692</v>
      </c>
      <c r="BB82" s="84">
        <f t="shared" si="56"/>
        <v>326.33333333333331</v>
      </c>
      <c r="BC82" s="82"/>
    </row>
  </sheetData>
  <mergeCells count="50">
    <mergeCell ref="AC6:AC7"/>
    <mergeCell ref="AH6:AH7"/>
    <mergeCell ref="AN6:AQ6"/>
    <mergeCell ref="L8:L82"/>
    <mergeCell ref="S8:S82"/>
    <mergeCell ref="AC8:AC82"/>
    <mergeCell ref="AH8:AH82"/>
    <mergeCell ref="AM8:AM82"/>
    <mergeCell ref="AU6:AU7"/>
    <mergeCell ref="AV6:AV7"/>
    <mergeCell ref="AW6:AW7"/>
    <mergeCell ref="AD6:AG6"/>
    <mergeCell ref="AI6:AL6"/>
    <mergeCell ref="A6:A7"/>
    <mergeCell ref="B6:B7"/>
    <mergeCell ref="C6:C7"/>
    <mergeCell ref="D6:D7"/>
    <mergeCell ref="E6:E7"/>
    <mergeCell ref="A1:AX4"/>
    <mergeCell ref="A5:C5"/>
    <mergeCell ref="E5:G5"/>
    <mergeCell ref="H5:M5"/>
    <mergeCell ref="O5:R5"/>
    <mergeCell ref="S5:U5"/>
    <mergeCell ref="W5:AA5"/>
    <mergeCell ref="AE5:AH5"/>
    <mergeCell ref="AI5:AM5"/>
    <mergeCell ref="F6:G6"/>
    <mergeCell ref="H6:I6"/>
    <mergeCell ref="L6:L7"/>
    <mergeCell ref="M6:N6"/>
    <mergeCell ref="O6:P6"/>
    <mergeCell ref="J6:J7"/>
    <mergeCell ref="K6:K7"/>
    <mergeCell ref="AY6:BC6"/>
    <mergeCell ref="AN5:AX5"/>
    <mergeCell ref="X8:X43"/>
    <mergeCell ref="Q6:Q7"/>
    <mergeCell ref="AM6:AM7"/>
    <mergeCell ref="R6:R7"/>
    <mergeCell ref="S6:S7"/>
    <mergeCell ref="T6:W6"/>
    <mergeCell ref="X6:X7"/>
    <mergeCell ref="Y6:AB6"/>
    <mergeCell ref="AR8:AR82"/>
    <mergeCell ref="X44:X82"/>
    <mergeCell ref="AX6:AX7"/>
    <mergeCell ref="AR6:AR7"/>
    <mergeCell ref="AS6:AS7"/>
    <mergeCell ref="AT6:AT7"/>
  </mergeCells>
  <conditionalFormatting sqref="B8:B39">
    <cfRule type="duplicateValues" dxfId="33" priority="26"/>
  </conditionalFormatting>
  <conditionalFormatting sqref="T8:T42 AD8:AD42 AI8:AI43 F8:F43 M8:M43 Y8:Y43">
    <cfRule type="cellIs" dxfId="32" priority="24" operator="greaterThan">
      <formula>20</formula>
    </cfRule>
  </conditionalFormatting>
  <conditionalFormatting sqref="AN8:AN43 O8:O43 H8:H43">
    <cfRule type="cellIs" dxfId="31" priority="25" operator="greaterThan">
      <formula>10</formula>
    </cfRule>
  </conditionalFormatting>
  <conditionalFormatting sqref="I8:I42">
    <cfRule type="cellIs" dxfId="30" priority="22" operator="greaterThan">
      <formula>50</formula>
    </cfRule>
  </conditionalFormatting>
  <conditionalFormatting sqref="J8:J43 Q8:Q43">
    <cfRule type="cellIs" dxfId="29" priority="23" operator="greaterThan">
      <formula>150</formula>
    </cfRule>
  </conditionalFormatting>
  <conditionalFormatting sqref="G8:G42 U40:U42 V40:V43 U8:V39 AA8:AA43 AF8:AF43 AK8:AK43">
    <cfRule type="cellIs" dxfId="28" priority="21" operator="greaterThan">
      <formula>100</formula>
    </cfRule>
  </conditionalFormatting>
  <conditionalFormatting sqref="AP8:AP43">
    <cfRule type="cellIs" dxfId="27" priority="20" operator="greaterThan">
      <formula>50</formula>
    </cfRule>
  </conditionalFormatting>
  <conditionalFormatting sqref="AS6:AS7">
    <cfRule type="cellIs" dxfId="26" priority="27" operator="equal">
      <formula>"F"</formula>
    </cfRule>
  </conditionalFormatting>
  <conditionalFormatting sqref="AT44:AT45">
    <cfRule type="cellIs" dxfId="25" priority="18" operator="equal">
      <formula>"F"</formula>
    </cfRule>
    <cfRule type="cellIs" dxfId="24" priority="19" operator="equal">
      <formula>5</formula>
    </cfRule>
  </conditionalFormatting>
  <conditionalFormatting sqref="AT47">
    <cfRule type="cellIs" dxfId="23" priority="29" operator="equal">
      <formula>"F"</formula>
    </cfRule>
    <cfRule type="cellIs" dxfId="22" priority="30" operator="equal">
      <formula>5</formula>
    </cfRule>
  </conditionalFormatting>
  <conditionalFormatting sqref="B8">
    <cfRule type="duplicateValues" dxfId="21" priority="17"/>
  </conditionalFormatting>
  <conditionalFormatting sqref="B9:B14 B16:B27">
    <cfRule type="duplicateValues" dxfId="20" priority="16"/>
  </conditionalFormatting>
  <conditionalFormatting sqref="B15">
    <cfRule type="duplicateValues" dxfId="19" priority="15"/>
  </conditionalFormatting>
  <conditionalFormatting sqref="B28">
    <cfRule type="duplicateValues" dxfId="18" priority="14"/>
  </conditionalFormatting>
  <conditionalFormatting sqref="B29:B39">
    <cfRule type="duplicateValues" dxfId="17" priority="13"/>
  </conditionalFormatting>
  <conditionalFormatting sqref="B43">
    <cfRule type="duplicateValues" dxfId="16" priority="12"/>
  </conditionalFormatting>
  <conditionalFormatting sqref="B44:B70">
    <cfRule type="duplicateValues" dxfId="15" priority="11"/>
  </conditionalFormatting>
  <conditionalFormatting sqref="F44:F82 AI44:AI82 AD44:AD82 Y44:Y82 T44:T82 M44:M82">
    <cfRule type="cellIs" dxfId="14" priority="10" operator="greaterThan">
      <formula>20</formula>
    </cfRule>
  </conditionalFormatting>
  <conditionalFormatting sqref="G44:G82 AF44:AF82 AK44:AK82 U44:V82 AA44:AA82">
    <cfRule type="cellIs" dxfId="13" priority="9" operator="greaterThan">
      <formula>100</formula>
    </cfRule>
  </conditionalFormatting>
  <conditionalFormatting sqref="H44:H82 O44:O82 AN44:AN82">
    <cfRule type="cellIs" dxfId="12" priority="8" operator="greaterThan">
      <formula>10</formula>
    </cfRule>
  </conditionalFormatting>
  <conditionalFormatting sqref="I44:I82">
    <cfRule type="cellIs" dxfId="11" priority="7" operator="greaterThan">
      <formula>50</formula>
    </cfRule>
  </conditionalFormatting>
  <conditionalFormatting sqref="Q44:Q82 J44:J82">
    <cfRule type="cellIs" dxfId="10" priority="6" operator="greaterThan">
      <formula>150</formula>
    </cfRule>
  </conditionalFormatting>
  <conditionalFormatting sqref="AP44:AP82">
    <cfRule type="cellIs" dxfId="9" priority="5" operator="greaterThan">
      <formula>50</formula>
    </cfRule>
  </conditionalFormatting>
  <conditionalFormatting sqref="B44:B55">
    <cfRule type="duplicateValues" dxfId="8" priority="4"/>
  </conditionalFormatting>
  <conditionalFormatting sqref="B56:B69">
    <cfRule type="duplicateValues" dxfId="7" priority="3"/>
  </conditionalFormatting>
  <conditionalFormatting sqref="B70">
    <cfRule type="duplicateValues" dxfId="6" priority="2"/>
  </conditionalFormatting>
  <conditionalFormatting sqref="B74:B82">
    <cfRule type="duplicateValues" dxfId="5" priority="1"/>
  </conditionalFormatting>
  <pageMargins left="0.196850393700787" right="0.196850393700787" top="0.196850393700787" bottom="0.196850393700787" header="0.196850393700787" footer="0.196850393700787"/>
  <pageSetup paperSize="5" scale="83" fitToWidth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B1:L34"/>
  <sheetViews>
    <sheetView topLeftCell="A16" workbookViewId="0">
      <selection activeCell="I10" sqref="I10:L10"/>
    </sheetView>
  </sheetViews>
  <sheetFormatPr defaultRowHeight="15"/>
  <cols>
    <col min="1" max="1" width="1.42578125" customWidth="1"/>
    <col min="2" max="2" width="21.42578125" customWidth="1"/>
    <col min="5" max="5" width="11.140625" customWidth="1"/>
    <col min="7" max="7" width="7.140625" customWidth="1"/>
    <col min="8" max="8" width="7.5703125" customWidth="1"/>
    <col min="9" max="9" width="7.85546875" customWidth="1"/>
    <col min="10" max="11" width="5.85546875" customWidth="1"/>
    <col min="12" max="12" width="8.42578125" customWidth="1"/>
  </cols>
  <sheetData>
    <row r="1" spans="2:12" ht="15.75" thickBot="1"/>
    <row r="2" spans="2:12">
      <c r="B2" s="271" t="s">
        <v>42</v>
      </c>
      <c r="C2" s="272"/>
      <c r="D2" s="272"/>
      <c r="E2" s="272"/>
      <c r="F2" s="272"/>
      <c r="G2" s="272"/>
      <c r="H2" s="272"/>
      <c r="I2" s="272"/>
      <c r="J2" s="272"/>
      <c r="K2" s="273"/>
      <c r="L2" s="274"/>
    </row>
    <row r="3" spans="2:12">
      <c r="B3" s="275"/>
      <c r="C3" s="276"/>
      <c r="D3" s="276"/>
      <c r="E3" s="276"/>
      <c r="F3" s="276"/>
      <c r="G3" s="276"/>
      <c r="H3" s="276"/>
      <c r="I3" s="276"/>
      <c r="J3" s="276"/>
      <c r="K3" s="277"/>
      <c r="L3" s="278"/>
    </row>
    <row r="4" spans="2:12">
      <c r="B4" s="275"/>
      <c r="C4" s="276"/>
      <c r="D4" s="276"/>
      <c r="E4" s="276"/>
      <c r="F4" s="276"/>
      <c r="G4" s="276"/>
      <c r="H4" s="276"/>
      <c r="I4" s="276"/>
      <c r="J4" s="276"/>
      <c r="K4" s="277"/>
      <c r="L4" s="278"/>
    </row>
    <row r="5" spans="2:12">
      <c r="B5" s="275"/>
      <c r="C5" s="276"/>
      <c r="D5" s="276"/>
      <c r="E5" s="276"/>
      <c r="F5" s="276"/>
      <c r="G5" s="276"/>
      <c r="H5" s="276"/>
      <c r="I5" s="276"/>
      <c r="J5" s="276"/>
      <c r="K5" s="277"/>
      <c r="L5" s="278"/>
    </row>
    <row r="6" spans="2:12" ht="23.25" customHeight="1">
      <c r="B6" s="279"/>
      <c r="C6" s="276"/>
      <c r="D6" s="276"/>
      <c r="E6" s="276"/>
      <c r="F6" s="280"/>
      <c r="G6" s="280"/>
      <c r="H6" s="280"/>
      <c r="I6" s="276"/>
      <c r="J6" s="276"/>
      <c r="K6" s="277"/>
      <c r="L6" s="278"/>
    </row>
    <row r="7" spans="2:12" ht="24" customHeight="1">
      <c r="B7" s="16" t="s">
        <v>32</v>
      </c>
      <c r="C7" s="232" t="str">
        <f>IFERROR(VLOOKUP(I$9,'2nd_Semester'!B$6:AW$46,2,0),"ENTER RIGHT ROLL")</f>
        <v>Raufun Jannati Tanha</v>
      </c>
      <c r="D7" s="232"/>
      <c r="E7" s="232"/>
      <c r="F7" s="13"/>
      <c r="G7" s="281" t="s">
        <v>35</v>
      </c>
      <c r="H7" s="282"/>
      <c r="I7" s="283" t="s">
        <v>30</v>
      </c>
      <c r="J7" s="232"/>
      <c r="K7" s="284"/>
      <c r="L7" s="285"/>
    </row>
    <row r="8" spans="2:12" ht="24.75" customHeight="1">
      <c r="B8" s="17" t="s">
        <v>33</v>
      </c>
      <c r="C8" s="232" t="str">
        <f>IFERROR(VLOOKUP(I$9,'2nd_Semester'!B$6:AW$46,3,0)," ")</f>
        <v>Md. Mosarruf Hossain</v>
      </c>
      <c r="D8" s="232"/>
      <c r="E8" s="232"/>
      <c r="F8" s="14"/>
      <c r="G8" s="286" t="s">
        <v>36</v>
      </c>
      <c r="H8" s="287"/>
      <c r="I8" s="288" t="e">
        <f>'2nd_Semester'!#REF!</f>
        <v>#REF!</v>
      </c>
      <c r="J8" s="288"/>
      <c r="K8" s="289"/>
      <c r="L8" s="290"/>
    </row>
    <row r="9" spans="2:12" ht="26.25" customHeight="1">
      <c r="B9" s="17" t="s">
        <v>14</v>
      </c>
      <c r="C9" s="232" t="str">
        <f>IFERROR(VLOOKUP(I$9,'2nd_Semester'!B$6:AW$46,4,0)," ")</f>
        <v xml:space="preserve">Rahatunnasa </v>
      </c>
      <c r="D9" s="232"/>
      <c r="E9" s="232"/>
      <c r="F9" s="12"/>
      <c r="G9" s="1"/>
      <c r="H9" s="6" t="s">
        <v>37</v>
      </c>
      <c r="I9" s="291">
        <v>5</v>
      </c>
      <c r="J9" s="291"/>
      <c r="K9" s="292"/>
      <c r="L9" s="293"/>
    </row>
    <row r="10" spans="2:12" ht="24.75" customHeight="1">
      <c r="B10" s="18" t="s">
        <v>34</v>
      </c>
      <c r="C10" s="232" t="e">
        <f>'2nd_Semester'!#REF!</f>
        <v>#REF!</v>
      </c>
      <c r="D10" s="232"/>
      <c r="E10" s="232"/>
      <c r="F10" s="294" t="s">
        <v>41</v>
      </c>
      <c r="G10" s="294"/>
      <c r="H10" s="294"/>
      <c r="I10" s="288" t="e">
        <f>'2nd_Semester'!#REF!</f>
        <v>#REF!</v>
      </c>
      <c r="J10" s="288"/>
      <c r="K10" s="289"/>
      <c r="L10" s="290"/>
    </row>
    <row r="11" spans="2:12" ht="30" customHeight="1">
      <c r="B11" s="17" t="s">
        <v>15</v>
      </c>
      <c r="C11" s="268" t="e">
        <f>'2nd_Semester'!#REF!</f>
        <v>#REF!</v>
      </c>
      <c r="D11" s="269"/>
      <c r="E11" s="270"/>
      <c r="F11" s="2"/>
      <c r="G11" s="14"/>
      <c r="H11" s="2"/>
      <c r="I11" s="2"/>
      <c r="J11" s="2"/>
      <c r="K11" s="2"/>
      <c r="L11" s="19"/>
    </row>
    <row r="12" spans="2:12" ht="16.5">
      <c r="B12" s="20"/>
      <c r="C12" s="24"/>
      <c r="D12" s="24"/>
      <c r="E12" s="24"/>
      <c r="F12" s="2"/>
      <c r="G12" s="2"/>
      <c r="H12" s="3"/>
      <c r="I12" s="3"/>
      <c r="J12" s="3"/>
      <c r="K12" s="3"/>
      <c r="L12" s="21"/>
    </row>
    <row r="13" spans="2:12">
      <c r="B13" s="266" t="s">
        <v>16</v>
      </c>
      <c r="C13" s="267"/>
      <c r="D13" s="267"/>
      <c r="E13" s="263" t="s">
        <v>17</v>
      </c>
      <c r="F13" s="263" t="s">
        <v>18</v>
      </c>
      <c r="G13" s="263" t="s">
        <v>19</v>
      </c>
      <c r="H13" s="262" t="s">
        <v>20</v>
      </c>
      <c r="I13" s="262" t="s">
        <v>21</v>
      </c>
      <c r="J13" s="250" t="s">
        <v>1</v>
      </c>
      <c r="K13" s="250" t="s">
        <v>40</v>
      </c>
      <c r="L13" s="256" t="s">
        <v>4</v>
      </c>
    </row>
    <row r="14" spans="2:12">
      <c r="B14" s="266"/>
      <c r="C14" s="267"/>
      <c r="D14" s="267"/>
      <c r="E14" s="263"/>
      <c r="F14" s="263"/>
      <c r="G14" s="263"/>
      <c r="H14" s="263"/>
      <c r="I14" s="263"/>
      <c r="J14" s="251"/>
      <c r="K14" s="251"/>
      <c r="L14" s="257"/>
    </row>
    <row r="15" spans="2:12">
      <c r="B15" s="266"/>
      <c r="C15" s="267"/>
      <c r="D15" s="267"/>
      <c r="E15" s="263"/>
      <c r="F15" s="263"/>
      <c r="G15" s="263"/>
      <c r="H15" s="263"/>
      <c r="I15" s="263"/>
      <c r="J15" s="251"/>
      <c r="K15" s="251"/>
      <c r="L15" s="257"/>
    </row>
    <row r="16" spans="2:12">
      <c r="B16" s="266"/>
      <c r="C16" s="267"/>
      <c r="D16" s="267"/>
      <c r="E16" s="263"/>
      <c r="F16" s="263"/>
      <c r="G16" s="263"/>
      <c r="H16" s="263"/>
      <c r="I16" s="263"/>
      <c r="J16" s="251"/>
      <c r="K16" s="251"/>
      <c r="L16" s="257"/>
    </row>
    <row r="17" spans="2:12">
      <c r="B17" s="266"/>
      <c r="C17" s="267"/>
      <c r="D17" s="267"/>
      <c r="E17" s="263"/>
      <c r="F17" s="263"/>
      <c r="G17" s="263"/>
      <c r="H17" s="263"/>
      <c r="I17" s="263"/>
      <c r="J17" s="251"/>
      <c r="K17" s="251"/>
      <c r="L17" s="257"/>
    </row>
    <row r="18" spans="2:12">
      <c r="B18" s="266"/>
      <c r="C18" s="267"/>
      <c r="D18" s="267"/>
      <c r="E18" s="263"/>
      <c r="F18" s="263"/>
      <c r="G18" s="263"/>
      <c r="H18" s="263"/>
      <c r="I18" s="263"/>
      <c r="J18" s="251"/>
      <c r="K18" s="251"/>
      <c r="L18" s="257"/>
    </row>
    <row r="19" spans="2:12">
      <c r="B19" s="266"/>
      <c r="C19" s="267"/>
      <c r="D19" s="267"/>
      <c r="E19" s="263"/>
      <c r="F19" s="263"/>
      <c r="G19" s="263"/>
      <c r="H19" s="263"/>
      <c r="I19" s="263"/>
      <c r="J19" s="251"/>
      <c r="K19" s="251"/>
      <c r="L19" s="257"/>
    </row>
    <row r="20" spans="2:12">
      <c r="B20" s="266"/>
      <c r="C20" s="267"/>
      <c r="D20" s="267"/>
      <c r="E20" s="263"/>
      <c r="F20" s="263"/>
      <c r="G20" s="263"/>
      <c r="H20" s="263"/>
      <c r="I20" s="263"/>
      <c r="J20" s="252"/>
      <c r="K20" s="252"/>
      <c r="L20" s="258"/>
    </row>
    <row r="21" spans="2:12" ht="25.5" customHeight="1">
      <c r="B21" s="247" t="s">
        <v>26</v>
      </c>
      <c r="C21" s="248"/>
      <c r="D21" s="248"/>
      <c r="E21" s="15">
        <v>100</v>
      </c>
      <c r="F21" s="15">
        <f>IFERROR(VLOOKUP(I$9,'2nd_Semester'!B$6:AW$46,5,0)," ")</f>
        <v>20</v>
      </c>
      <c r="G21" s="34">
        <f>IFERROR(VLOOKUP(I$9,'2nd_Semester'!B$6:AW$46,7,0)," ")</f>
        <v>10</v>
      </c>
      <c r="H21" s="34">
        <f>IFERROR(VLOOKUP(I$9,'2nd_Semester'!B$6:AW$46,8,0)," ")</f>
        <v>0</v>
      </c>
      <c r="I21" s="29">
        <f>'2nd_Semester'!K8</f>
        <v>5</v>
      </c>
      <c r="J21" s="15">
        <f>IFERROR(VLOOKUP(I$9,'2nd_Semester'!B$6:AW$46,9,0)," ")</f>
        <v>30</v>
      </c>
      <c r="K21" s="26" t="str">
        <f t="shared" ref="K21:K27" si="0">IF(J21="F","F",IF(J21&lt;2.5,"D",IF(J21&lt;3,"C",IF(J21&lt;3.5,"B",IF(J21&lt;4,"A-",IF(J21&lt;5,"A","A+"))))))</f>
        <v>A+</v>
      </c>
      <c r="L21" s="246" t="str">
        <f>IFERROR(VLOOKUP(I$9,'2nd_Semester'!B$6:AW$46,45,0)," ")</f>
        <v>F</v>
      </c>
    </row>
    <row r="22" spans="2:12" ht="24" customHeight="1">
      <c r="B22" s="247" t="s">
        <v>8</v>
      </c>
      <c r="C22" s="248"/>
      <c r="D22" s="248"/>
      <c r="E22" s="15">
        <v>100</v>
      </c>
      <c r="F22" s="15">
        <f>IFERROR(VLOOKUP(I$9,'2nd_Semester'!B$6:AW$46,11,0)," ")</f>
        <v>0</v>
      </c>
      <c r="G22" s="34">
        <f>IFERROR(VLOOKUP(I$9,'2nd_Semester'!B$6:AW$46,13,0)," ")</f>
        <v>0</v>
      </c>
      <c r="H22" s="34">
        <f>IFERROR(VLOOKUP(I$9,'2nd_Semester'!B$6:AW$46,14,0)," ")</f>
        <v>10</v>
      </c>
      <c r="I22" s="29">
        <f>'2nd_Semester'!Q8</f>
        <v>148</v>
      </c>
      <c r="J22" s="15">
        <f>IFERROR(VLOOKUP(I$9,'2nd_Semester'!B$6:AW$46,15,0)," ")</f>
        <v>0</v>
      </c>
      <c r="K22" s="26" t="str">
        <f t="shared" si="0"/>
        <v>D</v>
      </c>
      <c r="L22" s="246"/>
    </row>
    <row r="23" spans="2:12" ht="24.75" customHeight="1">
      <c r="B23" s="247" t="s">
        <v>22</v>
      </c>
      <c r="C23" s="248"/>
      <c r="D23" s="248"/>
      <c r="E23" s="15">
        <v>100</v>
      </c>
      <c r="F23" s="15" t="str">
        <f>IFERROR(VLOOKUP(I$9,'2nd_Semester'!B$6:AW$46,17,0)," ")</f>
        <v>F</v>
      </c>
      <c r="G23" s="34">
        <f>IFERROR(VLOOKUP(I$9,'2nd_Semester'!B$6:AW$46,19,0)," ")</f>
        <v>20</v>
      </c>
      <c r="H23" s="34">
        <f>IFERROR(VLOOKUP(I$9,'2nd_Semester'!B$6:AW$46,20,0)," ")</f>
        <v>0</v>
      </c>
      <c r="I23" s="29">
        <f>'2nd_Semester'!W8</f>
        <v>5</v>
      </c>
      <c r="J23" s="15">
        <f>IFERROR(VLOOKUP(I$9,'2nd_Semester'!B$6:AW$46,21,0)," ")</f>
        <v>20</v>
      </c>
      <c r="K23" s="26" t="str">
        <f t="shared" si="0"/>
        <v>A+</v>
      </c>
      <c r="L23" s="246"/>
    </row>
    <row r="24" spans="2:12" ht="27" customHeight="1">
      <c r="B24" s="247" t="s">
        <v>5</v>
      </c>
      <c r="C24" s="248"/>
      <c r="D24" s="248"/>
      <c r="E24" s="15">
        <v>100</v>
      </c>
      <c r="F24" s="15">
        <f>IFERROR(VLOOKUP(I$9,'2nd_Semester'!B$6:AW$46,23,0)," ")</f>
        <v>0</v>
      </c>
      <c r="G24" s="34">
        <f>IFERROR(VLOOKUP(I$9,'2nd_Semester'!B$6:AW$46,25,0)," ")</f>
        <v>0</v>
      </c>
      <c r="H24" s="34">
        <f>IFERROR(VLOOKUP(I$9,'2nd_Semester'!B$6:AW$46,26,0)," ")</f>
        <v>20</v>
      </c>
      <c r="I24" s="29">
        <f>'2nd_Semester'!AC8</f>
        <v>100</v>
      </c>
      <c r="J24" s="15" t="str">
        <f>IFERROR(VLOOKUP(I$9,'2nd_Semester'!B$6:AW$46,27,0)," ")</f>
        <v>F</v>
      </c>
      <c r="K24" s="26" t="str">
        <f t="shared" si="0"/>
        <v>F</v>
      </c>
      <c r="L24" s="246"/>
    </row>
    <row r="25" spans="2:12" ht="27.75" customHeight="1">
      <c r="B25" s="247" t="s">
        <v>6</v>
      </c>
      <c r="C25" s="248"/>
      <c r="D25" s="248"/>
      <c r="E25" s="15">
        <v>100</v>
      </c>
      <c r="F25" s="15">
        <f>IFERROR(VLOOKUP(I$9,'2nd_Semester'!B$6:AW$46,29,0)," ")</f>
        <v>20</v>
      </c>
      <c r="G25" s="34">
        <f>IFERROR(VLOOKUP(I$9,'2nd_Semester'!B$6:AW$46,31,0)," ")</f>
        <v>20</v>
      </c>
      <c r="H25" s="34" t="str">
        <f>IFERROR(VLOOKUP(I$9,'2nd_Semester'!B$6:AW$46,32,0)," ")</f>
        <v>F</v>
      </c>
      <c r="I25" s="29">
        <f>'2nd_Semester'!AI8</f>
        <v>20</v>
      </c>
      <c r="J25" s="15">
        <f>IFERROR(VLOOKUP(I$9,'2nd_Semester'!B$6:AW$46,33,0)," ")</f>
        <v>0</v>
      </c>
      <c r="K25" s="26" t="str">
        <f t="shared" si="0"/>
        <v>D</v>
      </c>
      <c r="L25" s="246"/>
    </row>
    <row r="26" spans="2:12" ht="30.75" customHeight="1">
      <c r="B26" s="264" t="s">
        <v>2</v>
      </c>
      <c r="C26" s="265"/>
      <c r="D26" s="265"/>
      <c r="E26" s="15">
        <v>100</v>
      </c>
      <c r="F26" s="15">
        <f>IFERROR(VLOOKUP(I$9,'2nd_Semester'!B$6:AW$46,35,0)," ")</f>
        <v>0</v>
      </c>
      <c r="G26" s="34" t="str">
        <f>IFERROR(VLOOKUP(I$9,'2nd_Semester'!B$6:AW$46,37,0)," ")</f>
        <v>F</v>
      </c>
      <c r="H26" s="34">
        <f>IFERROR(VLOOKUP(I$9,'2nd_Semester'!B$6:AW$46,38,0)," ")</f>
        <v>0</v>
      </c>
      <c r="I26" s="29">
        <f>'2nd_Semester'!AO8</f>
        <v>50</v>
      </c>
      <c r="J26" s="15">
        <f>IFERROR(VLOOKUP(I$9,'2nd_Semester'!B$6:AW$46,39,0)," ")</f>
        <v>0</v>
      </c>
      <c r="K26" s="26" t="str">
        <f t="shared" si="0"/>
        <v>D</v>
      </c>
      <c r="L26" s="246"/>
    </row>
    <row r="27" spans="2:12" ht="30.75" customHeight="1">
      <c r="B27" s="253" t="s">
        <v>39</v>
      </c>
      <c r="C27" s="254"/>
      <c r="D27" s="255"/>
      <c r="E27" s="25">
        <v>50</v>
      </c>
      <c r="F27" s="25"/>
      <c r="G27" s="29">
        <f>IFERROR(VLOOKUP(I$9,'2nd_Semester'!B$6:AW$46,41,0)," ")</f>
        <v>0</v>
      </c>
      <c r="H27" s="29">
        <f>IFERROR(VLOOKUP(I$9,'2nd_Semester'!B$6:AW$46,41,0)," ")</f>
        <v>0</v>
      </c>
      <c r="I27" s="15">
        <f>'2nd_Semester'!AR8</f>
        <v>50</v>
      </c>
      <c r="J27" s="15" t="str">
        <f>IFERROR(VLOOKUP(I$9,'2nd_Semester'!B$6:AW$46,42,0)," ")</f>
        <v>F</v>
      </c>
      <c r="K27" s="26" t="str">
        <f t="shared" si="0"/>
        <v>F</v>
      </c>
      <c r="L27" s="246"/>
    </row>
    <row r="28" spans="2:12" ht="33.75" customHeight="1">
      <c r="B28" s="237" t="s">
        <v>23</v>
      </c>
      <c r="C28" s="238"/>
      <c r="D28" s="238"/>
      <c r="E28" s="8">
        <f>SUM(E21:E26)</f>
        <v>600</v>
      </c>
      <c r="F28" s="238"/>
      <c r="G28" s="238"/>
      <c r="H28" s="30">
        <f>SUM(H21:H26)</f>
        <v>30</v>
      </c>
      <c r="I28" s="259"/>
      <c r="J28" s="260"/>
      <c r="K28" s="261"/>
      <c r="L28" s="246"/>
    </row>
    <row r="29" spans="2:12" ht="27.75" customHeight="1">
      <c r="B29" s="22"/>
      <c r="C29" s="11"/>
      <c r="D29" s="11"/>
      <c r="E29" s="5"/>
      <c r="F29" s="10"/>
      <c r="G29" s="9"/>
      <c r="H29" s="4"/>
      <c r="I29" s="4"/>
      <c r="J29" s="4"/>
      <c r="K29" s="4"/>
      <c r="L29" s="23"/>
    </row>
    <row r="30" spans="2:12" ht="27" customHeight="1">
      <c r="B30" s="239" t="s">
        <v>24</v>
      </c>
      <c r="C30" s="240"/>
      <c r="D30" s="240"/>
      <c r="E30" s="7" t="str">
        <f>IFERROR(VLOOKUP(I$9,'2nd_Semester'!B$6:AX$46,49,0)," ")</f>
        <v>NEED TO PROGRESS</v>
      </c>
      <c r="F30" s="241" t="s">
        <v>46</v>
      </c>
      <c r="G30" s="241"/>
      <c r="H30" s="241"/>
      <c r="I30" s="242"/>
      <c r="J30" s="28">
        <f>IFERROR(VLOOKUP(I$9,'2nd_Semester'!B$6:AW$46,47,0)," ")</f>
        <v>0</v>
      </c>
      <c r="K30" s="27"/>
      <c r="L30" s="23"/>
    </row>
    <row r="31" spans="2:12" ht="27" customHeight="1">
      <c r="B31" s="229" t="s">
        <v>25</v>
      </c>
      <c r="C31" s="230"/>
      <c r="D31" s="231"/>
      <c r="E31" s="232">
        <f>IFERROR(VLOOKUP(I$9,'2nd_Semester'!B$6:AW$46,48,0)," ")</f>
        <v>0</v>
      </c>
      <c r="F31" s="232"/>
      <c r="G31" s="232"/>
      <c r="H31" s="232"/>
      <c r="I31" s="4"/>
      <c r="J31" s="4"/>
      <c r="K31" s="4"/>
      <c r="L31" s="23"/>
    </row>
    <row r="32" spans="2:12" ht="27.75" customHeight="1">
      <c r="B32" s="243" t="s">
        <v>44</v>
      </c>
      <c r="C32" s="244"/>
      <c r="D32" s="244"/>
      <c r="E32" s="244"/>
      <c r="F32" s="244"/>
      <c r="G32" s="244"/>
      <c r="H32" s="244"/>
      <c r="I32" s="244"/>
      <c r="J32" s="244"/>
      <c r="K32" s="244"/>
      <c r="L32" s="245"/>
    </row>
    <row r="33" spans="2:12" ht="30.75" customHeight="1">
      <c r="B33" s="31"/>
      <c r="C33" s="32"/>
      <c r="D33" s="32"/>
      <c r="E33" s="32"/>
      <c r="F33" s="32"/>
      <c r="G33" s="32"/>
      <c r="H33" s="32"/>
      <c r="I33" s="249" t="s">
        <v>45</v>
      </c>
      <c r="J33" s="249"/>
      <c r="K33" s="32"/>
      <c r="L33" s="33"/>
    </row>
    <row r="34" spans="2:12" ht="51" customHeight="1" thickBot="1">
      <c r="B34" s="233" t="s">
        <v>38</v>
      </c>
      <c r="C34" s="234"/>
      <c r="D34" s="234"/>
      <c r="E34" s="234"/>
      <c r="F34" s="234"/>
      <c r="G34" s="234"/>
      <c r="H34" s="234"/>
      <c r="I34" s="234"/>
      <c r="J34" s="234"/>
      <c r="K34" s="235"/>
      <c r="L34" s="236"/>
    </row>
  </sheetData>
  <mergeCells count="40">
    <mergeCell ref="C11:E11"/>
    <mergeCell ref="B2:L6"/>
    <mergeCell ref="C7:E7"/>
    <mergeCell ref="G7:H7"/>
    <mergeCell ref="I7:L7"/>
    <mergeCell ref="C8:E8"/>
    <mergeCell ref="G8:H8"/>
    <mergeCell ref="I8:L8"/>
    <mergeCell ref="C9:E9"/>
    <mergeCell ref="I9:L9"/>
    <mergeCell ref="C10:E10"/>
    <mergeCell ref="F10:H10"/>
    <mergeCell ref="I10:L10"/>
    <mergeCell ref="J13:J20"/>
    <mergeCell ref="B27:D27"/>
    <mergeCell ref="K13:K20"/>
    <mergeCell ref="L13:L20"/>
    <mergeCell ref="I28:K28"/>
    <mergeCell ref="B21:D21"/>
    <mergeCell ref="I13:I20"/>
    <mergeCell ref="B23:D23"/>
    <mergeCell ref="B24:D24"/>
    <mergeCell ref="B25:D25"/>
    <mergeCell ref="B26:D26"/>
    <mergeCell ref="B13:D20"/>
    <mergeCell ref="E13:E20"/>
    <mergeCell ref="F13:F20"/>
    <mergeCell ref="G13:G20"/>
    <mergeCell ref="H13:H20"/>
    <mergeCell ref="B31:D31"/>
    <mergeCell ref="E31:H31"/>
    <mergeCell ref="B34:L34"/>
    <mergeCell ref="B28:D28"/>
    <mergeCell ref="F28:G28"/>
    <mergeCell ref="B30:D30"/>
    <mergeCell ref="F30:I30"/>
    <mergeCell ref="B32:L32"/>
    <mergeCell ref="L21:L28"/>
    <mergeCell ref="B22:D22"/>
    <mergeCell ref="I33:J33"/>
  </mergeCells>
  <conditionalFormatting sqref="C7:E7">
    <cfRule type="containsText" dxfId="4" priority="1" operator="containsText" text="ENTER RIGHT ROLL">
      <formula>NOT(ISERROR(SEARCH("ENTER RIGHT ROLL",C7)))</formula>
    </cfRule>
  </conditionalFormatting>
  <conditionalFormatting sqref="L21">
    <cfRule type="cellIs" dxfId="3" priority="2" operator="equal">
      <formula>0</formula>
    </cfRule>
    <cfRule type="cellIs" dxfId="2" priority="3" operator="equal">
      <formula>0</formula>
    </cfRule>
    <cfRule type="cellIs" dxfId="1" priority="4" operator="equal">
      <formula>0</formula>
    </cfRule>
    <cfRule type="cellIs" dxfId="0" priority="5" operator="equal">
      <formula>"0.00=F"</formula>
    </cfRule>
  </conditionalFormatting>
  <pageMargins left="0.25" right="0.25" top="0.75" bottom="0.75" header="0.3" footer="0.3"/>
  <pageSetup paperSize="9" orientation="portrait" r:id="rId1"/>
  <ignoredErrors>
    <ignoredError sqref="E28" formulaRange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V30"/>
  <sheetViews>
    <sheetView tabSelected="1" workbookViewId="0">
      <selection activeCell="C8" sqref="C8"/>
    </sheetView>
  </sheetViews>
  <sheetFormatPr defaultColWidth="6.7109375" defaultRowHeight="15"/>
  <cols>
    <col min="1" max="1" width="24.42578125" customWidth="1"/>
    <col min="2" max="2" width="1.5703125" style="48" customWidth="1"/>
    <col min="3" max="16" width="7.28515625" customWidth="1"/>
    <col min="17" max="17" width="6.42578125" customWidth="1"/>
    <col min="18" max="18" width="8" customWidth="1"/>
    <col min="19" max="19" width="7.28515625" customWidth="1"/>
    <col min="20" max="20" width="7.85546875" customWidth="1"/>
    <col min="21" max="22" width="7.28515625" customWidth="1"/>
  </cols>
  <sheetData>
    <row r="1" spans="1:22" ht="34.5" customHeight="1">
      <c r="A1" s="307" t="s">
        <v>318</v>
      </c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</row>
    <row r="2" spans="1:22" ht="24" customHeight="1">
      <c r="A2" s="307"/>
      <c r="B2" s="307"/>
      <c r="C2" s="307"/>
      <c r="D2" s="307"/>
      <c r="E2" s="307"/>
      <c r="F2" s="307"/>
      <c r="G2" s="307"/>
      <c r="H2" s="307"/>
      <c r="I2" s="307"/>
      <c r="J2" s="307"/>
      <c r="K2" s="307"/>
      <c r="L2" s="307"/>
      <c r="M2" s="307"/>
      <c r="N2" s="307"/>
      <c r="O2" s="307"/>
      <c r="P2" s="307"/>
      <c r="Q2" s="307"/>
      <c r="R2" s="307"/>
      <c r="S2" s="307"/>
      <c r="T2" s="307"/>
      <c r="U2" s="307"/>
      <c r="V2" s="307"/>
    </row>
    <row r="3" spans="1:22" ht="21.75" customHeight="1">
      <c r="A3" s="307"/>
      <c r="B3" s="307"/>
      <c r="C3" s="307"/>
      <c r="D3" s="307"/>
      <c r="E3" s="307"/>
      <c r="F3" s="307"/>
      <c r="G3" s="307"/>
      <c r="H3" s="307"/>
      <c r="I3" s="307"/>
      <c r="J3" s="307"/>
      <c r="K3" s="307"/>
      <c r="L3" s="307"/>
      <c r="M3" s="307"/>
      <c r="N3" s="307"/>
      <c r="O3" s="307"/>
      <c r="P3" s="307"/>
      <c r="Q3" s="307"/>
      <c r="R3" s="307"/>
      <c r="S3" s="307"/>
      <c r="T3" s="307"/>
      <c r="U3" s="307"/>
      <c r="V3" s="307"/>
    </row>
    <row r="4" spans="1:22" ht="20.100000000000001" customHeight="1">
      <c r="A4" s="39" t="s">
        <v>47</v>
      </c>
      <c r="B4" s="46" t="s">
        <v>48</v>
      </c>
      <c r="C4" s="155" t="str">
        <f>IFERROR(VLOOKUP(C$7,'1st_Semester'!B$5:BG$85,2,0),"Please Enter The Right Roll")</f>
        <v>Mrinal Kanti Ghosh Artho</v>
      </c>
      <c r="D4" s="155"/>
      <c r="E4" s="155"/>
      <c r="F4" s="155"/>
      <c r="G4" s="155"/>
      <c r="H4" s="155"/>
      <c r="I4" s="155"/>
      <c r="J4" s="40"/>
      <c r="K4" s="40"/>
      <c r="L4" s="40"/>
      <c r="M4" s="40"/>
      <c r="N4" s="41"/>
      <c r="O4" s="41"/>
      <c r="P4" s="295" t="s">
        <v>315</v>
      </c>
      <c r="Q4" s="295"/>
      <c r="R4" s="295"/>
      <c r="S4" s="295"/>
      <c r="T4" s="295"/>
      <c r="U4" s="295"/>
      <c r="V4" s="154">
        <f>IFERROR(VLOOKUP(C$7,'3rd_Semester'!B$5:BD$85,47,0),"")</f>
        <v>19</v>
      </c>
    </row>
    <row r="5" spans="1:22" ht="20.100000000000001" customHeight="1">
      <c r="A5" s="42" t="s">
        <v>49</v>
      </c>
      <c r="B5" s="47" t="s">
        <v>48</v>
      </c>
      <c r="C5" s="156" t="s">
        <v>30</v>
      </c>
      <c r="D5" s="156"/>
      <c r="E5" s="156"/>
      <c r="F5" s="156"/>
      <c r="G5" s="157"/>
      <c r="H5" s="157"/>
      <c r="I5" s="157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43"/>
    </row>
    <row r="6" spans="1:22" ht="20.100000000000001" customHeight="1">
      <c r="A6" s="44" t="s">
        <v>50</v>
      </c>
      <c r="B6" s="47" t="s">
        <v>48</v>
      </c>
      <c r="C6" s="156" t="s">
        <v>317</v>
      </c>
      <c r="D6" s="156"/>
      <c r="E6" s="156"/>
      <c r="F6" s="156"/>
      <c r="G6" s="157"/>
      <c r="H6" s="157"/>
      <c r="I6" s="157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43"/>
    </row>
    <row r="7" spans="1:22" ht="20.100000000000001" customHeight="1">
      <c r="A7" s="44" t="s">
        <v>51</v>
      </c>
      <c r="B7" s="47" t="s">
        <v>48</v>
      </c>
      <c r="C7" s="158">
        <v>18</v>
      </c>
      <c r="D7" s="157"/>
      <c r="E7" s="157"/>
      <c r="F7" s="157"/>
      <c r="G7" s="157"/>
      <c r="H7" s="157"/>
      <c r="I7" s="157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43"/>
    </row>
    <row r="8" spans="1:22" ht="20.100000000000001" customHeight="1">
      <c r="A8" s="44" t="s">
        <v>52</v>
      </c>
      <c r="B8" s="47" t="s">
        <v>48</v>
      </c>
      <c r="C8" s="156" t="str">
        <f>IFERROR(VLOOKUP(C$7,'1st_Semester'!B$5:BG$85,3,0),"")</f>
        <v>Mahendra Nath Gosh  Mohan</v>
      </c>
      <c r="D8" s="156"/>
      <c r="E8" s="156"/>
      <c r="F8" s="156"/>
      <c r="G8" s="156"/>
      <c r="H8" s="156"/>
      <c r="I8" s="157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43"/>
    </row>
    <row r="9" spans="1:22" ht="20.100000000000001" customHeight="1">
      <c r="A9" s="44" t="s">
        <v>53</v>
      </c>
      <c r="B9" s="47" t="s">
        <v>48</v>
      </c>
      <c r="C9" s="156" t="str">
        <f>IFERROR(VLOOKUP(C$7,'1st_Semester'!B$5:BG$85,4,0),"")</f>
        <v>Aporna Sarkar</v>
      </c>
      <c r="D9" s="159"/>
      <c r="E9" s="159"/>
      <c r="F9" s="159"/>
      <c r="G9" s="159"/>
      <c r="H9" s="159"/>
      <c r="I9" s="157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43"/>
    </row>
    <row r="10" spans="1:22" ht="20.100000000000001" customHeight="1">
      <c r="A10" s="44" t="s">
        <v>54</v>
      </c>
      <c r="B10" s="161" t="s">
        <v>48</v>
      </c>
      <c r="C10" s="308" t="s">
        <v>316</v>
      </c>
      <c r="D10" s="308"/>
      <c r="E10" s="308"/>
      <c r="F10" s="308"/>
      <c r="G10" s="308"/>
      <c r="H10" s="308"/>
      <c r="I10" s="308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43"/>
    </row>
    <row r="11" spans="1:22" ht="29.1" customHeight="1">
      <c r="A11" s="309" t="s">
        <v>55</v>
      </c>
      <c r="B11" s="309"/>
      <c r="C11" s="310" t="s">
        <v>56</v>
      </c>
      <c r="D11" s="311" t="s">
        <v>71</v>
      </c>
      <c r="E11" s="311"/>
      <c r="F11" s="311"/>
      <c r="G11" s="311"/>
      <c r="H11" s="310" t="s">
        <v>56</v>
      </c>
      <c r="I11" s="311" t="s">
        <v>72</v>
      </c>
      <c r="J11" s="311"/>
      <c r="K11" s="311"/>
      <c r="L11" s="311"/>
      <c r="M11" s="310" t="s">
        <v>56</v>
      </c>
      <c r="N11" s="311" t="s">
        <v>73</v>
      </c>
      <c r="O11" s="311"/>
      <c r="P11" s="311"/>
      <c r="Q11" s="311"/>
      <c r="R11" s="311" t="s">
        <v>57</v>
      </c>
      <c r="S11" s="311"/>
      <c r="T11" s="311"/>
      <c r="U11" s="311"/>
      <c r="V11" s="311"/>
    </row>
    <row r="12" spans="1:22" ht="29.1" customHeight="1">
      <c r="A12" s="309"/>
      <c r="B12" s="309"/>
      <c r="C12" s="310"/>
      <c r="D12" s="300" t="s">
        <v>58</v>
      </c>
      <c r="E12" s="300" t="s">
        <v>12</v>
      </c>
      <c r="F12" s="300" t="s">
        <v>59</v>
      </c>
      <c r="G12" s="300" t="s">
        <v>1</v>
      </c>
      <c r="H12" s="310"/>
      <c r="I12" s="300" t="s">
        <v>58</v>
      </c>
      <c r="J12" s="300" t="s">
        <v>12</v>
      </c>
      <c r="K12" s="300" t="s">
        <v>59</v>
      </c>
      <c r="L12" s="300" t="s">
        <v>1</v>
      </c>
      <c r="M12" s="310"/>
      <c r="N12" s="300" t="s">
        <v>58</v>
      </c>
      <c r="O12" s="300" t="s">
        <v>12</v>
      </c>
      <c r="P12" s="300" t="s">
        <v>59</v>
      </c>
      <c r="Q12" s="300" t="s">
        <v>1</v>
      </c>
      <c r="R12" s="301" t="s">
        <v>60</v>
      </c>
      <c r="S12" s="301" t="s">
        <v>61</v>
      </c>
      <c r="T12" s="300" t="s">
        <v>12</v>
      </c>
      <c r="U12" s="300" t="s">
        <v>1</v>
      </c>
      <c r="V12" s="300" t="s">
        <v>62</v>
      </c>
    </row>
    <row r="13" spans="1:22" ht="29.1" customHeight="1">
      <c r="A13" s="309"/>
      <c r="B13" s="309"/>
      <c r="C13" s="310"/>
      <c r="D13" s="300"/>
      <c r="E13" s="300"/>
      <c r="F13" s="300"/>
      <c r="G13" s="300"/>
      <c r="H13" s="310"/>
      <c r="I13" s="300"/>
      <c r="J13" s="300"/>
      <c r="K13" s="300"/>
      <c r="L13" s="300"/>
      <c r="M13" s="310"/>
      <c r="N13" s="300"/>
      <c r="O13" s="300"/>
      <c r="P13" s="300"/>
      <c r="Q13" s="300"/>
      <c r="R13" s="301"/>
      <c r="S13" s="301"/>
      <c r="T13" s="300"/>
      <c r="U13" s="300"/>
      <c r="V13" s="300"/>
    </row>
    <row r="14" spans="1:22" ht="29.1" customHeight="1">
      <c r="A14" s="309"/>
      <c r="B14" s="309"/>
      <c r="C14" s="310"/>
      <c r="D14" s="300"/>
      <c r="E14" s="300"/>
      <c r="F14" s="300"/>
      <c r="G14" s="300"/>
      <c r="H14" s="310"/>
      <c r="I14" s="300"/>
      <c r="J14" s="300"/>
      <c r="K14" s="300"/>
      <c r="L14" s="300"/>
      <c r="M14" s="310"/>
      <c r="N14" s="300"/>
      <c r="O14" s="300"/>
      <c r="P14" s="300"/>
      <c r="Q14" s="300"/>
      <c r="R14" s="301"/>
      <c r="S14" s="301"/>
      <c r="T14" s="300"/>
      <c r="U14" s="300"/>
      <c r="V14" s="300"/>
    </row>
    <row r="15" spans="1:22" ht="29.1" customHeight="1">
      <c r="A15" s="309"/>
      <c r="B15" s="309"/>
      <c r="C15" s="310"/>
      <c r="D15" s="300"/>
      <c r="E15" s="300"/>
      <c r="F15" s="300"/>
      <c r="G15" s="300"/>
      <c r="H15" s="310"/>
      <c r="I15" s="300"/>
      <c r="J15" s="300"/>
      <c r="K15" s="300"/>
      <c r="L15" s="300"/>
      <c r="M15" s="310"/>
      <c r="N15" s="300"/>
      <c r="O15" s="300"/>
      <c r="P15" s="300"/>
      <c r="Q15" s="300"/>
      <c r="R15" s="301"/>
      <c r="S15" s="301"/>
      <c r="T15" s="300"/>
      <c r="U15" s="300"/>
      <c r="V15" s="300"/>
    </row>
    <row r="16" spans="1:22" s="160" customFormat="1" ht="29.1" customHeight="1">
      <c r="A16" s="298" t="s">
        <v>67</v>
      </c>
      <c r="B16" s="298"/>
      <c r="C16" s="163">
        <f>IFERROR(VLOOKUP(C$7,'1st_Semester'!B$5:BG$85,5,0),"")</f>
        <v>20</v>
      </c>
      <c r="D16" s="163">
        <f>IFERROR(VLOOKUP(C$7,'1st_Semester'!B$5:BH$88,6,0),"")</f>
        <v>75</v>
      </c>
      <c r="E16" s="298">
        <f>IFERROR(VLOOKUP(C$7,'1st_Semester'!B$5:BI$88,9,0),"")</f>
        <v>142</v>
      </c>
      <c r="F16" s="299">
        <f>'1st_Semester'!L8</f>
        <v>148</v>
      </c>
      <c r="G16" s="305">
        <f>IFERROR(VLOOKUP(C$7,'1st_Semester'!B$5:BK$88,10,0),"")</f>
        <v>5</v>
      </c>
      <c r="H16" s="163">
        <f>IFERROR(VLOOKUP(C$7,'2nd_Semester'!B$4:BL$89,5,0),"")</f>
        <v>20</v>
      </c>
      <c r="I16" s="164">
        <f>IFERROR(VLOOKUP(C$7,'2nd_Semester'!B$4:BM$89,6,0),"")</f>
        <v>74</v>
      </c>
      <c r="J16" s="299">
        <f>IFERROR(VLOOKUP(C$7,'2nd_Semester'!B$4:BN$89,9,0),"")</f>
        <v>144</v>
      </c>
      <c r="K16" s="299">
        <f>'2nd_Semester'!L8</f>
        <v>156</v>
      </c>
      <c r="L16" s="305">
        <f>IFERROR(VLOOKUP(C$7,'2nd_Semester'!B$4:BP$89,10,0),"")</f>
        <v>5</v>
      </c>
      <c r="M16" s="163">
        <f>IFERROR(VLOOKUP(C$7,'3rd_Semester'!B$5:BD$88,5,0),"")</f>
        <v>20</v>
      </c>
      <c r="N16" s="164">
        <f>IFERROR(VLOOKUP(C$7,'3rd_Semester'!B$5:BD$88,6,0),"")</f>
        <v>77</v>
      </c>
      <c r="O16" s="299">
        <f>IFERROR(VLOOKUP(C$7,'3rd_Semester'!B$5:BD$88,9,0),"")</f>
        <v>141</v>
      </c>
      <c r="P16" s="299">
        <f>'3rd_Semester'!L8</f>
        <v>150</v>
      </c>
      <c r="Q16" s="305">
        <f>IFERROR(VLOOKUP(C$7,'3rd_Semester'!B$5:BD$88,10,0),"")</f>
        <v>5</v>
      </c>
      <c r="R16" s="165">
        <f>SUM(C16,H16,M16)/3</f>
        <v>20</v>
      </c>
      <c r="S16" s="165">
        <f>SUM(D16,I16,N16)/3</f>
        <v>75.333333333333329</v>
      </c>
      <c r="T16" s="305">
        <f>SUM(E16,J16,O16)/3</f>
        <v>142.33333333333334</v>
      </c>
      <c r="U16" s="296">
        <f t="shared" ref="U16:U18" si="0">SUM(G16,L16,Q16)/3</f>
        <v>5</v>
      </c>
      <c r="V16" s="306">
        <f>IF(U16="F","F",IF(U18="F","F",IF(U19="F","F",IF(U21="F","F",IF(U22="F","F",IF(U23="F","F",IF(SUM(U16:U23)&gt;30,5,SUM(U16:U23)/6)))))))</f>
        <v>4.7222222222222223</v>
      </c>
    </row>
    <row r="17" spans="1:22" s="160" customFormat="1" ht="29.1" customHeight="1">
      <c r="A17" s="298" t="s">
        <v>68</v>
      </c>
      <c r="B17" s="298"/>
      <c r="C17" s="163">
        <f>IFERROR(VLOOKUP(C$7,'1st_Semester'!B$5:BG$85,7,0),"")</f>
        <v>9</v>
      </c>
      <c r="D17" s="163">
        <f>IFERROR(VLOOKUP(C$7,'1st_Semester'!B$5:BH$88,8,0),"")</f>
        <v>38</v>
      </c>
      <c r="E17" s="298"/>
      <c r="F17" s="299"/>
      <c r="G17" s="305"/>
      <c r="H17" s="163">
        <f>IFERROR(VLOOKUP(C$7,'2nd_Semester'!B$4:BL$89,7,0),"")</f>
        <v>10</v>
      </c>
      <c r="I17" s="164">
        <f>IFERROR(VLOOKUP(C$7,'2nd_Semester'!B$4:BM$89,8,0),"")</f>
        <v>40</v>
      </c>
      <c r="J17" s="299"/>
      <c r="K17" s="299"/>
      <c r="L17" s="305"/>
      <c r="M17" s="163">
        <f>IFERROR(VLOOKUP(C$7,'3rd_Semester'!B$5:BD$88,7,0),"")</f>
        <v>10</v>
      </c>
      <c r="N17" s="164">
        <f>IFERROR(VLOOKUP(C$7,'3rd_Semester'!B$5:BD$88,8,0),"")</f>
        <v>34</v>
      </c>
      <c r="O17" s="299"/>
      <c r="P17" s="299"/>
      <c r="Q17" s="305"/>
      <c r="R17" s="174">
        <f t="shared" ref="R17:R24" si="1">SUM(C17,H17,M17)/3</f>
        <v>9.6666666666666661</v>
      </c>
      <c r="S17" s="174">
        <f t="shared" ref="S17:S24" si="2">SUM(D17,I17,N17)/3</f>
        <v>37.333333333333336</v>
      </c>
      <c r="T17" s="305"/>
      <c r="U17" s="297"/>
      <c r="V17" s="306"/>
    </row>
    <row r="18" spans="1:22" s="160" customFormat="1" ht="29.1" customHeight="1">
      <c r="A18" s="298" t="s">
        <v>69</v>
      </c>
      <c r="B18" s="298"/>
      <c r="C18" s="163">
        <f>IFERROR(VLOOKUP(C$7,'1st_Semester'!B$5:BG$85,12,0),"")</f>
        <v>17</v>
      </c>
      <c r="D18" s="163">
        <f>IFERROR(VLOOKUP(C$7,'1st_Semester'!B$5:BH$88,13,0),"")</f>
        <v>73</v>
      </c>
      <c r="E18" s="298">
        <f>IFERROR(VLOOKUP(C$7,'1st_Semester'!B$5:BI$88,16,0),"")</f>
        <v>133</v>
      </c>
      <c r="F18" s="299">
        <f>'1st_Semester'!S8</f>
        <v>149</v>
      </c>
      <c r="G18" s="305">
        <f>IFERROR(VLOOKUP(C$7,'1st_Semester'!B$5:BK$88,17,0),"")</f>
        <v>5</v>
      </c>
      <c r="H18" s="163">
        <f>IFERROR(VLOOKUP(C$7,'2nd_Semester'!B$4:BL$89,12,0),"")</f>
        <v>17</v>
      </c>
      <c r="I18" s="164">
        <f>IFERROR(VLOOKUP(C$7,'2nd_Semester'!B$4:BM$89,13,0),"")</f>
        <v>60</v>
      </c>
      <c r="J18" s="299">
        <f>IFERROR(VLOOKUP(C$7,'2nd_Semester'!B$4:BN$89,16,0),"")</f>
        <v>115</v>
      </c>
      <c r="K18" s="299">
        <f>'2nd_Semester'!S8</f>
        <v>148</v>
      </c>
      <c r="L18" s="305">
        <f>IFERROR(VLOOKUP(C$7,'2nd_Semester'!B$4:BP$89,17,0),"")</f>
        <v>4</v>
      </c>
      <c r="M18" s="163">
        <f>IFERROR(VLOOKUP(C$7,'3rd_Semester'!B$5:BD$88,12,0),"")</f>
        <v>19</v>
      </c>
      <c r="N18" s="164">
        <f>IFERROR(VLOOKUP(C$7,'3rd_Semester'!B$5:BD$88,13,0),"")</f>
        <v>50</v>
      </c>
      <c r="O18" s="299">
        <f>IFERROR(VLOOKUP(C$7,'3rd_Semester'!B$5:BD$88,16,0),"")</f>
        <v>113</v>
      </c>
      <c r="P18" s="299">
        <f>'3rd_Semester'!S8</f>
        <v>148</v>
      </c>
      <c r="Q18" s="305">
        <f>IFERROR(VLOOKUP(C$7,'3rd_Semester'!B$5:BD$88,17,0),"")</f>
        <v>4</v>
      </c>
      <c r="R18" s="174">
        <f t="shared" si="1"/>
        <v>17.666666666666668</v>
      </c>
      <c r="S18" s="174">
        <f t="shared" si="2"/>
        <v>61</v>
      </c>
      <c r="T18" s="305">
        <f t="shared" ref="T18" si="3">SUM(E18,J18,O18)/3</f>
        <v>120.33333333333333</v>
      </c>
      <c r="U18" s="296">
        <f t="shared" si="0"/>
        <v>4.333333333333333</v>
      </c>
      <c r="V18" s="306"/>
    </row>
    <row r="19" spans="1:22" s="160" customFormat="1" ht="29.1" customHeight="1">
      <c r="A19" s="298" t="s">
        <v>70</v>
      </c>
      <c r="B19" s="298"/>
      <c r="C19" s="163">
        <f>IFERROR(VLOOKUP(C$7,'1st_Semester'!B$5:BG$85,14,0),"")</f>
        <v>9</v>
      </c>
      <c r="D19" s="163">
        <f>IFERROR(VLOOKUP(C$7,'1st_Semester'!B$5:BH$88,15,0),"")</f>
        <v>34</v>
      </c>
      <c r="E19" s="298"/>
      <c r="F19" s="299"/>
      <c r="G19" s="305"/>
      <c r="H19" s="163">
        <f>IFERROR(VLOOKUP(C$7,'2nd_Semester'!B$4:BL$89,14,0),"")</f>
        <v>10</v>
      </c>
      <c r="I19" s="164">
        <f>IFERROR(VLOOKUP(C$7,'2nd_Semester'!B$4:BM$89,15,0),"")</f>
        <v>28</v>
      </c>
      <c r="J19" s="299"/>
      <c r="K19" s="299"/>
      <c r="L19" s="305"/>
      <c r="M19" s="163">
        <f>IFERROR(VLOOKUP(C$7,'3rd_Semester'!B$5:BD$88,14,0),"")</f>
        <v>10</v>
      </c>
      <c r="N19" s="164">
        <f>IFERROR(VLOOKUP(C$7,'3rd_Semester'!B$5:BD$88,15,0),"")</f>
        <v>34</v>
      </c>
      <c r="O19" s="299"/>
      <c r="P19" s="299"/>
      <c r="Q19" s="305"/>
      <c r="R19" s="174">
        <f t="shared" si="1"/>
        <v>9.6666666666666661</v>
      </c>
      <c r="S19" s="174">
        <f t="shared" si="2"/>
        <v>32</v>
      </c>
      <c r="T19" s="305"/>
      <c r="U19" s="297"/>
      <c r="V19" s="306"/>
    </row>
    <row r="20" spans="1:22" s="160" customFormat="1" ht="29.1" customHeight="1">
      <c r="A20" s="298" t="s">
        <v>63</v>
      </c>
      <c r="B20" s="298"/>
      <c r="C20" s="163">
        <f>IFERROR(VLOOKUP(C$7,'1st_Semester'!B$5:BG$85,19,0),"")</f>
        <v>14</v>
      </c>
      <c r="D20" s="163">
        <f>IFERROR(VLOOKUP(C$7,'1st_Semester'!B$5:BH$88,20,0),"")</f>
        <v>54</v>
      </c>
      <c r="E20" s="163">
        <f>IFERROR(VLOOKUP(C$7,'1st_Semester'!B$5:BI$88,21,0),"")</f>
        <v>68</v>
      </c>
      <c r="F20" s="164">
        <f>'1st_Semester'!X8</f>
        <v>93</v>
      </c>
      <c r="G20" s="165">
        <f>IFERROR(VLOOKUP(C$7,'1st_Semester'!B$5:BK$88,22,0),"")</f>
        <v>3.5</v>
      </c>
      <c r="H20" s="163">
        <f>IFERROR(VLOOKUP(C$7,'2nd_Semester'!B$4:BL$89,19,0),"")</f>
        <v>20</v>
      </c>
      <c r="I20" s="164">
        <f>IFERROR(VLOOKUP(C$7,'2nd_Semester'!B$4:BM$89,20,0),"")</f>
        <v>62</v>
      </c>
      <c r="J20" s="164">
        <f>IFERROR(VLOOKUP(C$7,'2nd_Semester'!B$4:BN$89,21,0),"")</f>
        <v>82</v>
      </c>
      <c r="K20" s="164">
        <f>'2nd_Semester'!X8</f>
        <v>97</v>
      </c>
      <c r="L20" s="165">
        <f>IFERROR(VLOOKUP(C$7,'2nd_Semester'!B$4:BP$89,22,0),"")</f>
        <v>5</v>
      </c>
      <c r="M20" s="163">
        <f>IFERROR(VLOOKUP(C$7,'3rd_Semester'!B$5:BD$88,19,0),"")</f>
        <v>15</v>
      </c>
      <c r="N20" s="164">
        <f>IFERROR(VLOOKUP(C$7,'3rd_Semester'!B$5:BD$88,20,0),"")</f>
        <v>54</v>
      </c>
      <c r="O20" s="164">
        <f>IFERROR(VLOOKUP(C$7,'3rd_Semester'!B$5:BD$88,21,0),"")</f>
        <v>69</v>
      </c>
      <c r="P20" s="164">
        <f>'3rd_Semester'!X8</f>
        <v>97</v>
      </c>
      <c r="Q20" s="165">
        <f>IFERROR(VLOOKUP(C$7,'3rd_Semester'!B$5:BD$88,22,0),"")</f>
        <v>3.5</v>
      </c>
      <c r="R20" s="174">
        <f t="shared" si="1"/>
        <v>16.333333333333332</v>
      </c>
      <c r="S20" s="174">
        <f t="shared" si="2"/>
        <v>56.666666666666664</v>
      </c>
      <c r="T20" s="165">
        <f>SUM(E20,J20,O20)/3</f>
        <v>73</v>
      </c>
      <c r="U20" s="175">
        <f>IF(T20&lt;40,"F",IF(T20&lt;50,2,IF(T20&lt;60,3,IF(T20&lt;70,3.5,IF(T20&lt;80,4,5)))))</f>
        <v>4</v>
      </c>
      <c r="V20" s="306"/>
    </row>
    <row r="21" spans="1:22" s="160" customFormat="1" ht="29.1" customHeight="1">
      <c r="A21" s="298" t="s">
        <v>5</v>
      </c>
      <c r="B21" s="298"/>
      <c r="C21" s="163">
        <f>IFERROR(VLOOKUP(C$7,'1st_Semester'!B$5:BG$85,24,0),"")</f>
        <v>20</v>
      </c>
      <c r="D21" s="163">
        <f>IFERROR(VLOOKUP(C$7,'1st_Semester'!B$5:BH$88,25,0),"")</f>
        <v>80</v>
      </c>
      <c r="E21" s="163">
        <f>IFERROR(VLOOKUP(C$7,'1st_Semester'!B$5:BI$88,26,0),"")</f>
        <v>100</v>
      </c>
      <c r="F21" s="164">
        <f>'1st_Semester'!AC8</f>
        <v>100</v>
      </c>
      <c r="G21" s="165">
        <f>IFERROR(VLOOKUP(C$7,'1st_Semester'!B$5:BK$88,27,0),"")</f>
        <v>5</v>
      </c>
      <c r="H21" s="163">
        <f>IFERROR(VLOOKUP(C$7,'2nd_Semester'!B$4:BL$89,24,0),"")</f>
        <v>20</v>
      </c>
      <c r="I21" s="164">
        <f>IFERROR(VLOOKUP(C$7,'2nd_Semester'!B$4:BM$89,25,0),"")</f>
        <v>78</v>
      </c>
      <c r="J21" s="164">
        <f>IFERROR(VLOOKUP(C$7,'2nd_Semester'!B$4:BN$89,26,0),"")</f>
        <v>98</v>
      </c>
      <c r="K21" s="164">
        <f>'2nd_Semester'!AC8</f>
        <v>100</v>
      </c>
      <c r="L21" s="165">
        <f>IFERROR(VLOOKUP(C$7,'2nd_Semester'!B$4:BP$89,27,0),"")</f>
        <v>5</v>
      </c>
      <c r="M21" s="163">
        <f>IFERROR(VLOOKUP(C$7,'3rd_Semester'!B$5:BD$88,24,0),"")</f>
        <v>20</v>
      </c>
      <c r="N21" s="164">
        <f>IFERROR(VLOOKUP(C$7,'3rd_Semester'!B$5:BD$88,25,0),"")</f>
        <v>69</v>
      </c>
      <c r="O21" s="164">
        <f>IFERROR(VLOOKUP(C$7,'3rd_Semester'!B$5:BD$88,26,0),"")</f>
        <v>89</v>
      </c>
      <c r="P21" s="164">
        <f>'3rd_Semester'!AC8</f>
        <v>100</v>
      </c>
      <c r="Q21" s="165">
        <f>IFERROR(VLOOKUP(C$7,'3rd_Semester'!B$5:BD$88,27,0),"")</f>
        <v>5</v>
      </c>
      <c r="R21" s="174">
        <f t="shared" si="1"/>
        <v>20</v>
      </c>
      <c r="S21" s="174">
        <f t="shared" si="2"/>
        <v>75.666666666666671</v>
      </c>
      <c r="T21" s="174">
        <f t="shared" ref="T21:T24" si="4">SUM(E21,J21,O21)/3</f>
        <v>95.666666666666671</v>
      </c>
      <c r="U21" s="175">
        <f t="shared" ref="U21:U23" si="5">IF(T21&lt;40,"F",IF(T21&lt;50,2,IF(T21&lt;60,3,IF(T21&lt;70,3.5,IF(T21&lt;80,4,5)))))</f>
        <v>5</v>
      </c>
      <c r="V21" s="306"/>
    </row>
    <row r="22" spans="1:22" s="160" customFormat="1" ht="29.1" customHeight="1">
      <c r="A22" s="298" t="s">
        <v>6</v>
      </c>
      <c r="B22" s="298"/>
      <c r="C22" s="163">
        <f>IFERROR(VLOOKUP(C$7,'1st_Semester'!B$5:BG$88,29,0),"")</f>
        <v>16</v>
      </c>
      <c r="D22" s="163">
        <f>IFERROR(VLOOKUP(C$7,'1st_Semester'!B$5:BH$88,30,0),"")</f>
        <v>74</v>
      </c>
      <c r="E22" s="163">
        <f>IFERROR(VLOOKUP(C$7,'1st_Semester'!B$5:BI$88,31,0),"")</f>
        <v>90</v>
      </c>
      <c r="F22" s="164">
        <f>'1st_Semester'!AH8</f>
        <v>98</v>
      </c>
      <c r="G22" s="165">
        <f>IFERROR(VLOOKUP(C$7,'1st_Semester'!B$5:BK$88,32,0),"")</f>
        <v>5</v>
      </c>
      <c r="H22" s="163">
        <f>IFERROR(VLOOKUP(C$7,'2nd_Semester'!B$4:BL$89,29,0),"")</f>
        <v>20</v>
      </c>
      <c r="I22" s="164">
        <f>IFERROR(VLOOKUP(C$7,'2nd_Semester'!B$4:BM$89,30,0),"")</f>
        <v>66</v>
      </c>
      <c r="J22" s="164">
        <f>IFERROR(VLOOKUP(C$7,'2nd_Semester'!B$4:BN$89,31,0),"")</f>
        <v>86</v>
      </c>
      <c r="K22" s="164">
        <f>'2nd_Semester'!AH8</f>
        <v>98</v>
      </c>
      <c r="L22" s="165">
        <f>IFERROR(VLOOKUP(C$7,'2nd_Semester'!B$4:BP$89,32,0),"")</f>
        <v>5</v>
      </c>
      <c r="M22" s="163">
        <f>IFERROR(VLOOKUP(C$7,'3rd_Semester'!B$5:BD$88,29,0),"")</f>
        <v>19</v>
      </c>
      <c r="N22" s="164">
        <f>IFERROR(VLOOKUP(C$7,'3rd_Semester'!B$5:BD$88,30,0),"")</f>
        <v>71</v>
      </c>
      <c r="O22" s="164">
        <f>IFERROR(VLOOKUP(C$7,'3rd_Semester'!B$5:BD$88,31,0),"")</f>
        <v>90</v>
      </c>
      <c r="P22" s="164">
        <f>'3rd_Semester'!AH8</f>
        <v>99</v>
      </c>
      <c r="Q22" s="165">
        <f>IFERROR(VLOOKUP(C$7,'3rd_Semester'!B$5:BD$88,32,0),"")</f>
        <v>5</v>
      </c>
      <c r="R22" s="174">
        <f t="shared" si="1"/>
        <v>18.333333333333332</v>
      </c>
      <c r="S22" s="174">
        <f t="shared" si="2"/>
        <v>70.333333333333329</v>
      </c>
      <c r="T22" s="174">
        <f t="shared" si="4"/>
        <v>88.666666666666671</v>
      </c>
      <c r="U22" s="175">
        <f t="shared" si="5"/>
        <v>5</v>
      </c>
      <c r="V22" s="306"/>
    </row>
    <row r="23" spans="1:22" s="160" customFormat="1" ht="29.1" customHeight="1">
      <c r="A23" s="298" t="s">
        <v>2</v>
      </c>
      <c r="B23" s="298"/>
      <c r="C23" s="163">
        <f>IFERROR(VLOOKUP(C$7,'1st_Semester'!B$5:BG$88,34,0),"")</f>
        <v>20</v>
      </c>
      <c r="D23" s="163">
        <f>IFERROR(VLOOKUP(C$7,'1st_Semester'!B$5:BH$88,35,0),"")</f>
        <v>67</v>
      </c>
      <c r="E23" s="163">
        <f>IFERROR(VLOOKUP(C$7,'1st_Semester'!B$5:BI$88,36,0),"")</f>
        <v>87</v>
      </c>
      <c r="F23" s="164">
        <f>'1st_Semester'!AM8</f>
        <v>99</v>
      </c>
      <c r="G23" s="165">
        <f>IFERROR(VLOOKUP(C$7,'1st_Semester'!B$5:BK$88,37,0),"")</f>
        <v>5</v>
      </c>
      <c r="H23" s="163">
        <f>IFERROR(VLOOKUP(C$7,'2nd_Semester'!B$4:BL$89,34,0),"")</f>
        <v>20</v>
      </c>
      <c r="I23" s="164">
        <f>IFERROR(VLOOKUP(C$7,'2nd_Semester'!B$4:BM$89,35,0),"")</f>
        <v>65</v>
      </c>
      <c r="J23" s="164">
        <f>IFERROR(VLOOKUP(C$7,'2nd_Semester'!B$4:BN$89,36,0),"")</f>
        <v>85</v>
      </c>
      <c r="K23" s="164">
        <f>'2nd_Semester'!AM8</f>
        <v>99</v>
      </c>
      <c r="L23" s="165">
        <f>IFERROR(VLOOKUP(C$7,'2nd_Semester'!B$4:BP$89,37,0),"")</f>
        <v>5</v>
      </c>
      <c r="M23" s="163">
        <f>IFERROR(VLOOKUP(C$7,'3rd_Semester'!B$5:BD$88,34,0),"")</f>
        <v>19</v>
      </c>
      <c r="N23" s="164">
        <f>IFERROR(VLOOKUP(C$7,'3rd_Semester'!B$5:BD$88,35,0),"")</f>
        <v>60</v>
      </c>
      <c r="O23" s="164">
        <f>IFERROR(VLOOKUP(C$7,'3rd_Semester'!B$5:BD$88,36,0),"")</f>
        <v>79</v>
      </c>
      <c r="P23" s="164">
        <f>'3rd_Semester'!AM8</f>
        <v>100</v>
      </c>
      <c r="Q23" s="165">
        <f>IFERROR(VLOOKUP(C$7,'3rd_Semester'!B$5:BD$88,37,0),"")</f>
        <v>4</v>
      </c>
      <c r="R23" s="174">
        <f t="shared" si="1"/>
        <v>19.666666666666668</v>
      </c>
      <c r="S23" s="174">
        <f t="shared" si="2"/>
        <v>64</v>
      </c>
      <c r="T23" s="174">
        <f t="shared" si="4"/>
        <v>83.666666666666671</v>
      </c>
      <c r="U23" s="175">
        <f t="shared" si="5"/>
        <v>5</v>
      </c>
      <c r="V23" s="306"/>
    </row>
    <row r="24" spans="1:22" s="160" customFormat="1" ht="29.1" customHeight="1">
      <c r="A24" s="298" t="s">
        <v>43</v>
      </c>
      <c r="B24" s="298"/>
      <c r="C24" s="163">
        <f>IFERROR(VLOOKUP(C$7,'1st_Semester'!B$5:BG$88,39,0),"")</f>
        <v>0</v>
      </c>
      <c r="D24" s="163">
        <f>IFERROR(VLOOKUP(C$7,'1st_Semester'!B$5:BH$88,40,0),"")</f>
        <v>49</v>
      </c>
      <c r="E24" s="163">
        <f>IFERROR(VLOOKUP(C$7,'1st_Semester'!B$5:BI$88,41,0),"")</f>
        <v>49</v>
      </c>
      <c r="F24" s="164">
        <f>'1st_Semester'!AR8</f>
        <v>50</v>
      </c>
      <c r="G24" s="165">
        <f>IFERROR(VLOOKUP(C$7,'1st_Semester'!B$5:BK$88,42,0),"")</f>
        <v>5</v>
      </c>
      <c r="H24" s="163">
        <f>IFERROR(VLOOKUP(C$7,'2nd_Semester'!B$4:BL$89,39,0),"")</f>
        <v>0</v>
      </c>
      <c r="I24" s="164">
        <f>IFERROR(VLOOKUP(C$7,'2nd_Semester'!B$4:BM$89,40,0),"")</f>
        <v>50</v>
      </c>
      <c r="J24" s="164">
        <f>IFERROR(VLOOKUP(C$7,'2nd_Semester'!B$4:BN$89,41,0),"")</f>
        <v>50</v>
      </c>
      <c r="K24" s="164">
        <f>'2nd_Semester'!AR8</f>
        <v>50</v>
      </c>
      <c r="L24" s="165">
        <f>IFERROR(VLOOKUP(C$7,'2nd_Semester'!B$4:BP$89,42,0),"")</f>
        <v>5</v>
      </c>
      <c r="M24" s="163">
        <f>IFERROR(VLOOKUP(C$7,'3rd_Semester'!B$5:BD$88,39,0),"")</f>
        <v>0</v>
      </c>
      <c r="N24" s="164">
        <f>IFERROR(VLOOKUP(C$7,'3rd_Semester'!B$5:BD$88,40,0),"")</f>
        <v>46</v>
      </c>
      <c r="O24" s="163">
        <f>IFERROR(VLOOKUP(C$7,'3rd_Semester'!B$5:BD$88,41,0),"")</f>
        <v>46</v>
      </c>
      <c r="P24" s="164">
        <f>'3rd_Semester'!AR8</f>
        <v>50</v>
      </c>
      <c r="Q24" s="165">
        <f>IFERROR(VLOOKUP(C$7,'3rd_Semester'!B$5:BD$88,42,0),"")</f>
        <v>5</v>
      </c>
      <c r="R24" s="174">
        <f t="shared" si="1"/>
        <v>0</v>
      </c>
      <c r="S24" s="174">
        <f t="shared" si="2"/>
        <v>48.333333333333336</v>
      </c>
      <c r="T24" s="174">
        <f t="shared" si="4"/>
        <v>48.333333333333336</v>
      </c>
      <c r="U24" s="176">
        <f>IF(T24&lt;20,"F",IF(T24&lt;25,2,IF(T24&lt;30,3,IF(T24&lt;35,3.5,IF(T24&lt;40,4,5)))))</f>
        <v>5</v>
      </c>
      <c r="V24" s="306"/>
    </row>
    <row r="25" spans="1:22" s="160" customFormat="1" ht="29.1" customHeight="1">
      <c r="A25" s="304" t="s">
        <v>319</v>
      </c>
      <c r="B25" s="304"/>
      <c r="C25" s="303"/>
      <c r="D25" s="303"/>
      <c r="E25" s="166">
        <f>SUM(E16:E24)</f>
        <v>669</v>
      </c>
      <c r="F25" s="304"/>
      <c r="G25" s="304"/>
      <c r="H25" s="304"/>
      <c r="I25" s="304"/>
      <c r="J25" s="166">
        <f>SUM(J16:J24)</f>
        <v>660</v>
      </c>
      <c r="K25" s="304"/>
      <c r="L25" s="304"/>
      <c r="M25" s="303"/>
      <c r="N25" s="303"/>
      <c r="O25" s="166">
        <f>SUM(O16:O24)</f>
        <v>627</v>
      </c>
      <c r="P25" s="304"/>
      <c r="Q25" s="304"/>
      <c r="R25" s="302"/>
      <c r="S25" s="302"/>
      <c r="T25" s="166">
        <f>SUM(T16:T24)</f>
        <v>652</v>
      </c>
      <c r="U25" s="302"/>
      <c r="V25" s="302"/>
    </row>
    <row r="30" spans="1:22">
      <c r="A30" s="69" t="s">
        <v>65</v>
      </c>
      <c r="K30" s="70" t="s">
        <v>87</v>
      </c>
      <c r="T30" s="45" t="s">
        <v>93</v>
      </c>
    </row>
  </sheetData>
  <mergeCells count="69">
    <mergeCell ref="A1:V3"/>
    <mergeCell ref="C10:I10"/>
    <mergeCell ref="A11:B15"/>
    <mergeCell ref="C11:C15"/>
    <mergeCell ref="D11:G11"/>
    <mergeCell ref="H11:H15"/>
    <mergeCell ref="I11:L11"/>
    <mergeCell ref="M11:M15"/>
    <mergeCell ref="N11:Q11"/>
    <mergeCell ref="R11:V11"/>
    <mergeCell ref="Q12:Q15"/>
    <mergeCell ref="D12:D15"/>
    <mergeCell ref="E12:E15"/>
    <mergeCell ref="F12:F15"/>
    <mergeCell ref="G12:G15"/>
    <mergeCell ref="I12:I15"/>
    <mergeCell ref="V12:V15"/>
    <mergeCell ref="A22:B22"/>
    <mergeCell ref="A23:B23"/>
    <mergeCell ref="A24:B24"/>
    <mergeCell ref="A17:B17"/>
    <mergeCell ref="A20:B20"/>
    <mergeCell ref="J12:J15"/>
    <mergeCell ref="K12:K15"/>
    <mergeCell ref="L12:L15"/>
    <mergeCell ref="N12:N15"/>
    <mergeCell ref="O12:O15"/>
    <mergeCell ref="F18:F19"/>
    <mergeCell ref="G16:G17"/>
    <mergeCell ref="G18:G19"/>
    <mergeCell ref="P16:P17"/>
    <mergeCell ref="P18:P19"/>
    <mergeCell ref="A16:B16"/>
    <mergeCell ref="V16:V24"/>
    <mergeCell ref="A18:B18"/>
    <mergeCell ref="A19:B19"/>
    <mergeCell ref="A21:B21"/>
    <mergeCell ref="K18:K19"/>
    <mergeCell ref="L16:L17"/>
    <mergeCell ref="L18:L19"/>
    <mergeCell ref="O16:O17"/>
    <mergeCell ref="O18:O19"/>
    <mergeCell ref="A25:B25"/>
    <mergeCell ref="C25:D25"/>
    <mergeCell ref="F25:G25"/>
    <mergeCell ref="H25:I25"/>
    <mergeCell ref="K25:L25"/>
    <mergeCell ref="U25:V25"/>
    <mergeCell ref="M25:N25"/>
    <mergeCell ref="P25:Q25"/>
    <mergeCell ref="R25:S25"/>
    <mergeCell ref="U16:U17"/>
    <mergeCell ref="T16:T17"/>
    <mergeCell ref="Q16:Q17"/>
    <mergeCell ref="Q18:Q19"/>
    <mergeCell ref="T18:T19"/>
    <mergeCell ref="P4:U4"/>
    <mergeCell ref="U18:U19"/>
    <mergeCell ref="E16:E17"/>
    <mergeCell ref="E18:E19"/>
    <mergeCell ref="F16:F17"/>
    <mergeCell ref="J16:J17"/>
    <mergeCell ref="J18:J19"/>
    <mergeCell ref="K16:K17"/>
    <mergeCell ref="P12:P15"/>
    <mergeCell ref="R12:R15"/>
    <mergeCell ref="S12:S15"/>
    <mergeCell ref="T12:T15"/>
    <mergeCell ref="U12:U15"/>
  </mergeCells>
  <printOptions horizontalCentered="1" verticalCentered="1"/>
  <pageMargins left="0" right="0" top="0" bottom="0" header="0" footer="0"/>
  <pageSetup paperSize="9" scale="80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1st_Semester</vt:lpstr>
      <vt:lpstr>2nd_Semester</vt:lpstr>
      <vt:lpstr>3rd_Semester</vt:lpstr>
      <vt:lpstr>PROGRESSIVE REPORT</vt:lpstr>
      <vt:lpstr>ANNUAL_CARD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2025-12-30T08:51:30Z</cp:lastPrinted>
  <dcterms:created xsi:type="dcterms:W3CDTF">2020-11-16T05:16:13Z</dcterms:created>
  <dcterms:modified xsi:type="dcterms:W3CDTF">2025-12-30T08:51:39Z</dcterms:modified>
</cp:coreProperties>
</file>