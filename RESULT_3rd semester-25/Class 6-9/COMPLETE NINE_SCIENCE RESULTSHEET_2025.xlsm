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50" yWindow="45" windowWidth="29040" windowHeight="5535" tabRatio="517" activeTab="3"/>
  </bookViews>
  <sheets>
    <sheet name="1ST_SEMESTER" sheetId="6" r:id="rId1"/>
    <sheet name="2ND_SEMESTER" sheetId="4" r:id="rId2"/>
    <sheet name="3RD_SEMESTER" sheetId="5" r:id="rId3"/>
    <sheet name="Annual_EXAM" sheetId="7" r:id="rId4"/>
    <sheet name="PROGRASIVE SCI" sheetId="2" state="hidden" r:id="rId5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31" i="4"/>
  <c r="V25" i="7"/>
  <c r="X28"/>
  <c r="X27"/>
  <c r="X26"/>
  <c r="X25"/>
  <c r="X24"/>
  <c r="X23"/>
  <c r="X22"/>
  <c r="X20"/>
  <c r="X18"/>
  <c r="W30"/>
  <c r="W25"/>
  <c r="W24"/>
  <c r="W23"/>
  <c r="W20"/>
  <c r="W18"/>
  <c r="V30"/>
  <c r="V28"/>
  <c r="V27"/>
  <c r="V26"/>
  <c r="V24"/>
  <c r="V23"/>
  <c r="V22"/>
  <c r="V20"/>
  <c r="V18"/>
  <c r="U30"/>
  <c r="U28"/>
  <c r="U27"/>
  <c r="U26"/>
  <c r="U24"/>
  <c r="T30"/>
  <c r="T28"/>
  <c r="T27"/>
  <c r="T26"/>
  <c r="T25"/>
  <c r="T24"/>
  <c r="T23"/>
  <c r="T22"/>
  <c r="T19"/>
  <c r="T18"/>
  <c r="S30"/>
  <c r="S28"/>
  <c r="S27"/>
  <c r="S26"/>
  <c r="S25"/>
  <c r="S23"/>
  <c r="S22"/>
  <c r="S21"/>
  <c r="S20"/>
  <c r="S19"/>
  <c r="S18"/>
  <c r="R30"/>
  <c r="R27"/>
  <c r="R26"/>
  <c r="R25"/>
  <c r="R24"/>
  <c r="R23"/>
  <c r="R22"/>
  <c r="R21"/>
  <c r="R20"/>
  <c r="R19"/>
  <c r="R28"/>
  <c r="R18"/>
  <c r="Q28"/>
  <c r="Q27"/>
  <c r="Q26"/>
  <c r="Q25"/>
  <c r="Q24"/>
  <c r="Q23"/>
  <c r="Q22"/>
  <c r="Q20"/>
  <c r="Q18"/>
  <c r="O30"/>
  <c r="O28"/>
  <c r="O27"/>
  <c r="O26"/>
  <c r="O25"/>
  <c r="O24"/>
  <c r="O23"/>
  <c r="O22"/>
  <c r="O20"/>
  <c r="O18"/>
  <c r="N30"/>
  <c r="N28"/>
  <c r="N27"/>
  <c r="N26"/>
  <c r="N24"/>
  <c r="M30"/>
  <c r="M28"/>
  <c r="M27"/>
  <c r="M26"/>
  <c r="M25"/>
  <c r="M24"/>
  <c r="M23"/>
  <c r="M22"/>
  <c r="M19"/>
  <c r="M18"/>
  <c r="L30"/>
  <c r="L28"/>
  <c r="L27"/>
  <c r="L26"/>
  <c r="L25"/>
  <c r="L23"/>
  <c r="L22"/>
  <c r="L21"/>
  <c r="L20"/>
  <c r="L19"/>
  <c r="L18"/>
  <c r="K30"/>
  <c r="K28"/>
  <c r="K27"/>
  <c r="K26"/>
  <c r="K25"/>
  <c r="K24"/>
  <c r="K23"/>
  <c r="K22"/>
  <c r="K21"/>
  <c r="K20"/>
  <c r="K19"/>
  <c r="K18"/>
  <c r="J28"/>
  <c r="J27"/>
  <c r="J26"/>
  <c r="J25"/>
  <c r="J24"/>
  <c r="J23"/>
  <c r="J22"/>
  <c r="H30"/>
  <c r="H28"/>
  <c r="H27"/>
  <c r="H26"/>
  <c r="H25"/>
  <c r="H24"/>
  <c r="H23"/>
  <c r="H22"/>
  <c r="G30"/>
  <c r="G28"/>
  <c r="G27"/>
  <c r="G26"/>
  <c r="G24"/>
  <c r="F30"/>
  <c r="F28"/>
  <c r="F27"/>
  <c r="F26"/>
  <c r="F25"/>
  <c r="F24"/>
  <c r="F23"/>
  <c r="E30"/>
  <c r="E28"/>
  <c r="E27"/>
  <c r="E26"/>
  <c r="E25"/>
  <c r="E23"/>
  <c r="CV9" i="5"/>
  <c r="CV10"/>
  <c r="CV11"/>
  <c r="CV12"/>
  <c r="CV13"/>
  <c r="CV14"/>
  <c r="CV15"/>
  <c r="CV16"/>
  <c r="CV17"/>
  <c r="CV18"/>
  <c r="CV19"/>
  <c r="CV20"/>
  <c r="CV21"/>
  <c r="CV22"/>
  <c r="CV23"/>
  <c r="CV24"/>
  <c r="CV25"/>
  <c r="CV26"/>
  <c r="CV27"/>
  <c r="CV28"/>
  <c r="CV29"/>
  <c r="CV30"/>
  <c r="CV32"/>
  <c r="CV33"/>
  <c r="CV34"/>
  <c r="CV35"/>
  <c r="CV36"/>
  <c r="CV37"/>
  <c r="CV38"/>
  <c r="CV39"/>
  <c r="CV40"/>
  <c r="CV41"/>
  <c r="CV42"/>
  <c r="CV43"/>
  <c r="CV44"/>
  <c r="CV45"/>
  <c r="CV46"/>
  <c r="CV47"/>
  <c r="CV48"/>
  <c r="CV49"/>
  <c r="CV50"/>
  <c r="CV51"/>
  <c r="CV52"/>
  <c r="CV53"/>
  <c r="CV54"/>
  <c r="CV55"/>
  <c r="CV56"/>
  <c r="CV57"/>
  <c r="CV58"/>
  <c r="CV59"/>
  <c r="CV60"/>
  <c r="CV61"/>
  <c r="CV62"/>
  <c r="CV63"/>
  <c r="CV64"/>
  <c r="CV65"/>
  <c r="CV66"/>
  <c r="CV67"/>
  <c r="CV68"/>
  <c r="CV69"/>
  <c r="CV70"/>
  <c r="CV71"/>
  <c r="CV72"/>
  <c r="CV73"/>
  <c r="CV74"/>
  <c r="CV75"/>
  <c r="CV76"/>
  <c r="CV77"/>
  <c r="CV78"/>
  <c r="CV79"/>
  <c r="CV80"/>
  <c r="CV81"/>
  <c r="CV82"/>
  <c r="CV83"/>
  <c r="CV84"/>
  <c r="CV85"/>
  <c r="CV86"/>
  <c r="CV87"/>
  <c r="CV88"/>
  <c r="CV89"/>
  <c r="CV90"/>
  <c r="CV91"/>
  <c r="CV92"/>
  <c r="CV93"/>
  <c r="CV94"/>
  <c r="CV95"/>
  <c r="CU9"/>
  <c r="CU10"/>
  <c r="CU11"/>
  <c r="CU12"/>
  <c r="CU13"/>
  <c r="CU14"/>
  <c r="CU15"/>
  <c r="CU16"/>
  <c r="CU17"/>
  <c r="CU18"/>
  <c r="CU19"/>
  <c r="CU20"/>
  <c r="CU21"/>
  <c r="CU22"/>
  <c r="CU23"/>
  <c r="CU24"/>
  <c r="CU25"/>
  <c r="CU26"/>
  <c r="CU27"/>
  <c r="CU28"/>
  <c r="CU29"/>
  <c r="CU30"/>
  <c r="CU31"/>
  <c r="CU32"/>
  <c r="CU33"/>
  <c r="CU34"/>
  <c r="CU35"/>
  <c r="CU36"/>
  <c r="CU37"/>
  <c r="CU38"/>
  <c r="CU39"/>
  <c r="CU40"/>
  <c r="CU41"/>
  <c r="CU42"/>
  <c r="CU43"/>
  <c r="CU44"/>
  <c r="CU45"/>
  <c r="CU46"/>
  <c r="CU47"/>
  <c r="CU48"/>
  <c r="CU49"/>
  <c r="CU50"/>
  <c r="CU51"/>
  <c r="CU52"/>
  <c r="CU53"/>
  <c r="CU54"/>
  <c r="CU55"/>
  <c r="CU56"/>
  <c r="CU57"/>
  <c r="CU58"/>
  <c r="CU59"/>
  <c r="CU60"/>
  <c r="CU61"/>
  <c r="CU62"/>
  <c r="CU63"/>
  <c r="CU64"/>
  <c r="CU65"/>
  <c r="CU66"/>
  <c r="CU67"/>
  <c r="CU68"/>
  <c r="CU69"/>
  <c r="CU70"/>
  <c r="CU71"/>
  <c r="CU72"/>
  <c r="CU73"/>
  <c r="CU74"/>
  <c r="CU75"/>
  <c r="CU76"/>
  <c r="CU77"/>
  <c r="CU78"/>
  <c r="CU79"/>
  <c r="CU80"/>
  <c r="CU81"/>
  <c r="CU82"/>
  <c r="CU83"/>
  <c r="CU84"/>
  <c r="CU85"/>
  <c r="CU86"/>
  <c r="CU87"/>
  <c r="CU88"/>
  <c r="CU89"/>
  <c r="CU90"/>
  <c r="CU91"/>
  <c r="CU92"/>
  <c r="CU93"/>
  <c r="CU94"/>
  <c r="CU95"/>
  <c r="CV8"/>
  <c r="CU8"/>
  <c r="CR9"/>
  <c r="CR10"/>
  <c r="CR11"/>
  <c r="CR12"/>
  <c r="CR13"/>
  <c r="CR14"/>
  <c r="CR15"/>
  <c r="CR16"/>
  <c r="CR17"/>
  <c r="CR18"/>
  <c r="CR19"/>
  <c r="CR20"/>
  <c r="CR21"/>
  <c r="CR22"/>
  <c r="CR23"/>
  <c r="CR24"/>
  <c r="CR25"/>
  <c r="CR26"/>
  <c r="CR27"/>
  <c r="CR28"/>
  <c r="CR29"/>
  <c r="CR30"/>
  <c r="CR32"/>
  <c r="CR33"/>
  <c r="CR34"/>
  <c r="CR35"/>
  <c r="CR36"/>
  <c r="CR37"/>
  <c r="CR38"/>
  <c r="CR39"/>
  <c r="CR40"/>
  <c r="CR41"/>
  <c r="CR42"/>
  <c r="CR43"/>
  <c r="CR44"/>
  <c r="CR45"/>
  <c r="CR46"/>
  <c r="CR47"/>
  <c r="CR48"/>
  <c r="CR49"/>
  <c r="CR50"/>
  <c r="CR51"/>
  <c r="CR52"/>
  <c r="CR53"/>
  <c r="CR54"/>
  <c r="CR55"/>
  <c r="CR56"/>
  <c r="CR57"/>
  <c r="CR58"/>
  <c r="CR59"/>
  <c r="CR60"/>
  <c r="CR61"/>
  <c r="CR62"/>
  <c r="CR63"/>
  <c r="CR64"/>
  <c r="CR65"/>
  <c r="CR66"/>
  <c r="CR67"/>
  <c r="CR68"/>
  <c r="CR69"/>
  <c r="CR70"/>
  <c r="CR71"/>
  <c r="CR72"/>
  <c r="CR73"/>
  <c r="CR74"/>
  <c r="CR75"/>
  <c r="CR76"/>
  <c r="CR77"/>
  <c r="CR78"/>
  <c r="CR79"/>
  <c r="CR80"/>
  <c r="CR81"/>
  <c r="CR82"/>
  <c r="CR83"/>
  <c r="CR84"/>
  <c r="CR85"/>
  <c r="CR86"/>
  <c r="CR87"/>
  <c r="CR88"/>
  <c r="CR89"/>
  <c r="CR90"/>
  <c r="CR91"/>
  <c r="CR92"/>
  <c r="CR93"/>
  <c r="CR94"/>
  <c r="CR95"/>
  <c r="CR8"/>
  <c r="CQ39"/>
  <c r="CQ40"/>
  <c r="CQ41"/>
  <c r="CQ42"/>
  <c r="CQ43"/>
  <c r="CQ44"/>
  <c r="CQ45"/>
  <c r="CQ46"/>
  <c r="CQ47"/>
  <c r="CQ48"/>
  <c r="CQ49"/>
  <c r="CQ50"/>
  <c r="CQ51"/>
  <c r="CQ52"/>
  <c r="CQ53"/>
  <c r="CQ54"/>
  <c r="CQ55"/>
  <c r="CQ56"/>
  <c r="CQ57"/>
  <c r="CQ58"/>
  <c r="CQ59"/>
  <c r="CQ60"/>
  <c r="CQ61"/>
  <c r="CQ62"/>
  <c r="CQ63"/>
  <c r="CQ64"/>
  <c r="CQ65"/>
  <c r="CQ66"/>
  <c r="CQ67"/>
  <c r="CQ68"/>
  <c r="CQ69"/>
  <c r="CQ70"/>
  <c r="CQ71"/>
  <c r="CQ72"/>
  <c r="CQ73"/>
  <c r="CQ74"/>
  <c r="CQ75"/>
  <c r="CQ76"/>
  <c r="CQ77"/>
  <c r="CQ78"/>
  <c r="CQ79"/>
  <c r="CQ80"/>
  <c r="CQ81"/>
  <c r="CQ82"/>
  <c r="CQ83"/>
  <c r="CQ84"/>
  <c r="CQ85"/>
  <c r="CQ86"/>
  <c r="CQ87"/>
  <c r="CQ88"/>
  <c r="CQ89"/>
  <c r="CQ90"/>
  <c r="CQ91"/>
  <c r="CQ92"/>
  <c r="CQ93"/>
  <c r="CQ94"/>
  <c r="CQ95"/>
  <c r="CQ9"/>
  <c r="CQ10"/>
  <c r="CQ11"/>
  <c r="CQ12"/>
  <c r="CQ13"/>
  <c r="CQ14"/>
  <c r="CQ15"/>
  <c r="CQ16"/>
  <c r="CQ17"/>
  <c r="CQ18"/>
  <c r="CQ19"/>
  <c r="CQ20"/>
  <c r="CQ21"/>
  <c r="CQ22"/>
  <c r="CQ23"/>
  <c r="CQ24"/>
  <c r="CQ25"/>
  <c r="CQ26"/>
  <c r="CQ27"/>
  <c r="CQ28"/>
  <c r="CQ29"/>
  <c r="CQ30"/>
  <c r="CQ31"/>
  <c r="CQ32"/>
  <c r="CQ33"/>
  <c r="CQ34"/>
  <c r="CQ35"/>
  <c r="CQ36"/>
  <c r="CQ37"/>
  <c r="CQ38"/>
  <c r="CQ8"/>
  <c r="O31" i="7" l="1"/>
  <c r="V31"/>
  <c r="N31" i="4"/>
  <c r="N32"/>
  <c r="N33"/>
  <c r="CD9" i="6" l="1"/>
  <c r="CG9" s="1"/>
  <c r="CI9" s="1"/>
  <c r="CD10"/>
  <c r="CG10" s="1"/>
  <c r="CI10" s="1"/>
  <c r="CD11"/>
  <c r="CG11" s="1"/>
  <c r="CD12"/>
  <c r="CG12" s="1"/>
  <c r="CD13"/>
  <c r="CG13" s="1"/>
  <c r="CD14"/>
  <c r="CI14" s="1"/>
  <c r="CD15"/>
  <c r="CI15" s="1"/>
  <c r="CD16"/>
  <c r="CI16" s="1"/>
  <c r="CD17"/>
  <c r="CG17" s="1"/>
  <c r="CI17" s="1"/>
  <c r="CD18"/>
  <c r="CG18" s="1"/>
  <c r="CI18" s="1"/>
  <c r="CD19"/>
  <c r="CG19" s="1"/>
  <c r="CD20"/>
  <c r="CG20" s="1"/>
  <c r="CD21"/>
  <c r="CG21" s="1"/>
  <c r="CD22"/>
  <c r="CG22" s="1"/>
  <c r="CI22" s="1"/>
  <c r="CD23"/>
  <c r="CG23" s="1"/>
  <c r="CD24"/>
  <c r="CG24" s="1"/>
  <c r="CD25"/>
  <c r="CG25" s="1"/>
  <c r="CD26"/>
  <c r="CI26" s="1"/>
  <c r="CD27"/>
  <c r="CD28"/>
  <c r="CD29"/>
  <c r="CG29" s="1"/>
  <c r="CI29" s="1"/>
  <c r="CD30"/>
  <c r="CD31"/>
  <c r="CD32"/>
  <c r="CD33"/>
  <c r="CG33" s="1"/>
  <c r="CI33" s="1"/>
  <c r="CD34"/>
  <c r="CG34" s="1"/>
  <c r="CI34" s="1"/>
  <c r="CD35"/>
  <c r="CG35" s="1"/>
  <c r="CD36"/>
  <c r="CG36" s="1"/>
  <c r="CD37"/>
  <c r="CG37" s="1"/>
  <c r="CD38"/>
  <c r="CD39"/>
  <c r="CG39" s="1"/>
  <c r="CD40"/>
  <c r="CG40" s="1"/>
  <c r="CD41"/>
  <c r="CG41" s="1"/>
  <c r="CI41" s="1"/>
  <c r="CD42"/>
  <c r="CG42" s="1"/>
  <c r="CI42" s="1"/>
  <c r="CD43"/>
  <c r="CD44"/>
  <c r="CG44" s="1"/>
  <c r="CD45"/>
  <c r="CG45" s="1"/>
  <c r="CD46"/>
  <c r="CG46" s="1"/>
  <c r="CI46" s="1"/>
  <c r="CD47"/>
  <c r="CG47" s="1"/>
  <c r="CD48"/>
  <c r="CG48" s="1"/>
  <c r="CD49"/>
  <c r="CG49" s="1"/>
  <c r="CD50"/>
  <c r="CD51"/>
  <c r="CD52"/>
  <c r="CI52" s="1"/>
  <c r="CD53"/>
  <c r="CI53" s="1"/>
  <c r="CD54"/>
  <c r="CI54" s="1"/>
  <c r="CD55"/>
  <c r="CI55" s="1"/>
  <c r="CD56"/>
  <c r="CG56" s="1"/>
  <c r="CI56" s="1"/>
  <c r="CD57"/>
  <c r="CI57" s="1"/>
  <c r="CD58"/>
  <c r="CG58" s="1"/>
  <c r="CD59"/>
  <c r="CG59" s="1"/>
  <c r="CD60"/>
  <c r="CG60" s="1"/>
  <c r="CD61"/>
  <c r="CG61" s="1"/>
  <c r="CD62"/>
  <c r="CI62" s="1"/>
  <c r="CD63"/>
  <c r="CI63" s="1"/>
  <c r="CD64"/>
  <c r="CI64" s="1"/>
  <c r="CD65"/>
  <c r="CG65" s="1"/>
  <c r="CD66"/>
  <c r="CI66" s="1"/>
  <c r="CD67"/>
  <c r="CI67" s="1"/>
  <c r="CD68"/>
  <c r="CI68" s="1"/>
  <c r="CD69"/>
  <c r="CG69" s="1"/>
  <c r="CD70"/>
  <c r="CG70" s="1"/>
  <c r="CD71"/>
  <c r="CG71" s="1"/>
  <c r="CD72"/>
  <c r="CG72" s="1"/>
  <c r="CD73"/>
  <c r="CG73" s="1"/>
  <c r="CD74"/>
  <c r="CI74" s="1"/>
  <c r="CD75"/>
  <c r="CG75" s="1"/>
  <c r="CD76"/>
  <c r="CI76" s="1"/>
  <c r="CD77"/>
  <c r="CG77" s="1"/>
  <c r="CI77" s="1"/>
  <c r="CD78"/>
  <c r="CI78" s="1"/>
  <c r="CD79"/>
  <c r="CG79" s="1"/>
  <c r="CD80"/>
  <c r="CG80" s="1"/>
  <c r="CD81"/>
  <c r="CI81" s="1"/>
  <c r="CD82"/>
  <c r="CG82" s="1"/>
  <c r="CD83"/>
  <c r="CG83" s="1"/>
  <c r="CD84"/>
  <c r="CG84" s="1"/>
  <c r="CD85"/>
  <c r="CG85" s="1"/>
  <c r="CD86"/>
  <c r="CD87"/>
  <c r="CI87" s="1"/>
  <c r="CD88"/>
  <c r="CI88" s="1"/>
  <c r="CD89"/>
  <c r="CI89" s="1"/>
  <c r="CD90"/>
  <c r="CG90" s="1"/>
  <c r="CD91"/>
  <c r="CI91" s="1"/>
  <c r="CD92"/>
  <c r="CI92" s="1"/>
  <c r="CD93"/>
  <c r="CI93" s="1"/>
  <c r="CD94"/>
  <c r="CG94" s="1"/>
  <c r="CD95"/>
  <c r="CG95" s="1"/>
  <c r="BV9"/>
  <c r="BV10"/>
  <c r="BV11"/>
  <c r="BV12"/>
  <c r="BV13"/>
  <c r="BY13" s="1"/>
  <c r="CA13" s="1"/>
  <c r="BV14"/>
  <c r="BY14" s="1"/>
  <c r="BV15"/>
  <c r="BY15" s="1"/>
  <c r="BV16"/>
  <c r="BY16" s="1"/>
  <c r="BV17"/>
  <c r="BV18"/>
  <c r="BV19"/>
  <c r="BY19" s="1"/>
  <c r="BV20"/>
  <c r="BY20" s="1"/>
  <c r="CA20" s="1"/>
  <c r="BV21"/>
  <c r="BY21" s="1"/>
  <c r="BV22"/>
  <c r="BV23"/>
  <c r="BY23" s="1"/>
  <c r="BV24"/>
  <c r="BV25"/>
  <c r="BY25" s="1"/>
  <c r="CA25" s="1"/>
  <c r="BV26"/>
  <c r="BY26" s="1"/>
  <c r="BV27"/>
  <c r="BY27" s="1"/>
  <c r="BV28"/>
  <c r="BY28" s="1"/>
  <c r="BV29"/>
  <c r="BV30"/>
  <c r="BY30" s="1"/>
  <c r="BV31"/>
  <c r="BY31" s="1"/>
  <c r="BV32"/>
  <c r="BY32" s="1"/>
  <c r="CA32" s="1"/>
  <c r="BV33"/>
  <c r="BY33" s="1"/>
  <c r="BV34"/>
  <c r="BY34" s="1"/>
  <c r="BV35"/>
  <c r="BY35" s="1"/>
  <c r="BV36"/>
  <c r="BY36" s="1"/>
  <c r="CA36" s="1"/>
  <c r="BV37"/>
  <c r="BY37" s="1"/>
  <c r="CA37" s="1"/>
  <c r="BV38"/>
  <c r="BY38" s="1"/>
  <c r="BV39"/>
  <c r="BY39" s="1"/>
  <c r="BV40"/>
  <c r="BY40" s="1"/>
  <c r="BV41"/>
  <c r="BV42"/>
  <c r="BV43"/>
  <c r="BV44"/>
  <c r="BY44" s="1"/>
  <c r="CA44" s="1"/>
  <c r="BV45"/>
  <c r="BV46"/>
  <c r="BV47"/>
  <c r="BV48"/>
  <c r="BY48" s="1"/>
  <c r="CA48" s="1"/>
  <c r="BV49"/>
  <c r="BY49" s="1"/>
  <c r="CA49" s="1"/>
  <c r="BV50"/>
  <c r="BY50" s="1"/>
  <c r="BV51"/>
  <c r="BY51" s="1"/>
  <c r="BV52"/>
  <c r="BY52" s="1"/>
  <c r="BV53"/>
  <c r="CA53" s="1"/>
  <c r="BV54"/>
  <c r="BV55"/>
  <c r="BV56"/>
  <c r="BY56" s="1"/>
  <c r="CA56" s="1"/>
  <c r="BV57"/>
  <c r="BV58"/>
  <c r="CA58" s="1"/>
  <c r="BV59"/>
  <c r="BY59" s="1"/>
  <c r="BV60"/>
  <c r="BY60" s="1"/>
  <c r="BV61"/>
  <c r="BY61" s="1"/>
  <c r="CA61" s="1"/>
  <c r="BV62"/>
  <c r="BY62" s="1"/>
  <c r="BV63"/>
  <c r="BY63" s="1"/>
  <c r="BV64"/>
  <c r="BY64" s="1"/>
  <c r="BV65"/>
  <c r="CA65" s="1"/>
  <c r="BV66"/>
  <c r="BY66" s="1"/>
  <c r="BV67"/>
  <c r="BY67" s="1"/>
  <c r="BV68"/>
  <c r="CA68" s="1"/>
  <c r="BV69"/>
  <c r="CA69" s="1"/>
  <c r="BV70"/>
  <c r="BV71"/>
  <c r="CA71" s="1"/>
  <c r="BV72"/>
  <c r="BV73"/>
  <c r="BY73" s="1"/>
  <c r="BV74"/>
  <c r="BY74" s="1"/>
  <c r="BV75"/>
  <c r="BY75" s="1"/>
  <c r="BV76"/>
  <c r="BY76" s="1"/>
  <c r="BV77"/>
  <c r="CA77" s="1"/>
  <c r="BV78"/>
  <c r="CA78" s="1"/>
  <c r="BV79"/>
  <c r="CA79" s="1"/>
  <c r="BV80"/>
  <c r="BY80" s="1"/>
  <c r="CA80" s="1"/>
  <c r="BV81"/>
  <c r="BY81" s="1"/>
  <c r="BV82"/>
  <c r="BY82" s="1"/>
  <c r="BV83"/>
  <c r="CA83" s="1"/>
  <c r="BV84"/>
  <c r="BY84" s="1"/>
  <c r="BV85"/>
  <c r="BY85" s="1"/>
  <c r="CA85" s="1"/>
  <c r="BV86"/>
  <c r="BY86" s="1"/>
  <c r="BV87"/>
  <c r="BY87" s="1"/>
  <c r="BV88"/>
  <c r="BY88" s="1"/>
  <c r="BV89"/>
  <c r="CA89" s="1"/>
  <c r="BV90"/>
  <c r="CA90" s="1"/>
  <c r="BV91"/>
  <c r="CA91" s="1"/>
  <c r="BV92"/>
  <c r="BY92" s="1"/>
  <c r="BV93"/>
  <c r="BY93" s="1"/>
  <c r="BV94"/>
  <c r="BY94" s="1"/>
  <c r="BV95"/>
  <c r="CA95" s="1"/>
  <c r="BN9"/>
  <c r="BQ9" s="1"/>
  <c r="BN10"/>
  <c r="BN11"/>
  <c r="BQ11" s="1"/>
  <c r="BS11" s="1"/>
  <c r="BN12"/>
  <c r="BQ12" s="1"/>
  <c r="BN13"/>
  <c r="BQ13" s="1"/>
  <c r="BN14"/>
  <c r="BQ14" s="1"/>
  <c r="BN15"/>
  <c r="BQ15" s="1"/>
  <c r="BS15" s="1"/>
  <c r="BN16"/>
  <c r="BQ16" s="1"/>
  <c r="BS16" s="1"/>
  <c r="BN17"/>
  <c r="BQ17" s="1"/>
  <c r="BN18"/>
  <c r="BQ18" s="1"/>
  <c r="BN19"/>
  <c r="BQ19" s="1"/>
  <c r="BN20"/>
  <c r="BN21"/>
  <c r="BQ21" s="1"/>
  <c r="BN22"/>
  <c r="BQ22" s="1"/>
  <c r="BN23"/>
  <c r="BQ23" s="1"/>
  <c r="BS23" s="1"/>
  <c r="BN24"/>
  <c r="BQ24" s="1"/>
  <c r="BN25"/>
  <c r="BQ25" s="1"/>
  <c r="BN26"/>
  <c r="BN27"/>
  <c r="BN28"/>
  <c r="BQ28" s="1"/>
  <c r="BS28" s="1"/>
  <c r="BN29"/>
  <c r="BQ29" s="1"/>
  <c r="BN30"/>
  <c r="BQ30" s="1"/>
  <c r="BN31"/>
  <c r="BQ31" s="1"/>
  <c r="BN32"/>
  <c r="BN33"/>
  <c r="BN34"/>
  <c r="BQ34" s="1"/>
  <c r="BN35"/>
  <c r="BQ35" s="1"/>
  <c r="BS35" s="1"/>
  <c r="BN36"/>
  <c r="BN37"/>
  <c r="BN38"/>
  <c r="BN39"/>
  <c r="BQ39" s="1"/>
  <c r="BS39" s="1"/>
  <c r="BN40"/>
  <c r="BQ40" s="1"/>
  <c r="BS40" s="1"/>
  <c r="BN41"/>
  <c r="BQ41" s="1"/>
  <c r="BN42"/>
  <c r="BQ42" s="1"/>
  <c r="BN43"/>
  <c r="BQ43" s="1"/>
  <c r="BN44"/>
  <c r="BN45"/>
  <c r="BN46"/>
  <c r="BN47"/>
  <c r="BQ47" s="1"/>
  <c r="BS47" s="1"/>
  <c r="BN48"/>
  <c r="BQ48" s="1"/>
  <c r="BN49"/>
  <c r="BQ49" s="1"/>
  <c r="BN50"/>
  <c r="BQ50" s="1"/>
  <c r="BN51"/>
  <c r="BQ51" s="1"/>
  <c r="BN52"/>
  <c r="BQ52" s="1"/>
  <c r="BS52" s="1"/>
  <c r="BN53"/>
  <c r="BQ53" s="1"/>
  <c r="BN54"/>
  <c r="BQ54" s="1"/>
  <c r="BN55"/>
  <c r="BQ55" s="1"/>
  <c r="BN56"/>
  <c r="BN57"/>
  <c r="BQ57" s="1"/>
  <c r="BN58"/>
  <c r="BN59"/>
  <c r="BS59" s="1"/>
  <c r="BN60"/>
  <c r="BQ60" s="1"/>
  <c r="BN61"/>
  <c r="BQ61" s="1"/>
  <c r="BS61" s="1"/>
  <c r="BN62"/>
  <c r="BS62" s="1"/>
  <c r="BN63"/>
  <c r="BQ63" s="1"/>
  <c r="BS63" s="1"/>
  <c r="BN64"/>
  <c r="BQ64" s="1"/>
  <c r="BS64" s="1"/>
  <c r="BN65"/>
  <c r="BQ65" s="1"/>
  <c r="BN66"/>
  <c r="BQ66" s="1"/>
  <c r="BN67"/>
  <c r="BQ67" s="1"/>
  <c r="BN68"/>
  <c r="BS68" s="1"/>
  <c r="BN69"/>
  <c r="BS69" s="1"/>
  <c r="BN70"/>
  <c r="BN71"/>
  <c r="BS71" s="1"/>
  <c r="BN72"/>
  <c r="BQ72" s="1"/>
  <c r="BS72" s="1"/>
  <c r="BN73"/>
  <c r="BN74"/>
  <c r="BN75"/>
  <c r="BQ75" s="1"/>
  <c r="BS75" s="1"/>
  <c r="BN76"/>
  <c r="BQ76" s="1"/>
  <c r="BN77"/>
  <c r="BQ77" s="1"/>
  <c r="BN78"/>
  <c r="BQ78" s="1"/>
  <c r="BN79"/>
  <c r="BQ79" s="1"/>
  <c r="BN80"/>
  <c r="BS80" s="1"/>
  <c r="BN81"/>
  <c r="BS81" s="1"/>
  <c r="BN82"/>
  <c r="BS82" s="1"/>
  <c r="BN83"/>
  <c r="BS83" s="1"/>
  <c r="BN84"/>
  <c r="BQ84" s="1"/>
  <c r="BN85"/>
  <c r="BS85" s="1"/>
  <c r="BN86"/>
  <c r="BQ86" s="1"/>
  <c r="BN87"/>
  <c r="BQ87" s="1"/>
  <c r="BN88"/>
  <c r="BQ88" s="1"/>
  <c r="BN89"/>
  <c r="BQ89" s="1"/>
  <c r="BN90"/>
  <c r="BQ90" s="1"/>
  <c r="BN91"/>
  <c r="BQ91" s="1"/>
  <c r="BN92"/>
  <c r="BS92" s="1"/>
  <c r="BN93"/>
  <c r="BS93" s="1"/>
  <c r="BN94"/>
  <c r="BS94" s="1"/>
  <c r="BN95"/>
  <c r="BQ95" s="1"/>
  <c r="BF9"/>
  <c r="BI9" s="1"/>
  <c r="BF10"/>
  <c r="BI10" s="1"/>
  <c r="BF11"/>
  <c r="BK11" s="1"/>
  <c r="BF12"/>
  <c r="BI12" s="1"/>
  <c r="BF13"/>
  <c r="BF14"/>
  <c r="BI14" s="1"/>
  <c r="BK14" s="1"/>
  <c r="BF15"/>
  <c r="BI15" s="1"/>
  <c r="BF16"/>
  <c r="BI16" s="1"/>
  <c r="BF17"/>
  <c r="BF18"/>
  <c r="BI18" s="1"/>
  <c r="BK18" s="1"/>
  <c r="BF19"/>
  <c r="BI19" s="1"/>
  <c r="BK19" s="1"/>
  <c r="BF20"/>
  <c r="BI20" s="1"/>
  <c r="BF21"/>
  <c r="BI21" s="1"/>
  <c r="BF22"/>
  <c r="BI22" s="1"/>
  <c r="BF23"/>
  <c r="BF24"/>
  <c r="BI24" s="1"/>
  <c r="BF25"/>
  <c r="BI25" s="1"/>
  <c r="BF26"/>
  <c r="BI26" s="1"/>
  <c r="BK26" s="1"/>
  <c r="BF27"/>
  <c r="BF28"/>
  <c r="BF29"/>
  <c r="BF30"/>
  <c r="BI30" s="1"/>
  <c r="BK30" s="1"/>
  <c r="BF31"/>
  <c r="BI31" s="1"/>
  <c r="BK31" s="1"/>
  <c r="BF32"/>
  <c r="BI32" s="1"/>
  <c r="BF33"/>
  <c r="BI33" s="1"/>
  <c r="BF34"/>
  <c r="BI34" s="1"/>
  <c r="BF35"/>
  <c r="BK35" s="1"/>
  <c r="BF36"/>
  <c r="BI36" s="1"/>
  <c r="BF37"/>
  <c r="BF38"/>
  <c r="BK38" s="1"/>
  <c r="BF39"/>
  <c r="BF40"/>
  <c r="BF41"/>
  <c r="BF42"/>
  <c r="BI42" s="1"/>
  <c r="BK42" s="1"/>
  <c r="BF43"/>
  <c r="BI43" s="1"/>
  <c r="BK43" s="1"/>
  <c r="BF44"/>
  <c r="BI44" s="1"/>
  <c r="BF45"/>
  <c r="BI45" s="1"/>
  <c r="BF46"/>
  <c r="BI46" s="1"/>
  <c r="BF47"/>
  <c r="BF48"/>
  <c r="BI48" s="1"/>
  <c r="BF49"/>
  <c r="BI49" s="1"/>
  <c r="BF50"/>
  <c r="BI50" s="1"/>
  <c r="BK50" s="1"/>
  <c r="BF51"/>
  <c r="BI51" s="1"/>
  <c r="BF52"/>
  <c r="BI52" s="1"/>
  <c r="BF53"/>
  <c r="BI53" s="1"/>
  <c r="BF54"/>
  <c r="BI54" s="1"/>
  <c r="BF55"/>
  <c r="BI55" s="1"/>
  <c r="BK55" s="1"/>
  <c r="BF56"/>
  <c r="BI56" s="1"/>
  <c r="BF57"/>
  <c r="BI57" s="1"/>
  <c r="BF58"/>
  <c r="BI58" s="1"/>
  <c r="BF59"/>
  <c r="BF60"/>
  <c r="BK60" s="1"/>
  <c r="BF61"/>
  <c r="BF62"/>
  <c r="BI62" s="1"/>
  <c r="BF63"/>
  <c r="BI63" s="1"/>
  <c r="BF64"/>
  <c r="BI64" s="1"/>
  <c r="BK64" s="1"/>
  <c r="BF65"/>
  <c r="BF66"/>
  <c r="BI66" s="1"/>
  <c r="BK66" s="1"/>
  <c r="BF67"/>
  <c r="BI67" s="1"/>
  <c r="BF68"/>
  <c r="BI68" s="1"/>
  <c r="BF69"/>
  <c r="BI69" s="1"/>
  <c r="BF70"/>
  <c r="BI70" s="1"/>
  <c r="BF71"/>
  <c r="BK71" s="1"/>
  <c r="BF72"/>
  <c r="BI72" s="1"/>
  <c r="BF73"/>
  <c r="BI73" s="1"/>
  <c r="BF74"/>
  <c r="BI74" s="1"/>
  <c r="BK74" s="1"/>
  <c r="BF75"/>
  <c r="BF76"/>
  <c r="BK76" s="1"/>
  <c r="BF77"/>
  <c r="BI77" s="1"/>
  <c r="BF78"/>
  <c r="BI78" s="1"/>
  <c r="BK78" s="1"/>
  <c r="BF79"/>
  <c r="BI79" s="1"/>
  <c r="BK79" s="1"/>
  <c r="BF80"/>
  <c r="BI80" s="1"/>
  <c r="BF81"/>
  <c r="BI81" s="1"/>
  <c r="BF82"/>
  <c r="BI82" s="1"/>
  <c r="BF83"/>
  <c r="BK83" s="1"/>
  <c r="BF84"/>
  <c r="BI84" s="1"/>
  <c r="BF85"/>
  <c r="BF86"/>
  <c r="BI86" s="1"/>
  <c r="BF87"/>
  <c r="BI87" s="1"/>
  <c r="BF88"/>
  <c r="BI88" s="1"/>
  <c r="BF89"/>
  <c r="BK89" s="1"/>
  <c r="BF90"/>
  <c r="BI90" s="1"/>
  <c r="BF91"/>
  <c r="BI91" s="1"/>
  <c r="BF92"/>
  <c r="BI92" s="1"/>
  <c r="BF93"/>
  <c r="BI93" s="1"/>
  <c r="BF94"/>
  <c r="BI94" s="1"/>
  <c r="BF95"/>
  <c r="BK95" s="1"/>
  <c r="AY9"/>
  <c r="BA9" s="1"/>
  <c r="BC9" s="1"/>
  <c r="AY10"/>
  <c r="BA10" s="1"/>
  <c r="BC10" s="1"/>
  <c r="AY11"/>
  <c r="BA11" s="1"/>
  <c r="AY12"/>
  <c r="BA12" s="1"/>
  <c r="AY13"/>
  <c r="BA13" s="1"/>
  <c r="AY14"/>
  <c r="AY15"/>
  <c r="AY16"/>
  <c r="AY17"/>
  <c r="BA17" s="1"/>
  <c r="BC17" s="1"/>
  <c r="AY18"/>
  <c r="BA18" s="1"/>
  <c r="BC18" s="1"/>
  <c r="AY19"/>
  <c r="AY20"/>
  <c r="AY21"/>
  <c r="BA21" s="1"/>
  <c r="BC21" s="1"/>
  <c r="AY22"/>
  <c r="BA22" s="1"/>
  <c r="BC22" s="1"/>
  <c r="AY23"/>
  <c r="BA23" s="1"/>
  <c r="AY24"/>
  <c r="BA24" s="1"/>
  <c r="AY25"/>
  <c r="BA25" s="1"/>
  <c r="AY26"/>
  <c r="AY27"/>
  <c r="BA27" s="1"/>
  <c r="AY28"/>
  <c r="BA28" s="1"/>
  <c r="AY29"/>
  <c r="BA29" s="1"/>
  <c r="BC29" s="1"/>
  <c r="AY30"/>
  <c r="BA30" s="1"/>
  <c r="BC30" s="1"/>
  <c r="AY31"/>
  <c r="AY32"/>
  <c r="BA32" s="1"/>
  <c r="BC32" s="1"/>
  <c r="AY33"/>
  <c r="BA33" s="1"/>
  <c r="BC33" s="1"/>
  <c r="AY34"/>
  <c r="BA34" s="1"/>
  <c r="BC34" s="1"/>
  <c r="AY35"/>
  <c r="BA35" s="1"/>
  <c r="AY36"/>
  <c r="BA36" s="1"/>
  <c r="AY37"/>
  <c r="BA37" s="1"/>
  <c r="AY38"/>
  <c r="AY39"/>
  <c r="AY40"/>
  <c r="AY41"/>
  <c r="BA41" s="1"/>
  <c r="BC41" s="1"/>
  <c r="AY42"/>
  <c r="BA42" s="1"/>
  <c r="BC42" s="1"/>
  <c r="AY43"/>
  <c r="AY44"/>
  <c r="BA44" s="1"/>
  <c r="BC44" s="1"/>
  <c r="AY45"/>
  <c r="BA45" s="1"/>
  <c r="BC45" s="1"/>
  <c r="AY46"/>
  <c r="BA46" s="1"/>
  <c r="BC46" s="1"/>
  <c r="AY47"/>
  <c r="BA47" s="1"/>
  <c r="AY48"/>
  <c r="BA48" s="1"/>
  <c r="AY49"/>
  <c r="BA49" s="1"/>
  <c r="AY50"/>
  <c r="AY51"/>
  <c r="BA51" s="1"/>
  <c r="AY52"/>
  <c r="BA52" s="1"/>
  <c r="AY53"/>
  <c r="BA53" s="1"/>
  <c r="AY54"/>
  <c r="BA54" s="1"/>
  <c r="AY55"/>
  <c r="AY56"/>
  <c r="BA56" s="1"/>
  <c r="BC56" s="1"/>
  <c r="AY57"/>
  <c r="BA57" s="1"/>
  <c r="BC57" s="1"/>
  <c r="AY58"/>
  <c r="BA58" s="1"/>
  <c r="BC58" s="1"/>
  <c r="AY59"/>
  <c r="BA59" s="1"/>
  <c r="AY60"/>
  <c r="BA60" s="1"/>
  <c r="AY61"/>
  <c r="BA61" s="1"/>
  <c r="AY62"/>
  <c r="AY63"/>
  <c r="AY64"/>
  <c r="AY65"/>
  <c r="BA65" s="1"/>
  <c r="AY66"/>
  <c r="AY67"/>
  <c r="BA67" s="1"/>
  <c r="BC67" s="1"/>
  <c r="AY68"/>
  <c r="AY69"/>
  <c r="BA69" s="1"/>
  <c r="BC69" s="1"/>
  <c r="AY70"/>
  <c r="BA70" s="1"/>
  <c r="AY71"/>
  <c r="BA71" s="1"/>
  <c r="AY72"/>
  <c r="BA72" s="1"/>
  <c r="AY73"/>
  <c r="BA73" s="1"/>
  <c r="AY74"/>
  <c r="AY75"/>
  <c r="BC75" s="1"/>
  <c r="AY76"/>
  <c r="BA76" s="1"/>
  <c r="AY77"/>
  <c r="BC77" s="1"/>
  <c r="AY78"/>
  <c r="BC78" s="1"/>
  <c r="AY79"/>
  <c r="BC79" s="1"/>
  <c r="AY80"/>
  <c r="BA80" s="1"/>
  <c r="BC80" s="1"/>
  <c r="AY81"/>
  <c r="BA81" s="1"/>
  <c r="BC81" s="1"/>
  <c r="AY82"/>
  <c r="BA82" s="1"/>
  <c r="AY83"/>
  <c r="BA83" s="1"/>
  <c r="AY84"/>
  <c r="BA84" s="1"/>
  <c r="AY85"/>
  <c r="BA85" s="1"/>
  <c r="AY86"/>
  <c r="AY87"/>
  <c r="BC87" s="1"/>
  <c r="AY88"/>
  <c r="BC88" s="1"/>
  <c r="AY89"/>
  <c r="BA89" s="1"/>
  <c r="AY90"/>
  <c r="BA90" s="1"/>
  <c r="AY91"/>
  <c r="BC91" s="1"/>
  <c r="AY92"/>
  <c r="BC92" s="1"/>
  <c r="AY93"/>
  <c r="BA93" s="1"/>
  <c r="AY94"/>
  <c r="BA94" s="1"/>
  <c r="AY95"/>
  <c r="BA95" s="1"/>
  <c r="AV53"/>
  <c r="AV71"/>
  <c r="AV87"/>
  <c r="AV88"/>
  <c r="AV89"/>
  <c r="AV90"/>
  <c r="AV91"/>
  <c r="AV92"/>
  <c r="AV93"/>
  <c r="AV94"/>
  <c r="AV95"/>
  <c r="AT9"/>
  <c r="AV9" s="1"/>
  <c r="AT10"/>
  <c r="AV10" s="1"/>
  <c r="AT11"/>
  <c r="AV11" s="1"/>
  <c r="AT12"/>
  <c r="AV12" s="1"/>
  <c r="AT13"/>
  <c r="AV13" s="1"/>
  <c r="AT14"/>
  <c r="AV14" s="1"/>
  <c r="AT15"/>
  <c r="AV15" s="1"/>
  <c r="AT16"/>
  <c r="AV16" s="1"/>
  <c r="AT17"/>
  <c r="AV17" s="1"/>
  <c r="AT18"/>
  <c r="AV18" s="1"/>
  <c r="AT19"/>
  <c r="AV19" s="1"/>
  <c r="AT20"/>
  <c r="AV20" s="1"/>
  <c r="AT21"/>
  <c r="AV21" s="1"/>
  <c r="AT22"/>
  <c r="AV22" s="1"/>
  <c r="AT23"/>
  <c r="AV23" s="1"/>
  <c r="AT24"/>
  <c r="AV24" s="1"/>
  <c r="AT25"/>
  <c r="AV25" s="1"/>
  <c r="AT26"/>
  <c r="AV26" s="1"/>
  <c r="AT27"/>
  <c r="AV27" s="1"/>
  <c r="AT28"/>
  <c r="AV28" s="1"/>
  <c r="AT29"/>
  <c r="AV29" s="1"/>
  <c r="AT30"/>
  <c r="AV30" s="1"/>
  <c r="AT31"/>
  <c r="AV31" s="1"/>
  <c r="AT32"/>
  <c r="AV32" s="1"/>
  <c r="AT33"/>
  <c r="AV33" s="1"/>
  <c r="AT34"/>
  <c r="AV34" s="1"/>
  <c r="AT35"/>
  <c r="AV35" s="1"/>
  <c r="AT36"/>
  <c r="AV36" s="1"/>
  <c r="AT37"/>
  <c r="AV37" s="1"/>
  <c r="AT38"/>
  <c r="AV38" s="1"/>
  <c r="AT39"/>
  <c r="AV39" s="1"/>
  <c r="AT40"/>
  <c r="AV40" s="1"/>
  <c r="AT41"/>
  <c r="AV41" s="1"/>
  <c r="AT42"/>
  <c r="AV42" s="1"/>
  <c r="AT43"/>
  <c r="AV43" s="1"/>
  <c r="AT44"/>
  <c r="AV44" s="1"/>
  <c r="AT45"/>
  <c r="AV45" s="1"/>
  <c r="AT46"/>
  <c r="AV46" s="1"/>
  <c r="AT47"/>
  <c r="AV47" s="1"/>
  <c r="AT48"/>
  <c r="AV48" s="1"/>
  <c r="AT49"/>
  <c r="AV49" s="1"/>
  <c r="AT50"/>
  <c r="AV50" s="1"/>
  <c r="AT51"/>
  <c r="AV51" s="1"/>
  <c r="AT52"/>
  <c r="AV52" s="1"/>
  <c r="AT53"/>
  <c r="AT54"/>
  <c r="AV54" s="1"/>
  <c r="AT55"/>
  <c r="AV55" s="1"/>
  <c r="AT56"/>
  <c r="AV56" s="1"/>
  <c r="AT57"/>
  <c r="AV57" s="1"/>
  <c r="AT58"/>
  <c r="AV58" s="1"/>
  <c r="AT59"/>
  <c r="AV59" s="1"/>
  <c r="AT60"/>
  <c r="AV60" s="1"/>
  <c r="AT61"/>
  <c r="AV61" s="1"/>
  <c r="AT62"/>
  <c r="AV62" s="1"/>
  <c r="AT63"/>
  <c r="AV63" s="1"/>
  <c r="AT64"/>
  <c r="AV64" s="1"/>
  <c r="AT65"/>
  <c r="AV65" s="1"/>
  <c r="AT66"/>
  <c r="AV66" s="1"/>
  <c r="AT67"/>
  <c r="AV67" s="1"/>
  <c r="AT68"/>
  <c r="AV68" s="1"/>
  <c r="AT69"/>
  <c r="AV69" s="1"/>
  <c r="AT70"/>
  <c r="AV70" s="1"/>
  <c r="AT71"/>
  <c r="AT72"/>
  <c r="AV72" s="1"/>
  <c r="AT73"/>
  <c r="AV73" s="1"/>
  <c r="AT74"/>
  <c r="AV74" s="1"/>
  <c r="AT75"/>
  <c r="AV75" s="1"/>
  <c r="AT76"/>
  <c r="AV76" s="1"/>
  <c r="AT77"/>
  <c r="AV77" s="1"/>
  <c r="AT78"/>
  <c r="AV78" s="1"/>
  <c r="AT79"/>
  <c r="AV79" s="1"/>
  <c r="AT80"/>
  <c r="AV80" s="1"/>
  <c r="AT81"/>
  <c r="AV81" s="1"/>
  <c r="AT82"/>
  <c r="AV82" s="1"/>
  <c r="AT83"/>
  <c r="AV83" s="1"/>
  <c r="AT84"/>
  <c r="AV84" s="1"/>
  <c r="AT85"/>
  <c r="AV85" s="1"/>
  <c r="AT86"/>
  <c r="AV86" s="1"/>
  <c r="AT87"/>
  <c r="AT88"/>
  <c r="AT89"/>
  <c r="AT90"/>
  <c r="AT91"/>
  <c r="AT92"/>
  <c r="AT93"/>
  <c r="AT94"/>
  <c r="AT95"/>
  <c r="AL9"/>
  <c r="AN9" s="1"/>
  <c r="AL10"/>
  <c r="AL11"/>
  <c r="AN11" s="1"/>
  <c r="AP11" s="1"/>
  <c r="AL12"/>
  <c r="AN12" s="1"/>
  <c r="AP12" s="1"/>
  <c r="AL13"/>
  <c r="AN13" s="1"/>
  <c r="AP13" s="1"/>
  <c r="AL14"/>
  <c r="AN14" s="1"/>
  <c r="AP14" s="1"/>
  <c r="AL15"/>
  <c r="AN15" s="1"/>
  <c r="AL16"/>
  <c r="AN16" s="1"/>
  <c r="AL17"/>
  <c r="AL18"/>
  <c r="AN18" s="1"/>
  <c r="AL19"/>
  <c r="AN19" s="1"/>
  <c r="AL20"/>
  <c r="AN20" s="1"/>
  <c r="AL21"/>
  <c r="AN21" s="1"/>
  <c r="AL22"/>
  <c r="AN22" s="1"/>
  <c r="AL23"/>
  <c r="AN23" s="1"/>
  <c r="AP23" s="1"/>
  <c r="AL24"/>
  <c r="AN24" s="1"/>
  <c r="AP24" s="1"/>
  <c r="AL25"/>
  <c r="AN25" s="1"/>
  <c r="AP25" s="1"/>
  <c r="AL26"/>
  <c r="AN26" s="1"/>
  <c r="AP26" s="1"/>
  <c r="AL27"/>
  <c r="AN27" s="1"/>
  <c r="AL28"/>
  <c r="AN28" s="1"/>
  <c r="AL29"/>
  <c r="AL30"/>
  <c r="AN30" s="1"/>
  <c r="AL31"/>
  <c r="AN31" s="1"/>
  <c r="AL32"/>
  <c r="AN32" s="1"/>
  <c r="AL33"/>
  <c r="AN33" s="1"/>
  <c r="AL34"/>
  <c r="AN34" s="1"/>
  <c r="AL35"/>
  <c r="AN35" s="1"/>
  <c r="AP35" s="1"/>
  <c r="AL36"/>
  <c r="AN36" s="1"/>
  <c r="AP36" s="1"/>
  <c r="AL37"/>
  <c r="AN37" s="1"/>
  <c r="AP37" s="1"/>
  <c r="AL38"/>
  <c r="AN38" s="1"/>
  <c r="AP38" s="1"/>
  <c r="AL39"/>
  <c r="AN39" s="1"/>
  <c r="AL40"/>
  <c r="AN40" s="1"/>
  <c r="AL41"/>
  <c r="AL42"/>
  <c r="AN42" s="1"/>
  <c r="AL43"/>
  <c r="AL44"/>
  <c r="AN44" s="1"/>
  <c r="AL45"/>
  <c r="AN45" s="1"/>
  <c r="AL46"/>
  <c r="AL47"/>
  <c r="AN47" s="1"/>
  <c r="AP47" s="1"/>
  <c r="AL48"/>
  <c r="AN48" s="1"/>
  <c r="AP48" s="1"/>
  <c r="AL49"/>
  <c r="AN49" s="1"/>
  <c r="AP49" s="1"/>
  <c r="AL50"/>
  <c r="AN50" s="1"/>
  <c r="AP50" s="1"/>
  <c r="AL51"/>
  <c r="AN51" s="1"/>
  <c r="AL52"/>
  <c r="AN52" s="1"/>
  <c r="AL53"/>
  <c r="AP53" s="1"/>
  <c r="AL54"/>
  <c r="AN54" s="1"/>
  <c r="AL55"/>
  <c r="AN55" s="1"/>
  <c r="AL56"/>
  <c r="AN56" s="1"/>
  <c r="AL57"/>
  <c r="AN57" s="1"/>
  <c r="AL58"/>
  <c r="AN58" s="1"/>
  <c r="AL59"/>
  <c r="AN59" s="1"/>
  <c r="AP59" s="1"/>
  <c r="AL60"/>
  <c r="AN60" s="1"/>
  <c r="AP60" s="1"/>
  <c r="AL61"/>
  <c r="AN61" s="1"/>
  <c r="AP61" s="1"/>
  <c r="AL62"/>
  <c r="AN62" s="1"/>
  <c r="AP62" s="1"/>
  <c r="AL63"/>
  <c r="AN63" s="1"/>
  <c r="AL64"/>
  <c r="AN64" s="1"/>
  <c r="AL65"/>
  <c r="AL66"/>
  <c r="AL67"/>
  <c r="AL68"/>
  <c r="AP68" s="1"/>
  <c r="AL69"/>
  <c r="AL70"/>
  <c r="AL71"/>
  <c r="AN71" s="1"/>
  <c r="AL72"/>
  <c r="AN72" s="1"/>
  <c r="AP72" s="1"/>
  <c r="AL73"/>
  <c r="AN73" s="1"/>
  <c r="AP73" s="1"/>
  <c r="AL74"/>
  <c r="AN74" s="1"/>
  <c r="AP74" s="1"/>
  <c r="AL75"/>
  <c r="AN75" s="1"/>
  <c r="AL76"/>
  <c r="AN76" s="1"/>
  <c r="AL77"/>
  <c r="AL78"/>
  <c r="AN78" s="1"/>
  <c r="AL79"/>
  <c r="AN79" s="1"/>
  <c r="AL80"/>
  <c r="AN80" s="1"/>
  <c r="AL81"/>
  <c r="AN81" s="1"/>
  <c r="AL82"/>
  <c r="AN82" s="1"/>
  <c r="AL83"/>
  <c r="AN83" s="1"/>
  <c r="AP83" s="1"/>
  <c r="AL84"/>
  <c r="AN84" s="1"/>
  <c r="AP84" s="1"/>
  <c r="AL85"/>
  <c r="AN85" s="1"/>
  <c r="AP85" s="1"/>
  <c r="AL86"/>
  <c r="AN86" s="1"/>
  <c r="AP86" s="1"/>
  <c r="AL87"/>
  <c r="AN87" s="1"/>
  <c r="AL88"/>
  <c r="AN88" s="1"/>
  <c r="AL89"/>
  <c r="AP89" s="1"/>
  <c r="AL90"/>
  <c r="AP90" s="1"/>
  <c r="AL91"/>
  <c r="AP91" s="1"/>
  <c r="AL92"/>
  <c r="AP92" s="1"/>
  <c r="AL93"/>
  <c r="AP93" s="1"/>
  <c r="AL94"/>
  <c r="AP94" s="1"/>
  <c r="AL95"/>
  <c r="AN95" s="1"/>
  <c r="AE9"/>
  <c r="AG9" s="1"/>
  <c r="AE10"/>
  <c r="AG10" s="1"/>
  <c r="AE11"/>
  <c r="AE12"/>
  <c r="AG12" s="1"/>
  <c r="AE13"/>
  <c r="AG13" s="1"/>
  <c r="AE14"/>
  <c r="AG14" s="1"/>
  <c r="AI14" s="1"/>
  <c r="AE15"/>
  <c r="AE16"/>
  <c r="AE17"/>
  <c r="AG17" s="1"/>
  <c r="AI17" s="1"/>
  <c r="AE18"/>
  <c r="AG18" s="1"/>
  <c r="AI18" s="1"/>
  <c r="AE19"/>
  <c r="AG19" s="1"/>
  <c r="AI19" s="1"/>
  <c r="AE20"/>
  <c r="AG20" s="1"/>
  <c r="AE21"/>
  <c r="AG21" s="1"/>
  <c r="AE22"/>
  <c r="AG22" s="1"/>
  <c r="AE23"/>
  <c r="AE24"/>
  <c r="AE25"/>
  <c r="AE26"/>
  <c r="AG26" s="1"/>
  <c r="AI26" s="1"/>
  <c r="AE27"/>
  <c r="AG27" s="1"/>
  <c r="AE28"/>
  <c r="AG28" s="1"/>
  <c r="AE29"/>
  <c r="AG29" s="1"/>
  <c r="AI29" s="1"/>
  <c r="AE30"/>
  <c r="AG30" s="1"/>
  <c r="AI30" s="1"/>
  <c r="AE31"/>
  <c r="AG31" s="1"/>
  <c r="AI31" s="1"/>
  <c r="AE32"/>
  <c r="AG32" s="1"/>
  <c r="AE33"/>
  <c r="AG33" s="1"/>
  <c r="AE34"/>
  <c r="AG34" s="1"/>
  <c r="AE35"/>
  <c r="AE36"/>
  <c r="AG36" s="1"/>
  <c r="AE37"/>
  <c r="AG37" s="1"/>
  <c r="AE38"/>
  <c r="AG38" s="1"/>
  <c r="AI38" s="1"/>
  <c r="AE39"/>
  <c r="AE40"/>
  <c r="AG40" s="1"/>
  <c r="AE41"/>
  <c r="AG41" s="1"/>
  <c r="AI41" s="1"/>
  <c r="AE42"/>
  <c r="AG42" s="1"/>
  <c r="AI42" s="1"/>
  <c r="AE43"/>
  <c r="AG43" s="1"/>
  <c r="AI43" s="1"/>
  <c r="AE44"/>
  <c r="AG44" s="1"/>
  <c r="AE45"/>
  <c r="AG45" s="1"/>
  <c r="AE46"/>
  <c r="AG46" s="1"/>
  <c r="AE47"/>
  <c r="AE48"/>
  <c r="AE49"/>
  <c r="AE50"/>
  <c r="AG50" s="1"/>
  <c r="AI50" s="1"/>
  <c r="AE51"/>
  <c r="AI51" s="1"/>
  <c r="AE52"/>
  <c r="AG52" s="1"/>
  <c r="AE53"/>
  <c r="AG53" s="1"/>
  <c r="AE54"/>
  <c r="AG54" s="1"/>
  <c r="AI54" s="1"/>
  <c r="AE55"/>
  <c r="AG55" s="1"/>
  <c r="AE56"/>
  <c r="AG56" s="1"/>
  <c r="AE57"/>
  <c r="AG57" s="1"/>
  <c r="AE58"/>
  <c r="AG58" s="1"/>
  <c r="AE59"/>
  <c r="AE60"/>
  <c r="AE61"/>
  <c r="AE62"/>
  <c r="AI62" s="1"/>
  <c r="AE63"/>
  <c r="AG63" s="1"/>
  <c r="AE64"/>
  <c r="AG64" s="1"/>
  <c r="AE65"/>
  <c r="AG65" s="1"/>
  <c r="AE66"/>
  <c r="AG66" s="1"/>
  <c r="AE67"/>
  <c r="AG67" s="1"/>
  <c r="AE68"/>
  <c r="AG68" s="1"/>
  <c r="AE69"/>
  <c r="AG69" s="1"/>
  <c r="AE70"/>
  <c r="AG70" s="1"/>
  <c r="AE71"/>
  <c r="AI71" s="1"/>
  <c r="AE72"/>
  <c r="AG72" s="1"/>
  <c r="AE73"/>
  <c r="AG73" s="1"/>
  <c r="AE74"/>
  <c r="AG74" s="1"/>
  <c r="AI74" s="1"/>
  <c r="AE75"/>
  <c r="AI75" s="1"/>
  <c r="AE76"/>
  <c r="AG76" s="1"/>
  <c r="AE77"/>
  <c r="AG77" s="1"/>
  <c r="AE78"/>
  <c r="AG78" s="1"/>
  <c r="AI78" s="1"/>
  <c r="AE79"/>
  <c r="AG79" s="1"/>
  <c r="AI79" s="1"/>
  <c r="AE80"/>
  <c r="AG80" s="1"/>
  <c r="AE81"/>
  <c r="AG81" s="1"/>
  <c r="AE82"/>
  <c r="AG82" s="1"/>
  <c r="AE83"/>
  <c r="AI83" s="1"/>
  <c r="AE84"/>
  <c r="AI84" s="1"/>
  <c r="AE85"/>
  <c r="AI85" s="1"/>
  <c r="AE86"/>
  <c r="AG86" s="1"/>
  <c r="AI86" s="1"/>
  <c r="AE87"/>
  <c r="AG87" s="1"/>
  <c r="AE88"/>
  <c r="AI88" s="1"/>
  <c r="AE89"/>
  <c r="AG89" s="1"/>
  <c r="AE90"/>
  <c r="AG90" s="1"/>
  <c r="AE91"/>
  <c r="AG91" s="1"/>
  <c r="AE92"/>
  <c r="AG92" s="1"/>
  <c r="AE93"/>
  <c r="AG93" s="1"/>
  <c r="AE94"/>
  <c r="AG94" s="1"/>
  <c r="AE95"/>
  <c r="AI95" s="1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Z60" s="1"/>
  <c r="AB60" s="1"/>
  <c r="V61"/>
  <c r="V62"/>
  <c r="V63"/>
  <c r="V64"/>
  <c r="V65"/>
  <c r="V66"/>
  <c r="V67"/>
  <c r="V68"/>
  <c r="V69"/>
  <c r="V70"/>
  <c r="V71"/>
  <c r="V72"/>
  <c r="Z72" s="1"/>
  <c r="AB72" s="1"/>
  <c r="V73"/>
  <c r="V74"/>
  <c r="V75"/>
  <c r="V76"/>
  <c r="V77"/>
  <c r="V78"/>
  <c r="V79"/>
  <c r="V80"/>
  <c r="V81"/>
  <c r="V82"/>
  <c r="V83"/>
  <c r="V84"/>
  <c r="Z84" s="1"/>
  <c r="AB84" s="1"/>
  <c r="V85"/>
  <c r="V86"/>
  <c r="V87"/>
  <c r="V88"/>
  <c r="V89"/>
  <c r="V90"/>
  <c r="V91"/>
  <c r="V92"/>
  <c r="V93"/>
  <c r="V94"/>
  <c r="V95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CD44" i="5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V9"/>
  <c r="V10"/>
  <c r="V11"/>
  <c r="V12"/>
  <c r="V13"/>
  <c r="V14"/>
  <c r="V15"/>
  <c r="Z15" s="1"/>
  <c r="AB15" s="1"/>
  <c r="V16"/>
  <c r="V17"/>
  <c r="V18"/>
  <c r="V19"/>
  <c r="V20"/>
  <c r="V21"/>
  <c r="V22"/>
  <c r="V23"/>
  <c r="V24"/>
  <c r="V25"/>
  <c r="V26"/>
  <c r="V27"/>
  <c r="Z27" s="1"/>
  <c r="AB27" s="1"/>
  <c r="V28"/>
  <c r="V29"/>
  <c r="V30"/>
  <c r="V31"/>
  <c r="V32"/>
  <c r="V33"/>
  <c r="V34"/>
  <c r="V35"/>
  <c r="V36"/>
  <c r="V37"/>
  <c r="V38"/>
  <c r="V39"/>
  <c r="Z39" s="1"/>
  <c r="AB39" s="1"/>
  <c r="V40"/>
  <c r="V41"/>
  <c r="V42"/>
  <c r="V43"/>
  <c r="V44"/>
  <c r="V45"/>
  <c r="V46"/>
  <c r="V47"/>
  <c r="V48"/>
  <c r="V49"/>
  <c r="V50"/>
  <c r="V51"/>
  <c r="Z51" s="1"/>
  <c r="AB51" s="1"/>
  <c r="V52"/>
  <c r="V53"/>
  <c r="V54"/>
  <c r="V55"/>
  <c r="V56"/>
  <c r="V57"/>
  <c r="V58"/>
  <c r="V59"/>
  <c r="V60"/>
  <c r="V61"/>
  <c r="V62"/>
  <c r="V63"/>
  <c r="Z63" s="1"/>
  <c r="AB63" s="1"/>
  <c r="V64"/>
  <c r="V65"/>
  <c r="V66"/>
  <c r="V67"/>
  <c r="V68"/>
  <c r="V69"/>
  <c r="V70"/>
  <c r="V71"/>
  <c r="V72"/>
  <c r="V73"/>
  <c r="V74"/>
  <c r="V75"/>
  <c r="Z75" s="1"/>
  <c r="AB75" s="1"/>
  <c r="V76"/>
  <c r="V77"/>
  <c r="V78"/>
  <c r="V79"/>
  <c r="V80"/>
  <c r="V81"/>
  <c r="V82"/>
  <c r="V83"/>
  <c r="V84"/>
  <c r="V85"/>
  <c r="V86"/>
  <c r="V87"/>
  <c r="Z87" s="1"/>
  <c r="AB87" s="1"/>
  <c r="V88"/>
  <c r="V89"/>
  <c r="V90"/>
  <c r="V91"/>
  <c r="V92"/>
  <c r="V93"/>
  <c r="V94"/>
  <c r="V95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P8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Z93" l="1"/>
  <c r="AB93" s="1"/>
  <c r="Z81"/>
  <c r="AB81" s="1"/>
  <c r="Z69"/>
  <c r="AB69" s="1"/>
  <c r="Z57"/>
  <c r="AB57" s="1"/>
  <c r="Z45"/>
  <c r="AB45" s="1"/>
  <c r="Z33"/>
  <c r="AB33" s="1"/>
  <c r="Z21"/>
  <c r="AB21" s="1"/>
  <c r="Z9"/>
  <c r="AB9" s="1"/>
  <c r="Z48" i="6"/>
  <c r="AB48" s="1"/>
  <c r="Z36"/>
  <c r="AB36" s="1"/>
  <c r="Z24"/>
  <c r="AB24" s="1"/>
  <c r="Z12"/>
  <c r="AB12" s="1"/>
  <c r="AN94"/>
  <c r="AG88"/>
  <c r="BS60"/>
  <c r="S87"/>
  <c r="CJ87" s="1"/>
  <c r="CK87" s="1"/>
  <c r="CL87" s="1"/>
  <c r="S75"/>
  <c r="CJ75" s="1"/>
  <c r="CK75" s="1"/>
  <c r="S91"/>
  <c r="CJ91" s="1"/>
  <c r="CK91" s="1"/>
  <c r="Z85"/>
  <c r="AB85" s="1"/>
  <c r="Z61"/>
  <c r="AB61" s="1"/>
  <c r="Z49"/>
  <c r="AB49" s="1"/>
  <c r="Z37"/>
  <c r="AB37" s="1"/>
  <c r="Z13"/>
  <c r="AB13" s="1"/>
  <c r="AG62"/>
  <c r="CG78"/>
  <c r="Z95"/>
  <c r="AB95" s="1"/>
  <c r="Z83"/>
  <c r="AB83" s="1"/>
  <c r="Z71"/>
  <c r="AB71" s="1"/>
  <c r="Z59"/>
  <c r="AB59" s="1"/>
  <c r="Z47"/>
  <c r="AB47" s="1"/>
  <c r="Z35"/>
  <c r="AB35" s="1"/>
  <c r="Z23"/>
  <c r="AB23" s="1"/>
  <c r="BI38"/>
  <c r="CA73"/>
  <c r="BA79"/>
  <c r="BY95"/>
  <c r="CA60"/>
  <c r="CA93"/>
  <c r="BK62"/>
  <c r="BY12"/>
  <c r="CA12" s="1"/>
  <c r="Z11"/>
  <c r="AB11" s="1"/>
  <c r="CG53"/>
  <c r="BY24"/>
  <c r="CA24" s="1"/>
  <c r="CG64"/>
  <c r="CG66"/>
  <c r="Z62"/>
  <c r="AB62" s="1"/>
  <c r="S94"/>
  <c r="CJ94" s="1"/>
  <c r="CK94" s="1"/>
  <c r="S82"/>
  <c r="CJ82" s="1"/>
  <c r="CK82" s="1"/>
  <c r="S70"/>
  <c r="CJ70" s="1"/>
  <c r="CK70" s="1"/>
  <c r="S73"/>
  <c r="CJ73" s="1"/>
  <c r="CK73" s="1"/>
  <c r="Z88"/>
  <c r="AB88" s="1"/>
  <c r="Z76"/>
  <c r="AB76" s="1"/>
  <c r="Z64"/>
  <c r="AB64" s="1"/>
  <c r="Z52"/>
  <c r="AB52" s="1"/>
  <c r="Z40"/>
  <c r="AB40" s="1"/>
  <c r="Z28"/>
  <c r="AB28" s="1"/>
  <c r="Z16"/>
  <c r="AB16" s="1"/>
  <c r="BC90"/>
  <c r="BQ71"/>
  <c r="BY79"/>
  <c r="S95"/>
  <c r="CJ95" s="1"/>
  <c r="CK95" s="1"/>
  <c r="CL95" s="1"/>
  <c r="S83"/>
  <c r="CJ83" s="1"/>
  <c r="CK83" s="1"/>
  <c r="CM83" s="1"/>
  <c r="S71"/>
  <c r="CJ71" s="1"/>
  <c r="CK71" s="1"/>
  <c r="CM71" s="1"/>
  <c r="Z89"/>
  <c r="AB89" s="1"/>
  <c r="Z77"/>
  <c r="AB77" s="1"/>
  <c r="Z65"/>
  <c r="AB65" s="1"/>
  <c r="Z53"/>
  <c r="AB53" s="1"/>
  <c r="Z41"/>
  <c r="AB41" s="1"/>
  <c r="Z29"/>
  <c r="AB29" s="1"/>
  <c r="Z17"/>
  <c r="AB17" s="1"/>
  <c r="BC93"/>
  <c r="Z90"/>
  <c r="AB90" s="1"/>
  <c r="Z78"/>
  <c r="AB78" s="1"/>
  <c r="Z66"/>
  <c r="AB66" s="1"/>
  <c r="Z54"/>
  <c r="AB54" s="1"/>
  <c r="Z42"/>
  <c r="AB42" s="1"/>
  <c r="Z30"/>
  <c r="AB30" s="1"/>
  <c r="Z18"/>
  <c r="AB18" s="1"/>
  <c r="Z93"/>
  <c r="AB93" s="1"/>
  <c r="Z81"/>
  <c r="AB81" s="1"/>
  <c r="Z69"/>
  <c r="AB69" s="1"/>
  <c r="Z57"/>
  <c r="AB57" s="1"/>
  <c r="Z45"/>
  <c r="AB45" s="1"/>
  <c r="Z33"/>
  <c r="AB33" s="1"/>
  <c r="Z21"/>
  <c r="AB21" s="1"/>
  <c r="Z9"/>
  <c r="AB9" s="1"/>
  <c r="BA77"/>
  <c r="BQ93"/>
  <c r="BS51"/>
  <c r="BI28"/>
  <c r="BK28" s="1"/>
  <c r="CI21"/>
  <c r="BY71"/>
  <c r="CI45"/>
  <c r="BC53"/>
  <c r="CG81"/>
  <c r="BC65"/>
  <c r="BK16"/>
  <c r="BS84"/>
  <c r="BS48"/>
  <c r="BS24"/>
  <c r="BS12"/>
  <c r="CG89"/>
  <c r="CI65"/>
  <c r="BS13"/>
  <c r="CG92"/>
  <c r="Z94"/>
  <c r="AB94" s="1"/>
  <c r="Z82"/>
  <c r="AB82" s="1"/>
  <c r="Z70"/>
  <c r="AB70" s="1"/>
  <c r="Z58"/>
  <c r="AB58" s="1"/>
  <c r="Z46"/>
  <c r="AB46" s="1"/>
  <c r="Z34"/>
  <c r="AB34" s="1"/>
  <c r="Z22"/>
  <c r="AB22" s="1"/>
  <c r="Z10"/>
  <c r="AB10" s="1"/>
  <c r="BI60"/>
  <c r="CI44"/>
  <c r="CI20"/>
  <c r="CG93"/>
  <c r="BK52"/>
  <c r="CI69"/>
  <c r="AN93"/>
  <c r="BK67"/>
  <c r="BQ26"/>
  <c r="BS26" s="1"/>
  <c r="CG54"/>
  <c r="Z73"/>
  <c r="AB73" s="1"/>
  <c r="Z25"/>
  <c r="AB25" s="1"/>
  <c r="BA31"/>
  <c r="BC31" s="1"/>
  <c r="BI76"/>
  <c r="BK86"/>
  <c r="BQ83"/>
  <c r="BQ27"/>
  <c r="BS27" s="1"/>
  <c r="CG57"/>
  <c r="CI90"/>
  <c r="Z26"/>
  <c r="AB26" s="1"/>
  <c r="AI63"/>
  <c r="CA23"/>
  <c r="Z86"/>
  <c r="AB86" s="1"/>
  <c r="Z74"/>
  <c r="AB74" s="1"/>
  <c r="Z50"/>
  <c r="AB50" s="1"/>
  <c r="Z38"/>
  <c r="AB38" s="1"/>
  <c r="Z14"/>
  <c r="AB14" s="1"/>
  <c r="S57"/>
  <c r="CJ57" s="1"/>
  <c r="CK57" s="1"/>
  <c r="CM57" s="1"/>
  <c r="Z87"/>
  <c r="AB87" s="1"/>
  <c r="Z75"/>
  <c r="AB75" s="1"/>
  <c r="Z63"/>
  <c r="AB63" s="1"/>
  <c r="Z51"/>
  <c r="AB51" s="1"/>
  <c r="Z39"/>
  <c r="AB39" s="1"/>
  <c r="Z27"/>
  <c r="AB27" s="1"/>
  <c r="Z15"/>
  <c r="AB15" s="1"/>
  <c r="AI76"/>
  <c r="AI64"/>
  <c r="AI52"/>
  <c r="AI40"/>
  <c r="BA55"/>
  <c r="BC55" s="1"/>
  <c r="BQ85"/>
  <c r="BQ36"/>
  <c r="BS36" s="1"/>
  <c r="CA84"/>
  <c r="BY45"/>
  <c r="CA45" s="1"/>
  <c r="AP82"/>
  <c r="AP58"/>
  <c r="AP34"/>
  <c r="AP22"/>
  <c r="AN70"/>
  <c r="AP70" s="1"/>
  <c r="AI87"/>
  <c r="BA66"/>
  <c r="BC66" s="1"/>
  <c r="BI89"/>
  <c r="BI65"/>
  <c r="BK65" s="1"/>
  <c r="BI41"/>
  <c r="BK41" s="1"/>
  <c r="BI17"/>
  <c r="BK17" s="1"/>
  <c r="BK77"/>
  <c r="BS57"/>
  <c r="BS21"/>
  <c r="BS9"/>
  <c r="BQ73"/>
  <c r="BS73" s="1"/>
  <c r="BS49"/>
  <c r="BY83"/>
  <c r="BY22"/>
  <c r="CA22" s="1"/>
  <c r="CA92"/>
  <c r="CA59"/>
  <c r="CG91"/>
  <c r="CG52"/>
  <c r="CG30"/>
  <c r="CI30" s="1"/>
  <c r="CI94"/>
  <c r="AI53"/>
  <c r="BA91"/>
  <c r="BA43"/>
  <c r="BC43" s="1"/>
  <c r="BA19"/>
  <c r="BC19" s="1"/>
  <c r="BK51"/>
  <c r="BS34"/>
  <c r="BS22"/>
  <c r="BQ74"/>
  <c r="BS74" s="1"/>
  <c r="BS76"/>
  <c r="BS50"/>
  <c r="BS14"/>
  <c r="CG31"/>
  <c r="CI31" s="1"/>
  <c r="CI70"/>
  <c r="AN46"/>
  <c r="AP46" s="1"/>
  <c r="AI89"/>
  <c r="AI55"/>
  <c r="BA92"/>
  <c r="BA68"/>
  <c r="BC68" s="1"/>
  <c r="BA20"/>
  <c r="BC20" s="1"/>
  <c r="BC82"/>
  <c r="BC54"/>
  <c r="BK87"/>
  <c r="BQ58"/>
  <c r="BS58" s="1"/>
  <c r="BY90"/>
  <c r="BY68"/>
  <c r="BY46"/>
  <c r="CA46" s="1"/>
  <c r="CA94"/>
  <c r="CA33"/>
  <c r="CG76"/>
  <c r="CG32"/>
  <c r="CI32" s="1"/>
  <c r="CG15"/>
  <c r="AG39"/>
  <c r="AI39" s="1"/>
  <c r="AI90"/>
  <c r="BA75"/>
  <c r="BC89"/>
  <c r="BK88"/>
  <c r="BK53"/>
  <c r="BK15"/>
  <c r="BQ81"/>
  <c r="BQ59"/>
  <c r="BQ37"/>
  <c r="BS37" s="1"/>
  <c r="BY91"/>
  <c r="BY69"/>
  <c r="BY47"/>
  <c r="CA47" s="1"/>
  <c r="CA34"/>
  <c r="CG55"/>
  <c r="CG16"/>
  <c r="CI79"/>
  <c r="CI19"/>
  <c r="AI72"/>
  <c r="AI36"/>
  <c r="AI12"/>
  <c r="AI91"/>
  <c r="BK84"/>
  <c r="BK72"/>
  <c r="BK48"/>
  <c r="BK36"/>
  <c r="BK24"/>
  <c r="BK12"/>
  <c r="BI75"/>
  <c r="BK75" s="1"/>
  <c r="BI27"/>
  <c r="BK27" s="1"/>
  <c r="BK54"/>
  <c r="BQ82"/>
  <c r="BQ38"/>
  <c r="BS38" s="1"/>
  <c r="BS25"/>
  <c r="BY70"/>
  <c r="CA70" s="1"/>
  <c r="BY9"/>
  <c r="CA9" s="1"/>
  <c r="CA35"/>
  <c r="CI80"/>
  <c r="AI73"/>
  <c r="AI37"/>
  <c r="AI13"/>
  <c r="AG48"/>
  <c r="AI48" s="1"/>
  <c r="AG15"/>
  <c r="AI15" s="1"/>
  <c r="AP71"/>
  <c r="BK73"/>
  <c r="BK49"/>
  <c r="BK25"/>
  <c r="BK90"/>
  <c r="BS86"/>
  <c r="CA66"/>
  <c r="CA30"/>
  <c r="BY54"/>
  <c r="CA54" s="1"/>
  <c r="BY10"/>
  <c r="CA10" s="1"/>
  <c r="S88"/>
  <c r="CJ88" s="1"/>
  <c r="CK88" s="1"/>
  <c r="CL88" s="1"/>
  <c r="Z91"/>
  <c r="AB91" s="1"/>
  <c r="Z79"/>
  <c r="AB79" s="1"/>
  <c r="Z67"/>
  <c r="AB67" s="1"/>
  <c r="Z55"/>
  <c r="AB55" s="1"/>
  <c r="Z43"/>
  <c r="AB43" s="1"/>
  <c r="Z31"/>
  <c r="AB31" s="1"/>
  <c r="Z19"/>
  <c r="AB19" s="1"/>
  <c r="AG75"/>
  <c r="AG49"/>
  <c r="AI49" s="1"/>
  <c r="AG16"/>
  <c r="AI16" s="1"/>
  <c r="AN90"/>
  <c r="AP95"/>
  <c r="AI65"/>
  <c r="BA78"/>
  <c r="BI29"/>
  <c r="BK29" s="1"/>
  <c r="BK91"/>
  <c r="BK63"/>
  <c r="BQ62"/>
  <c r="BQ45"/>
  <c r="BS45" s="1"/>
  <c r="BS87"/>
  <c r="CA67"/>
  <c r="CA31"/>
  <c r="CA19"/>
  <c r="BY72"/>
  <c r="CA72" s="1"/>
  <c r="BY55"/>
  <c r="CA55" s="1"/>
  <c r="BY11"/>
  <c r="CA11" s="1"/>
  <c r="CG63"/>
  <c r="CI82"/>
  <c r="S53"/>
  <c r="CJ53" s="1"/>
  <c r="CK53" s="1"/>
  <c r="CL53" s="1"/>
  <c r="Z80"/>
  <c r="AB80" s="1"/>
  <c r="Z68"/>
  <c r="AB68" s="1"/>
  <c r="Z56"/>
  <c r="AB56" s="1"/>
  <c r="Z44"/>
  <c r="AB44" s="1"/>
  <c r="Z32"/>
  <c r="AB32" s="1"/>
  <c r="AG24"/>
  <c r="AI24" s="1"/>
  <c r="AN91"/>
  <c r="AI66"/>
  <c r="AI27"/>
  <c r="BQ46"/>
  <c r="BS46" s="1"/>
  <c r="BS88"/>
  <c r="BY78"/>
  <c r="CI58"/>
  <c r="S89"/>
  <c r="CJ89" s="1"/>
  <c r="CK89" s="1"/>
  <c r="CL89" s="1"/>
  <c r="S65"/>
  <c r="CJ65" s="1"/>
  <c r="CK65" s="1"/>
  <c r="CL65" s="1"/>
  <c r="Z92"/>
  <c r="AB92" s="1"/>
  <c r="Z20"/>
  <c r="AB20" s="1"/>
  <c r="S90"/>
  <c r="CJ90" s="1"/>
  <c r="CK90" s="1"/>
  <c r="CL90" s="1"/>
  <c r="AG84"/>
  <c r="AG51"/>
  <c r="AG25"/>
  <c r="AI25" s="1"/>
  <c r="AP78"/>
  <c r="AP54"/>
  <c r="AP42"/>
  <c r="AP30"/>
  <c r="AP18"/>
  <c r="AN92"/>
  <c r="AN66"/>
  <c r="AP66" s="1"/>
  <c r="AI67"/>
  <c r="AI28"/>
  <c r="BC94"/>
  <c r="BI85"/>
  <c r="BK85" s="1"/>
  <c r="BI61"/>
  <c r="BK61" s="1"/>
  <c r="BI37"/>
  <c r="BK37" s="1"/>
  <c r="BI13"/>
  <c r="BK13" s="1"/>
  <c r="BQ69"/>
  <c r="BS95"/>
  <c r="BY57"/>
  <c r="CA57" s="1"/>
  <c r="BY18"/>
  <c r="CA18" s="1"/>
  <c r="CA81"/>
  <c r="CG87"/>
  <c r="CG43"/>
  <c r="CI43" s="1"/>
  <c r="AG85"/>
  <c r="AP79"/>
  <c r="AP55"/>
  <c r="AP31"/>
  <c r="AP19"/>
  <c r="AN67"/>
  <c r="AP67" s="1"/>
  <c r="BC51"/>
  <c r="BC27"/>
  <c r="BA87"/>
  <c r="BA63"/>
  <c r="BC63" s="1"/>
  <c r="BA39"/>
  <c r="BC39" s="1"/>
  <c r="BA15"/>
  <c r="BC15" s="1"/>
  <c r="BC70"/>
  <c r="BQ70"/>
  <c r="BS70" s="1"/>
  <c r="BY58"/>
  <c r="CA82"/>
  <c r="CI75"/>
  <c r="CI39"/>
  <c r="CG88"/>
  <c r="CG27"/>
  <c r="CI27" s="1"/>
  <c r="AG60"/>
  <c r="AI60" s="1"/>
  <c r="AP80"/>
  <c r="AP56"/>
  <c r="AP44"/>
  <c r="AP32"/>
  <c r="AP20"/>
  <c r="AN68"/>
  <c r="BC76"/>
  <c r="BC52"/>
  <c r="BC28"/>
  <c r="BA88"/>
  <c r="BA64"/>
  <c r="BC64" s="1"/>
  <c r="BA40"/>
  <c r="BC40" s="1"/>
  <c r="BA16"/>
  <c r="BC16" s="1"/>
  <c r="BI39"/>
  <c r="BK39" s="1"/>
  <c r="BQ94"/>
  <c r="BQ10"/>
  <c r="BS10" s="1"/>
  <c r="BY42"/>
  <c r="CA42" s="1"/>
  <c r="CA21"/>
  <c r="CI40"/>
  <c r="CG67"/>
  <c r="CG28"/>
  <c r="CI28" s="1"/>
  <c r="S92"/>
  <c r="CJ92" s="1"/>
  <c r="CK92" s="1"/>
  <c r="CM92" s="1"/>
  <c r="S93"/>
  <c r="CJ93" s="1"/>
  <c r="CK93" s="1"/>
  <c r="CM93" s="1"/>
  <c r="AG61"/>
  <c r="AI61" s="1"/>
  <c r="AP81"/>
  <c r="AP57"/>
  <c r="AP45"/>
  <c r="AP33"/>
  <c r="AP21"/>
  <c r="AP9"/>
  <c r="AN69"/>
  <c r="AP69" s="1"/>
  <c r="AN43"/>
  <c r="AP43" s="1"/>
  <c r="AN10"/>
  <c r="AP10" s="1"/>
  <c r="AI77"/>
  <c r="BI40"/>
  <c r="BK40" s="1"/>
  <c r="BQ33"/>
  <c r="BS33" s="1"/>
  <c r="BY43"/>
  <c r="CA43" s="1"/>
  <c r="CG68"/>
  <c r="CG51"/>
  <c r="CI51" s="1"/>
  <c r="CL71"/>
  <c r="CM95"/>
  <c r="CL94"/>
  <c r="CM94"/>
  <c r="CL70"/>
  <c r="CM70"/>
  <c r="CL73"/>
  <c r="CM73"/>
  <c r="CM75"/>
  <c r="CL75"/>
  <c r="CM87"/>
  <c r="CL83"/>
  <c r="CL91"/>
  <c r="CM91"/>
  <c r="CL82"/>
  <c r="CM82"/>
  <c r="AG95"/>
  <c r="AG83"/>
  <c r="AG71"/>
  <c r="AG59"/>
  <c r="AI59" s="1"/>
  <c r="AG47"/>
  <c r="AI47" s="1"/>
  <c r="AG35"/>
  <c r="AI35" s="1"/>
  <c r="AG23"/>
  <c r="AI23" s="1"/>
  <c r="AG11"/>
  <c r="AI11" s="1"/>
  <c r="AN89"/>
  <c r="AN77"/>
  <c r="AP77" s="1"/>
  <c r="AN65"/>
  <c r="AP65" s="1"/>
  <c r="AN53"/>
  <c r="AN41"/>
  <c r="AP41" s="1"/>
  <c r="AN29"/>
  <c r="AP29" s="1"/>
  <c r="AN17"/>
  <c r="AP17" s="1"/>
  <c r="BA86"/>
  <c r="BC86" s="1"/>
  <c r="BA74"/>
  <c r="BC74" s="1"/>
  <c r="BA62"/>
  <c r="BC62" s="1"/>
  <c r="BA50"/>
  <c r="BC50" s="1"/>
  <c r="BA38"/>
  <c r="BC38" s="1"/>
  <c r="BA26"/>
  <c r="BC26" s="1"/>
  <c r="BA14"/>
  <c r="BC14" s="1"/>
  <c r="BI95"/>
  <c r="BI83"/>
  <c r="BI71"/>
  <c r="BI59"/>
  <c r="BK59" s="1"/>
  <c r="BI47"/>
  <c r="BK47" s="1"/>
  <c r="BI35"/>
  <c r="BI23"/>
  <c r="BK23" s="1"/>
  <c r="BI11"/>
  <c r="BQ92"/>
  <c r="BQ80"/>
  <c r="BQ68"/>
  <c r="BQ56"/>
  <c r="BS56" s="1"/>
  <c r="BQ44"/>
  <c r="BS44" s="1"/>
  <c r="BQ32"/>
  <c r="BS32" s="1"/>
  <c r="BQ20"/>
  <c r="BS20" s="1"/>
  <c r="BY89"/>
  <c r="BY77"/>
  <c r="BY65"/>
  <c r="BY53"/>
  <c r="BY41"/>
  <c r="CA41" s="1"/>
  <c r="BY29"/>
  <c r="CA29" s="1"/>
  <c r="BY17"/>
  <c r="CA17" s="1"/>
  <c r="CG86"/>
  <c r="CI86" s="1"/>
  <c r="CG74"/>
  <c r="CG62"/>
  <c r="CG50"/>
  <c r="CI50" s="1"/>
  <c r="CG38"/>
  <c r="CI38" s="1"/>
  <c r="CG26"/>
  <c r="CG14"/>
  <c r="AP87"/>
  <c r="AP75"/>
  <c r="AP63"/>
  <c r="AP51"/>
  <c r="AP39"/>
  <c r="AP27"/>
  <c r="AP15"/>
  <c r="AP88"/>
  <c r="AP76"/>
  <c r="AP64"/>
  <c r="AP52"/>
  <c r="AP40"/>
  <c r="AP28"/>
  <c r="AP16"/>
  <c r="AI92"/>
  <c r="AI80"/>
  <c r="AI68"/>
  <c r="AI56"/>
  <c r="AI44"/>
  <c r="AI32"/>
  <c r="AI20"/>
  <c r="BC95"/>
  <c r="BC83"/>
  <c r="BC71"/>
  <c r="BC59"/>
  <c r="BC47"/>
  <c r="BC35"/>
  <c r="BC23"/>
  <c r="BC11"/>
  <c r="BK92"/>
  <c r="BK80"/>
  <c r="BK68"/>
  <c r="BK56"/>
  <c r="BK44"/>
  <c r="BK32"/>
  <c r="BK20"/>
  <c r="BS89"/>
  <c r="BS77"/>
  <c r="BS65"/>
  <c r="BS53"/>
  <c r="BS41"/>
  <c r="BS29"/>
  <c r="BS17"/>
  <c r="CA86"/>
  <c r="CA74"/>
  <c r="CA62"/>
  <c r="CA50"/>
  <c r="CA38"/>
  <c r="CA26"/>
  <c r="CA14"/>
  <c r="CI95"/>
  <c r="CI83"/>
  <c r="CI71"/>
  <c r="CI59"/>
  <c r="CI47"/>
  <c r="CI35"/>
  <c r="CI23"/>
  <c r="CI11"/>
  <c r="AI93"/>
  <c r="AI81"/>
  <c r="AI69"/>
  <c r="AI57"/>
  <c r="AI45"/>
  <c r="AI33"/>
  <c r="AI21"/>
  <c r="AI9"/>
  <c r="BC84"/>
  <c r="BC72"/>
  <c r="BC60"/>
  <c r="BC48"/>
  <c r="BC36"/>
  <c r="BC24"/>
  <c r="BC12"/>
  <c r="BK93"/>
  <c r="BK81"/>
  <c r="BK69"/>
  <c r="BK57"/>
  <c r="BK45"/>
  <c r="BK33"/>
  <c r="BK21"/>
  <c r="BK9"/>
  <c r="BS90"/>
  <c r="BS78"/>
  <c r="BS66"/>
  <c r="BS54"/>
  <c r="BS42"/>
  <c r="BS30"/>
  <c r="BS18"/>
  <c r="CA87"/>
  <c r="CA75"/>
  <c r="CA63"/>
  <c r="CA51"/>
  <c r="CA39"/>
  <c r="CA27"/>
  <c r="CA15"/>
  <c r="CI84"/>
  <c r="CI72"/>
  <c r="CI60"/>
  <c r="CI48"/>
  <c r="CI36"/>
  <c r="CI24"/>
  <c r="CI12"/>
  <c r="AI94"/>
  <c r="AI82"/>
  <c r="AI70"/>
  <c r="AI58"/>
  <c r="AI46"/>
  <c r="AI34"/>
  <c r="AI22"/>
  <c r="AI10"/>
  <c r="BC85"/>
  <c r="BC73"/>
  <c r="BC61"/>
  <c r="BC49"/>
  <c r="BC37"/>
  <c r="BC25"/>
  <c r="BC13"/>
  <c r="BK94"/>
  <c r="BK82"/>
  <c r="BK70"/>
  <c r="BK58"/>
  <c r="BK46"/>
  <c r="BK34"/>
  <c r="BK22"/>
  <c r="BK10"/>
  <c r="BS91"/>
  <c r="BS79"/>
  <c r="BS67"/>
  <c r="BS55"/>
  <c r="BS43"/>
  <c r="BS31"/>
  <c r="BS19"/>
  <c r="CA88"/>
  <c r="CA76"/>
  <c r="CA64"/>
  <c r="CA52"/>
  <c r="CA40"/>
  <c r="CA28"/>
  <c r="CA16"/>
  <c r="CI85"/>
  <c r="CI73"/>
  <c r="CI61"/>
  <c r="CI49"/>
  <c r="CI37"/>
  <c r="CI25"/>
  <c r="CI13"/>
  <c r="S62"/>
  <c r="CJ62" s="1"/>
  <c r="CK62" s="1"/>
  <c r="Z88" i="5"/>
  <c r="AB88" s="1"/>
  <c r="Z89"/>
  <c r="AB89" s="1"/>
  <c r="Z77"/>
  <c r="AB77" s="1"/>
  <c r="Z65"/>
  <c r="AB65" s="1"/>
  <c r="Z53"/>
  <c r="AB53" s="1"/>
  <c r="Z41"/>
  <c r="AB41" s="1"/>
  <c r="Z29"/>
  <c r="AB29" s="1"/>
  <c r="Z17"/>
  <c r="AB17" s="1"/>
  <c r="Z90"/>
  <c r="AB90" s="1"/>
  <c r="Z78"/>
  <c r="AB78" s="1"/>
  <c r="Z66"/>
  <c r="AB66" s="1"/>
  <c r="Z54"/>
  <c r="AB54" s="1"/>
  <c r="Z42"/>
  <c r="AB42" s="1"/>
  <c r="Z30"/>
  <c r="AB30" s="1"/>
  <c r="Z18"/>
  <c r="AB18" s="1"/>
  <c r="Z84"/>
  <c r="AB84" s="1"/>
  <c r="Z72"/>
  <c r="AB72" s="1"/>
  <c r="Z60"/>
  <c r="AB60" s="1"/>
  <c r="Z48"/>
  <c r="AB48" s="1"/>
  <c r="Z24"/>
  <c r="AB24" s="1"/>
  <c r="Z12"/>
  <c r="AB12" s="1"/>
  <c r="Z36"/>
  <c r="AB36" s="1"/>
  <c r="Z94"/>
  <c r="AB94" s="1"/>
  <c r="Z82"/>
  <c r="AB82" s="1"/>
  <c r="Z70"/>
  <c r="AB70" s="1"/>
  <c r="Z58"/>
  <c r="AB58" s="1"/>
  <c r="Z46"/>
  <c r="AB46" s="1"/>
  <c r="Z34"/>
  <c r="AB34" s="1"/>
  <c r="Z22"/>
  <c r="AB22" s="1"/>
  <c r="Z10"/>
  <c r="AB10" s="1"/>
  <c r="Z85"/>
  <c r="AB85" s="1"/>
  <c r="Z73"/>
  <c r="AB73" s="1"/>
  <c r="Z61"/>
  <c r="AB61" s="1"/>
  <c r="Z49"/>
  <c r="AB49" s="1"/>
  <c r="Z37"/>
  <c r="AB37" s="1"/>
  <c r="Z25"/>
  <c r="AB25" s="1"/>
  <c r="Z13"/>
  <c r="AB13" s="1"/>
  <c r="Z76"/>
  <c r="AB76" s="1"/>
  <c r="Z64"/>
  <c r="AB64" s="1"/>
  <c r="Z52"/>
  <c r="AB52" s="1"/>
  <c r="Z40"/>
  <c r="AB40" s="1"/>
  <c r="Z28"/>
  <c r="AB28" s="1"/>
  <c r="Z16"/>
  <c r="AB16" s="1"/>
  <c r="Z86"/>
  <c r="AB86" s="1"/>
  <c r="Z74"/>
  <c r="AB74" s="1"/>
  <c r="Z62"/>
  <c r="AB62" s="1"/>
  <c r="Z50"/>
  <c r="AB50" s="1"/>
  <c r="Z38"/>
  <c r="AB38" s="1"/>
  <c r="Z26"/>
  <c r="AB26" s="1"/>
  <c r="Z14"/>
  <c r="AB14" s="1"/>
  <c r="Z95"/>
  <c r="AB95" s="1"/>
  <c r="Z83"/>
  <c r="AB83" s="1"/>
  <c r="Z71"/>
  <c r="AB71" s="1"/>
  <c r="Z59"/>
  <c r="AB59" s="1"/>
  <c r="Z47"/>
  <c r="AB47" s="1"/>
  <c r="Z35"/>
  <c r="AB35" s="1"/>
  <c r="Z23"/>
  <c r="AB23" s="1"/>
  <c r="Z11"/>
  <c r="AB11" s="1"/>
  <c r="Z92"/>
  <c r="AB92" s="1"/>
  <c r="Z80"/>
  <c r="AB80" s="1"/>
  <c r="Z68"/>
  <c r="AB68" s="1"/>
  <c r="Z56"/>
  <c r="AB56" s="1"/>
  <c r="Z44"/>
  <c r="AB44" s="1"/>
  <c r="Z32"/>
  <c r="AB32" s="1"/>
  <c r="Z20"/>
  <c r="AB20" s="1"/>
  <c r="Z91"/>
  <c r="AB91" s="1"/>
  <c r="Z79"/>
  <c r="AB79" s="1"/>
  <c r="Z67"/>
  <c r="AB67" s="1"/>
  <c r="Z55"/>
  <c r="AB55" s="1"/>
  <c r="Z43"/>
  <c r="AB43" s="1"/>
  <c r="Z31"/>
  <c r="AB31" s="1"/>
  <c r="Z19"/>
  <c r="AB19" s="1"/>
  <c r="CM65" i="6" l="1"/>
  <c r="CM90"/>
  <c r="CL57"/>
  <c r="CM88"/>
  <c r="CM89"/>
  <c r="CM53"/>
  <c r="CL92"/>
  <c r="CL93"/>
  <c r="CM62"/>
  <c r="CL62"/>
  <c r="BF8"/>
  <c r="AL8" l="1"/>
  <c r="AE8" l="1"/>
  <c r="CD94" i="4" l="1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BV94"/>
  <c r="BV93"/>
  <c r="BV92"/>
  <c r="BV91"/>
  <c r="BV90"/>
  <c r="BV89"/>
  <c r="BV88"/>
  <c r="BV87"/>
  <c r="BV86"/>
  <c r="BV85"/>
  <c r="BV84"/>
  <c r="BV83"/>
  <c r="BV82"/>
  <c r="BV81"/>
  <c r="BV80"/>
  <c r="BV79"/>
  <c r="BV78"/>
  <c r="BV77"/>
  <c r="BV76"/>
  <c r="BV75"/>
  <c r="BV74"/>
  <c r="BV73"/>
  <c r="BV72"/>
  <c r="BV71"/>
  <c r="BV70"/>
  <c r="BV69"/>
  <c r="BV68"/>
  <c r="BV67"/>
  <c r="BV66"/>
  <c r="BV65"/>
  <c r="BV64"/>
  <c r="BV63"/>
  <c r="BV62"/>
  <c r="BV61"/>
  <c r="BV60"/>
  <c r="BV59"/>
  <c r="BV58"/>
  <c r="BV57"/>
  <c r="BV56"/>
  <c r="BV55"/>
  <c r="BV54"/>
  <c r="BV53"/>
  <c r="BV52"/>
  <c r="BV51"/>
  <c r="BV50"/>
  <c r="BV49"/>
  <c r="BV48"/>
  <c r="BV47"/>
  <c r="BV46"/>
  <c r="BN94"/>
  <c r="BN93"/>
  <c r="BN92"/>
  <c r="BN91"/>
  <c r="BN90"/>
  <c r="BN89"/>
  <c r="BN88"/>
  <c r="BN87"/>
  <c r="BN86"/>
  <c r="BN85"/>
  <c r="BN84"/>
  <c r="BN83"/>
  <c r="BN82"/>
  <c r="BN81"/>
  <c r="BN80"/>
  <c r="BN79"/>
  <c r="BN78"/>
  <c r="BN77"/>
  <c r="BN76"/>
  <c r="BN75"/>
  <c r="BN74"/>
  <c r="BN73"/>
  <c r="BN72"/>
  <c r="BN71"/>
  <c r="BN70"/>
  <c r="BN69"/>
  <c r="BN68"/>
  <c r="BN67"/>
  <c r="BN66"/>
  <c r="BN65"/>
  <c r="BN64"/>
  <c r="BN63"/>
  <c r="BN62"/>
  <c r="BN61"/>
  <c r="BN60"/>
  <c r="BN59"/>
  <c r="BN58"/>
  <c r="BN57"/>
  <c r="BN56"/>
  <c r="BN55"/>
  <c r="BN54"/>
  <c r="BN53"/>
  <c r="BN52"/>
  <c r="BN51"/>
  <c r="BN50"/>
  <c r="BN49"/>
  <c r="BN48"/>
  <c r="BN47"/>
  <c r="BN46"/>
  <c r="BF94"/>
  <c r="BF93"/>
  <c r="BF92"/>
  <c r="BF91"/>
  <c r="BF90"/>
  <c r="BF89"/>
  <c r="BF88"/>
  <c r="BF87"/>
  <c r="BF86"/>
  <c r="BF85"/>
  <c r="BF84"/>
  <c r="BF83"/>
  <c r="BF82"/>
  <c r="BF81"/>
  <c r="BF80"/>
  <c r="BF79"/>
  <c r="BF78"/>
  <c r="BF77"/>
  <c r="BF76"/>
  <c r="BF75"/>
  <c r="BF74"/>
  <c r="BF73"/>
  <c r="BF72"/>
  <c r="BF71"/>
  <c r="BF70"/>
  <c r="BF69"/>
  <c r="BF68"/>
  <c r="BF67"/>
  <c r="BF66"/>
  <c r="BF65"/>
  <c r="BF64"/>
  <c r="BF63"/>
  <c r="BF62"/>
  <c r="BF61"/>
  <c r="BF60"/>
  <c r="BF59"/>
  <c r="BF58"/>
  <c r="BF57"/>
  <c r="BF56"/>
  <c r="BF55"/>
  <c r="BF54"/>
  <c r="BF53"/>
  <c r="BF52"/>
  <c r="BF51"/>
  <c r="BF50"/>
  <c r="BF49"/>
  <c r="BF48"/>
  <c r="BF47"/>
  <c r="BF46"/>
  <c r="AY94"/>
  <c r="AY93"/>
  <c r="AY92"/>
  <c r="AY91"/>
  <c r="AY90"/>
  <c r="AY89"/>
  <c r="AY88"/>
  <c r="AY87"/>
  <c r="AY86"/>
  <c r="AY85"/>
  <c r="AY84"/>
  <c r="AY83"/>
  <c r="AY82"/>
  <c r="AY81"/>
  <c r="AY80"/>
  <c r="AY79"/>
  <c r="AY78"/>
  <c r="AY77"/>
  <c r="AY76"/>
  <c r="AY75"/>
  <c r="AY74"/>
  <c r="AY73"/>
  <c r="AY72"/>
  <c r="AY71"/>
  <c r="AY70"/>
  <c r="AY69"/>
  <c r="AY68"/>
  <c r="AY67"/>
  <c r="AY66"/>
  <c r="AY65"/>
  <c r="AY64"/>
  <c r="AY63"/>
  <c r="AY62"/>
  <c r="AY61"/>
  <c r="AY60"/>
  <c r="AY59"/>
  <c r="AY58"/>
  <c r="AY57"/>
  <c r="AY56"/>
  <c r="AY55"/>
  <c r="AY54"/>
  <c r="AY53"/>
  <c r="AY52"/>
  <c r="AY51"/>
  <c r="AY50"/>
  <c r="AY49"/>
  <c r="AY48"/>
  <c r="AY47"/>
  <c r="AY46"/>
  <c r="AL94"/>
  <c r="AL93"/>
  <c r="AL92"/>
  <c r="AL91"/>
  <c r="AL90"/>
  <c r="AL89"/>
  <c r="AL8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Y45"/>
  <c r="V45"/>
  <c r="Y44"/>
  <c r="V44"/>
  <c r="Y43"/>
  <c r="V43"/>
  <c r="Y42"/>
  <c r="V42"/>
  <c r="Y41"/>
  <c r="V41"/>
  <c r="Y40"/>
  <c r="V40"/>
  <c r="Y39"/>
  <c r="V39"/>
  <c r="Y38"/>
  <c r="V38"/>
  <c r="Y37"/>
  <c r="V37"/>
  <c r="Y36"/>
  <c r="V36"/>
  <c r="Y35"/>
  <c r="V35"/>
  <c r="Y34"/>
  <c r="V34"/>
  <c r="Y33"/>
  <c r="V33"/>
  <c r="Y32"/>
  <c r="V32"/>
  <c r="Y31"/>
  <c r="V31"/>
  <c r="Y30"/>
  <c r="V30"/>
  <c r="Y29"/>
  <c r="V29"/>
  <c r="Y28"/>
  <c r="V28"/>
  <c r="Y27"/>
  <c r="V27"/>
  <c r="Y26"/>
  <c r="V26"/>
  <c r="Y25"/>
  <c r="V25"/>
  <c r="Y24"/>
  <c r="V24"/>
  <c r="Y23"/>
  <c r="V23"/>
  <c r="Y22"/>
  <c r="V22"/>
  <c r="Y21"/>
  <c r="V21"/>
  <c r="Y20"/>
  <c r="V20"/>
  <c r="Y19"/>
  <c r="V19"/>
  <c r="Y18"/>
  <c r="V18"/>
  <c r="Y17"/>
  <c r="V17"/>
  <c r="Y16"/>
  <c r="V16"/>
  <c r="Y15"/>
  <c r="V15"/>
  <c r="Y14"/>
  <c r="V14"/>
  <c r="Y13"/>
  <c r="V13"/>
  <c r="Y12"/>
  <c r="V12"/>
  <c r="Y11"/>
  <c r="V11"/>
  <c r="Y10"/>
  <c r="V10"/>
  <c r="Y9"/>
  <c r="V9"/>
  <c r="Y8"/>
  <c r="V8"/>
  <c r="Y94" l="1"/>
  <c r="V94"/>
  <c r="Y93"/>
  <c r="V93"/>
  <c r="Y92"/>
  <c r="V92"/>
  <c r="Y91"/>
  <c r="V91"/>
  <c r="Y90"/>
  <c r="V90"/>
  <c r="Y89"/>
  <c r="V89"/>
  <c r="Y88"/>
  <c r="V88"/>
  <c r="Y87"/>
  <c r="V87"/>
  <c r="Y86"/>
  <c r="V86"/>
  <c r="Y85"/>
  <c r="V85"/>
  <c r="Y84"/>
  <c r="V84"/>
  <c r="Y83"/>
  <c r="V83"/>
  <c r="Y82"/>
  <c r="V82"/>
  <c r="Y81"/>
  <c r="V81"/>
  <c r="Y80"/>
  <c r="V80"/>
  <c r="Y79"/>
  <c r="V79"/>
  <c r="Y78"/>
  <c r="V78"/>
  <c r="Y77"/>
  <c r="V77"/>
  <c r="Y76"/>
  <c r="V76"/>
  <c r="Y75"/>
  <c r="V75"/>
  <c r="Y74"/>
  <c r="V74"/>
  <c r="Y73"/>
  <c r="V73"/>
  <c r="Y72"/>
  <c r="V72"/>
  <c r="Y71"/>
  <c r="V71"/>
  <c r="Y70"/>
  <c r="V70"/>
  <c r="Y69"/>
  <c r="V69"/>
  <c r="Y68"/>
  <c r="V68"/>
  <c r="Y67"/>
  <c r="V67"/>
  <c r="Y66"/>
  <c r="V66"/>
  <c r="Y65"/>
  <c r="V65"/>
  <c r="Y64"/>
  <c r="V64"/>
  <c r="Y63"/>
  <c r="V63"/>
  <c r="Y62"/>
  <c r="V62"/>
  <c r="Y61"/>
  <c r="V61"/>
  <c r="Y60"/>
  <c r="V60"/>
  <c r="Y59"/>
  <c r="V59"/>
  <c r="Y58"/>
  <c r="V58"/>
  <c r="Y57"/>
  <c r="V57"/>
  <c r="Y56"/>
  <c r="V56"/>
  <c r="Y55"/>
  <c r="V55"/>
  <c r="Y54"/>
  <c r="V54"/>
  <c r="Y53"/>
  <c r="V53"/>
  <c r="Y52"/>
  <c r="V52"/>
  <c r="Y51"/>
  <c r="V51"/>
  <c r="Y50"/>
  <c r="V50"/>
  <c r="Y49"/>
  <c r="V49"/>
  <c r="Y48"/>
  <c r="V48"/>
  <c r="Y47"/>
  <c r="V47"/>
  <c r="Y46"/>
  <c r="V46"/>
  <c r="N94"/>
  <c r="K94"/>
  <c r="I94"/>
  <c r="N93"/>
  <c r="K93"/>
  <c r="I93"/>
  <c r="N92"/>
  <c r="I92"/>
  <c r="N91"/>
  <c r="I91"/>
  <c r="N90"/>
  <c r="K90"/>
  <c r="I90"/>
  <c r="N89"/>
  <c r="K89"/>
  <c r="I89"/>
  <c r="N88"/>
  <c r="I88"/>
  <c r="N87"/>
  <c r="K87"/>
  <c r="I87"/>
  <c r="N86"/>
  <c r="K86"/>
  <c r="I86"/>
  <c r="N85"/>
  <c r="K85"/>
  <c r="I85"/>
  <c r="N84"/>
  <c r="I84"/>
  <c r="N83"/>
  <c r="K83"/>
  <c r="I83"/>
  <c r="N82"/>
  <c r="I82"/>
  <c r="S82" s="1"/>
  <c r="N81"/>
  <c r="K81"/>
  <c r="I81"/>
  <c r="N80"/>
  <c r="I80"/>
  <c r="N79"/>
  <c r="K79"/>
  <c r="I79"/>
  <c r="N78"/>
  <c r="I78"/>
  <c r="N77"/>
  <c r="K77"/>
  <c r="I77"/>
  <c r="N76"/>
  <c r="I76"/>
  <c r="N75"/>
  <c r="K75"/>
  <c r="I75"/>
  <c r="N74"/>
  <c r="K74"/>
  <c r="I74"/>
  <c r="N73"/>
  <c r="I73"/>
  <c r="K73" s="1"/>
  <c r="N72"/>
  <c r="I72"/>
  <c r="N71"/>
  <c r="K71"/>
  <c r="I71"/>
  <c r="N70"/>
  <c r="K70"/>
  <c r="I70"/>
  <c r="N69"/>
  <c r="K69"/>
  <c r="I69"/>
  <c r="N68"/>
  <c r="I68"/>
  <c r="N67"/>
  <c r="K67"/>
  <c r="I67"/>
  <c r="N66"/>
  <c r="K66"/>
  <c r="I66"/>
  <c r="N65"/>
  <c r="I65"/>
  <c r="N64"/>
  <c r="I64"/>
  <c r="N63"/>
  <c r="K63"/>
  <c r="I63"/>
  <c r="N62"/>
  <c r="K62"/>
  <c r="I62"/>
  <c r="N61"/>
  <c r="K61"/>
  <c r="I61"/>
  <c r="N60"/>
  <c r="I60"/>
  <c r="N59"/>
  <c r="I59"/>
  <c r="K59" s="1"/>
  <c r="N58"/>
  <c r="K58"/>
  <c r="I58"/>
  <c r="N57"/>
  <c r="K57"/>
  <c r="I57"/>
  <c r="N56"/>
  <c r="I56"/>
  <c r="N55"/>
  <c r="I55"/>
  <c r="K55" s="1"/>
  <c r="N54"/>
  <c r="K54"/>
  <c r="I54"/>
  <c r="N53"/>
  <c r="K53"/>
  <c r="I53"/>
  <c r="N52"/>
  <c r="I52"/>
  <c r="N51"/>
  <c r="K51"/>
  <c r="I51"/>
  <c r="N50"/>
  <c r="I50"/>
  <c r="K50" s="1"/>
  <c r="N49"/>
  <c r="K49"/>
  <c r="I49"/>
  <c r="N48"/>
  <c r="I48"/>
  <c r="N47"/>
  <c r="K47"/>
  <c r="I47"/>
  <c r="N46"/>
  <c r="I46"/>
  <c r="K46" s="1"/>
  <c r="K82" l="1"/>
  <c r="S91"/>
  <c r="K56"/>
  <c r="K64"/>
  <c r="K68"/>
  <c r="S94"/>
  <c r="K60"/>
  <c r="K84"/>
  <c r="S51"/>
  <c r="S71"/>
  <c r="K92"/>
  <c r="S92"/>
  <c r="K72"/>
  <c r="K76"/>
  <c r="S76"/>
  <c r="K80"/>
  <c r="S80"/>
  <c r="K88"/>
  <c r="S93"/>
  <c r="S70"/>
  <c r="S83"/>
  <c r="K48"/>
  <c r="K52"/>
  <c r="S89"/>
  <c r="K65"/>
  <c r="K78"/>
  <c r="K91"/>
  <c r="CD45"/>
  <c r="CD44"/>
  <c r="CD43"/>
  <c r="CD42"/>
  <c r="CD41"/>
  <c r="CD40"/>
  <c r="CD39"/>
  <c r="CD38"/>
  <c r="CD37"/>
  <c r="CD36"/>
  <c r="CD35"/>
  <c r="CD34"/>
  <c r="CD33"/>
  <c r="CD32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AY45"/>
  <c r="AY44"/>
  <c r="AY43"/>
  <c r="AY42"/>
  <c r="AY41"/>
  <c r="AY40"/>
  <c r="AY39"/>
  <c r="AY38"/>
  <c r="AY37"/>
  <c r="AY36"/>
  <c r="AY35"/>
  <c r="AY34"/>
  <c r="AY33"/>
  <c r="AY32"/>
  <c r="AY31"/>
  <c r="AY30"/>
  <c r="AY29"/>
  <c r="AY28"/>
  <c r="AY27"/>
  <c r="AY26"/>
  <c r="AY25"/>
  <c r="AY24"/>
  <c r="AY23"/>
  <c r="AY22"/>
  <c r="AY21"/>
  <c r="AY20"/>
  <c r="AY19"/>
  <c r="AY18"/>
  <c r="AY17"/>
  <c r="AY16"/>
  <c r="AY15"/>
  <c r="AY14"/>
  <c r="AY13"/>
  <c r="AY12"/>
  <c r="AY11"/>
  <c r="AY10"/>
  <c r="AY9"/>
  <c r="AY8"/>
  <c r="N45"/>
  <c r="I45"/>
  <c r="N44"/>
  <c r="I44"/>
  <c r="N43"/>
  <c r="I43"/>
  <c r="N42"/>
  <c r="I42"/>
  <c r="N41"/>
  <c r="I41"/>
  <c r="N40"/>
  <c r="I40"/>
  <c r="N39"/>
  <c r="I39"/>
  <c r="K39" s="1"/>
  <c r="N38"/>
  <c r="I38"/>
  <c r="N37"/>
  <c r="I37"/>
  <c r="N36"/>
  <c r="I36"/>
  <c r="N35"/>
  <c r="I35"/>
  <c r="K35" s="1"/>
  <c r="N34"/>
  <c r="I34"/>
  <c r="I33"/>
  <c r="K33" s="1"/>
  <c r="I32"/>
  <c r="K32" s="1"/>
  <c r="I31"/>
  <c r="N30"/>
  <c r="I30"/>
  <c r="N29"/>
  <c r="I29"/>
  <c r="N28"/>
  <c r="I28"/>
  <c r="N27"/>
  <c r="I27"/>
  <c r="N26"/>
  <c r="I26"/>
  <c r="N25"/>
  <c r="I25"/>
  <c r="N24"/>
  <c r="I24"/>
  <c r="N23"/>
  <c r="I23"/>
  <c r="K23" s="1"/>
  <c r="N22"/>
  <c r="I22"/>
  <c r="N21"/>
  <c r="I21"/>
  <c r="N20"/>
  <c r="I20"/>
  <c r="N19"/>
  <c r="I19"/>
  <c r="K19" s="1"/>
  <c r="N18"/>
  <c r="I18"/>
  <c r="N17"/>
  <c r="I17"/>
  <c r="N16"/>
  <c r="I16"/>
  <c r="N15"/>
  <c r="I15"/>
  <c r="K15" s="1"/>
  <c r="N14"/>
  <c r="I14"/>
  <c r="N13"/>
  <c r="I13"/>
  <c r="N12"/>
  <c r="I12"/>
  <c r="N11"/>
  <c r="I11"/>
  <c r="N10"/>
  <c r="I10"/>
  <c r="N9"/>
  <c r="I9"/>
  <c r="N8"/>
  <c r="I8"/>
  <c r="K8" s="1"/>
  <c r="S43" l="1"/>
  <c r="K16"/>
  <c r="K34"/>
  <c r="K21"/>
  <c r="K44"/>
  <c r="K10"/>
  <c r="K26"/>
  <c r="K20"/>
  <c r="K38"/>
  <c r="K43"/>
  <c r="K9"/>
  <c r="K25"/>
  <c r="K14"/>
  <c r="K30"/>
  <c r="K37"/>
  <c r="K24"/>
  <c r="K42"/>
  <c r="K13"/>
  <c r="K29"/>
  <c r="K36"/>
  <c r="K18"/>
  <c r="K41"/>
  <c r="K12"/>
  <c r="K28"/>
  <c r="K17"/>
  <c r="K40"/>
  <c r="K22"/>
  <c r="K45"/>
  <c r="K11"/>
  <c r="K27"/>
  <c r="K31"/>
  <c r="D30" i="7"/>
  <c r="D28"/>
  <c r="D27"/>
  <c r="D26"/>
  <c r="D25"/>
  <c r="D24"/>
  <c r="D23"/>
  <c r="D22"/>
  <c r="CD95" i="5"/>
  <c r="CG95" s="1"/>
  <c r="BV95"/>
  <c r="BY95" s="1"/>
  <c r="BN95"/>
  <c r="BS95" s="1"/>
  <c r="BF95"/>
  <c r="BI95" s="1"/>
  <c r="AY95"/>
  <c r="BA95" s="1"/>
  <c r="AV95"/>
  <c r="AT95"/>
  <c r="AL95"/>
  <c r="AP95" s="1"/>
  <c r="AE95"/>
  <c r="AI95" s="1"/>
  <c r="S95"/>
  <c r="CJ95" s="1"/>
  <c r="CK95" s="1"/>
  <c r="CW95" s="1"/>
  <c r="CX95" s="1"/>
  <c r="P95"/>
  <c r="K95"/>
  <c r="CD94"/>
  <c r="CI94" s="1"/>
  <c r="BV94"/>
  <c r="BN94"/>
  <c r="BQ94" s="1"/>
  <c r="BF94"/>
  <c r="BI94" s="1"/>
  <c r="AY94"/>
  <c r="BA94" s="1"/>
  <c r="AT94"/>
  <c r="AV94" s="1"/>
  <c r="AL94"/>
  <c r="AE94"/>
  <c r="AG94" s="1"/>
  <c r="P94"/>
  <c r="K94"/>
  <c r="CD93"/>
  <c r="CI93" s="1"/>
  <c r="BV93"/>
  <c r="BY93" s="1"/>
  <c r="BN93"/>
  <c r="BQ93" s="1"/>
  <c r="BF93"/>
  <c r="AY93"/>
  <c r="AT93"/>
  <c r="AV93" s="1"/>
  <c r="AL93"/>
  <c r="AN93" s="1"/>
  <c r="AE93"/>
  <c r="AG93" s="1"/>
  <c r="P93"/>
  <c r="K93"/>
  <c r="CD92"/>
  <c r="CG92" s="1"/>
  <c r="BV92"/>
  <c r="BY92" s="1"/>
  <c r="BN92"/>
  <c r="BQ92" s="1"/>
  <c r="BF92"/>
  <c r="AY92"/>
  <c r="BA92" s="1"/>
  <c r="AT92"/>
  <c r="AV92" s="1"/>
  <c r="AL92"/>
  <c r="AN92" s="1"/>
  <c r="AE92"/>
  <c r="AI92" s="1"/>
  <c r="P92"/>
  <c r="CD91"/>
  <c r="CG91" s="1"/>
  <c r="BV91"/>
  <c r="BY91" s="1"/>
  <c r="BN91"/>
  <c r="BQ91" s="1"/>
  <c r="BF91"/>
  <c r="BI91" s="1"/>
  <c r="AY91"/>
  <c r="BA91" s="1"/>
  <c r="AT91"/>
  <c r="AV91" s="1"/>
  <c r="AL91"/>
  <c r="AE91"/>
  <c r="P91"/>
  <c r="K91"/>
  <c r="CD90"/>
  <c r="CG90" s="1"/>
  <c r="BV90"/>
  <c r="BY90" s="1"/>
  <c r="BN90"/>
  <c r="BQ90" s="1"/>
  <c r="BF90"/>
  <c r="BI90" s="1"/>
  <c r="AY90"/>
  <c r="BA90" s="1"/>
  <c r="AT90"/>
  <c r="AV90" s="1"/>
  <c r="AL90"/>
  <c r="AE90"/>
  <c r="AG90" s="1"/>
  <c r="P90"/>
  <c r="K90"/>
  <c r="CD89"/>
  <c r="CG89" s="1"/>
  <c r="CI89" s="1"/>
  <c r="BV89"/>
  <c r="BY89" s="1"/>
  <c r="BN89"/>
  <c r="BQ89" s="1"/>
  <c r="BF89"/>
  <c r="BI89" s="1"/>
  <c r="AY89"/>
  <c r="BA89" s="1"/>
  <c r="AT89"/>
  <c r="AV89" s="1"/>
  <c r="AL89"/>
  <c r="AN89" s="1"/>
  <c r="AE89"/>
  <c r="AG89" s="1"/>
  <c r="AI89" s="1"/>
  <c r="P89"/>
  <c r="K89"/>
  <c r="CD88"/>
  <c r="CG88" s="1"/>
  <c r="BV88"/>
  <c r="BY88" s="1"/>
  <c r="BN88"/>
  <c r="BQ88" s="1"/>
  <c r="BS88" s="1"/>
  <c r="BF88"/>
  <c r="BI88" s="1"/>
  <c r="AY88"/>
  <c r="BA88" s="1"/>
  <c r="AT88"/>
  <c r="AV88" s="1"/>
  <c r="AL88"/>
  <c r="AN88" s="1"/>
  <c r="AE88"/>
  <c r="P88"/>
  <c r="CD87"/>
  <c r="CG87" s="1"/>
  <c r="BV87"/>
  <c r="CA87" s="1"/>
  <c r="BN87"/>
  <c r="BS87" s="1"/>
  <c r="BF87"/>
  <c r="BI87" s="1"/>
  <c r="AY87"/>
  <c r="BA87" s="1"/>
  <c r="AV87"/>
  <c r="AT87"/>
  <c r="AL87"/>
  <c r="AP87" s="1"/>
  <c r="AE87"/>
  <c r="AI87" s="1"/>
  <c r="P87"/>
  <c r="K87"/>
  <c r="CD86"/>
  <c r="BV86"/>
  <c r="BY86" s="1"/>
  <c r="BN86"/>
  <c r="BQ86" s="1"/>
  <c r="BF86"/>
  <c r="BI86" s="1"/>
  <c r="AY86"/>
  <c r="AT86"/>
  <c r="AV86" s="1"/>
  <c r="AL86"/>
  <c r="AE86"/>
  <c r="AG86" s="1"/>
  <c r="P86"/>
  <c r="K86"/>
  <c r="CD85"/>
  <c r="CG85" s="1"/>
  <c r="BV85"/>
  <c r="BY85" s="1"/>
  <c r="BN85"/>
  <c r="BQ85" s="1"/>
  <c r="BF85"/>
  <c r="BI85" s="1"/>
  <c r="BK85" s="1"/>
  <c r="AY85"/>
  <c r="BA85" s="1"/>
  <c r="AT85"/>
  <c r="AV85" s="1"/>
  <c r="AL85"/>
  <c r="AN85" s="1"/>
  <c r="AE85"/>
  <c r="AG85" s="1"/>
  <c r="P85"/>
  <c r="K85"/>
  <c r="CD84"/>
  <c r="CG84" s="1"/>
  <c r="BV84"/>
  <c r="BY84" s="1"/>
  <c r="BN84"/>
  <c r="BF84"/>
  <c r="BI84" s="1"/>
  <c r="BK84" s="1"/>
  <c r="AY84"/>
  <c r="BA84" s="1"/>
  <c r="AT84"/>
  <c r="AV84" s="1"/>
  <c r="AL84"/>
  <c r="AE84"/>
  <c r="AI84" s="1"/>
  <c r="P84"/>
  <c r="K84"/>
  <c r="CD83"/>
  <c r="CG83" s="1"/>
  <c r="BV83"/>
  <c r="CA83" s="1"/>
  <c r="BN83"/>
  <c r="BQ83" s="1"/>
  <c r="BF83"/>
  <c r="BI83" s="1"/>
  <c r="AY83"/>
  <c r="BA83" s="1"/>
  <c r="AV83"/>
  <c r="AT83"/>
  <c r="AL83"/>
  <c r="AP83" s="1"/>
  <c r="AE83"/>
  <c r="AI83" s="1"/>
  <c r="P83"/>
  <c r="K83"/>
  <c r="CD82"/>
  <c r="CG82" s="1"/>
  <c r="BV82"/>
  <c r="BY82" s="1"/>
  <c r="BN82"/>
  <c r="BQ82" s="1"/>
  <c r="BF82"/>
  <c r="BI82" s="1"/>
  <c r="AY82"/>
  <c r="BA82" s="1"/>
  <c r="AV82"/>
  <c r="AT82"/>
  <c r="AL82"/>
  <c r="AP82" s="1"/>
  <c r="AE82"/>
  <c r="AG82" s="1"/>
  <c r="P82"/>
  <c r="K82"/>
  <c r="CD81"/>
  <c r="CG81" s="1"/>
  <c r="BV81"/>
  <c r="BY81" s="1"/>
  <c r="BN81"/>
  <c r="BQ81" s="1"/>
  <c r="BF81"/>
  <c r="BI81" s="1"/>
  <c r="AY81"/>
  <c r="AT81"/>
  <c r="AV81" s="1"/>
  <c r="AL81"/>
  <c r="AN81" s="1"/>
  <c r="AE81"/>
  <c r="AG81" s="1"/>
  <c r="P81"/>
  <c r="K81"/>
  <c r="CD80"/>
  <c r="CG80" s="1"/>
  <c r="BV80"/>
  <c r="BY80" s="1"/>
  <c r="BN80"/>
  <c r="BQ80" s="1"/>
  <c r="BF80"/>
  <c r="BI80" s="1"/>
  <c r="AY80"/>
  <c r="BA80" s="1"/>
  <c r="AV80"/>
  <c r="AT80"/>
  <c r="AL80"/>
  <c r="AN80" s="1"/>
  <c r="AE80"/>
  <c r="AI80" s="1"/>
  <c r="P80"/>
  <c r="K80"/>
  <c r="CD79"/>
  <c r="CG79" s="1"/>
  <c r="BV79"/>
  <c r="BY79" s="1"/>
  <c r="BN79"/>
  <c r="BS79" s="1"/>
  <c r="BF79"/>
  <c r="BI79" s="1"/>
  <c r="AY79"/>
  <c r="BA79" s="1"/>
  <c r="AV79"/>
  <c r="AT79"/>
  <c r="AL79"/>
  <c r="AP79" s="1"/>
  <c r="AE79"/>
  <c r="AI79" s="1"/>
  <c r="P79"/>
  <c r="K79"/>
  <c r="CD78"/>
  <c r="CG78" s="1"/>
  <c r="BV78"/>
  <c r="BY78" s="1"/>
  <c r="BN78"/>
  <c r="BQ78" s="1"/>
  <c r="BF78"/>
  <c r="BI78" s="1"/>
  <c r="AY78"/>
  <c r="BA78" s="1"/>
  <c r="AT78"/>
  <c r="AV78" s="1"/>
  <c r="AL78"/>
  <c r="AE78"/>
  <c r="AG78" s="1"/>
  <c r="AI78" s="1"/>
  <c r="P78"/>
  <c r="K78"/>
  <c r="CD77"/>
  <c r="CG77" s="1"/>
  <c r="BV77"/>
  <c r="BY77" s="1"/>
  <c r="BN77"/>
  <c r="BQ77" s="1"/>
  <c r="BF77"/>
  <c r="BI77" s="1"/>
  <c r="AY77"/>
  <c r="BA77" s="1"/>
  <c r="AT77"/>
  <c r="AV77" s="1"/>
  <c r="AL77"/>
  <c r="AN77" s="1"/>
  <c r="AE77"/>
  <c r="AG77" s="1"/>
  <c r="AI77" s="1"/>
  <c r="P77"/>
  <c r="K77"/>
  <c r="CD76"/>
  <c r="CG76" s="1"/>
  <c r="BV76"/>
  <c r="BY76" s="1"/>
  <c r="BN76"/>
  <c r="BQ76" s="1"/>
  <c r="BF76"/>
  <c r="BI76" s="1"/>
  <c r="AY76"/>
  <c r="BA76" s="1"/>
  <c r="AT76"/>
  <c r="AV76" s="1"/>
  <c r="AL76"/>
  <c r="AN76" s="1"/>
  <c r="AE76"/>
  <c r="P76"/>
  <c r="K76"/>
  <c r="CD75"/>
  <c r="CG75" s="1"/>
  <c r="BV75"/>
  <c r="BY75" s="1"/>
  <c r="BN75"/>
  <c r="BQ75" s="1"/>
  <c r="BF75"/>
  <c r="BI75" s="1"/>
  <c r="AY75"/>
  <c r="BA75" s="1"/>
  <c r="AT75"/>
  <c r="AV75" s="1"/>
  <c r="AL75"/>
  <c r="AP75" s="1"/>
  <c r="AE75"/>
  <c r="P75"/>
  <c r="K75"/>
  <c r="CD74"/>
  <c r="BV74"/>
  <c r="BY74" s="1"/>
  <c r="BN74"/>
  <c r="BQ74" s="1"/>
  <c r="BF74"/>
  <c r="BI74" s="1"/>
  <c r="AY74"/>
  <c r="AT74"/>
  <c r="AV74" s="1"/>
  <c r="AL74"/>
  <c r="AE74"/>
  <c r="AG74" s="1"/>
  <c r="P74"/>
  <c r="K74"/>
  <c r="CD73"/>
  <c r="CG73" s="1"/>
  <c r="BV73"/>
  <c r="BY73" s="1"/>
  <c r="BN73"/>
  <c r="BQ73" s="1"/>
  <c r="BF73"/>
  <c r="BI73" s="1"/>
  <c r="AY73"/>
  <c r="BA73" s="1"/>
  <c r="AT73"/>
  <c r="AV73" s="1"/>
  <c r="AL73"/>
  <c r="AN73" s="1"/>
  <c r="AE73"/>
  <c r="AG73" s="1"/>
  <c r="P73"/>
  <c r="K73"/>
  <c r="CD72"/>
  <c r="CG72" s="1"/>
  <c r="BV72"/>
  <c r="BY72" s="1"/>
  <c r="BN72"/>
  <c r="BQ72" s="1"/>
  <c r="BF72"/>
  <c r="AY72"/>
  <c r="BA72" s="1"/>
  <c r="AT72"/>
  <c r="AV72" s="1"/>
  <c r="AL72"/>
  <c r="AN72" s="1"/>
  <c r="AE72"/>
  <c r="P72"/>
  <c r="K72"/>
  <c r="CD71"/>
  <c r="CG71" s="1"/>
  <c r="BV71"/>
  <c r="CA71" s="1"/>
  <c r="BN71"/>
  <c r="BS71" s="1"/>
  <c r="BF71"/>
  <c r="BI71" s="1"/>
  <c r="AY71"/>
  <c r="BA71" s="1"/>
  <c r="AT71"/>
  <c r="AV71" s="1"/>
  <c r="AL71"/>
  <c r="AP71" s="1"/>
  <c r="AE71"/>
  <c r="AI71" s="1"/>
  <c r="P71"/>
  <c r="K71"/>
  <c r="CD70"/>
  <c r="CG70" s="1"/>
  <c r="BV70"/>
  <c r="BN70"/>
  <c r="BQ70" s="1"/>
  <c r="BF70"/>
  <c r="BI70" s="1"/>
  <c r="AY70"/>
  <c r="BA70" s="1"/>
  <c r="AT70"/>
  <c r="AV70" s="1"/>
  <c r="AL70"/>
  <c r="AE70"/>
  <c r="AG70" s="1"/>
  <c r="P70"/>
  <c r="K70"/>
  <c r="CD69"/>
  <c r="CG69" s="1"/>
  <c r="BV69"/>
  <c r="BY69" s="1"/>
  <c r="BN69"/>
  <c r="BQ69" s="1"/>
  <c r="BF69"/>
  <c r="AY69"/>
  <c r="BA69" s="1"/>
  <c r="AT69"/>
  <c r="AV69" s="1"/>
  <c r="AL69"/>
  <c r="AN69" s="1"/>
  <c r="AE69"/>
  <c r="AG69" s="1"/>
  <c r="P69"/>
  <c r="K69"/>
  <c r="CD68"/>
  <c r="CG68" s="1"/>
  <c r="BV68"/>
  <c r="BY68" s="1"/>
  <c r="BN68"/>
  <c r="BQ68" s="1"/>
  <c r="BF68"/>
  <c r="BI68" s="1"/>
  <c r="AY68"/>
  <c r="BA68" s="1"/>
  <c r="AT68"/>
  <c r="AV68" s="1"/>
  <c r="AL68"/>
  <c r="AP68" s="1"/>
  <c r="AE68"/>
  <c r="AI68" s="1"/>
  <c r="P68"/>
  <c r="K68"/>
  <c r="CD67"/>
  <c r="CG67" s="1"/>
  <c r="BV67"/>
  <c r="BN67"/>
  <c r="BQ67" s="1"/>
  <c r="BF67"/>
  <c r="BI67" s="1"/>
  <c r="AY67"/>
  <c r="BA67" s="1"/>
  <c r="AT67"/>
  <c r="AV67" s="1"/>
  <c r="AL67"/>
  <c r="AE67"/>
  <c r="P67"/>
  <c r="K67"/>
  <c r="CD66"/>
  <c r="CG66" s="1"/>
  <c r="BV66"/>
  <c r="BY66" s="1"/>
  <c r="BN66"/>
  <c r="BQ66" s="1"/>
  <c r="BF66"/>
  <c r="BI66" s="1"/>
  <c r="AY66"/>
  <c r="BA66" s="1"/>
  <c r="AT66"/>
  <c r="AV66" s="1"/>
  <c r="AL66"/>
  <c r="AE66"/>
  <c r="P66"/>
  <c r="K66"/>
  <c r="CD65"/>
  <c r="CG65" s="1"/>
  <c r="BV65"/>
  <c r="BY65" s="1"/>
  <c r="BN65"/>
  <c r="BQ65" s="1"/>
  <c r="BF65"/>
  <c r="BI65" s="1"/>
  <c r="AY65"/>
  <c r="BA65" s="1"/>
  <c r="AT65"/>
  <c r="AV65" s="1"/>
  <c r="AL65"/>
  <c r="AE65"/>
  <c r="AG65" s="1"/>
  <c r="P65"/>
  <c r="K65"/>
  <c r="CD64"/>
  <c r="CG64" s="1"/>
  <c r="BV64"/>
  <c r="BY64" s="1"/>
  <c r="BN64"/>
  <c r="BQ64" s="1"/>
  <c r="BF64"/>
  <c r="BI64" s="1"/>
  <c r="AY64"/>
  <c r="BA64" s="1"/>
  <c r="AT64"/>
  <c r="AV64" s="1"/>
  <c r="AL64"/>
  <c r="AE64"/>
  <c r="P64"/>
  <c r="K64"/>
  <c r="CD63"/>
  <c r="CG63" s="1"/>
  <c r="BV63"/>
  <c r="BN63"/>
  <c r="BQ63" s="1"/>
  <c r="BF63"/>
  <c r="BI63" s="1"/>
  <c r="AY63"/>
  <c r="BA63" s="1"/>
  <c r="AT63"/>
  <c r="AV63" s="1"/>
  <c r="AL63"/>
  <c r="AE63"/>
  <c r="AI63" s="1"/>
  <c r="P63"/>
  <c r="K63"/>
  <c r="CD62"/>
  <c r="CG62" s="1"/>
  <c r="BV62"/>
  <c r="BY62" s="1"/>
  <c r="BN62"/>
  <c r="BQ62" s="1"/>
  <c r="BF62"/>
  <c r="BI62" s="1"/>
  <c r="AY62"/>
  <c r="BA62" s="1"/>
  <c r="AT62"/>
  <c r="AV62" s="1"/>
  <c r="AL62"/>
  <c r="AE62"/>
  <c r="P62"/>
  <c r="K62"/>
  <c r="CD61"/>
  <c r="CG61" s="1"/>
  <c r="BV61"/>
  <c r="BY61" s="1"/>
  <c r="BN61"/>
  <c r="BQ61" s="1"/>
  <c r="BF61"/>
  <c r="BI61" s="1"/>
  <c r="AY61"/>
  <c r="BA61" s="1"/>
  <c r="BC61" s="1"/>
  <c r="AT61"/>
  <c r="AV61" s="1"/>
  <c r="AL61"/>
  <c r="AE61"/>
  <c r="P61"/>
  <c r="K61"/>
  <c r="CD60"/>
  <c r="CG60" s="1"/>
  <c r="BV60"/>
  <c r="BY60" s="1"/>
  <c r="BN60"/>
  <c r="BF60"/>
  <c r="BI60" s="1"/>
  <c r="AY60"/>
  <c r="BA60" s="1"/>
  <c r="AT60"/>
  <c r="AV60" s="1"/>
  <c r="AL60"/>
  <c r="AN60" s="1"/>
  <c r="AE60"/>
  <c r="P60"/>
  <c r="K60"/>
  <c r="CD59"/>
  <c r="CG59" s="1"/>
  <c r="BV59"/>
  <c r="BY59" s="1"/>
  <c r="BN59"/>
  <c r="BF59"/>
  <c r="BI59" s="1"/>
  <c r="AY59"/>
  <c r="BA59" s="1"/>
  <c r="AT59"/>
  <c r="AV59" s="1"/>
  <c r="AL59"/>
  <c r="AE59"/>
  <c r="P59"/>
  <c r="K59"/>
  <c r="CD58"/>
  <c r="BV58"/>
  <c r="BN58"/>
  <c r="BQ58" s="1"/>
  <c r="BF58"/>
  <c r="BI58" s="1"/>
  <c r="AY58"/>
  <c r="BA58" s="1"/>
  <c r="AT58"/>
  <c r="AV58" s="1"/>
  <c r="AL58"/>
  <c r="AE58"/>
  <c r="AG58" s="1"/>
  <c r="P58"/>
  <c r="K58"/>
  <c r="CD57"/>
  <c r="CG57" s="1"/>
  <c r="BV57"/>
  <c r="BY57" s="1"/>
  <c r="BN57"/>
  <c r="BQ57" s="1"/>
  <c r="BF57"/>
  <c r="BI57" s="1"/>
  <c r="AY57"/>
  <c r="AT57"/>
  <c r="AV57" s="1"/>
  <c r="AL57"/>
  <c r="AE57"/>
  <c r="P57"/>
  <c r="K57"/>
  <c r="CD56"/>
  <c r="CG56" s="1"/>
  <c r="BV56"/>
  <c r="BY56" s="1"/>
  <c r="BN56"/>
  <c r="BF56"/>
  <c r="AY56"/>
  <c r="BA56" s="1"/>
  <c r="AT56"/>
  <c r="AV56" s="1"/>
  <c r="AL56"/>
  <c r="AN56" s="1"/>
  <c r="AE56"/>
  <c r="AI56" s="1"/>
  <c r="P56"/>
  <c r="K56"/>
  <c r="CD55"/>
  <c r="CG55" s="1"/>
  <c r="BV55"/>
  <c r="BY55" s="1"/>
  <c r="BN55"/>
  <c r="BQ55" s="1"/>
  <c r="BS55" s="1"/>
  <c r="BF55"/>
  <c r="BI55" s="1"/>
  <c r="AY55"/>
  <c r="BA55" s="1"/>
  <c r="AT55"/>
  <c r="AV55" s="1"/>
  <c r="AL55"/>
  <c r="AE55"/>
  <c r="P55"/>
  <c r="K55"/>
  <c r="CD54"/>
  <c r="CG54" s="1"/>
  <c r="BV54"/>
  <c r="BN54"/>
  <c r="BQ54" s="1"/>
  <c r="BF54"/>
  <c r="BI54" s="1"/>
  <c r="AY54"/>
  <c r="AT54"/>
  <c r="AV54" s="1"/>
  <c r="AL54"/>
  <c r="AE54"/>
  <c r="AG54" s="1"/>
  <c r="P54"/>
  <c r="K54"/>
  <c r="CD53"/>
  <c r="CG53" s="1"/>
  <c r="BV53"/>
  <c r="BY53" s="1"/>
  <c r="BN53"/>
  <c r="BQ53" s="1"/>
  <c r="BF53"/>
  <c r="BI53" s="1"/>
  <c r="AY53"/>
  <c r="AT53"/>
  <c r="AV53" s="1"/>
  <c r="AL53"/>
  <c r="AE53"/>
  <c r="P53"/>
  <c r="K53"/>
  <c r="CD52"/>
  <c r="CG52" s="1"/>
  <c r="BV52"/>
  <c r="BY52" s="1"/>
  <c r="BN52"/>
  <c r="BQ52" s="1"/>
  <c r="BS52" s="1"/>
  <c r="BF52"/>
  <c r="BK52" s="1"/>
  <c r="AY52"/>
  <c r="BA52" s="1"/>
  <c r="AT52"/>
  <c r="AV52" s="1"/>
  <c r="AL52"/>
  <c r="AN52" s="1"/>
  <c r="AE52"/>
  <c r="AI52" s="1"/>
  <c r="P52"/>
  <c r="K52"/>
  <c r="CD51"/>
  <c r="CG51" s="1"/>
  <c r="BV51"/>
  <c r="BY51" s="1"/>
  <c r="BN51"/>
  <c r="BQ51" s="1"/>
  <c r="BF51"/>
  <c r="BI51" s="1"/>
  <c r="AY51"/>
  <c r="BA51" s="1"/>
  <c r="AT51"/>
  <c r="AV51" s="1"/>
  <c r="AL51"/>
  <c r="AE51"/>
  <c r="P51"/>
  <c r="K51"/>
  <c r="CD50"/>
  <c r="CG50" s="1"/>
  <c r="BV50"/>
  <c r="BN50"/>
  <c r="BQ50" s="1"/>
  <c r="BF50"/>
  <c r="BI50" s="1"/>
  <c r="AY50"/>
  <c r="AT50"/>
  <c r="AV50" s="1"/>
  <c r="AL50"/>
  <c r="AE50"/>
  <c r="AG50" s="1"/>
  <c r="P50"/>
  <c r="K50"/>
  <c r="CD49"/>
  <c r="CG49" s="1"/>
  <c r="BV49"/>
  <c r="BY49" s="1"/>
  <c r="BN49"/>
  <c r="BQ49" s="1"/>
  <c r="BF49"/>
  <c r="AY49"/>
  <c r="BA49" s="1"/>
  <c r="AT49"/>
  <c r="AV49" s="1"/>
  <c r="AL49"/>
  <c r="AE49"/>
  <c r="P49"/>
  <c r="K49"/>
  <c r="CD48"/>
  <c r="CG48" s="1"/>
  <c r="BV48"/>
  <c r="BY48" s="1"/>
  <c r="BN48"/>
  <c r="BF48"/>
  <c r="BI48" s="1"/>
  <c r="AY48"/>
  <c r="BA48" s="1"/>
  <c r="AT48"/>
  <c r="AV48" s="1"/>
  <c r="AL48"/>
  <c r="AN48" s="1"/>
  <c r="AP48" s="1"/>
  <c r="AE48"/>
  <c r="P48"/>
  <c r="K48"/>
  <c r="CD47"/>
  <c r="CG47" s="1"/>
  <c r="BV47"/>
  <c r="BY47" s="1"/>
  <c r="BN47"/>
  <c r="BF47"/>
  <c r="BI47" s="1"/>
  <c r="AY47"/>
  <c r="BA47" s="1"/>
  <c r="AT47"/>
  <c r="AV47" s="1"/>
  <c r="AL47"/>
  <c r="AE47"/>
  <c r="P47"/>
  <c r="K47"/>
  <c r="CD46"/>
  <c r="CG46" s="1"/>
  <c r="BV46"/>
  <c r="BN46"/>
  <c r="BQ46" s="1"/>
  <c r="BF46"/>
  <c r="BI46" s="1"/>
  <c r="AY46"/>
  <c r="BA46" s="1"/>
  <c r="AT46"/>
  <c r="AV46" s="1"/>
  <c r="AL46"/>
  <c r="AE46"/>
  <c r="P46"/>
  <c r="K46"/>
  <c r="CD45"/>
  <c r="CG45" s="1"/>
  <c r="BV45"/>
  <c r="BY45" s="1"/>
  <c r="BN45"/>
  <c r="BQ45" s="1"/>
  <c r="BF45"/>
  <c r="AY45"/>
  <c r="BA45" s="1"/>
  <c r="AT45"/>
  <c r="AV45" s="1"/>
  <c r="AL45"/>
  <c r="AN45" s="1"/>
  <c r="AE45"/>
  <c r="AG45" s="1"/>
  <c r="P45"/>
  <c r="K45"/>
  <c r="CG44"/>
  <c r="CI44" s="1"/>
  <c r="BV44"/>
  <c r="BY44" s="1"/>
  <c r="BN44"/>
  <c r="BQ44" s="1"/>
  <c r="BF44"/>
  <c r="BI44" s="1"/>
  <c r="AY44"/>
  <c r="BA44" s="1"/>
  <c r="AT44"/>
  <c r="AV44" s="1"/>
  <c r="AL44"/>
  <c r="AE44"/>
  <c r="P44"/>
  <c r="K44"/>
  <c r="CD43"/>
  <c r="CG43" s="1"/>
  <c r="BV43"/>
  <c r="BN43"/>
  <c r="BF43"/>
  <c r="BI43" s="1"/>
  <c r="AY43"/>
  <c r="BA43" s="1"/>
  <c r="AT43"/>
  <c r="AV43" s="1"/>
  <c r="AL43"/>
  <c r="AE43"/>
  <c r="P43"/>
  <c r="K43"/>
  <c r="CD42"/>
  <c r="CG42" s="1"/>
  <c r="BV42"/>
  <c r="BY42" s="1"/>
  <c r="BN42"/>
  <c r="BQ42" s="1"/>
  <c r="BF42"/>
  <c r="BI42" s="1"/>
  <c r="AY42"/>
  <c r="BA42" s="1"/>
  <c r="AT42"/>
  <c r="AV42" s="1"/>
  <c r="AL42"/>
  <c r="AE42"/>
  <c r="P42"/>
  <c r="K42"/>
  <c r="CD41"/>
  <c r="CG41" s="1"/>
  <c r="BV41"/>
  <c r="BY41" s="1"/>
  <c r="BN41"/>
  <c r="BQ41" s="1"/>
  <c r="BF41"/>
  <c r="BI41" s="1"/>
  <c r="AY41"/>
  <c r="BA41" s="1"/>
  <c r="AT41"/>
  <c r="AV41" s="1"/>
  <c r="AL41"/>
  <c r="AN41" s="1"/>
  <c r="AE41"/>
  <c r="AG41" s="1"/>
  <c r="AI41" s="1"/>
  <c r="P41"/>
  <c r="K41"/>
  <c r="CD40"/>
  <c r="CG40" s="1"/>
  <c r="BV40"/>
  <c r="BY40" s="1"/>
  <c r="BN40"/>
  <c r="BQ40" s="1"/>
  <c r="BF40"/>
  <c r="AY40"/>
  <c r="BA40" s="1"/>
  <c r="AT40"/>
  <c r="AV40" s="1"/>
  <c r="AL40"/>
  <c r="AN40" s="1"/>
  <c r="AE40"/>
  <c r="P40"/>
  <c r="K40"/>
  <c r="CD39"/>
  <c r="CG39" s="1"/>
  <c r="BV39"/>
  <c r="BY39" s="1"/>
  <c r="BN39"/>
  <c r="BQ39" s="1"/>
  <c r="BF39"/>
  <c r="BI39" s="1"/>
  <c r="AY39"/>
  <c r="BA39" s="1"/>
  <c r="AV39"/>
  <c r="AT39"/>
  <c r="AL39"/>
  <c r="AE39"/>
  <c r="P39"/>
  <c r="K39"/>
  <c r="CD38"/>
  <c r="BV38"/>
  <c r="BY38" s="1"/>
  <c r="BN38"/>
  <c r="BQ38" s="1"/>
  <c r="BF38"/>
  <c r="BI38" s="1"/>
  <c r="AY38"/>
  <c r="BA38" s="1"/>
  <c r="AT38"/>
  <c r="AV38" s="1"/>
  <c r="AL38"/>
  <c r="AE38"/>
  <c r="AG38" s="1"/>
  <c r="P38"/>
  <c r="K38"/>
  <c r="CD37"/>
  <c r="BV37"/>
  <c r="BY37" s="1"/>
  <c r="BN37"/>
  <c r="BQ37" s="1"/>
  <c r="BF37"/>
  <c r="BI37" s="1"/>
  <c r="AY37"/>
  <c r="BA37" s="1"/>
  <c r="AT37"/>
  <c r="AV37" s="1"/>
  <c r="AL37"/>
  <c r="AN37" s="1"/>
  <c r="AE37"/>
  <c r="P37"/>
  <c r="K37"/>
  <c r="CD36"/>
  <c r="CG36" s="1"/>
  <c r="BV36"/>
  <c r="BY36" s="1"/>
  <c r="BN36"/>
  <c r="BF36"/>
  <c r="AY36"/>
  <c r="BA36" s="1"/>
  <c r="AT36"/>
  <c r="AV36" s="1"/>
  <c r="AL36"/>
  <c r="AN36" s="1"/>
  <c r="AE36"/>
  <c r="P36"/>
  <c r="K36"/>
  <c r="CD35"/>
  <c r="CG35" s="1"/>
  <c r="BV35"/>
  <c r="BY35" s="1"/>
  <c r="BN35"/>
  <c r="BF35"/>
  <c r="BI35" s="1"/>
  <c r="AY35"/>
  <c r="BA35" s="1"/>
  <c r="AT35"/>
  <c r="AV35" s="1"/>
  <c r="AL35"/>
  <c r="AE35"/>
  <c r="P35"/>
  <c r="K35"/>
  <c r="CD34"/>
  <c r="CG34" s="1"/>
  <c r="BV34"/>
  <c r="BY34" s="1"/>
  <c r="BN34"/>
  <c r="BQ34" s="1"/>
  <c r="BF34"/>
  <c r="BI34" s="1"/>
  <c r="AY34"/>
  <c r="AT34"/>
  <c r="AV34" s="1"/>
  <c r="AL34"/>
  <c r="AE34"/>
  <c r="P34"/>
  <c r="K34"/>
  <c r="CD33"/>
  <c r="CG33" s="1"/>
  <c r="BV33"/>
  <c r="BY33" s="1"/>
  <c r="BN33"/>
  <c r="BQ33" s="1"/>
  <c r="BF33"/>
  <c r="AY33"/>
  <c r="AT33"/>
  <c r="AV33" s="1"/>
  <c r="AL33"/>
  <c r="AN33" s="1"/>
  <c r="AE33"/>
  <c r="AG33" s="1"/>
  <c r="P33"/>
  <c r="K33"/>
  <c r="CD32"/>
  <c r="CG32" s="1"/>
  <c r="BV32"/>
  <c r="BY32" s="1"/>
  <c r="BN32"/>
  <c r="BQ32" s="1"/>
  <c r="BF32"/>
  <c r="BI32" s="1"/>
  <c r="AY32"/>
  <c r="BA32" s="1"/>
  <c r="AT32"/>
  <c r="AV32" s="1"/>
  <c r="AL32"/>
  <c r="AN32" s="1"/>
  <c r="AE32"/>
  <c r="P32"/>
  <c r="K32"/>
  <c r="CD31"/>
  <c r="CG31" s="1"/>
  <c r="BV31"/>
  <c r="BY31" s="1"/>
  <c r="BN31"/>
  <c r="BF31"/>
  <c r="BI31" s="1"/>
  <c r="AY31"/>
  <c r="BA31" s="1"/>
  <c r="AT31"/>
  <c r="AV31" s="1"/>
  <c r="AL31"/>
  <c r="AE31"/>
  <c r="P31"/>
  <c r="K31"/>
  <c r="CD30"/>
  <c r="CG30" s="1"/>
  <c r="BV30"/>
  <c r="BY30" s="1"/>
  <c r="BN30"/>
  <c r="BQ30" s="1"/>
  <c r="BF30"/>
  <c r="BI30" s="1"/>
  <c r="AY30"/>
  <c r="BA30" s="1"/>
  <c r="AT30"/>
  <c r="AV30" s="1"/>
  <c r="AL30"/>
  <c r="AE30"/>
  <c r="AG30" s="1"/>
  <c r="P30"/>
  <c r="K30"/>
  <c r="CD29"/>
  <c r="CG29" s="1"/>
  <c r="BV29"/>
  <c r="BY29" s="1"/>
  <c r="BN29"/>
  <c r="BQ29" s="1"/>
  <c r="BF29"/>
  <c r="BI29" s="1"/>
  <c r="AY29"/>
  <c r="BA29" s="1"/>
  <c r="AT29"/>
  <c r="AV29" s="1"/>
  <c r="AL29"/>
  <c r="AE29"/>
  <c r="AG29" s="1"/>
  <c r="P29"/>
  <c r="K29"/>
  <c r="CD28"/>
  <c r="CG28" s="1"/>
  <c r="BV28"/>
  <c r="BY28" s="1"/>
  <c r="BN28"/>
  <c r="BQ28" s="1"/>
  <c r="BF28"/>
  <c r="BI28" s="1"/>
  <c r="AY28"/>
  <c r="BA28" s="1"/>
  <c r="AT28"/>
  <c r="AV28" s="1"/>
  <c r="AL28"/>
  <c r="AN28" s="1"/>
  <c r="AE28"/>
  <c r="AI28" s="1"/>
  <c r="P28"/>
  <c r="K28"/>
  <c r="CD27"/>
  <c r="CG27" s="1"/>
  <c r="BV27"/>
  <c r="BY27" s="1"/>
  <c r="BN27"/>
  <c r="BQ27" s="1"/>
  <c r="BF27"/>
  <c r="BI27" s="1"/>
  <c r="AY27"/>
  <c r="BA27" s="1"/>
  <c r="AT27"/>
  <c r="AV27" s="1"/>
  <c r="AL27"/>
  <c r="AE27"/>
  <c r="P27"/>
  <c r="K27"/>
  <c r="CD26"/>
  <c r="CG26" s="1"/>
  <c r="CI26" s="1"/>
  <c r="BV26"/>
  <c r="BN26"/>
  <c r="BQ26" s="1"/>
  <c r="BF26"/>
  <c r="BI26" s="1"/>
  <c r="AY26"/>
  <c r="BA26" s="1"/>
  <c r="AT26"/>
  <c r="AV26" s="1"/>
  <c r="AL26"/>
  <c r="AE26"/>
  <c r="AG26" s="1"/>
  <c r="P26"/>
  <c r="K26"/>
  <c r="CD25"/>
  <c r="CG25" s="1"/>
  <c r="BV25"/>
  <c r="BY25" s="1"/>
  <c r="BN25"/>
  <c r="BQ25" s="1"/>
  <c r="BF25"/>
  <c r="BI25" s="1"/>
  <c r="AY25"/>
  <c r="BA25" s="1"/>
  <c r="AT25"/>
  <c r="AV25" s="1"/>
  <c r="AL25"/>
  <c r="AN25" s="1"/>
  <c r="AE25"/>
  <c r="AG25" s="1"/>
  <c r="P25"/>
  <c r="K25"/>
  <c r="CD24"/>
  <c r="CG24" s="1"/>
  <c r="BV24"/>
  <c r="BY24" s="1"/>
  <c r="BN24"/>
  <c r="BQ24" s="1"/>
  <c r="BF24"/>
  <c r="AY24"/>
  <c r="BA24" s="1"/>
  <c r="AT24"/>
  <c r="AV24" s="1"/>
  <c r="AL24"/>
  <c r="AE24"/>
  <c r="P24"/>
  <c r="K24"/>
  <c r="CD23"/>
  <c r="CG23" s="1"/>
  <c r="BV23"/>
  <c r="BN23"/>
  <c r="BQ23" s="1"/>
  <c r="BF23"/>
  <c r="BI23" s="1"/>
  <c r="AY23"/>
  <c r="BA23" s="1"/>
  <c r="AT23"/>
  <c r="AV23" s="1"/>
  <c r="AN23"/>
  <c r="AL23"/>
  <c r="AE23"/>
  <c r="P23"/>
  <c r="K23"/>
  <c r="CD22"/>
  <c r="BV22"/>
  <c r="BY22" s="1"/>
  <c r="BN22"/>
  <c r="BQ22" s="1"/>
  <c r="BF22"/>
  <c r="BI22" s="1"/>
  <c r="AY22"/>
  <c r="AT22"/>
  <c r="AV22" s="1"/>
  <c r="AL22"/>
  <c r="AE22"/>
  <c r="P22"/>
  <c r="K22"/>
  <c r="CD21"/>
  <c r="BV21"/>
  <c r="BY21" s="1"/>
  <c r="BN21"/>
  <c r="BQ21" s="1"/>
  <c r="BF21"/>
  <c r="BI21" s="1"/>
  <c r="AY21"/>
  <c r="AT21"/>
  <c r="AV21" s="1"/>
  <c r="AL21"/>
  <c r="AN21" s="1"/>
  <c r="AE21"/>
  <c r="AG21" s="1"/>
  <c r="P21"/>
  <c r="K21"/>
  <c r="CD20"/>
  <c r="CG20" s="1"/>
  <c r="BV20"/>
  <c r="BY20" s="1"/>
  <c r="BN20"/>
  <c r="BQ20" s="1"/>
  <c r="BF20"/>
  <c r="BI20" s="1"/>
  <c r="AY20"/>
  <c r="BA20" s="1"/>
  <c r="AT20"/>
  <c r="AV20" s="1"/>
  <c r="AL20"/>
  <c r="AN20" s="1"/>
  <c r="AE20"/>
  <c r="P20"/>
  <c r="K20"/>
  <c r="CD19"/>
  <c r="CG19" s="1"/>
  <c r="BV19"/>
  <c r="BY19" s="1"/>
  <c r="BN19"/>
  <c r="BQ19" s="1"/>
  <c r="BF19"/>
  <c r="BI19" s="1"/>
  <c r="AY19"/>
  <c r="BA19" s="1"/>
  <c r="AT19"/>
  <c r="AV19" s="1"/>
  <c r="AL19"/>
  <c r="AN19" s="1"/>
  <c r="AE19"/>
  <c r="P19"/>
  <c r="K19"/>
  <c r="CD18"/>
  <c r="CG18" s="1"/>
  <c r="BV18"/>
  <c r="BY18" s="1"/>
  <c r="BN18"/>
  <c r="BQ18" s="1"/>
  <c r="BF18"/>
  <c r="BI18" s="1"/>
  <c r="AY18"/>
  <c r="BA18" s="1"/>
  <c r="AT18"/>
  <c r="AV18" s="1"/>
  <c r="AL18"/>
  <c r="AE18"/>
  <c r="AG18" s="1"/>
  <c r="P18"/>
  <c r="K18"/>
  <c r="CD17"/>
  <c r="CG17" s="1"/>
  <c r="BV17"/>
  <c r="BY17" s="1"/>
  <c r="BN17"/>
  <c r="BQ17" s="1"/>
  <c r="BF17"/>
  <c r="BI17" s="1"/>
  <c r="AY17"/>
  <c r="BA17" s="1"/>
  <c r="AT17"/>
  <c r="AV17" s="1"/>
  <c r="AL17"/>
  <c r="AN17" s="1"/>
  <c r="AE17"/>
  <c r="P17"/>
  <c r="K17"/>
  <c r="CD16"/>
  <c r="CG16" s="1"/>
  <c r="BV16"/>
  <c r="BY16" s="1"/>
  <c r="BN16"/>
  <c r="BF16"/>
  <c r="BI16" s="1"/>
  <c r="AY16"/>
  <c r="BA16" s="1"/>
  <c r="AT16"/>
  <c r="AV16" s="1"/>
  <c r="AL16"/>
  <c r="AN16" s="1"/>
  <c r="AE16"/>
  <c r="P16"/>
  <c r="K16"/>
  <c r="CD15"/>
  <c r="CG15" s="1"/>
  <c r="BV15"/>
  <c r="BY15" s="1"/>
  <c r="BN15"/>
  <c r="BQ15" s="1"/>
  <c r="BF15"/>
  <c r="BI15" s="1"/>
  <c r="AY15"/>
  <c r="BA15" s="1"/>
  <c r="AT15"/>
  <c r="AV15" s="1"/>
  <c r="AL15"/>
  <c r="AE15"/>
  <c r="P15"/>
  <c r="K15"/>
  <c r="CD14"/>
  <c r="BV14"/>
  <c r="BY14" s="1"/>
  <c r="CA14" s="1"/>
  <c r="BN14"/>
  <c r="BQ14" s="1"/>
  <c r="BF14"/>
  <c r="BI14" s="1"/>
  <c r="AY14"/>
  <c r="BA14" s="1"/>
  <c r="AT14"/>
  <c r="AV14" s="1"/>
  <c r="AL14"/>
  <c r="AE14"/>
  <c r="AG14" s="1"/>
  <c r="AI14" s="1"/>
  <c r="P14"/>
  <c r="K14"/>
  <c r="CD13"/>
  <c r="CG13" s="1"/>
  <c r="BV13"/>
  <c r="BY13" s="1"/>
  <c r="BN13"/>
  <c r="BQ13" s="1"/>
  <c r="BF13"/>
  <c r="AY13"/>
  <c r="BA13" s="1"/>
  <c r="AT13"/>
  <c r="AV13" s="1"/>
  <c r="AL13"/>
  <c r="AE13"/>
  <c r="AG13" s="1"/>
  <c r="P13"/>
  <c r="K13"/>
  <c r="CD12"/>
  <c r="CG12" s="1"/>
  <c r="BV12"/>
  <c r="BY12" s="1"/>
  <c r="BN12"/>
  <c r="BQ12" s="1"/>
  <c r="BF12"/>
  <c r="AY12"/>
  <c r="BA12" s="1"/>
  <c r="AT12"/>
  <c r="AV12" s="1"/>
  <c r="AL12"/>
  <c r="AN12" s="1"/>
  <c r="AE12"/>
  <c r="P12"/>
  <c r="K12"/>
  <c r="CD11"/>
  <c r="CG11" s="1"/>
  <c r="BV11"/>
  <c r="BN11"/>
  <c r="BQ11" s="1"/>
  <c r="BF11"/>
  <c r="BI11" s="1"/>
  <c r="AY11"/>
  <c r="BA11" s="1"/>
  <c r="AT11"/>
  <c r="AV11" s="1"/>
  <c r="AL11"/>
  <c r="AE11"/>
  <c r="P11"/>
  <c r="K11"/>
  <c r="CD10"/>
  <c r="BV10"/>
  <c r="BN10"/>
  <c r="BQ10" s="1"/>
  <c r="BF10"/>
  <c r="BI10" s="1"/>
  <c r="AY10"/>
  <c r="AT10"/>
  <c r="AV10" s="1"/>
  <c r="AL10"/>
  <c r="AE10"/>
  <c r="P10"/>
  <c r="K10"/>
  <c r="CD9"/>
  <c r="CG9" s="1"/>
  <c r="BV9"/>
  <c r="BY9" s="1"/>
  <c r="BN9"/>
  <c r="BQ9" s="1"/>
  <c r="BF9"/>
  <c r="BI9" s="1"/>
  <c r="AY9"/>
  <c r="AT9"/>
  <c r="AV9" s="1"/>
  <c r="AL9"/>
  <c r="AN9" s="1"/>
  <c r="AE9"/>
  <c r="AG9" s="1"/>
  <c r="P9"/>
  <c r="K9"/>
  <c r="CD8"/>
  <c r="CG8" s="1"/>
  <c r="BV8"/>
  <c r="BN8"/>
  <c r="BF8"/>
  <c r="BI8" s="1"/>
  <c r="AY8"/>
  <c r="AT8"/>
  <c r="AV8" s="1"/>
  <c r="AL8"/>
  <c r="AN8" s="1"/>
  <c r="AE8"/>
  <c r="AG8" s="1"/>
  <c r="Y8"/>
  <c r="V8"/>
  <c r="I8"/>
  <c r="K8" s="1"/>
  <c r="CD95" i="4"/>
  <c r="CG95" s="1"/>
  <c r="BV95"/>
  <c r="BY95" s="1"/>
  <c r="BN95"/>
  <c r="BS95" s="1"/>
  <c r="BF95"/>
  <c r="BI95" s="1"/>
  <c r="AY95"/>
  <c r="BA95" s="1"/>
  <c r="AV95"/>
  <c r="AT95"/>
  <c r="AL95"/>
  <c r="AP95" s="1"/>
  <c r="AE95"/>
  <c r="AG95" s="1"/>
  <c r="Y95"/>
  <c r="V95"/>
  <c r="N95"/>
  <c r="P95" s="1"/>
  <c r="I95"/>
  <c r="K95" s="1"/>
  <c r="CG94"/>
  <c r="CI94" s="1"/>
  <c r="CA94"/>
  <c r="BQ94"/>
  <c r="BI94"/>
  <c r="BC94"/>
  <c r="BA94"/>
  <c r="AT94"/>
  <c r="AV94" s="1"/>
  <c r="AN94"/>
  <c r="AI94"/>
  <c r="AG94"/>
  <c r="Z94"/>
  <c r="AB94" s="1"/>
  <c r="P94"/>
  <c r="Q94" s="1"/>
  <c r="CI93"/>
  <c r="BY93"/>
  <c r="BQ93"/>
  <c r="BK93"/>
  <c r="BI93"/>
  <c r="BA93"/>
  <c r="BC93"/>
  <c r="AT93"/>
  <c r="AV93" s="1"/>
  <c r="AP93"/>
  <c r="AN93"/>
  <c r="AI93"/>
  <c r="AG93"/>
  <c r="P93"/>
  <c r="Q93" s="1"/>
  <c r="CG92"/>
  <c r="BY92"/>
  <c r="BQ92"/>
  <c r="BK92"/>
  <c r="BA92"/>
  <c r="AT92"/>
  <c r="AV92" s="1"/>
  <c r="AP92"/>
  <c r="AN92"/>
  <c r="AI92"/>
  <c r="P92"/>
  <c r="Q92" s="1"/>
  <c r="CJ92"/>
  <c r="CK92" s="1"/>
  <c r="CG91"/>
  <c r="CA91"/>
  <c r="BY91"/>
  <c r="BI91"/>
  <c r="BA91"/>
  <c r="AT91"/>
  <c r="AV91" s="1"/>
  <c r="AG91"/>
  <c r="AI91"/>
  <c r="P91"/>
  <c r="Q91" s="1"/>
  <c r="CG90"/>
  <c r="BY90"/>
  <c r="CA90" s="1"/>
  <c r="BQ90"/>
  <c r="BI90"/>
  <c r="BA90"/>
  <c r="AT90"/>
  <c r="AV90" s="1"/>
  <c r="AG90"/>
  <c r="AI90" s="1"/>
  <c r="Z90"/>
  <c r="AB90" s="1"/>
  <c r="P90"/>
  <c r="Q90" s="1"/>
  <c r="S90" s="1"/>
  <c r="CI89"/>
  <c r="BY89"/>
  <c r="BQ89"/>
  <c r="BK89"/>
  <c r="BI89"/>
  <c r="BA89"/>
  <c r="BC89"/>
  <c r="AT89"/>
  <c r="AV89" s="1"/>
  <c r="AN89"/>
  <c r="AP89" s="1"/>
  <c r="AG89"/>
  <c r="P89"/>
  <c r="Q89" s="1"/>
  <c r="CG88"/>
  <c r="BY88"/>
  <c r="BQ88"/>
  <c r="BS88" s="1"/>
  <c r="BA88"/>
  <c r="AT88"/>
  <c r="AV88" s="1"/>
  <c r="AN88"/>
  <c r="AP88" s="1"/>
  <c r="P88"/>
  <c r="Q88" s="1"/>
  <c r="S88" s="1"/>
  <c r="CG87"/>
  <c r="BY87"/>
  <c r="CA87" s="1"/>
  <c r="BS87"/>
  <c r="BI87"/>
  <c r="BA87"/>
  <c r="AT87"/>
  <c r="AV87" s="1"/>
  <c r="AG87"/>
  <c r="AI87"/>
  <c r="P87"/>
  <c r="Q87" s="1"/>
  <c r="S87" s="1"/>
  <c r="CG86"/>
  <c r="BY86"/>
  <c r="CA86" s="1"/>
  <c r="BQ86"/>
  <c r="BI86"/>
  <c r="BA86"/>
  <c r="AT86"/>
  <c r="AV86" s="1"/>
  <c r="AG86"/>
  <c r="AI86" s="1"/>
  <c r="Z86"/>
  <c r="AB86" s="1"/>
  <c r="P86"/>
  <c r="Q86" s="1"/>
  <c r="S86" s="1"/>
  <c r="CI85"/>
  <c r="BY85"/>
  <c r="BQ85"/>
  <c r="BK85"/>
  <c r="BI85"/>
  <c r="BA85"/>
  <c r="BC85"/>
  <c r="AT85"/>
  <c r="AV85" s="1"/>
  <c r="AN85"/>
  <c r="AP85" s="1"/>
  <c r="AG85"/>
  <c r="AI85" s="1"/>
  <c r="P85"/>
  <c r="Q85" s="1"/>
  <c r="S85" s="1"/>
  <c r="CG84"/>
  <c r="BY84"/>
  <c r="BQ84"/>
  <c r="BA84"/>
  <c r="AT84"/>
  <c r="AV84" s="1"/>
  <c r="AN84"/>
  <c r="AP84" s="1"/>
  <c r="P84"/>
  <c r="Q84" s="1"/>
  <c r="S84" s="1"/>
  <c r="CG83"/>
  <c r="CA83"/>
  <c r="BY83"/>
  <c r="BS83"/>
  <c r="BQ83"/>
  <c r="BI83"/>
  <c r="BA83"/>
  <c r="AV83"/>
  <c r="AT83"/>
  <c r="AP83"/>
  <c r="AI83"/>
  <c r="P83"/>
  <c r="Q83" s="1"/>
  <c r="CG82"/>
  <c r="BY82"/>
  <c r="BQ82"/>
  <c r="BI82"/>
  <c r="BC82"/>
  <c r="BA82"/>
  <c r="AV82"/>
  <c r="AT82"/>
  <c r="AP82"/>
  <c r="AI82"/>
  <c r="AG82"/>
  <c r="Z82"/>
  <c r="AB82" s="1"/>
  <c r="P82"/>
  <c r="Q82" s="1"/>
  <c r="CG81"/>
  <c r="CI81" s="1"/>
  <c r="BY81"/>
  <c r="BQ81"/>
  <c r="BI81"/>
  <c r="BK81" s="1"/>
  <c r="BA81"/>
  <c r="AV81"/>
  <c r="AT81"/>
  <c r="AN81"/>
  <c r="AG81"/>
  <c r="AI81" s="1"/>
  <c r="Z81"/>
  <c r="AB81" s="1"/>
  <c r="P81"/>
  <c r="Q81" s="1"/>
  <c r="S81" s="1"/>
  <c r="CG80"/>
  <c r="BY80"/>
  <c r="BQ80"/>
  <c r="BI80"/>
  <c r="BA80"/>
  <c r="AV80"/>
  <c r="AT80"/>
  <c r="AN80"/>
  <c r="AI80"/>
  <c r="Z80"/>
  <c r="AB80" s="1"/>
  <c r="P80"/>
  <c r="Q80" s="1"/>
  <c r="CG79"/>
  <c r="BY79"/>
  <c r="CA79" s="1"/>
  <c r="BQ79"/>
  <c r="BS79" s="1"/>
  <c r="BI79"/>
  <c r="BA79"/>
  <c r="AT79"/>
  <c r="AV79" s="1"/>
  <c r="Z79"/>
  <c r="AB79" s="1"/>
  <c r="P79"/>
  <c r="Q79" s="1"/>
  <c r="S79" s="1"/>
  <c r="CG78"/>
  <c r="BY78"/>
  <c r="BQ78"/>
  <c r="BI78"/>
  <c r="BA78"/>
  <c r="BC78" s="1"/>
  <c r="AT78"/>
  <c r="AV78" s="1"/>
  <c r="AG78"/>
  <c r="Z78"/>
  <c r="AB78" s="1"/>
  <c r="P78"/>
  <c r="Q78" s="1"/>
  <c r="S78" s="1"/>
  <c r="CG77"/>
  <c r="CI77" s="1"/>
  <c r="BY77"/>
  <c r="BQ77"/>
  <c r="BI77"/>
  <c r="BA77"/>
  <c r="BC77" s="1"/>
  <c r="AT77"/>
  <c r="AV77" s="1"/>
  <c r="AN77"/>
  <c r="AP77" s="1"/>
  <c r="AG77"/>
  <c r="AI77" s="1"/>
  <c r="Z77"/>
  <c r="AB77" s="1"/>
  <c r="P77"/>
  <c r="Q77" s="1"/>
  <c r="S77" s="1"/>
  <c r="CG76"/>
  <c r="BY76"/>
  <c r="BS76"/>
  <c r="BQ76"/>
  <c r="BI76"/>
  <c r="BA76"/>
  <c r="AT76"/>
  <c r="AV76" s="1"/>
  <c r="AN76"/>
  <c r="AP76"/>
  <c r="AI76"/>
  <c r="Z76"/>
  <c r="AB76" s="1"/>
  <c r="P76"/>
  <c r="Q76" s="1"/>
  <c r="CG75"/>
  <c r="BY75"/>
  <c r="CA75"/>
  <c r="BS75"/>
  <c r="BQ75"/>
  <c r="BI75"/>
  <c r="BA75"/>
  <c r="AT75"/>
  <c r="AV75" s="1"/>
  <c r="AN75"/>
  <c r="AP75" s="1"/>
  <c r="AI75"/>
  <c r="P75"/>
  <c r="Q75" s="1"/>
  <c r="S75" s="1"/>
  <c r="CG74"/>
  <c r="BY74"/>
  <c r="BQ74"/>
  <c r="BI74"/>
  <c r="BC74"/>
  <c r="BA74"/>
  <c r="AT74"/>
  <c r="AV74" s="1"/>
  <c r="AG74"/>
  <c r="Z74"/>
  <c r="AB74" s="1"/>
  <c r="P74"/>
  <c r="Q74" s="1"/>
  <c r="S74" s="1"/>
  <c r="CG73"/>
  <c r="BY73"/>
  <c r="BQ73"/>
  <c r="BI73"/>
  <c r="BA73"/>
  <c r="AT73"/>
  <c r="AV73" s="1"/>
  <c r="AN73"/>
  <c r="AG73"/>
  <c r="AI73" s="1"/>
  <c r="Z73"/>
  <c r="AB73" s="1"/>
  <c r="P73"/>
  <c r="Q73" s="1"/>
  <c r="S73" s="1"/>
  <c r="CG72"/>
  <c r="BY72"/>
  <c r="BQ72"/>
  <c r="BI72"/>
  <c r="BA72"/>
  <c r="AT72"/>
  <c r="AV72" s="1"/>
  <c r="AN72"/>
  <c r="AG72"/>
  <c r="AI72"/>
  <c r="P72"/>
  <c r="Q72" s="1"/>
  <c r="S72" s="1"/>
  <c r="CG71"/>
  <c r="CA71"/>
  <c r="BY71"/>
  <c r="BS71"/>
  <c r="BQ71"/>
  <c r="BI71"/>
  <c r="BA71"/>
  <c r="AT71"/>
  <c r="AV71" s="1"/>
  <c r="AN71"/>
  <c r="AP71"/>
  <c r="AG71"/>
  <c r="AI71"/>
  <c r="Z71"/>
  <c r="AB71" s="1"/>
  <c r="CJ71"/>
  <c r="CK71" s="1"/>
  <c r="P71"/>
  <c r="Q71" s="1"/>
  <c r="CG70"/>
  <c r="CI70"/>
  <c r="CA70"/>
  <c r="BY70"/>
  <c r="BQ70"/>
  <c r="BI70"/>
  <c r="BA70"/>
  <c r="AV70"/>
  <c r="AT70"/>
  <c r="AN70"/>
  <c r="AP70"/>
  <c r="AG70"/>
  <c r="Z70"/>
  <c r="AB70" s="1"/>
  <c r="P70"/>
  <c r="Q70" s="1"/>
  <c r="CG69"/>
  <c r="CI69" s="1"/>
  <c r="BY69"/>
  <c r="BQ69"/>
  <c r="BI69"/>
  <c r="BK69" s="1"/>
  <c r="BA69"/>
  <c r="AT69"/>
  <c r="AV69" s="1"/>
  <c r="AN69"/>
  <c r="AG69"/>
  <c r="AI69" s="1"/>
  <c r="Z69"/>
  <c r="AB69" s="1"/>
  <c r="P69"/>
  <c r="Q69" s="1"/>
  <c r="S69" s="1"/>
  <c r="CG68"/>
  <c r="BY68"/>
  <c r="BQ68"/>
  <c r="BS68"/>
  <c r="BK68"/>
  <c r="BI68"/>
  <c r="BA68"/>
  <c r="AT68"/>
  <c r="AV68" s="1"/>
  <c r="AN68"/>
  <c r="AP68" s="1"/>
  <c r="AI68"/>
  <c r="P68"/>
  <c r="Q68" s="1"/>
  <c r="S68" s="1"/>
  <c r="CG67"/>
  <c r="BY67"/>
  <c r="BQ67"/>
  <c r="BI67"/>
  <c r="BA67"/>
  <c r="AT67"/>
  <c r="AV67" s="1"/>
  <c r="AG67"/>
  <c r="AI67" s="1"/>
  <c r="P67"/>
  <c r="Q67" s="1"/>
  <c r="S67" s="1"/>
  <c r="CI66"/>
  <c r="CG66"/>
  <c r="BY66"/>
  <c r="BQ66"/>
  <c r="BI66"/>
  <c r="BA66"/>
  <c r="AT66"/>
  <c r="AV66" s="1"/>
  <c r="AN66"/>
  <c r="AP66" s="1"/>
  <c r="AG66"/>
  <c r="Z66"/>
  <c r="AB66" s="1"/>
  <c r="P66"/>
  <c r="Q66" s="1"/>
  <c r="S66" s="1"/>
  <c r="CG65"/>
  <c r="CI65" s="1"/>
  <c r="BY65"/>
  <c r="BQ65"/>
  <c r="BI65"/>
  <c r="BA65"/>
  <c r="BC65" s="1"/>
  <c r="AT65"/>
  <c r="AV65" s="1"/>
  <c r="AN65"/>
  <c r="AP65" s="1"/>
  <c r="AG65"/>
  <c r="AI65" s="1"/>
  <c r="Z65"/>
  <c r="AB65" s="1"/>
  <c r="P65"/>
  <c r="Q65" s="1"/>
  <c r="S65" s="1"/>
  <c r="CG64"/>
  <c r="BY64"/>
  <c r="BS64"/>
  <c r="BQ64"/>
  <c r="BI64"/>
  <c r="BA64"/>
  <c r="AT64"/>
  <c r="AV64" s="1"/>
  <c r="AN64"/>
  <c r="AP64" s="1"/>
  <c r="P64"/>
  <c r="Q64" s="1"/>
  <c r="S64" s="1"/>
  <c r="CG63"/>
  <c r="BY63"/>
  <c r="BQ63"/>
  <c r="BI63"/>
  <c r="BA63"/>
  <c r="AT63"/>
  <c r="AV63" s="1"/>
  <c r="P63"/>
  <c r="Q63" s="1"/>
  <c r="S63" s="1"/>
  <c r="CG62"/>
  <c r="BY62"/>
  <c r="BQ62"/>
  <c r="BI62"/>
  <c r="BA62"/>
  <c r="BC62" s="1"/>
  <c r="AT62"/>
  <c r="AV62" s="1"/>
  <c r="AG62"/>
  <c r="AI62" s="1"/>
  <c r="Z62"/>
  <c r="AB62" s="1"/>
  <c r="P62"/>
  <c r="Q62" s="1"/>
  <c r="S62" s="1"/>
  <c r="CG61"/>
  <c r="CI61" s="1"/>
  <c r="BY61"/>
  <c r="BQ61"/>
  <c r="BI61"/>
  <c r="BA61"/>
  <c r="AT61"/>
  <c r="AV61" s="1"/>
  <c r="AN61"/>
  <c r="AP61" s="1"/>
  <c r="AG61"/>
  <c r="Z61"/>
  <c r="AB61" s="1"/>
  <c r="P61"/>
  <c r="Q61" s="1"/>
  <c r="S61" s="1"/>
  <c r="CG60"/>
  <c r="BY60"/>
  <c r="BQ60"/>
  <c r="BI60"/>
  <c r="BA60"/>
  <c r="AT60"/>
  <c r="AV60" s="1"/>
  <c r="AN60"/>
  <c r="AG60"/>
  <c r="AI60" s="1"/>
  <c r="Z60"/>
  <c r="AB60" s="1"/>
  <c r="P60"/>
  <c r="Q60" s="1"/>
  <c r="S60" s="1"/>
  <c r="CG59"/>
  <c r="BY59"/>
  <c r="CA59" s="1"/>
  <c r="BQ59"/>
  <c r="BS59" s="1"/>
  <c r="BI59"/>
  <c r="BA59"/>
  <c r="AT59"/>
  <c r="AV59" s="1"/>
  <c r="AG59"/>
  <c r="AI59" s="1"/>
  <c r="Z59"/>
  <c r="AB59" s="1"/>
  <c r="P59"/>
  <c r="Q59" s="1"/>
  <c r="S59" s="1"/>
  <c r="CG58"/>
  <c r="BY58"/>
  <c r="BQ58"/>
  <c r="BI58"/>
  <c r="BC58"/>
  <c r="BA58"/>
  <c r="AT58"/>
  <c r="AV58" s="1"/>
  <c r="AG58"/>
  <c r="Z58"/>
  <c r="AB58" s="1"/>
  <c r="P58"/>
  <c r="Q58" s="1"/>
  <c r="S58" s="1"/>
  <c r="CG57"/>
  <c r="BY57"/>
  <c r="BQ57"/>
  <c r="BI57"/>
  <c r="BA57"/>
  <c r="AT57"/>
  <c r="AV57" s="1"/>
  <c r="AN57"/>
  <c r="AG57"/>
  <c r="AI57" s="1"/>
  <c r="Z57"/>
  <c r="AB57" s="1"/>
  <c r="P57"/>
  <c r="Q57" s="1"/>
  <c r="S57" s="1"/>
  <c r="CG56"/>
  <c r="BY56"/>
  <c r="BQ56"/>
  <c r="BI56"/>
  <c r="BA56"/>
  <c r="AV56"/>
  <c r="AT56"/>
  <c r="AN56"/>
  <c r="AG56"/>
  <c r="AI56"/>
  <c r="P56"/>
  <c r="Q56" s="1"/>
  <c r="S56" s="1"/>
  <c r="CG55"/>
  <c r="BY55"/>
  <c r="CA55" s="1"/>
  <c r="BS55"/>
  <c r="BQ55"/>
  <c r="BI55"/>
  <c r="BA55"/>
  <c r="AT55"/>
  <c r="AV55" s="1"/>
  <c r="AN55"/>
  <c r="AP55" s="1"/>
  <c r="AG55"/>
  <c r="AI55" s="1"/>
  <c r="Z55"/>
  <c r="AB55" s="1"/>
  <c r="P55"/>
  <c r="Q55" s="1"/>
  <c r="S55" s="1"/>
  <c r="CG54"/>
  <c r="BY54"/>
  <c r="CA54" s="1"/>
  <c r="BQ54"/>
  <c r="BI54"/>
  <c r="BA54"/>
  <c r="AT54"/>
  <c r="AV54" s="1"/>
  <c r="AN54"/>
  <c r="AP54" s="1"/>
  <c r="AG54"/>
  <c r="Z54"/>
  <c r="AB54" s="1"/>
  <c r="P54"/>
  <c r="Q54" s="1"/>
  <c r="S54" s="1"/>
  <c r="CI53"/>
  <c r="CG53"/>
  <c r="BY53"/>
  <c r="BQ53"/>
  <c r="BK53"/>
  <c r="BI53"/>
  <c r="BA53"/>
  <c r="BC53" s="1"/>
  <c r="AT53"/>
  <c r="AV53" s="1"/>
  <c r="AN53"/>
  <c r="AP53" s="1"/>
  <c r="AI53"/>
  <c r="AG53"/>
  <c r="Z53"/>
  <c r="AB53" s="1"/>
  <c r="P53"/>
  <c r="Q53" s="1"/>
  <c r="S53" s="1"/>
  <c r="CG52"/>
  <c r="BY52"/>
  <c r="BS52"/>
  <c r="BQ52"/>
  <c r="BK52"/>
  <c r="BI52"/>
  <c r="BA52"/>
  <c r="AT52"/>
  <c r="AV52" s="1"/>
  <c r="AN52"/>
  <c r="Z52"/>
  <c r="AB52" s="1"/>
  <c r="P52"/>
  <c r="Q52" s="1"/>
  <c r="S52" s="1"/>
  <c r="CG51"/>
  <c r="CA51"/>
  <c r="BY51"/>
  <c r="BQ51"/>
  <c r="BI51"/>
  <c r="BA51"/>
  <c r="AV51"/>
  <c r="AT51"/>
  <c r="AN51"/>
  <c r="AP51"/>
  <c r="AI51"/>
  <c r="Z51"/>
  <c r="AB51" s="1"/>
  <c r="P51"/>
  <c r="Q51" s="1"/>
  <c r="CG50"/>
  <c r="CI50" s="1"/>
  <c r="BY50"/>
  <c r="CA50" s="1"/>
  <c r="BQ50"/>
  <c r="BI50"/>
  <c r="BA50"/>
  <c r="AT50"/>
  <c r="AV50" s="1"/>
  <c r="AG50"/>
  <c r="AI50" s="1"/>
  <c r="Z50"/>
  <c r="AB50" s="1"/>
  <c r="P50"/>
  <c r="Q50" s="1"/>
  <c r="S50" s="1"/>
  <c r="CG49"/>
  <c r="BY49"/>
  <c r="BQ49"/>
  <c r="BI49"/>
  <c r="BK49" s="1"/>
  <c r="BA49"/>
  <c r="BC49" s="1"/>
  <c r="AT49"/>
  <c r="AV49" s="1"/>
  <c r="AN49"/>
  <c r="AG49"/>
  <c r="Z49"/>
  <c r="AB49" s="1"/>
  <c r="P49"/>
  <c r="Q49" s="1"/>
  <c r="S49" s="1"/>
  <c r="CG48"/>
  <c r="BY48"/>
  <c r="BQ48"/>
  <c r="BS48" s="1"/>
  <c r="BI48"/>
  <c r="BK48" s="1"/>
  <c r="BA48"/>
  <c r="AT48"/>
  <c r="AV48" s="1"/>
  <c r="AN48"/>
  <c r="AP48" s="1"/>
  <c r="AG48"/>
  <c r="AI48" s="1"/>
  <c r="Z48"/>
  <c r="AB48" s="1"/>
  <c r="P48"/>
  <c r="Q48" s="1"/>
  <c r="S48" s="1"/>
  <c r="CG47"/>
  <c r="BY47"/>
  <c r="BS47"/>
  <c r="BQ47"/>
  <c r="BI47"/>
  <c r="BA47"/>
  <c r="AT47"/>
  <c r="AV47" s="1"/>
  <c r="AN47"/>
  <c r="AP47" s="1"/>
  <c r="P47"/>
  <c r="Q47" s="1"/>
  <c r="S47" s="1"/>
  <c r="CG46"/>
  <c r="CI46" s="1"/>
  <c r="BY46"/>
  <c r="CA46" s="1"/>
  <c r="BQ46"/>
  <c r="BI46"/>
  <c r="BA46"/>
  <c r="BC46" s="1"/>
  <c r="AT46"/>
  <c r="AV46" s="1"/>
  <c r="AN46"/>
  <c r="AP46" s="1"/>
  <c r="AG46"/>
  <c r="AI46" s="1"/>
  <c r="Z46"/>
  <c r="AB46" s="1"/>
  <c r="P46"/>
  <c r="Q46" s="1"/>
  <c r="S46" s="1"/>
  <c r="CG45"/>
  <c r="BY45"/>
  <c r="BQ45"/>
  <c r="BI45"/>
  <c r="BK45" s="1"/>
  <c r="BA45"/>
  <c r="BC45" s="1"/>
  <c r="AT45"/>
  <c r="AV45" s="1"/>
  <c r="AN45"/>
  <c r="AG45"/>
  <c r="Z45"/>
  <c r="AB45" s="1"/>
  <c r="P45"/>
  <c r="CG44"/>
  <c r="BY44"/>
  <c r="BQ44"/>
  <c r="BS44" s="1"/>
  <c r="BI44"/>
  <c r="BK44" s="1"/>
  <c r="BA44"/>
  <c r="AT44"/>
  <c r="AV44" s="1"/>
  <c r="AN44"/>
  <c r="AP44" s="1"/>
  <c r="AG44"/>
  <c r="AI44" s="1"/>
  <c r="Z44"/>
  <c r="AB44" s="1"/>
  <c r="P44"/>
  <c r="CG43"/>
  <c r="CA43"/>
  <c r="BY43"/>
  <c r="BS43"/>
  <c r="BQ43"/>
  <c r="BI43"/>
  <c r="BA43"/>
  <c r="AV43"/>
  <c r="AT43"/>
  <c r="AP43"/>
  <c r="Z43"/>
  <c r="AB43" s="1"/>
  <c r="P43"/>
  <c r="CG42"/>
  <c r="CI42" s="1"/>
  <c r="BY42"/>
  <c r="CA42" s="1"/>
  <c r="BQ42"/>
  <c r="BI42"/>
  <c r="BA42"/>
  <c r="BC42" s="1"/>
  <c r="AT42"/>
  <c r="AV42" s="1"/>
  <c r="AN42"/>
  <c r="AP42" s="1"/>
  <c r="AI42"/>
  <c r="AG42"/>
  <c r="Z42"/>
  <c r="AB42" s="1"/>
  <c r="P42"/>
  <c r="CG41"/>
  <c r="CI41" s="1"/>
  <c r="BY41"/>
  <c r="BQ41"/>
  <c r="BI41"/>
  <c r="BA41"/>
  <c r="AT41"/>
  <c r="AV41" s="1"/>
  <c r="AN41"/>
  <c r="AP41" s="1"/>
  <c r="AG41"/>
  <c r="AI41" s="1"/>
  <c r="Z41"/>
  <c r="AB41" s="1"/>
  <c r="P41"/>
  <c r="CG40"/>
  <c r="BY40"/>
  <c r="BQ40"/>
  <c r="BS40" s="1"/>
  <c r="BI40"/>
  <c r="BK40" s="1"/>
  <c r="BA40"/>
  <c r="AT40"/>
  <c r="AV40" s="1"/>
  <c r="AN40"/>
  <c r="AP40" s="1"/>
  <c r="P40"/>
  <c r="CG39"/>
  <c r="BY39"/>
  <c r="BQ39"/>
  <c r="BI39"/>
  <c r="BA39"/>
  <c r="AT39"/>
  <c r="AV39" s="1"/>
  <c r="AG39"/>
  <c r="AI39" s="1"/>
  <c r="P39"/>
  <c r="Q39" s="1"/>
  <c r="S39" s="1"/>
  <c r="CG38"/>
  <c r="CI38" s="1"/>
  <c r="BY38"/>
  <c r="CA38" s="1"/>
  <c r="BQ38"/>
  <c r="BI38"/>
  <c r="BA38"/>
  <c r="AT38"/>
  <c r="AV38" s="1"/>
  <c r="AN38"/>
  <c r="AP38" s="1"/>
  <c r="AG38"/>
  <c r="AI38" s="1"/>
  <c r="Z38"/>
  <c r="AB38" s="1"/>
  <c r="P38"/>
  <c r="CG37"/>
  <c r="BY37"/>
  <c r="BQ37"/>
  <c r="BI37"/>
  <c r="BK37" s="1"/>
  <c r="BC37"/>
  <c r="BA37"/>
  <c r="AT37"/>
  <c r="AV37" s="1"/>
  <c r="AN37"/>
  <c r="AP37" s="1"/>
  <c r="AG37"/>
  <c r="AI37" s="1"/>
  <c r="Z37"/>
  <c r="AB37" s="1"/>
  <c r="P37"/>
  <c r="CG36"/>
  <c r="BY36"/>
  <c r="BQ36"/>
  <c r="BI36"/>
  <c r="BA36"/>
  <c r="AT36"/>
  <c r="AV36" s="1"/>
  <c r="AN36"/>
  <c r="P36"/>
  <c r="CG35"/>
  <c r="CA35"/>
  <c r="BY35"/>
  <c r="BQ35"/>
  <c r="BS35" s="1"/>
  <c r="BI35"/>
  <c r="BA35"/>
  <c r="AT35"/>
  <c r="AV35" s="1"/>
  <c r="AG35"/>
  <c r="AI35" s="1"/>
  <c r="Z35"/>
  <c r="AB35" s="1"/>
  <c r="P35"/>
  <c r="Q35" s="1"/>
  <c r="S35" s="1"/>
  <c r="CG34"/>
  <c r="CI34" s="1"/>
  <c r="BY34"/>
  <c r="CA34" s="1"/>
  <c r="BQ34"/>
  <c r="BI34"/>
  <c r="BA34"/>
  <c r="AT34"/>
  <c r="AV34" s="1"/>
  <c r="AN34"/>
  <c r="AP34" s="1"/>
  <c r="AG34"/>
  <c r="AI34" s="1"/>
  <c r="Z34"/>
  <c r="AB34" s="1"/>
  <c r="P34"/>
  <c r="CG33"/>
  <c r="BY33"/>
  <c r="BQ33"/>
  <c r="BI33"/>
  <c r="BK33" s="1"/>
  <c r="BA33"/>
  <c r="BC33" s="1"/>
  <c r="AT33"/>
  <c r="AV33" s="1"/>
  <c r="AN33"/>
  <c r="AP33" s="1"/>
  <c r="AG33"/>
  <c r="AI33" s="1"/>
  <c r="Z33"/>
  <c r="AB33" s="1"/>
  <c r="P33"/>
  <c r="Q33" s="1"/>
  <c r="S33" s="1"/>
  <c r="CG32"/>
  <c r="BY32"/>
  <c r="BQ32"/>
  <c r="BI32"/>
  <c r="BA32"/>
  <c r="AT32"/>
  <c r="AV32" s="1"/>
  <c r="AN32"/>
  <c r="P32"/>
  <c r="Q32" s="1"/>
  <c r="S32" s="1"/>
  <c r="CG31"/>
  <c r="CA31"/>
  <c r="BY31"/>
  <c r="BQ31"/>
  <c r="BS31" s="1"/>
  <c r="BI31"/>
  <c r="BA31"/>
  <c r="AT31"/>
  <c r="AV31" s="1"/>
  <c r="AN31"/>
  <c r="AP31" s="1"/>
  <c r="AG31"/>
  <c r="AI31" s="1"/>
  <c r="Z31"/>
  <c r="AB31" s="1"/>
  <c r="P31"/>
  <c r="CG30"/>
  <c r="BY30"/>
  <c r="BQ30"/>
  <c r="BI30"/>
  <c r="BA30"/>
  <c r="BC30" s="1"/>
  <c r="AT30"/>
  <c r="AV30" s="1"/>
  <c r="AG30"/>
  <c r="Z30"/>
  <c r="AB30" s="1"/>
  <c r="P30"/>
  <c r="CG29"/>
  <c r="CI29" s="1"/>
  <c r="BY29"/>
  <c r="BQ29"/>
  <c r="BI29"/>
  <c r="BK29" s="1"/>
  <c r="BA29"/>
  <c r="BC29" s="1"/>
  <c r="AT29"/>
  <c r="AV29" s="1"/>
  <c r="AN29"/>
  <c r="AG29"/>
  <c r="Z29"/>
  <c r="AB29" s="1"/>
  <c r="P29"/>
  <c r="CG28"/>
  <c r="BY28"/>
  <c r="BQ28"/>
  <c r="BS28" s="1"/>
  <c r="BI28"/>
  <c r="BK28" s="1"/>
  <c r="BA28"/>
  <c r="AT28"/>
  <c r="AV28" s="1"/>
  <c r="AN28"/>
  <c r="AP28" s="1"/>
  <c r="AG28"/>
  <c r="AI28" s="1"/>
  <c r="Z28"/>
  <c r="AB28" s="1"/>
  <c r="P28"/>
  <c r="CG27"/>
  <c r="BY27"/>
  <c r="CA27" s="1"/>
  <c r="BQ27"/>
  <c r="BS27"/>
  <c r="BI27"/>
  <c r="BA27"/>
  <c r="AT27"/>
  <c r="AV27" s="1"/>
  <c r="AN27"/>
  <c r="AP27" s="1"/>
  <c r="Z27"/>
  <c r="AB27" s="1"/>
  <c r="P27"/>
  <c r="CG26"/>
  <c r="CI26" s="1"/>
  <c r="BY26"/>
  <c r="CA26" s="1"/>
  <c r="BQ26"/>
  <c r="BI26"/>
  <c r="BA26"/>
  <c r="BC26" s="1"/>
  <c r="AT26"/>
  <c r="AV26" s="1"/>
  <c r="AG26"/>
  <c r="AI26" s="1"/>
  <c r="Z26"/>
  <c r="AB26" s="1"/>
  <c r="P26"/>
  <c r="CI25"/>
  <c r="CG25"/>
  <c r="BY25"/>
  <c r="BQ25"/>
  <c r="BI25"/>
  <c r="BA25"/>
  <c r="AT25"/>
  <c r="AV25" s="1"/>
  <c r="AN25"/>
  <c r="AP25" s="1"/>
  <c r="AG25"/>
  <c r="AI25" s="1"/>
  <c r="Z25"/>
  <c r="AB25" s="1"/>
  <c r="P25"/>
  <c r="CG24"/>
  <c r="BY24"/>
  <c r="BQ24"/>
  <c r="BS24" s="1"/>
  <c r="BI24"/>
  <c r="BK24" s="1"/>
  <c r="BA24"/>
  <c r="AT24"/>
  <c r="AV24" s="1"/>
  <c r="AN24"/>
  <c r="AP24" s="1"/>
  <c r="Z24"/>
  <c r="AB24" s="1"/>
  <c r="P24"/>
  <c r="CG23"/>
  <c r="BY23"/>
  <c r="BQ23"/>
  <c r="BI23"/>
  <c r="BA23"/>
  <c r="AT23"/>
  <c r="AV23" s="1"/>
  <c r="AG23"/>
  <c r="AI23" s="1"/>
  <c r="P23"/>
  <c r="Q23" s="1"/>
  <c r="S23" s="1"/>
  <c r="CG22"/>
  <c r="CI22" s="1"/>
  <c r="BY22"/>
  <c r="CA22" s="1"/>
  <c r="BQ22"/>
  <c r="BI22"/>
  <c r="BA22"/>
  <c r="AT22"/>
  <c r="AV22" s="1"/>
  <c r="AN22"/>
  <c r="AP22" s="1"/>
  <c r="AG22"/>
  <c r="AI22" s="1"/>
  <c r="Z22"/>
  <c r="AB22" s="1"/>
  <c r="P22"/>
  <c r="CG21"/>
  <c r="BY21"/>
  <c r="BQ21"/>
  <c r="BI21"/>
  <c r="BK21" s="1"/>
  <c r="BA21"/>
  <c r="BC21" s="1"/>
  <c r="AT21"/>
  <c r="AV21" s="1"/>
  <c r="AN21"/>
  <c r="AP21" s="1"/>
  <c r="AG21"/>
  <c r="AI21" s="1"/>
  <c r="Z21"/>
  <c r="AB21" s="1"/>
  <c r="P21"/>
  <c r="CG20"/>
  <c r="BY20"/>
  <c r="BQ20"/>
  <c r="BI20"/>
  <c r="BA20"/>
  <c r="AV20"/>
  <c r="AT20"/>
  <c r="AN20"/>
  <c r="P20"/>
  <c r="CG19"/>
  <c r="BY19"/>
  <c r="CA19" s="1"/>
  <c r="BQ19"/>
  <c r="BS19" s="1"/>
  <c r="BI19"/>
  <c r="BA19"/>
  <c r="AT19"/>
  <c r="AV19" s="1"/>
  <c r="AG19"/>
  <c r="AI19" s="1"/>
  <c r="Z19"/>
  <c r="AB19" s="1"/>
  <c r="P19"/>
  <c r="Q19" s="1"/>
  <c r="S19" s="1"/>
  <c r="CG18"/>
  <c r="BY18"/>
  <c r="BQ18"/>
  <c r="BI18"/>
  <c r="BA18"/>
  <c r="BC18" s="1"/>
  <c r="AT18"/>
  <c r="AV18" s="1"/>
  <c r="AG18"/>
  <c r="Z18"/>
  <c r="AB18" s="1"/>
  <c r="P18"/>
  <c r="CG17"/>
  <c r="CI17" s="1"/>
  <c r="BY17"/>
  <c r="BQ17"/>
  <c r="BI17"/>
  <c r="BK17" s="1"/>
  <c r="BA17"/>
  <c r="BC17" s="1"/>
  <c r="AT17"/>
  <c r="AV17" s="1"/>
  <c r="AN17"/>
  <c r="AG17"/>
  <c r="Z17"/>
  <c r="AB17" s="1"/>
  <c r="P17"/>
  <c r="CG16"/>
  <c r="BY16"/>
  <c r="BQ16"/>
  <c r="BI16"/>
  <c r="BK16" s="1"/>
  <c r="BA16"/>
  <c r="AT16"/>
  <c r="AV16" s="1"/>
  <c r="AN16"/>
  <c r="AP16" s="1"/>
  <c r="AG16"/>
  <c r="AI16" s="1"/>
  <c r="Z16"/>
  <c r="AB16" s="1"/>
  <c r="P16"/>
  <c r="CG15"/>
  <c r="BY15"/>
  <c r="CA15" s="1"/>
  <c r="BQ15"/>
  <c r="BS15" s="1"/>
  <c r="BI15"/>
  <c r="BA15"/>
  <c r="AT15"/>
  <c r="AV15" s="1"/>
  <c r="AN15"/>
  <c r="AP15" s="1"/>
  <c r="Z15"/>
  <c r="AB15" s="1"/>
  <c r="P15"/>
  <c r="Q15" s="1"/>
  <c r="S15" s="1"/>
  <c r="CG14"/>
  <c r="CI14" s="1"/>
  <c r="BY14"/>
  <c r="CA14" s="1"/>
  <c r="BQ14"/>
  <c r="BI14"/>
  <c r="BA14"/>
  <c r="BC14" s="1"/>
  <c r="AT14"/>
  <c r="AV14" s="1"/>
  <c r="AG14"/>
  <c r="AI14" s="1"/>
  <c r="Z14"/>
  <c r="AB14" s="1"/>
  <c r="P14"/>
  <c r="CG13"/>
  <c r="CI13" s="1"/>
  <c r="BY13"/>
  <c r="BQ13"/>
  <c r="BI13"/>
  <c r="BA13"/>
  <c r="AV13"/>
  <c r="AT13"/>
  <c r="AN13"/>
  <c r="AP13" s="1"/>
  <c r="AG13"/>
  <c r="AI13" s="1"/>
  <c r="Z13"/>
  <c r="AB13" s="1"/>
  <c r="P13"/>
  <c r="CG12"/>
  <c r="BY12"/>
  <c r="BQ12"/>
  <c r="BS12" s="1"/>
  <c r="BI12"/>
  <c r="BK12" s="1"/>
  <c r="BA12"/>
  <c r="AT12"/>
  <c r="AV12" s="1"/>
  <c r="AN12"/>
  <c r="AP12" s="1"/>
  <c r="Z12"/>
  <c r="AB12" s="1"/>
  <c r="P12"/>
  <c r="CG11"/>
  <c r="BY11"/>
  <c r="BQ11"/>
  <c r="BI11"/>
  <c r="BA11"/>
  <c r="AT11"/>
  <c r="AV11" s="1"/>
  <c r="P11"/>
  <c r="CG10"/>
  <c r="CI10" s="1"/>
  <c r="BY10"/>
  <c r="CA10" s="1"/>
  <c r="BQ10"/>
  <c r="BI10"/>
  <c r="BA10"/>
  <c r="AT10"/>
  <c r="AV10" s="1"/>
  <c r="AN10"/>
  <c r="AP10" s="1"/>
  <c r="AG10"/>
  <c r="AI10" s="1"/>
  <c r="Z10"/>
  <c r="AB10" s="1"/>
  <c r="P10"/>
  <c r="CG9"/>
  <c r="BY9"/>
  <c r="BQ9"/>
  <c r="BI9"/>
  <c r="BA9"/>
  <c r="BC9" s="1"/>
  <c r="AV9"/>
  <c r="AT9"/>
  <c r="AN9"/>
  <c r="AP9" s="1"/>
  <c r="AG9"/>
  <c r="AI9" s="1"/>
  <c r="Z9"/>
  <c r="AB9" s="1"/>
  <c r="P9"/>
  <c r="CG8"/>
  <c r="CI8" s="1"/>
  <c r="BY8"/>
  <c r="CA8" s="1"/>
  <c r="BI8"/>
  <c r="BA8"/>
  <c r="AT8"/>
  <c r="AV8" s="1"/>
  <c r="AN8"/>
  <c r="AG8"/>
  <c r="Z8"/>
  <c r="P8"/>
  <c r="AT8" i="6"/>
  <c r="V8"/>
  <c r="K86"/>
  <c r="K85"/>
  <c r="K84"/>
  <c r="K83"/>
  <c r="K82"/>
  <c r="K81"/>
  <c r="K80"/>
  <c r="K79"/>
  <c r="K78"/>
  <c r="K77"/>
  <c r="K76"/>
  <c r="K75"/>
  <c r="K74"/>
  <c r="K73"/>
  <c r="K72"/>
  <c r="K70"/>
  <c r="K69"/>
  <c r="K68"/>
  <c r="K67"/>
  <c r="K66"/>
  <c r="K65"/>
  <c r="K64"/>
  <c r="K63"/>
  <c r="K62"/>
  <c r="K61"/>
  <c r="K60"/>
  <c r="K59"/>
  <c r="K58"/>
  <c r="K57"/>
  <c r="K56"/>
  <c r="K55"/>
  <c r="K54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P31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BS56" i="5" l="1"/>
  <c r="Q31" i="6"/>
  <c r="Q14" i="4"/>
  <c r="S14" s="1"/>
  <c r="Q38"/>
  <c r="S38" s="1"/>
  <c r="Q44"/>
  <c r="S44" s="1"/>
  <c r="Q12"/>
  <c r="S12" s="1"/>
  <c r="Q13"/>
  <c r="S13" s="1"/>
  <c r="Q30"/>
  <c r="S30" s="1"/>
  <c r="Q22"/>
  <c r="S22" s="1"/>
  <c r="Q43"/>
  <c r="Q28"/>
  <c r="S28" s="1"/>
  <c r="Q29"/>
  <c r="S29" s="1"/>
  <c r="Q37"/>
  <c r="S37" s="1"/>
  <c r="Q45"/>
  <c r="S45" s="1"/>
  <c r="Q9"/>
  <c r="S9" s="1"/>
  <c r="Q10"/>
  <c r="S10" s="1"/>
  <c r="Q16"/>
  <c r="S16" s="1"/>
  <c r="Q36"/>
  <c r="S36" s="1"/>
  <c r="Q11"/>
  <c r="S11" s="1"/>
  <c r="Q24"/>
  <c r="S24" s="1"/>
  <c r="Q25"/>
  <c r="S25" s="1"/>
  <c r="Q26"/>
  <c r="S26" s="1"/>
  <c r="Q34"/>
  <c r="S34" s="1"/>
  <c r="Q27"/>
  <c r="S27" s="1"/>
  <c r="Q17"/>
  <c r="S17" s="1"/>
  <c r="Q18"/>
  <c r="S18" s="1"/>
  <c r="Q42"/>
  <c r="S42" s="1"/>
  <c r="Q95"/>
  <c r="Q40"/>
  <c r="S40" s="1"/>
  <c r="Q20"/>
  <c r="S20" s="1"/>
  <c r="S95"/>
  <c r="CJ95" s="1"/>
  <c r="CK95" s="1"/>
  <c r="Q41"/>
  <c r="S41" s="1"/>
  <c r="Q21"/>
  <c r="S21" s="1"/>
  <c r="Q31"/>
  <c r="S31" s="1"/>
  <c r="Z8" i="5"/>
  <c r="CI64"/>
  <c r="BC70"/>
  <c r="BC85"/>
  <c r="AG71"/>
  <c r="CI77"/>
  <c r="BS18"/>
  <c r="CI82"/>
  <c r="CI9"/>
  <c r="CA47"/>
  <c r="BC62"/>
  <c r="BK80"/>
  <c r="BY71"/>
  <c r="BK8"/>
  <c r="AG63"/>
  <c r="AI65"/>
  <c r="BQ95"/>
  <c r="BS51"/>
  <c r="BQ87"/>
  <c r="BQ84"/>
  <c r="BS84" s="1"/>
  <c r="BQ79"/>
  <c r="BS76"/>
  <c r="BQ71"/>
  <c r="BS66"/>
  <c r="BQ60"/>
  <c r="BS60" s="1"/>
  <c r="BS58"/>
  <c r="BS50"/>
  <c r="BS92"/>
  <c r="BS74"/>
  <c r="BS68"/>
  <c r="BS62"/>
  <c r="BS54"/>
  <c r="BQ47"/>
  <c r="BS47" s="1"/>
  <c r="CG94"/>
  <c r="CG93"/>
  <c r="CI81"/>
  <c r="CI69"/>
  <c r="CI50"/>
  <c r="CI25"/>
  <c r="CI30"/>
  <c r="CI13"/>
  <c r="AU8"/>
  <c r="CI66"/>
  <c r="CI92"/>
  <c r="CG86"/>
  <c r="CI86" s="1"/>
  <c r="CI65"/>
  <c r="CI62"/>
  <c r="CG58"/>
  <c r="CI58" s="1"/>
  <c r="CI53"/>
  <c r="CA78"/>
  <c r="CA73"/>
  <c r="BY54"/>
  <c r="CA54" s="1"/>
  <c r="CA91"/>
  <c r="CA79"/>
  <c r="BY67"/>
  <c r="CA67" s="1"/>
  <c r="CA65"/>
  <c r="BY63"/>
  <c r="CA63" s="1"/>
  <c r="CA61"/>
  <c r="BK60"/>
  <c r="BK83"/>
  <c r="BI72"/>
  <c r="BK72" s="1"/>
  <c r="BK71"/>
  <c r="BK16"/>
  <c r="CG38"/>
  <c r="CI38" s="1"/>
  <c r="BI40"/>
  <c r="BK40" s="1"/>
  <c r="BQ56"/>
  <c r="BQ59"/>
  <c r="BS59" s="1"/>
  <c r="BY70"/>
  <c r="CA70" s="1"/>
  <c r="CI76"/>
  <c r="BK77"/>
  <c r="BS82"/>
  <c r="BY87"/>
  <c r="BS91"/>
  <c r="CI49"/>
  <c r="BK65"/>
  <c r="BK68"/>
  <c r="CI78"/>
  <c r="CI90"/>
  <c r="CG14"/>
  <c r="CI14" s="1"/>
  <c r="CI61"/>
  <c r="BS70"/>
  <c r="BY58"/>
  <c r="CA58" s="1"/>
  <c r="CI54"/>
  <c r="BS80"/>
  <c r="AP16"/>
  <c r="BI52"/>
  <c r="BK55"/>
  <c r="CI57"/>
  <c r="BS64"/>
  <c r="BK67"/>
  <c r="CA69"/>
  <c r="CG74"/>
  <c r="CI74" s="1"/>
  <c r="BK76"/>
  <c r="BS86"/>
  <c r="AI9"/>
  <c r="CA18"/>
  <c r="CI24"/>
  <c r="BQ48"/>
  <c r="BS48" s="1"/>
  <c r="AN68"/>
  <c r="CI68"/>
  <c r="BS78"/>
  <c r="BY83"/>
  <c r="BC84"/>
  <c r="CA85"/>
  <c r="CI88"/>
  <c r="BC49"/>
  <c r="AP19"/>
  <c r="CI29"/>
  <c r="BC42"/>
  <c r="BY50"/>
  <c r="CA50" s="1"/>
  <c r="CI72"/>
  <c r="AN84"/>
  <c r="AP84" s="1"/>
  <c r="CI84"/>
  <c r="BK61"/>
  <c r="BK57"/>
  <c r="BK91"/>
  <c r="BK89"/>
  <c r="BK88"/>
  <c r="BK81"/>
  <c r="BK79"/>
  <c r="BK73"/>
  <c r="BI69"/>
  <c r="BK69" s="1"/>
  <c r="BK64"/>
  <c r="BK63"/>
  <c r="BK59"/>
  <c r="BI56"/>
  <c r="BK56" s="1"/>
  <c r="BK53"/>
  <c r="BK51"/>
  <c r="BI49"/>
  <c r="BK49" s="1"/>
  <c r="BC58"/>
  <c r="BC89"/>
  <c r="BC88"/>
  <c r="BC77"/>
  <c r="BC76"/>
  <c r="BA74"/>
  <c r="BC74" s="1"/>
  <c r="BC73"/>
  <c r="BC69"/>
  <c r="BC66"/>
  <c r="BC94"/>
  <c r="BC90"/>
  <c r="BC82"/>
  <c r="BA81"/>
  <c r="BC81" s="1"/>
  <c r="BC68"/>
  <c r="BC65"/>
  <c r="BC64"/>
  <c r="BA57"/>
  <c r="BC57" s="1"/>
  <c r="BA54"/>
  <c r="BC54" s="1"/>
  <c r="BA53"/>
  <c r="BC53" s="1"/>
  <c r="BA50"/>
  <c r="BC50" s="1"/>
  <c r="AP85"/>
  <c r="AN75"/>
  <c r="AP72"/>
  <c r="AN70"/>
  <c r="AP70" s="1"/>
  <c r="AN65"/>
  <c r="AP65" s="1"/>
  <c r="AN64"/>
  <c r="AP64" s="1"/>
  <c r="AN61"/>
  <c r="AP61" s="1"/>
  <c r="AN46"/>
  <c r="AP46" s="1"/>
  <c r="AN90"/>
  <c r="AP90" s="1"/>
  <c r="AP89"/>
  <c r="AN86"/>
  <c r="AP86" s="1"/>
  <c r="AP80"/>
  <c r="AP77"/>
  <c r="AN74"/>
  <c r="AP74" s="1"/>
  <c r="AP73"/>
  <c r="AN71"/>
  <c r="AN67"/>
  <c r="AP67" s="1"/>
  <c r="AN63"/>
  <c r="AP63" s="1"/>
  <c r="AG68"/>
  <c r="AG67"/>
  <c r="AI67" s="1"/>
  <c r="AG66"/>
  <c r="AI66" s="1"/>
  <c r="AG61"/>
  <c r="AI61" s="1"/>
  <c r="AG53"/>
  <c r="AI53" s="1"/>
  <c r="AG49"/>
  <c r="AI49" s="1"/>
  <c r="AG91"/>
  <c r="AI91" s="1"/>
  <c r="AI94"/>
  <c r="AI93"/>
  <c r="AG76"/>
  <c r="AI76" s="1"/>
  <c r="AI70"/>
  <c r="AI69"/>
  <c r="AG64"/>
  <c r="AI64" s="1"/>
  <c r="AG62"/>
  <c r="AI62" s="1"/>
  <c r="AG60"/>
  <c r="AI60" s="1"/>
  <c r="AG57"/>
  <c r="AI57" s="1"/>
  <c r="AG56"/>
  <c r="AG52"/>
  <c r="AG48"/>
  <c r="AI48" s="1"/>
  <c r="AG47"/>
  <c r="AI47" s="1"/>
  <c r="Q95"/>
  <c r="Q51"/>
  <c r="S51" s="1"/>
  <c r="S92"/>
  <c r="CJ92" s="1"/>
  <c r="CK92" s="1"/>
  <c r="Q91"/>
  <c r="S91" s="1"/>
  <c r="CG37"/>
  <c r="CI37" s="1"/>
  <c r="CI32"/>
  <c r="CG22"/>
  <c r="CI22" s="1"/>
  <c r="CG21"/>
  <c r="CI21" s="1"/>
  <c r="CI16"/>
  <c r="CG10"/>
  <c r="CI10" s="1"/>
  <c r="CI20"/>
  <c r="CA42"/>
  <c r="CA35"/>
  <c r="CA21"/>
  <c r="BY11"/>
  <c r="CA11" s="1"/>
  <c r="BY10"/>
  <c r="CA10" s="1"/>
  <c r="CA41"/>
  <c r="CA39"/>
  <c r="CA38"/>
  <c r="CA29"/>
  <c r="BY26"/>
  <c r="CA26" s="1"/>
  <c r="BY23"/>
  <c r="CA23" s="1"/>
  <c r="CA17"/>
  <c r="CA15"/>
  <c r="CA13"/>
  <c r="BY8"/>
  <c r="CA8" s="1"/>
  <c r="BS11"/>
  <c r="BS38"/>
  <c r="BQ35"/>
  <c r="BS35" s="1"/>
  <c r="BQ43"/>
  <c r="BS43" s="1"/>
  <c r="BS42"/>
  <c r="BS40"/>
  <c r="BQ36"/>
  <c r="BS36" s="1"/>
  <c r="BS32"/>
  <c r="BQ31"/>
  <c r="BS31" s="1"/>
  <c r="BS30"/>
  <c r="BS28"/>
  <c r="BS27"/>
  <c r="BS23"/>
  <c r="BQ16"/>
  <c r="BS16" s="1"/>
  <c r="BS10"/>
  <c r="BI24"/>
  <c r="BK24" s="1"/>
  <c r="BK20"/>
  <c r="BK15"/>
  <c r="BI12"/>
  <c r="BK12" s="1"/>
  <c r="BK11"/>
  <c r="BK43"/>
  <c r="BK44"/>
  <c r="BI45"/>
  <c r="BK45" s="1"/>
  <c r="BK39"/>
  <c r="BK37"/>
  <c r="BI36"/>
  <c r="BK36" s="1"/>
  <c r="BK35"/>
  <c r="BI33"/>
  <c r="BK33" s="1"/>
  <c r="BK29"/>
  <c r="BK28"/>
  <c r="BK27"/>
  <c r="BK25"/>
  <c r="BK23"/>
  <c r="BI13"/>
  <c r="BK13" s="1"/>
  <c r="BC36"/>
  <c r="BC32"/>
  <c r="BC17"/>
  <c r="BA22"/>
  <c r="BC22" s="1"/>
  <c r="BC25"/>
  <c r="BC26"/>
  <c r="BA33"/>
  <c r="BC33" s="1"/>
  <c r="BC37"/>
  <c r="BC41"/>
  <c r="BC44"/>
  <c r="BC38"/>
  <c r="BA34"/>
  <c r="BC34" s="1"/>
  <c r="BC28"/>
  <c r="BA21"/>
  <c r="BC21" s="1"/>
  <c r="BC20"/>
  <c r="BC18"/>
  <c r="BC16"/>
  <c r="BC14"/>
  <c r="BC13"/>
  <c r="BA10"/>
  <c r="BC10" s="1"/>
  <c r="BA9"/>
  <c r="BC9" s="1"/>
  <c r="AP23"/>
  <c r="AN43"/>
  <c r="AP43" s="1"/>
  <c r="AP40"/>
  <c r="AN34"/>
  <c r="AP34" s="1"/>
  <c r="AN29"/>
  <c r="AP29" s="1"/>
  <c r="AN24"/>
  <c r="AP24" s="1"/>
  <c r="AP17"/>
  <c r="AN15"/>
  <c r="AP15" s="1"/>
  <c r="AP12"/>
  <c r="AN10"/>
  <c r="AP10" s="1"/>
  <c r="AP45"/>
  <c r="AP41"/>
  <c r="AP36"/>
  <c r="AN31"/>
  <c r="AP31" s="1"/>
  <c r="AN26"/>
  <c r="AP26" s="1"/>
  <c r="AN13"/>
  <c r="AP13" s="1"/>
  <c r="AP21"/>
  <c r="AN18"/>
  <c r="AP18" s="1"/>
  <c r="AN22"/>
  <c r="AP22" s="1"/>
  <c r="AI38"/>
  <c r="AG34"/>
  <c r="AI34" s="1"/>
  <c r="AG22"/>
  <c r="AI22" s="1"/>
  <c r="AG10"/>
  <c r="AI10" s="1"/>
  <c r="Q44"/>
  <c r="S44" s="1"/>
  <c r="Q40"/>
  <c r="S40" s="1"/>
  <c r="Q46"/>
  <c r="S46" s="1"/>
  <c r="Q21"/>
  <c r="S21" s="1"/>
  <c r="Q30"/>
  <c r="S30" s="1"/>
  <c r="Q60"/>
  <c r="Q45"/>
  <c r="Q89"/>
  <c r="CN89" s="1"/>
  <c r="CS89" s="1"/>
  <c r="CT89" s="1"/>
  <c r="Q24"/>
  <c r="Q35"/>
  <c r="S35" s="1"/>
  <c r="Q37"/>
  <c r="S37" s="1"/>
  <c r="Q55"/>
  <c r="S55" s="1"/>
  <c r="Q59"/>
  <c r="S59" s="1"/>
  <c r="Q77"/>
  <c r="S77" s="1"/>
  <c r="Q15"/>
  <c r="S15" s="1"/>
  <c r="Q52"/>
  <c r="Q56"/>
  <c r="Q72"/>
  <c r="S72" s="1"/>
  <c r="S83"/>
  <c r="CJ83" s="1"/>
  <c r="CK83" s="1"/>
  <c r="S87"/>
  <c r="CJ87" s="1"/>
  <c r="CK87" s="1"/>
  <c r="CW87" s="1"/>
  <c r="CX87" s="1"/>
  <c r="AG46"/>
  <c r="AI46" s="1"/>
  <c r="AG40"/>
  <c r="AI40" s="1"/>
  <c r="AG37"/>
  <c r="AI37" s="1"/>
  <c r="AG36"/>
  <c r="AI36" s="1"/>
  <c r="AG35"/>
  <c r="AI35" s="1"/>
  <c r="AI33"/>
  <c r="AI29"/>
  <c r="AG28"/>
  <c r="AG23"/>
  <c r="AI23" s="1"/>
  <c r="AG17"/>
  <c r="AI17" s="1"/>
  <c r="AG16"/>
  <c r="AI16" s="1"/>
  <c r="AG15"/>
  <c r="AI15" s="1"/>
  <c r="AG11"/>
  <c r="AI11" s="1"/>
  <c r="AU8" i="4"/>
  <c r="P24" i="7" s="1"/>
  <c r="Q84" i="5"/>
  <c r="S84" s="1"/>
  <c r="Q9"/>
  <c r="S9" s="1"/>
  <c r="AG42"/>
  <c r="AI42" s="1"/>
  <c r="AG43"/>
  <c r="AI43" s="1"/>
  <c r="BY43"/>
  <c r="CA43" s="1"/>
  <c r="AN44"/>
  <c r="AP44" s="1"/>
  <c r="BY46"/>
  <c r="CA46" s="1"/>
  <c r="AN49"/>
  <c r="AP49" s="1"/>
  <c r="CA49"/>
  <c r="AN51"/>
  <c r="AP51" s="1"/>
  <c r="CI52"/>
  <c r="AN53"/>
  <c r="AP53" s="1"/>
  <c r="CA53"/>
  <c r="AN55"/>
  <c r="AP55" s="1"/>
  <c r="CI56"/>
  <c r="AN57"/>
  <c r="AP57" s="1"/>
  <c r="CA57"/>
  <c r="AN59"/>
  <c r="AP59" s="1"/>
  <c r="CI60"/>
  <c r="AN62"/>
  <c r="AP62" s="1"/>
  <c r="Q65"/>
  <c r="AN66"/>
  <c r="AP66" s="1"/>
  <c r="Q69"/>
  <c r="BC72"/>
  <c r="CA81"/>
  <c r="AN82"/>
  <c r="Q85"/>
  <c r="S85" s="1"/>
  <c r="BA86"/>
  <c r="BC86" s="1"/>
  <c r="BK87"/>
  <c r="BI92"/>
  <c r="BK92" s="1"/>
  <c r="BI93"/>
  <c r="BK93" s="1"/>
  <c r="BY94"/>
  <c r="CA94" s="1"/>
  <c r="AG95"/>
  <c r="CI8"/>
  <c r="AP9"/>
  <c r="Q13"/>
  <c r="S13" s="1"/>
  <c r="Q16"/>
  <c r="S16" s="1"/>
  <c r="CI17"/>
  <c r="CI18"/>
  <c r="Q22"/>
  <c r="Q27"/>
  <c r="S27" s="1"/>
  <c r="BC29"/>
  <c r="BC30"/>
  <c r="BK32"/>
  <c r="BS39"/>
  <c r="BK41"/>
  <c r="BS44"/>
  <c r="AI45"/>
  <c r="AI50"/>
  <c r="CA51"/>
  <c r="AP52"/>
  <c r="AI54"/>
  <c r="CA55"/>
  <c r="AP56"/>
  <c r="AI58"/>
  <c r="CA59"/>
  <c r="AP60"/>
  <c r="CA62"/>
  <c r="CA66"/>
  <c r="CI70"/>
  <c r="CI73"/>
  <c r="BC78"/>
  <c r="AI81"/>
  <c r="CA82"/>
  <c r="CI85"/>
  <c r="CA9"/>
  <c r="AN11"/>
  <c r="AP11" s="1"/>
  <c r="CI12"/>
  <c r="AN14"/>
  <c r="AP14" s="1"/>
  <c r="Q17"/>
  <c r="S17" s="1"/>
  <c r="BC24"/>
  <c r="BK31"/>
  <c r="AG44"/>
  <c r="AI44" s="1"/>
  <c r="BS46"/>
  <c r="AG51"/>
  <c r="AI51" s="1"/>
  <c r="AG55"/>
  <c r="AI55" s="1"/>
  <c r="AG59"/>
  <c r="AI59" s="1"/>
  <c r="AP69"/>
  <c r="Q73"/>
  <c r="AI82"/>
  <c r="AG83"/>
  <c r="K88"/>
  <c r="Q88" s="1"/>
  <c r="S88" s="1"/>
  <c r="BC92"/>
  <c r="BA93"/>
  <c r="BC93" s="1"/>
  <c r="CA95"/>
  <c r="K92"/>
  <c r="Q92" s="1"/>
  <c r="Q93"/>
  <c r="S93" s="1"/>
  <c r="BK9"/>
  <c r="BS12"/>
  <c r="AI13"/>
  <c r="AI18"/>
  <c r="CA19"/>
  <c r="AP20"/>
  <c r="CA22"/>
  <c r="AP25"/>
  <c r="Q29"/>
  <c r="Q32"/>
  <c r="S32" s="1"/>
  <c r="CI33"/>
  <c r="CI34"/>
  <c r="Q38"/>
  <c r="S38" s="1"/>
  <c r="Q43"/>
  <c r="BC45"/>
  <c r="BC46"/>
  <c r="BK48"/>
  <c r="BS63"/>
  <c r="BS67"/>
  <c r="AI73"/>
  <c r="CA74"/>
  <c r="CA75"/>
  <c r="AP76"/>
  <c r="BS83"/>
  <c r="AI85"/>
  <c r="CA86"/>
  <c r="AP88"/>
  <c r="Q25"/>
  <c r="S25" s="1"/>
  <c r="BQ8"/>
  <c r="BS8" s="1"/>
  <c r="AG12"/>
  <c r="AI12" s="1"/>
  <c r="BS14"/>
  <c r="AG19"/>
  <c r="AI19" s="1"/>
  <c r="CA25"/>
  <c r="AN27"/>
  <c r="AP27" s="1"/>
  <c r="CI28"/>
  <c r="AN30"/>
  <c r="AP30" s="1"/>
  <c r="Q33"/>
  <c r="BC40"/>
  <c r="BK47"/>
  <c r="BS72"/>
  <c r="AI74"/>
  <c r="AG75"/>
  <c r="AI75" s="1"/>
  <c r="CA77"/>
  <c r="AN78"/>
  <c r="AP78" s="1"/>
  <c r="BC80"/>
  <c r="AI86"/>
  <c r="AG87"/>
  <c r="CA89"/>
  <c r="CA90"/>
  <c r="AP92"/>
  <c r="AP93"/>
  <c r="BS15"/>
  <c r="BK17"/>
  <c r="BS20"/>
  <c r="AI21"/>
  <c r="AI26"/>
  <c r="CA27"/>
  <c r="AP28"/>
  <c r="CA30"/>
  <c r="AP33"/>
  <c r="CI41"/>
  <c r="CI42"/>
  <c r="AG72"/>
  <c r="AI72" s="1"/>
  <c r="AI90"/>
  <c r="BS19"/>
  <c r="AG20"/>
  <c r="AI20" s="1"/>
  <c r="BK21"/>
  <c r="BS22"/>
  <c r="BS24"/>
  <c r="AI25"/>
  <c r="AG27"/>
  <c r="AI27" s="1"/>
  <c r="AI30"/>
  <c r="CA31"/>
  <c r="AP32"/>
  <c r="CA33"/>
  <c r="CA34"/>
  <c r="AN35"/>
  <c r="AP35" s="1"/>
  <c r="CI36"/>
  <c r="AP37"/>
  <c r="AN38"/>
  <c r="AP38" s="1"/>
  <c r="Q41"/>
  <c r="CN41" s="1"/>
  <c r="CS41" s="1"/>
  <c r="CT41" s="1"/>
  <c r="CI45"/>
  <c r="CI46"/>
  <c r="BC48"/>
  <c r="Q50"/>
  <c r="Q54"/>
  <c r="S54" s="1"/>
  <c r="Q58"/>
  <c r="S58" s="1"/>
  <c r="Q63"/>
  <c r="S63" s="1"/>
  <c r="Q67"/>
  <c r="S67" s="1"/>
  <c r="BS75"/>
  <c r="Q81"/>
  <c r="Q82"/>
  <c r="Q83"/>
  <c r="AG24"/>
  <c r="AI24" s="1"/>
  <c r="BS26"/>
  <c r="AG31"/>
  <c r="AI31" s="1"/>
  <c r="CA37"/>
  <c r="AN39"/>
  <c r="AP39" s="1"/>
  <c r="CI40"/>
  <c r="AN42"/>
  <c r="AP42" s="1"/>
  <c r="BC52"/>
  <c r="BC56"/>
  <c r="BC60"/>
  <c r="AG79"/>
  <c r="CI80"/>
  <c r="BS90"/>
  <c r="AN94"/>
  <c r="AP94" s="1"/>
  <c r="Q10"/>
  <c r="Q49"/>
  <c r="S49" s="1"/>
  <c r="Q8"/>
  <c r="BA8"/>
  <c r="BC8" s="1"/>
  <c r="BC12"/>
  <c r="BK19"/>
  <c r="AG32"/>
  <c r="AI32" s="1"/>
  <c r="BS34"/>
  <c r="AG39"/>
  <c r="AI39" s="1"/>
  <c r="CA45"/>
  <c r="AN47"/>
  <c r="AP47" s="1"/>
  <c r="CI48"/>
  <c r="AN50"/>
  <c r="AP50" s="1"/>
  <c r="Q53"/>
  <c r="AN54"/>
  <c r="AP54" s="1"/>
  <c r="Q57"/>
  <c r="AN58"/>
  <c r="AP58" s="1"/>
  <c r="Q61"/>
  <c r="S61" s="1"/>
  <c r="BK75"/>
  <c r="AP81"/>
  <c r="CL95"/>
  <c r="CM95"/>
  <c r="Q12"/>
  <c r="S12" s="1"/>
  <c r="Q18"/>
  <c r="Q23"/>
  <c r="Q74"/>
  <c r="Q75"/>
  <c r="S75" s="1"/>
  <c r="Q86"/>
  <c r="Q87"/>
  <c r="Q20"/>
  <c r="Q26"/>
  <c r="CN26" s="1"/>
  <c r="CS26" s="1"/>
  <c r="CT26" s="1"/>
  <c r="Q31"/>
  <c r="Q76"/>
  <c r="Q78"/>
  <c r="S78" s="1"/>
  <c r="Q79"/>
  <c r="Q90"/>
  <c r="Q28"/>
  <c r="S28" s="1"/>
  <c r="Q34"/>
  <c r="Q39"/>
  <c r="Q36"/>
  <c r="S36" s="1"/>
  <c r="Q42"/>
  <c r="S42" s="1"/>
  <c r="Q47"/>
  <c r="Q80"/>
  <c r="Q94"/>
  <c r="S80"/>
  <c r="CJ80" s="1"/>
  <c r="CK80" s="1"/>
  <c r="CW80" s="1"/>
  <c r="CX80" s="1"/>
  <c r="S45"/>
  <c r="Q11"/>
  <c r="Q48"/>
  <c r="Q62"/>
  <c r="Q66"/>
  <c r="S66" s="1"/>
  <c r="Q14"/>
  <c r="Q19"/>
  <c r="Q64"/>
  <c r="Q68"/>
  <c r="S68" s="1"/>
  <c r="CJ68" s="1"/>
  <c r="CK68" s="1"/>
  <c r="CW68" s="1"/>
  <c r="CX68" s="1"/>
  <c r="Q70"/>
  <c r="Q71"/>
  <c r="S71" s="1"/>
  <c r="AN79"/>
  <c r="AG80"/>
  <c r="S82"/>
  <c r="CJ82" s="1"/>
  <c r="CK82" s="1"/>
  <c r="CW82" s="1"/>
  <c r="CX82" s="1"/>
  <c r="AN83"/>
  <c r="AG84"/>
  <c r="AN87"/>
  <c r="AG88"/>
  <c r="AI88" s="1"/>
  <c r="AN91"/>
  <c r="AP91" s="1"/>
  <c r="AG92"/>
  <c r="AN95"/>
  <c r="AP8"/>
  <c r="CA93"/>
  <c r="BS94"/>
  <c r="BK95"/>
  <c r="AI8"/>
  <c r="BS9"/>
  <c r="BK10"/>
  <c r="BC11"/>
  <c r="CI11"/>
  <c r="CA12"/>
  <c r="BS13"/>
  <c r="BK14"/>
  <c r="BC15"/>
  <c r="CI15"/>
  <c r="CA16"/>
  <c r="BS17"/>
  <c r="BK18"/>
  <c r="BC19"/>
  <c r="CI19"/>
  <c r="CA20"/>
  <c r="BS21"/>
  <c r="BK22"/>
  <c r="BC23"/>
  <c r="CI23"/>
  <c r="S24"/>
  <c r="CA24"/>
  <c r="BS25"/>
  <c r="BK26"/>
  <c r="BC27"/>
  <c r="CI27"/>
  <c r="CA28"/>
  <c r="BS29"/>
  <c r="BK30"/>
  <c r="BC31"/>
  <c r="CI31"/>
  <c r="CA32"/>
  <c r="BS33"/>
  <c r="BK34"/>
  <c r="BC35"/>
  <c r="CI35"/>
  <c r="CA36"/>
  <c r="BS37"/>
  <c r="BK38"/>
  <c r="BC39"/>
  <c r="CI39"/>
  <c r="CA40"/>
  <c r="BS41"/>
  <c r="BK42"/>
  <c r="BC43"/>
  <c r="CI43"/>
  <c r="CA44"/>
  <c r="BS45"/>
  <c r="BK46"/>
  <c r="BC47"/>
  <c r="CI47"/>
  <c r="CA48"/>
  <c r="BS49"/>
  <c r="BK50"/>
  <c r="BC51"/>
  <c r="CI51"/>
  <c r="CA52"/>
  <c r="BS53"/>
  <c r="BK54"/>
  <c r="BC55"/>
  <c r="CI55"/>
  <c r="CA56"/>
  <c r="BS57"/>
  <c r="BK58"/>
  <c r="BC59"/>
  <c r="CI59"/>
  <c r="CA60"/>
  <c r="BS61"/>
  <c r="BK62"/>
  <c r="BC63"/>
  <c r="CI63"/>
  <c r="CA64"/>
  <c r="BS65"/>
  <c r="BK66"/>
  <c r="BC67"/>
  <c r="CI67"/>
  <c r="CA68"/>
  <c r="BS69"/>
  <c r="BK70"/>
  <c r="BC71"/>
  <c r="CI71"/>
  <c r="CA72"/>
  <c r="BS73"/>
  <c r="BK74"/>
  <c r="BC75"/>
  <c r="CI75"/>
  <c r="CA76"/>
  <c r="BS77"/>
  <c r="BK78"/>
  <c r="BC79"/>
  <c r="CI79"/>
  <c r="CA80"/>
  <c r="BS81"/>
  <c r="BK82"/>
  <c r="BC83"/>
  <c r="CI83"/>
  <c r="CA84"/>
  <c r="BS85"/>
  <c r="BK86"/>
  <c r="BC87"/>
  <c r="CI87"/>
  <c r="CA88"/>
  <c r="BS89"/>
  <c r="BK90"/>
  <c r="BC91"/>
  <c r="CI91"/>
  <c r="CA92"/>
  <c r="BS93"/>
  <c r="BK94"/>
  <c r="BC95"/>
  <c r="CI95"/>
  <c r="AB8"/>
  <c r="Q8" i="4"/>
  <c r="S8" s="1"/>
  <c r="BC8"/>
  <c r="CI9"/>
  <c r="BK13"/>
  <c r="AG20"/>
  <c r="AI20" s="1"/>
  <c r="BS20"/>
  <c r="BC25"/>
  <c r="AP29"/>
  <c r="CI30"/>
  <c r="Z32"/>
  <c r="AB32" s="1"/>
  <c r="BK32"/>
  <c r="AN35"/>
  <c r="AP35" s="1"/>
  <c r="BC38"/>
  <c r="Z39"/>
  <c r="AB39" s="1"/>
  <c r="BS39"/>
  <c r="AP56"/>
  <c r="CN57"/>
  <c r="BS60"/>
  <c r="AP72"/>
  <c r="CN73"/>
  <c r="AI78"/>
  <c r="CA78"/>
  <c r="AN79"/>
  <c r="AP79" s="1"/>
  <c r="Z87"/>
  <c r="AB87" s="1"/>
  <c r="CJ87" s="1"/>
  <c r="CK87" s="1"/>
  <c r="Z91"/>
  <c r="AB91" s="1"/>
  <c r="AG15"/>
  <c r="AN23"/>
  <c r="AP23" s="1"/>
  <c r="AN30"/>
  <c r="AP30" s="1"/>
  <c r="AG40"/>
  <c r="AI40" s="1"/>
  <c r="AG47"/>
  <c r="AI47" s="1"/>
  <c r="CA47"/>
  <c r="BC50"/>
  <c r="BS51"/>
  <c r="AP52"/>
  <c r="CN53"/>
  <c r="BC54"/>
  <c r="CI57"/>
  <c r="AI61"/>
  <c r="AN62"/>
  <c r="AP62" s="1"/>
  <c r="CI62"/>
  <c r="Z64"/>
  <c r="AB64" s="1"/>
  <c r="BK64"/>
  <c r="BK65"/>
  <c r="AI66"/>
  <c r="CA66"/>
  <c r="AN67"/>
  <c r="AP67" s="1"/>
  <c r="BC69"/>
  <c r="CI73"/>
  <c r="BK76"/>
  <c r="BK77"/>
  <c r="BC81"/>
  <c r="Z83"/>
  <c r="AB83" s="1"/>
  <c r="BC86"/>
  <c r="BC90"/>
  <c r="CJ91"/>
  <c r="CK91" s="1"/>
  <c r="CM91" s="1"/>
  <c r="Z95"/>
  <c r="AB95" s="1"/>
  <c r="CA95"/>
  <c r="AN43"/>
  <c r="AP57"/>
  <c r="AP73"/>
  <c r="AG79"/>
  <c r="AI79" s="1"/>
  <c r="CJ83"/>
  <c r="CK83" s="1"/>
  <c r="CM83" s="1"/>
  <c r="BQ87"/>
  <c r="BQ91"/>
  <c r="BS91" s="1"/>
  <c r="BC13"/>
  <c r="AP17"/>
  <c r="CI18"/>
  <c r="Z20"/>
  <c r="AB20" s="1"/>
  <c r="BK20"/>
  <c r="CA23"/>
  <c r="AI29"/>
  <c r="AI30"/>
  <c r="CA30"/>
  <c r="BC34"/>
  <c r="AP36"/>
  <c r="CN37"/>
  <c r="CI37"/>
  <c r="BK41"/>
  <c r="CI49"/>
  <c r="BS56"/>
  <c r="CI58"/>
  <c r="BK60"/>
  <c r="BK61"/>
  <c r="CA62"/>
  <c r="CA67"/>
  <c r="BC70"/>
  <c r="BS72"/>
  <c r="CI74"/>
  <c r="AP80"/>
  <c r="BS84"/>
  <c r="BS92"/>
  <c r="AN11"/>
  <c r="AP11" s="1"/>
  <c r="AN18"/>
  <c r="AP18" s="1"/>
  <c r="Z40"/>
  <c r="AB40" s="1"/>
  <c r="AG43"/>
  <c r="AI43" s="1"/>
  <c r="Z47"/>
  <c r="AB47" s="1"/>
  <c r="AP49"/>
  <c r="AG52"/>
  <c r="AI52" s="1"/>
  <c r="AN58"/>
  <c r="AP58" s="1"/>
  <c r="CN60"/>
  <c r="AN63"/>
  <c r="AP63" s="1"/>
  <c r="AN74"/>
  <c r="AP74" s="1"/>
  <c r="Z84"/>
  <c r="AB84" s="1"/>
  <c r="CG85"/>
  <c r="Z88"/>
  <c r="AB88" s="1"/>
  <c r="CG89"/>
  <c r="Z92"/>
  <c r="AB92" s="1"/>
  <c r="CG93"/>
  <c r="BQ95"/>
  <c r="AI89"/>
  <c r="BK9"/>
  <c r="BS16"/>
  <c r="AG11"/>
  <c r="AI11" s="1"/>
  <c r="CA11"/>
  <c r="AI17"/>
  <c r="AI18"/>
  <c r="CA18"/>
  <c r="AN19"/>
  <c r="AP19" s="1"/>
  <c r="BC22"/>
  <c r="Z23"/>
  <c r="AB23" s="1"/>
  <c r="BS23"/>
  <c r="AN26"/>
  <c r="AP26" s="1"/>
  <c r="AP32"/>
  <c r="CN33"/>
  <c r="CI33"/>
  <c r="AG36"/>
  <c r="AI36" s="1"/>
  <c r="BS36"/>
  <c r="BC41"/>
  <c r="CI45"/>
  <c r="AI49"/>
  <c r="AN50"/>
  <c r="AP50" s="1"/>
  <c r="CI54"/>
  <c r="Z56"/>
  <c r="AB56" s="1"/>
  <c r="CJ56" s="1"/>
  <c r="CK56" s="1"/>
  <c r="BK56"/>
  <c r="BK57"/>
  <c r="AI58"/>
  <c r="CA58"/>
  <c r="AN59"/>
  <c r="AP59" s="1"/>
  <c r="BC61"/>
  <c r="AG63"/>
  <c r="AI63" s="1"/>
  <c r="CA63"/>
  <c r="BC66"/>
  <c r="Z67"/>
  <c r="AB67" s="1"/>
  <c r="BS67"/>
  <c r="AP69"/>
  <c r="Z72"/>
  <c r="AB72" s="1"/>
  <c r="BK72"/>
  <c r="BK73"/>
  <c r="AI74"/>
  <c r="CA74"/>
  <c r="BS80"/>
  <c r="AP81"/>
  <c r="CI82"/>
  <c r="BI84"/>
  <c r="BK84" s="1"/>
  <c r="AN86"/>
  <c r="AP86" s="1"/>
  <c r="CI86"/>
  <c r="BI88"/>
  <c r="AN90"/>
  <c r="AP90" s="1"/>
  <c r="CJ90" s="1"/>
  <c r="CK90" s="1"/>
  <c r="CI90"/>
  <c r="BI92"/>
  <c r="BQ8"/>
  <c r="BS8" s="1"/>
  <c r="CN13"/>
  <c r="AG24"/>
  <c r="AI24" s="1"/>
  <c r="AN39"/>
  <c r="AP39" s="1"/>
  <c r="AP45"/>
  <c r="AI54"/>
  <c r="CN65"/>
  <c r="CN66"/>
  <c r="AG68"/>
  <c r="AG75"/>
  <c r="AN82"/>
  <c r="CN82" s="1"/>
  <c r="CN29"/>
  <c r="BK8"/>
  <c r="BC10"/>
  <c r="Z11"/>
  <c r="AB11" s="1"/>
  <c r="BS11"/>
  <c r="AN14"/>
  <c r="AP14" s="1"/>
  <c r="CN16"/>
  <c r="AP20"/>
  <c r="CN21"/>
  <c r="CI21"/>
  <c r="BK25"/>
  <c r="AG32"/>
  <c r="AI32" s="1"/>
  <c r="BS32"/>
  <c r="Z36"/>
  <c r="AB36" s="1"/>
  <c r="BK36"/>
  <c r="CA39"/>
  <c r="AI45"/>
  <c r="CN48"/>
  <c r="BC57"/>
  <c r="AP60"/>
  <c r="Z63"/>
  <c r="AB63" s="1"/>
  <c r="BS63"/>
  <c r="BC73"/>
  <c r="CI78"/>
  <c r="CJ80"/>
  <c r="CK80" s="1"/>
  <c r="BK80"/>
  <c r="CA82"/>
  <c r="Z85"/>
  <c r="AB85" s="1"/>
  <c r="Z89"/>
  <c r="AB89" s="1"/>
  <c r="Z93"/>
  <c r="AB93" s="1"/>
  <c r="AG12"/>
  <c r="AI12" s="1"/>
  <c r="AG27"/>
  <c r="AI27" s="1"/>
  <c r="CN41"/>
  <c r="AG51"/>
  <c r="AG64"/>
  <c r="AI64" s="1"/>
  <c r="Z68"/>
  <c r="AB68" s="1"/>
  <c r="AI70"/>
  <c r="Z75"/>
  <c r="AB75" s="1"/>
  <c r="AG76"/>
  <c r="CN76" s="1"/>
  <c r="AN78"/>
  <c r="AG83"/>
  <c r="BY94"/>
  <c r="BZ8" s="1"/>
  <c r="P28" i="7" s="1"/>
  <c r="CL95" i="4"/>
  <c r="CM95"/>
  <c r="CO95"/>
  <c r="CN22"/>
  <c r="CN44"/>
  <c r="BB8"/>
  <c r="P25" i="7" s="1"/>
  <c r="CN38" i="4"/>
  <c r="CN49"/>
  <c r="CL71"/>
  <c r="CM71"/>
  <c r="CO71"/>
  <c r="CJ76"/>
  <c r="CK76" s="1"/>
  <c r="CN55"/>
  <c r="CN69"/>
  <c r="CN70"/>
  <c r="CN45"/>
  <c r="CN71"/>
  <c r="CN28"/>
  <c r="CN77"/>
  <c r="CN67"/>
  <c r="CM92"/>
  <c r="CO92"/>
  <c r="CL92"/>
  <c r="CN52"/>
  <c r="CN61"/>
  <c r="CJ70"/>
  <c r="CK70" s="1"/>
  <c r="AG80"/>
  <c r="CN80" s="1"/>
  <c r="CJ82"/>
  <c r="CK82" s="1"/>
  <c r="AN83"/>
  <c r="AG84"/>
  <c r="AN87"/>
  <c r="AG88"/>
  <c r="AI88" s="1"/>
  <c r="AN91"/>
  <c r="AP91" s="1"/>
  <c r="AG92"/>
  <c r="CJ94"/>
  <c r="CK94" s="1"/>
  <c r="AN95"/>
  <c r="AP8"/>
  <c r="AP94"/>
  <c r="AI95"/>
  <c r="CA9"/>
  <c r="BS10"/>
  <c r="BK11"/>
  <c r="BC12"/>
  <c r="CA13"/>
  <c r="BS14"/>
  <c r="BK15"/>
  <c r="BC16"/>
  <c r="CI16"/>
  <c r="CA17"/>
  <c r="BS18"/>
  <c r="BK19"/>
  <c r="BC20"/>
  <c r="CI20"/>
  <c r="CA21"/>
  <c r="BS22"/>
  <c r="BK23"/>
  <c r="BC24"/>
  <c r="CI24"/>
  <c r="CA25"/>
  <c r="BS26"/>
  <c r="BK27"/>
  <c r="BC28"/>
  <c r="CI28"/>
  <c r="CA29"/>
  <c r="BS30"/>
  <c r="BK31"/>
  <c r="BC32"/>
  <c r="CI32"/>
  <c r="CA33"/>
  <c r="BS34"/>
  <c r="BK35"/>
  <c r="BC36"/>
  <c r="CI36"/>
  <c r="CA37"/>
  <c r="BS38"/>
  <c r="BK39"/>
  <c r="BC40"/>
  <c r="CI40"/>
  <c r="CA41"/>
  <c r="BS42"/>
  <c r="BK43"/>
  <c r="BC44"/>
  <c r="CI44"/>
  <c r="CA45"/>
  <c r="BS46"/>
  <c r="BK47"/>
  <c r="BC48"/>
  <c r="CI48"/>
  <c r="CA49"/>
  <c r="BS50"/>
  <c r="BK51"/>
  <c r="BC52"/>
  <c r="CI52"/>
  <c r="CJ53"/>
  <c r="CK53" s="1"/>
  <c r="CA53"/>
  <c r="BS54"/>
  <c r="BK55"/>
  <c r="BC56"/>
  <c r="CI56"/>
  <c r="CA57"/>
  <c r="BS58"/>
  <c r="BK59"/>
  <c r="BC60"/>
  <c r="CI60"/>
  <c r="CA61"/>
  <c r="BS62"/>
  <c r="BK63"/>
  <c r="BC64"/>
  <c r="CI64"/>
  <c r="CA65"/>
  <c r="BS66"/>
  <c r="BK67"/>
  <c r="BC68"/>
  <c r="CI68"/>
  <c r="CA69"/>
  <c r="BS70"/>
  <c r="BK71"/>
  <c r="BC72"/>
  <c r="CI72"/>
  <c r="CA73"/>
  <c r="BS74"/>
  <c r="BK75"/>
  <c r="BC76"/>
  <c r="CI76"/>
  <c r="CJ77"/>
  <c r="CK77" s="1"/>
  <c r="CA77"/>
  <c r="BS78"/>
  <c r="BK79"/>
  <c r="BC80"/>
  <c r="CI80"/>
  <c r="CA81"/>
  <c r="BS82"/>
  <c r="BK83"/>
  <c r="BC84"/>
  <c r="CI84"/>
  <c r="CA85"/>
  <c r="BS86"/>
  <c r="BK87"/>
  <c r="BC88"/>
  <c r="CI88"/>
  <c r="CJ89"/>
  <c r="CK89" s="1"/>
  <c r="CA89"/>
  <c r="BS90"/>
  <c r="BK91"/>
  <c r="BC92"/>
  <c r="CI92"/>
  <c r="CJ93"/>
  <c r="CK93" s="1"/>
  <c r="CA93"/>
  <c r="BS94"/>
  <c r="BK95"/>
  <c r="CI12"/>
  <c r="AI8"/>
  <c r="BS9"/>
  <c r="BK10"/>
  <c r="BC11"/>
  <c r="CI11"/>
  <c r="CA12"/>
  <c r="BS13"/>
  <c r="BK14"/>
  <c r="BC15"/>
  <c r="CI15"/>
  <c r="CA16"/>
  <c r="BS17"/>
  <c r="BK18"/>
  <c r="BC19"/>
  <c r="CI19"/>
  <c r="CA20"/>
  <c r="BS21"/>
  <c r="BK22"/>
  <c r="BC23"/>
  <c r="CI23"/>
  <c r="CA24"/>
  <c r="BS25"/>
  <c r="BK26"/>
  <c r="BC27"/>
  <c r="CI27"/>
  <c r="CA28"/>
  <c r="BS29"/>
  <c r="BK30"/>
  <c r="BC31"/>
  <c r="CI31"/>
  <c r="CA32"/>
  <c r="BS33"/>
  <c r="BK34"/>
  <c r="BC35"/>
  <c r="CI35"/>
  <c r="CA36"/>
  <c r="BS37"/>
  <c r="BK38"/>
  <c r="BC39"/>
  <c r="CI39"/>
  <c r="CA40"/>
  <c r="BS41"/>
  <c r="BK42"/>
  <c r="BC43"/>
  <c r="CI43"/>
  <c r="CA44"/>
  <c r="BS45"/>
  <c r="BK46"/>
  <c r="BC47"/>
  <c r="CI47"/>
  <c r="CA48"/>
  <c r="BS49"/>
  <c r="BK50"/>
  <c r="BC51"/>
  <c r="CI51"/>
  <c r="CA52"/>
  <c r="BS53"/>
  <c r="BK54"/>
  <c r="BC55"/>
  <c r="CI55"/>
  <c r="CA56"/>
  <c r="BS57"/>
  <c r="BK58"/>
  <c r="BC59"/>
  <c r="CI59"/>
  <c r="CA60"/>
  <c r="BS61"/>
  <c r="BK62"/>
  <c r="BC63"/>
  <c r="CI63"/>
  <c r="CA64"/>
  <c r="BS65"/>
  <c r="BK66"/>
  <c r="BC67"/>
  <c r="CI67"/>
  <c r="CA68"/>
  <c r="BS69"/>
  <c r="BK70"/>
  <c r="BC71"/>
  <c r="CI71"/>
  <c r="CA72"/>
  <c r="BS73"/>
  <c r="BK74"/>
  <c r="BC75"/>
  <c r="CI75"/>
  <c r="CA76"/>
  <c r="BS77"/>
  <c r="BK78"/>
  <c r="BC79"/>
  <c r="CI79"/>
  <c r="CA80"/>
  <c r="BS81"/>
  <c r="BK82"/>
  <c r="BC83"/>
  <c r="CI83"/>
  <c r="CA84"/>
  <c r="BS85"/>
  <c r="BK86"/>
  <c r="BC87"/>
  <c r="CI87"/>
  <c r="CA88"/>
  <c r="BS89"/>
  <c r="BK90"/>
  <c r="BC91"/>
  <c r="CI91"/>
  <c r="CA92"/>
  <c r="BS93"/>
  <c r="BK94"/>
  <c r="BC95"/>
  <c r="CI95"/>
  <c r="AB8"/>
  <c r="K13" i="6"/>
  <c r="K12"/>
  <c r="K11"/>
  <c r="K10"/>
  <c r="K9"/>
  <c r="N8"/>
  <c r="I8"/>
  <c r="K8" s="1"/>
  <c r="CL83" i="5" l="1"/>
  <c r="CW83"/>
  <c r="CX83" s="1"/>
  <c r="CL92"/>
  <c r="CW92"/>
  <c r="CX92" s="1"/>
  <c r="CN31" i="6"/>
  <c r="S31"/>
  <c r="CJ31" s="1"/>
  <c r="CK31" s="1"/>
  <c r="CN92" i="4"/>
  <c r="CN90"/>
  <c r="CN79"/>
  <c r="CN50"/>
  <c r="CJ12"/>
  <c r="CK12" s="1"/>
  <c r="BR8"/>
  <c r="P27" i="7" s="1"/>
  <c r="CN40" i="4"/>
  <c r="CN9"/>
  <c r="CN83"/>
  <c r="CJ86"/>
  <c r="CK86" s="1"/>
  <c r="CJ40"/>
  <c r="CK40" s="1"/>
  <c r="CN95"/>
  <c r="CN47"/>
  <c r="CN35"/>
  <c r="CH8"/>
  <c r="P30" i="7" s="1"/>
  <c r="CN17" i="4"/>
  <c r="CL91"/>
  <c r="CO91"/>
  <c r="CJ78" i="5"/>
  <c r="CK78" s="1"/>
  <c r="CW78" s="1"/>
  <c r="CX78" s="1"/>
  <c r="CN65"/>
  <c r="CS65" s="1"/>
  <c r="CT65" s="1"/>
  <c r="CJ61"/>
  <c r="CK61" s="1"/>
  <c r="CW61" s="1"/>
  <c r="CX61" s="1"/>
  <c r="CN53"/>
  <c r="CS53" s="1"/>
  <c r="CT53" s="1"/>
  <c r="CN64"/>
  <c r="CS64" s="1"/>
  <c r="CT64" s="1"/>
  <c r="CN60"/>
  <c r="CS60" s="1"/>
  <c r="CT60" s="1"/>
  <c r="CN94"/>
  <c r="CS94" s="1"/>
  <c r="CT94" s="1"/>
  <c r="CN73"/>
  <c r="CS73" s="1"/>
  <c r="CT73" s="1"/>
  <c r="CJ66"/>
  <c r="CK66" s="1"/>
  <c r="CW66" s="1"/>
  <c r="CX66" s="1"/>
  <c r="CN50"/>
  <c r="CS50" s="1"/>
  <c r="CT50" s="1"/>
  <c r="CJ49"/>
  <c r="CK49" s="1"/>
  <c r="CW49" s="1"/>
  <c r="CX49" s="1"/>
  <c r="CN48"/>
  <c r="CS48" s="1"/>
  <c r="CT48" s="1"/>
  <c r="CJ93"/>
  <c r="CK93" s="1"/>
  <c r="CN90"/>
  <c r="CS90" s="1"/>
  <c r="CT90" s="1"/>
  <c r="CJ91"/>
  <c r="CK91" s="1"/>
  <c r="CN86"/>
  <c r="CS86" s="1"/>
  <c r="CT86" s="1"/>
  <c r="CJ84"/>
  <c r="CK84" s="1"/>
  <c r="CW84" s="1"/>
  <c r="CX84" s="1"/>
  <c r="CN57"/>
  <c r="CS57" s="1"/>
  <c r="CT57" s="1"/>
  <c r="CN56"/>
  <c r="CS56" s="1"/>
  <c r="CT56" s="1"/>
  <c r="CJ55"/>
  <c r="CK55" s="1"/>
  <c r="CW55" s="1"/>
  <c r="CX55" s="1"/>
  <c r="CJ46"/>
  <c r="CK46" s="1"/>
  <c r="CJ85"/>
  <c r="CK85" s="1"/>
  <c r="CW85" s="1"/>
  <c r="CX85" s="1"/>
  <c r="CN81"/>
  <c r="CS81" s="1"/>
  <c r="CT81" s="1"/>
  <c r="CJ75"/>
  <c r="CK75" s="1"/>
  <c r="CW75" s="1"/>
  <c r="CX75" s="1"/>
  <c r="CN69"/>
  <c r="CS69" s="1"/>
  <c r="CT69" s="1"/>
  <c r="CJ54"/>
  <c r="CK54" s="1"/>
  <c r="CW54" s="1"/>
  <c r="CX54" s="1"/>
  <c r="CN52"/>
  <c r="CS52" s="1"/>
  <c r="CT52" s="1"/>
  <c r="CJ88"/>
  <c r="CK88" s="1"/>
  <c r="CN82"/>
  <c r="CS82" s="1"/>
  <c r="CT82" s="1"/>
  <c r="CJ63"/>
  <c r="CK63" s="1"/>
  <c r="CW63" s="1"/>
  <c r="CX63" s="1"/>
  <c r="CJ67"/>
  <c r="CK67" s="1"/>
  <c r="CN70"/>
  <c r="CS70" s="1"/>
  <c r="CT70" s="1"/>
  <c r="CJ77"/>
  <c r="CK77" s="1"/>
  <c r="CW77" s="1"/>
  <c r="CX77" s="1"/>
  <c r="CN76"/>
  <c r="CS76" s="1"/>
  <c r="CT76" s="1"/>
  <c r="CN74"/>
  <c r="CS74" s="1"/>
  <c r="CT74" s="1"/>
  <c r="CJ72"/>
  <c r="CK72" s="1"/>
  <c r="CN71"/>
  <c r="CS71" s="1"/>
  <c r="CT71" s="1"/>
  <c r="CJ71"/>
  <c r="CK71" s="1"/>
  <c r="CN68"/>
  <c r="CS68" s="1"/>
  <c r="CT68" s="1"/>
  <c r="CN62"/>
  <c r="CS62" s="1"/>
  <c r="CT62" s="1"/>
  <c r="CJ59"/>
  <c r="CK59" s="1"/>
  <c r="CW59" s="1"/>
  <c r="CX59" s="1"/>
  <c r="CN95"/>
  <c r="CS95" s="1"/>
  <c r="CT95" s="1"/>
  <c r="S76"/>
  <c r="CJ76" s="1"/>
  <c r="CK76" s="1"/>
  <c r="S74"/>
  <c r="CJ74" s="1"/>
  <c r="CK74" s="1"/>
  <c r="CW74" s="1"/>
  <c r="CX74" s="1"/>
  <c r="S52"/>
  <c r="CJ52" s="1"/>
  <c r="CK52" s="1"/>
  <c r="S50"/>
  <c r="CJ50" s="1"/>
  <c r="CK50" s="1"/>
  <c r="S94"/>
  <c r="CJ94" s="1"/>
  <c r="CK94" s="1"/>
  <c r="CW94" s="1"/>
  <c r="CX94" s="1"/>
  <c r="CN77"/>
  <c r="CS77" s="1"/>
  <c r="CT77" s="1"/>
  <c r="S70"/>
  <c r="CJ70" s="1"/>
  <c r="CK70" s="1"/>
  <c r="CW70" s="1"/>
  <c r="CX70" s="1"/>
  <c r="S69"/>
  <c r="CJ69" s="1"/>
  <c r="CK69" s="1"/>
  <c r="S65"/>
  <c r="CJ65" s="1"/>
  <c r="CK65" s="1"/>
  <c r="S56"/>
  <c r="CJ56" s="1"/>
  <c r="CK56" s="1"/>
  <c r="CM92"/>
  <c r="CN91"/>
  <c r="CS91" s="1"/>
  <c r="CT91" s="1"/>
  <c r="S73"/>
  <c r="CJ73" s="1"/>
  <c r="CK73" s="1"/>
  <c r="S64"/>
  <c r="CJ64" s="1"/>
  <c r="CK64" s="1"/>
  <c r="S60"/>
  <c r="CJ60" s="1"/>
  <c r="CK60" s="1"/>
  <c r="CW60" s="1"/>
  <c r="CX60" s="1"/>
  <c r="S57"/>
  <c r="CJ57" s="1"/>
  <c r="CK57" s="1"/>
  <c r="S53"/>
  <c r="CJ53" s="1"/>
  <c r="CK53" s="1"/>
  <c r="CW53" s="1"/>
  <c r="CX53" s="1"/>
  <c r="S48"/>
  <c r="CJ48" s="1"/>
  <c r="CK48" s="1"/>
  <c r="CW48" s="1"/>
  <c r="CX48" s="1"/>
  <c r="S89"/>
  <c r="CJ89" s="1"/>
  <c r="CK89" s="1"/>
  <c r="CW89" s="1"/>
  <c r="CX89" s="1"/>
  <c r="S62"/>
  <c r="CJ62" s="1"/>
  <c r="CK62" s="1"/>
  <c r="CW62" s="1"/>
  <c r="CX62" s="1"/>
  <c r="CN92"/>
  <c r="CS92" s="1"/>
  <c r="CT92" s="1"/>
  <c r="S90"/>
  <c r="CJ90" s="1"/>
  <c r="CK90" s="1"/>
  <c r="CW90" s="1"/>
  <c r="CX90" s="1"/>
  <c r="CN93"/>
  <c r="CS93" s="1"/>
  <c r="CT93" s="1"/>
  <c r="S81"/>
  <c r="CJ81" s="1"/>
  <c r="CK81" s="1"/>
  <c r="CW81" s="1"/>
  <c r="CX81" s="1"/>
  <c r="CH8"/>
  <c r="BZ8"/>
  <c r="W28" i="7" s="1"/>
  <c r="BR8" i="5"/>
  <c r="W27" i="7" s="1"/>
  <c r="BJ8" i="5"/>
  <c r="W26" i="7" s="1"/>
  <c r="BB8" i="5"/>
  <c r="CN8"/>
  <c r="CS8" s="1"/>
  <c r="CT8" s="1"/>
  <c r="CN18"/>
  <c r="CS18" s="1"/>
  <c r="CT18" s="1"/>
  <c r="CJ9"/>
  <c r="CK9" s="1"/>
  <c r="CW9" s="1"/>
  <c r="CX9" s="1"/>
  <c r="CJ44"/>
  <c r="CK44" s="1"/>
  <c r="CJ42"/>
  <c r="CK42" s="1"/>
  <c r="CW42" s="1"/>
  <c r="CX42" s="1"/>
  <c r="CJ40"/>
  <c r="CK40" s="1"/>
  <c r="CJ24"/>
  <c r="CK24" s="1"/>
  <c r="CJ16"/>
  <c r="CK16" s="1"/>
  <c r="CN34"/>
  <c r="CS34" s="1"/>
  <c r="CT34" s="1"/>
  <c r="CN20"/>
  <c r="CS20" s="1"/>
  <c r="CT20" s="1"/>
  <c r="CN43"/>
  <c r="CS43" s="1"/>
  <c r="CT43" s="1"/>
  <c r="CJ37"/>
  <c r="CK37" s="1"/>
  <c r="CW37" s="1"/>
  <c r="CX37" s="1"/>
  <c r="CN29"/>
  <c r="CS29" s="1"/>
  <c r="CT29" s="1"/>
  <c r="CN21"/>
  <c r="CS21" s="1"/>
  <c r="CT21" s="1"/>
  <c r="CN45"/>
  <c r="CS45" s="1"/>
  <c r="CT45" s="1"/>
  <c r="CJ38"/>
  <c r="CK38" s="1"/>
  <c r="CW38" s="1"/>
  <c r="CX38" s="1"/>
  <c r="CJ36"/>
  <c r="CK36" s="1"/>
  <c r="CN33"/>
  <c r="CS33" s="1"/>
  <c r="CT33" s="1"/>
  <c r="CN14"/>
  <c r="CS14" s="1"/>
  <c r="CT14" s="1"/>
  <c r="CJ12"/>
  <c r="CK12" s="1"/>
  <c r="CN10"/>
  <c r="CS10" s="1"/>
  <c r="CT10" s="1"/>
  <c r="CJ35"/>
  <c r="CK35" s="1"/>
  <c r="CW35" s="1"/>
  <c r="CX35" s="1"/>
  <c r="CJ32"/>
  <c r="CK32" s="1"/>
  <c r="CJ28"/>
  <c r="CK28" s="1"/>
  <c r="CN22"/>
  <c r="CS22" s="1"/>
  <c r="CT22" s="1"/>
  <c r="CJ17"/>
  <c r="CK17" s="1"/>
  <c r="CW17" s="1"/>
  <c r="CX17" s="1"/>
  <c r="AA8"/>
  <c r="CJ15"/>
  <c r="CK15" s="1"/>
  <c r="CW15" s="1"/>
  <c r="CX15" s="1"/>
  <c r="S22"/>
  <c r="CJ22" s="1"/>
  <c r="CK22" s="1"/>
  <c r="S18"/>
  <c r="CJ18" s="1"/>
  <c r="CK18" s="1"/>
  <c r="CW18" s="1"/>
  <c r="CX18" s="1"/>
  <c r="S43"/>
  <c r="CJ43" s="1"/>
  <c r="CK43" s="1"/>
  <c r="S14"/>
  <c r="CJ14" s="1"/>
  <c r="CK14" s="1"/>
  <c r="S34"/>
  <c r="CJ34" s="1"/>
  <c r="CK34" s="1"/>
  <c r="CN32"/>
  <c r="CS32" s="1"/>
  <c r="CT32" s="1"/>
  <c r="S29"/>
  <c r="CJ29" s="1"/>
  <c r="CK29" s="1"/>
  <c r="CW29" s="1"/>
  <c r="CX29" s="1"/>
  <c r="S26"/>
  <c r="CJ26" s="1"/>
  <c r="CK26" s="1"/>
  <c r="CW26" s="1"/>
  <c r="CX26" s="1"/>
  <c r="S20"/>
  <c r="CJ20" s="1"/>
  <c r="CK20" s="1"/>
  <c r="S41"/>
  <c r="CJ41" s="1"/>
  <c r="CK41" s="1"/>
  <c r="CW41" s="1"/>
  <c r="CX41" s="1"/>
  <c r="CN37"/>
  <c r="CS37" s="1"/>
  <c r="CT37" s="1"/>
  <c r="CN30"/>
  <c r="CS30" s="1"/>
  <c r="CT30" s="1"/>
  <c r="CN24"/>
  <c r="CS24" s="1"/>
  <c r="CT24" s="1"/>
  <c r="CM83"/>
  <c r="CN49"/>
  <c r="CS49" s="1"/>
  <c r="CT49" s="1"/>
  <c r="CN55"/>
  <c r="CS55" s="1"/>
  <c r="CT55" s="1"/>
  <c r="CN63"/>
  <c r="CS63" s="1"/>
  <c r="CT63" s="1"/>
  <c r="CN27"/>
  <c r="CS27" s="1"/>
  <c r="CT27" s="1"/>
  <c r="CN85"/>
  <c r="CS85" s="1"/>
  <c r="CT85" s="1"/>
  <c r="CN59"/>
  <c r="CS59" s="1"/>
  <c r="CT59" s="1"/>
  <c r="CN67"/>
  <c r="CS67" s="1"/>
  <c r="CT67" s="1"/>
  <c r="CN15"/>
  <c r="CS15" s="1"/>
  <c r="CT15" s="1"/>
  <c r="CN44"/>
  <c r="CS44" s="1"/>
  <c r="CT44" s="1"/>
  <c r="CN46"/>
  <c r="CS46" s="1"/>
  <c r="CT46" s="1"/>
  <c r="CN25"/>
  <c r="CS25" s="1"/>
  <c r="CT25" s="1"/>
  <c r="CN40"/>
  <c r="CS40" s="1"/>
  <c r="CT40" s="1"/>
  <c r="CN84"/>
  <c r="CS84" s="1"/>
  <c r="CT84" s="1"/>
  <c r="CN72"/>
  <c r="CS72" s="1"/>
  <c r="CT72" s="1"/>
  <c r="CN35"/>
  <c r="CS35" s="1"/>
  <c r="CT35" s="1"/>
  <c r="CN13"/>
  <c r="CS13" s="1"/>
  <c r="CT13" s="1"/>
  <c r="CL87"/>
  <c r="CM87"/>
  <c r="S10"/>
  <c r="CJ10" s="1"/>
  <c r="CK10" s="1"/>
  <c r="CN83"/>
  <c r="CS83" s="1"/>
  <c r="CT83" s="1"/>
  <c r="CN17"/>
  <c r="CS17" s="1"/>
  <c r="CT17" s="1"/>
  <c r="CN42"/>
  <c r="CS42" s="1"/>
  <c r="CT42" s="1"/>
  <c r="CN36"/>
  <c r="CS36" s="1"/>
  <c r="CT36" s="1"/>
  <c r="CJ30"/>
  <c r="CK30" s="1"/>
  <c r="CW30" s="1"/>
  <c r="CX30" s="1"/>
  <c r="CN28"/>
  <c r="CS28" s="1"/>
  <c r="CT28" s="1"/>
  <c r="CJ25"/>
  <c r="CK25" s="1"/>
  <c r="CW25" s="1"/>
  <c r="CX25" s="1"/>
  <c r="CJ21"/>
  <c r="CK21" s="1"/>
  <c r="CW21" s="1"/>
  <c r="CX21" s="1"/>
  <c r="CN16"/>
  <c r="CS16" s="1"/>
  <c r="CT16" s="1"/>
  <c r="CJ13"/>
  <c r="CK13" s="1"/>
  <c r="CW13" s="1"/>
  <c r="CX13" s="1"/>
  <c r="CJ81" i="4"/>
  <c r="CK81" s="1"/>
  <c r="CJ60"/>
  <c r="CK60" s="1"/>
  <c r="CL60" s="1"/>
  <c r="CJ49"/>
  <c r="CK49" s="1"/>
  <c r="CL49" s="1"/>
  <c r="CJ73"/>
  <c r="CK73" s="1"/>
  <c r="CL73" s="1"/>
  <c r="CJ65"/>
  <c r="CK65" s="1"/>
  <c r="CM65" s="1"/>
  <c r="BJ8"/>
  <c r="P26" i="7" s="1"/>
  <c r="BK88" i="4"/>
  <c r="CJ66"/>
  <c r="CK66" s="1"/>
  <c r="CL66" s="1"/>
  <c r="CJ55"/>
  <c r="CK55" s="1"/>
  <c r="CO55" s="1"/>
  <c r="CJ79"/>
  <c r="CK79" s="1"/>
  <c r="CJ69"/>
  <c r="CK69" s="1"/>
  <c r="CO69" s="1"/>
  <c r="CJ72"/>
  <c r="CK72" s="1"/>
  <c r="CL72" s="1"/>
  <c r="CJ48"/>
  <c r="CK48" s="1"/>
  <c r="CN62"/>
  <c r="CN39"/>
  <c r="CO83"/>
  <c r="CJ61"/>
  <c r="CK61" s="1"/>
  <c r="CM61" s="1"/>
  <c r="CJ58"/>
  <c r="CK58" s="1"/>
  <c r="CN87"/>
  <c r="AP87"/>
  <c r="CJ52"/>
  <c r="CK52" s="1"/>
  <c r="CL52" s="1"/>
  <c r="CJ50"/>
  <c r="CK50" s="1"/>
  <c r="CO50" s="1"/>
  <c r="CN78"/>
  <c r="AP78"/>
  <c r="CJ78" s="1"/>
  <c r="CK78" s="1"/>
  <c r="CJ64"/>
  <c r="CK64" s="1"/>
  <c r="CM64" s="1"/>
  <c r="CN84"/>
  <c r="AI84"/>
  <c r="CJ84" s="1"/>
  <c r="CK84" s="1"/>
  <c r="CL83"/>
  <c r="CJ85"/>
  <c r="CK85" s="1"/>
  <c r="CO85" s="1"/>
  <c r="CN64"/>
  <c r="CN72"/>
  <c r="CJ68"/>
  <c r="CK68" s="1"/>
  <c r="CL68" s="1"/>
  <c r="CM87"/>
  <c r="CO87"/>
  <c r="CL87"/>
  <c r="CN88"/>
  <c r="CN75"/>
  <c r="CJ75"/>
  <c r="CK75" s="1"/>
  <c r="CJ62"/>
  <c r="CK62" s="1"/>
  <c r="CO62" s="1"/>
  <c r="CJ57"/>
  <c r="CK57" s="1"/>
  <c r="CM57" s="1"/>
  <c r="CN81"/>
  <c r="CN58"/>
  <c r="CJ44"/>
  <c r="CK44" s="1"/>
  <c r="CJ28"/>
  <c r="CK28" s="1"/>
  <c r="CM28" s="1"/>
  <c r="CJ37"/>
  <c r="CK37" s="1"/>
  <c r="CL37" s="1"/>
  <c r="CJ9"/>
  <c r="CK9" s="1"/>
  <c r="CM9" s="1"/>
  <c r="CJ25"/>
  <c r="CK25" s="1"/>
  <c r="CJ35"/>
  <c r="CK35" s="1"/>
  <c r="CM35" s="1"/>
  <c r="CJ38"/>
  <c r="CK38" s="1"/>
  <c r="CM38" s="1"/>
  <c r="CJ13"/>
  <c r="CK13" s="1"/>
  <c r="CM13" s="1"/>
  <c r="CJ22"/>
  <c r="CK22" s="1"/>
  <c r="CM22" s="1"/>
  <c r="CJ16"/>
  <c r="CK16" s="1"/>
  <c r="CM16" s="1"/>
  <c r="CJ45"/>
  <c r="CK45" s="1"/>
  <c r="CL45" s="1"/>
  <c r="CN14"/>
  <c r="CJ14"/>
  <c r="CK14" s="1"/>
  <c r="CM14" s="1"/>
  <c r="CN36"/>
  <c r="CN15"/>
  <c r="AI15"/>
  <c r="CJ15" s="1"/>
  <c r="CK15" s="1"/>
  <c r="CM15" s="1"/>
  <c r="CN32"/>
  <c r="CJ24"/>
  <c r="CK24" s="1"/>
  <c r="CL24" s="1"/>
  <c r="CJ36"/>
  <c r="CK36" s="1"/>
  <c r="CL36" s="1"/>
  <c r="AA8"/>
  <c r="P20" i="7" s="1"/>
  <c r="CJ20" i="4"/>
  <c r="CK20" s="1"/>
  <c r="CL20" s="1"/>
  <c r="CN20"/>
  <c r="CJ32"/>
  <c r="CK32" s="1"/>
  <c r="CL32" s="1"/>
  <c r="CJ23"/>
  <c r="CK23" s="1"/>
  <c r="CN23"/>
  <c r="CN24"/>
  <c r="CJ29"/>
  <c r="CK29" s="1"/>
  <c r="CJ21"/>
  <c r="CK21" s="1"/>
  <c r="CL21" s="1"/>
  <c r="CJ41"/>
  <c r="CK41" s="1"/>
  <c r="CJ33"/>
  <c r="CK33" s="1"/>
  <c r="CL33" s="1"/>
  <c r="CN25"/>
  <c r="CJ17"/>
  <c r="CK17" s="1"/>
  <c r="CN8"/>
  <c r="S86" i="5"/>
  <c r="CJ86" s="1"/>
  <c r="CK86" s="1"/>
  <c r="CJ58"/>
  <c r="CK58" s="1"/>
  <c r="CW58" s="1"/>
  <c r="CX58" s="1"/>
  <c r="S8"/>
  <c r="CJ8" s="1"/>
  <c r="CK8" s="1"/>
  <c r="CW8" s="1"/>
  <c r="CX8" s="1"/>
  <c r="CN66"/>
  <c r="CS66" s="1"/>
  <c r="CT66" s="1"/>
  <c r="CJ51"/>
  <c r="CK51" s="1"/>
  <c r="S33"/>
  <c r="CJ33" s="1"/>
  <c r="CK33" s="1"/>
  <c r="CN78"/>
  <c r="CS78" s="1"/>
  <c r="CT78" s="1"/>
  <c r="CN12"/>
  <c r="CS12" s="1"/>
  <c r="CT12" s="1"/>
  <c r="CN9"/>
  <c r="CS9" s="1"/>
  <c r="CT9" s="1"/>
  <c r="CN88"/>
  <c r="CS88" s="1"/>
  <c r="CT88" s="1"/>
  <c r="CN61"/>
  <c r="CS61" s="1"/>
  <c r="CT61" s="1"/>
  <c r="CJ45"/>
  <c r="CK45" s="1"/>
  <c r="CN51"/>
  <c r="CS51" s="1"/>
  <c r="CT51" s="1"/>
  <c r="CN58"/>
  <c r="CS58" s="1"/>
  <c r="CT58" s="1"/>
  <c r="CN38"/>
  <c r="CS38" s="1"/>
  <c r="CT38" s="1"/>
  <c r="CN75"/>
  <c r="CS75" s="1"/>
  <c r="CT75" s="1"/>
  <c r="AO8"/>
  <c r="AH8"/>
  <c r="W22" i="7" s="1"/>
  <c r="CJ27" i="5"/>
  <c r="CK27" s="1"/>
  <c r="CN54"/>
  <c r="CS54" s="1"/>
  <c r="CT54" s="1"/>
  <c r="S47"/>
  <c r="CJ47" s="1"/>
  <c r="CK47" s="1"/>
  <c r="CW47" s="1"/>
  <c r="CX47" s="1"/>
  <c r="CN47"/>
  <c r="CS47" s="1"/>
  <c r="CT47" s="1"/>
  <c r="CM80"/>
  <c r="CL80"/>
  <c r="CN80"/>
  <c r="CS80" s="1"/>
  <c r="CT80" s="1"/>
  <c r="S23"/>
  <c r="CJ23" s="1"/>
  <c r="CK23" s="1"/>
  <c r="CW23" s="1"/>
  <c r="CX23" s="1"/>
  <c r="CN23"/>
  <c r="CS23" s="1"/>
  <c r="CT23" s="1"/>
  <c r="S79"/>
  <c r="CJ79" s="1"/>
  <c r="CK79" s="1"/>
  <c r="CW79" s="1"/>
  <c r="CX79" s="1"/>
  <c r="CN79"/>
  <c r="CS79" s="1"/>
  <c r="CT79" s="1"/>
  <c r="CM68"/>
  <c r="CL68"/>
  <c r="CL82"/>
  <c r="CM82"/>
  <c r="S19"/>
  <c r="CJ19" s="1"/>
  <c r="CK19" s="1"/>
  <c r="CW19" s="1"/>
  <c r="CX19" s="1"/>
  <c r="CN19"/>
  <c r="CS19" s="1"/>
  <c r="CT19" s="1"/>
  <c r="S11"/>
  <c r="CJ11" s="1"/>
  <c r="CK11" s="1"/>
  <c r="CW11" s="1"/>
  <c r="CX11" s="1"/>
  <c r="CN11"/>
  <c r="CS11" s="1"/>
  <c r="CT11" s="1"/>
  <c r="S39"/>
  <c r="CJ39" s="1"/>
  <c r="CK39" s="1"/>
  <c r="CW39" s="1"/>
  <c r="CX39" s="1"/>
  <c r="CN39"/>
  <c r="CS39" s="1"/>
  <c r="CT39" s="1"/>
  <c r="R8"/>
  <c r="CN87"/>
  <c r="CS87" s="1"/>
  <c r="CT87" s="1"/>
  <c r="S31"/>
  <c r="CJ31" s="1"/>
  <c r="CK31" s="1"/>
  <c r="CW31" s="1"/>
  <c r="CN31"/>
  <c r="CS31" s="1"/>
  <c r="AH8" i="4"/>
  <c r="P22" i="7" s="1"/>
  <c r="CN94" i="4"/>
  <c r="CN68"/>
  <c r="CN74"/>
  <c r="CN56"/>
  <c r="CJ39"/>
  <c r="CK39" s="1"/>
  <c r="CM39" s="1"/>
  <c r="CN85"/>
  <c r="R8"/>
  <c r="P18" i="7" s="1"/>
  <c r="CN91" i="4"/>
  <c r="CN12"/>
  <c r="CN89"/>
  <c r="CJ74"/>
  <c r="CK74" s="1"/>
  <c r="CJ67"/>
  <c r="CK67" s="1"/>
  <c r="CJ47"/>
  <c r="CK47" s="1"/>
  <c r="CO47" s="1"/>
  <c r="CN86"/>
  <c r="CN93"/>
  <c r="CL69"/>
  <c r="CM69"/>
  <c r="CJ19"/>
  <c r="CK19" s="1"/>
  <c r="CN19"/>
  <c r="CM12"/>
  <c r="CL12"/>
  <c r="CL90"/>
  <c r="CM90"/>
  <c r="CO90"/>
  <c r="CL53"/>
  <c r="CM53"/>
  <c r="CO53"/>
  <c r="CN34"/>
  <c r="CJ34"/>
  <c r="CK34" s="1"/>
  <c r="CN54"/>
  <c r="CJ54"/>
  <c r="CK54" s="1"/>
  <c r="CL70"/>
  <c r="CM70"/>
  <c r="CO70"/>
  <c r="CJ59"/>
  <c r="CK59" s="1"/>
  <c r="CN59"/>
  <c r="CM80"/>
  <c r="CO80"/>
  <c r="CL80"/>
  <c r="CL77"/>
  <c r="CM77"/>
  <c r="CO77"/>
  <c r="CL94"/>
  <c r="CM94"/>
  <c r="CO94"/>
  <c r="CN46"/>
  <c r="CJ46"/>
  <c r="CK46" s="1"/>
  <c r="CN26"/>
  <c r="CJ26"/>
  <c r="CK26" s="1"/>
  <c r="AO8"/>
  <c r="P23" i="7" s="1"/>
  <c r="CJ27" i="4"/>
  <c r="CK27" s="1"/>
  <c r="CN27"/>
  <c r="CN10"/>
  <c r="CJ10"/>
  <c r="CK10" s="1"/>
  <c r="CL82"/>
  <c r="CM82"/>
  <c r="CO82"/>
  <c r="CJ43"/>
  <c r="CK43" s="1"/>
  <c r="CN43"/>
  <c r="CJ11"/>
  <c r="CK11" s="1"/>
  <c r="CN11"/>
  <c r="CL93"/>
  <c r="CM93"/>
  <c r="CO93"/>
  <c r="CL65"/>
  <c r="CJ8"/>
  <c r="CK8" s="1"/>
  <c r="CM40"/>
  <c r="CL40"/>
  <c r="CL89"/>
  <c r="CM89"/>
  <c r="CO89"/>
  <c r="CM49"/>
  <c r="CJ51"/>
  <c r="CK51" s="1"/>
  <c r="CN51"/>
  <c r="CJ30"/>
  <c r="CK30" s="1"/>
  <c r="CN30"/>
  <c r="CN42"/>
  <c r="CJ42"/>
  <c r="CK42" s="1"/>
  <c r="CM76"/>
  <c r="CO76"/>
  <c r="CL76"/>
  <c r="CM56"/>
  <c r="CO56"/>
  <c r="CL56"/>
  <c r="CM73"/>
  <c r="CL86"/>
  <c r="CM86"/>
  <c r="CJ31"/>
  <c r="CK31" s="1"/>
  <c r="CV31" i="5" s="1"/>
  <c r="CN31" i="4"/>
  <c r="CR31" i="5" s="1"/>
  <c r="CJ18" i="4"/>
  <c r="CK18" s="1"/>
  <c r="CN18"/>
  <c r="CJ63"/>
  <c r="CK63" s="1"/>
  <c r="CN63"/>
  <c r="CO57" i="6"/>
  <c r="P18"/>
  <c r="Q18" s="1"/>
  <c r="P19"/>
  <c r="Q19" s="1"/>
  <c r="P20"/>
  <c r="Q20" s="1"/>
  <c r="P21"/>
  <c r="Q21" s="1"/>
  <c r="P22"/>
  <c r="Q22" s="1"/>
  <c r="P23"/>
  <c r="Q23" s="1"/>
  <c r="P24"/>
  <c r="Q24" s="1"/>
  <c r="P25"/>
  <c r="Q25" s="1"/>
  <c r="P26"/>
  <c r="Q26" s="1"/>
  <c r="P27"/>
  <c r="Q27" s="1"/>
  <c r="P28"/>
  <c r="Q28" s="1"/>
  <c r="P29"/>
  <c r="Q29" s="1"/>
  <c r="P30"/>
  <c r="Q30" s="1"/>
  <c r="P32"/>
  <c r="Q32" s="1"/>
  <c r="P33"/>
  <c r="Q33" s="1"/>
  <c r="P34"/>
  <c r="Q34" s="1"/>
  <c r="P35"/>
  <c r="Q35" s="1"/>
  <c r="P36"/>
  <c r="Q36" s="1"/>
  <c r="P37"/>
  <c r="Q37" s="1"/>
  <c r="P38"/>
  <c r="Q38" s="1"/>
  <c r="P39"/>
  <c r="Q39" s="1"/>
  <c r="P40"/>
  <c r="Q40" s="1"/>
  <c r="P41"/>
  <c r="Q41" s="1"/>
  <c r="P42"/>
  <c r="Q42" s="1"/>
  <c r="P43"/>
  <c r="Q43" s="1"/>
  <c r="P44"/>
  <c r="Q44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P54"/>
  <c r="Q54" s="1"/>
  <c r="P55"/>
  <c r="Q55" s="1"/>
  <c r="P56"/>
  <c r="Q56" s="1"/>
  <c r="P57"/>
  <c r="Q57" s="1"/>
  <c r="CN57" s="1"/>
  <c r="P58"/>
  <c r="Q58" s="1"/>
  <c r="P59"/>
  <c r="Q59" s="1"/>
  <c r="P60"/>
  <c r="Q60" s="1"/>
  <c r="P61"/>
  <c r="Q61" s="1"/>
  <c r="P62"/>
  <c r="Q62" s="1"/>
  <c r="CN62" s="1"/>
  <c r="P63"/>
  <c r="Q63" s="1"/>
  <c r="P64"/>
  <c r="Q64" s="1"/>
  <c r="P65"/>
  <c r="Q65" s="1"/>
  <c r="CN65" s="1"/>
  <c r="P66"/>
  <c r="Q66" s="1"/>
  <c r="P67"/>
  <c r="Q67" s="1"/>
  <c r="P68"/>
  <c r="Q68" s="1"/>
  <c r="P69"/>
  <c r="Q69" s="1"/>
  <c r="P70"/>
  <c r="Q70" s="1"/>
  <c r="CN70" s="1"/>
  <c r="P71"/>
  <c r="P72"/>
  <c r="Q72" s="1"/>
  <c r="P73"/>
  <c r="Q73" s="1"/>
  <c r="CN73" s="1"/>
  <c r="P74"/>
  <c r="Q74" s="1"/>
  <c r="P75"/>
  <c r="Q75" s="1"/>
  <c r="CN75" s="1"/>
  <c r="P76"/>
  <c r="Q76" s="1"/>
  <c r="P77"/>
  <c r="Q77" s="1"/>
  <c r="P78"/>
  <c r="Q78" s="1"/>
  <c r="P79"/>
  <c r="Q79" s="1"/>
  <c r="P80"/>
  <c r="Q80" s="1"/>
  <c r="P81"/>
  <c r="Q81" s="1"/>
  <c r="P82"/>
  <c r="Q82" s="1"/>
  <c r="CN82" s="1"/>
  <c r="P83"/>
  <c r="Q83" s="1"/>
  <c r="CN83" s="1"/>
  <c r="P84"/>
  <c r="Q84" s="1"/>
  <c r="P85"/>
  <c r="Q85" s="1"/>
  <c r="P86"/>
  <c r="Q86" s="1"/>
  <c r="P87"/>
  <c r="P88"/>
  <c r="P89"/>
  <c r="P90"/>
  <c r="P91"/>
  <c r="P92"/>
  <c r="P93"/>
  <c r="P94"/>
  <c r="P95"/>
  <c r="P9"/>
  <c r="Q9" s="1"/>
  <c r="P10"/>
  <c r="Q10" s="1"/>
  <c r="P11"/>
  <c r="Q11" s="1"/>
  <c r="P12"/>
  <c r="Q12" s="1"/>
  <c r="P13"/>
  <c r="Q13" s="1"/>
  <c r="P14"/>
  <c r="Q14" s="1"/>
  <c r="P15"/>
  <c r="Q15" s="1"/>
  <c r="P16"/>
  <c r="Q16" s="1"/>
  <c r="P17"/>
  <c r="Q17" s="1"/>
  <c r="K88"/>
  <c r="K89"/>
  <c r="K93"/>
  <c r="CT31" i="5" l="1"/>
  <c r="CX31"/>
  <c r="CL45"/>
  <c r="CW45"/>
  <c r="CX45" s="1"/>
  <c r="CL93"/>
  <c r="CW93"/>
  <c r="CX93" s="1"/>
  <c r="CL86"/>
  <c r="CW86"/>
  <c r="CX86" s="1"/>
  <c r="CM69"/>
  <c r="CW69"/>
  <c r="CX69" s="1"/>
  <c r="CL71"/>
  <c r="CW71"/>
  <c r="CX71" s="1"/>
  <c r="CL44"/>
  <c r="CW44"/>
  <c r="CX44" s="1"/>
  <c r="CM65"/>
  <c r="CW65"/>
  <c r="CX65" s="1"/>
  <c r="CL91"/>
  <c r="CW91"/>
  <c r="CX91" s="1"/>
  <c r="CM22"/>
  <c r="CW22"/>
  <c r="CX22" s="1"/>
  <c r="CL36"/>
  <c r="CW36"/>
  <c r="CX36" s="1"/>
  <c r="CL56"/>
  <c r="CW56"/>
  <c r="CX56" s="1"/>
  <c r="CL88"/>
  <c r="CW88"/>
  <c r="CX88" s="1"/>
  <c r="CL40"/>
  <c r="CW40"/>
  <c r="CX40" s="1"/>
  <c r="CL43"/>
  <c r="CW43"/>
  <c r="CX43" s="1"/>
  <c r="CL24"/>
  <c r="CW24"/>
  <c r="CX24" s="1"/>
  <c r="CL51"/>
  <c r="CW51"/>
  <c r="CX51" s="1"/>
  <c r="CM33"/>
  <c r="CW33"/>
  <c r="CX33" s="1"/>
  <c r="CM14"/>
  <c r="CW14"/>
  <c r="CX14" s="1"/>
  <c r="CL12"/>
  <c r="CW12"/>
  <c r="CX12" s="1"/>
  <c r="CM16"/>
  <c r="CW16"/>
  <c r="CX16" s="1"/>
  <c r="CL73"/>
  <c r="CW73"/>
  <c r="CX73" s="1"/>
  <c r="CL76"/>
  <c r="CW76"/>
  <c r="CX76" s="1"/>
  <c r="CL67"/>
  <c r="CW67"/>
  <c r="CX67" s="1"/>
  <c r="CL27"/>
  <c r="CW27"/>
  <c r="CX27" s="1"/>
  <c r="CL34"/>
  <c r="CW34"/>
  <c r="CX34" s="1"/>
  <c r="CL64"/>
  <c r="CW64"/>
  <c r="CX64" s="1"/>
  <c r="CL52"/>
  <c r="CW52"/>
  <c r="CX52" s="1"/>
  <c r="CL46"/>
  <c r="CW46"/>
  <c r="CX46" s="1"/>
  <c r="CL32"/>
  <c r="CW32"/>
  <c r="CX32" s="1"/>
  <c r="CM57"/>
  <c r="CW57"/>
  <c r="CX57" s="1"/>
  <c r="CL50"/>
  <c r="CW50"/>
  <c r="CX50" s="1"/>
  <c r="CL28"/>
  <c r="CW28"/>
  <c r="CX28" s="1"/>
  <c r="CL10"/>
  <c r="CW10"/>
  <c r="CX10" s="1"/>
  <c r="CL20"/>
  <c r="CW20"/>
  <c r="CX20" s="1"/>
  <c r="CL72"/>
  <c r="CW72"/>
  <c r="CX72" s="1"/>
  <c r="CN10" i="6"/>
  <c r="S10"/>
  <c r="CJ10" s="1"/>
  <c r="CK10" s="1"/>
  <c r="CN11"/>
  <c r="S11"/>
  <c r="CJ11" s="1"/>
  <c r="CK11" s="1"/>
  <c r="CN12"/>
  <c r="S12"/>
  <c r="CJ12" s="1"/>
  <c r="CK12" s="1"/>
  <c r="CN13"/>
  <c r="S13"/>
  <c r="CJ13" s="1"/>
  <c r="CK13" s="1"/>
  <c r="CN15"/>
  <c r="S15"/>
  <c r="CJ15" s="1"/>
  <c r="CK15" s="1"/>
  <c r="CN42"/>
  <c r="S42"/>
  <c r="CJ42" s="1"/>
  <c r="CK42" s="1"/>
  <c r="CN79"/>
  <c r="S79"/>
  <c r="CJ79" s="1"/>
  <c r="CK79" s="1"/>
  <c r="S80"/>
  <c r="CJ80" s="1"/>
  <c r="CK80" s="1"/>
  <c r="CN80"/>
  <c r="S56"/>
  <c r="CJ56" s="1"/>
  <c r="CK56" s="1"/>
  <c r="CN56"/>
  <c r="CN69"/>
  <c r="S69"/>
  <c r="CJ69" s="1"/>
  <c r="CK69" s="1"/>
  <c r="CN58"/>
  <c r="S58"/>
  <c r="CJ58" s="1"/>
  <c r="CK58" s="1"/>
  <c r="CN21"/>
  <c r="S21"/>
  <c r="CJ21" s="1"/>
  <c r="CK21" s="1"/>
  <c r="CN59"/>
  <c r="S59"/>
  <c r="CJ59" s="1"/>
  <c r="CK59" s="1"/>
  <c r="CN47"/>
  <c r="S47"/>
  <c r="CJ47" s="1"/>
  <c r="CK47" s="1"/>
  <c r="CN35"/>
  <c r="S35"/>
  <c r="CJ35" s="1"/>
  <c r="CK35" s="1"/>
  <c r="CN22"/>
  <c r="S22"/>
  <c r="CJ22" s="1"/>
  <c r="CK22" s="1"/>
  <c r="Q88"/>
  <c r="CN88" s="1"/>
  <c r="Q89"/>
  <c r="CN89" s="1"/>
  <c r="Q93"/>
  <c r="CN93" s="1"/>
  <c r="CN29"/>
  <c r="S29"/>
  <c r="CJ29" s="1"/>
  <c r="CK29" s="1"/>
  <c r="CN16"/>
  <c r="S16"/>
  <c r="CJ16" s="1"/>
  <c r="CK16" s="1"/>
  <c r="CN17"/>
  <c r="S17"/>
  <c r="CJ17" s="1"/>
  <c r="CK17" s="1"/>
  <c r="S68"/>
  <c r="CJ68" s="1"/>
  <c r="CK68" s="1"/>
  <c r="CO68" s="1"/>
  <c r="CN68"/>
  <c r="CN46"/>
  <c r="S46"/>
  <c r="CJ46" s="1"/>
  <c r="CK46" s="1"/>
  <c r="S84"/>
  <c r="CJ84" s="1"/>
  <c r="CK84" s="1"/>
  <c r="CN84"/>
  <c r="CN72"/>
  <c r="S72"/>
  <c r="CJ72" s="1"/>
  <c r="CK72" s="1"/>
  <c r="CN60"/>
  <c r="S60"/>
  <c r="CJ60" s="1"/>
  <c r="CK60" s="1"/>
  <c r="CN48"/>
  <c r="S48"/>
  <c r="CJ48" s="1"/>
  <c r="CK48" s="1"/>
  <c r="CN36"/>
  <c r="S36"/>
  <c r="CJ36" s="1"/>
  <c r="CK36" s="1"/>
  <c r="CN23"/>
  <c r="S23"/>
  <c r="CJ23" s="1"/>
  <c r="CK23" s="1"/>
  <c r="CL31"/>
  <c r="CM31"/>
  <c r="S74"/>
  <c r="CJ74" s="1"/>
  <c r="CK74" s="1"/>
  <c r="CN74"/>
  <c r="CN54"/>
  <c r="S54"/>
  <c r="CJ54" s="1"/>
  <c r="CK54" s="1"/>
  <c r="S85"/>
  <c r="CJ85" s="1"/>
  <c r="CK85" s="1"/>
  <c r="CN85"/>
  <c r="CN61"/>
  <c r="S61"/>
  <c r="CJ61" s="1"/>
  <c r="CK61" s="1"/>
  <c r="CN49"/>
  <c r="S49"/>
  <c r="CJ49" s="1"/>
  <c r="CK49" s="1"/>
  <c r="CN37"/>
  <c r="S37"/>
  <c r="CJ37" s="1"/>
  <c r="CK37" s="1"/>
  <c r="CN24"/>
  <c r="S24"/>
  <c r="CJ24" s="1"/>
  <c r="CK24" s="1"/>
  <c r="CN50"/>
  <c r="S50"/>
  <c r="CJ50" s="1"/>
  <c r="CK50" s="1"/>
  <c r="CN63"/>
  <c r="S63"/>
  <c r="CJ63" s="1"/>
  <c r="CK63" s="1"/>
  <c r="CN51"/>
  <c r="S51"/>
  <c r="CJ51" s="1"/>
  <c r="CK51" s="1"/>
  <c r="CN39"/>
  <c r="S39"/>
  <c r="CJ39" s="1"/>
  <c r="CK39" s="1"/>
  <c r="CN26"/>
  <c r="S26"/>
  <c r="CJ26" s="1"/>
  <c r="CK26" s="1"/>
  <c r="CN38"/>
  <c r="S38"/>
  <c r="CJ38" s="1"/>
  <c r="CK38" s="1"/>
  <c r="CN9"/>
  <c r="S9"/>
  <c r="CJ9" s="1"/>
  <c r="CK9" s="1"/>
  <c r="CN76"/>
  <c r="S76"/>
  <c r="CJ76" s="1"/>
  <c r="CK76" s="1"/>
  <c r="CN64"/>
  <c r="S64"/>
  <c r="CJ64" s="1"/>
  <c r="CK64" s="1"/>
  <c r="CN52"/>
  <c r="S52"/>
  <c r="CJ52" s="1"/>
  <c r="CK52" s="1"/>
  <c r="CN40"/>
  <c r="S40"/>
  <c r="CJ40" s="1"/>
  <c r="CK40" s="1"/>
  <c r="CN27"/>
  <c r="S27"/>
  <c r="CJ27" s="1"/>
  <c r="CK27" s="1"/>
  <c r="CN25"/>
  <c r="S25"/>
  <c r="CJ25" s="1"/>
  <c r="CK25" s="1"/>
  <c r="CN14"/>
  <c r="S14"/>
  <c r="CJ14" s="1"/>
  <c r="CK14" s="1"/>
  <c r="CN77"/>
  <c r="S77"/>
  <c r="CJ77" s="1"/>
  <c r="CK77" s="1"/>
  <c r="CN41"/>
  <c r="S41"/>
  <c r="CJ41" s="1"/>
  <c r="CK41" s="1"/>
  <c r="CN28"/>
  <c r="S28"/>
  <c r="CJ28" s="1"/>
  <c r="CK28" s="1"/>
  <c r="CN67"/>
  <c r="S67"/>
  <c r="CJ67" s="1"/>
  <c r="CK67" s="1"/>
  <c r="CN55"/>
  <c r="S55"/>
  <c r="CJ55" s="1"/>
  <c r="CK55" s="1"/>
  <c r="CN43"/>
  <c r="S43"/>
  <c r="CJ43" s="1"/>
  <c r="CK43" s="1"/>
  <c r="CN30"/>
  <c r="S30"/>
  <c r="CJ30" s="1"/>
  <c r="CK30" s="1"/>
  <c r="CN18"/>
  <c r="S18"/>
  <c r="CJ18" s="1"/>
  <c r="CK18" s="1"/>
  <c r="CN66"/>
  <c r="S66"/>
  <c r="CJ66" s="1"/>
  <c r="CK66" s="1"/>
  <c r="CO66" s="1"/>
  <c r="S44"/>
  <c r="CJ44" s="1"/>
  <c r="CK44" s="1"/>
  <c r="CN44"/>
  <c r="S32"/>
  <c r="CJ32" s="1"/>
  <c r="CK32" s="1"/>
  <c r="CN32"/>
  <c r="CN19"/>
  <c r="S19"/>
  <c r="CJ19" s="1"/>
  <c r="CK19" s="1"/>
  <c r="S81"/>
  <c r="CJ81" s="1"/>
  <c r="CK81" s="1"/>
  <c r="CN81"/>
  <c r="CN45"/>
  <c r="S45"/>
  <c r="CJ45" s="1"/>
  <c r="CK45" s="1"/>
  <c r="CN33"/>
  <c r="S33"/>
  <c r="CJ33" s="1"/>
  <c r="CK33" s="1"/>
  <c r="S20"/>
  <c r="CJ20" s="1"/>
  <c r="CK20" s="1"/>
  <c r="CN20"/>
  <c r="CN86"/>
  <c r="S86"/>
  <c r="CJ86" s="1"/>
  <c r="CK86" s="1"/>
  <c r="CN78"/>
  <c r="S78"/>
  <c r="CJ78" s="1"/>
  <c r="CK78" s="1"/>
  <c r="CN34"/>
  <c r="S34"/>
  <c r="CJ34" s="1"/>
  <c r="CK34" s="1"/>
  <c r="CO52" i="4"/>
  <c r="CO66"/>
  <c r="CL61"/>
  <c r="CL38"/>
  <c r="CM66"/>
  <c r="CL78" i="5"/>
  <c r="CM78"/>
  <c r="CL61"/>
  <c r="CM61"/>
  <c r="CL66"/>
  <c r="CM66"/>
  <c r="CL54"/>
  <c r="CM54"/>
  <c r="CL49"/>
  <c r="CM49"/>
  <c r="CM93"/>
  <c r="CM91"/>
  <c r="CM84"/>
  <c r="CL84"/>
  <c r="CM67"/>
  <c r="CL63"/>
  <c r="CM63"/>
  <c r="CL55"/>
  <c r="CM55"/>
  <c r="CM46"/>
  <c r="CL85"/>
  <c r="CM85"/>
  <c r="CM76"/>
  <c r="CL75"/>
  <c r="CM75"/>
  <c r="CM71"/>
  <c r="CM88"/>
  <c r="CL77"/>
  <c r="CM77"/>
  <c r="CM72"/>
  <c r="CM59"/>
  <c r="CL59"/>
  <c r="CL74"/>
  <c r="CM74"/>
  <c r="CM52"/>
  <c r="CM50"/>
  <c r="CL94"/>
  <c r="CM94"/>
  <c r="CL70"/>
  <c r="CM70"/>
  <c r="CL69"/>
  <c r="CL65"/>
  <c r="CM56"/>
  <c r="CM73"/>
  <c r="CM64"/>
  <c r="CL60"/>
  <c r="CM60"/>
  <c r="CL57"/>
  <c r="CM53"/>
  <c r="CL53"/>
  <c r="CL48"/>
  <c r="CM48"/>
  <c r="CL89"/>
  <c r="CM89"/>
  <c r="CL62"/>
  <c r="CM62"/>
  <c r="CL90"/>
  <c r="CM90"/>
  <c r="CM86"/>
  <c r="CL81"/>
  <c r="CM81"/>
  <c r="CM44"/>
  <c r="CL9"/>
  <c r="CM9"/>
  <c r="CL42"/>
  <c r="CM42"/>
  <c r="CM40"/>
  <c r="CM24"/>
  <c r="CL16"/>
  <c r="CL37"/>
  <c r="CM37"/>
  <c r="CL38"/>
  <c r="CM38"/>
  <c r="CM36"/>
  <c r="CM12"/>
  <c r="CM35"/>
  <c r="CL35"/>
  <c r="CM32"/>
  <c r="CM28"/>
  <c r="CL17"/>
  <c r="CM17"/>
  <c r="CL15"/>
  <c r="CM15"/>
  <c r="CL22"/>
  <c r="CL18"/>
  <c r="CM18"/>
  <c r="CM43"/>
  <c r="CL14"/>
  <c r="CM34"/>
  <c r="CL26"/>
  <c r="CM26"/>
  <c r="CM20"/>
  <c r="CL41"/>
  <c r="CM41"/>
  <c r="CM27"/>
  <c r="CL8"/>
  <c r="CM8"/>
  <c r="CM10"/>
  <c r="CL58"/>
  <c r="CM45"/>
  <c r="CM51"/>
  <c r="CL33"/>
  <c r="CM58"/>
  <c r="CL30"/>
  <c r="CM30"/>
  <c r="CL29"/>
  <c r="CM29"/>
  <c r="CL25"/>
  <c r="CM25"/>
  <c r="CL21"/>
  <c r="CM21"/>
  <c r="CL13"/>
  <c r="CM13"/>
  <c r="K53" i="6"/>
  <c r="Q53" s="1"/>
  <c r="CN53" s="1"/>
  <c r="CO48" i="4"/>
  <c r="CO81"/>
  <c r="CO49"/>
  <c r="CL64"/>
  <c r="CO86"/>
  <c r="CO65"/>
  <c r="CL48"/>
  <c r="CO64"/>
  <c r="CO74"/>
  <c r="CO67"/>
  <c r="CO73"/>
  <c r="CO61"/>
  <c r="CL81"/>
  <c r="CO58"/>
  <c r="CM81"/>
  <c r="CM60"/>
  <c r="CO60"/>
  <c r="CO79"/>
  <c r="CM48"/>
  <c r="CO72"/>
  <c r="CJ88"/>
  <c r="CK88" s="1"/>
  <c r="CL88" s="1"/>
  <c r="CL50"/>
  <c r="CM50"/>
  <c r="CM72"/>
  <c r="CL55"/>
  <c r="CM55"/>
  <c r="CL79"/>
  <c r="CM79"/>
  <c r="CL58"/>
  <c r="CM58"/>
  <c r="CO78"/>
  <c r="CM78"/>
  <c r="CL78"/>
  <c r="CM52"/>
  <c r="CO57"/>
  <c r="CL84"/>
  <c r="CO84"/>
  <c r="CM84"/>
  <c r="CL85"/>
  <c r="CL62"/>
  <c r="CM62"/>
  <c r="CM85"/>
  <c r="CL74"/>
  <c r="CM74"/>
  <c r="CL57"/>
  <c r="CM68"/>
  <c r="CL67"/>
  <c r="CO68"/>
  <c r="CL9"/>
  <c r="CL13"/>
  <c r="CL28"/>
  <c r="CL75"/>
  <c r="CO75"/>
  <c r="CM75"/>
  <c r="CO9"/>
  <c r="CO23"/>
  <c r="CO44"/>
  <c r="CL44"/>
  <c r="CO40"/>
  <c r="CO28"/>
  <c r="CO29"/>
  <c r="CO38"/>
  <c r="CO13"/>
  <c r="CO25"/>
  <c r="CO41"/>
  <c r="CO12"/>
  <c r="CM37"/>
  <c r="CO37"/>
  <c r="CM44"/>
  <c r="CL16"/>
  <c r="CL25"/>
  <c r="CM25"/>
  <c r="CO16"/>
  <c r="CL35"/>
  <c r="CL22"/>
  <c r="CO35"/>
  <c r="CO22"/>
  <c r="CO24"/>
  <c r="CL41"/>
  <c r="CM41"/>
  <c r="CM45"/>
  <c r="CO45"/>
  <c r="CM33"/>
  <c r="CO33"/>
  <c r="CM24"/>
  <c r="CM21"/>
  <c r="CO14"/>
  <c r="CO39"/>
  <c r="CM36"/>
  <c r="CL23"/>
  <c r="CO36"/>
  <c r="CL14"/>
  <c r="CO15"/>
  <c r="CL15"/>
  <c r="CM20"/>
  <c r="CO20"/>
  <c r="CM23"/>
  <c r="CM32"/>
  <c r="CO32"/>
  <c r="CL29"/>
  <c r="CO17"/>
  <c r="CM17"/>
  <c r="CL17"/>
  <c r="CM29"/>
  <c r="CO21"/>
  <c r="CL79" i="5"/>
  <c r="CM79"/>
  <c r="CL23"/>
  <c r="CM23"/>
  <c r="CL47"/>
  <c r="CM47"/>
  <c r="CL19"/>
  <c r="CM19"/>
  <c r="CL31"/>
  <c r="CM31"/>
  <c r="CL11"/>
  <c r="CM11"/>
  <c r="CL39"/>
  <c r="CM39"/>
  <c r="CM67" i="4"/>
  <c r="CL47"/>
  <c r="CL39"/>
  <c r="CM47"/>
  <c r="CL18"/>
  <c r="CM18"/>
  <c r="CO18"/>
  <c r="CL42"/>
  <c r="CM42"/>
  <c r="CO42"/>
  <c r="CL46"/>
  <c r="CM46"/>
  <c r="CO46"/>
  <c r="CL11"/>
  <c r="CO11"/>
  <c r="CM11"/>
  <c r="CL10"/>
  <c r="CM10"/>
  <c r="CO10"/>
  <c r="CL63"/>
  <c r="CM63"/>
  <c r="CO63"/>
  <c r="CL43"/>
  <c r="CM43"/>
  <c r="CO43"/>
  <c r="CL26"/>
  <c r="CM26"/>
  <c r="CO26"/>
  <c r="CL54"/>
  <c r="CM54"/>
  <c r="CO54"/>
  <c r="CL51"/>
  <c r="CM51"/>
  <c r="CO51"/>
  <c r="CM8"/>
  <c r="CO8"/>
  <c r="CL8"/>
  <c r="CL31"/>
  <c r="CO31"/>
  <c r="CM31"/>
  <c r="CL27"/>
  <c r="CM27"/>
  <c r="CO27"/>
  <c r="CL30"/>
  <c r="CM30"/>
  <c r="CO30"/>
  <c r="CL59"/>
  <c r="CM59"/>
  <c r="CO59"/>
  <c r="CL34"/>
  <c r="CM34"/>
  <c r="CO34"/>
  <c r="CO19"/>
  <c r="CL19"/>
  <c r="CM19"/>
  <c r="K71" i="6"/>
  <c r="Q71" s="1"/>
  <c r="CN71" s="1"/>
  <c r="K87"/>
  <c r="Q87" s="1"/>
  <c r="CN87" s="1"/>
  <c r="K90"/>
  <c r="Q90" s="1"/>
  <c r="CN90" s="1"/>
  <c r="K91"/>
  <c r="Q91" s="1"/>
  <c r="CN91" s="1"/>
  <c r="K92"/>
  <c r="Q92" s="1"/>
  <c r="CN92" s="1"/>
  <c r="K94"/>
  <c r="Q94" s="1"/>
  <c r="CN94" s="1"/>
  <c r="CO53"/>
  <c r="CO65"/>
  <c r="CO70"/>
  <c r="CO75"/>
  <c r="CO62"/>
  <c r="CO82"/>
  <c r="CO73"/>
  <c r="CO83"/>
  <c r="CL45" l="1"/>
  <c r="CM45"/>
  <c r="CL33"/>
  <c r="CM33"/>
  <c r="CL67"/>
  <c r="CM67"/>
  <c r="CM27"/>
  <c r="CL27"/>
  <c r="CM38"/>
  <c r="CL38"/>
  <c r="CL24"/>
  <c r="CM24"/>
  <c r="CL72"/>
  <c r="CM72"/>
  <c r="CL29"/>
  <c r="CM29"/>
  <c r="CL20"/>
  <c r="CM20"/>
  <c r="CL32"/>
  <c r="CM32"/>
  <c r="CL59"/>
  <c r="CM59"/>
  <c r="CL79"/>
  <c r="CM79"/>
  <c r="CL10"/>
  <c r="CM10"/>
  <c r="CM86"/>
  <c r="CL86"/>
  <c r="CL55"/>
  <c r="CM55"/>
  <c r="CL25"/>
  <c r="CM25"/>
  <c r="CL9"/>
  <c r="CM9"/>
  <c r="CM50"/>
  <c r="CL50"/>
  <c r="CL54"/>
  <c r="CM54"/>
  <c r="CL60"/>
  <c r="CM60"/>
  <c r="CM16"/>
  <c r="CL16"/>
  <c r="CL80"/>
  <c r="CM80"/>
  <c r="CL85"/>
  <c r="CM85"/>
  <c r="CL47"/>
  <c r="CM47"/>
  <c r="CL11"/>
  <c r="CM11"/>
  <c r="CL78"/>
  <c r="CM78"/>
  <c r="CL43"/>
  <c r="CM43"/>
  <c r="CM14"/>
  <c r="CL14"/>
  <c r="CM76"/>
  <c r="CL76"/>
  <c r="CM63"/>
  <c r="CL63"/>
  <c r="CL48"/>
  <c r="CM48"/>
  <c r="CL17"/>
  <c r="CM17"/>
  <c r="CL56"/>
  <c r="CM56"/>
  <c r="CL19"/>
  <c r="CM19"/>
  <c r="CL81"/>
  <c r="CM81"/>
  <c r="CL68"/>
  <c r="CM68"/>
  <c r="CL35"/>
  <c r="CM35"/>
  <c r="CL12"/>
  <c r="CM12"/>
  <c r="CL30"/>
  <c r="CM30"/>
  <c r="CL77"/>
  <c r="CM77"/>
  <c r="CM64"/>
  <c r="CL64"/>
  <c r="CM51"/>
  <c r="CL51"/>
  <c r="CL61"/>
  <c r="CM61"/>
  <c r="CL36"/>
  <c r="CM36"/>
  <c r="CL34"/>
  <c r="CM34"/>
  <c r="CL22"/>
  <c r="CM22"/>
  <c r="CL69"/>
  <c r="CM69"/>
  <c r="CL13"/>
  <c r="CM13"/>
  <c r="CL41"/>
  <c r="CM41"/>
  <c r="CM52"/>
  <c r="CL52"/>
  <c r="CM39"/>
  <c r="CL39"/>
  <c r="CL49"/>
  <c r="CM49"/>
  <c r="CL23"/>
  <c r="CM23"/>
  <c r="CL46"/>
  <c r="CM46"/>
  <c r="CL84"/>
  <c r="CM84"/>
  <c r="CL58"/>
  <c r="CM58"/>
  <c r="CM15"/>
  <c r="CL15"/>
  <c r="CL66"/>
  <c r="CM66"/>
  <c r="CM28"/>
  <c r="CL28"/>
  <c r="CM40"/>
  <c r="CL40"/>
  <c r="CM26"/>
  <c r="CL26"/>
  <c r="CL37"/>
  <c r="CM37"/>
  <c r="CL18"/>
  <c r="CM18"/>
  <c r="CL44"/>
  <c r="CM44"/>
  <c r="CM74"/>
  <c r="CL74"/>
  <c r="CL21"/>
  <c r="CM21"/>
  <c r="CL42"/>
  <c r="CM42"/>
  <c r="CO93"/>
  <c r="CO88"/>
  <c r="CO89"/>
  <c r="CO87"/>
  <c r="CO91"/>
  <c r="CO90"/>
  <c r="CO92"/>
  <c r="CO94"/>
  <c r="CO55"/>
  <c r="CO71"/>
  <c r="CO46"/>
  <c r="CO69"/>
  <c r="CO81"/>
  <c r="CO80"/>
  <c r="CO67"/>
  <c r="CO58"/>
  <c r="CO56"/>
  <c r="CO51"/>
  <c r="CO88" i="4"/>
  <c r="CM88"/>
  <c r="CO78" i="6"/>
  <c r="CO77"/>
  <c r="CO60" l="1"/>
  <c r="CO35"/>
  <c r="CO59"/>
  <c r="CO54"/>
  <c r="CO38"/>
  <c r="CO84"/>
  <c r="CO86"/>
  <c r="CO79"/>
  <c r="CO76"/>
  <c r="CO85"/>
  <c r="AD21" i="7" l="1"/>
  <c r="AD19"/>
  <c r="AE5" l="1"/>
  <c r="D18" l="1"/>
  <c r="K95" i="6" l="1"/>
  <c r="Q95" s="1"/>
  <c r="CN95" s="1"/>
  <c r="CD8"/>
  <c r="D10" i="7" l="1"/>
  <c r="D9"/>
  <c r="D5"/>
  <c r="F22"/>
  <c r="F19"/>
  <c r="F18"/>
  <c r="E18"/>
  <c r="E22"/>
  <c r="E21"/>
  <c r="E20"/>
  <c r="E19"/>
  <c r="AN8" i="6"/>
  <c r="AG8"/>
  <c r="D21" i="7"/>
  <c r="Y8" i="6"/>
  <c r="D20" i="7"/>
  <c r="D19"/>
  <c r="AY8" i="6"/>
  <c r="BV8"/>
  <c r="BN8"/>
  <c r="BQ8" l="1"/>
  <c r="BS8" s="1"/>
  <c r="BI8"/>
  <c r="BK8" s="1"/>
  <c r="Z25" i="7"/>
  <c r="Y20"/>
  <c r="AA18"/>
  <c r="Y19"/>
  <c r="Y23"/>
  <c r="Y21"/>
  <c r="AA22"/>
  <c r="AA26"/>
  <c r="AA19"/>
  <c r="Y24"/>
  <c r="AA23"/>
  <c r="AA27"/>
  <c r="Y25"/>
  <c r="AA28"/>
  <c r="AA30"/>
  <c r="AB24"/>
  <c r="Y26"/>
  <c r="Y27"/>
  <c r="Y28"/>
  <c r="AV8" i="6"/>
  <c r="AU8"/>
  <c r="Z30" i="7"/>
  <c r="Y30"/>
  <c r="Y22"/>
  <c r="P8" i="6"/>
  <c r="BA8"/>
  <c r="AA25" i="7" s="1"/>
  <c r="CG8" i="6"/>
  <c r="BY8"/>
  <c r="Z8"/>
  <c r="AI8"/>
  <c r="J10" i="2"/>
  <c r="Z27" i="7" l="1"/>
  <c r="BR8" i="6"/>
  <c r="I27" i="7" s="1"/>
  <c r="AB27"/>
  <c r="BJ8" i="6"/>
  <c r="I26" i="7" s="1"/>
  <c r="AB26"/>
  <c r="Z26"/>
  <c r="Z18"/>
  <c r="AA24"/>
  <c r="AC24" s="1"/>
  <c r="Z22"/>
  <c r="AC22" s="1"/>
  <c r="AD22" s="1"/>
  <c r="Z28"/>
  <c r="Z21"/>
  <c r="Z23"/>
  <c r="AC23" s="1"/>
  <c r="AD23" s="1"/>
  <c r="Z20"/>
  <c r="Z19"/>
  <c r="AC25"/>
  <c r="AD25" s="1"/>
  <c r="CA8" i="6"/>
  <c r="BZ8"/>
  <c r="CI8"/>
  <c r="J30" i="7" s="1"/>
  <c r="CH8" i="6"/>
  <c r="BC8"/>
  <c r="BB8"/>
  <c r="I25" i="7" s="1"/>
  <c r="AB8" i="6"/>
  <c r="J20" i="7" s="1"/>
  <c r="AA8" i="6"/>
  <c r="AP8"/>
  <c r="AO8"/>
  <c r="I23" i="7" s="1"/>
  <c r="X30"/>
  <c r="Q30"/>
  <c r="H20"/>
  <c r="Q8" i="6"/>
  <c r="AH8"/>
  <c r="I22" i="7" s="1"/>
  <c r="I24"/>
  <c r="G31" i="2"/>
  <c r="G29"/>
  <c r="G28"/>
  <c r="G27"/>
  <c r="G25"/>
  <c r="F29"/>
  <c r="F28"/>
  <c r="F27"/>
  <c r="F26"/>
  <c r="F25"/>
  <c r="F24"/>
  <c r="F23"/>
  <c r="F31"/>
  <c r="AD24" i="7" l="1"/>
  <c r="CO95" i="6"/>
  <c r="I30" i="7"/>
  <c r="AB30"/>
  <c r="AC30" s="1"/>
  <c r="AD30" s="1"/>
  <c r="I28"/>
  <c r="AB28"/>
  <c r="AC28" s="1"/>
  <c r="AD28" s="1"/>
  <c r="AC27"/>
  <c r="AD27" s="1"/>
  <c r="AC26"/>
  <c r="AD26" s="1"/>
  <c r="CO16" i="6"/>
  <c r="AC20" i="7"/>
  <c r="AD20" s="1"/>
  <c r="S8" i="6"/>
  <c r="CJ8" s="1"/>
  <c r="CK8" s="1"/>
  <c r="CL8" s="1"/>
  <c r="R8"/>
  <c r="I18" i="7" s="1"/>
  <c r="H18"/>
  <c r="H31" s="1"/>
  <c r="I20"/>
  <c r="CN8" i="6"/>
  <c r="CO15" s="1"/>
  <c r="L19" i="2"/>
  <c r="D31"/>
  <c r="D29"/>
  <c r="D28"/>
  <c r="D27"/>
  <c r="D26"/>
  <c r="D24"/>
  <c r="D23"/>
  <c r="D22"/>
  <c r="E22"/>
  <c r="E21"/>
  <c r="K22"/>
  <c r="K20"/>
  <c r="E31"/>
  <c r="F20"/>
  <c r="D21"/>
  <c r="D20"/>
  <c r="D19"/>
  <c r="E24"/>
  <c r="E29"/>
  <c r="E28"/>
  <c r="E27"/>
  <c r="E23"/>
  <c r="E20"/>
  <c r="E19"/>
  <c r="CO12" i="6" l="1"/>
  <c r="CO17"/>
  <c r="CO74"/>
  <c r="CO36"/>
  <c r="CO28"/>
  <c r="CO43"/>
  <c r="CO20"/>
  <c r="CO32"/>
  <c r="CO49"/>
  <c r="CO29"/>
  <c r="CO47"/>
  <c r="CO21"/>
  <c r="CO23"/>
  <c r="CO37"/>
  <c r="CO41"/>
  <c r="CO45"/>
  <c r="CO22"/>
  <c r="CO44"/>
  <c r="CO42"/>
  <c r="CO26"/>
  <c r="CO64"/>
  <c r="CO25"/>
  <c r="CO72"/>
  <c r="CO27"/>
  <c r="CO63"/>
  <c r="CO30"/>
  <c r="CO52"/>
  <c r="CO40"/>
  <c r="CO31"/>
  <c r="CO48"/>
  <c r="CO33"/>
  <c r="CO61"/>
  <c r="CO39"/>
  <c r="CO24"/>
  <c r="CO19"/>
  <c r="CO18"/>
  <c r="CO50"/>
  <c r="CO34"/>
  <c r="CO14"/>
  <c r="CO10"/>
  <c r="CO13"/>
  <c r="CO9"/>
  <c r="CO11"/>
  <c r="Y18" i="7"/>
  <c r="AC18" s="1"/>
  <c r="AD18" s="1"/>
  <c r="AE18" s="1"/>
  <c r="J18"/>
  <c r="CM8" i="6"/>
  <c r="E34" i="2"/>
  <c r="E36"/>
  <c r="E26"/>
  <c r="H21"/>
  <c r="AC31" i="7" l="1"/>
  <c r="C8" i="2"/>
  <c r="C7"/>
  <c r="C6"/>
  <c r="F19"/>
  <c r="CO8" i="6" l="1"/>
  <c r="J8" i="2"/>
  <c r="J9"/>
  <c r="C9" l="1"/>
  <c r="J7"/>
  <c r="C10" l="1"/>
  <c r="H29" l="1"/>
  <c r="H27"/>
  <c r="H28"/>
  <c r="F34"/>
  <c r="G34"/>
  <c r="H34"/>
  <c r="L10"/>
  <c r="F36"/>
  <c r="H25"/>
  <c r="H26"/>
  <c r="H24"/>
  <c r="J31" l="1"/>
  <c r="H31"/>
  <c r="J25"/>
  <c r="J26"/>
  <c r="J29"/>
  <c r="J24"/>
  <c r="J27"/>
  <c r="J28"/>
  <c r="H23"/>
  <c r="I25"/>
  <c r="I27"/>
  <c r="I24"/>
  <c r="J21"/>
  <c r="I26"/>
  <c r="K21" l="1"/>
  <c r="K28"/>
  <c r="K27"/>
  <c r="K29"/>
  <c r="K26"/>
  <c r="K25"/>
  <c r="I21"/>
  <c r="I31"/>
  <c r="K31"/>
  <c r="K24"/>
  <c r="J23"/>
  <c r="H19"/>
  <c r="L28"/>
  <c r="L20"/>
  <c r="L29"/>
  <c r="L27"/>
  <c r="L24"/>
  <c r="L21"/>
  <c r="L25"/>
  <c r="L32"/>
  <c r="L22"/>
  <c r="L30"/>
  <c r="L23"/>
  <c r="L31"/>
  <c r="I29"/>
  <c r="I28"/>
  <c r="L26"/>
  <c r="I19"/>
  <c r="K23" l="1"/>
  <c r="I23"/>
  <c r="J19"/>
  <c r="K19" s="1"/>
  <c r="H32"/>
</calcChain>
</file>

<file path=xl/sharedStrings.xml><?xml version="1.0" encoding="utf-8"?>
<sst xmlns="http://schemas.openxmlformats.org/spreadsheetml/2006/main" count="1432" uniqueCount="428">
  <si>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</si>
  <si>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</si>
  <si>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</si>
  <si>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</si>
  <si>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</si>
  <si>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</si>
  <si>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</si>
  <si>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</si>
  <si>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</si>
  <si>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</si>
  <si>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</si>
  <si>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</si>
  <si>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</si>
  <si>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</si>
  <si>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</si>
  <si>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</si>
  <si>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</si>
  <si>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</si>
  <si>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</si>
  <si>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</si>
  <si>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</si>
  <si>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</si>
  <si>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</si>
  <si>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</si>
  <si>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</si>
  <si>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</si>
  <si>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</si>
  <si>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</si>
  <si>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</si>
  <si>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</si>
  <si>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</si>
  <si>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</si>
  <si>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</si>
  <si>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STUDENTS BEHAVIOURS AND SKILL</t>
  </si>
  <si>
    <t>POSITION OF THE EXAMINEE</t>
  </si>
  <si>
    <t>PRINCIPAL SIGNATURE</t>
  </si>
  <si>
    <t>STUDENT'S NAME :</t>
  </si>
  <si>
    <t>FATHER'S NAME :</t>
  </si>
  <si>
    <t>MOTHER'S NAME :</t>
  </si>
  <si>
    <t>CLASS TEACHER :</t>
  </si>
  <si>
    <t>MOBILE NUMBER :</t>
  </si>
  <si>
    <t>PHYSICS</t>
  </si>
  <si>
    <t>CHEMISTRY</t>
  </si>
  <si>
    <t>MATHEMATICS</t>
  </si>
  <si>
    <t>BEHABIOUR</t>
  </si>
  <si>
    <t>GRAND TOTAL 
MARKS</t>
  </si>
  <si>
    <t>WORKING 
DAYS</t>
  </si>
  <si>
    <t>RANK OF STUDENT</t>
  </si>
  <si>
    <t>BGS</t>
  </si>
  <si>
    <t>BIOLOGY/H-MATH</t>
  </si>
  <si>
    <t>BIOLOGY / H-MATH / AG</t>
  </si>
  <si>
    <t>Fahther`s Name</t>
  </si>
  <si>
    <t>H
MARK</t>
  </si>
  <si>
    <t>MT+CR</t>
  </si>
  <si>
    <t>GRADE</t>
  </si>
  <si>
    <t>:</t>
  </si>
  <si>
    <t>CLASS</t>
  </si>
  <si>
    <t>SECTION</t>
  </si>
  <si>
    <t>TOTAL STUDENT'S</t>
  </si>
  <si>
    <t>WORKING DAYS</t>
  </si>
  <si>
    <t>Nine</t>
  </si>
  <si>
    <t>BIOLOGY / H.MATH</t>
  </si>
  <si>
    <r>
      <t xml:space="preserve">  </t>
    </r>
    <r>
      <rPr>
        <b/>
        <sz val="18"/>
        <color theme="8" tint="-0.499984740745262"/>
        <rFont val="Times New Roman"/>
        <family val="1"/>
      </rPr>
      <t>AMIN CADET ACADEMY</t>
    </r>
    <r>
      <rPr>
        <b/>
        <sz val="18"/>
        <color rgb="FF00B050"/>
        <rFont val="Ebrima"/>
      </rPr>
      <t xml:space="preserve">
</t>
    </r>
    <r>
      <rPr>
        <b/>
        <sz val="10"/>
        <color theme="3"/>
        <rFont val="Times New Roman"/>
        <family val="1"/>
      </rPr>
      <t>Amin Model Town, Savar Cantonment, Ashulia, Dhaka-1344.</t>
    </r>
    <r>
      <rPr>
        <b/>
        <sz val="12"/>
        <color rgb="FF00B0F0"/>
        <rFont val="Ebrima"/>
      </rPr>
      <t xml:space="preserve">
</t>
    </r>
    <r>
      <rPr>
        <b/>
        <sz val="14"/>
        <color theme="3"/>
        <rFont val="Times New Roman"/>
        <family val="1"/>
      </rPr>
      <t>2nd Semester Examination</t>
    </r>
    <r>
      <rPr>
        <b/>
        <sz val="12"/>
        <color theme="3"/>
        <rFont val="Times New Roman"/>
        <family val="1"/>
      </rPr>
      <t xml:space="preserve">
Progressive Report - 2023</t>
    </r>
  </si>
  <si>
    <t>Fatema Akter</t>
  </si>
  <si>
    <t>Term Exam</t>
  </si>
  <si>
    <t>Final Result</t>
  </si>
  <si>
    <t>Average Marks of Continuous Assesment</t>
  </si>
  <si>
    <t>Average Marks of  Creative</t>
  </si>
  <si>
    <t>Average Marks of Objective</t>
  </si>
  <si>
    <t>Average Marks of Practical</t>
  </si>
  <si>
    <t>C.GPA</t>
  </si>
  <si>
    <t>ABVOE-2</t>
  </si>
  <si>
    <t xml:space="preserve">Name Of The Student 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</si>
  <si>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</si>
  <si>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</si>
  <si>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</si>
  <si>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</si>
  <si>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</si>
  <si>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</si>
  <si>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</si>
  <si>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 xml:space="preserve">RELIGION </t>
  </si>
  <si>
    <t xml:space="preserve">TOTAL </t>
  </si>
  <si>
    <t>TOTAL 
B1+B2</t>
  </si>
  <si>
    <t>ENGLISH-1ST</t>
  </si>
  <si>
    <t>ENGLISH-2ND</t>
  </si>
  <si>
    <t>Final Position Of The Examination</t>
  </si>
  <si>
    <t xml:space="preserve">                                                            </t>
  </si>
  <si>
    <t>Co Ordinator</t>
  </si>
  <si>
    <t>Principal(Acting)</t>
  </si>
  <si>
    <r>
      <rPr>
        <sz val="18"/>
        <color theme="1"/>
        <rFont val="Times New Roman"/>
        <family val="1"/>
      </rPr>
      <t>AMIN CADET RESIDENTIAL ACADEMY</t>
    </r>
    <r>
      <rPr>
        <sz val="11"/>
        <color theme="1"/>
        <rFont val="Times New Roman"/>
        <family val="1"/>
      </rPr>
      <t xml:space="preserve">
Amin Model Town, Savar Cantonment, Ashulia, Dhaka - 1344.
1ST SEMESTER TABULATION SHEET-2025
CLASS-NINE (SCIENCE-A &amp; B)</t>
    </r>
  </si>
  <si>
    <r>
      <rPr>
        <sz val="28"/>
        <rFont val="Algerian"/>
        <family val="5"/>
      </rPr>
      <t xml:space="preserve">AMIN CADET RESIDENTIAL ACADEMY
</t>
    </r>
    <r>
      <rPr>
        <sz val="12"/>
        <rFont val="Algerian"/>
        <family val="5"/>
      </rPr>
      <t>Amin Model Town, Savar Cantonment, Ashulia, Dhaka - 1344</t>
    </r>
    <r>
      <rPr>
        <sz val="11"/>
        <rFont val="Algerian"/>
        <family val="5"/>
      </rPr>
      <t>.</t>
    </r>
    <r>
      <rPr>
        <sz val="15"/>
        <rFont val="Algerian"/>
        <family val="5"/>
      </rPr>
      <t xml:space="preserve">
2ND SEMESTER TABULATION SHEET-2025
CLASS-NINE (SCIENCE-A &amp; B)</t>
    </r>
  </si>
  <si>
    <r>
      <rPr>
        <sz val="20"/>
        <rFont val="Algerian"/>
        <family val="5"/>
      </rPr>
      <t>AMIN CADET RESIDENTIAL ACADEMY</t>
    </r>
    <r>
      <rPr>
        <sz val="28"/>
        <rFont val="Algerian"/>
        <family val="5"/>
      </rPr>
      <t xml:space="preserve">
</t>
    </r>
    <r>
      <rPr>
        <sz val="10"/>
        <rFont val="Algerian"/>
        <family val="5"/>
      </rPr>
      <t xml:space="preserve">Amin Model Town, Savar Cantonment, Ashulia, Dhaka - 1344.
</t>
    </r>
    <r>
      <rPr>
        <sz val="12"/>
        <rFont val="Algerian"/>
        <family val="5"/>
      </rPr>
      <t>3</t>
    </r>
    <r>
      <rPr>
        <vertAlign val="superscript"/>
        <sz val="12"/>
        <rFont val="Cambria"/>
        <family val="1"/>
        <scheme val="major"/>
      </rPr>
      <t>rd</t>
    </r>
    <r>
      <rPr>
        <sz val="12"/>
        <rFont val="Algerian"/>
        <family val="5"/>
      </rPr>
      <t xml:space="preserve"> SEMESTER TABULATION SHEET-2025</t>
    </r>
    <r>
      <rPr>
        <sz val="15"/>
        <rFont val="Algerian"/>
        <family val="5"/>
      </rPr>
      <t xml:space="preserve">
CLASS-NINE (SCIENCE-A &amp; B)</t>
    </r>
  </si>
  <si>
    <t xml:space="preserve">Istiaq Ahmed Radin </t>
  </si>
  <si>
    <t xml:space="preserve">Faishal Ahmed Jani </t>
  </si>
  <si>
    <t xml:space="preserve">Israt Jahan Rosy </t>
  </si>
  <si>
    <t>01726-850442                     01789-867118</t>
  </si>
  <si>
    <t xml:space="preserve">Imtiaz Ahmed Ratul </t>
  </si>
  <si>
    <t>01789-867118</t>
  </si>
  <si>
    <t xml:space="preserve">Mst. Mahmuda Akter Jannati </t>
  </si>
  <si>
    <t xml:space="preserve">Md. Masud Rana </t>
  </si>
  <si>
    <t xml:space="preserve">Mst. Nargis Begum </t>
  </si>
  <si>
    <t>01736-664396</t>
  </si>
  <si>
    <t>Sreyonti Saha</t>
  </si>
  <si>
    <t>Samir Kumar Saha</t>
  </si>
  <si>
    <t>Shilpi Rani Saha</t>
  </si>
  <si>
    <t>01331-072838              01712-618934</t>
  </si>
  <si>
    <t>Abu Sajjad</t>
  </si>
  <si>
    <t>Mohammad Sahed</t>
  </si>
  <si>
    <t>Ferdousi Akter</t>
  </si>
  <si>
    <t>01709-973826   
01645-821778</t>
  </si>
  <si>
    <t>Mushfiqur Rahman</t>
  </si>
  <si>
    <t xml:space="preserve">Nor Muhammad </t>
  </si>
  <si>
    <t xml:space="preserve">Sajada Begum </t>
  </si>
  <si>
    <t>01929-674537</t>
  </si>
  <si>
    <t xml:space="preserve">Abdullah Al Rifat </t>
  </si>
  <si>
    <t xml:space="preserve">Mst. Rumana Akter </t>
  </si>
  <si>
    <t>01889-963151                                 01984-241955</t>
  </si>
  <si>
    <t>Tasnia Ferdous Tithi</t>
  </si>
  <si>
    <t xml:space="preserve">Md. Azizur Rahman </t>
  </si>
  <si>
    <t>Most. Rubaya Parvin</t>
  </si>
  <si>
    <t xml:space="preserve">01309-062935               </t>
  </si>
  <si>
    <t>Mohima</t>
  </si>
  <si>
    <t>Md. Waskarani</t>
  </si>
  <si>
    <t>Shirin Akter</t>
  </si>
  <si>
    <t>01327-784412</t>
  </si>
  <si>
    <t>Md. Tahmid Taha</t>
  </si>
  <si>
    <t>Md. Rokonuzzaman</t>
  </si>
  <si>
    <t>Mst. Shahanaz Parvin</t>
  </si>
  <si>
    <t>01913-905084   01723-384388</t>
  </si>
  <si>
    <t>Omama Akter Momo</t>
  </si>
  <si>
    <t>Md. Mubarok Hossain</t>
  </si>
  <si>
    <t>Monoara Parvin</t>
  </si>
  <si>
    <t>01886-309759   01886-309759</t>
  </si>
  <si>
    <t xml:space="preserve">Md. Jonayed Hasan </t>
  </si>
  <si>
    <t xml:space="preserve">Md. Dulal Mia </t>
  </si>
  <si>
    <t xml:space="preserve">Fathema Akter </t>
  </si>
  <si>
    <t>01912-911809                         01914-173458</t>
  </si>
  <si>
    <t>Rani Akter Shifa</t>
  </si>
  <si>
    <t>M.A. Rakib Howlader</t>
  </si>
  <si>
    <t>Sheouly Akter Jharna</t>
  </si>
  <si>
    <t>01675-420578
01710-852186</t>
  </si>
  <si>
    <t>Fatama Khanam</t>
  </si>
  <si>
    <t>Md. Firoz Khan</t>
  </si>
  <si>
    <t>Sheuly Begum</t>
  </si>
  <si>
    <t>01759-212994</t>
  </si>
  <si>
    <t xml:space="preserve">Tayieba Akter Shikha </t>
  </si>
  <si>
    <t xml:space="preserve">Md. Sajahan Miah </t>
  </si>
  <si>
    <t xml:space="preserve">Jamila Begum </t>
  </si>
  <si>
    <t>01638-895505</t>
  </si>
  <si>
    <t xml:space="preserve">Tanjim Rahman </t>
  </si>
  <si>
    <t xml:space="preserve">Md. Mahfuzur Rahman </t>
  </si>
  <si>
    <t xml:space="preserve">Tania Akter </t>
  </si>
  <si>
    <t>01844-001231                    01943-104248</t>
  </si>
  <si>
    <t xml:space="preserve">Fuad Al Mansur </t>
  </si>
  <si>
    <t>A M A Javed</t>
  </si>
  <si>
    <t xml:space="preserve">Rashida Akter Shanto </t>
  </si>
  <si>
    <t xml:space="preserve"> 01816-619345</t>
  </si>
  <si>
    <t xml:space="preserve">Mahabub Alam </t>
  </si>
  <si>
    <t xml:space="preserve">Md. Aynal Bapary </t>
  </si>
  <si>
    <t>Mst. Salina Akter</t>
  </si>
  <si>
    <t>01959-188392</t>
  </si>
  <si>
    <t>Md. Awal</t>
  </si>
  <si>
    <t xml:space="preserve">Md. Mamun Ali </t>
  </si>
  <si>
    <t xml:space="preserve">Mst. Subarna Khatun </t>
  </si>
  <si>
    <t>01747-873603</t>
  </si>
  <si>
    <t>Md. Jisan Ahamed</t>
  </si>
  <si>
    <t>Md. Abul Hashem</t>
  </si>
  <si>
    <t>Mst. Julekha</t>
  </si>
  <si>
    <t>01680-230025</t>
  </si>
  <si>
    <t xml:space="preserve">Md. Abu Sufian Tamim </t>
  </si>
  <si>
    <t xml:space="preserve">Md. Abu Tahar </t>
  </si>
  <si>
    <t xml:space="preserve">Sufia Begum </t>
  </si>
  <si>
    <t>01724-988665</t>
  </si>
  <si>
    <t>Md. Robiul Islam Chowdhury</t>
  </si>
  <si>
    <t>Abdur Rahim Chowdhury</t>
  </si>
  <si>
    <t xml:space="preserve">Bibi Khotija </t>
  </si>
  <si>
    <t>01619-999010</t>
  </si>
  <si>
    <t xml:space="preserve">Md. Tawhid Talukdar </t>
  </si>
  <si>
    <t xml:space="preserve">Md Sanwar Talukdar </t>
  </si>
  <si>
    <t xml:space="preserve">Nura Saba </t>
  </si>
  <si>
    <t>01932-267784 01736- 132784</t>
  </si>
  <si>
    <t>Md. Mehedi Hasan</t>
  </si>
  <si>
    <t>Rupok Saha</t>
  </si>
  <si>
    <t xml:space="preserve">Sree Ripon Shaha </t>
  </si>
  <si>
    <t>Krishna Rani Shaha</t>
  </si>
  <si>
    <t>01714-100557     01944-933990</t>
  </si>
  <si>
    <t>Sadman Ahmed</t>
  </si>
  <si>
    <t>Md. Rehan Uddin</t>
  </si>
  <si>
    <t>Mst. Shahida Parvin</t>
  </si>
  <si>
    <t>01620-963003</t>
  </si>
  <si>
    <t xml:space="preserve">Saima Akter </t>
  </si>
  <si>
    <t xml:space="preserve">Shafique Miah </t>
  </si>
  <si>
    <t xml:space="preserve">Shahida Begum </t>
  </si>
  <si>
    <t>01970-772113</t>
  </si>
  <si>
    <t>Kazi Jannat Akter Eva</t>
  </si>
  <si>
    <t xml:space="preserve">Kazi Sazzadur Rahman </t>
  </si>
  <si>
    <t xml:space="preserve">Dipa Khanam </t>
  </si>
  <si>
    <t xml:space="preserve">01918-288561             </t>
  </si>
  <si>
    <t xml:space="preserve">Bayjid Hossen Siyam </t>
  </si>
  <si>
    <t xml:space="preserve">Md. Rana </t>
  </si>
  <si>
    <t xml:space="preserve">Sonia Akter </t>
  </si>
  <si>
    <t>01822-918715              01717-746689</t>
  </si>
  <si>
    <t xml:space="preserve">Md Bayzid Ahmmed </t>
  </si>
  <si>
    <t xml:space="preserve">Md Forhad Hossen </t>
  </si>
  <si>
    <t>Most Bilkish Akter Boby</t>
  </si>
  <si>
    <t>01710-989999                     01728-360790</t>
  </si>
  <si>
    <t>Sabiha Hossain Kainat</t>
  </si>
  <si>
    <t>Obydullah Bin Kawsar</t>
  </si>
  <si>
    <t xml:space="preserve">Sanzida Akter </t>
  </si>
  <si>
    <t>01778-553930                  01902-122977</t>
  </si>
  <si>
    <t xml:space="preserve">Nasrin Akter Mim </t>
  </si>
  <si>
    <t xml:space="preserve">Nur Mohammad </t>
  </si>
  <si>
    <t xml:space="preserve">Mst. Rojina Khatun </t>
  </si>
  <si>
    <t>01725-744029     01700-980047</t>
  </si>
  <si>
    <t xml:space="preserve">Rakibul Hasan Rakib </t>
  </si>
  <si>
    <t xml:space="preserve">Md. Mohshin </t>
  </si>
  <si>
    <t xml:space="preserve">Roksana </t>
  </si>
  <si>
    <t>01814-396686         01613-235388</t>
  </si>
  <si>
    <t>Mst. Tanna Khatun</t>
  </si>
  <si>
    <t xml:space="preserve">Md. Anisur Rahaman </t>
  </si>
  <si>
    <t xml:space="preserve">Mst. Khurshida Begum </t>
  </si>
  <si>
    <t>01939-746241</t>
  </si>
  <si>
    <t xml:space="preserve">Md. Shihab Hawladar </t>
  </si>
  <si>
    <t xml:space="preserve">Md. Salam Hawladar </t>
  </si>
  <si>
    <t xml:space="preserve">Mst. Rozina Begum </t>
  </si>
  <si>
    <t>01888-406795                 01775-243677</t>
  </si>
  <si>
    <t xml:space="preserve">Sorna Sultana </t>
  </si>
  <si>
    <t>01868-976435                 01939-746241</t>
  </si>
  <si>
    <t xml:space="preserve">Sabikun Nahar </t>
  </si>
  <si>
    <t xml:space="preserve">Md. Ishak Ali Molla </t>
  </si>
  <si>
    <t xml:space="preserve">Mst. Hasina Khatun </t>
  </si>
  <si>
    <t>01729-830172                                        01719-365987</t>
  </si>
  <si>
    <t xml:space="preserve">Tasmim Islam Tisa </t>
  </si>
  <si>
    <t xml:space="preserve">Md. Touhiedul Islam </t>
  </si>
  <si>
    <t xml:space="preserve">Mst. Salma Sultana </t>
  </si>
  <si>
    <t>01730-937619     01302-367754</t>
  </si>
  <si>
    <t xml:space="preserve">Jinhaz Islam Ratul </t>
  </si>
  <si>
    <t>Md. Rimon Hossain</t>
  </si>
  <si>
    <t>Most. Rozina Akter Radia</t>
  </si>
  <si>
    <t>01913-439068</t>
  </si>
  <si>
    <t xml:space="preserve">Labonno Akter Zara </t>
  </si>
  <si>
    <t xml:space="preserve">Abdur Rahim </t>
  </si>
  <si>
    <t xml:space="preserve">Momana Akter </t>
  </si>
  <si>
    <t>01981-888309   
  01747-207101</t>
  </si>
  <si>
    <t xml:space="preserve">Armina Rahman Tahsin </t>
  </si>
  <si>
    <t xml:space="preserve">Md. Aminur Rahman </t>
  </si>
  <si>
    <t xml:space="preserve"> Sumona Aktar </t>
  </si>
  <si>
    <t>01712-521452</t>
  </si>
  <si>
    <t>Md. Rahat Akon</t>
  </si>
  <si>
    <t xml:space="preserve">Md. Somrat Akon </t>
  </si>
  <si>
    <t xml:space="preserve">Rojina Akter </t>
  </si>
  <si>
    <t>01913-977750   01610-595004</t>
  </si>
  <si>
    <t>Nafisa Akter Tuba</t>
  </si>
  <si>
    <t>Md. Rokibul Alam</t>
  </si>
  <si>
    <t>Mrs. Tanjel</t>
  </si>
  <si>
    <t>01916-228024    01908-527312</t>
  </si>
  <si>
    <t>Morium Akter</t>
  </si>
  <si>
    <t>Md. Ferozur Rohman</t>
  </si>
  <si>
    <t>Mst. Nazma Khatun</t>
  </si>
  <si>
    <t>01842-863101   01771-003627</t>
  </si>
  <si>
    <t>Maymuna Mohammed Billal</t>
  </si>
  <si>
    <t xml:space="preserve">Mohammed Billal </t>
  </si>
  <si>
    <t xml:space="preserve">Sabekun Nahar </t>
  </si>
  <si>
    <t>01518-990648</t>
  </si>
  <si>
    <t>Alif Zaman Faria</t>
  </si>
  <si>
    <t>Md. Nurzzaman</t>
  </si>
  <si>
    <t>Alija Pervin</t>
  </si>
  <si>
    <t>01964-867603</t>
  </si>
  <si>
    <t xml:space="preserve">Muhammed Tahsin Uddin </t>
  </si>
  <si>
    <t xml:space="preserve">Minuddin </t>
  </si>
  <si>
    <t xml:space="preserve">Mst. Taslima Begum </t>
  </si>
  <si>
    <t>01726-423060</t>
  </si>
  <si>
    <t xml:space="preserve">Md. Siam Hossain </t>
  </si>
  <si>
    <t xml:space="preserve">Abu Saeid </t>
  </si>
  <si>
    <t xml:space="preserve">Mst Rahala Akter </t>
  </si>
  <si>
    <t>01966-321218</t>
  </si>
  <si>
    <t xml:space="preserve">Maisha Islam Tuba </t>
  </si>
  <si>
    <t xml:space="preserve">Md. Mainul Islam </t>
  </si>
  <si>
    <t>Ruma Easmin</t>
  </si>
  <si>
    <t>01742-434464    01728-000475</t>
  </si>
  <si>
    <t xml:space="preserve">Mir Yeasin Hossain Sakib </t>
  </si>
  <si>
    <t xml:space="preserve">Md. Zakir Hossain </t>
  </si>
  <si>
    <t xml:space="preserve">Shahida Hossain </t>
  </si>
  <si>
    <t>01991-122786</t>
  </si>
  <si>
    <t xml:space="preserve">Moriom Akter </t>
  </si>
  <si>
    <t>Md. Milon</t>
  </si>
  <si>
    <t xml:space="preserve">Mst. Mukta Akter </t>
  </si>
  <si>
    <t>01714-710333      01980-612486</t>
  </si>
  <si>
    <t>Maimuna Akter Mahi</t>
  </si>
  <si>
    <t>Md. Mostofa Kamal</t>
  </si>
  <si>
    <t>Mst. Ruma Akter</t>
  </si>
  <si>
    <t>01718-304015   01623-639985</t>
  </si>
  <si>
    <t xml:space="preserve">Salman Hosen Labib </t>
  </si>
  <si>
    <t>Al Amin</t>
  </si>
  <si>
    <t xml:space="preserve">Salma Akther </t>
  </si>
  <si>
    <t>01849-323811                         01749-037377</t>
  </si>
  <si>
    <t>Md. Akib Sikder</t>
  </si>
  <si>
    <t>Md. Nurul Hoque Sikder</t>
  </si>
  <si>
    <t>Umme Kulsum</t>
  </si>
  <si>
    <t>01732-679858</t>
  </si>
  <si>
    <t xml:space="preserve">Maheya Gazi Momo </t>
  </si>
  <si>
    <t xml:space="preserve">Md. Mokter Hossain </t>
  </si>
  <si>
    <t xml:space="preserve">Mst. Shimlan Sultana </t>
  </si>
  <si>
    <t>01716-786860                        01993-030762</t>
  </si>
  <si>
    <t>Tasnimur Rahman Zain</t>
  </si>
  <si>
    <t>Md. Mojibur Rahman</t>
  </si>
  <si>
    <t>Johora Akter</t>
  </si>
  <si>
    <t>01771-711317
01325-570601</t>
  </si>
  <si>
    <t xml:space="preserve">Md. Imtiaz </t>
  </si>
  <si>
    <t>Md. Moshin</t>
  </si>
  <si>
    <t xml:space="preserve">Jahara Begam </t>
  </si>
  <si>
    <t>01865-327864</t>
  </si>
  <si>
    <t xml:space="preserve">Siam </t>
  </si>
  <si>
    <t>Md. Abu Bokor Siddik</t>
  </si>
  <si>
    <t xml:space="preserve"> Soneya </t>
  </si>
  <si>
    <t>01828-530836</t>
  </si>
  <si>
    <t xml:space="preserve">Md. Tanjil Rahman Rafi </t>
  </si>
  <si>
    <t xml:space="preserve">Tusar Al Mamun </t>
  </si>
  <si>
    <t xml:space="preserve">Ripa </t>
  </si>
  <si>
    <t>01724-301147                  01727-959365</t>
  </si>
  <si>
    <t xml:space="preserve">Md. Sifatul Islam </t>
  </si>
  <si>
    <t xml:space="preserve">Md. Mustafijur Rahman </t>
  </si>
  <si>
    <t xml:space="preserve">Nasima Akter </t>
  </si>
  <si>
    <t>01710-282979</t>
  </si>
  <si>
    <t>Tamim Sheikh</t>
  </si>
  <si>
    <t>Md. Nazrul Islam</t>
  </si>
  <si>
    <t>Alpona</t>
  </si>
  <si>
    <t>01772-462192   0173-5062346</t>
  </si>
  <si>
    <t>Md. Sakib Mondol</t>
  </si>
  <si>
    <t>Md. Sahajamal</t>
  </si>
  <si>
    <t>Mst. Sofia Khatun</t>
  </si>
  <si>
    <t>01748-916538</t>
  </si>
  <si>
    <t xml:space="preserve">Md. Tahsin Rahman </t>
  </si>
  <si>
    <t xml:space="preserve">Mst. Beniz Fatema </t>
  </si>
  <si>
    <t>01926-707963                     01725-484489</t>
  </si>
  <si>
    <t>Sakibul islam</t>
  </si>
  <si>
    <t>Sifat Ahmed</t>
  </si>
  <si>
    <t>Md. Zahirul Islam</t>
  </si>
  <si>
    <t>Rumy Begum</t>
  </si>
  <si>
    <t>01683-601811   01947-460280</t>
  </si>
  <si>
    <t>Rizwan Islam</t>
  </si>
  <si>
    <t>Md. Nasir Uddin</t>
  </si>
  <si>
    <t xml:space="preserve">Tania Akther </t>
  </si>
  <si>
    <t>01725-652480</t>
  </si>
  <si>
    <t>Rubayet Hasan Mahin</t>
  </si>
  <si>
    <t xml:space="preserve">Md Manik </t>
  </si>
  <si>
    <t xml:space="preserve">Rumana Islam </t>
  </si>
  <si>
    <t xml:space="preserve">01703-765359             01779-587783     </t>
  </si>
  <si>
    <t xml:space="preserve">Asan Ullah </t>
  </si>
  <si>
    <t xml:space="preserve">Mohammad Aliullah </t>
  </si>
  <si>
    <t xml:space="preserve">Mrs. Shulie Akter </t>
  </si>
  <si>
    <t>01730-530695      01621-800656</t>
  </si>
  <si>
    <t xml:space="preserve">Sakib Al Hasan </t>
  </si>
  <si>
    <t xml:space="preserve">Md Nurul Islam </t>
  </si>
  <si>
    <t xml:space="preserve">Bilkis Beegum </t>
  </si>
  <si>
    <t>01821-890521</t>
  </si>
  <si>
    <t xml:space="preserve">Mahmudul Hasan Manik </t>
  </si>
  <si>
    <t xml:space="preserve">Md Hossain Kabir </t>
  </si>
  <si>
    <t xml:space="preserve">Mahmuda Akter </t>
  </si>
  <si>
    <t xml:space="preserve">01912-591876                         </t>
  </si>
  <si>
    <t xml:space="preserve">Md. Arafat Rahman </t>
  </si>
  <si>
    <t xml:space="preserve">Md Rafiqul Islam </t>
  </si>
  <si>
    <t xml:space="preserve">Taslima Akter Dipa </t>
  </si>
  <si>
    <t>01823-684508                   01629-605954</t>
  </si>
  <si>
    <t>Al Mehedi Hasan Tamim</t>
  </si>
  <si>
    <t xml:space="preserve">Md Washel Mahamud </t>
  </si>
  <si>
    <t xml:space="preserve">Rabeya Bosri Romi </t>
  </si>
  <si>
    <t>01711-663664                   01966-848866</t>
  </si>
  <si>
    <t xml:space="preserve">Siam Sheikh </t>
  </si>
  <si>
    <t xml:space="preserve">Md. Alim Sheikh </t>
  </si>
  <si>
    <t xml:space="preserve">Sumi Begum </t>
  </si>
  <si>
    <t>01928-257897                      01922-945449</t>
  </si>
  <si>
    <t xml:space="preserve">Shis Mohammad Shuvo </t>
  </si>
  <si>
    <t xml:space="preserve">Md. Mahmud Hossain </t>
  </si>
  <si>
    <t xml:space="preserve">Mst. Rasida Khatun </t>
  </si>
  <si>
    <t>01774-243549                                  01607-346529</t>
  </si>
  <si>
    <t>Rabbi Hossain Sams</t>
  </si>
  <si>
    <t>Md. Alomgir Hossain</t>
  </si>
  <si>
    <t>Ruma</t>
  </si>
  <si>
    <t xml:space="preserve">01784-501845       </t>
  </si>
  <si>
    <t xml:space="preserve">Md. Muminul Islam Fahim </t>
  </si>
  <si>
    <t xml:space="preserve">Md. Rafiqul Islam </t>
  </si>
  <si>
    <t xml:space="preserve">Mst. Fatema Khatun </t>
  </si>
  <si>
    <t>01721-141479      01784-427835</t>
  </si>
  <si>
    <t xml:space="preserve">Md. Nakib Hasan Niloy </t>
  </si>
  <si>
    <t xml:space="preserve">Md. Abu Baker Siddque </t>
  </si>
  <si>
    <t xml:space="preserve">Mst. Najmon Naher </t>
  </si>
  <si>
    <t>01714-850498                           01945-533050</t>
  </si>
  <si>
    <t xml:space="preserve">Md. Arju Khan Pranto </t>
  </si>
  <si>
    <t xml:space="preserve">Md. Haris Khan </t>
  </si>
  <si>
    <t xml:space="preserve">Panna </t>
  </si>
  <si>
    <t>01755-828615                        01711-231521</t>
  </si>
  <si>
    <t xml:space="preserve">Md. Abu Said </t>
  </si>
  <si>
    <t xml:space="preserve">Golam Mostafa </t>
  </si>
  <si>
    <t xml:space="preserve">Roma Akter </t>
  </si>
  <si>
    <t xml:space="preserve">01617-861720                      01725-377201     </t>
  </si>
  <si>
    <t>Md Saif Miya</t>
  </si>
  <si>
    <t xml:space="preserve">Md Mamun Miya </t>
  </si>
  <si>
    <t xml:space="preserve">Shumu Kater </t>
  </si>
  <si>
    <t>01732-904674 01736-166724</t>
  </si>
  <si>
    <t>Sanu Mia</t>
  </si>
  <si>
    <t>Liza Akter</t>
  </si>
  <si>
    <t>01792-201099</t>
  </si>
  <si>
    <t>Anika Tabassum</t>
  </si>
  <si>
    <t>Enayet Ullah</t>
  </si>
  <si>
    <t>Sabina Yesmin</t>
  </si>
  <si>
    <t>01834-818258</t>
  </si>
  <si>
    <t>Rahad Ontor</t>
  </si>
  <si>
    <t>Fatema Binte Islam</t>
  </si>
  <si>
    <t>Tafsir Hossain</t>
  </si>
  <si>
    <t>Imrat Hossain Labib</t>
  </si>
  <si>
    <t>Akib Al Musfiq</t>
  </si>
  <si>
    <t>H-MATH /AG</t>
  </si>
  <si>
    <t>TAHMINA AKTAR &amp; NAZMUNNAHAR</t>
  </si>
  <si>
    <t>Science A &amp; B</t>
  </si>
  <si>
    <t>Rakat Sheikh</t>
  </si>
  <si>
    <t>All Semester Total Marks</t>
  </si>
  <si>
    <t>1st semester</t>
  </si>
  <si>
    <t>2nd Semester</t>
  </si>
  <si>
    <t>3rd Semester</t>
  </si>
  <si>
    <t>Avarege</t>
  </si>
  <si>
    <t>:-</t>
  </si>
  <si>
    <r>
      <rPr>
        <b/>
        <sz val="22"/>
        <color theme="1"/>
        <rFont val="Cambria"/>
        <family val="1"/>
        <scheme val="major"/>
      </rPr>
      <t>AMIN CADET RESIDENTIAL ACADEMY</t>
    </r>
    <r>
      <rPr>
        <b/>
        <sz val="11"/>
        <color theme="1"/>
        <rFont val="Cambria"/>
        <family val="1"/>
        <scheme val="major"/>
      </rPr>
      <t xml:space="preserve">
Amin Model Town, Savar Cantonment, Ashulia, Dhaka-1344.
Annual Examination Result -2025
</t>
    </r>
  </si>
  <si>
    <r>
      <t>1</t>
    </r>
    <r>
      <rPr>
        <b/>
        <vertAlign val="superscript"/>
        <sz val="14"/>
        <color theme="1"/>
        <rFont val="Cambria"/>
        <family val="1"/>
        <scheme val="major"/>
      </rPr>
      <t xml:space="preserve">st  </t>
    </r>
    <r>
      <rPr>
        <b/>
        <sz val="14"/>
        <color theme="1"/>
        <rFont val="Cambria"/>
        <family val="1"/>
        <scheme val="major"/>
      </rPr>
      <t>Term Exam</t>
    </r>
  </si>
  <si>
    <r>
      <t>2</t>
    </r>
    <r>
      <rPr>
        <b/>
        <vertAlign val="superscript"/>
        <sz val="14"/>
        <color theme="1"/>
        <rFont val="Cambria"/>
        <family val="1"/>
        <scheme val="major"/>
      </rPr>
      <t>nd</t>
    </r>
    <r>
      <rPr>
        <b/>
        <sz val="14"/>
        <color theme="1"/>
        <rFont val="Cambria"/>
        <family val="1"/>
        <scheme val="major"/>
      </rPr>
      <t xml:space="preserve"> </t>
    </r>
    <r>
      <rPr>
        <b/>
        <vertAlign val="superscript"/>
        <sz val="14"/>
        <color theme="1"/>
        <rFont val="Cambria"/>
        <family val="1"/>
        <scheme val="major"/>
      </rPr>
      <t xml:space="preserve"> </t>
    </r>
    <r>
      <rPr>
        <b/>
        <sz val="14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</si>
  <si>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4"/>
        <color theme="1"/>
        <rFont val="Cambria"/>
        <family val="1"/>
        <scheme val="major"/>
      </rPr>
      <t xml:space="preserve">rd  </t>
    </r>
    <r>
      <rPr>
        <b/>
        <sz val="14"/>
        <color theme="1"/>
        <rFont val="Cambria"/>
        <family val="1"/>
        <scheme val="major"/>
      </rPr>
      <t>Term Exam</t>
    </r>
  </si>
  <si>
    <t>H-MATH / AG</t>
  </si>
  <si>
    <t>TOTAL MARKS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</si>
</sst>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;[Red]0.00"/>
    <numFmt numFmtId="166" formatCode="00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B0F0"/>
      <name val="Ebrima"/>
    </font>
    <font>
      <b/>
      <sz val="18"/>
      <color rgb="FF00B050"/>
      <name val="Ebrima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b/>
      <sz val="10"/>
      <color theme="3"/>
      <name val="Times New Roman"/>
      <family val="1"/>
    </font>
    <font>
      <b/>
      <sz val="18"/>
      <color theme="8" tint="-0.499984740745262"/>
      <name val="Times New Roman"/>
      <family val="1"/>
    </font>
    <font>
      <b/>
      <sz val="14"/>
      <color theme="3"/>
      <name val="Times New Roman"/>
      <family val="1"/>
    </font>
    <font>
      <b/>
      <sz val="12"/>
      <color theme="3"/>
      <name val="Times New Roman"/>
      <family val="1"/>
    </font>
    <font>
      <sz val="10"/>
      <color theme="1"/>
      <name val="Times New Roman"/>
      <family val="1"/>
    </font>
    <font>
      <sz val="14"/>
      <color theme="1"/>
      <name val="Algerian"/>
      <family val="5"/>
    </font>
    <font>
      <sz val="10"/>
      <name val="Times New Roman"/>
      <family val="1"/>
    </font>
    <font>
      <sz val="13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"/>
      <name val="Cambria"/>
      <family val="1"/>
      <scheme val="major"/>
    </font>
    <font>
      <sz val="15"/>
      <name val="Algerian"/>
      <family val="5"/>
    </font>
    <font>
      <sz val="20"/>
      <name val="Algerian"/>
      <family val="5"/>
    </font>
    <font>
      <sz val="28"/>
      <name val="Algerian"/>
      <family val="5"/>
    </font>
    <font>
      <sz val="10"/>
      <name val="Algerian"/>
      <family val="5"/>
    </font>
    <font>
      <sz val="12"/>
      <name val="Algerian"/>
      <family val="5"/>
    </font>
    <font>
      <vertAlign val="superscript"/>
      <sz val="12"/>
      <name val="Cambria"/>
      <family val="1"/>
      <scheme val="major"/>
    </font>
    <font>
      <sz val="11"/>
      <name val="Algerian"/>
      <family val="5"/>
    </font>
    <font>
      <sz val="18"/>
      <color theme="1"/>
      <name val="Times New Roman"/>
      <family val="1"/>
    </font>
    <font>
      <sz val="8"/>
      <color theme="1"/>
      <name val="Calibri"/>
      <family val="2"/>
      <scheme val="minor"/>
    </font>
    <font>
      <sz val="12"/>
      <name val="Times New Roman"/>
      <family val="1"/>
    </font>
    <font>
      <sz val="11"/>
      <name val="Times New Roman"/>
      <family val="1"/>
    </font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b/>
      <sz val="13"/>
      <color theme="1"/>
      <name val="Arial"/>
      <family val="2"/>
    </font>
    <font>
      <b/>
      <sz val="14"/>
      <color theme="1"/>
      <name val="Arial"/>
      <family val="2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22"/>
      <color theme="1"/>
      <name val="Cambria"/>
      <family val="1"/>
      <scheme val="major"/>
    </font>
    <font>
      <b/>
      <vertAlign val="superscript"/>
      <sz val="14"/>
      <color theme="1"/>
      <name val="Cambria"/>
      <family val="1"/>
      <scheme val="major"/>
    </font>
    <font>
      <b/>
      <sz val="14"/>
      <color theme="1"/>
      <name val="Times New Roman"/>
      <family val="1"/>
    </font>
    <font>
      <b/>
      <sz val="13"/>
      <color theme="1"/>
      <name val="Cambria"/>
      <family val="1"/>
      <scheme val="maj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theme="1"/>
      </bottom>
      <diagonal/>
    </border>
    <border>
      <left/>
      <right/>
      <top style="thick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3" fillId="0" borderId="0"/>
  </cellStyleXfs>
  <cellXfs count="389">
    <xf numFmtId="0" fontId="0" fillId="0" borderId="0" xfId="0"/>
    <xf numFmtId="0" fontId="0" fillId="3" borderId="0" xfId="0" applyFill="1"/>
    <xf numFmtId="0" fontId="0" fillId="3" borderId="11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8" xfId="0" applyFill="1" applyBorder="1"/>
    <xf numFmtId="0" fontId="0" fillId="3" borderId="1" xfId="0" applyFill="1" applyBorder="1" applyAlignment="1">
      <alignment horizontal="center" vertical="center"/>
    </xf>
    <xf numFmtId="0" fontId="0" fillId="3" borderId="5" xfId="0" applyFill="1" applyBorder="1"/>
    <xf numFmtId="0" fontId="0" fillId="0" borderId="0" xfId="0" applyAlignment="1">
      <alignment vertical="center"/>
    </xf>
    <xf numFmtId="0" fontId="0" fillId="3" borderId="6" xfId="0" applyFill="1" applyBorder="1"/>
    <xf numFmtId="1" fontId="0" fillId="3" borderId="1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11" xfId="0" applyNumberFormat="1" applyFill="1" applyBorder="1" applyAlignment="1">
      <alignment horizontal="center" vertical="center"/>
    </xf>
    <xf numFmtId="0" fontId="18" fillId="3" borderId="0" xfId="0" applyFont="1" applyFill="1" applyAlignment="1">
      <alignment horizontal="right"/>
    </xf>
    <xf numFmtId="0" fontId="18" fillId="3" borderId="0" xfId="0" applyFont="1" applyFill="1" applyAlignment="1">
      <alignment horizontal="right" vertical="center"/>
    </xf>
    <xf numFmtId="0" fontId="18" fillId="3" borderId="15" xfId="0" applyFont="1" applyFill="1" applyBorder="1" applyAlignment="1">
      <alignment horizontal="right" vertical="center"/>
    </xf>
    <xf numFmtId="0" fontId="22" fillId="3" borderId="0" xfId="0" applyFont="1" applyFill="1" applyAlignment="1">
      <alignment vertical="center"/>
    </xf>
    <xf numFmtId="1" fontId="0" fillId="0" borderId="0" xfId="0" applyNumberFormat="1"/>
    <xf numFmtId="1" fontId="0" fillId="3" borderId="9" xfId="0" applyNumberFormat="1" applyFill="1" applyBorder="1" applyAlignment="1">
      <alignment vertical="center"/>
    </xf>
    <xf numFmtId="1" fontId="0" fillId="3" borderId="12" xfId="0" applyNumberFormat="1" applyFill="1" applyBorder="1" applyAlignment="1">
      <alignment vertical="center"/>
    </xf>
    <xf numFmtId="1" fontId="0" fillId="3" borderId="6" xfId="0" applyNumberFormat="1" applyFill="1" applyBorder="1"/>
    <xf numFmtId="1" fontId="0" fillId="3" borderId="10" xfId="0" applyNumberFormat="1" applyFill="1" applyBorder="1"/>
    <xf numFmtId="1" fontId="0" fillId="3" borderId="0" xfId="0" applyNumberFormat="1" applyFill="1"/>
    <xf numFmtId="1" fontId="0" fillId="3" borderId="15" xfId="0" applyNumberFormat="1" applyFill="1" applyBorder="1"/>
    <xf numFmtId="1" fontId="0" fillId="3" borderId="5" xfId="0" applyNumberFormat="1" applyFill="1" applyBorder="1"/>
    <xf numFmtId="0" fontId="13" fillId="0" borderId="0" xfId="0" applyFont="1"/>
    <xf numFmtId="0" fontId="15" fillId="0" borderId="0" xfId="0" applyFont="1"/>
    <xf numFmtId="0" fontId="16" fillId="0" borderId="1" xfId="0" applyFont="1" applyBorder="1" applyAlignment="1">
      <alignment horizontal="center" vertical="center" wrapText="1"/>
    </xf>
    <xf numFmtId="9" fontId="15" fillId="0" borderId="1" xfId="0" applyNumberFormat="1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2" fillId="0" borderId="0" xfId="0" applyFont="1"/>
    <xf numFmtId="0" fontId="13" fillId="0" borderId="0" xfId="0" applyFont="1" applyAlignment="1">
      <alignment vertical="center"/>
    </xf>
    <xf numFmtId="0" fontId="27" fillId="2" borderId="1" xfId="0" applyFont="1" applyFill="1" applyBorder="1" applyAlignment="1">
      <alignment horizontal="center" vertical="center"/>
    </xf>
    <xf numFmtId="1" fontId="27" fillId="2" borderId="1" xfId="0" applyNumberFormat="1" applyFont="1" applyFill="1" applyBorder="1" applyAlignment="1">
      <alignment horizontal="center" vertical="center"/>
    </xf>
    <xf numFmtId="0" fontId="27" fillId="2" borderId="16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0" xfId="0" applyFont="1" applyFill="1"/>
    <xf numFmtId="0" fontId="31" fillId="2" borderId="0" xfId="0" applyFont="1" applyFill="1" applyAlignment="1">
      <alignment horizontal="center" vertical="center"/>
    </xf>
    <xf numFmtId="0" fontId="0" fillId="2" borderId="0" xfId="0" applyFill="1"/>
    <xf numFmtId="0" fontId="31" fillId="2" borderId="17" xfId="0" applyFont="1" applyFill="1" applyBorder="1" applyAlignment="1">
      <alignment horizontal="center" vertical="center"/>
    </xf>
    <xf numFmtId="0" fontId="0" fillId="2" borderId="17" xfId="0" applyFill="1" applyBorder="1"/>
    <xf numFmtId="0" fontId="38" fillId="2" borderId="20" xfId="0" applyFont="1" applyFill="1" applyBorder="1" applyAlignment="1">
      <alignment horizontal="left" vertical="center"/>
    </xf>
    <xf numFmtId="0" fontId="0" fillId="2" borderId="22" xfId="0" applyFill="1" applyBorder="1"/>
    <xf numFmtId="0" fontId="41" fillId="0" borderId="0" xfId="0" applyFont="1" applyAlignment="1">
      <alignment horizontal="right"/>
    </xf>
    <xf numFmtId="0" fontId="41" fillId="0" borderId="0" xfId="0" applyFont="1"/>
    <xf numFmtId="0" fontId="1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30" fillId="2" borderId="0" xfId="0" applyFont="1" applyFill="1"/>
    <xf numFmtId="0" fontId="2" fillId="2" borderId="0" xfId="0" applyFont="1" applyFill="1"/>
    <xf numFmtId="0" fontId="50" fillId="0" borderId="0" xfId="0" applyFont="1" applyAlignment="1">
      <alignment vertical="center"/>
    </xf>
    <xf numFmtId="0" fontId="51" fillId="2" borderId="1" xfId="0" applyFont="1" applyFill="1" applyBorder="1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51" fillId="0" borderId="1" xfId="0" applyFont="1" applyBorder="1" applyAlignment="1">
      <alignment horizontal="center" vertical="distributed" readingOrder="1"/>
    </xf>
    <xf numFmtId="0" fontId="40" fillId="0" borderId="1" xfId="0" applyFont="1" applyBorder="1" applyAlignment="1">
      <alignment horizontal="left" vertical="center"/>
    </xf>
    <xf numFmtId="0" fontId="40" fillId="0" borderId="1" xfId="0" applyFont="1" applyBorder="1" applyAlignment="1">
      <alignment horizontal="center" vertical="distributed" readingOrder="1"/>
    </xf>
    <xf numFmtId="0" fontId="51" fillId="0" borderId="1" xfId="0" applyFont="1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1" fontId="27" fillId="2" borderId="0" xfId="0" applyNumberFormat="1" applyFont="1" applyFill="1" applyBorder="1" applyAlignment="1">
      <alignment horizontal="center" vertical="center"/>
    </xf>
    <xf numFmtId="164" fontId="27" fillId="2" borderId="0" xfId="0" applyNumberFormat="1" applyFont="1" applyFill="1" applyBorder="1" applyAlignment="1">
      <alignment horizontal="center" vertical="center"/>
    </xf>
    <xf numFmtId="2" fontId="27" fillId="2" borderId="0" xfId="1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51" fillId="2" borderId="1" xfId="0" applyFont="1" applyFill="1" applyBorder="1" applyAlignment="1">
      <alignment horizontal="left" vertical="center"/>
    </xf>
    <xf numFmtId="0" fontId="51" fillId="2" borderId="1" xfId="0" applyFont="1" applyFill="1" applyBorder="1" applyAlignment="1">
      <alignment horizontal="center" vertical="distributed" readingOrder="1"/>
    </xf>
    <xf numFmtId="1" fontId="27" fillId="2" borderId="2" xfId="0" applyNumberFormat="1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1" fontId="56" fillId="2" borderId="1" xfId="0" applyNumberFormat="1" applyFont="1" applyFill="1" applyBorder="1" applyAlignment="1">
      <alignment horizontal="center" vertical="center"/>
    </xf>
    <xf numFmtId="164" fontId="56" fillId="2" borderId="1" xfId="0" applyNumberFormat="1" applyFont="1" applyFill="1" applyBorder="1" applyAlignment="1">
      <alignment horizontal="center" vertical="center"/>
    </xf>
    <xf numFmtId="2" fontId="56" fillId="2" borderId="1" xfId="1" applyNumberFormat="1" applyFont="1" applyFill="1" applyBorder="1" applyAlignment="1">
      <alignment horizontal="center" vertical="center"/>
    </xf>
    <xf numFmtId="2" fontId="56" fillId="2" borderId="8" xfId="1" applyNumberFormat="1" applyFont="1" applyFill="1" applyBorder="1" applyAlignment="1">
      <alignment horizontal="center" vertical="center"/>
    </xf>
    <xf numFmtId="0" fontId="51" fillId="2" borderId="2" xfId="0" applyFont="1" applyFill="1" applyBorder="1" applyAlignment="1">
      <alignment horizontal="center" vertical="center"/>
    </xf>
    <xf numFmtId="0" fontId="56" fillId="2" borderId="2" xfId="0" applyFont="1" applyFill="1" applyBorder="1" applyAlignment="1">
      <alignment horizontal="center" vertical="center"/>
    </xf>
    <xf numFmtId="1" fontId="56" fillId="2" borderId="2" xfId="0" applyNumberFormat="1" applyFont="1" applyFill="1" applyBorder="1" applyAlignment="1">
      <alignment horizontal="center" vertical="center"/>
    </xf>
    <xf numFmtId="164" fontId="56" fillId="2" borderId="2" xfId="0" applyNumberFormat="1" applyFont="1" applyFill="1" applyBorder="1" applyAlignment="1">
      <alignment horizontal="center" vertical="center"/>
    </xf>
    <xf numFmtId="2" fontId="56" fillId="2" borderId="2" xfId="1" applyNumberFormat="1" applyFont="1" applyFill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51" fillId="2" borderId="25" xfId="0" applyFont="1" applyFill="1" applyBorder="1" applyAlignment="1">
      <alignment horizontal="center" vertical="center"/>
    </xf>
    <xf numFmtId="0" fontId="56" fillId="2" borderId="25" xfId="0" applyFont="1" applyFill="1" applyBorder="1" applyAlignment="1">
      <alignment horizontal="center" vertical="center"/>
    </xf>
    <xf numFmtId="1" fontId="56" fillId="2" borderId="25" xfId="0" applyNumberFormat="1" applyFont="1" applyFill="1" applyBorder="1" applyAlignment="1">
      <alignment horizontal="center" vertical="center"/>
    </xf>
    <xf numFmtId="164" fontId="56" fillId="2" borderId="25" xfId="0" applyNumberFormat="1" applyFont="1" applyFill="1" applyBorder="1" applyAlignment="1">
      <alignment horizontal="center" vertical="center"/>
    </xf>
    <xf numFmtId="2" fontId="56" fillId="2" borderId="25" xfId="1" applyNumberFormat="1" applyFont="1" applyFill="1" applyBorder="1" applyAlignment="1">
      <alignment horizontal="center" vertical="center"/>
    </xf>
    <xf numFmtId="2" fontId="56" fillId="2" borderId="24" xfId="1" applyNumberFormat="1" applyFont="1" applyFill="1" applyBorder="1" applyAlignment="1">
      <alignment horizontal="center" vertical="center"/>
    </xf>
    <xf numFmtId="0" fontId="27" fillId="2" borderId="26" xfId="0" applyFont="1" applyFill="1" applyBorder="1" applyAlignment="1">
      <alignment horizontal="center" vertical="center"/>
    </xf>
    <xf numFmtId="1" fontId="27" fillId="2" borderId="25" xfId="0" applyNumberFormat="1" applyFont="1" applyFill="1" applyBorder="1" applyAlignment="1">
      <alignment horizontal="center" vertical="center"/>
    </xf>
    <xf numFmtId="0" fontId="27" fillId="2" borderId="25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left" vertical="center"/>
    </xf>
    <xf numFmtId="0" fontId="40" fillId="2" borderId="1" xfId="0" applyFont="1" applyFill="1" applyBorder="1" applyAlignment="1">
      <alignment horizontal="center" vertical="distributed" readingOrder="1"/>
    </xf>
    <xf numFmtId="0" fontId="51" fillId="2" borderId="1" xfId="0" applyFont="1" applyFill="1" applyBorder="1" applyAlignment="1">
      <alignment horizontal="center" vertical="distributed" wrapText="1" readingOrder="1"/>
    </xf>
    <xf numFmtId="0" fontId="51" fillId="2" borderId="1" xfId="0" applyFont="1" applyFill="1" applyBorder="1" applyAlignment="1">
      <alignment horizontal="center" vertical="center" wrapText="1"/>
    </xf>
    <xf numFmtId="0" fontId="51" fillId="2" borderId="1" xfId="0" applyFont="1" applyFill="1" applyBorder="1" applyAlignment="1">
      <alignment horizontal="left" vertical="center" wrapText="1"/>
    </xf>
    <xf numFmtId="0" fontId="52" fillId="2" borderId="1" xfId="0" applyFont="1" applyFill="1" applyBorder="1" applyAlignment="1">
      <alignment horizontal="left" vertical="center"/>
    </xf>
    <xf numFmtId="0" fontId="40" fillId="2" borderId="2" xfId="0" applyFont="1" applyFill="1" applyBorder="1" applyAlignment="1">
      <alignment horizontal="left" vertical="center"/>
    </xf>
    <xf numFmtId="0" fontId="40" fillId="2" borderId="2" xfId="0" applyFont="1" applyFill="1" applyBorder="1" applyAlignment="1">
      <alignment horizontal="center" vertical="center" wrapText="1"/>
    </xf>
    <xf numFmtId="0" fontId="51" fillId="2" borderId="25" xfId="0" applyFont="1" applyFill="1" applyBorder="1" applyAlignment="1">
      <alignment horizontal="left" vertical="center"/>
    </xf>
    <xf numFmtId="0" fontId="51" fillId="2" borderId="25" xfId="0" applyFont="1" applyFill="1" applyBorder="1" applyAlignment="1">
      <alignment horizontal="center" vertical="distributed" readingOrder="1"/>
    </xf>
    <xf numFmtId="0" fontId="14" fillId="2" borderId="27" xfId="0" applyFont="1" applyFill="1" applyBorder="1"/>
    <xf numFmtId="0" fontId="51" fillId="2" borderId="2" xfId="0" applyFont="1" applyFill="1" applyBorder="1" applyAlignment="1">
      <alignment horizontal="left" vertical="center"/>
    </xf>
    <xf numFmtId="0" fontId="51" fillId="2" borderId="2" xfId="0" applyFont="1" applyFill="1" applyBorder="1" applyAlignment="1">
      <alignment horizontal="center" vertical="distributed" readingOrder="1"/>
    </xf>
    <xf numFmtId="166" fontId="54" fillId="2" borderId="1" xfId="2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 wrapText="1"/>
    </xf>
    <xf numFmtId="0" fontId="51" fillId="2" borderId="2" xfId="0" applyFont="1" applyFill="1" applyBorder="1" applyAlignment="1">
      <alignment horizontal="center" vertical="center" wrapText="1"/>
    </xf>
    <xf numFmtId="0" fontId="51" fillId="2" borderId="25" xfId="0" applyFont="1" applyFill="1" applyBorder="1" applyAlignment="1">
      <alignment horizontal="center" vertical="center" wrapText="1"/>
    </xf>
    <xf numFmtId="0" fontId="55" fillId="2" borderId="25" xfId="0" applyFont="1" applyFill="1" applyBorder="1" applyAlignment="1">
      <alignment horizontal="center" vertical="center"/>
    </xf>
    <xf numFmtId="166" fontId="54" fillId="2" borderId="7" xfId="2" applyNumberFormat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" fontId="57" fillId="2" borderId="1" xfId="0" applyNumberFormat="1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left" vertical="center"/>
    </xf>
    <xf numFmtId="0" fontId="58" fillId="2" borderId="1" xfId="0" applyFont="1" applyFill="1" applyBorder="1" applyAlignment="1">
      <alignment horizontal="center" vertical="center" wrapText="1"/>
    </xf>
    <xf numFmtId="0" fontId="59" fillId="2" borderId="1" xfId="0" applyFont="1" applyFill="1" applyBorder="1" applyAlignment="1">
      <alignment horizontal="center" vertical="center"/>
    </xf>
    <xf numFmtId="0" fontId="59" fillId="2" borderId="0" xfId="0" applyFont="1" applyFill="1"/>
    <xf numFmtId="0" fontId="34" fillId="2" borderId="0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5" fillId="2" borderId="0" xfId="0" applyFont="1" applyFill="1"/>
    <xf numFmtId="0" fontId="60" fillId="2" borderId="0" xfId="0" applyFont="1" applyFill="1"/>
    <xf numFmtId="0" fontId="61" fillId="2" borderId="0" xfId="0" applyFont="1" applyFill="1"/>
    <xf numFmtId="0" fontId="27" fillId="2" borderId="2" xfId="0" applyFont="1" applyFill="1" applyBorder="1" applyAlignment="1">
      <alignment horizontal="center" vertical="center"/>
    </xf>
    <xf numFmtId="164" fontId="57" fillId="2" borderId="1" xfId="0" applyNumberFormat="1" applyFont="1" applyFill="1" applyBorder="1" applyAlignment="1">
      <alignment horizontal="center" vertical="center"/>
    </xf>
    <xf numFmtId="2" fontId="57" fillId="2" borderId="1" xfId="1" applyNumberFormat="1" applyFont="1" applyFill="1" applyBorder="1" applyAlignment="1">
      <alignment horizontal="center" vertical="center"/>
    </xf>
    <xf numFmtId="0" fontId="51" fillId="0" borderId="2" xfId="0" applyFont="1" applyBorder="1" applyAlignment="1">
      <alignment horizontal="left" vertical="center"/>
    </xf>
    <xf numFmtId="0" fontId="51" fillId="0" borderId="2" xfId="0" applyFont="1" applyBorder="1" applyAlignment="1">
      <alignment horizontal="center" vertical="distributed" readingOrder="1"/>
    </xf>
    <xf numFmtId="0" fontId="14" fillId="0" borderId="25" xfId="0" applyFont="1" applyFill="1" applyBorder="1" applyAlignment="1">
      <alignment horizontal="center" vertical="center"/>
    </xf>
    <xf numFmtId="0" fontId="51" fillId="0" borderId="25" xfId="0" applyFont="1" applyFill="1" applyBorder="1" applyAlignment="1">
      <alignment horizontal="left" vertical="center"/>
    </xf>
    <xf numFmtId="0" fontId="51" fillId="0" borderId="25" xfId="0" applyFont="1" applyFill="1" applyBorder="1" applyAlignment="1">
      <alignment horizontal="center" vertical="distributed" readingOrder="1"/>
    </xf>
    <xf numFmtId="0" fontId="27" fillId="0" borderId="2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left" vertical="center"/>
    </xf>
    <xf numFmtId="0" fontId="51" fillId="0" borderId="1" xfId="0" applyFont="1" applyFill="1" applyBorder="1" applyAlignment="1">
      <alignment horizontal="center" vertical="distributed" wrapText="1" readingOrder="1"/>
    </xf>
    <xf numFmtId="0" fontId="27" fillId="0" borderId="1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center" vertical="distributed" readingOrder="1"/>
    </xf>
    <xf numFmtId="0" fontId="40" fillId="0" borderId="1" xfId="0" applyFont="1" applyFill="1" applyBorder="1" applyAlignment="1">
      <alignment horizontal="left" vertical="center"/>
    </xf>
    <xf numFmtId="0" fontId="40" fillId="0" borderId="1" xfId="0" applyFont="1" applyFill="1" applyBorder="1" applyAlignment="1">
      <alignment horizontal="center" vertical="distributed" readingOrder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57" fillId="2" borderId="1" xfId="0" applyNumberFormat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0" fontId="62" fillId="2" borderId="1" xfId="0" applyFont="1" applyFill="1" applyBorder="1" applyAlignment="1">
      <alignment horizontal="center" vertical="center"/>
    </xf>
    <xf numFmtId="0" fontId="63" fillId="2" borderId="1" xfId="0" applyFont="1" applyFill="1" applyBorder="1" applyAlignment="1">
      <alignment horizontal="center" vertical="center"/>
    </xf>
    <xf numFmtId="1" fontId="63" fillId="2" borderId="1" xfId="0" applyNumberFormat="1" applyFont="1" applyFill="1" applyBorder="1" applyAlignment="1">
      <alignment horizontal="center" vertical="center"/>
    </xf>
    <xf numFmtId="1" fontId="63" fillId="2" borderId="1" xfId="0" applyNumberFormat="1" applyFont="1" applyFill="1" applyBorder="1" applyAlignment="1">
      <alignment horizontal="center" vertical="center"/>
    </xf>
    <xf numFmtId="0" fontId="63" fillId="2" borderId="1" xfId="0" applyFont="1" applyFill="1" applyBorder="1" applyAlignment="1">
      <alignment horizontal="center" vertical="center"/>
    </xf>
    <xf numFmtId="0" fontId="62" fillId="2" borderId="2" xfId="0" applyFont="1" applyFill="1" applyBorder="1" applyAlignment="1">
      <alignment horizontal="center" vertical="center"/>
    </xf>
    <xf numFmtId="0" fontId="63" fillId="2" borderId="2" xfId="0" applyFont="1" applyFill="1" applyBorder="1" applyAlignment="1">
      <alignment horizontal="center" vertical="center"/>
    </xf>
    <xf numFmtId="1" fontId="63" fillId="2" borderId="2" xfId="0" applyNumberFormat="1" applyFont="1" applyFill="1" applyBorder="1" applyAlignment="1">
      <alignment horizontal="center" vertical="center"/>
    </xf>
    <xf numFmtId="0" fontId="62" fillId="0" borderId="25" xfId="0" applyFont="1" applyFill="1" applyBorder="1" applyAlignment="1">
      <alignment horizontal="center" vertical="center"/>
    </xf>
    <xf numFmtId="0" fontId="63" fillId="0" borderId="25" xfId="0" applyFont="1" applyFill="1" applyBorder="1" applyAlignment="1">
      <alignment horizontal="center" vertical="center"/>
    </xf>
    <xf numFmtId="1" fontId="63" fillId="2" borderId="25" xfId="0" applyNumberFormat="1" applyFont="1" applyFill="1" applyBorder="1" applyAlignment="1">
      <alignment horizontal="center" vertical="center"/>
    </xf>
    <xf numFmtId="1" fontId="63" fillId="0" borderId="25" xfId="0" applyNumberFormat="1" applyFont="1" applyFill="1" applyBorder="1" applyAlignment="1">
      <alignment horizontal="center" vertical="center"/>
    </xf>
    <xf numFmtId="0" fontId="63" fillId="2" borderId="25" xfId="0" applyFont="1" applyFill="1" applyBorder="1" applyAlignment="1">
      <alignment horizontal="center" vertical="center"/>
    </xf>
    <xf numFmtId="0" fontId="62" fillId="0" borderId="1" xfId="0" applyFont="1" applyFill="1" applyBorder="1" applyAlignment="1">
      <alignment horizontal="center" vertical="center"/>
    </xf>
    <xf numFmtId="0" fontId="63" fillId="0" borderId="1" xfId="0" applyFont="1" applyFill="1" applyBorder="1" applyAlignment="1">
      <alignment horizontal="center" vertical="center"/>
    </xf>
    <xf numFmtId="1" fontId="63" fillId="0" borderId="1" xfId="0" applyNumberFormat="1" applyFont="1" applyFill="1" applyBorder="1" applyAlignment="1">
      <alignment horizontal="center" vertical="center"/>
    </xf>
    <xf numFmtId="164" fontId="63" fillId="2" borderId="1" xfId="0" applyNumberFormat="1" applyFont="1" applyFill="1" applyBorder="1" applyAlignment="1">
      <alignment horizontal="center" vertical="center"/>
    </xf>
    <xf numFmtId="2" fontId="63" fillId="2" borderId="1" xfId="1" applyNumberFormat="1" applyFont="1" applyFill="1" applyBorder="1" applyAlignment="1">
      <alignment horizontal="center" vertical="center"/>
    </xf>
    <xf numFmtId="164" fontId="63" fillId="2" borderId="2" xfId="0" applyNumberFormat="1" applyFont="1" applyFill="1" applyBorder="1" applyAlignment="1">
      <alignment horizontal="center" vertical="center"/>
    </xf>
    <xf numFmtId="2" fontId="63" fillId="2" borderId="2" xfId="1" applyNumberFormat="1" applyFont="1" applyFill="1" applyBorder="1" applyAlignment="1">
      <alignment horizontal="center" vertical="center"/>
    </xf>
    <xf numFmtId="164" fontId="63" fillId="0" borderId="25" xfId="0" applyNumberFormat="1" applyFont="1" applyFill="1" applyBorder="1" applyAlignment="1">
      <alignment horizontal="center" vertical="center"/>
    </xf>
    <xf numFmtId="2" fontId="63" fillId="0" borderId="25" xfId="1" applyNumberFormat="1" applyFont="1" applyFill="1" applyBorder="1" applyAlignment="1">
      <alignment horizontal="center" vertical="center"/>
    </xf>
    <xf numFmtId="164" fontId="63" fillId="0" borderId="1" xfId="0" applyNumberFormat="1" applyFont="1" applyFill="1" applyBorder="1" applyAlignment="1">
      <alignment horizontal="center" vertical="center"/>
    </xf>
    <xf numFmtId="2" fontId="63" fillId="0" borderId="1" xfId="1" applyNumberFormat="1" applyFont="1" applyFill="1" applyBorder="1" applyAlignment="1">
      <alignment horizontal="center" vertical="center"/>
    </xf>
    <xf numFmtId="164" fontId="59" fillId="2" borderId="0" xfId="0" applyNumberFormat="1" applyFont="1" applyFill="1" applyBorder="1" applyAlignment="1">
      <alignment horizontal="center" vertical="center"/>
    </xf>
    <xf numFmtId="0" fontId="59" fillId="2" borderId="0" xfId="0" applyFont="1" applyFill="1" applyBorder="1" applyAlignment="1">
      <alignment horizontal="center" vertical="center"/>
    </xf>
    <xf numFmtId="2" fontId="59" fillId="2" borderId="0" xfId="1" applyNumberFormat="1" applyFont="1" applyFill="1" applyBorder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0" fontId="37" fillId="0" borderId="0" xfId="0" applyFont="1"/>
    <xf numFmtId="0" fontId="58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9" fillId="2" borderId="1" xfId="0" applyFont="1" applyFill="1" applyBorder="1" applyAlignment="1">
      <alignment horizontal="left" vertical="center"/>
    </xf>
    <xf numFmtId="0" fontId="58" fillId="2" borderId="1" xfId="0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58" fillId="2" borderId="2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0" fontId="15" fillId="0" borderId="25" xfId="0" applyFont="1" applyFill="1" applyBorder="1" applyAlignment="1">
      <alignment horizontal="center" vertical="center"/>
    </xf>
    <xf numFmtId="0" fontId="58" fillId="0" borderId="25" xfId="0" applyFont="1" applyFill="1" applyBorder="1" applyAlignment="1">
      <alignment horizontal="center" vertical="center"/>
    </xf>
    <xf numFmtId="0" fontId="58" fillId="0" borderId="25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left" vertical="center"/>
    </xf>
    <xf numFmtId="0" fontId="59" fillId="0" borderId="1" xfId="0" applyFont="1" applyFill="1" applyBorder="1" applyAlignment="1">
      <alignment horizontal="left" vertical="center"/>
    </xf>
    <xf numFmtId="0" fontId="58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0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5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2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center" vertical="center" wrapText="1"/>
    </xf>
    <xf numFmtId="9" fontId="15" fillId="2" borderId="1" xfId="0" applyNumberFormat="1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14" fillId="2" borderId="10" xfId="0" applyFont="1" applyFill="1" applyBorder="1"/>
    <xf numFmtId="0" fontId="58" fillId="2" borderId="0" xfId="0" applyFont="1" applyFill="1" applyBorder="1" applyAlignment="1">
      <alignment horizontal="center" vertical="center"/>
    </xf>
    <xf numFmtId="0" fontId="58" fillId="2" borderId="0" xfId="0" applyFont="1" applyFill="1" applyBorder="1" applyAlignment="1">
      <alignment horizontal="left" vertical="center"/>
    </xf>
    <xf numFmtId="0" fontId="51" fillId="2" borderId="0" xfId="0" applyFont="1" applyFill="1" applyBorder="1" applyAlignment="1">
      <alignment horizontal="left" vertical="center"/>
    </xf>
    <xf numFmtId="0" fontId="51" fillId="2" borderId="0" xfId="0" applyFont="1" applyFill="1" applyBorder="1" applyAlignment="1">
      <alignment horizontal="center" vertical="center" wrapText="1"/>
    </xf>
    <xf numFmtId="0" fontId="39" fillId="0" borderId="0" xfId="0" applyFont="1" applyBorder="1" applyAlignment="1">
      <alignment horizontal="center" vertical="center"/>
    </xf>
    <xf numFmtId="1" fontId="40" fillId="0" borderId="1" xfId="0" applyNumberFormat="1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1" fontId="36" fillId="2" borderId="1" xfId="0" applyNumberFormat="1" applyFont="1" applyFill="1" applyBorder="1" applyAlignment="1">
      <alignment horizontal="center" vertical="center"/>
    </xf>
    <xf numFmtId="1" fontId="36" fillId="2" borderId="2" xfId="0" applyNumberFormat="1" applyFont="1" applyFill="1" applyBorder="1" applyAlignment="1">
      <alignment horizontal="center" vertical="center"/>
    </xf>
    <xf numFmtId="1" fontId="36" fillId="0" borderId="25" xfId="0" applyNumberFormat="1" applyFont="1" applyFill="1" applyBorder="1" applyAlignment="1">
      <alignment horizontal="center" vertical="center"/>
    </xf>
    <xf numFmtId="1" fontId="36" fillId="0" borderId="1" xfId="0" applyNumberFormat="1" applyFont="1" applyFill="1" applyBorder="1" applyAlignment="1">
      <alignment horizontal="center" vertical="center"/>
    </xf>
    <xf numFmtId="1" fontId="36" fillId="2" borderId="25" xfId="0" applyNumberFormat="1" applyFont="1" applyFill="1" applyBorder="1" applyAlignment="1">
      <alignment horizontal="center" vertical="center"/>
    </xf>
    <xf numFmtId="1" fontId="36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0" fontId="36" fillId="2" borderId="0" xfId="0" applyFont="1" applyFill="1" applyAlignment="1">
      <alignment horizontal="center" vertical="center"/>
    </xf>
    <xf numFmtId="0" fontId="0" fillId="0" borderId="0" xfId="0" applyFont="1"/>
    <xf numFmtId="2" fontId="34" fillId="0" borderId="1" xfId="0" applyNumberFormat="1" applyFont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vertical="center"/>
    </xf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37" fillId="2" borderId="17" xfId="0" applyFont="1" applyFill="1" applyBorder="1"/>
    <xf numFmtId="0" fontId="3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1" fontId="31" fillId="2" borderId="1" xfId="0" applyNumberFormat="1" applyFont="1" applyFill="1" applyBorder="1" applyAlignment="1">
      <alignment horizontal="center" vertical="center"/>
    </xf>
    <xf numFmtId="2" fontId="31" fillId="2" borderId="1" xfId="0" applyNumberFormat="1" applyFont="1" applyFill="1" applyBorder="1" applyAlignment="1">
      <alignment horizontal="center" vertical="center"/>
    </xf>
    <xf numFmtId="164" fontId="31" fillId="2" borderId="1" xfId="0" applyNumberFormat="1" applyFont="1" applyFill="1" applyBorder="1" applyAlignment="1">
      <alignment horizontal="center" vertical="center"/>
    </xf>
    <xf numFmtId="1" fontId="66" fillId="2" borderId="1" xfId="0" applyNumberFormat="1" applyFont="1" applyFill="1" applyBorder="1" applyAlignment="1">
      <alignment horizontal="center" vertical="center"/>
    </xf>
    <xf numFmtId="164" fontId="66" fillId="2" borderId="1" xfId="0" applyNumberFormat="1" applyFont="1" applyFill="1" applyBorder="1" applyAlignment="1">
      <alignment horizontal="center" vertical="center"/>
    </xf>
    <xf numFmtId="2" fontId="66" fillId="2" borderId="1" xfId="0" applyNumberFormat="1" applyFont="1" applyFill="1" applyBorder="1" applyAlignment="1">
      <alignment horizontal="center" vertical="center"/>
    </xf>
    <xf numFmtId="1" fontId="66" fillId="4" borderId="1" xfId="0" applyNumberFormat="1" applyFont="1" applyFill="1" applyBorder="1"/>
    <xf numFmtId="0" fontId="66" fillId="4" borderId="1" xfId="0" applyFont="1" applyFill="1" applyBorder="1"/>
    <xf numFmtId="1" fontId="66" fillId="4" borderId="1" xfId="0" applyNumberFormat="1" applyFont="1" applyFill="1" applyBorder="1" applyAlignment="1">
      <alignment horizontal="center" vertical="center"/>
    </xf>
    <xf numFmtId="164" fontId="34" fillId="2" borderId="1" xfId="0" applyNumberFormat="1" applyFont="1" applyFill="1" applyBorder="1" applyAlignment="1">
      <alignment horizontal="center" vertical="center" wrapText="1"/>
    </xf>
    <xf numFmtId="0" fontId="31" fillId="2" borderId="0" xfId="0" applyFont="1" applyFill="1"/>
    <xf numFmtId="0" fontId="31" fillId="2" borderId="0" xfId="0" applyFont="1" applyFill="1" applyAlignment="1"/>
    <xf numFmtId="0" fontId="31" fillId="2" borderId="0" xfId="0" applyFont="1" applyFill="1" applyAlignment="1">
      <alignment horizontal="left"/>
    </xf>
    <xf numFmtId="0" fontId="67" fillId="2" borderId="19" xfId="0" applyFont="1" applyFill="1" applyBorder="1" applyAlignment="1">
      <alignment horizontal="left" vertical="center"/>
    </xf>
    <xf numFmtId="0" fontId="67" fillId="2" borderId="21" xfId="0" applyFont="1" applyFill="1" applyBorder="1" applyAlignment="1">
      <alignment horizontal="left" vertical="top"/>
    </xf>
    <xf numFmtId="0" fontId="67" fillId="2" borderId="21" xfId="0" applyFont="1" applyFill="1" applyBorder="1" applyAlignment="1">
      <alignment vertical="top"/>
    </xf>
    <xf numFmtId="0" fontId="67" fillId="2" borderId="21" xfId="0" applyFont="1" applyFill="1" applyBorder="1" applyAlignment="1">
      <alignment vertical="center"/>
    </xf>
    <xf numFmtId="0" fontId="68" fillId="2" borderId="17" xfId="0" applyFont="1" applyFill="1" applyBorder="1" applyAlignment="1">
      <alignment vertical="center"/>
    </xf>
    <xf numFmtId="2" fontId="31" fillId="2" borderId="1" xfId="0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36" fillId="2" borderId="0" xfId="0" applyFont="1" applyFill="1" applyAlignment="1">
      <alignment horizontal="center" vertical="center" wrapText="1"/>
    </xf>
    <xf numFmtId="0" fontId="36" fillId="2" borderId="15" xfId="0" applyFont="1" applyFill="1" applyBorder="1" applyAlignment="1">
      <alignment horizontal="center" vertical="center" wrapText="1"/>
    </xf>
    <xf numFmtId="1" fontId="57" fillId="2" borderId="1" xfId="0" applyNumberFormat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 wrapText="1"/>
    </xf>
    <xf numFmtId="0" fontId="15" fillId="2" borderId="6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1" fontId="56" fillId="2" borderId="2" xfId="0" applyNumberFormat="1" applyFont="1" applyFill="1" applyBorder="1" applyAlignment="1">
      <alignment horizontal="center" vertical="center"/>
    </xf>
    <xf numFmtId="1" fontId="56" fillId="2" borderId="4" xfId="0" applyNumberFormat="1" applyFont="1" applyFill="1" applyBorder="1" applyAlignment="1">
      <alignment horizontal="center" vertical="center"/>
    </xf>
    <xf numFmtId="1" fontId="56" fillId="2" borderId="3" xfId="0" applyNumberFormat="1" applyFont="1" applyFill="1" applyBorder="1" applyAlignment="1">
      <alignment horizontal="center" vertical="center"/>
    </xf>
    <xf numFmtId="0" fontId="56" fillId="2" borderId="2" xfId="0" applyFont="1" applyFill="1" applyBorder="1" applyAlignment="1">
      <alignment horizontal="center" vertical="center"/>
    </xf>
    <xf numFmtId="0" fontId="56" fillId="2" borderId="4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" fontId="63" fillId="2" borderId="1" xfId="0" applyNumberFormat="1" applyFont="1" applyFill="1" applyBorder="1" applyAlignment="1">
      <alignment horizontal="center" vertical="center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63" fillId="2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/>
    </xf>
    <xf numFmtId="0" fontId="66" fillId="4" borderId="1" xfId="0" applyFont="1" applyFill="1" applyBorder="1" applyAlignment="1">
      <alignment horizontal="center"/>
    </xf>
    <xf numFmtId="164" fontId="31" fillId="2" borderId="1" xfId="0" applyNumberFormat="1" applyFont="1" applyFill="1" applyBorder="1" applyAlignment="1">
      <alignment horizontal="center" vertical="center"/>
    </xf>
    <xf numFmtId="2" fontId="31" fillId="2" borderId="1" xfId="0" applyNumberFormat="1" applyFont="1" applyFill="1" applyBorder="1" applyAlignment="1">
      <alignment horizontal="center" vertical="center"/>
    </xf>
    <xf numFmtId="0" fontId="67" fillId="2" borderId="0" xfId="0" applyFont="1" applyFill="1" applyBorder="1" applyAlignment="1">
      <alignment horizontal="left" vertical="center"/>
    </xf>
    <xf numFmtId="1" fontId="31" fillId="2" borderId="1" xfId="0" applyNumberFormat="1" applyFont="1" applyFill="1" applyBorder="1" applyAlignment="1">
      <alignment horizontal="center" vertical="center" textRotation="90" wrapText="1"/>
    </xf>
    <xf numFmtId="0" fontId="15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" fontId="31" fillId="2" borderId="1" xfId="0" applyNumberFormat="1" applyFont="1" applyFill="1" applyBorder="1" applyAlignment="1">
      <alignment horizontal="center" vertical="center"/>
    </xf>
    <xf numFmtId="0" fontId="66" fillId="4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textRotation="90"/>
    </xf>
    <xf numFmtId="0" fontId="31" fillId="2" borderId="1" xfId="0" applyFont="1" applyFill="1" applyBorder="1" applyAlignment="1">
      <alignment horizontal="center" vertical="center" wrapText="1"/>
    </xf>
    <xf numFmtId="1" fontId="31" fillId="2" borderId="1" xfId="0" applyNumberFormat="1" applyFont="1" applyFill="1" applyBorder="1" applyAlignment="1">
      <alignment horizontal="center" vertical="center" textRotation="90"/>
    </xf>
    <xf numFmtId="0" fontId="31" fillId="4" borderId="1" xfId="0" applyFont="1" applyFill="1" applyBorder="1" applyAlignment="1">
      <alignment horizontal="left" vertical="center"/>
    </xf>
    <xf numFmtId="0" fontId="31" fillId="2" borderId="1" xfId="0" applyFont="1" applyFill="1" applyBorder="1" applyAlignment="1">
      <alignment horizontal="left" vertical="center"/>
    </xf>
    <xf numFmtId="0" fontId="31" fillId="2" borderId="5" xfId="0" applyFont="1" applyFill="1" applyBorder="1" applyAlignment="1">
      <alignment horizontal="left" vertical="center"/>
    </xf>
    <xf numFmtId="0" fontId="31" fillId="2" borderId="7" xfId="0" applyFont="1" applyFill="1" applyBorder="1" applyAlignment="1">
      <alignment horizontal="left" vertical="center"/>
    </xf>
    <xf numFmtId="0" fontId="66" fillId="2" borderId="1" xfId="0" applyFont="1" applyFill="1" applyBorder="1" applyAlignment="1">
      <alignment horizontal="center"/>
    </xf>
    <xf numFmtId="165" fontId="66" fillId="2" borderId="1" xfId="0" applyNumberFormat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textRotation="90" wrapText="1"/>
    </xf>
    <xf numFmtId="0" fontId="31" fillId="2" borderId="17" xfId="0" applyFont="1" applyFill="1" applyBorder="1" applyAlignment="1">
      <alignment horizontal="left" vertical="center"/>
    </xf>
    <xf numFmtId="0" fontId="9" fillId="2" borderId="19" xfId="0" applyFont="1" applyFill="1" applyBorder="1" applyAlignment="1">
      <alignment horizontal="center" wrapText="1"/>
    </xf>
    <xf numFmtId="0" fontId="9" fillId="2" borderId="17" xfId="0" applyFont="1" applyFill="1" applyBorder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9" fillId="2" borderId="0" xfId="0" applyFont="1" applyFill="1" applyBorder="1" applyAlignment="1">
      <alignment horizontal="center" wrapText="1"/>
    </xf>
    <xf numFmtId="0" fontId="9" fillId="2" borderId="23" xfId="0" applyFont="1" applyFill="1" applyBorder="1" applyAlignment="1">
      <alignment horizontal="center" wrapText="1"/>
    </xf>
    <xf numFmtId="0" fontId="9" fillId="2" borderId="18" xfId="0" applyFont="1" applyFill="1" applyBorder="1" applyAlignment="1">
      <alignment horizontal="center" wrapText="1"/>
    </xf>
    <xf numFmtId="0" fontId="14" fillId="2" borderId="1" xfId="0" applyFont="1" applyFill="1" applyBorder="1" applyAlignment="1">
      <alignment horizontal="center"/>
    </xf>
    <xf numFmtId="0" fontId="31" fillId="2" borderId="0" xfId="0" applyFont="1" applyFill="1" applyAlignment="1">
      <alignment horizontal="left"/>
    </xf>
    <xf numFmtId="1" fontId="7" fillId="3" borderId="5" xfId="0" applyNumberFormat="1" applyFont="1" applyFill="1" applyBorder="1" applyAlignment="1">
      <alignment horizontal="center" vertical="center"/>
    </xf>
    <xf numFmtId="1" fontId="7" fillId="3" borderId="7" xfId="0" applyNumberFormat="1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21" fillId="2" borderId="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2" fontId="28" fillId="3" borderId="1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8" fillId="3" borderId="3" xfId="0" applyFont="1" applyFill="1" applyBorder="1" applyAlignment="1">
      <alignment horizontal="center"/>
    </xf>
    <xf numFmtId="0" fontId="18" fillId="3" borderId="14" xfId="0" applyFont="1" applyFill="1" applyBorder="1" applyAlignment="1">
      <alignment horizontal="center"/>
    </xf>
    <xf numFmtId="1" fontId="19" fillId="3" borderId="15" xfId="0" applyNumberFormat="1" applyFont="1" applyFill="1" applyBorder="1" applyAlignment="1">
      <alignment horizontal="left"/>
    </xf>
    <xf numFmtId="0" fontId="19" fillId="3" borderId="15" xfId="0" applyFont="1" applyFill="1" applyBorder="1" applyAlignment="1">
      <alignment horizontal="left"/>
    </xf>
    <xf numFmtId="0" fontId="19" fillId="3" borderId="12" xfId="0" applyFont="1" applyFill="1" applyBorder="1" applyAlignment="1">
      <alignment horizontal="left"/>
    </xf>
    <xf numFmtId="0" fontId="12" fillId="3" borderId="8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1" fontId="9" fillId="3" borderId="4" xfId="0" applyNumberFormat="1" applyFont="1" applyFill="1" applyBorder="1" applyAlignment="1">
      <alignment horizontal="center" vertical="center" textRotation="90" wrapText="1"/>
    </xf>
    <xf numFmtId="1" fontId="9" fillId="3" borderId="3" xfId="0" applyNumberFormat="1" applyFont="1" applyFill="1" applyBorder="1" applyAlignment="1">
      <alignment horizontal="center" vertical="center" textRotation="90" wrapText="1"/>
    </xf>
    <xf numFmtId="0" fontId="9" fillId="3" borderId="1" xfId="0" applyFont="1" applyFill="1" applyBorder="1" applyAlignment="1">
      <alignment horizontal="center" vertical="center" textRotation="90"/>
    </xf>
    <xf numFmtId="1" fontId="9" fillId="3" borderId="4" xfId="0" applyNumberFormat="1" applyFont="1" applyFill="1" applyBorder="1" applyAlignment="1">
      <alignment horizontal="center" vertical="center" textRotation="90"/>
    </xf>
    <xf numFmtId="1" fontId="9" fillId="3" borderId="3" xfId="0" applyNumberFormat="1" applyFont="1" applyFill="1" applyBorder="1" applyAlignment="1">
      <alignment horizontal="center" vertical="center" textRotation="90"/>
    </xf>
    <xf numFmtId="0" fontId="18" fillId="3" borderId="15" xfId="0" applyFont="1" applyFill="1" applyBorder="1" applyAlignment="1">
      <alignment horizontal="left"/>
    </xf>
    <xf numFmtId="0" fontId="9" fillId="3" borderId="4" xfId="0" applyFont="1" applyFill="1" applyBorder="1" applyAlignment="1">
      <alignment horizontal="center" vertical="center" textRotation="90"/>
    </xf>
    <xf numFmtId="0" fontId="9" fillId="3" borderId="3" xfId="0" applyFont="1" applyFill="1" applyBorder="1" applyAlignment="1">
      <alignment horizontal="center" vertical="center" textRotation="90"/>
    </xf>
    <xf numFmtId="0" fontId="18" fillId="3" borderId="13" xfId="0" applyFont="1" applyFill="1" applyBorder="1" applyAlignment="1">
      <alignment horizontal="center"/>
    </xf>
    <xf numFmtId="0" fontId="18" fillId="3" borderId="0" xfId="0" applyFont="1" applyFill="1" applyAlignment="1">
      <alignment horizontal="center"/>
    </xf>
    <xf numFmtId="0" fontId="19" fillId="3" borderId="0" xfId="0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9" fillId="3" borderId="11" xfId="0" applyFont="1" applyFill="1" applyBorder="1" applyAlignment="1">
      <alignment horizontal="left"/>
    </xf>
    <xf numFmtId="0" fontId="18" fillId="3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textRotation="90"/>
    </xf>
    <xf numFmtId="0" fontId="17" fillId="3" borderId="1" xfId="0" applyFont="1" applyFill="1" applyBorder="1" applyAlignment="1">
      <alignment horizontal="center" vertical="center" textRotation="90"/>
    </xf>
    <xf numFmtId="1" fontId="17" fillId="3" borderId="3" xfId="0" applyNumberFormat="1" applyFont="1" applyFill="1" applyBorder="1" applyAlignment="1">
      <alignment horizontal="center" vertical="center" textRotation="90"/>
    </xf>
    <xf numFmtId="1" fontId="17" fillId="3" borderId="1" xfId="0" applyNumberFormat="1" applyFont="1" applyFill="1" applyBorder="1" applyAlignment="1">
      <alignment horizontal="center" vertical="center" textRotation="90"/>
    </xf>
  </cellXfs>
  <cellStyles count="3">
    <cellStyle name="Normal" xfId="0" builtinId="0"/>
    <cellStyle name="Normal 2" xfId="2"/>
    <cellStyle name="Percent" xfId="1" builtinId="5"/>
  </cellStyles>
  <dxfs count="3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91508</xdr:colOff>
      <xdr:row>0</xdr:row>
      <xdr:rowOff>118223</xdr:rowOff>
    </xdr:from>
    <xdr:to>
      <xdr:col>24</xdr:col>
      <xdr:colOff>198020</xdr:colOff>
      <xdr:row>4</xdr:row>
      <xdr:rowOff>200025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1235758" y="118223"/>
          <a:ext cx="924403" cy="107240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127568</xdr:colOff>
      <xdr:row>0</xdr:row>
      <xdr:rowOff>107156</xdr:rowOff>
    </xdr:from>
    <xdr:to>
      <xdr:col>27</xdr:col>
      <xdr:colOff>308297</xdr:colOff>
      <xdr:row>4</xdr:row>
      <xdr:rowOff>147454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0128818" y="107156"/>
          <a:ext cx="1146092" cy="113567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250712</xdr:colOff>
      <xdr:row>0</xdr:row>
      <xdr:rowOff>103935</xdr:rowOff>
    </xdr:from>
    <xdr:to>
      <xdr:col>29</xdr:col>
      <xdr:colOff>216033</xdr:colOff>
      <xdr:row>4</xdr:row>
      <xdr:rowOff>183016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456319" y="103935"/>
          <a:ext cx="918622" cy="105879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557216</xdr:colOff>
      <xdr:row>35</xdr:row>
      <xdr:rowOff>104777</xdr:rowOff>
    </xdr:from>
    <xdr:to>
      <xdr:col>28</xdr:col>
      <xdr:colOff>490540</xdr:colOff>
      <xdr:row>38</xdr:row>
      <xdr:rowOff>21431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5A725093-1BBA-1397-BEF2-E93DFC9C1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15091176" y="11354992"/>
          <a:ext cx="488154" cy="1076324"/>
        </a:xfrm>
        <a:prstGeom prst="rect">
          <a:avLst/>
        </a:prstGeom>
      </xdr:spPr>
    </xdr:pic>
    <xdr:clientData/>
  </xdr:twoCellAnchor>
  <xdr:twoCellAnchor editAs="oneCell">
    <xdr:from>
      <xdr:col>9</xdr:col>
      <xdr:colOff>166689</xdr:colOff>
      <xdr:row>0</xdr:row>
      <xdr:rowOff>76200</xdr:rowOff>
    </xdr:from>
    <xdr:to>
      <xdr:col>10</xdr:col>
      <xdr:colOff>388041</xdr:colOff>
      <xdr:row>3</xdr:row>
      <xdr:rowOff>219912</xdr:rowOff>
    </xdr:to>
    <xdr:pic>
      <xdr:nvPicPr>
        <xdr:cNvPr id="6" name="Picture 5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5424489" y="76200"/>
          <a:ext cx="735702" cy="8295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13</xdr:col>
      <xdr:colOff>504825</xdr:colOff>
      <xdr:row>35</xdr:row>
      <xdr:rowOff>180975</xdr:rowOff>
    </xdr:from>
    <xdr:to>
      <xdr:col>15</xdr:col>
      <xdr:colOff>419100</xdr:colOff>
      <xdr:row>37</xdr:row>
      <xdr:rowOff>176703</xdr:rowOff>
    </xdr:to>
    <xdr:pic>
      <xdr:nvPicPr>
        <xdr:cNvPr id="5" name="Picture 4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820025" y="11725275"/>
          <a:ext cx="942975" cy="3767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430212</xdr:colOff>
      <xdr:row>1</xdr:row>
      <xdr:rowOff>101602</xdr:rowOff>
    </xdr:from>
    <xdr:to>
      <xdr:col>2</xdr:col>
      <xdr:colOff>470496</xdr:colOff>
      <xdr:row>4</xdr:row>
      <xdr:rowOff>85725</xdr:rowOff>
    </xdr:to>
    <xdr:pic>
      <xdr:nvPicPr>
        <xdr:cNvPr id="2" name="Picture 1" descr="logo.png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6812" y="438152"/>
          <a:ext cx="732434" cy="7969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P99"/>
  <sheetViews>
    <sheetView zoomScale="70" zoomScaleNormal="70" workbookViewId="0">
      <pane xSplit="2" ySplit="7" topLeftCell="AG77" activePane="bottomRight" state="frozen"/>
      <selection pane="topRight" activeCell="C1" sqref="C1"/>
      <selection pane="bottomLeft" activeCell="A8" sqref="A8"/>
      <selection pane="bottomRight" activeCell="AD19" sqref="AD19"/>
    </sheetView>
  </sheetViews>
  <sheetFormatPr defaultRowHeight="15"/>
  <cols>
    <col min="1" max="1" width="3.7109375" style="126" customWidth="1"/>
    <col min="2" max="2" width="8.140625" style="126" customWidth="1"/>
    <col min="3" max="3" width="34" style="127" bestFit="1" customWidth="1"/>
    <col min="4" max="4" width="23.5703125" style="54" hidden="1" customWidth="1"/>
    <col min="5" max="5" width="24.140625" style="54" hidden="1" customWidth="1"/>
    <col min="6" max="6" width="20.85546875" style="54" hidden="1" customWidth="1"/>
    <col min="7" max="8" width="5.85546875" style="43" customWidth="1"/>
    <col min="9" max="9" width="6.140625" style="43" customWidth="1"/>
    <col min="10" max="10" width="5.85546875" style="43" customWidth="1"/>
    <col min="11" max="11" width="6.85546875" style="43" customWidth="1"/>
    <col min="12" max="13" width="5.85546875" style="43" customWidth="1"/>
    <col min="14" max="14" width="6.140625" style="43" customWidth="1"/>
    <col min="15" max="15" width="5.85546875" style="43" customWidth="1"/>
    <col min="16" max="16" width="6.85546875" style="43" customWidth="1"/>
    <col min="17" max="17" width="8" style="43" customWidth="1"/>
    <col min="18" max="18" width="7.140625" style="43" customWidth="1"/>
    <col min="19" max="19" width="6.140625" style="43" customWidth="1"/>
    <col min="20" max="21" width="5.85546875" style="43" customWidth="1"/>
    <col min="22" max="22" width="6.140625" style="43" customWidth="1"/>
    <col min="23" max="24" width="5.85546875" style="43" customWidth="1"/>
    <col min="25" max="25" width="6.140625" style="43" customWidth="1"/>
    <col min="26" max="26" width="8" style="43" customWidth="1"/>
    <col min="27" max="27" width="7.140625" style="43" customWidth="1"/>
    <col min="28" max="28" width="6.140625" style="43" customWidth="1"/>
    <col min="29" max="29" width="4.5703125" style="43" customWidth="1"/>
    <col min="30" max="30" width="4.28515625" style="43" customWidth="1"/>
    <col min="31" max="31" width="6.140625" style="43" customWidth="1"/>
    <col min="32" max="32" width="4.28515625" style="43" customWidth="1"/>
    <col min="33" max="33" width="6.85546875" style="43" customWidth="1"/>
    <col min="34" max="34" width="7.140625" style="43" customWidth="1"/>
    <col min="35" max="35" width="4.28515625" style="43" customWidth="1"/>
    <col min="36" max="36" width="4.5703125" style="43" customWidth="1"/>
    <col min="37" max="37" width="4.28515625" style="43" customWidth="1"/>
    <col min="38" max="38" width="6.140625" style="43" customWidth="1"/>
    <col min="39" max="39" width="4.28515625" style="43" customWidth="1"/>
    <col min="40" max="40" width="6.85546875" style="43" customWidth="1"/>
    <col min="41" max="41" width="7.140625" style="43" customWidth="1"/>
    <col min="42" max="42" width="4.28515625" style="43" customWidth="1"/>
    <col min="43" max="43" width="4.5703125" style="43" customWidth="1"/>
    <col min="44" max="45" width="4.28515625" style="43" customWidth="1"/>
    <col min="46" max="46" width="6.85546875" style="43" customWidth="1"/>
    <col min="47" max="47" width="7.140625" style="43" customWidth="1"/>
    <col min="48" max="48" width="4.28515625" style="43" customWidth="1"/>
    <col min="49" max="49" width="4.5703125" style="43" customWidth="1"/>
    <col min="50" max="50" width="4.28515625" style="43" customWidth="1"/>
    <col min="51" max="51" width="6.140625" style="43" customWidth="1"/>
    <col min="52" max="52" width="6" style="43" customWidth="1"/>
    <col min="53" max="53" width="6.85546875" style="43" customWidth="1"/>
    <col min="54" max="54" width="7.140625" style="43" customWidth="1"/>
    <col min="55" max="55" width="4.28515625" style="43" customWidth="1"/>
    <col min="56" max="56" width="4.5703125" style="43" customWidth="1"/>
    <col min="57" max="57" width="4.28515625" style="43" customWidth="1"/>
    <col min="58" max="58" width="6.140625" style="43" customWidth="1"/>
    <col min="59" max="60" width="4.28515625" style="43" customWidth="1"/>
    <col min="61" max="61" width="6.85546875" style="43" customWidth="1"/>
    <col min="62" max="62" width="7.140625" style="43" customWidth="1"/>
    <col min="63" max="63" width="4.28515625" style="43" customWidth="1"/>
    <col min="64" max="64" width="4.5703125" style="43" bestFit="1" customWidth="1"/>
    <col min="65" max="65" width="4.28515625" style="43" bestFit="1" customWidth="1"/>
    <col min="66" max="66" width="6.140625" style="43" bestFit="1" customWidth="1"/>
    <col min="67" max="68" width="4.28515625" style="43" bestFit="1" customWidth="1"/>
    <col min="69" max="69" width="6.85546875" style="43" bestFit="1" customWidth="1"/>
    <col min="70" max="70" width="7.140625" style="43" bestFit="1" customWidth="1"/>
    <col min="71" max="71" width="4.28515625" style="43" bestFit="1" customWidth="1"/>
    <col min="72" max="72" width="4.5703125" style="43" bestFit="1" customWidth="1"/>
    <col min="73" max="73" width="6" style="43" bestFit="1" customWidth="1"/>
    <col min="74" max="74" width="6.140625" style="43" bestFit="1" customWidth="1"/>
    <col min="75" max="76" width="4.28515625" style="43" bestFit="1" customWidth="1"/>
    <col min="77" max="77" width="6.85546875" style="43" bestFit="1" customWidth="1"/>
    <col min="78" max="78" width="7.140625" style="43" bestFit="1" customWidth="1"/>
    <col min="79" max="79" width="4.28515625" style="43" bestFit="1" customWidth="1"/>
    <col min="80" max="80" width="4.5703125" style="43" bestFit="1" customWidth="1"/>
    <col min="81" max="81" width="4.28515625" style="43" bestFit="1" customWidth="1"/>
    <col min="82" max="82" width="6.140625" style="43" bestFit="1" customWidth="1"/>
    <col min="83" max="84" width="4.28515625" style="43" bestFit="1" customWidth="1"/>
    <col min="85" max="85" width="6.85546875" style="43" bestFit="1" customWidth="1"/>
    <col min="86" max="86" width="7.140625" style="43" bestFit="1" customWidth="1"/>
    <col min="87" max="87" width="5.140625" style="43" bestFit="1" customWidth="1"/>
    <col min="88" max="88" width="6.42578125" style="43" bestFit="1" customWidth="1"/>
    <col min="89" max="89" width="6.7109375" style="43" bestFit="1" customWidth="1"/>
    <col min="90" max="90" width="8.42578125" style="43" bestFit="1" customWidth="1"/>
    <col min="91" max="91" width="24.5703125" style="43" bestFit="1" customWidth="1"/>
    <col min="92" max="92" width="8.140625" style="43" customWidth="1"/>
    <col min="93" max="93" width="8.85546875" style="201" customWidth="1"/>
    <col min="94" max="94" width="8.42578125" style="43" customWidth="1"/>
  </cols>
  <sheetData>
    <row r="1" spans="1:94" ht="20.100000000000001" customHeight="1">
      <c r="A1" s="261" t="s">
        <v>89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</row>
    <row r="2" spans="1:94" ht="20.100000000000001" customHeight="1">
      <c r="A2" s="26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1"/>
      <c r="BJ2" s="261"/>
      <c r="BK2" s="261"/>
      <c r="BL2" s="261"/>
      <c r="BM2" s="261"/>
      <c r="BN2" s="261"/>
      <c r="BO2" s="261"/>
      <c r="BP2" s="261"/>
      <c r="BQ2" s="261"/>
      <c r="BR2" s="261"/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</row>
    <row r="3" spans="1:94" ht="20.100000000000001" customHeight="1">
      <c r="A3" s="261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  <c r="BP3" s="261"/>
      <c r="BQ3" s="261"/>
      <c r="BR3" s="261"/>
      <c r="BS3" s="261"/>
      <c r="BT3" s="261"/>
      <c r="BU3" s="261"/>
      <c r="BV3" s="261"/>
      <c r="BW3" s="261"/>
      <c r="BX3" s="261"/>
      <c r="BY3" s="261"/>
      <c r="BZ3" s="261"/>
      <c r="CA3" s="261"/>
      <c r="CB3" s="261"/>
      <c r="CC3" s="261"/>
      <c r="CD3" s="261"/>
      <c r="CE3" s="261"/>
      <c r="CF3" s="261"/>
      <c r="CG3" s="261"/>
      <c r="CH3" s="261"/>
      <c r="CI3" s="261"/>
      <c r="CJ3" s="261"/>
      <c r="CK3" s="261"/>
      <c r="CL3" s="261"/>
      <c r="CM3" s="261"/>
      <c r="CN3" s="261"/>
      <c r="CO3" s="260"/>
    </row>
    <row r="4" spans="1:94" ht="20.100000000000001" customHeight="1">
      <c r="A4" s="261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  <c r="CE4" s="261"/>
      <c r="CF4" s="261"/>
      <c r="CG4" s="261"/>
      <c r="CH4" s="261"/>
      <c r="CI4" s="261"/>
      <c r="CJ4" s="261"/>
      <c r="CK4" s="261"/>
      <c r="CL4" s="261"/>
      <c r="CM4" s="261"/>
      <c r="CN4" s="261"/>
      <c r="CO4" s="260"/>
    </row>
    <row r="5" spans="1:94" ht="20.100000000000001" customHeight="1">
      <c r="A5" s="262"/>
      <c r="B5" s="262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AQ5" s="262"/>
      <c r="AR5" s="262"/>
      <c r="AS5" s="262"/>
      <c r="AT5" s="262"/>
      <c r="AU5" s="262"/>
      <c r="AV5" s="262"/>
      <c r="AW5" s="262"/>
      <c r="AX5" s="262"/>
      <c r="AY5" s="262"/>
      <c r="AZ5" s="262"/>
      <c r="BA5" s="262"/>
      <c r="BB5" s="262"/>
      <c r="BC5" s="262"/>
      <c r="BD5" s="262"/>
      <c r="BE5" s="262"/>
      <c r="BF5" s="262"/>
      <c r="BG5" s="262"/>
      <c r="BH5" s="262"/>
      <c r="BI5" s="262"/>
      <c r="BJ5" s="262"/>
      <c r="BK5" s="262"/>
      <c r="BL5" s="262"/>
      <c r="BM5" s="262"/>
      <c r="BN5" s="262"/>
      <c r="BO5" s="262"/>
      <c r="BP5" s="262"/>
      <c r="BQ5" s="262"/>
      <c r="BR5" s="262"/>
      <c r="BS5" s="262"/>
      <c r="BT5" s="262"/>
      <c r="BU5" s="262"/>
      <c r="BV5" s="262"/>
      <c r="BW5" s="262"/>
      <c r="BX5" s="262"/>
      <c r="BY5" s="262"/>
      <c r="BZ5" s="262"/>
      <c r="CA5" s="262"/>
      <c r="CB5" s="262"/>
      <c r="CC5" s="262"/>
      <c r="CD5" s="262"/>
      <c r="CE5" s="262"/>
      <c r="CF5" s="262"/>
      <c r="CG5" s="262"/>
      <c r="CH5" s="262"/>
      <c r="CI5" s="262"/>
      <c r="CJ5" s="262"/>
      <c r="CK5" s="262"/>
      <c r="CL5" s="262"/>
      <c r="CM5" s="262"/>
      <c r="CN5" s="262"/>
      <c r="CO5" s="202"/>
    </row>
    <row r="6" spans="1:94" s="125" customFormat="1" ht="23.1" customHeight="1">
      <c r="A6" s="253" t="s">
        <v>10</v>
      </c>
      <c r="B6" s="253" t="s">
        <v>0</v>
      </c>
      <c r="C6" s="254" t="s">
        <v>12</v>
      </c>
      <c r="D6" s="254" t="s">
        <v>51</v>
      </c>
      <c r="E6" s="254" t="s">
        <v>11</v>
      </c>
      <c r="F6" s="254" t="s">
        <v>14</v>
      </c>
      <c r="G6" s="255" t="s">
        <v>16</v>
      </c>
      <c r="H6" s="255"/>
      <c r="I6" s="255"/>
      <c r="J6" s="255"/>
      <c r="K6" s="258" t="s">
        <v>81</v>
      </c>
      <c r="L6" s="255" t="s">
        <v>15</v>
      </c>
      <c r="M6" s="255"/>
      <c r="N6" s="255"/>
      <c r="O6" s="255"/>
      <c r="P6" s="256" t="s">
        <v>81</v>
      </c>
      <c r="Q6" s="255" t="s">
        <v>82</v>
      </c>
      <c r="R6" s="255" t="s">
        <v>52</v>
      </c>
      <c r="S6" s="255" t="s">
        <v>2</v>
      </c>
      <c r="T6" s="265" t="s">
        <v>83</v>
      </c>
      <c r="U6" s="266"/>
      <c r="V6" s="267"/>
      <c r="W6" s="265" t="s">
        <v>84</v>
      </c>
      <c r="X6" s="266"/>
      <c r="Y6" s="267"/>
      <c r="Z6" s="256" t="s">
        <v>1</v>
      </c>
      <c r="AA6" s="255" t="s">
        <v>52</v>
      </c>
      <c r="AB6" s="255" t="s">
        <v>2</v>
      </c>
      <c r="AC6" s="255" t="s">
        <v>43</v>
      </c>
      <c r="AD6" s="255"/>
      <c r="AE6" s="255"/>
      <c r="AF6" s="255"/>
      <c r="AG6" s="255" t="s">
        <v>1</v>
      </c>
      <c r="AH6" s="255" t="s">
        <v>52</v>
      </c>
      <c r="AI6" s="255" t="s">
        <v>2</v>
      </c>
      <c r="AJ6" s="255" t="s">
        <v>3</v>
      </c>
      <c r="AK6" s="255"/>
      <c r="AL6" s="255"/>
      <c r="AM6" s="255"/>
      <c r="AN6" s="255" t="s">
        <v>1</v>
      </c>
      <c r="AO6" s="255" t="s">
        <v>52</v>
      </c>
      <c r="AP6" s="255" t="s">
        <v>2</v>
      </c>
      <c r="AQ6" s="255" t="s">
        <v>4</v>
      </c>
      <c r="AR6" s="255"/>
      <c r="AS6" s="255"/>
      <c r="AT6" s="255" t="s">
        <v>1</v>
      </c>
      <c r="AU6" s="255" t="s">
        <v>52</v>
      </c>
      <c r="AV6" s="255" t="s">
        <v>2</v>
      </c>
      <c r="AW6" s="255" t="s">
        <v>48</v>
      </c>
      <c r="AX6" s="255"/>
      <c r="AY6" s="255"/>
      <c r="AZ6" s="255"/>
      <c r="BA6" s="255" t="s">
        <v>1</v>
      </c>
      <c r="BB6" s="255" t="s">
        <v>52</v>
      </c>
      <c r="BC6" s="255" t="s">
        <v>2</v>
      </c>
      <c r="BD6" s="255" t="s">
        <v>41</v>
      </c>
      <c r="BE6" s="255"/>
      <c r="BF6" s="255"/>
      <c r="BG6" s="255"/>
      <c r="BH6" s="255"/>
      <c r="BI6" s="255" t="s">
        <v>1</v>
      </c>
      <c r="BJ6" s="255" t="s">
        <v>52</v>
      </c>
      <c r="BK6" s="255" t="s">
        <v>2</v>
      </c>
      <c r="BL6" s="255" t="s">
        <v>42</v>
      </c>
      <c r="BM6" s="255"/>
      <c r="BN6" s="255"/>
      <c r="BO6" s="255"/>
      <c r="BP6" s="255"/>
      <c r="BQ6" s="255" t="s">
        <v>1</v>
      </c>
      <c r="BR6" s="255" t="s">
        <v>52</v>
      </c>
      <c r="BS6" s="255" t="s">
        <v>2</v>
      </c>
      <c r="BT6" s="255" t="s">
        <v>49</v>
      </c>
      <c r="BU6" s="255"/>
      <c r="BV6" s="255"/>
      <c r="BW6" s="255"/>
      <c r="BX6" s="255"/>
      <c r="BY6" s="255" t="s">
        <v>1</v>
      </c>
      <c r="BZ6" s="255" t="s">
        <v>52</v>
      </c>
      <c r="CA6" s="255" t="s">
        <v>2</v>
      </c>
      <c r="CB6" s="255" t="s">
        <v>412</v>
      </c>
      <c r="CC6" s="255"/>
      <c r="CD6" s="255"/>
      <c r="CE6" s="255"/>
      <c r="CF6" s="255"/>
      <c r="CG6" s="255" t="s">
        <v>1</v>
      </c>
      <c r="CH6" s="255" t="s">
        <v>52</v>
      </c>
      <c r="CI6" s="256" t="s">
        <v>2</v>
      </c>
      <c r="CJ6" s="255" t="s">
        <v>5</v>
      </c>
      <c r="CK6" s="255" t="s">
        <v>6</v>
      </c>
      <c r="CL6" s="256" t="s">
        <v>54</v>
      </c>
      <c r="CM6" s="256" t="s">
        <v>44</v>
      </c>
      <c r="CN6" s="256" t="s">
        <v>45</v>
      </c>
      <c r="CO6" s="256" t="s">
        <v>47</v>
      </c>
      <c r="CP6" s="256" t="s">
        <v>46</v>
      </c>
    </row>
    <row r="7" spans="1:94" s="125" customFormat="1" ht="24.75" customHeight="1">
      <c r="A7" s="253"/>
      <c r="B7" s="253"/>
      <c r="C7" s="254"/>
      <c r="D7" s="254"/>
      <c r="E7" s="254"/>
      <c r="F7" s="254"/>
      <c r="G7" s="203" t="s">
        <v>13</v>
      </c>
      <c r="H7" s="204" t="s">
        <v>7</v>
      </c>
      <c r="I7" s="205" t="s">
        <v>53</v>
      </c>
      <c r="J7" s="204" t="s">
        <v>8</v>
      </c>
      <c r="K7" s="259"/>
      <c r="L7" s="203" t="s">
        <v>13</v>
      </c>
      <c r="M7" s="204" t="s">
        <v>7</v>
      </c>
      <c r="N7" s="205" t="s">
        <v>53</v>
      </c>
      <c r="O7" s="204" t="s">
        <v>8</v>
      </c>
      <c r="P7" s="257"/>
      <c r="Q7" s="255"/>
      <c r="R7" s="255"/>
      <c r="S7" s="255"/>
      <c r="T7" s="203" t="s">
        <v>13</v>
      </c>
      <c r="U7" s="206" t="s">
        <v>7</v>
      </c>
      <c r="V7" s="205" t="s">
        <v>53</v>
      </c>
      <c r="W7" s="204" t="s">
        <v>13</v>
      </c>
      <c r="X7" s="206" t="s">
        <v>7</v>
      </c>
      <c r="Y7" s="205" t="s">
        <v>53</v>
      </c>
      <c r="Z7" s="257"/>
      <c r="AA7" s="255"/>
      <c r="AB7" s="255"/>
      <c r="AC7" s="203" t="s">
        <v>13</v>
      </c>
      <c r="AD7" s="204" t="s">
        <v>7</v>
      </c>
      <c r="AE7" s="205" t="s">
        <v>53</v>
      </c>
      <c r="AF7" s="204" t="s">
        <v>8</v>
      </c>
      <c r="AG7" s="255"/>
      <c r="AH7" s="255"/>
      <c r="AI7" s="255"/>
      <c r="AJ7" s="203" t="s">
        <v>13</v>
      </c>
      <c r="AK7" s="204" t="s">
        <v>7</v>
      </c>
      <c r="AL7" s="205" t="s">
        <v>53</v>
      </c>
      <c r="AM7" s="204" t="s">
        <v>8</v>
      </c>
      <c r="AN7" s="255"/>
      <c r="AO7" s="255"/>
      <c r="AP7" s="255"/>
      <c r="AQ7" s="203" t="s">
        <v>13</v>
      </c>
      <c r="AR7" s="204" t="s">
        <v>8</v>
      </c>
      <c r="AS7" s="204" t="s">
        <v>9</v>
      </c>
      <c r="AT7" s="255"/>
      <c r="AU7" s="255"/>
      <c r="AV7" s="255"/>
      <c r="AW7" s="203" t="s">
        <v>13</v>
      </c>
      <c r="AX7" s="204" t="s">
        <v>7</v>
      </c>
      <c r="AY7" s="205" t="s">
        <v>53</v>
      </c>
      <c r="AZ7" s="204" t="s">
        <v>8</v>
      </c>
      <c r="BA7" s="255"/>
      <c r="BB7" s="255"/>
      <c r="BC7" s="255"/>
      <c r="BD7" s="203" t="s">
        <v>13</v>
      </c>
      <c r="BE7" s="204" t="s">
        <v>7</v>
      </c>
      <c r="BF7" s="205" t="s">
        <v>53</v>
      </c>
      <c r="BG7" s="204" t="s">
        <v>8</v>
      </c>
      <c r="BH7" s="204" t="s">
        <v>9</v>
      </c>
      <c r="BI7" s="255"/>
      <c r="BJ7" s="255"/>
      <c r="BK7" s="255"/>
      <c r="BL7" s="203" t="s">
        <v>13</v>
      </c>
      <c r="BM7" s="204" t="s">
        <v>7</v>
      </c>
      <c r="BN7" s="205" t="s">
        <v>53</v>
      </c>
      <c r="BO7" s="204" t="s">
        <v>8</v>
      </c>
      <c r="BP7" s="204" t="s">
        <v>9</v>
      </c>
      <c r="BQ7" s="255"/>
      <c r="BR7" s="255"/>
      <c r="BS7" s="255"/>
      <c r="BT7" s="203" t="s">
        <v>13</v>
      </c>
      <c r="BU7" s="204" t="s">
        <v>7</v>
      </c>
      <c r="BV7" s="205" t="s">
        <v>53</v>
      </c>
      <c r="BW7" s="204" t="s">
        <v>8</v>
      </c>
      <c r="BX7" s="204" t="s">
        <v>9</v>
      </c>
      <c r="BY7" s="255"/>
      <c r="BZ7" s="255"/>
      <c r="CA7" s="255"/>
      <c r="CB7" s="203" t="s">
        <v>13</v>
      </c>
      <c r="CC7" s="204" t="s">
        <v>7</v>
      </c>
      <c r="CD7" s="205" t="s">
        <v>53</v>
      </c>
      <c r="CE7" s="204" t="s">
        <v>8</v>
      </c>
      <c r="CF7" s="204" t="s">
        <v>9</v>
      </c>
      <c r="CG7" s="255"/>
      <c r="CH7" s="255"/>
      <c r="CI7" s="257"/>
      <c r="CJ7" s="255"/>
      <c r="CK7" s="255"/>
      <c r="CL7" s="257"/>
      <c r="CM7" s="257"/>
      <c r="CN7" s="257"/>
      <c r="CO7" s="257"/>
      <c r="CP7" s="257"/>
    </row>
    <row r="8" spans="1:94" s="41" customFormat="1" ht="27" customHeight="1">
      <c r="A8" s="207">
        <v>1</v>
      </c>
      <c r="B8" s="117">
        <v>1</v>
      </c>
      <c r="C8" s="118" t="s">
        <v>92</v>
      </c>
      <c r="D8" s="69" t="s">
        <v>93</v>
      </c>
      <c r="E8" s="69" t="s">
        <v>94</v>
      </c>
      <c r="F8" s="70" t="s">
        <v>95</v>
      </c>
      <c r="G8" s="116">
        <v>19</v>
      </c>
      <c r="H8" s="147">
        <v>44</v>
      </c>
      <c r="I8" s="146">
        <f>H8+G8</f>
        <v>63</v>
      </c>
      <c r="J8" s="147">
        <v>16</v>
      </c>
      <c r="K8" s="146">
        <f>I8+J8</f>
        <v>79</v>
      </c>
      <c r="L8" s="116">
        <v>19</v>
      </c>
      <c r="M8" s="147">
        <v>45</v>
      </c>
      <c r="N8" s="146">
        <f>M8+L8</f>
        <v>64</v>
      </c>
      <c r="O8" s="147">
        <v>29</v>
      </c>
      <c r="P8" s="146">
        <f>N8+O8</f>
        <v>93</v>
      </c>
      <c r="Q8" s="146">
        <f>K8+P8</f>
        <v>172</v>
      </c>
      <c r="R8" s="263">
        <f>MAX(Q8:Q95)</f>
        <v>174</v>
      </c>
      <c r="S8" s="147">
        <f>IF(I8+N8&lt;=56,"F",IF(I8+N8&lt;=24,"F",IF(Q8&lt;80,"F",IF(Q8&lt;100,2,IF(Q8&lt;120,3,IF(Q8&lt;140,3.5,IF(Q8&lt;160,4,5)))))))</f>
        <v>5</v>
      </c>
      <c r="T8" s="116">
        <v>15</v>
      </c>
      <c r="U8" s="147">
        <v>72</v>
      </c>
      <c r="V8" s="146">
        <f>U8+T8</f>
        <v>87</v>
      </c>
      <c r="W8" s="147">
        <v>16</v>
      </c>
      <c r="X8" s="147">
        <v>71</v>
      </c>
      <c r="Y8" s="146">
        <f>W8+X8</f>
        <v>87</v>
      </c>
      <c r="Z8" s="146">
        <f>V8+Y8</f>
        <v>174</v>
      </c>
      <c r="AA8" s="263">
        <f>MAX(Z8:Z95)</f>
        <v>174</v>
      </c>
      <c r="AB8" s="147">
        <f t="shared" ref="AB8:AB95" si="0">IF(Z8&lt;80,"F",IF(Z8&lt;100,2,IF(Z8&lt;120,3,IF(Z8&lt;140,3.5,IF(Z8&lt;160,4,5)))))</f>
        <v>5</v>
      </c>
      <c r="AC8" s="116">
        <v>17</v>
      </c>
      <c r="AD8" s="147">
        <v>38</v>
      </c>
      <c r="AE8" s="146">
        <f>AD8+AC8</f>
        <v>55</v>
      </c>
      <c r="AF8" s="147">
        <v>17</v>
      </c>
      <c r="AG8" s="146">
        <f>AF8+AE8</f>
        <v>72</v>
      </c>
      <c r="AH8" s="263">
        <f>MAX(AG8:AG95)</f>
        <v>87</v>
      </c>
      <c r="AI8" s="147">
        <f t="shared" ref="AI8:AI71" si="1">IF(AE8&lt;28,"F",IF(AF8&lt;12,"F",IF(AG8&lt;40,"F",IF(AG8&lt;50,2,IF(AG8&lt;60,3,IF(AG8&lt;70,3.5,IF(AG8&lt;80,4,5)))))))</f>
        <v>4</v>
      </c>
      <c r="AJ8" s="116">
        <v>20</v>
      </c>
      <c r="AK8" s="147">
        <v>43</v>
      </c>
      <c r="AL8" s="146">
        <f>AK8+AJ8</f>
        <v>63</v>
      </c>
      <c r="AM8" s="147">
        <v>24</v>
      </c>
      <c r="AN8" s="146">
        <f>AL8+AM8</f>
        <v>87</v>
      </c>
      <c r="AO8" s="263">
        <f>MAX(AN8:AN95)</f>
        <v>98</v>
      </c>
      <c r="AP8" s="147">
        <f t="shared" ref="AP8:AP71" si="2">IF(AL8&lt;28,"F",IF(AM8&lt;12,"F",IF(AN8&lt;40,"F",IF(AN8&lt;50,2,IF(AN8&lt;60,3,IF(AN8&lt;70,3.5,IF(AN8&lt;80,4,5)))))))</f>
        <v>5</v>
      </c>
      <c r="AQ8" s="116"/>
      <c r="AR8" s="147">
        <v>25</v>
      </c>
      <c r="AS8" s="147">
        <v>25</v>
      </c>
      <c r="AT8" s="147">
        <f>SUM(AQ8:AS8)</f>
        <v>50</v>
      </c>
      <c r="AU8" s="264">
        <f>MAX(AT8:AT95)</f>
        <v>50</v>
      </c>
      <c r="AV8" s="147">
        <f>IF(AR8&lt;10,"F",IF(AS8&lt;10,"F",IF(AT8&lt;20,"F",IF(AT8&lt;25,2,IF(AT8&lt;30,3,IF(AT8&lt;35,3.5,IF(AT8&lt;40,4,5)))))))</f>
        <v>5</v>
      </c>
      <c r="AW8" s="116">
        <v>18</v>
      </c>
      <c r="AX8" s="147">
        <v>42</v>
      </c>
      <c r="AY8" s="146">
        <f>AX8+AW8</f>
        <v>60</v>
      </c>
      <c r="AZ8" s="147">
        <v>25</v>
      </c>
      <c r="BA8" s="146">
        <f>AY8+AZ8</f>
        <v>85</v>
      </c>
      <c r="BB8" s="263">
        <f>MAX(BA8:BA95)</f>
        <v>88</v>
      </c>
      <c r="BC8" s="147">
        <f>IF(AY8&lt;28,"F",IF(AZ8&lt;12,"F",IF(BA8&lt;40,"F",IF(BA8&lt;50,2,IF(BA8&lt;60,3,IF(BA8&lt;70,3.5,IF(BA8&lt;80,4,5)))))))</f>
        <v>5</v>
      </c>
      <c r="BD8" s="116">
        <v>8</v>
      </c>
      <c r="BE8" s="116">
        <v>34</v>
      </c>
      <c r="BF8" s="146">
        <f>BE8+BD8</f>
        <v>42</v>
      </c>
      <c r="BG8" s="147">
        <v>22</v>
      </c>
      <c r="BH8" s="147">
        <v>25</v>
      </c>
      <c r="BI8" s="146">
        <f>BF8+BG8+BH8</f>
        <v>89</v>
      </c>
      <c r="BJ8" s="263">
        <f>MAX(BI8:BI95)</f>
        <v>96</v>
      </c>
      <c r="BK8" s="147">
        <f t="shared" ref="BK8:BK95" si="3">IF(BF8&lt;20,"F",IF(BG8&lt;10,"F",IF(BH8&lt;10,"F",IF(BI8&lt;40,"F",IF(BI8&lt;50,2,IF(BI8&lt;60,3,IF(BI8&lt;70,3.5,IF(BI8&lt;80,4,5))))))))</f>
        <v>5</v>
      </c>
      <c r="BL8" s="116">
        <v>9</v>
      </c>
      <c r="BM8" s="147">
        <v>39</v>
      </c>
      <c r="BN8" s="146">
        <f>BM8+BL8</f>
        <v>48</v>
      </c>
      <c r="BO8" s="147">
        <v>16</v>
      </c>
      <c r="BP8" s="147">
        <v>25</v>
      </c>
      <c r="BQ8" s="146">
        <f>BN8+BO8+BP8</f>
        <v>89</v>
      </c>
      <c r="BR8" s="263">
        <f>MAX(BQ8:BQ95)</f>
        <v>99</v>
      </c>
      <c r="BS8" s="147">
        <f>IF(BN8&lt;20,"F",IF(BO8&lt;10,"F",IF(BP8&lt;10,"F",IF(BQ8&lt;40,"F",IF(BQ8&lt;50,2,IF(BQ8&lt;60,3,IF(BQ8&lt;70,3.5,IF(BQ8&lt;80,4,5))))))))</f>
        <v>5</v>
      </c>
      <c r="BT8" s="116">
        <v>10</v>
      </c>
      <c r="BU8" s="147">
        <v>40</v>
      </c>
      <c r="BV8" s="146">
        <f>BU8+BT8</f>
        <v>50</v>
      </c>
      <c r="BW8" s="147">
        <v>19</v>
      </c>
      <c r="BX8" s="147">
        <v>23</v>
      </c>
      <c r="BY8" s="146">
        <f>BV8+BW8+BX8</f>
        <v>92</v>
      </c>
      <c r="BZ8" s="263">
        <f>MAX(BY8:BY95)</f>
        <v>94</v>
      </c>
      <c r="CA8" s="147">
        <f>IF(BV8&lt;20,"F",IF(BW8&lt;10,"F",IF(BX8&lt;10,"F",IF(BY8&lt;40,"F",IF(BY8&lt;50,2,IF(BY8&lt;60,3,IF(BY8&lt;70,3.5,IF(BY8&lt;80,4,5))))))))</f>
        <v>5</v>
      </c>
      <c r="CB8" s="116">
        <v>6</v>
      </c>
      <c r="CC8" s="147">
        <v>43</v>
      </c>
      <c r="CD8" s="146">
        <f>CC8+CB8</f>
        <v>49</v>
      </c>
      <c r="CE8" s="147">
        <v>13</v>
      </c>
      <c r="CF8" s="147">
        <v>23</v>
      </c>
      <c r="CG8" s="146">
        <f>CD8+CE8+CF8</f>
        <v>85</v>
      </c>
      <c r="CH8" s="263">
        <f>MAX(CG8:CG95)</f>
        <v>91</v>
      </c>
      <c r="CI8" s="129">
        <f>IF(CD8&lt;20,"0",IF(CE8&lt;10,"0",IF(CF8&lt;10,"0",IF(CG8&lt;40,"0",IF(CG8&lt;50,2,IF(CG8&lt;60,3,IF(CG8&lt;70,3.5,IF(CG8&lt;80,4,5))))))))</f>
        <v>5</v>
      </c>
      <c r="CJ8" s="147">
        <f t="shared" ref="CJ8:CJ71" si="4">IF(S8="F","F",IF(AB8="F","F",IF(AI8="F","F",IF(AP8="F","F",IF(BC8="F","F",IF(BK8="F","F",IF(BS8="F","F",IF(CA8="F","F",IF(CI8="F","F",IF(AV8="F","F", IF(CI8&lt;=2,SUM(S8,AB8,AI8,AP8,AV8,BC8,BK8,BS8,CA8,CI8),IF(CI8&gt;=2,SUM(S8,AB8,AI8,AP8,BC8,BK8,AV8,BS8,CA8,CI8-2)))))))))))))</f>
        <v>47</v>
      </c>
      <c r="CK8" s="130">
        <f>IF(CJ8="F","F",IF(CJ8&gt;=45,5,IF(CJ8&lt;45,CJ8/9)))</f>
        <v>5</v>
      </c>
      <c r="CL8" s="130" t="str">
        <f>IF(CK8="F","F",IF(CK8&lt;2.5,"D",IF(CK8&lt;3,"C",IF(CK8&lt;3.5,"B",IF(CK8&lt;4,"A-",IF(CK8&lt;5,"A","A+"))))))</f>
        <v>A+</v>
      </c>
      <c r="CM8" s="37" t="str">
        <f t="shared" ref="CM8:CM71" si="5">IF(CK8="F","NEED TO PROGRESS",IF(CK8&gt;=5,"BEST",IF(CK8&gt;=4,"BETTER",IF(CK8&gt;=2,"GOOD"))))</f>
        <v>BEST</v>
      </c>
      <c r="CN8" s="38">
        <f t="shared" ref="CN8:CN71" si="6">Q8+Z8+AG8+AN8+AT8+BA8+BI8+BQ8+BY8+CG8</f>
        <v>995</v>
      </c>
      <c r="CO8" s="37">
        <f t="shared" ref="CO8" si="7">IF(CK8="F","F",RANK(CN8,CN$8:CN$95))</f>
        <v>2</v>
      </c>
      <c r="CP8" s="40"/>
    </row>
    <row r="9" spans="1:94" s="41" customFormat="1" ht="27" customHeight="1">
      <c r="A9" s="207">
        <v>2</v>
      </c>
      <c r="B9" s="117">
        <v>2</v>
      </c>
      <c r="C9" s="118" t="s">
        <v>96</v>
      </c>
      <c r="D9" s="69" t="s">
        <v>93</v>
      </c>
      <c r="E9" s="69" t="s">
        <v>94</v>
      </c>
      <c r="F9" s="70" t="s">
        <v>97</v>
      </c>
      <c r="G9" s="116">
        <v>19</v>
      </c>
      <c r="H9" s="147">
        <v>39</v>
      </c>
      <c r="I9" s="146">
        <f t="shared" ref="I9:I72" si="8">H9+G9</f>
        <v>58</v>
      </c>
      <c r="J9" s="147">
        <v>17</v>
      </c>
      <c r="K9" s="146">
        <f>I9+J9</f>
        <v>75</v>
      </c>
      <c r="L9" s="116">
        <v>19</v>
      </c>
      <c r="M9" s="147">
        <v>46</v>
      </c>
      <c r="N9" s="146">
        <f t="shared" ref="N9:N72" si="9">M9+L9</f>
        <v>65</v>
      </c>
      <c r="O9" s="147">
        <v>27</v>
      </c>
      <c r="P9" s="146">
        <f t="shared" ref="P9:P18" si="10">N9+O9</f>
        <v>92</v>
      </c>
      <c r="Q9" s="146">
        <f t="shared" ref="Q9:Q72" si="11">K9+P9</f>
        <v>167</v>
      </c>
      <c r="R9" s="263"/>
      <c r="S9" s="147">
        <f t="shared" ref="S9:S72" si="12">IF(I9+N9&lt;=56,"F",IF(I9+N9&lt;=24,"F",IF(Q9&lt;80,"F",IF(Q9&lt;100,2,IF(Q9&lt;120,3,IF(Q9&lt;140,3.5,IF(Q9&lt;160,4,5)))))))</f>
        <v>5</v>
      </c>
      <c r="T9" s="116">
        <v>15</v>
      </c>
      <c r="U9" s="147">
        <v>64</v>
      </c>
      <c r="V9" s="146">
        <f t="shared" ref="V9:V72" si="13">U9+T9</f>
        <v>79</v>
      </c>
      <c r="W9" s="147">
        <v>16</v>
      </c>
      <c r="X9" s="147">
        <v>71</v>
      </c>
      <c r="Y9" s="146">
        <f t="shared" ref="Y9:Y72" si="14">W9+X9</f>
        <v>87</v>
      </c>
      <c r="Z9" s="146">
        <f t="shared" ref="Z9:Z72" si="15">V9+Y9</f>
        <v>166</v>
      </c>
      <c r="AA9" s="263"/>
      <c r="AB9" s="147">
        <f t="shared" si="0"/>
        <v>5</v>
      </c>
      <c r="AC9" s="116">
        <v>19</v>
      </c>
      <c r="AD9" s="147">
        <v>45</v>
      </c>
      <c r="AE9" s="146">
        <f t="shared" ref="AE9:AE72" si="16">AD9+AC9</f>
        <v>64</v>
      </c>
      <c r="AF9" s="147">
        <v>16</v>
      </c>
      <c r="AG9" s="146">
        <f t="shared" ref="AG9:AG72" si="17">AF9+AE9</f>
        <v>80</v>
      </c>
      <c r="AH9" s="263"/>
      <c r="AI9" s="147">
        <f t="shared" si="1"/>
        <v>5</v>
      </c>
      <c r="AJ9" s="116">
        <v>20</v>
      </c>
      <c r="AK9" s="147">
        <v>44</v>
      </c>
      <c r="AL9" s="146">
        <f t="shared" ref="AL9:AL72" si="18">AK9+AJ9</f>
        <v>64</v>
      </c>
      <c r="AM9" s="147">
        <v>22</v>
      </c>
      <c r="AN9" s="146">
        <f t="shared" ref="AN9:AN72" si="19">AL9+AM9</f>
        <v>86</v>
      </c>
      <c r="AO9" s="263"/>
      <c r="AP9" s="147">
        <f t="shared" si="2"/>
        <v>5</v>
      </c>
      <c r="AQ9" s="116"/>
      <c r="AR9" s="147">
        <v>25</v>
      </c>
      <c r="AS9" s="147">
        <v>25</v>
      </c>
      <c r="AT9" s="147">
        <f t="shared" ref="AT9:AT72" si="20">SUM(AQ9:AS9)</f>
        <v>50</v>
      </c>
      <c r="AU9" s="264"/>
      <c r="AV9" s="147">
        <f t="shared" ref="AV9:AV72" si="21">IF(AR9&lt;10,"F",IF(AS9&lt;10,"F",IF(AT9&lt;20,"F",IF(AT9&lt;25,2,IF(AT9&lt;30,3,IF(AT9&lt;35,3.5,IF(AT9&lt;40,4,5)))))))</f>
        <v>5</v>
      </c>
      <c r="AW9" s="116">
        <v>18</v>
      </c>
      <c r="AX9" s="147">
        <v>34</v>
      </c>
      <c r="AY9" s="146">
        <f t="shared" ref="AY9:AY72" si="22">AX9+AW9</f>
        <v>52</v>
      </c>
      <c r="AZ9" s="147">
        <v>26</v>
      </c>
      <c r="BA9" s="146">
        <f t="shared" ref="BA9:BA72" si="23">AY9+AZ9</f>
        <v>78</v>
      </c>
      <c r="BB9" s="263"/>
      <c r="BC9" s="147">
        <f t="shared" ref="BC9:BC72" si="24">IF(AY9&lt;28,"F",IF(AZ9&lt;12,"F",IF(BA9&lt;40,"F",IF(BA9&lt;50,2,IF(BA9&lt;60,3,IF(BA9&lt;70,3.5,IF(BA9&lt;80,4,5)))))))</f>
        <v>4</v>
      </c>
      <c r="BD9" s="116">
        <v>10</v>
      </c>
      <c r="BE9" s="116">
        <v>35</v>
      </c>
      <c r="BF9" s="146">
        <f t="shared" ref="BF9:BF72" si="25">BE9+BD9</f>
        <v>45</v>
      </c>
      <c r="BG9" s="147">
        <v>22</v>
      </c>
      <c r="BH9" s="147">
        <v>25</v>
      </c>
      <c r="BI9" s="146">
        <f t="shared" ref="BI9:BI72" si="26">BF9+BG9+BH9</f>
        <v>92</v>
      </c>
      <c r="BJ9" s="264"/>
      <c r="BK9" s="147">
        <f t="shared" si="3"/>
        <v>5</v>
      </c>
      <c r="BL9" s="116">
        <v>9</v>
      </c>
      <c r="BM9" s="147">
        <v>38</v>
      </c>
      <c r="BN9" s="146">
        <f t="shared" ref="BN9:BN72" si="27">BM9+BL9</f>
        <v>47</v>
      </c>
      <c r="BO9" s="147">
        <v>17</v>
      </c>
      <c r="BP9" s="147">
        <v>25</v>
      </c>
      <c r="BQ9" s="146">
        <f t="shared" ref="BQ9:BQ72" si="28">BN9+BO9+BP9</f>
        <v>89</v>
      </c>
      <c r="BR9" s="263"/>
      <c r="BS9" s="147">
        <f t="shared" ref="BS9:BS72" si="29">IF(BN9&lt;20,"F",IF(BO9&lt;10,"F",IF(BP9&lt;10,"F",IF(BQ9&lt;40,"F",IF(BQ9&lt;50,2,IF(BQ9&lt;60,3,IF(BQ9&lt;70,3.5,IF(BQ9&lt;80,4,5))))))))</f>
        <v>5</v>
      </c>
      <c r="BT9" s="116">
        <v>10</v>
      </c>
      <c r="BU9" s="147">
        <v>38</v>
      </c>
      <c r="BV9" s="146">
        <f t="shared" ref="BV9:BV72" si="30">BU9+BT9</f>
        <v>48</v>
      </c>
      <c r="BW9" s="147">
        <v>19</v>
      </c>
      <c r="BX9" s="147">
        <v>23</v>
      </c>
      <c r="BY9" s="146">
        <f t="shared" ref="BY9:BY72" si="31">BV9+BW9+BX9</f>
        <v>90</v>
      </c>
      <c r="BZ9" s="264"/>
      <c r="CA9" s="147">
        <f t="shared" ref="CA9:CA72" si="32">IF(BV9&lt;20,"F",IF(BW9&lt;10,"F",IF(BX9&lt;10,"F",IF(BY9&lt;40,"F",IF(BY9&lt;50,2,IF(BY9&lt;60,3,IF(BY9&lt;70,3.5,IF(BY9&lt;80,4,5))))))))</f>
        <v>5</v>
      </c>
      <c r="CB9" s="116">
        <v>9</v>
      </c>
      <c r="CC9" s="147">
        <v>37</v>
      </c>
      <c r="CD9" s="146">
        <f t="shared" ref="CD9:CD72" si="33">CC9+CB9</f>
        <v>46</v>
      </c>
      <c r="CE9" s="147">
        <v>19</v>
      </c>
      <c r="CF9" s="147">
        <v>23</v>
      </c>
      <c r="CG9" s="146">
        <f t="shared" ref="CG9:CG72" si="34">CD9+CE9+CF9</f>
        <v>88</v>
      </c>
      <c r="CH9" s="263"/>
      <c r="CI9" s="129">
        <f t="shared" ref="CI9:CI72" si="35">IF(CD9&lt;20,"0",IF(CE9&lt;10,"0",IF(CF9&lt;10,"0",IF(CG9&lt;40,"0",IF(CG9&lt;50,2,IF(CG9&lt;60,3,IF(CG9&lt;70,3.5,IF(CG9&lt;80,4,5))))))))</f>
        <v>5</v>
      </c>
      <c r="CJ9" s="147">
        <f t="shared" si="4"/>
        <v>47</v>
      </c>
      <c r="CK9" s="130">
        <f t="shared" ref="CK9:CK72" si="36">IF(CJ9="F","F",IF(CJ9&gt;=45,5,IF(CJ9&lt;45,CJ9/9)))</f>
        <v>5</v>
      </c>
      <c r="CL9" s="130" t="str">
        <f t="shared" ref="CL9:CL72" si="37">IF(CK9="F","F",IF(CK9&lt;2.5,"D",IF(CK9&lt;3,"C",IF(CK9&lt;3.5,"B",IF(CK9&lt;4,"A-",IF(CK9&lt;5,"A","A+"))))))</f>
        <v>A+</v>
      </c>
      <c r="CM9" s="37" t="str">
        <f t="shared" si="5"/>
        <v>BEST</v>
      </c>
      <c r="CN9" s="38">
        <f t="shared" si="6"/>
        <v>986</v>
      </c>
      <c r="CO9" s="37">
        <f t="shared" ref="CO9:CO72" si="38">IF(CK9="F","F",RANK(CN9,CN$8:CN$95))</f>
        <v>4</v>
      </c>
      <c r="CP9" s="40"/>
    </row>
    <row r="10" spans="1:94" s="41" customFormat="1" ht="27" customHeight="1">
      <c r="A10" s="207">
        <v>3</v>
      </c>
      <c r="B10" s="117">
        <v>3</v>
      </c>
      <c r="C10" s="118" t="s">
        <v>98</v>
      </c>
      <c r="D10" s="69" t="s">
        <v>99</v>
      </c>
      <c r="E10" s="69" t="s">
        <v>100</v>
      </c>
      <c r="F10" s="70" t="s">
        <v>101</v>
      </c>
      <c r="G10" s="116">
        <v>19</v>
      </c>
      <c r="H10" s="147">
        <v>41</v>
      </c>
      <c r="I10" s="146">
        <f t="shared" si="8"/>
        <v>60</v>
      </c>
      <c r="J10" s="147">
        <v>23</v>
      </c>
      <c r="K10" s="146">
        <f t="shared" ref="K10:K12" si="39">I10+J10</f>
        <v>83</v>
      </c>
      <c r="L10" s="116">
        <v>19</v>
      </c>
      <c r="M10" s="147">
        <v>45</v>
      </c>
      <c r="N10" s="146">
        <f t="shared" si="9"/>
        <v>64</v>
      </c>
      <c r="O10" s="147">
        <v>24</v>
      </c>
      <c r="P10" s="146">
        <f t="shared" si="10"/>
        <v>88</v>
      </c>
      <c r="Q10" s="146">
        <f t="shared" si="11"/>
        <v>171</v>
      </c>
      <c r="R10" s="263"/>
      <c r="S10" s="147">
        <f t="shared" si="12"/>
        <v>5</v>
      </c>
      <c r="T10" s="116">
        <v>17</v>
      </c>
      <c r="U10" s="147">
        <v>69</v>
      </c>
      <c r="V10" s="146">
        <f t="shared" si="13"/>
        <v>86</v>
      </c>
      <c r="W10" s="147">
        <v>15</v>
      </c>
      <c r="X10" s="147">
        <v>71</v>
      </c>
      <c r="Y10" s="146">
        <f t="shared" si="14"/>
        <v>86</v>
      </c>
      <c r="Z10" s="146">
        <f t="shared" si="15"/>
        <v>172</v>
      </c>
      <c r="AA10" s="263"/>
      <c r="AB10" s="147">
        <f t="shared" si="0"/>
        <v>5</v>
      </c>
      <c r="AC10" s="116">
        <v>19</v>
      </c>
      <c r="AD10" s="147">
        <v>47</v>
      </c>
      <c r="AE10" s="146">
        <f t="shared" si="16"/>
        <v>66</v>
      </c>
      <c r="AF10" s="147">
        <v>19</v>
      </c>
      <c r="AG10" s="146">
        <f t="shared" si="17"/>
        <v>85</v>
      </c>
      <c r="AH10" s="263"/>
      <c r="AI10" s="147">
        <f t="shared" si="1"/>
        <v>5</v>
      </c>
      <c r="AJ10" s="116">
        <v>20</v>
      </c>
      <c r="AK10" s="147">
        <v>43</v>
      </c>
      <c r="AL10" s="146">
        <f t="shared" si="18"/>
        <v>63</v>
      </c>
      <c r="AM10" s="147">
        <v>25</v>
      </c>
      <c r="AN10" s="146">
        <f t="shared" si="19"/>
        <v>88</v>
      </c>
      <c r="AO10" s="263"/>
      <c r="AP10" s="147">
        <f t="shared" si="2"/>
        <v>5</v>
      </c>
      <c r="AQ10" s="116"/>
      <c r="AR10" s="147">
        <v>25</v>
      </c>
      <c r="AS10" s="147">
        <v>25</v>
      </c>
      <c r="AT10" s="147">
        <f t="shared" si="20"/>
        <v>50</v>
      </c>
      <c r="AU10" s="264"/>
      <c r="AV10" s="147">
        <f t="shared" si="21"/>
        <v>5</v>
      </c>
      <c r="AW10" s="116">
        <v>18</v>
      </c>
      <c r="AX10" s="147">
        <v>42</v>
      </c>
      <c r="AY10" s="146">
        <f t="shared" si="22"/>
        <v>60</v>
      </c>
      <c r="AZ10" s="147">
        <v>26</v>
      </c>
      <c r="BA10" s="146">
        <f t="shared" si="23"/>
        <v>86</v>
      </c>
      <c r="BB10" s="263"/>
      <c r="BC10" s="147">
        <f t="shared" si="24"/>
        <v>5</v>
      </c>
      <c r="BD10" s="116">
        <v>10</v>
      </c>
      <c r="BE10" s="116">
        <v>39</v>
      </c>
      <c r="BF10" s="146">
        <f t="shared" si="25"/>
        <v>49</v>
      </c>
      <c r="BG10" s="147">
        <v>22</v>
      </c>
      <c r="BH10" s="147">
        <v>25</v>
      </c>
      <c r="BI10" s="146">
        <f t="shared" si="26"/>
        <v>96</v>
      </c>
      <c r="BJ10" s="264"/>
      <c r="BK10" s="147">
        <f t="shared" si="3"/>
        <v>5</v>
      </c>
      <c r="BL10" s="116">
        <v>10</v>
      </c>
      <c r="BM10" s="147">
        <v>30</v>
      </c>
      <c r="BN10" s="146">
        <f t="shared" si="27"/>
        <v>40</v>
      </c>
      <c r="BO10" s="147">
        <v>15</v>
      </c>
      <c r="BP10" s="147">
        <v>23</v>
      </c>
      <c r="BQ10" s="146">
        <f t="shared" si="28"/>
        <v>78</v>
      </c>
      <c r="BR10" s="263"/>
      <c r="BS10" s="147">
        <f t="shared" si="29"/>
        <v>4</v>
      </c>
      <c r="BT10" s="116">
        <v>9</v>
      </c>
      <c r="BU10" s="147">
        <v>36</v>
      </c>
      <c r="BV10" s="146">
        <f t="shared" si="30"/>
        <v>45</v>
      </c>
      <c r="BW10" s="147">
        <v>16</v>
      </c>
      <c r="BX10" s="147">
        <v>23</v>
      </c>
      <c r="BY10" s="146">
        <f t="shared" si="31"/>
        <v>84</v>
      </c>
      <c r="BZ10" s="264"/>
      <c r="CA10" s="147">
        <f t="shared" si="32"/>
        <v>5</v>
      </c>
      <c r="CB10" s="116">
        <v>8</v>
      </c>
      <c r="CC10" s="147">
        <v>35</v>
      </c>
      <c r="CD10" s="146">
        <f t="shared" si="33"/>
        <v>43</v>
      </c>
      <c r="CE10" s="147">
        <v>16</v>
      </c>
      <c r="CF10" s="147">
        <v>23</v>
      </c>
      <c r="CG10" s="146">
        <f t="shared" si="34"/>
        <v>82</v>
      </c>
      <c r="CH10" s="263"/>
      <c r="CI10" s="129">
        <f t="shared" si="35"/>
        <v>5</v>
      </c>
      <c r="CJ10" s="147">
        <f t="shared" si="4"/>
        <v>47</v>
      </c>
      <c r="CK10" s="130">
        <f t="shared" si="36"/>
        <v>5</v>
      </c>
      <c r="CL10" s="130" t="str">
        <f t="shared" si="37"/>
        <v>A+</v>
      </c>
      <c r="CM10" s="37" t="str">
        <f t="shared" si="5"/>
        <v>BEST</v>
      </c>
      <c r="CN10" s="38">
        <f t="shared" si="6"/>
        <v>992</v>
      </c>
      <c r="CO10" s="37">
        <f t="shared" si="38"/>
        <v>3</v>
      </c>
      <c r="CP10" s="40"/>
    </row>
    <row r="11" spans="1:94" s="41" customFormat="1" ht="27" customHeight="1">
      <c r="A11" s="207">
        <v>4</v>
      </c>
      <c r="B11" s="117">
        <v>5</v>
      </c>
      <c r="C11" s="179" t="s">
        <v>102</v>
      </c>
      <c r="D11" s="95" t="s">
        <v>103</v>
      </c>
      <c r="E11" s="95" t="s">
        <v>104</v>
      </c>
      <c r="F11" s="96" t="s">
        <v>105</v>
      </c>
      <c r="G11" s="116">
        <v>17</v>
      </c>
      <c r="H11" s="147">
        <v>37</v>
      </c>
      <c r="I11" s="146">
        <f t="shared" si="8"/>
        <v>54</v>
      </c>
      <c r="J11" s="147">
        <v>25</v>
      </c>
      <c r="K11" s="146">
        <f t="shared" si="39"/>
        <v>79</v>
      </c>
      <c r="L11" s="116">
        <v>19</v>
      </c>
      <c r="M11" s="147">
        <v>42</v>
      </c>
      <c r="N11" s="146">
        <f t="shared" si="9"/>
        <v>61</v>
      </c>
      <c r="O11" s="147">
        <v>28</v>
      </c>
      <c r="P11" s="146">
        <f t="shared" si="10"/>
        <v>89</v>
      </c>
      <c r="Q11" s="146">
        <f t="shared" si="11"/>
        <v>168</v>
      </c>
      <c r="R11" s="263"/>
      <c r="S11" s="147">
        <f t="shared" si="12"/>
        <v>5</v>
      </c>
      <c r="T11" s="116">
        <v>13</v>
      </c>
      <c r="U11" s="147">
        <v>57</v>
      </c>
      <c r="V11" s="146">
        <f t="shared" si="13"/>
        <v>70</v>
      </c>
      <c r="W11" s="147">
        <v>10</v>
      </c>
      <c r="X11" s="147">
        <v>67</v>
      </c>
      <c r="Y11" s="146">
        <f t="shared" si="14"/>
        <v>77</v>
      </c>
      <c r="Z11" s="146">
        <f t="shared" si="15"/>
        <v>147</v>
      </c>
      <c r="AA11" s="263"/>
      <c r="AB11" s="147">
        <f t="shared" si="0"/>
        <v>4</v>
      </c>
      <c r="AC11" s="116">
        <v>9</v>
      </c>
      <c r="AD11" s="147">
        <v>19</v>
      </c>
      <c r="AE11" s="146">
        <f t="shared" si="16"/>
        <v>28</v>
      </c>
      <c r="AF11" s="147">
        <v>18</v>
      </c>
      <c r="AG11" s="146">
        <f t="shared" si="17"/>
        <v>46</v>
      </c>
      <c r="AH11" s="263"/>
      <c r="AI11" s="147">
        <f t="shared" si="1"/>
        <v>2</v>
      </c>
      <c r="AJ11" s="116">
        <v>20</v>
      </c>
      <c r="AK11" s="147">
        <v>49</v>
      </c>
      <c r="AL11" s="146">
        <f t="shared" si="18"/>
        <v>69</v>
      </c>
      <c r="AM11" s="147">
        <v>29</v>
      </c>
      <c r="AN11" s="146">
        <f t="shared" si="19"/>
        <v>98</v>
      </c>
      <c r="AO11" s="263"/>
      <c r="AP11" s="147">
        <f t="shared" si="2"/>
        <v>5</v>
      </c>
      <c r="AQ11" s="116"/>
      <c r="AR11" s="147">
        <v>25</v>
      </c>
      <c r="AS11" s="147">
        <v>25</v>
      </c>
      <c r="AT11" s="147">
        <f t="shared" si="20"/>
        <v>50</v>
      </c>
      <c r="AU11" s="264"/>
      <c r="AV11" s="147">
        <f t="shared" si="21"/>
        <v>5</v>
      </c>
      <c r="AW11" s="116">
        <v>15</v>
      </c>
      <c r="AX11" s="147">
        <v>29</v>
      </c>
      <c r="AY11" s="146">
        <f t="shared" si="22"/>
        <v>44</v>
      </c>
      <c r="AZ11" s="147">
        <v>23</v>
      </c>
      <c r="BA11" s="146">
        <f t="shared" si="23"/>
        <v>67</v>
      </c>
      <c r="BB11" s="263"/>
      <c r="BC11" s="147">
        <f t="shared" si="24"/>
        <v>3.5</v>
      </c>
      <c r="BD11" s="116">
        <v>5</v>
      </c>
      <c r="BE11" s="116">
        <v>8</v>
      </c>
      <c r="BF11" s="146">
        <f t="shared" si="25"/>
        <v>13</v>
      </c>
      <c r="BG11" s="147">
        <v>8</v>
      </c>
      <c r="BH11" s="147">
        <v>20</v>
      </c>
      <c r="BI11" s="146">
        <f t="shared" si="26"/>
        <v>41</v>
      </c>
      <c r="BJ11" s="264"/>
      <c r="BK11" s="147" t="str">
        <f t="shared" si="3"/>
        <v>F</v>
      </c>
      <c r="BL11" s="116">
        <v>7</v>
      </c>
      <c r="BM11" s="147">
        <v>26</v>
      </c>
      <c r="BN11" s="146">
        <f t="shared" si="27"/>
        <v>33</v>
      </c>
      <c r="BO11" s="147">
        <v>13</v>
      </c>
      <c r="BP11" s="147">
        <v>22</v>
      </c>
      <c r="BQ11" s="146">
        <f t="shared" si="28"/>
        <v>68</v>
      </c>
      <c r="BR11" s="263"/>
      <c r="BS11" s="147">
        <f t="shared" si="29"/>
        <v>3.5</v>
      </c>
      <c r="BT11" s="116">
        <v>9</v>
      </c>
      <c r="BU11" s="147">
        <v>27</v>
      </c>
      <c r="BV11" s="146">
        <f t="shared" si="30"/>
        <v>36</v>
      </c>
      <c r="BW11" s="147">
        <v>13</v>
      </c>
      <c r="BX11" s="147">
        <v>22</v>
      </c>
      <c r="BY11" s="146">
        <f t="shared" si="31"/>
        <v>71</v>
      </c>
      <c r="BZ11" s="264"/>
      <c r="CA11" s="147">
        <f t="shared" si="32"/>
        <v>4</v>
      </c>
      <c r="CB11" s="116">
        <v>6</v>
      </c>
      <c r="CC11" s="147">
        <v>21</v>
      </c>
      <c r="CD11" s="146">
        <f t="shared" si="33"/>
        <v>27</v>
      </c>
      <c r="CE11" s="147">
        <v>10</v>
      </c>
      <c r="CF11" s="147">
        <v>23</v>
      </c>
      <c r="CG11" s="146">
        <f t="shared" si="34"/>
        <v>60</v>
      </c>
      <c r="CH11" s="263"/>
      <c r="CI11" s="129">
        <f t="shared" si="35"/>
        <v>3.5</v>
      </c>
      <c r="CJ11" s="147" t="str">
        <f t="shared" si="4"/>
        <v>F</v>
      </c>
      <c r="CK11" s="130" t="str">
        <f t="shared" si="36"/>
        <v>F</v>
      </c>
      <c r="CL11" s="130" t="str">
        <f t="shared" si="37"/>
        <v>F</v>
      </c>
      <c r="CM11" s="37" t="str">
        <f t="shared" si="5"/>
        <v>NEED TO PROGRESS</v>
      </c>
      <c r="CN11" s="38">
        <f t="shared" si="6"/>
        <v>816</v>
      </c>
      <c r="CO11" s="37" t="str">
        <f t="shared" si="38"/>
        <v>F</v>
      </c>
      <c r="CP11" s="40"/>
    </row>
    <row r="12" spans="1:94" s="41" customFormat="1" ht="27" customHeight="1">
      <c r="A12" s="208">
        <v>5</v>
      </c>
      <c r="B12" s="183">
        <v>6</v>
      </c>
      <c r="C12" s="118" t="s">
        <v>106</v>
      </c>
      <c r="D12" s="69" t="s">
        <v>107</v>
      </c>
      <c r="E12" s="69" t="s">
        <v>108</v>
      </c>
      <c r="F12" s="97" t="s">
        <v>109</v>
      </c>
      <c r="G12" s="116">
        <v>16</v>
      </c>
      <c r="H12" s="147">
        <v>29</v>
      </c>
      <c r="I12" s="146">
        <f t="shared" si="8"/>
        <v>45</v>
      </c>
      <c r="J12" s="147">
        <v>17</v>
      </c>
      <c r="K12" s="146">
        <f t="shared" si="39"/>
        <v>62</v>
      </c>
      <c r="L12" s="116">
        <v>17</v>
      </c>
      <c r="M12" s="147">
        <v>35</v>
      </c>
      <c r="N12" s="146">
        <f t="shared" si="9"/>
        <v>52</v>
      </c>
      <c r="O12" s="147">
        <v>27</v>
      </c>
      <c r="P12" s="146">
        <f t="shared" si="10"/>
        <v>79</v>
      </c>
      <c r="Q12" s="146">
        <f t="shared" si="11"/>
        <v>141</v>
      </c>
      <c r="R12" s="263"/>
      <c r="S12" s="147">
        <f t="shared" si="12"/>
        <v>4</v>
      </c>
      <c r="T12" s="116">
        <v>16</v>
      </c>
      <c r="U12" s="147">
        <v>56</v>
      </c>
      <c r="V12" s="146">
        <f t="shared" si="13"/>
        <v>72</v>
      </c>
      <c r="W12" s="147">
        <v>12</v>
      </c>
      <c r="X12" s="147">
        <v>52</v>
      </c>
      <c r="Y12" s="146">
        <f t="shared" si="14"/>
        <v>64</v>
      </c>
      <c r="Z12" s="146">
        <f t="shared" si="15"/>
        <v>136</v>
      </c>
      <c r="AA12" s="263"/>
      <c r="AB12" s="147">
        <f t="shared" si="0"/>
        <v>3.5</v>
      </c>
      <c r="AC12" s="116">
        <v>14</v>
      </c>
      <c r="AD12" s="147">
        <v>28</v>
      </c>
      <c r="AE12" s="146">
        <f t="shared" si="16"/>
        <v>42</v>
      </c>
      <c r="AF12" s="147">
        <v>24</v>
      </c>
      <c r="AG12" s="146">
        <f t="shared" si="17"/>
        <v>66</v>
      </c>
      <c r="AH12" s="263"/>
      <c r="AI12" s="147">
        <f t="shared" si="1"/>
        <v>3.5</v>
      </c>
      <c r="AJ12" s="116">
        <v>18</v>
      </c>
      <c r="AK12" s="147">
        <v>39</v>
      </c>
      <c r="AL12" s="146">
        <f t="shared" si="18"/>
        <v>57</v>
      </c>
      <c r="AM12" s="147">
        <v>25</v>
      </c>
      <c r="AN12" s="146">
        <f t="shared" si="19"/>
        <v>82</v>
      </c>
      <c r="AO12" s="263"/>
      <c r="AP12" s="147">
        <f t="shared" si="2"/>
        <v>5</v>
      </c>
      <c r="AQ12" s="116"/>
      <c r="AR12" s="147">
        <v>24</v>
      </c>
      <c r="AS12" s="147">
        <v>25</v>
      </c>
      <c r="AT12" s="147">
        <f t="shared" si="20"/>
        <v>49</v>
      </c>
      <c r="AU12" s="264"/>
      <c r="AV12" s="147">
        <f t="shared" si="21"/>
        <v>5</v>
      </c>
      <c r="AW12" s="116">
        <v>16</v>
      </c>
      <c r="AX12" s="147">
        <v>29</v>
      </c>
      <c r="AY12" s="146">
        <f t="shared" si="22"/>
        <v>45</v>
      </c>
      <c r="AZ12" s="147">
        <v>20</v>
      </c>
      <c r="BA12" s="146">
        <f t="shared" si="23"/>
        <v>65</v>
      </c>
      <c r="BB12" s="263"/>
      <c r="BC12" s="147">
        <f t="shared" si="24"/>
        <v>3.5</v>
      </c>
      <c r="BD12" s="116">
        <v>4</v>
      </c>
      <c r="BE12" s="147">
        <v>18</v>
      </c>
      <c r="BF12" s="146">
        <f t="shared" si="25"/>
        <v>22</v>
      </c>
      <c r="BG12" s="147">
        <v>12</v>
      </c>
      <c r="BH12" s="147">
        <v>25</v>
      </c>
      <c r="BI12" s="146">
        <f t="shared" si="26"/>
        <v>59</v>
      </c>
      <c r="BJ12" s="264"/>
      <c r="BK12" s="147">
        <f t="shared" si="3"/>
        <v>3</v>
      </c>
      <c r="BL12" s="116">
        <v>7</v>
      </c>
      <c r="BM12" s="147">
        <v>31</v>
      </c>
      <c r="BN12" s="146">
        <f t="shared" si="27"/>
        <v>38</v>
      </c>
      <c r="BO12" s="147">
        <v>14</v>
      </c>
      <c r="BP12" s="147">
        <v>23</v>
      </c>
      <c r="BQ12" s="146">
        <f t="shared" si="28"/>
        <v>75</v>
      </c>
      <c r="BR12" s="263"/>
      <c r="BS12" s="147">
        <f t="shared" si="29"/>
        <v>4</v>
      </c>
      <c r="BT12" s="116">
        <v>8</v>
      </c>
      <c r="BU12" s="147">
        <v>34</v>
      </c>
      <c r="BV12" s="146">
        <f t="shared" si="30"/>
        <v>42</v>
      </c>
      <c r="BW12" s="147">
        <v>15</v>
      </c>
      <c r="BX12" s="147">
        <v>23</v>
      </c>
      <c r="BY12" s="146">
        <f t="shared" si="31"/>
        <v>80</v>
      </c>
      <c r="BZ12" s="264"/>
      <c r="CA12" s="147">
        <f t="shared" si="32"/>
        <v>5</v>
      </c>
      <c r="CB12" s="116">
        <v>11</v>
      </c>
      <c r="CC12" s="147">
        <v>14</v>
      </c>
      <c r="CD12" s="146">
        <f t="shared" si="33"/>
        <v>25</v>
      </c>
      <c r="CE12" s="147">
        <v>12</v>
      </c>
      <c r="CF12" s="147">
        <v>22</v>
      </c>
      <c r="CG12" s="146">
        <f t="shared" si="34"/>
        <v>59</v>
      </c>
      <c r="CH12" s="263"/>
      <c r="CI12" s="129">
        <f t="shared" si="35"/>
        <v>3</v>
      </c>
      <c r="CJ12" s="147">
        <f t="shared" si="4"/>
        <v>37.5</v>
      </c>
      <c r="CK12" s="130">
        <f t="shared" si="36"/>
        <v>4.166666666666667</v>
      </c>
      <c r="CL12" s="130" t="str">
        <f t="shared" si="37"/>
        <v>A</v>
      </c>
      <c r="CM12" s="37" t="str">
        <f t="shared" si="5"/>
        <v>BETTER</v>
      </c>
      <c r="CN12" s="38">
        <f t="shared" si="6"/>
        <v>812</v>
      </c>
      <c r="CO12" s="37">
        <f t="shared" si="38"/>
        <v>19</v>
      </c>
      <c r="CP12" s="40"/>
    </row>
    <row r="13" spans="1:94" s="209" customFormat="1" ht="27" customHeight="1">
      <c r="A13" s="207">
        <v>6</v>
      </c>
      <c r="B13" s="117">
        <v>7</v>
      </c>
      <c r="C13" s="179" t="s">
        <v>110</v>
      </c>
      <c r="D13" s="95" t="s">
        <v>111</v>
      </c>
      <c r="E13" s="95" t="s">
        <v>112</v>
      </c>
      <c r="F13" s="96" t="s">
        <v>113</v>
      </c>
      <c r="G13" s="116">
        <v>19</v>
      </c>
      <c r="H13" s="147">
        <v>26</v>
      </c>
      <c r="I13" s="146">
        <f t="shared" si="8"/>
        <v>45</v>
      </c>
      <c r="J13" s="147">
        <v>16</v>
      </c>
      <c r="K13" s="146">
        <f t="shared" ref="K13:K52" si="40">I13+J13</f>
        <v>61</v>
      </c>
      <c r="L13" s="116">
        <v>19</v>
      </c>
      <c r="M13" s="147">
        <v>38</v>
      </c>
      <c r="N13" s="146">
        <f t="shared" si="9"/>
        <v>57</v>
      </c>
      <c r="O13" s="147">
        <v>27</v>
      </c>
      <c r="P13" s="146">
        <f t="shared" si="10"/>
        <v>84</v>
      </c>
      <c r="Q13" s="146">
        <f t="shared" si="11"/>
        <v>145</v>
      </c>
      <c r="R13" s="263"/>
      <c r="S13" s="147">
        <f t="shared" si="12"/>
        <v>4</v>
      </c>
      <c r="T13" s="116">
        <v>17</v>
      </c>
      <c r="U13" s="147">
        <v>52</v>
      </c>
      <c r="V13" s="146">
        <f t="shared" si="13"/>
        <v>69</v>
      </c>
      <c r="W13" s="147">
        <v>12</v>
      </c>
      <c r="X13" s="147">
        <v>62</v>
      </c>
      <c r="Y13" s="146">
        <f t="shared" si="14"/>
        <v>74</v>
      </c>
      <c r="Z13" s="146">
        <f t="shared" si="15"/>
        <v>143</v>
      </c>
      <c r="AA13" s="263"/>
      <c r="AB13" s="147">
        <f t="shared" si="0"/>
        <v>4</v>
      </c>
      <c r="AC13" s="116">
        <v>15</v>
      </c>
      <c r="AD13" s="147">
        <v>35</v>
      </c>
      <c r="AE13" s="146">
        <f t="shared" si="16"/>
        <v>50</v>
      </c>
      <c r="AF13" s="147">
        <v>13</v>
      </c>
      <c r="AG13" s="146">
        <f t="shared" si="17"/>
        <v>63</v>
      </c>
      <c r="AH13" s="263"/>
      <c r="AI13" s="147">
        <f t="shared" si="1"/>
        <v>3.5</v>
      </c>
      <c r="AJ13" s="116">
        <v>19</v>
      </c>
      <c r="AK13" s="147">
        <v>44</v>
      </c>
      <c r="AL13" s="146">
        <f t="shared" si="18"/>
        <v>63</v>
      </c>
      <c r="AM13" s="147">
        <v>25</v>
      </c>
      <c r="AN13" s="146">
        <f t="shared" si="19"/>
        <v>88</v>
      </c>
      <c r="AO13" s="263"/>
      <c r="AP13" s="147">
        <f t="shared" si="2"/>
        <v>5</v>
      </c>
      <c r="AQ13" s="116"/>
      <c r="AR13" s="147">
        <v>24</v>
      </c>
      <c r="AS13" s="147">
        <v>25</v>
      </c>
      <c r="AT13" s="147">
        <f t="shared" si="20"/>
        <v>49</v>
      </c>
      <c r="AU13" s="264"/>
      <c r="AV13" s="147">
        <f t="shared" si="21"/>
        <v>5</v>
      </c>
      <c r="AW13" s="116">
        <v>18</v>
      </c>
      <c r="AX13" s="147">
        <v>44</v>
      </c>
      <c r="AY13" s="146">
        <f t="shared" si="22"/>
        <v>62</v>
      </c>
      <c r="AZ13" s="147">
        <v>26</v>
      </c>
      <c r="BA13" s="146">
        <f t="shared" si="23"/>
        <v>88</v>
      </c>
      <c r="BB13" s="263"/>
      <c r="BC13" s="147">
        <f t="shared" si="24"/>
        <v>5</v>
      </c>
      <c r="BD13" s="116">
        <v>5</v>
      </c>
      <c r="BE13" s="147">
        <v>20</v>
      </c>
      <c r="BF13" s="146">
        <f t="shared" si="25"/>
        <v>25</v>
      </c>
      <c r="BG13" s="147">
        <v>14</v>
      </c>
      <c r="BH13" s="147">
        <v>25</v>
      </c>
      <c r="BI13" s="146">
        <f t="shared" si="26"/>
        <v>64</v>
      </c>
      <c r="BJ13" s="264"/>
      <c r="BK13" s="147">
        <f t="shared" si="3"/>
        <v>3.5</v>
      </c>
      <c r="BL13" s="116">
        <v>7</v>
      </c>
      <c r="BM13" s="147">
        <v>33</v>
      </c>
      <c r="BN13" s="146">
        <f t="shared" si="27"/>
        <v>40</v>
      </c>
      <c r="BO13" s="147">
        <v>19</v>
      </c>
      <c r="BP13" s="147">
        <v>24</v>
      </c>
      <c r="BQ13" s="146">
        <f t="shared" si="28"/>
        <v>83</v>
      </c>
      <c r="BR13" s="263"/>
      <c r="BS13" s="147">
        <f t="shared" si="29"/>
        <v>5</v>
      </c>
      <c r="BT13" s="116">
        <v>9</v>
      </c>
      <c r="BU13" s="147">
        <v>34</v>
      </c>
      <c r="BV13" s="146">
        <f t="shared" si="30"/>
        <v>43</v>
      </c>
      <c r="BW13" s="147">
        <v>19</v>
      </c>
      <c r="BX13" s="147">
        <v>23</v>
      </c>
      <c r="BY13" s="146">
        <f t="shared" si="31"/>
        <v>85</v>
      </c>
      <c r="BZ13" s="264"/>
      <c r="CA13" s="147">
        <f t="shared" si="32"/>
        <v>5</v>
      </c>
      <c r="CB13" s="116">
        <v>7</v>
      </c>
      <c r="CC13" s="147">
        <v>36</v>
      </c>
      <c r="CD13" s="146">
        <f t="shared" si="33"/>
        <v>43</v>
      </c>
      <c r="CE13" s="147">
        <v>20</v>
      </c>
      <c r="CF13" s="147">
        <v>23</v>
      </c>
      <c r="CG13" s="146">
        <f t="shared" si="34"/>
        <v>86</v>
      </c>
      <c r="CH13" s="263"/>
      <c r="CI13" s="129">
        <f t="shared" si="35"/>
        <v>5</v>
      </c>
      <c r="CJ13" s="147">
        <f t="shared" si="4"/>
        <v>43</v>
      </c>
      <c r="CK13" s="130">
        <f t="shared" si="36"/>
        <v>4.7777777777777777</v>
      </c>
      <c r="CL13" s="130" t="str">
        <f t="shared" si="37"/>
        <v>A</v>
      </c>
      <c r="CM13" s="37" t="str">
        <f t="shared" si="5"/>
        <v>BETTER</v>
      </c>
      <c r="CN13" s="38">
        <f t="shared" si="6"/>
        <v>894</v>
      </c>
      <c r="CO13" s="37">
        <f t="shared" si="38"/>
        <v>8</v>
      </c>
      <c r="CP13" s="40"/>
    </row>
    <row r="14" spans="1:94" s="41" customFormat="1" ht="27" customHeight="1">
      <c r="A14" s="207">
        <v>7</v>
      </c>
      <c r="B14" s="117">
        <v>10</v>
      </c>
      <c r="C14" s="118" t="s">
        <v>114</v>
      </c>
      <c r="D14" s="69" t="s">
        <v>99</v>
      </c>
      <c r="E14" s="69" t="s">
        <v>115</v>
      </c>
      <c r="F14" s="70" t="s">
        <v>116</v>
      </c>
      <c r="G14" s="116">
        <v>16</v>
      </c>
      <c r="H14" s="147">
        <v>31</v>
      </c>
      <c r="I14" s="146">
        <f t="shared" si="8"/>
        <v>47</v>
      </c>
      <c r="J14" s="147">
        <v>14</v>
      </c>
      <c r="K14" s="146">
        <f t="shared" si="40"/>
        <v>61</v>
      </c>
      <c r="L14" s="116">
        <v>17</v>
      </c>
      <c r="M14" s="147">
        <v>36</v>
      </c>
      <c r="N14" s="146">
        <f t="shared" si="9"/>
        <v>53</v>
      </c>
      <c r="O14" s="147">
        <v>17</v>
      </c>
      <c r="P14" s="146">
        <f t="shared" si="10"/>
        <v>70</v>
      </c>
      <c r="Q14" s="146">
        <f t="shared" si="11"/>
        <v>131</v>
      </c>
      <c r="R14" s="263"/>
      <c r="S14" s="147">
        <f t="shared" si="12"/>
        <v>3.5</v>
      </c>
      <c r="T14" s="116">
        <v>19</v>
      </c>
      <c r="U14" s="147">
        <v>57</v>
      </c>
      <c r="V14" s="146">
        <f t="shared" si="13"/>
        <v>76</v>
      </c>
      <c r="W14" s="147">
        <v>15</v>
      </c>
      <c r="X14" s="147">
        <v>61</v>
      </c>
      <c r="Y14" s="146">
        <f t="shared" si="14"/>
        <v>76</v>
      </c>
      <c r="Z14" s="146">
        <f t="shared" si="15"/>
        <v>152</v>
      </c>
      <c r="AA14" s="263"/>
      <c r="AB14" s="147">
        <f t="shared" si="0"/>
        <v>4</v>
      </c>
      <c r="AC14" s="116">
        <v>13</v>
      </c>
      <c r="AD14" s="147">
        <v>30</v>
      </c>
      <c r="AE14" s="146">
        <f t="shared" si="16"/>
        <v>43</v>
      </c>
      <c r="AF14" s="147">
        <v>24</v>
      </c>
      <c r="AG14" s="146">
        <f t="shared" si="17"/>
        <v>67</v>
      </c>
      <c r="AH14" s="263"/>
      <c r="AI14" s="147">
        <f t="shared" si="1"/>
        <v>3.5</v>
      </c>
      <c r="AJ14" s="116">
        <v>20</v>
      </c>
      <c r="AK14" s="147">
        <v>41</v>
      </c>
      <c r="AL14" s="146">
        <f t="shared" si="18"/>
        <v>61</v>
      </c>
      <c r="AM14" s="147">
        <v>26</v>
      </c>
      <c r="AN14" s="146">
        <f t="shared" si="19"/>
        <v>87</v>
      </c>
      <c r="AO14" s="263"/>
      <c r="AP14" s="147">
        <f t="shared" si="2"/>
        <v>5</v>
      </c>
      <c r="AQ14" s="116"/>
      <c r="AR14" s="147">
        <v>25</v>
      </c>
      <c r="AS14" s="147">
        <v>25</v>
      </c>
      <c r="AT14" s="147">
        <f t="shared" si="20"/>
        <v>50</v>
      </c>
      <c r="AU14" s="264"/>
      <c r="AV14" s="147">
        <f t="shared" si="21"/>
        <v>5</v>
      </c>
      <c r="AW14" s="116">
        <v>14</v>
      </c>
      <c r="AX14" s="147">
        <v>29</v>
      </c>
      <c r="AY14" s="146">
        <f t="shared" si="22"/>
        <v>43</v>
      </c>
      <c r="AZ14" s="147">
        <v>20</v>
      </c>
      <c r="BA14" s="146">
        <f t="shared" si="23"/>
        <v>63</v>
      </c>
      <c r="BB14" s="263"/>
      <c r="BC14" s="147">
        <f t="shared" si="24"/>
        <v>3.5</v>
      </c>
      <c r="BD14" s="116">
        <v>6</v>
      </c>
      <c r="BE14" s="147">
        <v>20</v>
      </c>
      <c r="BF14" s="146">
        <f t="shared" si="25"/>
        <v>26</v>
      </c>
      <c r="BG14" s="147">
        <v>15</v>
      </c>
      <c r="BH14" s="147">
        <v>25</v>
      </c>
      <c r="BI14" s="146">
        <f t="shared" si="26"/>
        <v>66</v>
      </c>
      <c r="BJ14" s="264"/>
      <c r="BK14" s="147">
        <f t="shared" si="3"/>
        <v>3.5</v>
      </c>
      <c r="BL14" s="116">
        <v>7</v>
      </c>
      <c r="BM14" s="147">
        <v>34</v>
      </c>
      <c r="BN14" s="146">
        <f t="shared" si="27"/>
        <v>41</v>
      </c>
      <c r="BO14" s="147">
        <v>20</v>
      </c>
      <c r="BP14" s="147">
        <v>24</v>
      </c>
      <c r="BQ14" s="146">
        <f t="shared" si="28"/>
        <v>85</v>
      </c>
      <c r="BR14" s="263"/>
      <c r="BS14" s="147">
        <f t="shared" si="29"/>
        <v>5</v>
      </c>
      <c r="BT14" s="116">
        <v>8</v>
      </c>
      <c r="BU14" s="147">
        <v>31</v>
      </c>
      <c r="BV14" s="146">
        <f t="shared" si="30"/>
        <v>39</v>
      </c>
      <c r="BW14" s="147">
        <v>15</v>
      </c>
      <c r="BX14" s="147">
        <v>23</v>
      </c>
      <c r="BY14" s="146">
        <f t="shared" si="31"/>
        <v>77</v>
      </c>
      <c r="BZ14" s="264"/>
      <c r="CA14" s="147">
        <f t="shared" si="32"/>
        <v>4</v>
      </c>
      <c r="CB14" s="116">
        <v>10</v>
      </c>
      <c r="CC14" s="147">
        <v>9</v>
      </c>
      <c r="CD14" s="146">
        <f t="shared" si="33"/>
        <v>19</v>
      </c>
      <c r="CE14" s="147">
        <v>11</v>
      </c>
      <c r="CF14" s="147">
        <v>22</v>
      </c>
      <c r="CG14" s="146">
        <f t="shared" si="34"/>
        <v>52</v>
      </c>
      <c r="CH14" s="263"/>
      <c r="CI14" s="129" t="str">
        <f t="shared" si="35"/>
        <v>0</v>
      </c>
      <c r="CJ14" s="147">
        <f t="shared" si="4"/>
        <v>35</v>
      </c>
      <c r="CK14" s="130">
        <f t="shared" si="36"/>
        <v>3.8888888888888888</v>
      </c>
      <c r="CL14" s="130" t="str">
        <f t="shared" si="37"/>
        <v>A-</v>
      </c>
      <c r="CM14" s="37" t="str">
        <f t="shared" si="5"/>
        <v>GOOD</v>
      </c>
      <c r="CN14" s="38">
        <f t="shared" si="6"/>
        <v>830</v>
      </c>
      <c r="CO14" s="37">
        <f t="shared" si="38"/>
        <v>16</v>
      </c>
      <c r="CP14" s="40"/>
    </row>
    <row r="15" spans="1:94" s="41" customFormat="1" ht="27" customHeight="1">
      <c r="A15" s="207">
        <v>8</v>
      </c>
      <c r="B15" s="117">
        <v>11</v>
      </c>
      <c r="C15" s="179" t="s">
        <v>117</v>
      </c>
      <c r="D15" s="95" t="s">
        <v>118</v>
      </c>
      <c r="E15" s="95" t="s">
        <v>119</v>
      </c>
      <c r="F15" s="96" t="s">
        <v>120</v>
      </c>
      <c r="G15" s="116">
        <v>16</v>
      </c>
      <c r="H15" s="147">
        <v>34</v>
      </c>
      <c r="I15" s="146">
        <f t="shared" si="8"/>
        <v>50</v>
      </c>
      <c r="J15" s="147">
        <v>22</v>
      </c>
      <c r="K15" s="146">
        <f t="shared" si="40"/>
        <v>72</v>
      </c>
      <c r="L15" s="116">
        <v>16</v>
      </c>
      <c r="M15" s="147">
        <v>33</v>
      </c>
      <c r="N15" s="146">
        <f t="shared" si="9"/>
        <v>49</v>
      </c>
      <c r="O15" s="147">
        <v>24</v>
      </c>
      <c r="P15" s="146">
        <f t="shared" si="10"/>
        <v>73</v>
      </c>
      <c r="Q15" s="146">
        <f t="shared" si="11"/>
        <v>145</v>
      </c>
      <c r="R15" s="263"/>
      <c r="S15" s="147">
        <f t="shared" si="12"/>
        <v>4</v>
      </c>
      <c r="T15" s="116">
        <v>17</v>
      </c>
      <c r="U15" s="147">
        <v>58</v>
      </c>
      <c r="V15" s="146">
        <f t="shared" si="13"/>
        <v>75</v>
      </c>
      <c r="W15" s="147">
        <v>14</v>
      </c>
      <c r="X15" s="147">
        <v>49</v>
      </c>
      <c r="Y15" s="146">
        <f t="shared" si="14"/>
        <v>63</v>
      </c>
      <c r="Z15" s="146">
        <f t="shared" si="15"/>
        <v>138</v>
      </c>
      <c r="AA15" s="263"/>
      <c r="AB15" s="147">
        <f t="shared" si="0"/>
        <v>3.5</v>
      </c>
      <c r="AC15" s="116">
        <v>13</v>
      </c>
      <c r="AD15" s="147">
        <v>32</v>
      </c>
      <c r="AE15" s="146">
        <f t="shared" si="16"/>
        <v>45</v>
      </c>
      <c r="AF15" s="147">
        <v>18</v>
      </c>
      <c r="AG15" s="146">
        <f t="shared" si="17"/>
        <v>63</v>
      </c>
      <c r="AH15" s="263"/>
      <c r="AI15" s="147">
        <f t="shared" si="1"/>
        <v>3.5</v>
      </c>
      <c r="AJ15" s="116">
        <v>17</v>
      </c>
      <c r="AK15" s="147">
        <v>44</v>
      </c>
      <c r="AL15" s="146">
        <f t="shared" si="18"/>
        <v>61</v>
      </c>
      <c r="AM15" s="147">
        <v>24</v>
      </c>
      <c r="AN15" s="146">
        <f t="shared" si="19"/>
        <v>85</v>
      </c>
      <c r="AO15" s="263"/>
      <c r="AP15" s="147">
        <f t="shared" si="2"/>
        <v>5</v>
      </c>
      <c r="AQ15" s="116"/>
      <c r="AR15" s="147">
        <v>25</v>
      </c>
      <c r="AS15" s="147">
        <v>25</v>
      </c>
      <c r="AT15" s="147">
        <f t="shared" si="20"/>
        <v>50</v>
      </c>
      <c r="AU15" s="264"/>
      <c r="AV15" s="147">
        <f t="shared" si="21"/>
        <v>5</v>
      </c>
      <c r="AW15" s="116">
        <v>12</v>
      </c>
      <c r="AX15" s="147">
        <v>36</v>
      </c>
      <c r="AY15" s="146">
        <f t="shared" si="22"/>
        <v>48</v>
      </c>
      <c r="AZ15" s="147">
        <v>20</v>
      </c>
      <c r="BA15" s="146">
        <f t="shared" si="23"/>
        <v>68</v>
      </c>
      <c r="BB15" s="263"/>
      <c r="BC15" s="147">
        <f t="shared" si="24"/>
        <v>3.5</v>
      </c>
      <c r="BD15" s="116">
        <v>5</v>
      </c>
      <c r="BE15" s="147">
        <v>21</v>
      </c>
      <c r="BF15" s="146">
        <f t="shared" si="25"/>
        <v>26</v>
      </c>
      <c r="BG15" s="147">
        <v>10</v>
      </c>
      <c r="BH15" s="147">
        <v>25</v>
      </c>
      <c r="BI15" s="146">
        <f t="shared" si="26"/>
        <v>61</v>
      </c>
      <c r="BJ15" s="264"/>
      <c r="BK15" s="147">
        <f t="shared" si="3"/>
        <v>3.5</v>
      </c>
      <c r="BL15" s="116">
        <v>8</v>
      </c>
      <c r="BM15" s="147">
        <v>37</v>
      </c>
      <c r="BN15" s="146">
        <f t="shared" si="27"/>
        <v>45</v>
      </c>
      <c r="BO15" s="147">
        <v>13</v>
      </c>
      <c r="BP15" s="147">
        <v>25</v>
      </c>
      <c r="BQ15" s="146">
        <f t="shared" si="28"/>
        <v>83</v>
      </c>
      <c r="BR15" s="263"/>
      <c r="BS15" s="147">
        <f t="shared" si="29"/>
        <v>5</v>
      </c>
      <c r="BT15" s="116">
        <v>6</v>
      </c>
      <c r="BU15" s="147">
        <v>25</v>
      </c>
      <c r="BV15" s="146">
        <f t="shared" si="30"/>
        <v>31</v>
      </c>
      <c r="BW15" s="147">
        <v>12</v>
      </c>
      <c r="BX15" s="147">
        <v>22</v>
      </c>
      <c r="BY15" s="146">
        <f t="shared" si="31"/>
        <v>65</v>
      </c>
      <c r="BZ15" s="264"/>
      <c r="CA15" s="147">
        <f t="shared" si="32"/>
        <v>3.5</v>
      </c>
      <c r="CB15" s="116">
        <v>4</v>
      </c>
      <c r="CC15" s="147">
        <v>11</v>
      </c>
      <c r="CD15" s="146">
        <f t="shared" si="33"/>
        <v>15</v>
      </c>
      <c r="CE15" s="147">
        <v>17</v>
      </c>
      <c r="CF15" s="147">
        <v>22</v>
      </c>
      <c r="CG15" s="146">
        <f t="shared" si="34"/>
        <v>54</v>
      </c>
      <c r="CH15" s="263"/>
      <c r="CI15" s="129" t="str">
        <f t="shared" si="35"/>
        <v>0</v>
      </c>
      <c r="CJ15" s="147">
        <f t="shared" si="4"/>
        <v>34.5</v>
      </c>
      <c r="CK15" s="130">
        <f t="shared" si="36"/>
        <v>3.8333333333333335</v>
      </c>
      <c r="CL15" s="130" t="str">
        <f t="shared" si="37"/>
        <v>A-</v>
      </c>
      <c r="CM15" s="37" t="str">
        <f t="shared" si="5"/>
        <v>GOOD</v>
      </c>
      <c r="CN15" s="38">
        <f t="shared" si="6"/>
        <v>812</v>
      </c>
      <c r="CO15" s="37">
        <f t="shared" si="38"/>
        <v>19</v>
      </c>
      <c r="CP15" s="40"/>
    </row>
    <row r="16" spans="1:94" s="41" customFormat="1" ht="27" customHeight="1">
      <c r="A16" s="207">
        <v>9</v>
      </c>
      <c r="B16" s="117">
        <v>12</v>
      </c>
      <c r="C16" s="179" t="s">
        <v>121</v>
      </c>
      <c r="D16" s="95" t="s">
        <v>122</v>
      </c>
      <c r="E16" s="95" t="s">
        <v>123</v>
      </c>
      <c r="F16" s="96" t="s">
        <v>124</v>
      </c>
      <c r="G16" s="116">
        <v>16</v>
      </c>
      <c r="H16" s="147">
        <v>26</v>
      </c>
      <c r="I16" s="146">
        <f t="shared" si="8"/>
        <v>42</v>
      </c>
      <c r="J16" s="147">
        <v>15</v>
      </c>
      <c r="K16" s="146">
        <f t="shared" si="40"/>
        <v>57</v>
      </c>
      <c r="L16" s="116">
        <v>18</v>
      </c>
      <c r="M16" s="147">
        <v>34</v>
      </c>
      <c r="N16" s="146">
        <f t="shared" si="9"/>
        <v>52</v>
      </c>
      <c r="O16" s="147">
        <v>21</v>
      </c>
      <c r="P16" s="146">
        <f t="shared" si="10"/>
        <v>73</v>
      </c>
      <c r="Q16" s="146">
        <f t="shared" si="11"/>
        <v>130</v>
      </c>
      <c r="R16" s="263"/>
      <c r="S16" s="147">
        <f t="shared" si="12"/>
        <v>3.5</v>
      </c>
      <c r="T16" s="116">
        <v>17</v>
      </c>
      <c r="U16" s="147">
        <v>56</v>
      </c>
      <c r="V16" s="146">
        <f t="shared" si="13"/>
        <v>73</v>
      </c>
      <c r="W16" s="147">
        <v>14</v>
      </c>
      <c r="X16" s="147">
        <v>50</v>
      </c>
      <c r="Y16" s="146">
        <f t="shared" si="14"/>
        <v>64</v>
      </c>
      <c r="Z16" s="146">
        <f t="shared" si="15"/>
        <v>137</v>
      </c>
      <c r="AA16" s="263"/>
      <c r="AB16" s="147">
        <f t="shared" si="0"/>
        <v>3.5</v>
      </c>
      <c r="AC16" s="116">
        <v>11</v>
      </c>
      <c r="AD16" s="147">
        <v>18</v>
      </c>
      <c r="AE16" s="146">
        <f t="shared" si="16"/>
        <v>29</v>
      </c>
      <c r="AF16" s="147">
        <v>18</v>
      </c>
      <c r="AG16" s="146">
        <f t="shared" si="17"/>
        <v>47</v>
      </c>
      <c r="AH16" s="263"/>
      <c r="AI16" s="147">
        <f t="shared" si="1"/>
        <v>2</v>
      </c>
      <c r="AJ16" s="116">
        <v>19</v>
      </c>
      <c r="AK16" s="147">
        <v>44</v>
      </c>
      <c r="AL16" s="146">
        <f t="shared" si="18"/>
        <v>63</v>
      </c>
      <c r="AM16" s="147">
        <v>20</v>
      </c>
      <c r="AN16" s="146">
        <f t="shared" si="19"/>
        <v>83</v>
      </c>
      <c r="AO16" s="263"/>
      <c r="AP16" s="147">
        <f t="shared" si="2"/>
        <v>5</v>
      </c>
      <c r="AQ16" s="116"/>
      <c r="AR16" s="147">
        <v>23</v>
      </c>
      <c r="AS16" s="147">
        <v>23</v>
      </c>
      <c r="AT16" s="147">
        <f t="shared" si="20"/>
        <v>46</v>
      </c>
      <c r="AU16" s="264"/>
      <c r="AV16" s="147">
        <f t="shared" si="21"/>
        <v>5</v>
      </c>
      <c r="AW16" s="116">
        <v>16</v>
      </c>
      <c r="AX16" s="147">
        <v>31</v>
      </c>
      <c r="AY16" s="146">
        <f t="shared" si="22"/>
        <v>47</v>
      </c>
      <c r="AZ16" s="147">
        <v>16</v>
      </c>
      <c r="BA16" s="146">
        <f t="shared" si="23"/>
        <v>63</v>
      </c>
      <c r="BB16" s="263"/>
      <c r="BC16" s="147">
        <f t="shared" si="24"/>
        <v>3.5</v>
      </c>
      <c r="BD16" s="116">
        <v>4</v>
      </c>
      <c r="BE16" s="147">
        <v>6</v>
      </c>
      <c r="BF16" s="146">
        <f t="shared" si="25"/>
        <v>10</v>
      </c>
      <c r="BG16" s="147">
        <v>10</v>
      </c>
      <c r="BH16" s="147">
        <v>20</v>
      </c>
      <c r="BI16" s="146">
        <f t="shared" si="26"/>
        <v>40</v>
      </c>
      <c r="BJ16" s="264"/>
      <c r="BK16" s="147" t="str">
        <f t="shared" si="3"/>
        <v>F</v>
      </c>
      <c r="BL16" s="116">
        <v>6</v>
      </c>
      <c r="BM16" s="147">
        <v>34</v>
      </c>
      <c r="BN16" s="146">
        <f t="shared" si="27"/>
        <v>40</v>
      </c>
      <c r="BO16" s="147">
        <v>11</v>
      </c>
      <c r="BP16" s="147">
        <v>24</v>
      </c>
      <c r="BQ16" s="146">
        <f t="shared" si="28"/>
        <v>75</v>
      </c>
      <c r="BR16" s="263"/>
      <c r="BS16" s="147">
        <f t="shared" si="29"/>
        <v>4</v>
      </c>
      <c r="BT16" s="116">
        <v>6</v>
      </c>
      <c r="BU16" s="147">
        <v>22</v>
      </c>
      <c r="BV16" s="146">
        <f t="shared" si="30"/>
        <v>28</v>
      </c>
      <c r="BW16" s="147">
        <v>13</v>
      </c>
      <c r="BX16" s="147">
        <v>22</v>
      </c>
      <c r="BY16" s="146">
        <f t="shared" si="31"/>
        <v>63</v>
      </c>
      <c r="BZ16" s="264"/>
      <c r="CA16" s="147">
        <f t="shared" si="32"/>
        <v>3.5</v>
      </c>
      <c r="CB16" s="116">
        <v>3</v>
      </c>
      <c r="CC16" s="147">
        <v>4</v>
      </c>
      <c r="CD16" s="146">
        <f t="shared" si="33"/>
        <v>7</v>
      </c>
      <c r="CE16" s="147">
        <v>18</v>
      </c>
      <c r="CF16" s="147">
        <v>22</v>
      </c>
      <c r="CG16" s="146">
        <f t="shared" si="34"/>
        <v>47</v>
      </c>
      <c r="CH16" s="263"/>
      <c r="CI16" s="129" t="str">
        <f t="shared" si="35"/>
        <v>0</v>
      </c>
      <c r="CJ16" s="147" t="str">
        <f t="shared" si="4"/>
        <v>F</v>
      </c>
      <c r="CK16" s="130" t="str">
        <f t="shared" si="36"/>
        <v>F</v>
      </c>
      <c r="CL16" s="130" t="str">
        <f t="shared" si="37"/>
        <v>F</v>
      </c>
      <c r="CM16" s="37" t="str">
        <f t="shared" si="5"/>
        <v>NEED TO PROGRESS</v>
      </c>
      <c r="CN16" s="38">
        <f t="shared" si="6"/>
        <v>731</v>
      </c>
      <c r="CO16" s="37" t="str">
        <f t="shared" si="38"/>
        <v>F</v>
      </c>
      <c r="CP16" s="40"/>
    </row>
    <row r="17" spans="1:94" s="41" customFormat="1" ht="27" customHeight="1">
      <c r="A17" s="207">
        <v>10</v>
      </c>
      <c r="B17" s="117">
        <v>14</v>
      </c>
      <c r="C17" s="179" t="s">
        <v>125</v>
      </c>
      <c r="D17" s="95" t="s">
        <v>126</v>
      </c>
      <c r="E17" s="95" t="s">
        <v>127</v>
      </c>
      <c r="F17" s="96" t="s">
        <v>128</v>
      </c>
      <c r="G17" s="116">
        <v>15</v>
      </c>
      <c r="H17" s="147">
        <v>26</v>
      </c>
      <c r="I17" s="146">
        <f t="shared" si="8"/>
        <v>41</v>
      </c>
      <c r="J17" s="147">
        <v>19</v>
      </c>
      <c r="K17" s="146">
        <f t="shared" si="40"/>
        <v>60</v>
      </c>
      <c r="L17" s="116">
        <v>16</v>
      </c>
      <c r="M17" s="147">
        <v>36</v>
      </c>
      <c r="N17" s="146">
        <f t="shared" si="9"/>
        <v>52</v>
      </c>
      <c r="O17" s="147">
        <v>25</v>
      </c>
      <c r="P17" s="146">
        <f t="shared" si="10"/>
        <v>77</v>
      </c>
      <c r="Q17" s="146">
        <f t="shared" si="11"/>
        <v>137</v>
      </c>
      <c r="R17" s="263"/>
      <c r="S17" s="147">
        <f t="shared" si="12"/>
        <v>3.5</v>
      </c>
      <c r="T17" s="116">
        <v>19</v>
      </c>
      <c r="U17" s="147">
        <v>67</v>
      </c>
      <c r="V17" s="146">
        <f t="shared" si="13"/>
        <v>86</v>
      </c>
      <c r="W17" s="147">
        <v>15</v>
      </c>
      <c r="X17" s="147">
        <v>56</v>
      </c>
      <c r="Y17" s="146">
        <f t="shared" si="14"/>
        <v>71</v>
      </c>
      <c r="Z17" s="146">
        <f t="shared" si="15"/>
        <v>157</v>
      </c>
      <c r="AA17" s="263"/>
      <c r="AB17" s="147">
        <f t="shared" si="0"/>
        <v>4</v>
      </c>
      <c r="AC17" s="116">
        <v>14</v>
      </c>
      <c r="AD17" s="147">
        <v>23</v>
      </c>
      <c r="AE17" s="146">
        <f t="shared" si="16"/>
        <v>37</v>
      </c>
      <c r="AF17" s="147">
        <v>24</v>
      </c>
      <c r="AG17" s="146">
        <f t="shared" si="17"/>
        <v>61</v>
      </c>
      <c r="AH17" s="263"/>
      <c r="AI17" s="147">
        <f t="shared" si="1"/>
        <v>3.5</v>
      </c>
      <c r="AJ17" s="116">
        <v>18</v>
      </c>
      <c r="AK17" s="147">
        <v>40</v>
      </c>
      <c r="AL17" s="146">
        <f t="shared" si="18"/>
        <v>58</v>
      </c>
      <c r="AM17" s="147">
        <v>25</v>
      </c>
      <c r="AN17" s="146">
        <f t="shared" si="19"/>
        <v>83</v>
      </c>
      <c r="AO17" s="263"/>
      <c r="AP17" s="147">
        <f t="shared" si="2"/>
        <v>5</v>
      </c>
      <c r="AQ17" s="116"/>
      <c r="AR17" s="147">
        <v>24</v>
      </c>
      <c r="AS17" s="147">
        <v>23</v>
      </c>
      <c r="AT17" s="147">
        <f t="shared" si="20"/>
        <v>47</v>
      </c>
      <c r="AU17" s="264"/>
      <c r="AV17" s="147">
        <f t="shared" si="21"/>
        <v>5</v>
      </c>
      <c r="AW17" s="116">
        <v>14</v>
      </c>
      <c r="AX17" s="147">
        <v>31</v>
      </c>
      <c r="AY17" s="146">
        <f t="shared" si="22"/>
        <v>45</v>
      </c>
      <c r="AZ17" s="147">
        <v>22</v>
      </c>
      <c r="BA17" s="146">
        <f t="shared" si="23"/>
        <v>67</v>
      </c>
      <c r="BB17" s="263"/>
      <c r="BC17" s="147">
        <f t="shared" si="24"/>
        <v>3.5</v>
      </c>
      <c r="BD17" s="116">
        <v>4</v>
      </c>
      <c r="BE17" s="147">
        <v>19</v>
      </c>
      <c r="BF17" s="146">
        <f t="shared" si="25"/>
        <v>23</v>
      </c>
      <c r="BG17" s="147">
        <v>17</v>
      </c>
      <c r="BH17" s="147">
        <v>25</v>
      </c>
      <c r="BI17" s="146">
        <f t="shared" si="26"/>
        <v>65</v>
      </c>
      <c r="BJ17" s="264"/>
      <c r="BK17" s="147">
        <f t="shared" si="3"/>
        <v>3.5</v>
      </c>
      <c r="BL17" s="116">
        <v>8</v>
      </c>
      <c r="BM17" s="147">
        <v>36</v>
      </c>
      <c r="BN17" s="146">
        <f t="shared" si="27"/>
        <v>44</v>
      </c>
      <c r="BO17" s="147">
        <v>13</v>
      </c>
      <c r="BP17" s="147">
        <v>25</v>
      </c>
      <c r="BQ17" s="146">
        <f t="shared" si="28"/>
        <v>82</v>
      </c>
      <c r="BR17" s="263"/>
      <c r="BS17" s="147">
        <f t="shared" si="29"/>
        <v>5</v>
      </c>
      <c r="BT17" s="116">
        <v>7</v>
      </c>
      <c r="BU17" s="147">
        <v>27</v>
      </c>
      <c r="BV17" s="146">
        <f t="shared" si="30"/>
        <v>34</v>
      </c>
      <c r="BW17" s="147">
        <v>16</v>
      </c>
      <c r="BX17" s="147">
        <v>22</v>
      </c>
      <c r="BY17" s="146">
        <f t="shared" si="31"/>
        <v>72</v>
      </c>
      <c r="BZ17" s="264"/>
      <c r="CA17" s="147">
        <f t="shared" si="32"/>
        <v>4</v>
      </c>
      <c r="CB17" s="116">
        <v>14</v>
      </c>
      <c r="CC17" s="147">
        <v>16</v>
      </c>
      <c r="CD17" s="146">
        <f t="shared" si="33"/>
        <v>30</v>
      </c>
      <c r="CE17" s="147">
        <v>12</v>
      </c>
      <c r="CF17" s="147">
        <v>22</v>
      </c>
      <c r="CG17" s="146">
        <f t="shared" si="34"/>
        <v>64</v>
      </c>
      <c r="CH17" s="263"/>
      <c r="CI17" s="129">
        <f t="shared" si="35"/>
        <v>3.5</v>
      </c>
      <c r="CJ17" s="147">
        <f t="shared" si="4"/>
        <v>38.5</v>
      </c>
      <c r="CK17" s="130">
        <f t="shared" si="36"/>
        <v>4.2777777777777777</v>
      </c>
      <c r="CL17" s="130" t="str">
        <f t="shared" si="37"/>
        <v>A</v>
      </c>
      <c r="CM17" s="37" t="str">
        <f t="shared" si="5"/>
        <v>BETTER</v>
      </c>
      <c r="CN17" s="38">
        <f t="shared" si="6"/>
        <v>835</v>
      </c>
      <c r="CO17" s="37">
        <f t="shared" si="38"/>
        <v>14</v>
      </c>
      <c r="CP17" s="40"/>
    </row>
    <row r="18" spans="1:94" s="41" customFormat="1" ht="27" customHeight="1">
      <c r="A18" s="207">
        <v>11</v>
      </c>
      <c r="B18" s="117">
        <v>15</v>
      </c>
      <c r="C18" s="179" t="s">
        <v>129</v>
      </c>
      <c r="D18" s="95" t="s">
        <v>130</v>
      </c>
      <c r="E18" s="95" t="s">
        <v>131</v>
      </c>
      <c r="F18" s="96" t="s">
        <v>132</v>
      </c>
      <c r="G18" s="116">
        <v>16</v>
      </c>
      <c r="H18" s="147">
        <v>32</v>
      </c>
      <c r="I18" s="146">
        <f t="shared" si="8"/>
        <v>48</v>
      </c>
      <c r="J18" s="147">
        <v>19</v>
      </c>
      <c r="K18" s="146">
        <f t="shared" si="40"/>
        <v>67</v>
      </c>
      <c r="L18" s="116">
        <v>17</v>
      </c>
      <c r="M18" s="147">
        <v>34</v>
      </c>
      <c r="N18" s="146">
        <f t="shared" si="9"/>
        <v>51</v>
      </c>
      <c r="O18" s="147">
        <v>26</v>
      </c>
      <c r="P18" s="146">
        <f t="shared" si="10"/>
        <v>77</v>
      </c>
      <c r="Q18" s="146">
        <f t="shared" si="11"/>
        <v>144</v>
      </c>
      <c r="R18" s="263"/>
      <c r="S18" s="147">
        <f t="shared" si="12"/>
        <v>4</v>
      </c>
      <c r="T18" s="116">
        <v>13</v>
      </c>
      <c r="U18" s="147">
        <v>51</v>
      </c>
      <c r="V18" s="146">
        <f t="shared" si="13"/>
        <v>64</v>
      </c>
      <c r="W18" s="147">
        <v>13</v>
      </c>
      <c r="X18" s="147">
        <v>50</v>
      </c>
      <c r="Y18" s="146">
        <f t="shared" si="14"/>
        <v>63</v>
      </c>
      <c r="Z18" s="146">
        <f t="shared" si="15"/>
        <v>127</v>
      </c>
      <c r="AA18" s="263"/>
      <c r="AB18" s="147">
        <f t="shared" si="0"/>
        <v>3.5</v>
      </c>
      <c r="AC18" s="116">
        <v>8</v>
      </c>
      <c r="AD18" s="147">
        <v>22</v>
      </c>
      <c r="AE18" s="146">
        <f t="shared" si="16"/>
        <v>30</v>
      </c>
      <c r="AF18" s="147">
        <v>15</v>
      </c>
      <c r="AG18" s="146">
        <f t="shared" si="17"/>
        <v>45</v>
      </c>
      <c r="AH18" s="263"/>
      <c r="AI18" s="147">
        <f t="shared" si="1"/>
        <v>2</v>
      </c>
      <c r="AJ18" s="116">
        <v>19</v>
      </c>
      <c r="AK18" s="147">
        <v>44</v>
      </c>
      <c r="AL18" s="146">
        <f t="shared" si="18"/>
        <v>63</v>
      </c>
      <c r="AM18" s="147">
        <v>25</v>
      </c>
      <c r="AN18" s="146">
        <f t="shared" si="19"/>
        <v>88</v>
      </c>
      <c r="AO18" s="263"/>
      <c r="AP18" s="147">
        <f t="shared" si="2"/>
        <v>5</v>
      </c>
      <c r="AQ18" s="116"/>
      <c r="AR18" s="147">
        <v>25</v>
      </c>
      <c r="AS18" s="147">
        <v>25</v>
      </c>
      <c r="AT18" s="147">
        <f t="shared" si="20"/>
        <v>50</v>
      </c>
      <c r="AU18" s="264"/>
      <c r="AV18" s="147">
        <f t="shared" si="21"/>
        <v>5</v>
      </c>
      <c r="AW18" s="116">
        <v>15</v>
      </c>
      <c r="AX18" s="147">
        <v>36</v>
      </c>
      <c r="AY18" s="146">
        <f t="shared" si="22"/>
        <v>51</v>
      </c>
      <c r="AZ18" s="147">
        <v>19</v>
      </c>
      <c r="BA18" s="146">
        <f t="shared" si="23"/>
        <v>70</v>
      </c>
      <c r="BB18" s="263"/>
      <c r="BC18" s="147">
        <f t="shared" si="24"/>
        <v>4</v>
      </c>
      <c r="BD18" s="116">
        <v>4</v>
      </c>
      <c r="BE18" s="147">
        <v>22</v>
      </c>
      <c r="BF18" s="146">
        <f t="shared" si="25"/>
        <v>26</v>
      </c>
      <c r="BG18" s="147">
        <v>18</v>
      </c>
      <c r="BH18" s="147">
        <v>25</v>
      </c>
      <c r="BI18" s="146">
        <f t="shared" si="26"/>
        <v>69</v>
      </c>
      <c r="BJ18" s="264"/>
      <c r="BK18" s="147">
        <f t="shared" si="3"/>
        <v>3.5</v>
      </c>
      <c r="BL18" s="116">
        <v>8</v>
      </c>
      <c r="BM18" s="147">
        <v>30</v>
      </c>
      <c r="BN18" s="146">
        <f t="shared" si="27"/>
        <v>38</v>
      </c>
      <c r="BO18" s="147">
        <v>11</v>
      </c>
      <c r="BP18" s="147">
        <v>22</v>
      </c>
      <c r="BQ18" s="146">
        <f t="shared" si="28"/>
        <v>71</v>
      </c>
      <c r="BR18" s="263"/>
      <c r="BS18" s="147">
        <f t="shared" si="29"/>
        <v>4</v>
      </c>
      <c r="BT18" s="116">
        <v>6</v>
      </c>
      <c r="BU18" s="147">
        <v>31</v>
      </c>
      <c r="BV18" s="146">
        <f t="shared" si="30"/>
        <v>37</v>
      </c>
      <c r="BW18" s="147">
        <v>12</v>
      </c>
      <c r="BX18" s="147">
        <v>23</v>
      </c>
      <c r="BY18" s="146">
        <f t="shared" si="31"/>
        <v>72</v>
      </c>
      <c r="BZ18" s="264"/>
      <c r="CA18" s="147">
        <f t="shared" si="32"/>
        <v>4</v>
      </c>
      <c r="CB18" s="116">
        <v>0</v>
      </c>
      <c r="CC18" s="147">
        <v>24</v>
      </c>
      <c r="CD18" s="146">
        <f t="shared" si="33"/>
        <v>24</v>
      </c>
      <c r="CE18" s="147">
        <v>16</v>
      </c>
      <c r="CF18" s="147">
        <v>22</v>
      </c>
      <c r="CG18" s="146">
        <f t="shared" si="34"/>
        <v>62</v>
      </c>
      <c r="CH18" s="263"/>
      <c r="CI18" s="129">
        <f t="shared" si="35"/>
        <v>3.5</v>
      </c>
      <c r="CJ18" s="147">
        <f t="shared" si="4"/>
        <v>36.5</v>
      </c>
      <c r="CK18" s="130">
        <f t="shared" si="36"/>
        <v>4.0555555555555554</v>
      </c>
      <c r="CL18" s="130" t="str">
        <f t="shared" si="37"/>
        <v>A</v>
      </c>
      <c r="CM18" s="37" t="str">
        <f t="shared" si="5"/>
        <v>BETTER</v>
      </c>
      <c r="CN18" s="38">
        <f t="shared" si="6"/>
        <v>798</v>
      </c>
      <c r="CO18" s="37">
        <f t="shared" si="38"/>
        <v>22</v>
      </c>
      <c r="CP18" s="40"/>
    </row>
    <row r="19" spans="1:94" s="41" customFormat="1" ht="27" customHeight="1">
      <c r="A19" s="207">
        <v>12</v>
      </c>
      <c r="B19" s="117">
        <v>16</v>
      </c>
      <c r="C19" s="179" t="s">
        <v>133</v>
      </c>
      <c r="D19" s="95" t="s">
        <v>134</v>
      </c>
      <c r="E19" s="95" t="s">
        <v>135</v>
      </c>
      <c r="F19" s="96" t="s">
        <v>136</v>
      </c>
      <c r="G19" s="116">
        <v>16</v>
      </c>
      <c r="H19" s="147">
        <v>26</v>
      </c>
      <c r="I19" s="146">
        <f t="shared" si="8"/>
        <v>42</v>
      </c>
      <c r="J19" s="147">
        <v>17</v>
      </c>
      <c r="K19" s="146">
        <f t="shared" si="40"/>
        <v>59</v>
      </c>
      <c r="L19" s="116">
        <v>18</v>
      </c>
      <c r="M19" s="147">
        <v>34</v>
      </c>
      <c r="N19" s="146">
        <f t="shared" si="9"/>
        <v>52</v>
      </c>
      <c r="O19" s="147">
        <v>25</v>
      </c>
      <c r="P19" s="146">
        <f t="shared" ref="P19:P82" si="41">N19+O19</f>
        <v>77</v>
      </c>
      <c r="Q19" s="146">
        <f t="shared" si="11"/>
        <v>136</v>
      </c>
      <c r="R19" s="263"/>
      <c r="S19" s="147">
        <f t="shared" si="12"/>
        <v>3.5</v>
      </c>
      <c r="T19" s="116">
        <v>18</v>
      </c>
      <c r="U19" s="147">
        <v>44</v>
      </c>
      <c r="V19" s="146">
        <f t="shared" si="13"/>
        <v>62</v>
      </c>
      <c r="W19" s="147">
        <v>13</v>
      </c>
      <c r="X19" s="147">
        <v>52</v>
      </c>
      <c r="Y19" s="146">
        <f t="shared" si="14"/>
        <v>65</v>
      </c>
      <c r="Z19" s="146">
        <f t="shared" si="15"/>
        <v>127</v>
      </c>
      <c r="AA19" s="263"/>
      <c r="AB19" s="147">
        <f t="shared" si="0"/>
        <v>3.5</v>
      </c>
      <c r="AC19" s="116">
        <v>16</v>
      </c>
      <c r="AD19" s="147">
        <v>46</v>
      </c>
      <c r="AE19" s="146">
        <f t="shared" si="16"/>
        <v>62</v>
      </c>
      <c r="AF19" s="147">
        <v>24</v>
      </c>
      <c r="AG19" s="146">
        <f t="shared" si="17"/>
        <v>86</v>
      </c>
      <c r="AH19" s="263"/>
      <c r="AI19" s="147">
        <f t="shared" si="1"/>
        <v>5</v>
      </c>
      <c r="AJ19" s="116">
        <v>16</v>
      </c>
      <c r="AK19" s="147">
        <v>41</v>
      </c>
      <c r="AL19" s="146">
        <f t="shared" si="18"/>
        <v>57</v>
      </c>
      <c r="AM19" s="147">
        <v>23</v>
      </c>
      <c r="AN19" s="146">
        <f t="shared" si="19"/>
        <v>80</v>
      </c>
      <c r="AO19" s="263"/>
      <c r="AP19" s="147">
        <f t="shared" si="2"/>
        <v>5</v>
      </c>
      <c r="AQ19" s="116"/>
      <c r="AR19" s="147">
        <v>24</v>
      </c>
      <c r="AS19" s="147">
        <v>23</v>
      </c>
      <c r="AT19" s="147">
        <f t="shared" si="20"/>
        <v>47</v>
      </c>
      <c r="AU19" s="264"/>
      <c r="AV19" s="147">
        <f t="shared" si="21"/>
        <v>5</v>
      </c>
      <c r="AW19" s="116">
        <v>12</v>
      </c>
      <c r="AX19" s="147">
        <v>26</v>
      </c>
      <c r="AY19" s="146">
        <f t="shared" si="22"/>
        <v>38</v>
      </c>
      <c r="AZ19" s="147">
        <v>21</v>
      </c>
      <c r="BA19" s="146">
        <f t="shared" si="23"/>
        <v>59</v>
      </c>
      <c r="BB19" s="263"/>
      <c r="BC19" s="147">
        <f t="shared" si="24"/>
        <v>3</v>
      </c>
      <c r="BD19" s="116">
        <v>6</v>
      </c>
      <c r="BE19" s="147">
        <v>26</v>
      </c>
      <c r="BF19" s="146">
        <f t="shared" si="25"/>
        <v>32</v>
      </c>
      <c r="BG19" s="147">
        <v>15</v>
      </c>
      <c r="BH19" s="147">
        <v>25</v>
      </c>
      <c r="BI19" s="146">
        <f t="shared" si="26"/>
        <v>72</v>
      </c>
      <c r="BJ19" s="264"/>
      <c r="BK19" s="147">
        <f t="shared" si="3"/>
        <v>4</v>
      </c>
      <c r="BL19" s="116">
        <v>9</v>
      </c>
      <c r="BM19" s="147">
        <v>38</v>
      </c>
      <c r="BN19" s="146">
        <f t="shared" si="27"/>
        <v>47</v>
      </c>
      <c r="BO19" s="147">
        <v>15</v>
      </c>
      <c r="BP19" s="147">
        <v>25</v>
      </c>
      <c r="BQ19" s="146">
        <f t="shared" si="28"/>
        <v>87</v>
      </c>
      <c r="BR19" s="263"/>
      <c r="BS19" s="147">
        <f t="shared" si="29"/>
        <v>5</v>
      </c>
      <c r="BT19" s="116">
        <v>6</v>
      </c>
      <c r="BU19" s="147">
        <v>28</v>
      </c>
      <c r="BV19" s="146">
        <f t="shared" si="30"/>
        <v>34</v>
      </c>
      <c r="BW19" s="147">
        <v>17</v>
      </c>
      <c r="BX19" s="147">
        <v>22</v>
      </c>
      <c r="BY19" s="146">
        <f t="shared" si="31"/>
        <v>73</v>
      </c>
      <c r="BZ19" s="264"/>
      <c r="CA19" s="147">
        <f t="shared" si="32"/>
        <v>4</v>
      </c>
      <c r="CB19" s="116">
        <v>14</v>
      </c>
      <c r="CC19" s="147">
        <v>30</v>
      </c>
      <c r="CD19" s="146">
        <f t="shared" si="33"/>
        <v>44</v>
      </c>
      <c r="CE19" s="147">
        <v>17</v>
      </c>
      <c r="CF19" s="147">
        <v>22</v>
      </c>
      <c r="CG19" s="146">
        <f t="shared" si="34"/>
        <v>83</v>
      </c>
      <c r="CH19" s="263"/>
      <c r="CI19" s="129">
        <f t="shared" si="35"/>
        <v>5</v>
      </c>
      <c r="CJ19" s="147">
        <f t="shared" si="4"/>
        <v>41</v>
      </c>
      <c r="CK19" s="130">
        <f t="shared" si="36"/>
        <v>4.5555555555555554</v>
      </c>
      <c r="CL19" s="130" t="str">
        <f t="shared" si="37"/>
        <v>A</v>
      </c>
      <c r="CM19" s="37" t="str">
        <f t="shared" si="5"/>
        <v>BETTER</v>
      </c>
      <c r="CN19" s="38">
        <f t="shared" si="6"/>
        <v>850</v>
      </c>
      <c r="CO19" s="37">
        <f t="shared" si="38"/>
        <v>13</v>
      </c>
      <c r="CP19" s="40"/>
    </row>
    <row r="20" spans="1:94" s="41" customFormat="1" ht="27" customHeight="1">
      <c r="A20" s="207">
        <v>13</v>
      </c>
      <c r="B20" s="117">
        <v>17</v>
      </c>
      <c r="C20" s="118" t="s">
        <v>137</v>
      </c>
      <c r="D20" s="69" t="s">
        <v>138</v>
      </c>
      <c r="E20" s="69" t="s">
        <v>139</v>
      </c>
      <c r="F20" s="98" t="s">
        <v>140</v>
      </c>
      <c r="G20" s="116">
        <v>14</v>
      </c>
      <c r="H20" s="147">
        <v>26</v>
      </c>
      <c r="I20" s="146">
        <f t="shared" si="8"/>
        <v>40</v>
      </c>
      <c r="J20" s="147">
        <v>20</v>
      </c>
      <c r="K20" s="146">
        <f t="shared" si="40"/>
        <v>60</v>
      </c>
      <c r="L20" s="116">
        <v>17</v>
      </c>
      <c r="M20" s="147">
        <v>36</v>
      </c>
      <c r="N20" s="146">
        <f t="shared" si="9"/>
        <v>53</v>
      </c>
      <c r="O20" s="147">
        <v>28</v>
      </c>
      <c r="P20" s="146">
        <f t="shared" si="41"/>
        <v>81</v>
      </c>
      <c r="Q20" s="146">
        <f t="shared" si="11"/>
        <v>141</v>
      </c>
      <c r="R20" s="263"/>
      <c r="S20" s="147">
        <f t="shared" si="12"/>
        <v>4</v>
      </c>
      <c r="T20" s="116">
        <v>15</v>
      </c>
      <c r="U20" s="147">
        <v>46</v>
      </c>
      <c r="V20" s="146">
        <f t="shared" si="13"/>
        <v>61</v>
      </c>
      <c r="W20" s="147">
        <v>9</v>
      </c>
      <c r="X20" s="147">
        <v>36</v>
      </c>
      <c r="Y20" s="146">
        <f t="shared" si="14"/>
        <v>45</v>
      </c>
      <c r="Z20" s="146">
        <f t="shared" si="15"/>
        <v>106</v>
      </c>
      <c r="AA20" s="263"/>
      <c r="AB20" s="147">
        <f t="shared" si="0"/>
        <v>3</v>
      </c>
      <c r="AC20" s="116">
        <v>8</v>
      </c>
      <c r="AD20" s="147">
        <v>21</v>
      </c>
      <c r="AE20" s="146">
        <f t="shared" si="16"/>
        <v>29</v>
      </c>
      <c r="AF20" s="147">
        <v>12</v>
      </c>
      <c r="AG20" s="146">
        <f t="shared" si="17"/>
        <v>41</v>
      </c>
      <c r="AH20" s="263"/>
      <c r="AI20" s="147">
        <f t="shared" si="1"/>
        <v>2</v>
      </c>
      <c r="AJ20" s="116">
        <v>13</v>
      </c>
      <c r="AK20" s="147">
        <v>39</v>
      </c>
      <c r="AL20" s="146">
        <f t="shared" si="18"/>
        <v>52</v>
      </c>
      <c r="AM20" s="147">
        <v>19</v>
      </c>
      <c r="AN20" s="146">
        <f t="shared" si="19"/>
        <v>71</v>
      </c>
      <c r="AO20" s="263"/>
      <c r="AP20" s="147">
        <f t="shared" si="2"/>
        <v>4</v>
      </c>
      <c r="AQ20" s="116"/>
      <c r="AR20" s="147">
        <v>24</v>
      </c>
      <c r="AS20" s="147">
        <v>23</v>
      </c>
      <c r="AT20" s="147">
        <f t="shared" si="20"/>
        <v>47</v>
      </c>
      <c r="AU20" s="264"/>
      <c r="AV20" s="147">
        <f t="shared" si="21"/>
        <v>5</v>
      </c>
      <c r="AW20" s="116">
        <v>15</v>
      </c>
      <c r="AX20" s="147">
        <v>27</v>
      </c>
      <c r="AY20" s="146">
        <f t="shared" si="22"/>
        <v>42</v>
      </c>
      <c r="AZ20" s="147">
        <v>17</v>
      </c>
      <c r="BA20" s="146">
        <f t="shared" si="23"/>
        <v>59</v>
      </c>
      <c r="BB20" s="263"/>
      <c r="BC20" s="147">
        <f t="shared" si="24"/>
        <v>3</v>
      </c>
      <c r="BD20" s="116">
        <v>2</v>
      </c>
      <c r="BE20" s="147">
        <v>18</v>
      </c>
      <c r="BF20" s="146">
        <f t="shared" si="25"/>
        <v>20</v>
      </c>
      <c r="BG20" s="147">
        <v>10</v>
      </c>
      <c r="BH20" s="147">
        <v>25</v>
      </c>
      <c r="BI20" s="146">
        <f t="shared" si="26"/>
        <v>55</v>
      </c>
      <c r="BJ20" s="264"/>
      <c r="BK20" s="147">
        <f t="shared" si="3"/>
        <v>3</v>
      </c>
      <c r="BL20" s="116">
        <v>4</v>
      </c>
      <c r="BM20" s="147">
        <v>24</v>
      </c>
      <c r="BN20" s="146">
        <f t="shared" si="27"/>
        <v>28</v>
      </c>
      <c r="BO20" s="147">
        <v>10</v>
      </c>
      <c r="BP20" s="147">
        <v>21</v>
      </c>
      <c r="BQ20" s="146">
        <f t="shared" si="28"/>
        <v>59</v>
      </c>
      <c r="BR20" s="263"/>
      <c r="BS20" s="147">
        <f t="shared" si="29"/>
        <v>3</v>
      </c>
      <c r="BT20" s="116">
        <v>6</v>
      </c>
      <c r="BU20" s="147">
        <v>30</v>
      </c>
      <c r="BV20" s="146">
        <f t="shared" si="30"/>
        <v>36</v>
      </c>
      <c r="BW20" s="147">
        <v>11</v>
      </c>
      <c r="BX20" s="147">
        <v>22</v>
      </c>
      <c r="BY20" s="146">
        <f t="shared" si="31"/>
        <v>69</v>
      </c>
      <c r="BZ20" s="264"/>
      <c r="CA20" s="147">
        <f t="shared" si="32"/>
        <v>3.5</v>
      </c>
      <c r="CB20" s="116">
        <v>7</v>
      </c>
      <c r="CC20" s="147">
        <v>30</v>
      </c>
      <c r="CD20" s="146">
        <f t="shared" si="33"/>
        <v>37</v>
      </c>
      <c r="CE20" s="147">
        <v>14</v>
      </c>
      <c r="CF20" s="147">
        <v>22</v>
      </c>
      <c r="CG20" s="146">
        <f t="shared" si="34"/>
        <v>73</v>
      </c>
      <c r="CH20" s="263"/>
      <c r="CI20" s="129">
        <f t="shared" si="35"/>
        <v>4</v>
      </c>
      <c r="CJ20" s="147">
        <f t="shared" si="4"/>
        <v>32.5</v>
      </c>
      <c r="CK20" s="130">
        <f t="shared" si="36"/>
        <v>3.6111111111111112</v>
      </c>
      <c r="CL20" s="130" t="str">
        <f t="shared" si="37"/>
        <v>A-</v>
      </c>
      <c r="CM20" s="37" t="str">
        <f t="shared" si="5"/>
        <v>GOOD</v>
      </c>
      <c r="CN20" s="38">
        <f t="shared" si="6"/>
        <v>721</v>
      </c>
      <c r="CO20" s="37">
        <f t="shared" si="38"/>
        <v>34</v>
      </c>
      <c r="CP20" s="40"/>
    </row>
    <row r="21" spans="1:94" s="41" customFormat="1" ht="27" customHeight="1">
      <c r="A21" s="207">
        <v>14</v>
      </c>
      <c r="B21" s="117">
        <v>19</v>
      </c>
      <c r="C21" s="118" t="s">
        <v>141</v>
      </c>
      <c r="D21" s="69" t="s">
        <v>142</v>
      </c>
      <c r="E21" s="69" t="s">
        <v>143</v>
      </c>
      <c r="F21" s="70" t="s">
        <v>144</v>
      </c>
      <c r="G21" s="116">
        <v>19</v>
      </c>
      <c r="H21" s="147">
        <v>42</v>
      </c>
      <c r="I21" s="146">
        <f t="shared" si="8"/>
        <v>61</v>
      </c>
      <c r="J21" s="147">
        <v>20</v>
      </c>
      <c r="K21" s="146">
        <f t="shared" si="40"/>
        <v>81</v>
      </c>
      <c r="L21" s="116">
        <v>19</v>
      </c>
      <c r="M21" s="147">
        <v>41</v>
      </c>
      <c r="N21" s="146">
        <f t="shared" si="9"/>
        <v>60</v>
      </c>
      <c r="O21" s="147">
        <v>28</v>
      </c>
      <c r="P21" s="146">
        <f t="shared" si="41"/>
        <v>88</v>
      </c>
      <c r="Q21" s="146">
        <f t="shared" si="11"/>
        <v>169</v>
      </c>
      <c r="R21" s="263"/>
      <c r="S21" s="147">
        <f t="shared" si="12"/>
        <v>5</v>
      </c>
      <c r="T21" s="116">
        <v>11</v>
      </c>
      <c r="U21" s="147">
        <v>51</v>
      </c>
      <c r="V21" s="146">
        <f t="shared" si="13"/>
        <v>62</v>
      </c>
      <c r="W21" s="147">
        <v>14</v>
      </c>
      <c r="X21" s="147">
        <v>65</v>
      </c>
      <c r="Y21" s="146">
        <f t="shared" si="14"/>
        <v>79</v>
      </c>
      <c r="Z21" s="146">
        <f t="shared" si="15"/>
        <v>141</v>
      </c>
      <c r="AA21" s="263"/>
      <c r="AB21" s="147">
        <f t="shared" si="0"/>
        <v>4</v>
      </c>
      <c r="AC21" s="116">
        <v>14</v>
      </c>
      <c r="AD21" s="147">
        <v>35</v>
      </c>
      <c r="AE21" s="146">
        <f t="shared" si="16"/>
        <v>49</v>
      </c>
      <c r="AF21" s="147">
        <v>23</v>
      </c>
      <c r="AG21" s="146">
        <f t="shared" si="17"/>
        <v>72</v>
      </c>
      <c r="AH21" s="263"/>
      <c r="AI21" s="147">
        <f t="shared" si="1"/>
        <v>4</v>
      </c>
      <c r="AJ21" s="116">
        <v>17</v>
      </c>
      <c r="AK21" s="147">
        <v>45</v>
      </c>
      <c r="AL21" s="146">
        <f t="shared" si="18"/>
        <v>62</v>
      </c>
      <c r="AM21" s="147">
        <v>23</v>
      </c>
      <c r="AN21" s="146">
        <f t="shared" si="19"/>
        <v>85</v>
      </c>
      <c r="AO21" s="263"/>
      <c r="AP21" s="147">
        <f t="shared" si="2"/>
        <v>5</v>
      </c>
      <c r="AQ21" s="116"/>
      <c r="AR21" s="147">
        <v>25</v>
      </c>
      <c r="AS21" s="147">
        <v>25</v>
      </c>
      <c r="AT21" s="147">
        <f t="shared" si="20"/>
        <v>50</v>
      </c>
      <c r="AU21" s="264"/>
      <c r="AV21" s="147">
        <f t="shared" si="21"/>
        <v>5</v>
      </c>
      <c r="AW21" s="116">
        <v>15</v>
      </c>
      <c r="AX21" s="147">
        <v>40</v>
      </c>
      <c r="AY21" s="146">
        <f t="shared" si="22"/>
        <v>55</v>
      </c>
      <c r="AZ21" s="147">
        <v>17</v>
      </c>
      <c r="BA21" s="146">
        <f t="shared" si="23"/>
        <v>72</v>
      </c>
      <c r="BB21" s="263"/>
      <c r="BC21" s="147">
        <f t="shared" si="24"/>
        <v>4</v>
      </c>
      <c r="BD21" s="116">
        <v>5</v>
      </c>
      <c r="BE21" s="147">
        <v>15</v>
      </c>
      <c r="BF21" s="146">
        <f t="shared" si="25"/>
        <v>20</v>
      </c>
      <c r="BG21" s="147">
        <v>10</v>
      </c>
      <c r="BH21" s="147">
        <v>20</v>
      </c>
      <c r="BI21" s="146">
        <f t="shared" si="26"/>
        <v>50</v>
      </c>
      <c r="BJ21" s="264"/>
      <c r="BK21" s="147">
        <f t="shared" si="3"/>
        <v>3</v>
      </c>
      <c r="BL21" s="116">
        <v>6</v>
      </c>
      <c r="BM21" s="147">
        <v>35</v>
      </c>
      <c r="BN21" s="146">
        <f t="shared" si="27"/>
        <v>41</v>
      </c>
      <c r="BO21" s="147">
        <v>14</v>
      </c>
      <c r="BP21" s="147">
        <v>24</v>
      </c>
      <c r="BQ21" s="146">
        <f t="shared" si="28"/>
        <v>79</v>
      </c>
      <c r="BR21" s="263"/>
      <c r="BS21" s="147">
        <f t="shared" si="29"/>
        <v>4</v>
      </c>
      <c r="BT21" s="116">
        <v>6</v>
      </c>
      <c r="BU21" s="147">
        <v>30</v>
      </c>
      <c r="BV21" s="146">
        <f t="shared" si="30"/>
        <v>36</v>
      </c>
      <c r="BW21" s="147">
        <v>13</v>
      </c>
      <c r="BX21" s="147">
        <v>22</v>
      </c>
      <c r="BY21" s="146">
        <f t="shared" si="31"/>
        <v>71</v>
      </c>
      <c r="BZ21" s="264"/>
      <c r="CA21" s="147">
        <f t="shared" si="32"/>
        <v>4</v>
      </c>
      <c r="CB21" s="116">
        <v>6</v>
      </c>
      <c r="CC21" s="147">
        <v>34</v>
      </c>
      <c r="CD21" s="146">
        <f t="shared" si="33"/>
        <v>40</v>
      </c>
      <c r="CE21" s="147">
        <v>20</v>
      </c>
      <c r="CF21" s="147">
        <v>23</v>
      </c>
      <c r="CG21" s="146">
        <f t="shared" si="34"/>
        <v>83</v>
      </c>
      <c r="CH21" s="263"/>
      <c r="CI21" s="129">
        <f t="shared" si="35"/>
        <v>5</v>
      </c>
      <c r="CJ21" s="147">
        <f t="shared" si="4"/>
        <v>41</v>
      </c>
      <c r="CK21" s="130">
        <f t="shared" si="36"/>
        <v>4.5555555555555554</v>
      </c>
      <c r="CL21" s="130" t="str">
        <f t="shared" si="37"/>
        <v>A</v>
      </c>
      <c r="CM21" s="37" t="str">
        <f t="shared" si="5"/>
        <v>BETTER</v>
      </c>
      <c r="CN21" s="38">
        <f t="shared" si="6"/>
        <v>872</v>
      </c>
      <c r="CO21" s="37">
        <f t="shared" si="38"/>
        <v>11</v>
      </c>
      <c r="CP21" s="40"/>
    </row>
    <row r="22" spans="1:94" s="41" customFormat="1" ht="27" customHeight="1">
      <c r="A22" s="207">
        <v>15</v>
      </c>
      <c r="B22" s="117">
        <v>21</v>
      </c>
      <c r="C22" s="179" t="s">
        <v>145</v>
      </c>
      <c r="D22" s="95" t="s">
        <v>146</v>
      </c>
      <c r="E22" s="95" t="s">
        <v>147</v>
      </c>
      <c r="F22" s="96" t="s">
        <v>148</v>
      </c>
      <c r="G22" s="116">
        <v>18</v>
      </c>
      <c r="H22" s="147">
        <v>21</v>
      </c>
      <c r="I22" s="146">
        <f t="shared" si="8"/>
        <v>39</v>
      </c>
      <c r="J22" s="147">
        <v>20</v>
      </c>
      <c r="K22" s="146">
        <f t="shared" si="40"/>
        <v>59</v>
      </c>
      <c r="L22" s="116">
        <v>19</v>
      </c>
      <c r="M22" s="147">
        <v>28</v>
      </c>
      <c r="N22" s="146">
        <f t="shared" si="9"/>
        <v>47</v>
      </c>
      <c r="O22" s="147">
        <v>24</v>
      </c>
      <c r="P22" s="146">
        <f t="shared" si="41"/>
        <v>71</v>
      </c>
      <c r="Q22" s="146">
        <f t="shared" si="11"/>
        <v>130</v>
      </c>
      <c r="R22" s="263"/>
      <c r="S22" s="147">
        <f t="shared" si="12"/>
        <v>3.5</v>
      </c>
      <c r="T22" s="116">
        <v>11</v>
      </c>
      <c r="U22" s="147">
        <v>40</v>
      </c>
      <c r="V22" s="146">
        <f t="shared" si="13"/>
        <v>51</v>
      </c>
      <c r="W22" s="147">
        <v>11</v>
      </c>
      <c r="X22" s="147">
        <v>52</v>
      </c>
      <c r="Y22" s="146">
        <f t="shared" si="14"/>
        <v>63</v>
      </c>
      <c r="Z22" s="146">
        <f t="shared" si="15"/>
        <v>114</v>
      </c>
      <c r="AA22" s="263"/>
      <c r="AB22" s="147">
        <f t="shared" si="0"/>
        <v>3</v>
      </c>
      <c r="AC22" s="116">
        <v>8</v>
      </c>
      <c r="AD22" s="147">
        <v>29</v>
      </c>
      <c r="AE22" s="146">
        <f t="shared" si="16"/>
        <v>37</v>
      </c>
      <c r="AF22" s="147">
        <v>14</v>
      </c>
      <c r="AG22" s="146">
        <f t="shared" si="17"/>
        <v>51</v>
      </c>
      <c r="AH22" s="263"/>
      <c r="AI22" s="147">
        <f t="shared" si="1"/>
        <v>3</v>
      </c>
      <c r="AJ22" s="116">
        <v>15</v>
      </c>
      <c r="AK22" s="147">
        <v>41</v>
      </c>
      <c r="AL22" s="146">
        <f t="shared" si="18"/>
        <v>56</v>
      </c>
      <c r="AM22" s="147">
        <v>20</v>
      </c>
      <c r="AN22" s="146">
        <f t="shared" si="19"/>
        <v>76</v>
      </c>
      <c r="AO22" s="263"/>
      <c r="AP22" s="147">
        <f t="shared" si="2"/>
        <v>4</v>
      </c>
      <c r="AQ22" s="116"/>
      <c r="AR22" s="147">
        <v>23</v>
      </c>
      <c r="AS22" s="147">
        <v>25</v>
      </c>
      <c r="AT22" s="147">
        <f t="shared" si="20"/>
        <v>48</v>
      </c>
      <c r="AU22" s="264"/>
      <c r="AV22" s="147">
        <f t="shared" si="21"/>
        <v>5</v>
      </c>
      <c r="AW22" s="116">
        <v>14</v>
      </c>
      <c r="AX22" s="147">
        <v>31</v>
      </c>
      <c r="AY22" s="146">
        <f t="shared" si="22"/>
        <v>45</v>
      </c>
      <c r="AZ22" s="147">
        <v>16</v>
      </c>
      <c r="BA22" s="146">
        <f t="shared" si="23"/>
        <v>61</v>
      </c>
      <c r="BB22" s="263"/>
      <c r="BC22" s="147">
        <f t="shared" si="24"/>
        <v>3.5</v>
      </c>
      <c r="BD22" s="116">
        <v>5</v>
      </c>
      <c r="BE22" s="147">
        <v>25</v>
      </c>
      <c r="BF22" s="146">
        <f t="shared" si="25"/>
        <v>30</v>
      </c>
      <c r="BG22" s="147">
        <v>10</v>
      </c>
      <c r="BH22" s="147">
        <v>25</v>
      </c>
      <c r="BI22" s="146">
        <f t="shared" si="26"/>
        <v>65</v>
      </c>
      <c r="BJ22" s="264"/>
      <c r="BK22" s="147">
        <f t="shared" si="3"/>
        <v>3.5</v>
      </c>
      <c r="BL22" s="116">
        <v>7</v>
      </c>
      <c r="BM22" s="147">
        <v>22</v>
      </c>
      <c r="BN22" s="146">
        <f t="shared" si="27"/>
        <v>29</v>
      </c>
      <c r="BO22" s="147">
        <v>10</v>
      </c>
      <c r="BP22" s="147">
        <v>21</v>
      </c>
      <c r="BQ22" s="146">
        <f t="shared" si="28"/>
        <v>60</v>
      </c>
      <c r="BR22" s="263"/>
      <c r="BS22" s="147">
        <f t="shared" si="29"/>
        <v>3.5</v>
      </c>
      <c r="BT22" s="116">
        <v>8</v>
      </c>
      <c r="BU22" s="147">
        <v>28</v>
      </c>
      <c r="BV22" s="146">
        <f t="shared" si="30"/>
        <v>36</v>
      </c>
      <c r="BW22" s="147">
        <v>10</v>
      </c>
      <c r="BX22" s="147">
        <v>22</v>
      </c>
      <c r="BY22" s="146">
        <f t="shared" si="31"/>
        <v>68</v>
      </c>
      <c r="BZ22" s="264"/>
      <c r="CA22" s="147">
        <f t="shared" si="32"/>
        <v>3.5</v>
      </c>
      <c r="CB22" s="116">
        <v>6</v>
      </c>
      <c r="CC22" s="147">
        <v>19</v>
      </c>
      <c r="CD22" s="146">
        <f t="shared" si="33"/>
        <v>25</v>
      </c>
      <c r="CE22" s="147">
        <v>10</v>
      </c>
      <c r="CF22" s="147">
        <v>23</v>
      </c>
      <c r="CG22" s="146">
        <f t="shared" si="34"/>
        <v>58</v>
      </c>
      <c r="CH22" s="263"/>
      <c r="CI22" s="129">
        <f t="shared" si="35"/>
        <v>3</v>
      </c>
      <c r="CJ22" s="147">
        <f t="shared" si="4"/>
        <v>33.5</v>
      </c>
      <c r="CK22" s="130">
        <f t="shared" si="36"/>
        <v>3.7222222222222223</v>
      </c>
      <c r="CL22" s="130" t="str">
        <f t="shared" si="37"/>
        <v>A-</v>
      </c>
      <c r="CM22" s="37" t="str">
        <f t="shared" si="5"/>
        <v>GOOD</v>
      </c>
      <c r="CN22" s="38">
        <f t="shared" si="6"/>
        <v>731</v>
      </c>
      <c r="CO22" s="37">
        <f t="shared" si="38"/>
        <v>31</v>
      </c>
      <c r="CP22" s="40"/>
    </row>
    <row r="23" spans="1:94" s="41" customFormat="1" ht="27" customHeight="1">
      <c r="A23" s="207">
        <v>16</v>
      </c>
      <c r="B23" s="117">
        <v>22</v>
      </c>
      <c r="C23" s="179" t="s">
        <v>149</v>
      </c>
      <c r="D23" s="95" t="s">
        <v>150</v>
      </c>
      <c r="E23" s="95" t="s">
        <v>151</v>
      </c>
      <c r="F23" s="96" t="s">
        <v>152</v>
      </c>
      <c r="G23" s="116">
        <v>13</v>
      </c>
      <c r="H23" s="147">
        <v>26</v>
      </c>
      <c r="I23" s="146">
        <f t="shared" si="8"/>
        <v>39</v>
      </c>
      <c r="J23" s="147">
        <v>24</v>
      </c>
      <c r="K23" s="146">
        <f t="shared" si="40"/>
        <v>63</v>
      </c>
      <c r="L23" s="116">
        <v>17</v>
      </c>
      <c r="M23" s="147">
        <v>35</v>
      </c>
      <c r="N23" s="146">
        <f t="shared" si="9"/>
        <v>52</v>
      </c>
      <c r="O23" s="147">
        <v>19</v>
      </c>
      <c r="P23" s="146">
        <f t="shared" si="41"/>
        <v>71</v>
      </c>
      <c r="Q23" s="146">
        <f t="shared" si="11"/>
        <v>134</v>
      </c>
      <c r="R23" s="263"/>
      <c r="S23" s="147">
        <f t="shared" si="12"/>
        <v>3.5</v>
      </c>
      <c r="T23" s="116">
        <v>17</v>
      </c>
      <c r="U23" s="147">
        <v>59</v>
      </c>
      <c r="V23" s="146">
        <f t="shared" si="13"/>
        <v>76</v>
      </c>
      <c r="W23" s="147">
        <v>12</v>
      </c>
      <c r="X23" s="147">
        <v>56</v>
      </c>
      <c r="Y23" s="146">
        <f t="shared" si="14"/>
        <v>68</v>
      </c>
      <c r="Z23" s="146">
        <f t="shared" si="15"/>
        <v>144</v>
      </c>
      <c r="AA23" s="263"/>
      <c r="AB23" s="147">
        <f t="shared" si="0"/>
        <v>4</v>
      </c>
      <c r="AC23" s="116">
        <v>13</v>
      </c>
      <c r="AD23" s="147">
        <v>15</v>
      </c>
      <c r="AE23" s="146">
        <f t="shared" si="16"/>
        <v>28</v>
      </c>
      <c r="AF23" s="147">
        <v>15</v>
      </c>
      <c r="AG23" s="146">
        <f t="shared" si="17"/>
        <v>43</v>
      </c>
      <c r="AH23" s="263"/>
      <c r="AI23" s="147">
        <f t="shared" si="1"/>
        <v>2</v>
      </c>
      <c r="AJ23" s="116">
        <v>13</v>
      </c>
      <c r="AK23" s="147">
        <v>42</v>
      </c>
      <c r="AL23" s="146">
        <f t="shared" si="18"/>
        <v>55</v>
      </c>
      <c r="AM23" s="147">
        <v>22</v>
      </c>
      <c r="AN23" s="146">
        <f t="shared" si="19"/>
        <v>77</v>
      </c>
      <c r="AO23" s="263"/>
      <c r="AP23" s="147">
        <f t="shared" si="2"/>
        <v>4</v>
      </c>
      <c r="AQ23" s="116"/>
      <c r="AR23" s="147">
        <v>25</v>
      </c>
      <c r="AS23" s="147">
        <v>23</v>
      </c>
      <c r="AT23" s="147">
        <f t="shared" si="20"/>
        <v>48</v>
      </c>
      <c r="AU23" s="264"/>
      <c r="AV23" s="147">
        <f t="shared" si="21"/>
        <v>5</v>
      </c>
      <c r="AW23" s="116">
        <v>12</v>
      </c>
      <c r="AX23" s="147">
        <v>38</v>
      </c>
      <c r="AY23" s="146">
        <f t="shared" si="22"/>
        <v>50</v>
      </c>
      <c r="AZ23" s="147">
        <v>24</v>
      </c>
      <c r="BA23" s="146">
        <f t="shared" si="23"/>
        <v>74</v>
      </c>
      <c r="BB23" s="263"/>
      <c r="BC23" s="147">
        <f t="shared" si="24"/>
        <v>4</v>
      </c>
      <c r="BD23" s="116">
        <v>2</v>
      </c>
      <c r="BE23" s="147">
        <v>20</v>
      </c>
      <c r="BF23" s="146">
        <f t="shared" si="25"/>
        <v>22</v>
      </c>
      <c r="BG23" s="147">
        <v>12</v>
      </c>
      <c r="BH23" s="147">
        <v>25</v>
      </c>
      <c r="BI23" s="146">
        <f t="shared" si="26"/>
        <v>59</v>
      </c>
      <c r="BJ23" s="264"/>
      <c r="BK23" s="147">
        <f t="shared" si="3"/>
        <v>3</v>
      </c>
      <c r="BL23" s="116">
        <v>4</v>
      </c>
      <c r="BM23" s="147">
        <v>22</v>
      </c>
      <c r="BN23" s="146">
        <f t="shared" si="27"/>
        <v>26</v>
      </c>
      <c r="BO23" s="147">
        <v>13</v>
      </c>
      <c r="BP23" s="147">
        <v>21</v>
      </c>
      <c r="BQ23" s="146">
        <f t="shared" si="28"/>
        <v>60</v>
      </c>
      <c r="BR23" s="263"/>
      <c r="BS23" s="147">
        <f t="shared" si="29"/>
        <v>3.5</v>
      </c>
      <c r="BT23" s="116">
        <v>7</v>
      </c>
      <c r="BU23" s="147">
        <v>26</v>
      </c>
      <c r="BV23" s="146">
        <f t="shared" si="30"/>
        <v>33</v>
      </c>
      <c r="BW23" s="147">
        <v>15</v>
      </c>
      <c r="BX23" s="147">
        <v>22</v>
      </c>
      <c r="BY23" s="146">
        <f t="shared" si="31"/>
        <v>70</v>
      </c>
      <c r="BZ23" s="264"/>
      <c r="CA23" s="147">
        <f t="shared" si="32"/>
        <v>4</v>
      </c>
      <c r="CB23" s="116">
        <v>4</v>
      </c>
      <c r="CC23" s="147">
        <v>11</v>
      </c>
      <c r="CD23" s="146">
        <f t="shared" si="33"/>
        <v>15</v>
      </c>
      <c r="CE23" s="147">
        <v>10</v>
      </c>
      <c r="CF23" s="147">
        <v>22</v>
      </c>
      <c r="CG23" s="146">
        <f t="shared" si="34"/>
        <v>47</v>
      </c>
      <c r="CH23" s="263"/>
      <c r="CI23" s="129" t="str">
        <f t="shared" si="35"/>
        <v>0</v>
      </c>
      <c r="CJ23" s="147">
        <f t="shared" si="4"/>
        <v>31</v>
      </c>
      <c r="CK23" s="130">
        <f t="shared" si="36"/>
        <v>3.4444444444444446</v>
      </c>
      <c r="CL23" s="130" t="str">
        <f t="shared" si="37"/>
        <v>B</v>
      </c>
      <c r="CM23" s="37" t="str">
        <f t="shared" si="5"/>
        <v>GOOD</v>
      </c>
      <c r="CN23" s="38">
        <f t="shared" si="6"/>
        <v>756</v>
      </c>
      <c r="CO23" s="37">
        <f t="shared" si="38"/>
        <v>25</v>
      </c>
      <c r="CP23" s="40"/>
    </row>
    <row r="24" spans="1:94" s="41" customFormat="1" ht="27" customHeight="1">
      <c r="A24" s="207">
        <v>17</v>
      </c>
      <c r="B24" s="117">
        <v>27</v>
      </c>
      <c r="C24" s="180" t="s">
        <v>153</v>
      </c>
      <c r="D24" s="99" t="s">
        <v>154</v>
      </c>
      <c r="E24" s="99" t="s">
        <v>155</v>
      </c>
      <c r="F24" s="70" t="s">
        <v>156</v>
      </c>
      <c r="G24" s="116">
        <v>14</v>
      </c>
      <c r="H24" s="147">
        <v>14</v>
      </c>
      <c r="I24" s="146">
        <f t="shared" si="8"/>
        <v>28</v>
      </c>
      <c r="J24" s="147">
        <v>12</v>
      </c>
      <c r="K24" s="146">
        <f t="shared" si="40"/>
        <v>40</v>
      </c>
      <c r="L24" s="116">
        <v>19</v>
      </c>
      <c r="M24" s="147">
        <v>28</v>
      </c>
      <c r="N24" s="146">
        <f t="shared" si="9"/>
        <v>47</v>
      </c>
      <c r="O24" s="147">
        <v>21</v>
      </c>
      <c r="P24" s="146">
        <f t="shared" si="41"/>
        <v>68</v>
      </c>
      <c r="Q24" s="146">
        <f t="shared" si="11"/>
        <v>108</v>
      </c>
      <c r="R24" s="263"/>
      <c r="S24" s="147">
        <f t="shared" si="12"/>
        <v>3</v>
      </c>
      <c r="T24" s="116">
        <v>12</v>
      </c>
      <c r="U24" s="147">
        <v>57</v>
      </c>
      <c r="V24" s="146">
        <f t="shared" si="13"/>
        <v>69</v>
      </c>
      <c r="W24" s="147">
        <v>11</v>
      </c>
      <c r="X24" s="147">
        <v>58</v>
      </c>
      <c r="Y24" s="146">
        <f t="shared" si="14"/>
        <v>69</v>
      </c>
      <c r="Z24" s="146">
        <f t="shared" si="15"/>
        <v>138</v>
      </c>
      <c r="AA24" s="263"/>
      <c r="AB24" s="147">
        <f t="shared" si="0"/>
        <v>3.5</v>
      </c>
      <c r="AC24" s="116">
        <v>10</v>
      </c>
      <c r="AD24" s="147">
        <v>18</v>
      </c>
      <c r="AE24" s="146">
        <f t="shared" si="16"/>
        <v>28</v>
      </c>
      <c r="AF24" s="147">
        <v>17</v>
      </c>
      <c r="AG24" s="146">
        <f t="shared" si="17"/>
        <v>45</v>
      </c>
      <c r="AH24" s="263"/>
      <c r="AI24" s="147">
        <f t="shared" si="1"/>
        <v>2</v>
      </c>
      <c r="AJ24" s="116">
        <v>18</v>
      </c>
      <c r="AK24" s="147">
        <v>36</v>
      </c>
      <c r="AL24" s="146">
        <f t="shared" si="18"/>
        <v>54</v>
      </c>
      <c r="AM24" s="147">
        <v>21</v>
      </c>
      <c r="AN24" s="146">
        <f t="shared" si="19"/>
        <v>75</v>
      </c>
      <c r="AO24" s="263"/>
      <c r="AP24" s="147">
        <f t="shared" si="2"/>
        <v>4</v>
      </c>
      <c r="AQ24" s="116"/>
      <c r="AR24" s="147">
        <v>21</v>
      </c>
      <c r="AS24" s="147">
        <v>25</v>
      </c>
      <c r="AT24" s="147">
        <f t="shared" si="20"/>
        <v>46</v>
      </c>
      <c r="AU24" s="264"/>
      <c r="AV24" s="147">
        <f t="shared" si="21"/>
        <v>5</v>
      </c>
      <c r="AW24" s="116">
        <v>13</v>
      </c>
      <c r="AX24" s="147">
        <v>22</v>
      </c>
      <c r="AY24" s="146">
        <f t="shared" si="22"/>
        <v>35</v>
      </c>
      <c r="AZ24" s="147">
        <v>17</v>
      </c>
      <c r="BA24" s="146">
        <f t="shared" si="23"/>
        <v>52</v>
      </c>
      <c r="BB24" s="263"/>
      <c r="BC24" s="147">
        <f t="shared" si="24"/>
        <v>3</v>
      </c>
      <c r="BD24" s="116">
        <v>2</v>
      </c>
      <c r="BE24" s="147">
        <v>25</v>
      </c>
      <c r="BF24" s="146">
        <f t="shared" si="25"/>
        <v>27</v>
      </c>
      <c r="BG24" s="147">
        <v>10</v>
      </c>
      <c r="BH24" s="147">
        <v>25</v>
      </c>
      <c r="BI24" s="146">
        <f t="shared" si="26"/>
        <v>62</v>
      </c>
      <c r="BJ24" s="264"/>
      <c r="BK24" s="147">
        <f t="shared" si="3"/>
        <v>3.5</v>
      </c>
      <c r="BL24" s="116">
        <v>5</v>
      </c>
      <c r="BM24" s="147">
        <v>31</v>
      </c>
      <c r="BN24" s="146">
        <f t="shared" si="27"/>
        <v>36</v>
      </c>
      <c r="BO24" s="147">
        <v>10</v>
      </c>
      <c r="BP24" s="147">
        <v>23</v>
      </c>
      <c r="BQ24" s="146">
        <f t="shared" si="28"/>
        <v>69</v>
      </c>
      <c r="BR24" s="263"/>
      <c r="BS24" s="147">
        <f t="shared" si="29"/>
        <v>3.5</v>
      </c>
      <c r="BT24" s="116">
        <v>7</v>
      </c>
      <c r="BU24" s="147">
        <v>32</v>
      </c>
      <c r="BV24" s="146">
        <f t="shared" si="30"/>
        <v>39</v>
      </c>
      <c r="BW24" s="147">
        <v>16</v>
      </c>
      <c r="BX24" s="147">
        <v>23</v>
      </c>
      <c r="BY24" s="146">
        <f t="shared" si="31"/>
        <v>78</v>
      </c>
      <c r="BZ24" s="264"/>
      <c r="CA24" s="147">
        <f t="shared" si="32"/>
        <v>4</v>
      </c>
      <c r="CB24" s="116">
        <v>6</v>
      </c>
      <c r="CC24" s="147">
        <v>23</v>
      </c>
      <c r="CD24" s="146">
        <f t="shared" si="33"/>
        <v>29</v>
      </c>
      <c r="CE24" s="147">
        <v>14</v>
      </c>
      <c r="CF24" s="147">
        <v>23</v>
      </c>
      <c r="CG24" s="146">
        <f t="shared" si="34"/>
        <v>66</v>
      </c>
      <c r="CH24" s="263"/>
      <c r="CI24" s="129">
        <f t="shared" si="35"/>
        <v>3.5</v>
      </c>
      <c r="CJ24" s="147">
        <f t="shared" si="4"/>
        <v>33</v>
      </c>
      <c r="CK24" s="130">
        <f t="shared" si="36"/>
        <v>3.6666666666666665</v>
      </c>
      <c r="CL24" s="130" t="str">
        <f t="shared" si="37"/>
        <v>A-</v>
      </c>
      <c r="CM24" s="37" t="str">
        <f t="shared" si="5"/>
        <v>GOOD</v>
      </c>
      <c r="CN24" s="38">
        <f t="shared" si="6"/>
        <v>739</v>
      </c>
      <c r="CO24" s="37">
        <f t="shared" si="38"/>
        <v>28</v>
      </c>
      <c r="CP24" s="40"/>
    </row>
    <row r="25" spans="1:94" s="41" customFormat="1" ht="27" customHeight="1">
      <c r="A25" s="207">
        <v>18</v>
      </c>
      <c r="B25" s="117">
        <v>31</v>
      </c>
      <c r="C25" s="118" t="s">
        <v>157</v>
      </c>
      <c r="D25" s="69" t="s">
        <v>158</v>
      </c>
      <c r="E25" s="69" t="s">
        <v>159</v>
      </c>
      <c r="F25" s="70" t="s">
        <v>160</v>
      </c>
      <c r="G25" s="116">
        <v>15</v>
      </c>
      <c r="H25" s="147">
        <v>27</v>
      </c>
      <c r="I25" s="146">
        <f t="shared" si="8"/>
        <v>42</v>
      </c>
      <c r="J25" s="147">
        <v>19</v>
      </c>
      <c r="K25" s="146">
        <f t="shared" si="40"/>
        <v>61</v>
      </c>
      <c r="L25" s="116">
        <v>16</v>
      </c>
      <c r="M25" s="147">
        <v>32</v>
      </c>
      <c r="N25" s="146">
        <f t="shared" si="9"/>
        <v>48</v>
      </c>
      <c r="O25" s="147">
        <v>26</v>
      </c>
      <c r="P25" s="146">
        <f t="shared" si="41"/>
        <v>74</v>
      </c>
      <c r="Q25" s="146">
        <f t="shared" si="11"/>
        <v>135</v>
      </c>
      <c r="R25" s="263"/>
      <c r="S25" s="147">
        <f t="shared" si="12"/>
        <v>3.5</v>
      </c>
      <c r="T25" s="116">
        <v>19</v>
      </c>
      <c r="U25" s="147">
        <v>47</v>
      </c>
      <c r="V25" s="146">
        <f t="shared" si="13"/>
        <v>66</v>
      </c>
      <c r="W25" s="147">
        <v>15</v>
      </c>
      <c r="X25" s="147">
        <v>51</v>
      </c>
      <c r="Y25" s="146">
        <f t="shared" si="14"/>
        <v>66</v>
      </c>
      <c r="Z25" s="146">
        <f t="shared" si="15"/>
        <v>132</v>
      </c>
      <c r="AA25" s="263"/>
      <c r="AB25" s="147">
        <f t="shared" si="0"/>
        <v>3.5</v>
      </c>
      <c r="AC25" s="116">
        <v>16</v>
      </c>
      <c r="AD25" s="147">
        <v>13</v>
      </c>
      <c r="AE25" s="146">
        <f t="shared" si="16"/>
        <v>29</v>
      </c>
      <c r="AF25" s="147">
        <v>21</v>
      </c>
      <c r="AG25" s="146">
        <f t="shared" si="17"/>
        <v>50</v>
      </c>
      <c r="AH25" s="263"/>
      <c r="AI25" s="147">
        <f t="shared" si="1"/>
        <v>3</v>
      </c>
      <c r="AJ25" s="116">
        <v>18</v>
      </c>
      <c r="AK25" s="147">
        <v>39</v>
      </c>
      <c r="AL25" s="146">
        <f t="shared" si="18"/>
        <v>57</v>
      </c>
      <c r="AM25" s="147">
        <v>23</v>
      </c>
      <c r="AN25" s="146">
        <f t="shared" si="19"/>
        <v>80</v>
      </c>
      <c r="AO25" s="263"/>
      <c r="AP25" s="147">
        <f t="shared" si="2"/>
        <v>5</v>
      </c>
      <c r="AQ25" s="116"/>
      <c r="AR25" s="147">
        <v>24</v>
      </c>
      <c r="AS25" s="147">
        <v>25</v>
      </c>
      <c r="AT25" s="147">
        <f t="shared" si="20"/>
        <v>49</v>
      </c>
      <c r="AU25" s="264"/>
      <c r="AV25" s="147">
        <f t="shared" si="21"/>
        <v>5</v>
      </c>
      <c r="AW25" s="116">
        <v>12</v>
      </c>
      <c r="AX25" s="147">
        <v>39</v>
      </c>
      <c r="AY25" s="146">
        <f t="shared" si="22"/>
        <v>51</v>
      </c>
      <c r="AZ25" s="147">
        <v>20</v>
      </c>
      <c r="BA25" s="146">
        <f t="shared" si="23"/>
        <v>71</v>
      </c>
      <c r="BB25" s="263"/>
      <c r="BC25" s="147">
        <f t="shared" si="24"/>
        <v>4</v>
      </c>
      <c r="BD25" s="116">
        <v>5</v>
      </c>
      <c r="BE25" s="147">
        <v>24</v>
      </c>
      <c r="BF25" s="146">
        <f t="shared" si="25"/>
        <v>29</v>
      </c>
      <c r="BG25" s="147">
        <v>15</v>
      </c>
      <c r="BH25" s="147">
        <v>25</v>
      </c>
      <c r="BI25" s="146">
        <f t="shared" si="26"/>
        <v>69</v>
      </c>
      <c r="BJ25" s="264"/>
      <c r="BK25" s="147">
        <f t="shared" si="3"/>
        <v>3.5</v>
      </c>
      <c r="BL25" s="116">
        <v>5</v>
      </c>
      <c r="BM25" s="147">
        <v>23</v>
      </c>
      <c r="BN25" s="146">
        <f t="shared" si="27"/>
        <v>28</v>
      </c>
      <c r="BO25" s="147">
        <v>17</v>
      </c>
      <c r="BP25" s="147">
        <v>21</v>
      </c>
      <c r="BQ25" s="146">
        <f t="shared" si="28"/>
        <v>66</v>
      </c>
      <c r="BR25" s="263"/>
      <c r="BS25" s="147">
        <f t="shared" si="29"/>
        <v>3.5</v>
      </c>
      <c r="BT25" s="116">
        <v>7</v>
      </c>
      <c r="BU25" s="147">
        <v>28</v>
      </c>
      <c r="BV25" s="146">
        <f t="shared" si="30"/>
        <v>35</v>
      </c>
      <c r="BW25" s="147">
        <v>16</v>
      </c>
      <c r="BX25" s="147">
        <v>22</v>
      </c>
      <c r="BY25" s="146">
        <f t="shared" si="31"/>
        <v>73</v>
      </c>
      <c r="BZ25" s="264"/>
      <c r="CA25" s="147">
        <f t="shared" si="32"/>
        <v>4</v>
      </c>
      <c r="CB25" s="116">
        <v>11</v>
      </c>
      <c r="CC25" s="147">
        <v>13</v>
      </c>
      <c r="CD25" s="146">
        <f t="shared" si="33"/>
        <v>24</v>
      </c>
      <c r="CE25" s="147">
        <v>11</v>
      </c>
      <c r="CF25" s="147">
        <v>22</v>
      </c>
      <c r="CG25" s="146">
        <f t="shared" si="34"/>
        <v>57</v>
      </c>
      <c r="CH25" s="263"/>
      <c r="CI25" s="129">
        <f t="shared" si="35"/>
        <v>3</v>
      </c>
      <c r="CJ25" s="147">
        <f t="shared" si="4"/>
        <v>36</v>
      </c>
      <c r="CK25" s="130">
        <f t="shared" si="36"/>
        <v>4</v>
      </c>
      <c r="CL25" s="130" t="str">
        <f t="shared" si="37"/>
        <v>A</v>
      </c>
      <c r="CM25" s="37" t="str">
        <f t="shared" si="5"/>
        <v>BETTER</v>
      </c>
      <c r="CN25" s="38">
        <f t="shared" si="6"/>
        <v>782</v>
      </c>
      <c r="CO25" s="37">
        <f t="shared" si="38"/>
        <v>23</v>
      </c>
      <c r="CP25" s="40"/>
    </row>
    <row r="26" spans="1:94" s="41" customFormat="1" ht="27" customHeight="1">
      <c r="A26" s="207">
        <v>19</v>
      </c>
      <c r="B26" s="117">
        <v>32</v>
      </c>
      <c r="C26" s="179" t="s">
        <v>161</v>
      </c>
      <c r="D26" s="95" t="s">
        <v>162</v>
      </c>
      <c r="E26" s="95" t="s">
        <v>163</v>
      </c>
      <c r="F26" s="96" t="s">
        <v>164</v>
      </c>
      <c r="G26" s="116">
        <v>15</v>
      </c>
      <c r="H26" s="147">
        <v>26</v>
      </c>
      <c r="I26" s="146">
        <f t="shared" si="8"/>
        <v>41</v>
      </c>
      <c r="J26" s="147">
        <v>20</v>
      </c>
      <c r="K26" s="146">
        <f t="shared" si="40"/>
        <v>61</v>
      </c>
      <c r="L26" s="116">
        <v>14</v>
      </c>
      <c r="M26" s="147">
        <v>36</v>
      </c>
      <c r="N26" s="146">
        <f t="shared" si="9"/>
        <v>50</v>
      </c>
      <c r="O26" s="147">
        <v>25</v>
      </c>
      <c r="P26" s="146">
        <f t="shared" si="41"/>
        <v>75</v>
      </c>
      <c r="Q26" s="146">
        <f t="shared" si="11"/>
        <v>136</v>
      </c>
      <c r="R26" s="263"/>
      <c r="S26" s="147">
        <f t="shared" si="12"/>
        <v>3.5</v>
      </c>
      <c r="T26" s="116">
        <v>16</v>
      </c>
      <c r="U26" s="147">
        <v>44</v>
      </c>
      <c r="V26" s="146">
        <f t="shared" si="13"/>
        <v>60</v>
      </c>
      <c r="W26" s="147">
        <v>16</v>
      </c>
      <c r="X26" s="147">
        <v>52</v>
      </c>
      <c r="Y26" s="146">
        <f t="shared" si="14"/>
        <v>68</v>
      </c>
      <c r="Z26" s="146">
        <f t="shared" si="15"/>
        <v>128</v>
      </c>
      <c r="AA26" s="263"/>
      <c r="AB26" s="147">
        <f t="shared" si="0"/>
        <v>3.5</v>
      </c>
      <c r="AC26" s="116">
        <v>17</v>
      </c>
      <c r="AD26" s="147">
        <v>16</v>
      </c>
      <c r="AE26" s="146">
        <f t="shared" si="16"/>
        <v>33</v>
      </c>
      <c r="AF26" s="147">
        <v>17</v>
      </c>
      <c r="AG26" s="146">
        <f t="shared" si="17"/>
        <v>50</v>
      </c>
      <c r="AH26" s="263"/>
      <c r="AI26" s="147">
        <f t="shared" si="1"/>
        <v>3</v>
      </c>
      <c r="AJ26" s="116">
        <v>17</v>
      </c>
      <c r="AK26" s="147">
        <v>41</v>
      </c>
      <c r="AL26" s="146">
        <f t="shared" si="18"/>
        <v>58</v>
      </c>
      <c r="AM26" s="147">
        <v>23</v>
      </c>
      <c r="AN26" s="146">
        <f t="shared" si="19"/>
        <v>81</v>
      </c>
      <c r="AO26" s="263"/>
      <c r="AP26" s="147">
        <f t="shared" si="2"/>
        <v>5</v>
      </c>
      <c r="AQ26" s="116"/>
      <c r="AR26" s="147">
        <v>24</v>
      </c>
      <c r="AS26" s="147">
        <v>25</v>
      </c>
      <c r="AT26" s="147">
        <f t="shared" si="20"/>
        <v>49</v>
      </c>
      <c r="AU26" s="264"/>
      <c r="AV26" s="147">
        <f t="shared" si="21"/>
        <v>5</v>
      </c>
      <c r="AW26" s="116">
        <v>13</v>
      </c>
      <c r="AX26" s="147">
        <v>23</v>
      </c>
      <c r="AY26" s="146">
        <f t="shared" si="22"/>
        <v>36</v>
      </c>
      <c r="AZ26" s="147">
        <v>12</v>
      </c>
      <c r="BA26" s="146">
        <f t="shared" si="23"/>
        <v>48</v>
      </c>
      <c r="BB26" s="263"/>
      <c r="BC26" s="147">
        <f t="shared" si="24"/>
        <v>2</v>
      </c>
      <c r="BD26" s="116">
        <v>5</v>
      </c>
      <c r="BE26" s="147">
        <v>18</v>
      </c>
      <c r="BF26" s="146">
        <f t="shared" si="25"/>
        <v>23</v>
      </c>
      <c r="BG26" s="147">
        <v>15</v>
      </c>
      <c r="BH26" s="147">
        <v>25</v>
      </c>
      <c r="BI26" s="146">
        <f t="shared" si="26"/>
        <v>63</v>
      </c>
      <c r="BJ26" s="264"/>
      <c r="BK26" s="147">
        <f t="shared" si="3"/>
        <v>3.5</v>
      </c>
      <c r="BL26" s="116">
        <v>5</v>
      </c>
      <c r="BM26" s="147">
        <v>19</v>
      </c>
      <c r="BN26" s="146">
        <f t="shared" si="27"/>
        <v>24</v>
      </c>
      <c r="BO26" s="147">
        <v>16</v>
      </c>
      <c r="BP26" s="147">
        <v>21</v>
      </c>
      <c r="BQ26" s="146">
        <f t="shared" si="28"/>
        <v>61</v>
      </c>
      <c r="BR26" s="263"/>
      <c r="BS26" s="147">
        <f t="shared" si="29"/>
        <v>3.5</v>
      </c>
      <c r="BT26" s="116">
        <v>7</v>
      </c>
      <c r="BU26" s="147">
        <v>18</v>
      </c>
      <c r="BV26" s="146">
        <f t="shared" si="30"/>
        <v>25</v>
      </c>
      <c r="BW26" s="147">
        <v>15</v>
      </c>
      <c r="BX26" s="147">
        <v>22</v>
      </c>
      <c r="BY26" s="146">
        <f t="shared" si="31"/>
        <v>62</v>
      </c>
      <c r="BZ26" s="264"/>
      <c r="CA26" s="147">
        <f t="shared" si="32"/>
        <v>3.5</v>
      </c>
      <c r="CB26" s="116">
        <v>12</v>
      </c>
      <c r="CC26" s="147">
        <v>0</v>
      </c>
      <c r="CD26" s="146">
        <f t="shared" si="33"/>
        <v>12</v>
      </c>
      <c r="CE26" s="147">
        <v>0</v>
      </c>
      <c r="CF26" s="147">
        <v>0</v>
      </c>
      <c r="CG26" s="146">
        <f t="shared" si="34"/>
        <v>12</v>
      </c>
      <c r="CH26" s="263"/>
      <c r="CI26" s="129" t="str">
        <f t="shared" si="35"/>
        <v>0</v>
      </c>
      <c r="CJ26" s="147">
        <f t="shared" si="4"/>
        <v>30.5</v>
      </c>
      <c r="CK26" s="130">
        <f t="shared" si="36"/>
        <v>3.3888888888888888</v>
      </c>
      <c r="CL26" s="130" t="str">
        <f t="shared" si="37"/>
        <v>B</v>
      </c>
      <c r="CM26" s="37" t="str">
        <f t="shared" si="5"/>
        <v>GOOD</v>
      </c>
      <c r="CN26" s="38">
        <f t="shared" si="6"/>
        <v>690</v>
      </c>
      <c r="CO26" s="37">
        <f t="shared" si="38"/>
        <v>37</v>
      </c>
      <c r="CP26" s="40"/>
    </row>
    <row r="27" spans="1:94" s="41" customFormat="1" ht="27" customHeight="1">
      <c r="A27" s="207">
        <v>20</v>
      </c>
      <c r="B27" s="117">
        <v>37</v>
      </c>
      <c r="C27" s="118" t="s">
        <v>165</v>
      </c>
      <c r="D27" s="69" t="s">
        <v>166</v>
      </c>
      <c r="E27" s="69" t="s">
        <v>167</v>
      </c>
      <c r="F27" s="70" t="s">
        <v>168</v>
      </c>
      <c r="G27" s="116">
        <v>14</v>
      </c>
      <c r="H27" s="147">
        <v>19</v>
      </c>
      <c r="I27" s="146">
        <f t="shared" si="8"/>
        <v>33</v>
      </c>
      <c r="J27" s="147">
        <v>16</v>
      </c>
      <c r="K27" s="146">
        <f t="shared" si="40"/>
        <v>49</v>
      </c>
      <c r="L27" s="116">
        <v>15</v>
      </c>
      <c r="M27" s="147">
        <v>24</v>
      </c>
      <c r="N27" s="146">
        <f t="shared" si="9"/>
        <v>39</v>
      </c>
      <c r="O27" s="147">
        <v>25</v>
      </c>
      <c r="P27" s="146">
        <f t="shared" si="41"/>
        <v>64</v>
      </c>
      <c r="Q27" s="146">
        <f t="shared" si="11"/>
        <v>113</v>
      </c>
      <c r="R27" s="263"/>
      <c r="S27" s="147">
        <f t="shared" si="12"/>
        <v>3</v>
      </c>
      <c r="T27" s="116">
        <v>12</v>
      </c>
      <c r="U27" s="147">
        <v>48</v>
      </c>
      <c r="V27" s="146">
        <f t="shared" si="13"/>
        <v>60</v>
      </c>
      <c r="W27" s="147">
        <v>15</v>
      </c>
      <c r="X27" s="147">
        <v>48</v>
      </c>
      <c r="Y27" s="146">
        <f t="shared" si="14"/>
        <v>63</v>
      </c>
      <c r="Z27" s="146">
        <f t="shared" si="15"/>
        <v>123</v>
      </c>
      <c r="AA27" s="263"/>
      <c r="AB27" s="147">
        <f t="shared" si="0"/>
        <v>3.5</v>
      </c>
      <c r="AC27" s="116">
        <v>14</v>
      </c>
      <c r="AD27" s="147">
        <v>14</v>
      </c>
      <c r="AE27" s="146">
        <f t="shared" si="16"/>
        <v>28</v>
      </c>
      <c r="AF27" s="147">
        <v>21</v>
      </c>
      <c r="AG27" s="146">
        <f t="shared" si="17"/>
        <v>49</v>
      </c>
      <c r="AH27" s="263"/>
      <c r="AI27" s="147">
        <f t="shared" si="1"/>
        <v>2</v>
      </c>
      <c r="AJ27" s="116">
        <v>12</v>
      </c>
      <c r="AK27" s="147">
        <v>35</v>
      </c>
      <c r="AL27" s="146">
        <f t="shared" si="18"/>
        <v>47</v>
      </c>
      <c r="AM27" s="147">
        <v>22</v>
      </c>
      <c r="AN27" s="146">
        <f t="shared" si="19"/>
        <v>69</v>
      </c>
      <c r="AO27" s="263"/>
      <c r="AP27" s="147">
        <f t="shared" si="2"/>
        <v>3.5</v>
      </c>
      <c r="AQ27" s="116"/>
      <c r="AR27" s="147">
        <v>24</v>
      </c>
      <c r="AS27" s="147">
        <v>23</v>
      </c>
      <c r="AT27" s="147">
        <f t="shared" si="20"/>
        <v>47</v>
      </c>
      <c r="AU27" s="264"/>
      <c r="AV27" s="147">
        <f t="shared" si="21"/>
        <v>5</v>
      </c>
      <c r="AW27" s="116">
        <v>14</v>
      </c>
      <c r="AX27" s="147">
        <v>22</v>
      </c>
      <c r="AY27" s="146">
        <f t="shared" si="22"/>
        <v>36</v>
      </c>
      <c r="AZ27" s="147">
        <v>19</v>
      </c>
      <c r="BA27" s="146">
        <f t="shared" si="23"/>
        <v>55</v>
      </c>
      <c r="BB27" s="263"/>
      <c r="BC27" s="147">
        <f t="shared" si="24"/>
        <v>3</v>
      </c>
      <c r="BD27" s="116">
        <v>2</v>
      </c>
      <c r="BE27" s="147">
        <v>20</v>
      </c>
      <c r="BF27" s="146">
        <f t="shared" si="25"/>
        <v>22</v>
      </c>
      <c r="BG27" s="147">
        <v>18</v>
      </c>
      <c r="BH27" s="147">
        <v>25</v>
      </c>
      <c r="BI27" s="146">
        <f t="shared" si="26"/>
        <v>65</v>
      </c>
      <c r="BJ27" s="264"/>
      <c r="BK27" s="147">
        <f t="shared" si="3"/>
        <v>3.5</v>
      </c>
      <c r="BL27" s="116">
        <v>5</v>
      </c>
      <c r="BM27" s="147">
        <v>16</v>
      </c>
      <c r="BN27" s="146">
        <f t="shared" si="27"/>
        <v>21</v>
      </c>
      <c r="BO27" s="147">
        <v>16</v>
      </c>
      <c r="BP27" s="147">
        <v>20</v>
      </c>
      <c r="BQ27" s="146">
        <f t="shared" si="28"/>
        <v>57</v>
      </c>
      <c r="BR27" s="263"/>
      <c r="BS27" s="147">
        <f t="shared" si="29"/>
        <v>3</v>
      </c>
      <c r="BT27" s="116">
        <v>5</v>
      </c>
      <c r="BU27" s="147">
        <v>21</v>
      </c>
      <c r="BV27" s="146">
        <f t="shared" si="30"/>
        <v>26</v>
      </c>
      <c r="BW27" s="147">
        <v>18</v>
      </c>
      <c r="BX27" s="147">
        <v>22</v>
      </c>
      <c r="BY27" s="146">
        <f t="shared" si="31"/>
        <v>66</v>
      </c>
      <c r="BZ27" s="264"/>
      <c r="CA27" s="147">
        <f t="shared" si="32"/>
        <v>3.5</v>
      </c>
      <c r="CB27" s="116">
        <v>8</v>
      </c>
      <c r="CC27" s="147">
        <v>14</v>
      </c>
      <c r="CD27" s="146">
        <f t="shared" si="33"/>
        <v>22</v>
      </c>
      <c r="CE27" s="147">
        <v>12</v>
      </c>
      <c r="CF27" s="147">
        <v>22</v>
      </c>
      <c r="CG27" s="146">
        <f t="shared" si="34"/>
        <v>56</v>
      </c>
      <c r="CH27" s="263"/>
      <c r="CI27" s="129">
        <f t="shared" si="35"/>
        <v>3</v>
      </c>
      <c r="CJ27" s="147">
        <f t="shared" si="4"/>
        <v>31</v>
      </c>
      <c r="CK27" s="130">
        <f t="shared" si="36"/>
        <v>3.4444444444444446</v>
      </c>
      <c r="CL27" s="130" t="str">
        <f t="shared" si="37"/>
        <v>B</v>
      </c>
      <c r="CM27" s="37" t="str">
        <f t="shared" si="5"/>
        <v>GOOD</v>
      </c>
      <c r="CN27" s="38">
        <f t="shared" si="6"/>
        <v>700</v>
      </c>
      <c r="CO27" s="37">
        <f t="shared" si="38"/>
        <v>36</v>
      </c>
      <c r="CP27" s="40"/>
    </row>
    <row r="28" spans="1:94" s="41" customFormat="1" ht="27" customHeight="1">
      <c r="A28" s="207">
        <v>21</v>
      </c>
      <c r="B28" s="117">
        <v>38</v>
      </c>
      <c r="C28" s="118" t="s">
        <v>169</v>
      </c>
      <c r="D28" s="69" t="s">
        <v>170</v>
      </c>
      <c r="E28" s="69" t="s">
        <v>171</v>
      </c>
      <c r="F28" s="70" t="s">
        <v>172</v>
      </c>
      <c r="G28" s="116">
        <v>12</v>
      </c>
      <c r="H28" s="147">
        <v>21</v>
      </c>
      <c r="I28" s="146">
        <f t="shared" si="8"/>
        <v>33</v>
      </c>
      <c r="J28" s="147">
        <v>16</v>
      </c>
      <c r="K28" s="146">
        <f t="shared" si="40"/>
        <v>49</v>
      </c>
      <c r="L28" s="116">
        <v>16</v>
      </c>
      <c r="M28" s="147">
        <v>29</v>
      </c>
      <c r="N28" s="146">
        <f t="shared" si="9"/>
        <v>45</v>
      </c>
      <c r="O28" s="147">
        <v>27</v>
      </c>
      <c r="P28" s="146">
        <f t="shared" si="41"/>
        <v>72</v>
      </c>
      <c r="Q28" s="146">
        <f t="shared" si="11"/>
        <v>121</v>
      </c>
      <c r="R28" s="263"/>
      <c r="S28" s="147">
        <f t="shared" si="12"/>
        <v>3.5</v>
      </c>
      <c r="T28" s="116">
        <v>19</v>
      </c>
      <c r="U28" s="147">
        <v>48</v>
      </c>
      <c r="V28" s="146">
        <f t="shared" si="13"/>
        <v>67</v>
      </c>
      <c r="W28" s="147">
        <v>14</v>
      </c>
      <c r="X28" s="147">
        <v>50</v>
      </c>
      <c r="Y28" s="146">
        <f t="shared" si="14"/>
        <v>64</v>
      </c>
      <c r="Z28" s="146">
        <f t="shared" si="15"/>
        <v>131</v>
      </c>
      <c r="AA28" s="263"/>
      <c r="AB28" s="147">
        <f t="shared" si="0"/>
        <v>3.5</v>
      </c>
      <c r="AC28" s="116">
        <v>16</v>
      </c>
      <c r="AD28" s="147">
        <v>36</v>
      </c>
      <c r="AE28" s="146">
        <f t="shared" si="16"/>
        <v>52</v>
      </c>
      <c r="AF28" s="147">
        <v>17</v>
      </c>
      <c r="AG28" s="146">
        <f t="shared" si="17"/>
        <v>69</v>
      </c>
      <c r="AH28" s="263"/>
      <c r="AI28" s="147">
        <f t="shared" si="1"/>
        <v>3.5</v>
      </c>
      <c r="AJ28" s="116">
        <v>14</v>
      </c>
      <c r="AK28" s="147">
        <v>31</v>
      </c>
      <c r="AL28" s="146">
        <f t="shared" si="18"/>
        <v>45</v>
      </c>
      <c r="AM28" s="147">
        <v>22</v>
      </c>
      <c r="AN28" s="146">
        <f t="shared" si="19"/>
        <v>67</v>
      </c>
      <c r="AO28" s="263"/>
      <c r="AP28" s="147">
        <f t="shared" si="2"/>
        <v>3.5</v>
      </c>
      <c r="AQ28" s="116"/>
      <c r="AR28" s="147">
        <v>24</v>
      </c>
      <c r="AS28" s="147">
        <v>25</v>
      </c>
      <c r="AT28" s="147">
        <f t="shared" si="20"/>
        <v>49</v>
      </c>
      <c r="AU28" s="264"/>
      <c r="AV28" s="147">
        <f t="shared" si="21"/>
        <v>5</v>
      </c>
      <c r="AW28" s="116">
        <v>12</v>
      </c>
      <c r="AX28" s="147">
        <v>25</v>
      </c>
      <c r="AY28" s="146">
        <f t="shared" si="22"/>
        <v>37</v>
      </c>
      <c r="AZ28" s="147">
        <v>21</v>
      </c>
      <c r="BA28" s="146">
        <f t="shared" si="23"/>
        <v>58</v>
      </c>
      <c r="BB28" s="263"/>
      <c r="BC28" s="147">
        <f t="shared" si="24"/>
        <v>3</v>
      </c>
      <c r="BD28" s="116">
        <v>5</v>
      </c>
      <c r="BE28" s="147">
        <v>23</v>
      </c>
      <c r="BF28" s="146">
        <f t="shared" si="25"/>
        <v>28</v>
      </c>
      <c r="BG28" s="147">
        <v>16</v>
      </c>
      <c r="BH28" s="147">
        <v>25</v>
      </c>
      <c r="BI28" s="146">
        <f t="shared" si="26"/>
        <v>69</v>
      </c>
      <c r="BJ28" s="264"/>
      <c r="BK28" s="147">
        <f t="shared" si="3"/>
        <v>3.5</v>
      </c>
      <c r="BL28" s="116">
        <v>7</v>
      </c>
      <c r="BM28" s="147">
        <v>16</v>
      </c>
      <c r="BN28" s="146">
        <f t="shared" si="27"/>
        <v>23</v>
      </c>
      <c r="BO28" s="147">
        <v>16</v>
      </c>
      <c r="BP28" s="147">
        <v>20</v>
      </c>
      <c r="BQ28" s="146">
        <f t="shared" si="28"/>
        <v>59</v>
      </c>
      <c r="BR28" s="263"/>
      <c r="BS28" s="147">
        <f t="shared" si="29"/>
        <v>3</v>
      </c>
      <c r="BT28" s="116">
        <v>6</v>
      </c>
      <c r="BU28" s="147">
        <v>18</v>
      </c>
      <c r="BV28" s="146">
        <f t="shared" si="30"/>
        <v>24</v>
      </c>
      <c r="BW28" s="147">
        <v>19</v>
      </c>
      <c r="BX28" s="147">
        <v>22</v>
      </c>
      <c r="BY28" s="146">
        <f t="shared" si="31"/>
        <v>65</v>
      </c>
      <c r="BZ28" s="264"/>
      <c r="CA28" s="147">
        <f t="shared" si="32"/>
        <v>3.5</v>
      </c>
      <c r="CB28" s="116">
        <v>9</v>
      </c>
      <c r="CC28" s="147">
        <v>16</v>
      </c>
      <c r="CD28" s="146">
        <f t="shared" si="33"/>
        <v>25</v>
      </c>
      <c r="CE28" s="147">
        <v>11</v>
      </c>
      <c r="CF28" s="147">
        <v>22</v>
      </c>
      <c r="CG28" s="146">
        <f t="shared" si="34"/>
        <v>58</v>
      </c>
      <c r="CH28" s="263"/>
      <c r="CI28" s="129">
        <f t="shared" si="35"/>
        <v>3</v>
      </c>
      <c r="CJ28" s="147">
        <f t="shared" si="4"/>
        <v>33</v>
      </c>
      <c r="CK28" s="130">
        <f t="shared" si="36"/>
        <v>3.6666666666666665</v>
      </c>
      <c r="CL28" s="130" t="str">
        <f t="shared" si="37"/>
        <v>A-</v>
      </c>
      <c r="CM28" s="37" t="str">
        <f t="shared" si="5"/>
        <v>GOOD</v>
      </c>
      <c r="CN28" s="38">
        <f t="shared" si="6"/>
        <v>746</v>
      </c>
      <c r="CO28" s="37">
        <f t="shared" si="38"/>
        <v>26</v>
      </c>
      <c r="CP28" s="40"/>
    </row>
    <row r="29" spans="1:94" s="41" customFormat="1" ht="27" customHeight="1">
      <c r="A29" s="207">
        <v>22</v>
      </c>
      <c r="B29" s="117">
        <v>62</v>
      </c>
      <c r="C29" s="118" t="s">
        <v>173</v>
      </c>
      <c r="D29" s="100" t="s">
        <v>174</v>
      </c>
      <c r="E29" s="69" t="s">
        <v>175</v>
      </c>
      <c r="F29" s="70" t="s">
        <v>176</v>
      </c>
      <c r="G29" s="116">
        <v>13</v>
      </c>
      <c r="H29" s="147">
        <v>19</v>
      </c>
      <c r="I29" s="146">
        <f t="shared" si="8"/>
        <v>32</v>
      </c>
      <c r="J29" s="147">
        <v>18</v>
      </c>
      <c r="K29" s="146">
        <f t="shared" si="40"/>
        <v>50</v>
      </c>
      <c r="L29" s="116">
        <v>16</v>
      </c>
      <c r="M29" s="147">
        <v>34</v>
      </c>
      <c r="N29" s="146">
        <f t="shared" si="9"/>
        <v>50</v>
      </c>
      <c r="O29" s="147">
        <v>27</v>
      </c>
      <c r="P29" s="146">
        <f t="shared" si="41"/>
        <v>77</v>
      </c>
      <c r="Q29" s="146">
        <f t="shared" si="11"/>
        <v>127</v>
      </c>
      <c r="R29" s="263"/>
      <c r="S29" s="147">
        <f t="shared" si="12"/>
        <v>3.5</v>
      </c>
      <c r="T29" s="116">
        <v>19</v>
      </c>
      <c r="U29" s="147">
        <v>42</v>
      </c>
      <c r="V29" s="146">
        <f t="shared" si="13"/>
        <v>61</v>
      </c>
      <c r="W29" s="147">
        <v>17</v>
      </c>
      <c r="X29" s="147">
        <v>62</v>
      </c>
      <c r="Y29" s="146">
        <f t="shared" si="14"/>
        <v>79</v>
      </c>
      <c r="Z29" s="146">
        <f t="shared" si="15"/>
        <v>140</v>
      </c>
      <c r="AA29" s="263"/>
      <c r="AB29" s="147">
        <f t="shared" si="0"/>
        <v>4</v>
      </c>
      <c r="AC29" s="116">
        <v>12</v>
      </c>
      <c r="AD29" s="147">
        <v>16</v>
      </c>
      <c r="AE29" s="146">
        <f t="shared" si="16"/>
        <v>28</v>
      </c>
      <c r="AF29" s="147">
        <v>15</v>
      </c>
      <c r="AG29" s="146">
        <f t="shared" si="17"/>
        <v>43</v>
      </c>
      <c r="AH29" s="263"/>
      <c r="AI29" s="147">
        <f t="shared" si="1"/>
        <v>2</v>
      </c>
      <c r="AJ29" s="116">
        <v>14</v>
      </c>
      <c r="AK29" s="147">
        <v>37</v>
      </c>
      <c r="AL29" s="146">
        <f t="shared" si="18"/>
        <v>51</v>
      </c>
      <c r="AM29" s="147">
        <v>22</v>
      </c>
      <c r="AN29" s="146">
        <f t="shared" si="19"/>
        <v>73</v>
      </c>
      <c r="AO29" s="263"/>
      <c r="AP29" s="147">
        <f t="shared" si="2"/>
        <v>4</v>
      </c>
      <c r="AQ29" s="116"/>
      <c r="AR29" s="147">
        <v>25</v>
      </c>
      <c r="AS29" s="147">
        <v>23</v>
      </c>
      <c r="AT29" s="147">
        <f t="shared" si="20"/>
        <v>48</v>
      </c>
      <c r="AU29" s="264"/>
      <c r="AV29" s="147">
        <f t="shared" si="21"/>
        <v>5</v>
      </c>
      <c r="AW29" s="116">
        <v>16</v>
      </c>
      <c r="AX29" s="147">
        <v>27</v>
      </c>
      <c r="AY29" s="146">
        <f t="shared" si="22"/>
        <v>43</v>
      </c>
      <c r="AZ29" s="147">
        <v>18</v>
      </c>
      <c r="BA29" s="146">
        <f t="shared" si="23"/>
        <v>61</v>
      </c>
      <c r="BB29" s="263"/>
      <c r="BC29" s="147">
        <f t="shared" si="24"/>
        <v>3.5</v>
      </c>
      <c r="BD29" s="116">
        <v>4</v>
      </c>
      <c r="BE29" s="147">
        <v>19</v>
      </c>
      <c r="BF29" s="146">
        <f t="shared" si="25"/>
        <v>23</v>
      </c>
      <c r="BG29" s="147">
        <v>11</v>
      </c>
      <c r="BH29" s="147">
        <v>25</v>
      </c>
      <c r="BI29" s="146">
        <f t="shared" si="26"/>
        <v>59</v>
      </c>
      <c r="BJ29" s="264"/>
      <c r="BK29" s="147">
        <f t="shared" si="3"/>
        <v>3</v>
      </c>
      <c r="BL29" s="116">
        <v>5</v>
      </c>
      <c r="BM29" s="147">
        <v>16</v>
      </c>
      <c r="BN29" s="146">
        <f t="shared" si="27"/>
        <v>21</v>
      </c>
      <c r="BO29" s="147">
        <v>11</v>
      </c>
      <c r="BP29" s="147">
        <v>20</v>
      </c>
      <c r="BQ29" s="146">
        <f t="shared" si="28"/>
        <v>52</v>
      </c>
      <c r="BR29" s="263"/>
      <c r="BS29" s="147">
        <f t="shared" si="29"/>
        <v>3</v>
      </c>
      <c r="BT29" s="116">
        <v>6</v>
      </c>
      <c r="BU29" s="147">
        <v>18</v>
      </c>
      <c r="BV29" s="146">
        <f t="shared" si="30"/>
        <v>24</v>
      </c>
      <c r="BW29" s="147">
        <v>10</v>
      </c>
      <c r="BX29" s="147">
        <v>22</v>
      </c>
      <c r="BY29" s="146">
        <f t="shared" si="31"/>
        <v>56</v>
      </c>
      <c r="BZ29" s="264"/>
      <c r="CA29" s="147">
        <f t="shared" si="32"/>
        <v>3</v>
      </c>
      <c r="CB29" s="116">
        <v>7</v>
      </c>
      <c r="CC29" s="147">
        <v>26</v>
      </c>
      <c r="CD29" s="146">
        <f t="shared" si="33"/>
        <v>33</v>
      </c>
      <c r="CE29" s="147">
        <v>19</v>
      </c>
      <c r="CF29" s="147">
        <v>22</v>
      </c>
      <c r="CG29" s="146">
        <f t="shared" si="34"/>
        <v>74</v>
      </c>
      <c r="CH29" s="263"/>
      <c r="CI29" s="129">
        <f t="shared" si="35"/>
        <v>4</v>
      </c>
      <c r="CJ29" s="147">
        <f t="shared" si="4"/>
        <v>33</v>
      </c>
      <c r="CK29" s="130">
        <f t="shared" si="36"/>
        <v>3.6666666666666665</v>
      </c>
      <c r="CL29" s="130" t="str">
        <f t="shared" si="37"/>
        <v>A-</v>
      </c>
      <c r="CM29" s="37" t="str">
        <f t="shared" si="5"/>
        <v>GOOD</v>
      </c>
      <c r="CN29" s="38">
        <f t="shared" si="6"/>
        <v>733</v>
      </c>
      <c r="CO29" s="37">
        <f t="shared" si="38"/>
        <v>30</v>
      </c>
      <c r="CP29" s="40"/>
    </row>
    <row r="30" spans="1:94" s="41" customFormat="1" ht="27" customHeight="1">
      <c r="A30" s="207">
        <v>23</v>
      </c>
      <c r="B30" s="117">
        <v>93</v>
      </c>
      <c r="C30" s="180" t="s">
        <v>177</v>
      </c>
      <c r="D30" s="69" t="s">
        <v>178</v>
      </c>
      <c r="E30" s="69" t="s">
        <v>179</v>
      </c>
      <c r="F30" s="70" t="s">
        <v>180</v>
      </c>
      <c r="G30" s="116">
        <v>19</v>
      </c>
      <c r="H30" s="147">
        <v>44</v>
      </c>
      <c r="I30" s="146">
        <f t="shared" si="8"/>
        <v>63</v>
      </c>
      <c r="J30" s="147">
        <v>19</v>
      </c>
      <c r="K30" s="146">
        <f t="shared" si="40"/>
        <v>82</v>
      </c>
      <c r="L30" s="116">
        <v>19</v>
      </c>
      <c r="M30" s="147">
        <v>44</v>
      </c>
      <c r="N30" s="146">
        <f t="shared" si="9"/>
        <v>63</v>
      </c>
      <c r="O30" s="147">
        <v>29</v>
      </c>
      <c r="P30" s="146">
        <f t="shared" si="41"/>
        <v>92</v>
      </c>
      <c r="Q30" s="146">
        <f t="shared" si="11"/>
        <v>174</v>
      </c>
      <c r="R30" s="263"/>
      <c r="S30" s="147">
        <f t="shared" si="12"/>
        <v>5</v>
      </c>
      <c r="T30" s="116">
        <v>15</v>
      </c>
      <c r="U30" s="147">
        <v>72</v>
      </c>
      <c r="V30" s="146">
        <f t="shared" si="13"/>
        <v>87</v>
      </c>
      <c r="W30" s="147">
        <v>16</v>
      </c>
      <c r="X30" s="147">
        <v>70</v>
      </c>
      <c r="Y30" s="146">
        <f t="shared" si="14"/>
        <v>86</v>
      </c>
      <c r="Z30" s="146">
        <f t="shared" si="15"/>
        <v>173</v>
      </c>
      <c r="AA30" s="263"/>
      <c r="AB30" s="147">
        <f t="shared" si="0"/>
        <v>5</v>
      </c>
      <c r="AC30" s="116">
        <v>20</v>
      </c>
      <c r="AD30" s="147">
        <v>42</v>
      </c>
      <c r="AE30" s="146">
        <f t="shared" si="16"/>
        <v>62</v>
      </c>
      <c r="AF30" s="147">
        <v>20</v>
      </c>
      <c r="AG30" s="146">
        <f t="shared" si="17"/>
        <v>82</v>
      </c>
      <c r="AH30" s="263"/>
      <c r="AI30" s="147">
        <f t="shared" si="1"/>
        <v>5</v>
      </c>
      <c r="AJ30" s="116">
        <v>20</v>
      </c>
      <c r="AK30" s="147">
        <v>44</v>
      </c>
      <c r="AL30" s="146">
        <f t="shared" si="18"/>
        <v>64</v>
      </c>
      <c r="AM30" s="147">
        <v>28</v>
      </c>
      <c r="AN30" s="146">
        <f t="shared" si="19"/>
        <v>92</v>
      </c>
      <c r="AO30" s="263"/>
      <c r="AP30" s="147">
        <f t="shared" si="2"/>
        <v>5</v>
      </c>
      <c r="AQ30" s="116"/>
      <c r="AR30" s="147">
        <v>25</v>
      </c>
      <c r="AS30" s="147">
        <v>25</v>
      </c>
      <c r="AT30" s="147">
        <f t="shared" si="20"/>
        <v>50</v>
      </c>
      <c r="AU30" s="264"/>
      <c r="AV30" s="147">
        <f t="shared" si="21"/>
        <v>5</v>
      </c>
      <c r="AW30" s="116">
        <v>18</v>
      </c>
      <c r="AX30" s="147">
        <v>42</v>
      </c>
      <c r="AY30" s="146">
        <f t="shared" si="22"/>
        <v>60</v>
      </c>
      <c r="AZ30" s="147">
        <v>25</v>
      </c>
      <c r="BA30" s="146">
        <f t="shared" si="23"/>
        <v>85</v>
      </c>
      <c r="BB30" s="263"/>
      <c r="BC30" s="147">
        <f t="shared" si="24"/>
        <v>5</v>
      </c>
      <c r="BD30" s="116">
        <v>6</v>
      </c>
      <c r="BE30" s="147">
        <v>35</v>
      </c>
      <c r="BF30" s="146">
        <f t="shared" si="25"/>
        <v>41</v>
      </c>
      <c r="BG30" s="147">
        <v>19</v>
      </c>
      <c r="BH30" s="147">
        <v>25</v>
      </c>
      <c r="BI30" s="146">
        <f t="shared" si="26"/>
        <v>85</v>
      </c>
      <c r="BJ30" s="264"/>
      <c r="BK30" s="147">
        <f t="shared" si="3"/>
        <v>5</v>
      </c>
      <c r="BL30" s="116">
        <v>10</v>
      </c>
      <c r="BM30" s="147">
        <v>40</v>
      </c>
      <c r="BN30" s="146">
        <f t="shared" si="27"/>
        <v>50</v>
      </c>
      <c r="BO30" s="147">
        <v>24</v>
      </c>
      <c r="BP30" s="147">
        <v>25</v>
      </c>
      <c r="BQ30" s="146">
        <f t="shared" si="28"/>
        <v>99</v>
      </c>
      <c r="BR30" s="263"/>
      <c r="BS30" s="147">
        <f t="shared" si="29"/>
        <v>5</v>
      </c>
      <c r="BT30" s="116">
        <v>9</v>
      </c>
      <c r="BU30" s="147">
        <v>37</v>
      </c>
      <c r="BV30" s="146">
        <f t="shared" si="30"/>
        <v>46</v>
      </c>
      <c r="BW30" s="147">
        <v>25</v>
      </c>
      <c r="BX30" s="147">
        <v>23</v>
      </c>
      <c r="BY30" s="146">
        <f t="shared" si="31"/>
        <v>94</v>
      </c>
      <c r="BZ30" s="264"/>
      <c r="CA30" s="147">
        <f t="shared" si="32"/>
        <v>5</v>
      </c>
      <c r="CB30" s="116">
        <v>9</v>
      </c>
      <c r="CC30" s="147">
        <v>38</v>
      </c>
      <c r="CD30" s="146">
        <f t="shared" si="33"/>
        <v>47</v>
      </c>
      <c r="CE30" s="147">
        <v>16</v>
      </c>
      <c r="CF30" s="147">
        <v>23</v>
      </c>
      <c r="CG30" s="146">
        <f t="shared" si="34"/>
        <v>86</v>
      </c>
      <c r="CH30" s="263"/>
      <c r="CI30" s="129">
        <f t="shared" si="35"/>
        <v>5</v>
      </c>
      <c r="CJ30" s="147">
        <f t="shared" si="4"/>
        <v>48</v>
      </c>
      <c r="CK30" s="130">
        <f t="shared" si="36"/>
        <v>5</v>
      </c>
      <c r="CL30" s="130" t="str">
        <f t="shared" si="37"/>
        <v>A+</v>
      </c>
      <c r="CM30" s="37" t="str">
        <f t="shared" si="5"/>
        <v>BEST</v>
      </c>
      <c r="CN30" s="38">
        <f t="shared" si="6"/>
        <v>1020</v>
      </c>
      <c r="CO30" s="37">
        <f t="shared" si="38"/>
        <v>1</v>
      </c>
      <c r="CP30" s="40"/>
    </row>
    <row r="31" spans="1:94" s="41" customFormat="1" ht="27" customHeight="1">
      <c r="A31" s="207">
        <v>24</v>
      </c>
      <c r="B31" s="117">
        <v>95</v>
      </c>
      <c r="C31" s="179" t="s">
        <v>181</v>
      </c>
      <c r="D31" s="95"/>
      <c r="E31" s="95"/>
      <c r="F31" s="109"/>
      <c r="G31" s="116">
        <v>19</v>
      </c>
      <c r="H31" s="147">
        <v>29</v>
      </c>
      <c r="I31" s="146">
        <f t="shared" si="8"/>
        <v>48</v>
      </c>
      <c r="J31" s="147">
        <v>12</v>
      </c>
      <c r="K31" s="146">
        <f t="shared" si="40"/>
        <v>60</v>
      </c>
      <c r="L31" s="116">
        <v>19</v>
      </c>
      <c r="M31" s="147">
        <v>41</v>
      </c>
      <c r="N31" s="146">
        <f t="shared" si="9"/>
        <v>60</v>
      </c>
      <c r="O31" s="147">
        <v>28</v>
      </c>
      <c r="P31" s="146">
        <f t="shared" si="41"/>
        <v>88</v>
      </c>
      <c r="Q31" s="146">
        <f t="shared" si="11"/>
        <v>148</v>
      </c>
      <c r="R31" s="263"/>
      <c r="S31" s="147">
        <f t="shared" si="12"/>
        <v>4</v>
      </c>
      <c r="T31" s="116">
        <v>11</v>
      </c>
      <c r="U31" s="147">
        <v>48</v>
      </c>
      <c r="V31" s="146">
        <f t="shared" si="13"/>
        <v>59</v>
      </c>
      <c r="W31" s="147">
        <v>13</v>
      </c>
      <c r="X31" s="147">
        <v>68</v>
      </c>
      <c r="Y31" s="146">
        <f t="shared" si="14"/>
        <v>81</v>
      </c>
      <c r="Z31" s="146">
        <f t="shared" si="15"/>
        <v>140</v>
      </c>
      <c r="AA31" s="263"/>
      <c r="AB31" s="147">
        <f t="shared" si="0"/>
        <v>4</v>
      </c>
      <c r="AC31" s="116">
        <v>10</v>
      </c>
      <c r="AD31" s="147">
        <v>39</v>
      </c>
      <c r="AE31" s="146">
        <f t="shared" si="16"/>
        <v>49</v>
      </c>
      <c r="AF31" s="147">
        <v>23</v>
      </c>
      <c r="AG31" s="146">
        <f t="shared" si="17"/>
        <v>72</v>
      </c>
      <c r="AH31" s="263"/>
      <c r="AI31" s="147">
        <f t="shared" si="1"/>
        <v>4</v>
      </c>
      <c r="AJ31" s="116">
        <v>19</v>
      </c>
      <c r="AK31" s="147">
        <v>41</v>
      </c>
      <c r="AL31" s="146">
        <f t="shared" si="18"/>
        <v>60</v>
      </c>
      <c r="AM31" s="147">
        <v>24</v>
      </c>
      <c r="AN31" s="146">
        <f t="shared" si="19"/>
        <v>84</v>
      </c>
      <c r="AO31" s="263"/>
      <c r="AP31" s="147">
        <f t="shared" si="2"/>
        <v>5</v>
      </c>
      <c r="AQ31" s="116"/>
      <c r="AR31" s="147">
        <v>24</v>
      </c>
      <c r="AS31" s="147">
        <v>25</v>
      </c>
      <c r="AT31" s="147">
        <f t="shared" si="20"/>
        <v>49</v>
      </c>
      <c r="AU31" s="264"/>
      <c r="AV31" s="147">
        <f t="shared" si="21"/>
        <v>5</v>
      </c>
      <c r="AW31" s="116">
        <v>17</v>
      </c>
      <c r="AX31" s="147">
        <v>36</v>
      </c>
      <c r="AY31" s="146">
        <f t="shared" si="22"/>
        <v>53</v>
      </c>
      <c r="AZ31" s="147">
        <v>25</v>
      </c>
      <c r="BA31" s="146">
        <f t="shared" si="23"/>
        <v>78</v>
      </c>
      <c r="BB31" s="263"/>
      <c r="BC31" s="147">
        <f t="shared" si="24"/>
        <v>4</v>
      </c>
      <c r="BD31" s="116">
        <v>7</v>
      </c>
      <c r="BE31" s="147">
        <v>37</v>
      </c>
      <c r="BF31" s="146">
        <f t="shared" si="25"/>
        <v>44</v>
      </c>
      <c r="BG31" s="147">
        <v>18</v>
      </c>
      <c r="BH31" s="147">
        <v>25</v>
      </c>
      <c r="BI31" s="146">
        <f t="shared" si="26"/>
        <v>87</v>
      </c>
      <c r="BJ31" s="264"/>
      <c r="BK31" s="147">
        <f t="shared" si="3"/>
        <v>5</v>
      </c>
      <c r="BL31" s="116">
        <v>7</v>
      </c>
      <c r="BM31" s="147">
        <v>36</v>
      </c>
      <c r="BN31" s="146">
        <f t="shared" si="27"/>
        <v>43</v>
      </c>
      <c r="BO31" s="147">
        <v>22</v>
      </c>
      <c r="BP31" s="147">
        <v>25</v>
      </c>
      <c r="BQ31" s="146">
        <f t="shared" si="28"/>
        <v>90</v>
      </c>
      <c r="BR31" s="263"/>
      <c r="BS31" s="147">
        <f t="shared" si="29"/>
        <v>5</v>
      </c>
      <c r="BT31" s="116">
        <v>7</v>
      </c>
      <c r="BU31" s="147">
        <v>28</v>
      </c>
      <c r="BV31" s="146">
        <f t="shared" si="30"/>
        <v>35</v>
      </c>
      <c r="BW31" s="147">
        <v>19</v>
      </c>
      <c r="BX31" s="147">
        <v>22</v>
      </c>
      <c r="BY31" s="146">
        <f t="shared" si="31"/>
        <v>76</v>
      </c>
      <c r="BZ31" s="264"/>
      <c r="CA31" s="147">
        <f t="shared" si="32"/>
        <v>4</v>
      </c>
      <c r="CB31" s="116">
        <v>8</v>
      </c>
      <c r="CC31" s="147">
        <v>38</v>
      </c>
      <c r="CD31" s="146">
        <f t="shared" si="33"/>
        <v>46</v>
      </c>
      <c r="CE31" s="147">
        <v>16</v>
      </c>
      <c r="CF31" s="147">
        <v>23</v>
      </c>
      <c r="CG31" s="146">
        <f t="shared" si="34"/>
        <v>85</v>
      </c>
      <c r="CH31" s="263"/>
      <c r="CI31" s="129">
        <f t="shared" si="35"/>
        <v>5</v>
      </c>
      <c r="CJ31" s="147">
        <f t="shared" si="4"/>
        <v>43</v>
      </c>
      <c r="CK31" s="130">
        <f t="shared" si="36"/>
        <v>4.7777777777777777</v>
      </c>
      <c r="CL31" s="130" t="str">
        <f t="shared" si="37"/>
        <v>A</v>
      </c>
      <c r="CM31" s="37" t="str">
        <f t="shared" si="5"/>
        <v>BETTER</v>
      </c>
      <c r="CN31" s="38">
        <f t="shared" si="6"/>
        <v>909</v>
      </c>
      <c r="CO31" s="37">
        <f t="shared" si="38"/>
        <v>6</v>
      </c>
      <c r="CP31" s="40"/>
    </row>
    <row r="32" spans="1:94" s="41" customFormat="1" ht="27" customHeight="1">
      <c r="A32" s="207">
        <v>25</v>
      </c>
      <c r="B32" s="117">
        <v>97</v>
      </c>
      <c r="C32" s="118" t="s">
        <v>182</v>
      </c>
      <c r="D32" s="69" t="s">
        <v>183</v>
      </c>
      <c r="E32" s="69" t="s">
        <v>184</v>
      </c>
      <c r="F32" s="70" t="s">
        <v>185</v>
      </c>
      <c r="G32" s="116">
        <v>13</v>
      </c>
      <c r="H32" s="147">
        <v>26</v>
      </c>
      <c r="I32" s="146">
        <f t="shared" si="8"/>
        <v>39</v>
      </c>
      <c r="J32" s="147">
        <v>22</v>
      </c>
      <c r="K32" s="146">
        <f t="shared" si="40"/>
        <v>61</v>
      </c>
      <c r="L32" s="116">
        <v>19</v>
      </c>
      <c r="M32" s="147">
        <v>41</v>
      </c>
      <c r="N32" s="146">
        <f t="shared" si="9"/>
        <v>60</v>
      </c>
      <c r="O32" s="147">
        <v>25</v>
      </c>
      <c r="P32" s="146">
        <f t="shared" si="41"/>
        <v>85</v>
      </c>
      <c r="Q32" s="146">
        <f t="shared" si="11"/>
        <v>146</v>
      </c>
      <c r="R32" s="263"/>
      <c r="S32" s="147">
        <f t="shared" si="12"/>
        <v>4</v>
      </c>
      <c r="T32" s="116">
        <v>13</v>
      </c>
      <c r="U32" s="147">
        <v>58</v>
      </c>
      <c r="V32" s="146">
        <f t="shared" si="13"/>
        <v>71</v>
      </c>
      <c r="W32" s="147">
        <v>16</v>
      </c>
      <c r="X32" s="147">
        <v>71</v>
      </c>
      <c r="Y32" s="146">
        <f t="shared" si="14"/>
        <v>87</v>
      </c>
      <c r="Z32" s="146">
        <f t="shared" si="15"/>
        <v>158</v>
      </c>
      <c r="AA32" s="263"/>
      <c r="AB32" s="147">
        <f t="shared" si="0"/>
        <v>4</v>
      </c>
      <c r="AC32" s="116">
        <v>11</v>
      </c>
      <c r="AD32" s="147">
        <v>24</v>
      </c>
      <c r="AE32" s="146">
        <f t="shared" si="16"/>
        <v>35</v>
      </c>
      <c r="AF32" s="147">
        <v>22</v>
      </c>
      <c r="AG32" s="146">
        <f t="shared" si="17"/>
        <v>57</v>
      </c>
      <c r="AH32" s="263"/>
      <c r="AI32" s="147">
        <f t="shared" si="1"/>
        <v>3</v>
      </c>
      <c r="AJ32" s="116">
        <v>18</v>
      </c>
      <c r="AK32" s="147">
        <v>45</v>
      </c>
      <c r="AL32" s="146">
        <f t="shared" si="18"/>
        <v>63</v>
      </c>
      <c r="AM32" s="147">
        <v>22</v>
      </c>
      <c r="AN32" s="146">
        <f t="shared" si="19"/>
        <v>85</v>
      </c>
      <c r="AO32" s="263"/>
      <c r="AP32" s="147">
        <f t="shared" si="2"/>
        <v>5</v>
      </c>
      <c r="AQ32" s="116"/>
      <c r="AR32" s="147">
        <v>24</v>
      </c>
      <c r="AS32" s="147">
        <v>25</v>
      </c>
      <c r="AT32" s="147">
        <f t="shared" si="20"/>
        <v>49</v>
      </c>
      <c r="AU32" s="264"/>
      <c r="AV32" s="147">
        <f t="shared" si="21"/>
        <v>5</v>
      </c>
      <c r="AW32" s="116">
        <v>16</v>
      </c>
      <c r="AX32" s="147">
        <v>27</v>
      </c>
      <c r="AY32" s="146">
        <f t="shared" si="22"/>
        <v>43</v>
      </c>
      <c r="AZ32" s="147">
        <v>25</v>
      </c>
      <c r="BA32" s="146">
        <f t="shared" si="23"/>
        <v>68</v>
      </c>
      <c r="BB32" s="263"/>
      <c r="BC32" s="147">
        <f t="shared" si="24"/>
        <v>3.5</v>
      </c>
      <c r="BD32" s="116">
        <v>6</v>
      </c>
      <c r="BE32" s="147">
        <v>36</v>
      </c>
      <c r="BF32" s="146">
        <f t="shared" si="25"/>
        <v>42</v>
      </c>
      <c r="BG32" s="147">
        <v>16</v>
      </c>
      <c r="BH32" s="147">
        <v>25</v>
      </c>
      <c r="BI32" s="146">
        <f t="shared" si="26"/>
        <v>83</v>
      </c>
      <c r="BJ32" s="264"/>
      <c r="BK32" s="147">
        <f t="shared" si="3"/>
        <v>5</v>
      </c>
      <c r="BL32" s="116">
        <v>6</v>
      </c>
      <c r="BM32" s="147">
        <v>26</v>
      </c>
      <c r="BN32" s="146">
        <f t="shared" si="27"/>
        <v>32</v>
      </c>
      <c r="BO32" s="147">
        <v>18</v>
      </c>
      <c r="BP32" s="147">
        <v>22</v>
      </c>
      <c r="BQ32" s="146">
        <f t="shared" si="28"/>
        <v>72</v>
      </c>
      <c r="BR32" s="263"/>
      <c r="BS32" s="147">
        <f t="shared" si="29"/>
        <v>4</v>
      </c>
      <c r="BT32" s="116">
        <v>8</v>
      </c>
      <c r="BU32" s="147">
        <v>22</v>
      </c>
      <c r="BV32" s="146">
        <f t="shared" si="30"/>
        <v>30</v>
      </c>
      <c r="BW32" s="147">
        <v>18</v>
      </c>
      <c r="BX32" s="147">
        <v>22</v>
      </c>
      <c r="BY32" s="146">
        <f t="shared" si="31"/>
        <v>70</v>
      </c>
      <c r="BZ32" s="264"/>
      <c r="CA32" s="147">
        <f t="shared" si="32"/>
        <v>4</v>
      </c>
      <c r="CB32" s="116">
        <v>8</v>
      </c>
      <c r="CC32" s="147">
        <v>26</v>
      </c>
      <c r="CD32" s="146">
        <f t="shared" si="33"/>
        <v>34</v>
      </c>
      <c r="CE32" s="147">
        <v>23</v>
      </c>
      <c r="CF32" s="147">
        <v>23</v>
      </c>
      <c r="CG32" s="146">
        <f t="shared" si="34"/>
        <v>80</v>
      </c>
      <c r="CH32" s="263"/>
      <c r="CI32" s="129">
        <f t="shared" si="35"/>
        <v>5</v>
      </c>
      <c r="CJ32" s="147">
        <f t="shared" si="4"/>
        <v>40.5</v>
      </c>
      <c r="CK32" s="130">
        <f t="shared" si="36"/>
        <v>4.5</v>
      </c>
      <c r="CL32" s="130" t="str">
        <f t="shared" si="37"/>
        <v>A</v>
      </c>
      <c r="CM32" s="37" t="str">
        <f t="shared" si="5"/>
        <v>BETTER</v>
      </c>
      <c r="CN32" s="38">
        <f t="shared" si="6"/>
        <v>868</v>
      </c>
      <c r="CO32" s="37">
        <f t="shared" si="38"/>
        <v>12</v>
      </c>
      <c r="CP32" s="40"/>
    </row>
    <row r="33" spans="1:94" s="41" customFormat="1" ht="27" customHeight="1">
      <c r="A33" s="207">
        <v>26</v>
      </c>
      <c r="B33" s="117">
        <v>101</v>
      </c>
      <c r="C33" s="179" t="s">
        <v>186</v>
      </c>
      <c r="D33" s="95" t="s">
        <v>187</v>
      </c>
      <c r="E33" s="95" t="s">
        <v>188</v>
      </c>
      <c r="F33" s="96" t="s">
        <v>189</v>
      </c>
      <c r="G33" s="116">
        <v>15</v>
      </c>
      <c r="H33" s="147">
        <v>20</v>
      </c>
      <c r="I33" s="146">
        <f t="shared" si="8"/>
        <v>35</v>
      </c>
      <c r="J33" s="147">
        <v>13</v>
      </c>
      <c r="K33" s="146">
        <f t="shared" si="40"/>
        <v>48</v>
      </c>
      <c r="L33" s="116">
        <v>19</v>
      </c>
      <c r="M33" s="147">
        <v>29</v>
      </c>
      <c r="N33" s="146">
        <f t="shared" si="9"/>
        <v>48</v>
      </c>
      <c r="O33" s="147">
        <v>25</v>
      </c>
      <c r="P33" s="146">
        <f t="shared" si="41"/>
        <v>73</v>
      </c>
      <c r="Q33" s="146">
        <f t="shared" si="11"/>
        <v>121</v>
      </c>
      <c r="R33" s="263"/>
      <c r="S33" s="147">
        <f t="shared" si="12"/>
        <v>3.5</v>
      </c>
      <c r="T33" s="116">
        <v>14</v>
      </c>
      <c r="U33" s="147">
        <v>58</v>
      </c>
      <c r="V33" s="146">
        <f t="shared" si="13"/>
        <v>72</v>
      </c>
      <c r="W33" s="147">
        <v>13</v>
      </c>
      <c r="X33" s="147">
        <v>68</v>
      </c>
      <c r="Y33" s="146">
        <f t="shared" si="14"/>
        <v>81</v>
      </c>
      <c r="Z33" s="146">
        <f t="shared" si="15"/>
        <v>153</v>
      </c>
      <c r="AA33" s="263"/>
      <c r="AB33" s="147">
        <f t="shared" si="0"/>
        <v>4</v>
      </c>
      <c r="AC33" s="116">
        <v>9</v>
      </c>
      <c r="AD33" s="147">
        <v>34</v>
      </c>
      <c r="AE33" s="146">
        <f t="shared" si="16"/>
        <v>43</v>
      </c>
      <c r="AF33" s="147">
        <v>14</v>
      </c>
      <c r="AG33" s="146">
        <f t="shared" si="17"/>
        <v>57</v>
      </c>
      <c r="AH33" s="263"/>
      <c r="AI33" s="147">
        <f t="shared" si="1"/>
        <v>3</v>
      </c>
      <c r="AJ33" s="116">
        <v>17</v>
      </c>
      <c r="AK33" s="147">
        <v>38</v>
      </c>
      <c r="AL33" s="146">
        <f t="shared" si="18"/>
        <v>55</v>
      </c>
      <c r="AM33" s="147">
        <v>18</v>
      </c>
      <c r="AN33" s="146">
        <f t="shared" si="19"/>
        <v>73</v>
      </c>
      <c r="AO33" s="263"/>
      <c r="AP33" s="147">
        <f t="shared" si="2"/>
        <v>4</v>
      </c>
      <c r="AQ33" s="116"/>
      <c r="AR33" s="147">
        <v>24</v>
      </c>
      <c r="AS33" s="147">
        <v>25</v>
      </c>
      <c r="AT33" s="147">
        <f t="shared" si="20"/>
        <v>49</v>
      </c>
      <c r="AU33" s="264"/>
      <c r="AV33" s="147">
        <f t="shared" si="21"/>
        <v>5</v>
      </c>
      <c r="AW33" s="116">
        <v>14</v>
      </c>
      <c r="AX33" s="147">
        <v>31</v>
      </c>
      <c r="AY33" s="146">
        <f t="shared" si="22"/>
        <v>45</v>
      </c>
      <c r="AZ33" s="147">
        <v>20</v>
      </c>
      <c r="BA33" s="146">
        <f t="shared" si="23"/>
        <v>65</v>
      </c>
      <c r="BB33" s="263"/>
      <c r="BC33" s="147">
        <f t="shared" si="24"/>
        <v>3.5</v>
      </c>
      <c r="BD33" s="116">
        <v>6</v>
      </c>
      <c r="BE33" s="147">
        <v>30</v>
      </c>
      <c r="BF33" s="146">
        <f t="shared" si="25"/>
        <v>36</v>
      </c>
      <c r="BG33" s="147">
        <v>11</v>
      </c>
      <c r="BH33" s="147">
        <v>25</v>
      </c>
      <c r="BI33" s="146">
        <f t="shared" si="26"/>
        <v>72</v>
      </c>
      <c r="BJ33" s="264"/>
      <c r="BK33" s="147">
        <f t="shared" si="3"/>
        <v>4</v>
      </c>
      <c r="BL33" s="116">
        <v>7</v>
      </c>
      <c r="BM33" s="147">
        <v>32</v>
      </c>
      <c r="BN33" s="146">
        <f t="shared" si="27"/>
        <v>39</v>
      </c>
      <c r="BO33" s="147">
        <v>16</v>
      </c>
      <c r="BP33" s="147">
        <v>24</v>
      </c>
      <c r="BQ33" s="146">
        <f t="shared" si="28"/>
        <v>79</v>
      </c>
      <c r="BR33" s="263"/>
      <c r="BS33" s="147">
        <f t="shared" si="29"/>
        <v>4</v>
      </c>
      <c r="BT33" s="116">
        <v>8</v>
      </c>
      <c r="BU33" s="147">
        <v>30</v>
      </c>
      <c r="BV33" s="146">
        <f t="shared" si="30"/>
        <v>38</v>
      </c>
      <c r="BW33" s="147">
        <v>14</v>
      </c>
      <c r="BX33" s="147">
        <v>22</v>
      </c>
      <c r="BY33" s="146">
        <f t="shared" si="31"/>
        <v>74</v>
      </c>
      <c r="BZ33" s="264"/>
      <c r="CA33" s="147">
        <f t="shared" si="32"/>
        <v>4</v>
      </c>
      <c r="CB33" s="116">
        <v>6</v>
      </c>
      <c r="CC33" s="147">
        <v>14</v>
      </c>
      <c r="CD33" s="146">
        <f t="shared" si="33"/>
        <v>20</v>
      </c>
      <c r="CE33" s="147">
        <v>15</v>
      </c>
      <c r="CF33" s="147">
        <v>23</v>
      </c>
      <c r="CG33" s="146">
        <f t="shared" si="34"/>
        <v>58</v>
      </c>
      <c r="CH33" s="263"/>
      <c r="CI33" s="129">
        <f t="shared" si="35"/>
        <v>3</v>
      </c>
      <c r="CJ33" s="147">
        <f t="shared" si="4"/>
        <v>36</v>
      </c>
      <c r="CK33" s="130">
        <f t="shared" si="36"/>
        <v>4</v>
      </c>
      <c r="CL33" s="130" t="str">
        <f t="shared" si="37"/>
        <v>A</v>
      </c>
      <c r="CM33" s="37" t="str">
        <f t="shared" si="5"/>
        <v>BETTER</v>
      </c>
      <c r="CN33" s="38">
        <f t="shared" si="6"/>
        <v>801</v>
      </c>
      <c r="CO33" s="37">
        <f t="shared" si="38"/>
        <v>21</v>
      </c>
      <c r="CP33" s="40"/>
    </row>
    <row r="34" spans="1:94" s="41" customFormat="1" ht="27" customHeight="1">
      <c r="A34" s="207">
        <v>27</v>
      </c>
      <c r="B34" s="117">
        <v>107</v>
      </c>
      <c r="C34" s="118" t="s">
        <v>190</v>
      </c>
      <c r="D34" s="69" t="s">
        <v>191</v>
      </c>
      <c r="E34" s="69" t="s">
        <v>192</v>
      </c>
      <c r="F34" s="70" t="s">
        <v>193</v>
      </c>
      <c r="G34" s="116">
        <v>13</v>
      </c>
      <c r="H34" s="147">
        <v>24</v>
      </c>
      <c r="I34" s="146">
        <f t="shared" si="8"/>
        <v>37</v>
      </c>
      <c r="J34" s="147">
        <v>18</v>
      </c>
      <c r="K34" s="146">
        <f t="shared" si="40"/>
        <v>55</v>
      </c>
      <c r="L34" s="116">
        <v>19</v>
      </c>
      <c r="M34" s="147">
        <v>32</v>
      </c>
      <c r="N34" s="146">
        <f t="shared" si="9"/>
        <v>51</v>
      </c>
      <c r="O34" s="147">
        <v>25</v>
      </c>
      <c r="P34" s="146">
        <f t="shared" si="41"/>
        <v>76</v>
      </c>
      <c r="Q34" s="146">
        <f t="shared" si="11"/>
        <v>131</v>
      </c>
      <c r="R34" s="263"/>
      <c r="S34" s="147">
        <f t="shared" si="12"/>
        <v>3.5</v>
      </c>
      <c r="T34" s="116">
        <v>10</v>
      </c>
      <c r="U34" s="147">
        <v>50</v>
      </c>
      <c r="V34" s="146">
        <f t="shared" si="13"/>
        <v>60</v>
      </c>
      <c r="W34" s="147">
        <v>13</v>
      </c>
      <c r="X34" s="147">
        <v>60</v>
      </c>
      <c r="Y34" s="146">
        <f t="shared" si="14"/>
        <v>73</v>
      </c>
      <c r="Z34" s="146">
        <f t="shared" si="15"/>
        <v>133</v>
      </c>
      <c r="AA34" s="263"/>
      <c r="AB34" s="147">
        <f t="shared" si="0"/>
        <v>3.5</v>
      </c>
      <c r="AC34" s="116">
        <v>8</v>
      </c>
      <c r="AD34" s="147">
        <v>36</v>
      </c>
      <c r="AE34" s="146">
        <f t="shared" si="16"/>
        <v>44</v>
      </c>
      <c r="AF34" s="147">
        <v>14</v>
      </c>
      <c r="AG34" s="146">
        <f t="shared" si="17"/>
        <v>58</v>
      </c>
      <c r="AH34" s="263"/>
      <c r="AI34" s="147">
        <f t="shared" si="1"/>
        <v>3</v>
      </c>
      <c r="AJ34" s="116">
        <v>14</v>
      </c>
      <c r="AK34" s="147">
        <v>36</v>
      </c>
      <c r="AL34" s="146">
        <f t="shared" si="18"/>
        <v>50</v>
      </c>
      <c r="AM34" s="147">
        <v>25</v>
      </c>
      <c r="AN34" s="146">
        <f t="shared" si="19"/>
        <v>75</v>
      </c>
      <c r="AO34" s="263"/>
      <c r="AP34" s="147">
        <f t="shared" si="2"/>
        <v>4</v>
      </c>
      <c r="AQ34" s="116"/>
      <c r="AR34" s="147">
        <v>25</v>
      </c>
      <c r="AS34" s="147">
        <v>25</v>
      </c>
      <c r="AT34" s="147">
        <f t="shared" si="20"/>
        <v>50</v>
      </c>
      <c r="AU34" s="264"/>
      <c r="AV34" s="147">
        <f t="shared" si="21"/>
        <v>5</v>
      </c>
      <c r="AW34" s="116">
        <v>14</v>
      </c>
      <c r="AX34" s="147">
        <v>23</v>
      </c>
      <c r="AY34" s="146">
        <f t="shared" si="22"/>
        <v>37</v>
      </c>
      <c r="AZ34" s="147">
        <v>20</v>
      </c>
      <c r="BA34" s="146">
        <f t="shared" si="23"/>
        <v>57</v>
      </c>
      <c r="BB34" s="263"/>
      <c r="BC34" s="147">
        <f t="shared" si="24"/>
        <v>3</v>
      </c>
      <c r="BD34" s="116">
        <v>9</v>
      </c>
      <c r="BE34" s="147">
        <v>11</v>
      </c>
      <c r="BF34" s="146">
        <f t="shared" si="25"/>
        <v>20</v>
      </c>
      <c r="BG34" s="147">
        <v>13</v>
      </c>
      <c r="BH34" s="147">
        <v>20</v>
      </c>
      <c r="BI34" s="146">
        <f t="shared" si="26"/>
        <v>53</v>
      </c>
      <c r="BJ34" s="264"/>
      <c r="BK34" s="147">
        <f t="shared" si="3"/>
        <v>3</v>
      </c>
      <c r="BL34" s="116">
        <v>5</v>
      </c>
      <c r="BM34" s="147">
        <v>24</v>
      </c>
      <c r="BN34" s="146">
        <f t="shared" si="27"/>
        <v>29</v>
      </c>
      <c r="BO34" s="147">
        <v>14</v>
      </c>
      <c r="BP34" s="147">
        <v>22</v>
      </c>
      <c r="BQ34" s="146">
        <f t="shared" si="28"/>
        <v>65</v>
      </c>
      <c r="BR34" s="263"/>
      <c r="BS34" s="147">
        <f t="shared" si="29"/>
        <v>3.5</v>
      </c>
      <c r="BT34" s="116">
        <v>8</v>
      </c>
      <c r="BU34" s="147">
        <v>32</v>
      </c>
      <c r="BV34" s="146">
        <f t="shared" si="30"/>
        <v>40</v>
      </c>
      <c r="BW34" s="147">
        <v>20</v>
      </c>
      <c r="BX34" s="147">
        <v>22</v>
      </c>
      <c r="BY34" s="146">
        <f t="shared" si="31"/>
        <v>82</v>
      </c>
      <c r="BZ34" s="264"/>
      <c r="CA34" s="147">
        <f t="shared" si="32"/>
        <v>5</v>
      </c>
      <c r="CB34" s="116">
        <v>3</v>
      </c>
      <c r="CC34" s="147">
        <v>24</v>
      </c>
      <c r="CD34" s="146">
        <f t="shared" si="33"/>
        <v>27</v>
      </c>
      <c r="CE34" s="147">
        <v>16</v>
      </c>
      <c r="CF34" s="147">
        <v>23</v>
      </c>
      <c r="CG34" s="146">
        <f t="shared" si="34"/>
        <v>66</v>
      </c>
      <c r="CH34" s="263"/>
      <c r="CI34" s="129">
        <f t="shared" si="35"/>
        <v>3.5</v>
      </c>
      <c r="CJ34" s="147">
        <f t="shared" si="4"/>
        <v>35</v>
      </c>
      <c r="CK34" s="130">
        <f t="shared" si="36"/>
        <v>3.8888888888888888</v>
      </c>
      <c r="CL34" s="130" t="str">
        <f t="shared" si="37"/>
        <v>A-</v>
      </c>
      <c r="CM34" s="37" t="str">
        <f t="shared" si="5"/>
        <v>GOOD</v>
      </c>
      <c r="CN34" s="38">
        <f t="shared" si="6"/>
        <v>770</v>
      </c>
      <c r="CO34" s="37">
        <f t="shared" si="38"/>
        <v>24</v>
      </c>
      <c r="CP34" s="40"/>
    </row>
    <row r="35" spans="1:94" s="41" customFormat="1" ht="27" customHeight="1">
      <c r="A35" s="207">
        <v>28</v>
      </c>
      <c r="B35" s="117">
        <v>108</v>
      </c>
      <c r="C35" s="118" t="s">
        <v>194</v>
      </c>
      <c r="D35" s="69" t="s">
        <v>195</v>
      </c>
      <c r="E35" s="69" t="s">
        <v>196</v>
      </c>
      <c r="F35" s="70" t="s">
        <v>197</v>
      </c>
      <c r="G35" s="116">
        <v>13</v>
      </c>
      <c r="H35" s="147">
        <v>18</v>
      </c>
      <c r="I35" s="146">
        <f t="shared" si="8"/>
        <v>31</v>
      </c>
      <c r="J35" s="147">
        <v>13</v>
      </c>
      <c r="K35" s="146">
        <f t="shared" si="40"/>
        <v>44</v>
      </c>
      <c r="L35" s="116">
        <v>19</v>
      </c>
      <c r="M35" s="147">
        <v>30</v>
      </c>
      <c r="N35" s="146">
        <f t="shared" si="9"/>
        <v>49</v>
      </c>
      <c r="O35" s="147">
        <v>24</v>
      </c>
      <c r="P35" s="146">
        <f t="shared" si="41"/>
        <v>73</v>
      </c>
      <c r="Q35" s="146">
        <f t="shared" si="11"/>
        <v>117</v>
      </c>
      <c r="R35" s="263"/>
      <c r="S35" s="147">
        <f t="shared" si="12"/>
        <v>3</v>
      </c>
      <c r="T35" s="116">
        <v>10</v>
      </c>
      <c r="U35" s="147">
        <v>43</v>
      </c>
      <c r="V35" s="146">
        <f t="shared" si="13"/>
        <v>53</v>
      </c>
      <c r="W35" s="147">
        <v>7</v>
      </c>
      <c r="X35" s="147">
        <v>43</v>
      </c>
      <c r="Y35" s="146">
        <f t="shared" si="14"/>
        <v>50</v>
      </c>
      <c r="Z35" s="146">
        <f t="shared" si="15"/>
        <v>103</v>
      </c>
      <c r="AA35" s="263"/>
      <c r="AB35" s="147">
        <f t="shared" si="0"/>
        <v>3</v>
      </c>
      <c r="AC35" s="116">
        <v>9</v>
      </c>
      <c r="AD35" s="147">
        <v>29</v>
      </c>
      <c r="AE35" s="146">
        <f t="shared" si="16"/>
        <v>38</v>
      </c>
      <c r="AF35" s="147">
        <v>25</v>
      </c>
      <c r="AG35" s="146">
        <f t="shared" si="17"/>
        <v>63</v>
      </c>
      <c r="AH35" s="263"/>
      <c r="AI35" s="147">
        <f t="shared" si="1"/>
        <v>3.5</v>
      </c>
      <c r="AJ35" s="116">
        <v>17</v>
      </c>
      <c r="AK35" s="147">
        <v>34</v>
      </c>
      <c r="AL35" s="146">
        <f t="shared" si="18"/>
        <v>51</v>
      </c>
      <c r="AM35" s="147">
        <v>18</v>
      </c>
      <c r="AN35" s="146">
        <f t="shared" si="19"/>
        <v>69</v>
      </c>
      <c r="AO35" s="263"/>
      <c r="AP35" s="147">
        <f t="shared" si="2"/>
        <v>3.5</v>
      </c>
      <c r="AQ35" s="116"/>
      <c r="AR35" s="147">
        <v>25</v>
      </c>
      <c r="AS35" s="147">
        <v>25</v>
      </c>
      <c r="AT35" s="147">
        <f t="shared" si="20"/>
        <v>50</v>
      </c>
      <c r="AU35" s="264"/>
      <c r="AV35" s="147">
        <f t="shared" si="21"/>
        <v>5</v>
      </c>
      <c r="AW35" s="116">
        <v>12</v>
      </c>
      <c r="AX35" s="147">
        <v>27</v>
      </c>
      <c r="AY35" s="146">
        <f t="shared" si="22"/>
        <v>39</v>
      </c>
      <c r="AZ35" s="147">
        <v>17</v>
      </c>
      <c r="BA35" s="146">
        <f t="shared" si="23"/>
        <v>56</v>
      </c>
      <c r="BB35" s="263"/>
      <c r="BC35" s="147">
        <f t="shared" si="24"/>
        <v>3</v>
      </c>
      <c r="BD35" s="116">
        <v>3</v>
      </c>
      <c r="BE35" s="147">
        <v>11</v>
      </c>
      <c r="BF35" s="146">
        <f t="shared" si="25"/>
        <v>14</v>
      </c>
      <c r="BG35" s="147">
        <v>10</v>
      </c>
      <c r="BH35" s="147">
        <v>20</v>
      </c>
      <c r="BI35" s="146">
        <f t="shared" si="26"/>
        <v>44</v>
      </c>
      <c r="BJ35" s="264"/>
      <c r="BK35" s="147" t="str">
        <f t="shared" si="3"/>
        <v>F</v>
      </c>
      <c r="BL35" s="116">
        <v>5</v>
      </c>
      <c r="BM35" s="147">
        <v>18</v>
      </c>
      <c r="BN35" s="146">
        <f t="shared" si="27"/>
        <v>23</v>
      </c>
      <c r="BO35" s="147">
        <v>10</v>
      </c>
      <c r="BP35" s="147">
        <v>20</v>
      </c>
      <c r="BQ35" s="146">
        <f t="shared" si="28"/>
        <v>53</v>
      </c>
      <c r="BR35" s="263"/>
      <c r="BS35" s="147">
        <f t="shared" si="29"/>
        <v>3</v>
      </c>
      <c r="BT35" s="116">
        <v>6</v>
      </c>
      <c r="BU35" s="147">
        <v>24</v>
      </c>
      <c r="BV35" s="146">
        <f t="shared" si="30"/>
        <v>30</v>
      </c>
      <c r="BW35" s="147">
        <v>13</v>
      </c>
      <c r="BX35" s="147">
        <v>22</v>
      </c>
      <c r="BY35" s="146">
        <f t="shared" si="31"/>
        <v>65</v>
      </c>
      <c r="BZ35" s="264"/>
      <c r="CA35" s="147">
        <f t="shared" si="32"/>
        <v>3.5</v>
      </c>
      <c r="CB35" s="116">
        <v>7</v>
      </c>
      <c r="CC35" s="147">
        <v>11</v>
      </c>
      <c r="CD35" s="146">
        <f t="shared" si="33"/>
        <v>18</v>
      </c>
      <c r="CE35" s="147">
        <v>10</v>
      </c>
      <c r="CF35" s="147">
        <v>23</v>
      </c>
      <c r="CG35" s="146">
        <f t="shared" si="34"/>
        <v>51</v>
      </c>
      <c r="CH35" s="263"/>
      <c r="CI35" s="129" t="str">
        <f t="shared" si="35"/>
        <v>0</v>
      </c>
      <c r="CJ35" s="147" t="str">
        <f t="shared" si="4"/>
        <v>F</v>
      </c>
      <c r="CK35" s="130" t="str">
        <f t="shared" si="36"/>
        <v>F</v>
      </c>
      <c r="CL35" s="130" t="str">
        <f t="shared" si="37"/>
        <v>F</v>
      </c>
      <c r="CM35" s="37" t="str">
        <f t="shared" si="5"/>
        <v>NEED TO PROGRESS</v>
      </c>
      <c r="CN35" s="38">
        <f t="shared" si="6"/>
        <v>671</v>
      </c>
      <c r="CO35" s="37" t="str">
        <f t="shared" si="38"/>
        <v>F</v>
      </c>
      <c r="CP35" s="40"/>
    </row>
    <row r="36" spans="1:94" s="41" customFormat="1" ht="27" customHeight="1">
      <c r="A36" s="207">
        <v>29</v>
      </c>
      <c r="B36" s="117">
        <v>112</v>
      </c>
      <c r="C36" s="118" t="s">
        <v>198</v>
      </c>
      <c r="D36" s="69" t="s">
        <v>199</v>
      </c>
      <c r="E36" s="69" t="s">
        <v>200</v>
      </c>
      <c r="F36" s="70" t="s">
        <v>201</v>
      </c>
      <c r="G36" s="116">
        <v>14</v>
      </c>
      <c r="H36" s="147">
        <v>24</v>
      </c>
      <c r="I36" s="146">
        <f t="shared" si="8"/>
        <v>38</v>
      </c>
      <c r="J36" s="147">
        <v>21</v>
      </c>
      <c r="K36" s="146">
        <f t="shared" si="40"/>
        <v>59</v>
      </c>
      <c r="L36" s="116">
        <v>17</v>
      </c>
      <c r="M36" s="147">
        <v>34</v>
      </c>
      <c r="N36" s="146">
        <f t="shared" si="9"/>
        <v>51</v>
      </c>
      <c r="O36" s="147">
        <v>27</v>
      </c>
      <c r="P36" s="146">
        <f t="shared" si="41"/>
        <v>78</v>
      </c>
      <c r="Q36" s="146">
        <f t="shared" si="11"/>
        <v>137</v>
      </c>
      <c r="R36" s="263"/>
      <c r="S36" s="147">
        <f t="shared" si="12"/>
        <v>3.5</v>
      </c>
      <c r="T36" s="116">
        <v>19</v>
      </c>
      <c r="U36" s="147">
        <v>56</v>
      </c>
      <c r="V36" s="146">
        <f t="shared" si="13"/>
        <v>75</v>
      </c>
      <c r="W36" s="147">
        <v>14</v>
      </c>
      <c r="X36" s="147">
        <v>59</v>
      </c>
      <c r="Y36" s="146">
        <f t="shared" si="14"/>
        <v>73</v>
      </c>
      <c r="Z36" s="146">
        <f t="shared" si="15"/>
        <v>148</v>
      </c>
      <c r="AA36" s="263"/>
      <c r="AB36" s="147">
        <f t="shared" si="0"/>
        <v>4</v>
      </c>
      <c r="AC36" s="116">
        <v>17</v>
      </c>
      <c r="AD36" s="147">
        <v>42</v>
      </c>
      <c r="AE36" s="146">
        <f t="shared" si="16"/>
        <v>59</v>
      </c>
      <c r="AF36" s="147">
        <v>15</v>
      </c>
      <c r="AG36" s="146">
        <f t="shared" si="17"/>
        <v>74</v>
      </c>
      <c r="AH36" s="263"/>
      <c r="AI36" s="147">
        <f t="shared" si="1"/>
        <v>4</v>
      </c>
      <c r="AJ36" s="116">
        <v>17</v>
      </c>
      <c r="AK36" s="147">
        <v>37</v>
      </c>
      <c r="AL36" s="146">
        <f t="shared" si="18"/>
        <v>54</v>
      </c>
      <c r="AM36" s="147">
        <v>28</v>
      </c>
      <c r="AN36" s="146">
        <f t="shared" si="19"/>
        <v>82</v>
      </c>
      <c r="AO36" s="263"/>
      <c r="AP36" s="147">
        <f t="shared" si="2"/>
        <v>5</v>
      </c>
      <c r="AQ36" s="116"/>
      <c r="AR36" s="147">
        <v>24</v>
      </c>
      <c r="AS36" s="147">
        <v>25</v>
      </c>
      <c r="AT36" s="147">
        <f t="shared" si="20"/>
        <v>49</v>
      </c>
      <c r="AU36" s="264"/>
      <c r="AV36" s="147">
        <f t="shared" si="21"/>
        <v>5</v>
      </c>
      <c r="AW36" s="116">
        <v>13</v>
      </c>
      <c r="AX36" s="147">
        <v>35</v>
      </c>
      <c r="AY36" s="146">
        <f t="shared" si="22"/>
        <v>48</v>
      </c>
      <c r="AZ36" s="147">
        <v>26</v>
      </c>
      <c r="BA36" s="146">
        <f t="shared" si="23"/>
        <v>74</v>
      </c>
      <c r="BB36" s="263"/>
      <c r="BC36" s="147">
        <f t="shared" si="24"/>
        <v>4</v>
      </c>
      <c r="BD36" s="116">
        <v>4</v>
      </c>
      <c r="BE36" s="147">
        <v>16</v>
      </c>
      <c r="BF36" s="146">
        <f t="shared" si="25"/>
        <v>20</v>
      </c>
      <c r="BG36" s="147">
        <v>15</v>
      </c>
      <c r="BH36" s="147">
        <v>25</v>
      </c>
      <c r="BI36" s="146">
        <f t="shared" si="26"/>
        <v>60</v>
      </c>
      <c r="BJ36" s="264"/>
      <c r="BK36" s="147">
        <f t="shared" si="3"/>
        <v>3.5</v>
      </c>
      <c r="BL36" s="116">
        <v>6</v>
      </c>
      <c r="BM36" s="147">
        <v>26</v>
      </c>
      <c r="BN36" s="146">
        <f t="shared" si="27"/>
        <v>32</v>
      </c>
      <c r="BO36" s="147">
        <v>15</v>
      </c>
      <c r="BP36" s="147">
        <v>21</v>
      </c>
      <c r="BQ36" s="146">
        <f t="shared" si="28"/>
        <v>68</v>
      </c>
      <c r="BR36" s="263"/>
      <c r="BS36" s="147">
        <f t="shared" si="29"/>
        <v>3.5</v>
      </c>
      <c r="BT36" s="116">
        <v>7</v>
      </c>
      <c r="BU36" s="147">
        <v>23</v>
      </c>
      <c r="BV36" s="146">
        <f t="shared" si="30"/>
        <v>30</v>
      </c>
      <c r="BW36" s="147">
        <v>18</v>
      </c>
      <c r="BX36" s="147">
        <v>22</v>
      </c>
      <c r="BY36" s="146">
        <f t="shared" si="31"/>
        <v>70</v>
      </c>
      <c r="BZ36" s="264"/>
      <c r="CA36" s="147">
        <f t="shared" si="32"/>
        <v>4</v>
      </c>
      <c r="CB36" s="116">
        <v>4</v>
      </c>
      <c r="CC36" s="147">
        <v>17</v>
      </c>
      <c r="CD36" s="146">
        <f t="shared" si="33"/>
        <v>21</v>
      </c>
      <c r="CE36" s="147">
        <v>9</v>
      </c>
      <c r="CF36" s="147">
        <v>22</v>
      </c>
      <c r="CG36" s="146">
        <f t="shared" si="34"/>
        <v>52</v>
      </c>
      <c r="CH36" s="263"/>
      <c r="CI36" s="129" t="str">
        <f t="shared" si="35"/>
        <v>0</v>
      </c>
      <c r="CJ36" s="147">
        <f t="shared" si="4"/>
        <v>34.5</v>
      </c>
      <c r="CK36" s="130">
        <f t="shared" si="36"/>
        <v>3.8333333333333335</v>
      </c>
      <c r="CL36" s="130" t="str">
        <f t="shared" si="37"/>
        <v>A-</v>
      </c>
      <c r="CM36" s="37" t="str">
        <f t="shared" si="5"/>
        <v>GOOD</v>
      </c>
      <c r="CN36" s="38">
        <f t="shared" si="6"/>
        <v>814</v>
      </c>
      <c r="CO36" s="37">
        <f t="shared" si="38"/>
        <v>18</v>
      </c>
      <c r="CP36" s="40"/>
    </row>
    <row r="37" spans="1:94" s="41" customFormat="1" ht="27" customHeight="1">
      <c r="A37" s="207">
        <v>30</v>
      </c>
      <c r="B37" s="117">
        <v>115</v>
      </c>
      <c r="C37" s="118" t="s">
        <v>202</v>
      </c>
      <c r="D37" s="69" t="s">
        <v>203</v>
      </c>
      <c r="E37" s="69" t="s">
        <v>204</v>
      </c>
      <c r="F37" s="70" t="s">
        <v>205</v>
      </c>
      <c r="G37" s="116">
        <v>14</v>
      </c>
      <c r="H37" s="147">
        <v>30</v>
      </c>
      <c r="I37" s="146">
        <f t="shared" si="8"/>
        <v>44</v>
      </c>
      <c r="J37" s="147">
        <v>19</v>
      </c>
      <c r="K37" s="146">
        <f t="shared" si="40"/>
        <v>63</v>
      </c>
      <c r="L37" s="116">
        <v>16</v>
      </c>
      <c r="M37" s="147">
        <v>44</v>
      </c>
      <c r="N37" s="146">
        <f t="shared" si="9"/>
        <v>60</v>
      </c>
      <c r="O37" s="147">
        <v>28</v>
      </c>
      <c r="P37" s="146">
        <f t="shared" si="41"/>
        <v>88</v>
      </c>
      <c r="Q37" s="146">
        <f t="shared" si="11"/>
        <v>151</v>
      </c>
      <c r="R37" s="263"/>
      <c r="S37" s="147">
        <f t="shared" si="12"/>
        <v>4</v>
      </c>
      <c r="T37" s="116">
        <v>12</v>
      </c>
      <c r="U37" s="147">
        <v>43</v>
      </c>
      <c r="V37" s="146">
        <f t="shared" si="13"/>
        <v>55</v>
      </c>
      <c r="W37" s="147">
        <v>14</v>
      </c>
      <c r="X37" s="147">
        <v>68</v>
      </c>
      <c r="Y37" s="146">
        <f t="shared" si="14"/>
        <v>82</v>
      </c>
      <c r="Z37" s="146">
        <f t="shared" si="15"/>
        <v>137</v>
      </c>
      <c r="AA37" s="263"/>
      <c r="AB37" s="147">
        <f t="shared" si="0"/>
        <v>3.5</v>
      </c>
      <c r="AC37" s="116">
        <v>16</v>
      </c>
      <c r="AD37" s="147">
        <v>35</v>
      </c>
      <c r="AE37" s="146">
        <f t="shared" si="16"/>
        <v>51</v>
      </c>
      <c r="AF37" s="147">
        <v>22</v>
      </c>
      <c r="AG37" s="146">
        <f t="shared" si="17"/>
        <v>73</v>
      </c>
      <c r="AH37" s="263"/>
      <c r="AI37" s="147">
        <f t="shared" si="1"/>
        <v>4</v>
      </c>
      <c r="AJ37" s="116">
        <v>20</v>
      </c>
      <c r="AK37" s="147">
        <v>40</v>
      </c>
      <c r="AL37" s="146">
        <f t="shared" si="18"/>
        <v>60</v>
      </c>
      <c r="AM37" s="147">
        <v>23</v>
      </c>
      <c r="AN37" s="146">
        <f t="shared" si="19"/>
        <v>83</v>
      </c>
      <c r="AO37" s="263"/>
      <c r="AP37" s="147">
        <f t="shared" si="2"/>
        <v>5</v>
      </c>
      <c r="AQ37" s="116"/>
      <c r="AR37" s="147">
        <v>24</v>
      </c>
      <c r="AS37" s="147">
        <v>25</v>
      </c>
      <c r="AT37" s="147">
        <f t="shared" si="20"/>
        <v>49</v>
      </c>
      <c r="AU37" s="264"/>
      <c r="AV37" s="147">
        <f t="shared" si="21"/>
        <v>5</v>
      </c>
      <c r="AW37" s="116">
        <v>15</v>
      </c>
      <c r="AX37" s="147">
        <v>30</v>
      </c>
      <c r="AY37" s="146">
        <f t="shared" si="22"/>
        <v>45</v>
      </c>
      <c r="AZ37" s="147">
        <v>24</v>
      </c>
      <c r="BA37" s="146">
        <f t="shared" si="23"/>
        <v>69</v>
      </c>
      <c r="BB37" s="263"/>
      <c r="BC37" s="147">
        <f t="shared" si="24"/>
        <v>3.5</v>
      </c>
      <c r="BD37" s="116">
        <v>9</v>
      </c>
      <c r="BE37" s="147">
        <v>34</v>
      </c>
      <c r="BF37" s="146">
        <f t="shared" si="25"/>
        <v>43</v>
      </c>
      <c r="BG37" s="147">
        <v>18</v>
      </c>
      <c r="BH37" s="147">
        <v>25</v>
      </c>
      <c r="BI37" s="146">
        <f t="shared" si="26"/>
        <v>86</v>
      </c>
      <c r="BJ37" s="264"/>
      <c r="BK37" s="147">
        <f t="shared" si="3"/>
        <v>5</v>
      </c>
      <c r="BL37" s="116">
        <v>8</v>
      </c>
      <c r="BM37" s="147">
        <v>39</v>
      </c>
      <c r="BN37" s="146">
        <f t="shared" si="27"/>
        <v>47</v>
      </c>
      <c r="BO37" s="147">
        <v>21</v>
      </c>
      <c r="BP37" s="147">
        <v>25</v>
      </c>
      <c r="BQ37" s="146">
        <f t="shared" si="28"/>
        <v>93</v>
      </c>
      <c r="BR37" s="263"/>
      <c r="BS37" s="147">
        <f t="shared" si="29"/>
        <v>5</v>
      </c>
      <c r="BT37" s="116">
        <v>8</v>
      </c>
      <c r="BU37" s="147">
        <v>34</v>
      </c>
      <c r="BV37" s="146">
        <f t="shared" si="30"/>
        <v>42</v>
      </c>
      <c r="BW37" s="147">
        <v>20</v>
      </c>
      <c r="BX37" s="147">
        <v>23</v>
      </c>
      <c r="BY37" s="146">
        <f t="shared" si="31"/>
        <v>85</v>
      </c>
      <c r="BZ37" s="264"/>
      <c r="CA37" s="147">
        <f t="shared" si="32"/>
        <v>5</v>
      </c>
      <c r="CB37" s="116">
        <v>9</v>
      </c>
      <c r="CC37" s="147">
        <v>31</v>
      </c>
      <c r="CD37" s="146">
        <f t="shared" si="33"/>
        <v>40</v>
      </c>
      <c r="CE37" s="147">
        <v>19</v>
      </c>
      <c r="CF37" s="147">
        <v>23</v>
      </c>
      <c r="CG37" s="146">
        <f t="shared" si="34"/>
        <v>82</v>
      </c>
      <c r="CH37" s="263"/>
      <c r="CI37" s="129">
        <f t="shared" si="35"/>
        <v>5</v>
      </c>
      <c r="CJ37" s="147">
        <f t="shared" si="4"/>
        <v>43</v>
      </c>
      <c r="CK37" s="130">
        <f t="shared" si="36"/>
        <v>4.7777777777777777</v>
      </c>
      <c r="CL37" s="130" t="str">
        <f t="shared" si="37"/>
        <v>A</v>
      </c>
      <c r="CM37" s="37" t="str">
        <f t="shared" si="5"/>
        <v>BETTER</v>
      </c>
      <c r="CN37" s="38">
        <f t="shared" si="6"/>
        <v>908</v>
      </c>
      <c r="CO37" s="37">
        <f t="shared" si="38"/>
        <v>7</v>
      </c>
      <c r="CP37" s="40"/>
    </row>
    <row r="38" spans="1:94" s="41" customFormat="1" ht="27" customHeight="1">
      <c r="A38" s="207">
        <v>31</v>
      </c>
      <c r="B38" s="117">
        <v>119</v>
      </c>
      <c r="C38" s="118" t="s">
        <v>206</v>
      </c>
      <c r="D38" s="69" t="s">
        <v>207</v>
      </c>
      <c r="E38" s="69" t="s">
        <v>208</v>
      </c>
      <c r="F38" s="70" t="s">
        <v>209</v>
      </c>
      <c r="G38" s="116">
        <v>14</v>
      </c>
      <c r="H38" s="147">
        <v>27</v>
      </c>
      <c r="I38" s="146">
        <f t="shared" si="8"/>
        <v>41</v>
      </c>
      <c r="J38" s="147">
        <v>19</v>
      </c>
      <c r="K38" s="146">
        <f t="shared" si="40"/>
        <v>60</v>
      </c>
      <c r="L38" s="116">
        <v>19</v>
      </c>
      <c r="M38" s="147">
        <v>41</v>
      </c>
      <c r="N38" s="146">
        <f t="shared" si="9"/>
        <v>60</v>
      </c>
      <c r="O38" s="147">
        <v>27</v>
      </c>
      <c r="P38" s="146">
        <f t="shared" si="41"/>
        <v>87</v>
      </c>
      <c r="Q38" s="146">
        <f t="shared" si="11"/>
        <v>147</v>
      </c>
      <c r="R38" s="263"/>
      <c r="S38" s="147">
        <f t="shared" si="12"/>
        <v>4</v>
      </c>
      <c r="T38" s="116">
        <v>11</v>
      </c>
      <c r="U38" s="147">
        <v>53</v>
      </c>
      <c r="V38" s="146">
        <f t="shared" si="13"/>
        <v>64</v>
      </c>
      <c r="W38" s="147">
        <v>10</v>
      </c>
      <c r="X38" s="147">
        <v>51</v>
      </c>
      <c r="Y38" s="146">
        <f t="shared" si="14"/>
        <v>61</v>
      </c>
      <c r="Z38" s="146">
        <f t="shared" si="15"/>
        <v>125</v>
      </c>
      <c r="AA38" s="263"/>
      <c r="AB38" s="147">
        <f t="shared" si="0"/>
        <v>3.5</v>
      </c>
      <c r="AC38" s="116">
        <v>8</v>
      </c>
      <c r="AD38" s="147">
        <v>20</v>
      </c>
      <c r="AE38" s="146">
        <f t="shared" si="16"/>
        <v>28</v>
      </c>
      <c r="AF38" s="147">
        <v>12</v>
      </c>
      <c r="AG38" s="146">
        <f t="shared" si="17"/>
        <v>40</v>
      </c>
      <c r="AH38" s="263"/>
      <c r="AI38" s="147">
        <f t="shared" si="1"/>
        <v>2</v>
      </c>
      <c r="AJ38" s="116">
        <v>18</v>
      </c>
      <c r="AK38" s="147">
        <v>30</v>
      </c>
      <c r="AL38" s="146">
        <f t="shared" si="18"/>
        <v>48</v>
      </c>
      <c r="AM38" s="147">
        <v>23</v>
      </c>
      <c r="AN38" s="146">
        <f t="shared" si="19"/>
        <v>71</v>
      </c>
      <c r="AO38" s="263"/>
      <c r="AP38" s="147">
        <f t="shared" si="2"/>
        <v>4</v>
      </c>
      <c r="AQ38" s="116"/>
      <c r="AR38" s="147">
        <v>25</v>
      </c>
      <c r="AS38" s="147">
        <v>25</v>
      </c>
      <c r="AT38" s="147">
        <f t="shared" si="20"/>
        <v>50</v>
      </c>
      <c r="AU38" s="264"/>
      <c r="AV38" s="147">
        <f t="shared" si="21"/>
        <v>5</v>
      </c>
      <c r="AW38" s="116">
        <v>12</v>
      </c>
      <c r="AX38" s="147">
        <v>30</v>
      </c>
      <c r="AY38" s="146">
        <f t="shared" si="22"/>
        <v>42</v>
      </c>
      <c r="AZ38" s="147">
        <v>19</v>
      </c>
      <c r="BA38" s="146">
        <f t="shared" si="23"/>
        <v>61</v>
      </c>
      <c r="BB38" s="263"/>
      <c r="BC38" s="147">
        <f t="shared" si="24"/>
        <v>3.5</v>
      </c>
      <c r="BD38" s="116">
        <v>4</v>
      </c>
      <c r="BE38" s="147">
        <v>9</v>
      </c>
      <c r="BF38" s="146">
        <f t="shared" si="25"/>
        <v>13</v>
      </c>
      <c r="BG38" s="147">
        <v>10</v>
      </c>
      <c r="BH38" s="147">
        <v>20</v>
      </c>
      <c r="BI38" s="146">
        <f t="shared" si="26"/>
        <v>43</v>
      </c>
      <c r="BJ38" s="264"/>
      <c r="BK38" s="147" t="str">
        <f t="shared" si="3"/>
        <v>F</v>
      </c>
      <c r="BL38" s="116">
        <v>5</v>
      </c>
      <c r="BM38" s="147">
        <v>29</v>
      </c>
      <c r="BN38" s="146">
        <f t="shared" si="27"/>
        <v>34</v>
      </c>
      <c r="BO38" s="147">
        <v>10</v>
      </c>
      <c r="BP38" s="147">
        <v>23</v>
      </c>
      <c r="BQ38" s="146">
        <f t="shared" si="28"/>
        <v>67</v>
      </c>
      <c r="BR38" s="263"/>
      <c r="BS38" s="147">
        <f t="shared" si="29"/>
        <v>3.5</v>
      </c>
      <c r="BT38" s="116">
        <v>7</v>
      </c>
      <c r="BU38" s="147">
        <v>25</v>
      </c>
      <c r="BV38" s="146">
        <f t="shared" si="30"/>
        <v>32</v>
      </c>
      <c r="BW38" s="147">
        <v>15</v>
      </c>
      <c r="BX38" s="147">
        <v>22</v>
      </c>
      <c r="BY38" s="146">
        <f t="shared" si="31"/>
        <v>69</v>
      </c>
      <c r="BZ38" s="264"/>
      <c r="CA38" s="147">
        <f t="shared" si="32"/>
        <v>3.5</v>
      </c>
      <c r="CB38" s="116">
        <v>5</v>
      </c>
      <c r="CC38" s="147">
        <v>26</v>
      </c>
      <c r="CD38" s="146">
        <f t="shared" si="33"/>
        <v>31</v>
      </c>
      <c r="CE38" s="147">
        <v>19</v>
      </c>
      <c r="CF38" s="147">
        <v>22</v>
      </c>
      <c r="CG38" s="146">
        <f t="shared" si="34"/>
        <v>72</v>
      </c>
      <c r="CH38" s="263"/>
      <c r="CI38" s="129">
        <f t="shared" si="35"/>
        <v>4</v>
      </c>
      <c r="CJ38" s="147" t="str">
        <f t="shared" si="4"/>
        <v>F</v>
      </c>
      <c r="CK38" s="130" t="str">
        <f t="shared" si="36"/>
        <v>F</v>
      </c>
      <c r="CL38" s="130" t="str">
        <f t="shared" si="37"/>
        <v>F</v>
      </c>
      <c r="CM38" s="37" t="str">
        <f t="shared" si="5"/>
        <v>NEED TO PROGRESS</v>
      </c>
      <c r="CN38" s="38">
        <f t="shared" si="6"/>
        <v>745</v>
      </c>
      <c r="CO38" s="37" t="str">
        <f t="shared" si="38"/>
        <v>F</v>
      </c>
      <c r="CP38" s="40"/>
    </row>
    <row r="39" spans="1:94" s="41" customFormat="1" ht="27" customHeight="1">
      <c r="A39" s="207">
        <v>32</v>
      </c>
      <c r="B39" s="117">
        <v>125</v>
      </c>
      <c r="C39" s="118" t="s">
        <v>210</v>
      </c>
      <c r="D39" s="69" t="s">
        <v>211</v>
      </c>
      <c r="E39" s="69" t="s">
        <v>212</v>
      </c>
      <c r="F39" s="70" t="s">
        <v>213</v>
      </c>
      <c r="G39" s="116">
        <v>14</v>
      </c>
      <c r="H39" s="147">
        <v>29</v>
      </c>
      <c r="I39" s="146">
        <f t="shared" si="8"/>
        <v>43</v>
      </c>
      <c r="J39" s="147">
        <v>20</v>
      </c>
      <c r="K39" s="146">
        <f t="shared" si="40"/>
        <v>63</v>
      </c>
      <c r="L39" s="116">
        <v>19</v>
      </c>
      <c r="M39" s="147">
        <v>41</v>
      </c>
      <c r="N39" s="146">
        <f t="shared" si="9"/>
        <v>60</v>
      </c>
      <c r="O39" s="147">
        <v>28</v>
      </c>
      <c r="P39" s="146">
        <f t="shared" si="41"/>
        <v>88</v>
      </c>
      <c r="Q39" s="146">
        <f t="shared" si="11"/>
        <v>151</v>
      </c>
      <c r="R39" s="263"/>
      <c r="S39" s="147">
        <f t="shared" si="12"/>
        <v>4</v>
      </c>
      <c r="T39" s="116">
        <v>9</v>
      </c>
      <c r="U39" s="147">
        <v>32</v>
      </c>
      <c r="V39" s="146">
        <f t="shared" si="13"/>
        <v>41</v>
      </c>
      <c r="W39" s="147">
        <v>10</v>
      </c>
      <c r="X39" s="147">
        <v>29</v>
      </c>
      <c r="Y39" s="146">
        <f t="shared" si="14"/>
        <v>39</v>
      </c>
      <c r="Z39" s="146">
        <f t="shared" si="15"/>
        <v>80</v>
      </c>
      <c r="AA39" s="263"/>
      <c r="AB39" s="147">
        <f t="shared" si="0"/>
        <v>2</v>
      </c>
      <c r="AC39" s="116">
        <v>13</v>
      </c>
      <c r="AD39" s="147">
        <v>23</v>
      </c>
      <c r="AE39" s="146">
        <f t="shared" si="16"/>
        <v>36</v>
      </c>
      <c r="AF39" s="147">
        <v>17</v>
      </c>
      <c r="AG39" s="146">
        <f t="shared" si="17"/>
        <v>53</v>
      </c>
      <c r="AH39" s="263"/>
      <c r="AI39" s="147">
        <f t="shared" si="1"/>
        <v>3</v>
      </c>
      <c r="AJ39" s="116">
        <v>20</v>
      </c>
      <c r="AK39" s="147">
        <v>41</v>
      </c>
      <c r="AL39" s="146">
        <f t="shared" si="18"/>
        <v>61</v>
      </c>
      <c r="AM39" s="147">
        <v>22</v>
      </c>
      <c r="AN39" s="146">
        <f t="shared" si="19"/>
        <v>83</v>
      </c>
      <c r="AO39" s="263"/>
      <c r="AP39" s="147">
        <f t="shared" si="2"/>
        <v>5</v>
      </c>
      <c r="AQ39" s="116"/>
      <c r="AR39" s="147">
        <v>24</v>
      </c>
      <c r="AS39" s="147">
        <v>25</v>
      </c>
      <c r="AT39" s="147">
        <f t="shared" si="20"/>
        <v>49</v>
      </c>
      <c r="AU39" s="264"/>
      <c r="AV39" s="147">
        <f t="shared" si="21"/>
        <v>5</v>
      </c>
      <c r="AW39" s="116">
        <v>15</v>
      </c>
      <c r="AX39" s="147">
        <v>33</v>
      </c>
      <c r="AY39" s="146">
        <f t="shared" si="22"/>
        <v>48</v>
      </c>
      <c r="AZ39" s="147">
        <v>21</v>
      </c>
      <c r="BA39" s="146">
        <f t="shared" si="23"/>
        <v>69</v>
      </c>
      <c r="BB39" s="263"/>
      <c r="BC39" s="147">
        <f t="shared" si="24"/>
        <v>3.5</v>
      </c>
      <c r="BD39" s="116">
        <v>6</v>
      </c>
      <c r="BE39" s="147">
        <v>17</v>
      </c>
      <c r="BF39" s="146">
        <f t="shared" si="25"/>
        <v>23</v>
      </c>
      <c r="BG39" s="147">
        <v>11</v>
      </c>
      <c r="BH39" s="147">
        <v>25</v>
      </c>
      <c r="BI39" s="146">
        <f t="shared" si="26"/>
        <v>59</v>
      </c>
      <c r="BJ39" s="264"/>
      <c r="BK39" s="147">
        <f t="shared" si="3"/>
        <v>3</v>
      </c>
      <c r="BL39" s="116">
        <v>5</v>
      </c>
      <c r="BM39" s="147">
        <v>23</v>
      </c>
      <c r="BN39" s="146">
        <f t="shared" si="27"/>
        <v>28</v>
      </c>
      <c r="BO39" s="147">
        <v>10</v>
      </c>
      <c r="BP39" s="147">
        <v>21</v>
      </c>
      <c r="BQ39" s="146">
        <f t="shared" si="28"/>
        <v>59</v>
      </c>
      <c r="BR39" s="263"/>
      <c r="BS39" s="147">
        <f t="shared" si="29"/>
        <v>3</v>
      </c>
      <c r="BT39" s="116">
        <v>8</v>
      </c>
      <c r="BU39" s="147">
        <v>31</v>
      </c>
      <c r="BV39" s="146">
        <f t="shared" si="30"/>
        <v>39</v>
      </c>
      <c r="BW39" s="147">
        <v>20</v>
      </c>
      <c r="BX39" s="147">
        <v>22</v>
      </c>
      <c r="BY39" s="146">
        <f t="shared" si="31"/>
        <v>81</v>
      </c>
      <c r="BZ39" s="264"/>
      <c r="CA39" s="147">
        <f t="shared" si="32"/>
        <v>5</v>
      </c>
      <c r="CB39" s="116">
        <v>8</v>
      </c>
      <c r="CC39" s="147">
        <v>12</v>
      </c>
      <c r="CD39" s="146">
        <f t="shared" si="33"/>
        <v>20</v>
      </c>
      <c r="CE39" s="147">
        <v>11</v>
      </c>
      <c r="CF39" s="147">
        <v>23</v>
      </c>
      <c r="CG39" s="146">
        <f t="shared" si="34"/>
        <v>54</v>
      </c>
      <c r="CH39" s="263"/>
      <c r="CI39" s="129">
        <f t="shared" si="35"/>
        <v>3</v>
      </c>
      <c r="CJ39" s="147">
        <f t="shared" si="4"/>
        <v>34.5</v>
      </c>
      <c r="CK39" s="130">
        <f t="shared" si="36"/>
        <v>3.8333333333333335</v>
      </c>
      <c r="CL39" s="130" t="str">
        <f t="shared" si="37"/>
        <v>A-</v>
      </c>
      <c r="CM39" s="37" t="str">
        <f t="shared" si="5"/>
        <v>GOOD</v>
      </c>
      <c r="CN39" s="38">
        <f t="shared" si="6"/>
        <v>738</v>
      </c>
      <c r="CO39" s="37">
        <f t="shared" si="38"/>
        <v>29</v>
      </c>
      <c r="CP39" s="40"/>
    </row>
    <row r="40" spans="1:94" s="41" customFormat="1" ht="27" customHeight="1">
      <c r="A40" s="207">
        <v>33</v>
      </c>
      <c r="B40" s="117">
        <v>129</v>
      </c>
      <c r="C40" s="118" t="s">
        <v>214</v>
      </c>
      <c r="D40" s="69" t="s">
        <v>215</v>
      </c>
      <c r="E40" s="69" t="s">
        <v>216</v>
      </c>
      <c r="F40" s="70" t="s">
        <v>217</v>
      </c>
      <c r="G40" s="116">
        <v>16</v>
      </c>
      <c r="H40" s="147">
        <v>26</v>
      </c>
      <c r="I40" s="146">
        <f t="shared" si="8"/>
        <v>42</v>
      </c>
      <c r="J40" s="147">
        <v>12</v>
      </c>
      <c r="K40" s="146">
        <f t="shared" si="40"/>
        <v>54</v>
      </c>
      <c r="L40" s="116">
        <v>19</v>
      </c>
      <c r="M40" s="147">
        <v>28</v>
      </c>
      <c r="N40" s="146">
        <f t="shared" si="9"/>
        <v>47</v>
      </c>
      <c r="O40" s="147">
        <v>27</v>
      </c>
      <c r="P40" s="146">
        <f t="shared" si="41"/>
        <v>74</v>
      </c>
      <c r="Q40" s="146">
        <f t="shared" si="11"/>
        <v>128</v>
      </c>
      <c r="R40" s="263"/>
      <c r="S40" s="147">
        <f t="shared" si="12"/>
        <v>3.5</v>
      </c>
      <c r="T40" s="116">
        <v>13</v>
      </c>
      <c r="U40" s="147">
        <v>50</v>
      </c>
      <c r="V40" s="146">
        <f t="shared" si="13"/>
        <v>63</v>
      </c>
      <c r="W40" s="147">
        <v>13</v>
      </c>
      <c r="X40" s="147">
        <v>68</v>
      </c>
      <c r="Y40" s="146">
        <f t="shared" si="14"/>
        <v>81</v>
      </c>
      <c r="Z40" s="146">
        <f t="shared" si="15"/>
        <v>144</v>
      </c>
      <c r="AA40" s="263"/>
      <c r="AB40" s="147">
        <f t="shared" si="0"/>
        <v>4</v>
      </c>
      <c r="AC40" s="116">
        <v>17</v>
      </c>
      <c r="AD40" s="147">
        <v>38</v>
      </c>
      <c r="AE40" s="146">
        <f t="shared" si="16"/>
        <v>55</v>
      </c>
      <c r="AF40" s="147">
        <v>20</v>
      </c>
      <c r="AG40" s="146">
        <f t="shared" si="17"/>
        <v>75</v>
      </c>
      <c r="AH40" s="263"/>
      <c r="AI40" s="147">
        <f t="shared" si="1"/>
        <v>4</v>
      </c>
      <c r="AJ40" s="116">
        <v>17</v>
      </c>
      <c r="AK40" s="147">
        <v>31</v>
      </c>
      <c r="AL40" s="146">
        <f t="shared" si="18"/>
        <v>48</v>
      </c>
      <c r="AM40" s="147">
        <v>22</v>
      </c>
      <c r="AN40" s="146">
        <f t="shared" si="19"/>
        <v>70</v>
      </c>
      <c r="AO40" s="263"/>
      <c r="AP40" s="147">
        <f t="shared" si="2"/>
        <v>4</v>
      </c>
      <c r="AQ40" s="116"/>
      <c r="AR40" s="147">
        <v>24</v>
      </c>
      <c r="AS40" s="147">
        <v>25</v>
      </c>
      <c r="AT40" s="147">
        <f t="shared" si="20"/>
        <v>49</v>
      </c>
      <c r="AU40" s="264"/>
      <c r="AV40" s="147">
        <f t="shared" si="21"/>
        <v>5</v>
      </c>
      <c r="AW40" s="116">
        <v>17</v>
      </c>
      <c r="AX40" s="147">
        <v>31</v>
      </c>
      <c r="AY40" s="146">
        <f t="shared" si="22"/>
        <v>48</v>
      </c>
      <c r="AZ40" s="147">
        <v>17</v>
      </c>
      <c r="BA40" s="146">
        <f t="shared" si="23"/>
        <v>65</v>
      </c>
      <c r="BB40" s="263"/>
      <c r="BC40" s="147">
        <f t="shared" si="24"/>
        <v>3.5</v>
      </c>
      <c r="BD40" s="116">
        <v>6</v>
      </c>
      <c r="BE40" s="147">
        <v>33</v>
      </c>
      <c r="BF40" s="146">
        <f t="shared" si="25"/>
        <v>39</v>
      </c>
      <c r="BG40" s="147">
        <v>13</v>
      </c>
      <c r="BH40" s="147">
        <v>25</v>
      </c>
      <c r="BI40" s="146">
        <f t="shared" si="26"/>
        <v>77</v>
      </c>
      <c r="BJ40" s="264"/>
      <c r="BK40" s="147">
        <f t="shared" si="3"/>
        <v>4</v>
      </c>
      <c r="BL40" s="116">
        <v>9</v>
      </c>
      <c r="BM40" s="147">
        <v>34</v>
      </c>
      <c r="BN40" s="146">
        <f t="shared" si="27"/>
        <v>43</v>
      </c>
      <c r="BO40" s="147">
        <v>10</v>
      </c>
      <c r="BP40" s="147">
        <v>24</v>
      </c>
      <c r="BQ40" s="146">
        <f t="shared" si="28"/>
        <v>77</v>
      </c>
      <c r="BR40" s="263"/>
      <c r="BS40" s="147">
        <f t="shared" si="29"/>
        <v>4</v>
      </c>
      <c r="BT40" s="116">
        <v>8</v>
      </c>
      <c r="BU40" s="147">
        <v>26</v>
      </c>
      <c r="BV40" s="146">
        <f t="shared" si="30"/>
        <v>34</v>
      </c>
      <c r="BW40" s="147">
        <v>17</v>
      </c>
      <c r="BX40" s="147">
        <v>22</v>
      </c>
      <c r="BY40" s="146">
        <f t="shared" si="31"/>
        <v>73</v>
      </c>
      <c r="BZ40" s="264"/>
      <c r="CA40" s="147">
        <f t="shared" si="32"/>
        <v>4</v>
      </c>
      <c r="CB40" s="116">
        <v>7</v>
      </c>
      <c r="CC40" s="147">
        <v>30</v>
      </c>
      <c r="CD40" s="146">
        <f t="shared" si="33"/>
        <v>37</v>
      </c>
      <c r="CE40" s="147">
        <v>14</v>
      </c>
      <c r="CF40" s="147">
        <v>23</v>
      </c>
      <c r="CG40" s="146">
        <f t="shared" si="34"/>
        <v>74</v>
      </c>
      <c r="CH40" s="263"/>
      <c r="CI40" s="129">
        <f t="shared" si="35"/>
        <v>4</v>
      </c>
      <c r="CJ40" s="147">
        <f t="shared" si="4"/>
        <v>38</v>
      </c>
      <c r="CK40" s="130">
        <f t="shared" si="36"/>
        <v>4.2222222222222223</v>
      </c>
      <c r="CL40" s="130" t="str">
        <f t="shared" si="37"/>
        <v>A</v>
      </c>
      <c r="CM40" s="37" t="str">
        <f t="shared" si="5"/>
        <v>BETTER</v>
      </c>
      <c r="CN40" s="38">
        <f t="shared" si="6"/>
        <v>832</v>
      </c>
      <c r="CO40" s="37">
        <f t="shared" si="38"/>
        <v>15</v>
      </c>
      <c r="CP40" s="40"/>
    </row>
    <row r="41" spans="1:94" s="41" customFormat="1" ht="27" customHeight="1">
      <c r="A41" s="207">
        <v>34</v>
      </c>
      <c r="B41" s="117">
        <v>132</v>
      </c>
      <c r="C41" s="118" t="s">
        <v>218</v>
      </c>
      <c r="D41" s="69" t="s">
        <v>219</v>
      </c>
      <c r="E41" s="69" t="s">
        <v>220</v>
      </c>
      <c r="F41" s="70" t="s">
        <v>221</v>
      </c>
      <c r="G41" s="116">
        <v>14</v>
      </c>
      <c r="H41" s="147">
        <v>33</v>
      </c>
      <c r="I41" s="146">
        <f t="shared" si="8"/>
        <v>47</v>
      </c>
      <c r="J41" s="147">
        <v>18</v>
      </c>
      <c r="K41" s="146">
        <f t="shared" si="40"/>
        <v>65</v>
      </c>
      <c r="L41" s="116">
        <v>18</v>
      </c>
      <c r="M41" s="147">
        <v>36</v>
      </c>
      <c r="N41" s="146">
        <f t="shared" si="9"/>
        <v>54</v>
      </c>
      <c r="O41" s="147">
        <v>25</v>
      </c>
      <c r="P41" s="146">
        <f t="shared" si="41"/>
        <v>79</v>
      </c>
      <c r="Q41" s="146">
        <f t="shared" si="11"/>
        <v>144</v>
      </c>
      <c r="R41" s="263"/>
      <c r="S41" s="147">
        <f t="shared" si="12"/>
        <v>4</v>
      </c>
      <c r="T41" s="116">
        <v>19</v>
      </c>
      <c r="U41" s="147">
        <v>62</v>
      </c>
      <c r="V41" s="146">
        <f t="shared" si="13"/>
        <v>81</v>
      </c>
      <c r="W41" s="147">
        <v>20</v>
      </c>
      <c r="X41" s="147">
        <v>54</v>
      </c>
      <c r="Y41" s="146">
        <f t="shared" si="14"/>
        <v>74</v>
      </c>
      <c r="Z41" s="146">
        <f t="shared" si="15"/>
        <v>155</v>
      </c>
      <c r="AA41" s="263"/>
      <c r="AB41" s="147">
        <f t="shared" si="0"/>
        <v>4</v>
      </c>
      <c r="AC41" s="116">
        <v>17</v>
      </c>
      <c r="AD41" s="147">
        <v>41</v>
      </c>
      <c r="AE41" s="146">
        <f t="shared" si="16"/>
        <v>58</v>
      </c>
      <c r="AF41" s="147">
        <v>23</v>
      </c>
      <c r="AG41" s="146">
        <f t="shared" si="17"/>
        <v>81</v>
      </c>
      <c r="AH41" s="263"/>
      <c r="AI41" s="147">
        <f t="shared" si="1"/>
        <v>5</v>
      </c>
      <c r="AJ41" s="116">
        <v>19</v>
      </c>
      <c r="AK41" s="147">
        <v>41</v>
      </c>
      <c r="AL41" s="146">
        <f t="shared" si="18"/>
        <v>60</v>
      </c>
      <c r="AM41" s="147">
        <v>24</v>
      </c>
      <c r="AN41" s="146">
        <f t="shared" si="19"/>
        <v>84</v>
      </c>
      <c r="AO41" s="263"/>
      <c r="AP41" s="147">
        <f t="shared" si="2"/>
        <v>5</v>
      </c>
      <c r="AQ41" s="116"/>
      <c r="AR41" s="147">
        <v>25</v>
      </c>
      <c r="AS41" s="147">
        <v>25</v>
      </c>
      <c r="AT41" s="147">
        <f t="shared" si="20"/>
        <v>50</v>
      </c>
      <c r="AU41" s="264"/>
      <c r="AV41" s="147">
        <f t="shared" si="21"/>
        <v>5</v>
      </c>
      <c r="AW41" s="116">
        <v>13</v>
      </c>
      <c r="AX41" s="147">
        <v>33</v>
      </c>
      <c r="AY41" s="146">
        <f t="shared" si="22"/>
        <v>46</v>
      </c>
      <c r="AZ41" s="147">
        <v>21</v>
      </c>
      <c r="BA41" s="146">
        <f t="shared" si="23"/>
        <v>67</v>
      </c>
      <c r="BB41" s="263"/>
      <c r="BC41" s="147">
        <f t="shared" si="24"/>
        <v>3.5</v>
      </c>
      <c r="BD41" s="116">
        <v>5</v>
      </c>
      <c r="BE41" s="147">
        <v>25</v>
      </c>
      <c r="BF41" s="146">
        <f t="shared" si="25"/>
        <v>30</v>
      </c>
      <c r="BG41" s="147">
        <v>17</v>
      </c>
      <c r="BH41" s="147">
        <v>25</v>
      </c>
      <c r="BI41" s="146">
        <f t="shared" si="26"/>
        <v>72</v>
      </c>
      <c r="BJ41" s="264"/>
      <c r="BK41" s="147">
        <f t="shared" si="3"/>
        <v>4</v>
      </c>
      <c r="BL41" s="116">
        <v>7</v>
      </c>
      <c r="BM41" s="147">
        <v>37</v>
      </c>
      <c r="BN41" s="146">
        <f t="shared" si="27"/>
        <v>44</v>
      </c>
      <c r="BO41" s="147">
        <v>18</v>
      </c>
      <c r="BP41" s="147">
        <v>25</v>
      </c>
      <c r="BQ41" s="146">
        <f t="shared" si="28"/>
        <v>87</v>
      </c>
      <c r="BR41" s="263"/>
      <c r="BS41" s="147">
        <f t="shared" si="29"/>
        <v>5</v>
      </c>
      <c r="BT41" s="116">
        <v>6</v>
      </c>
      <c r="BU41" s="147">
        <v>31</v>
      </c>
      <c r="BV41" s="146">
        <f t="shared" si="30"/>
        <v>37</v>
      </c>
      <c r="BW41" s="147">
        <v>15</v>
      </c>
      <c r="BX41" s="147">
        <v>23</v>
      </c>
      <c r="BY41" s="146">
        <f t="shared" si="31"/>
        <v>75</v>
      </c>
      <c r="BZ41" s="264"/>
      <c r="CA41" s="147">
        <f t="shared" si="32"/>
        <v>4</v>
      </c>
      <c r="CB41" s="116">
        <v>13</v>
      </c>
      <c r="CC41" s="147">
        <v>26</v>
      </c>
      <c r="CD41" s="146">
        <f t="shared" si="33"/>
        <v>39</v>
      </c>
      <c r="CE41" s="147">
        <v>17</v>
      </c>
      <c r="CF41" s="147">
        <v>22</v>
      </c>
      <c r="CG41" s="146">
        <f t="shared" si="34"/>
        <v>78</v>
      </c>
      <c r="CH41" s="263"/>
      <c r="CI41" s="129">
        <f t="shared" si="35"/>
        <v>4</v>
      </c>
      <c r="CJ41" s="147">
        <f t="shared" si="4"/>
        <v>41.5</v>
      </c>
      <c r="CK41" s="130">
        <f t="shared" si="36"/>
        <v>4.6111111111111107</v>
      </c>
      <c r="CL41" s="130" t="str">
        <f t="shared" si="37"/>
        <v>A</v>
      </c>
      <c r="CM41" s="37" t="str">
        <f t="shared" si="5"/>
        <v>BETTER</v>
      </c>
      <c r="CN41" s="38">
        <f t="shared" si="6"/>
        <v>893</v>
      </c>
      <c r="CO41" s="37">
        <f t="shared" si="38"/>
        <v>9</v>
      </c>
      <c r="CP41" s="40"/>
    </row>
    <row r="42" spans="1:94" s="41" customFormat="1" ht="27" customHeight="1">
      <c r="A42" s="207">
        <v>35</v>
      </c>
      <c r="B42" s="117">
        <v>133</v>
      </c>
      <c r="C42" s="118" t="s">
        <v>222</v>
      </c>
      <c r="D42" s="69" t="s">
        <v>223</v>
      </c>
      <c r="E42" s="69" t="s">
        <v>224</v>
      </c>
      <c r="F42" s="70" t="s">
        <v>225</v>
      </c>
      <c r="G42" s="116">
        <v>13</v>
      </c>
      <c r="H42" s="147">
        <v>15</v>
      </c>
      <c r="I42" s="146">
        <f t="shared" si="8"/>
        <v>28</v>
      </c>
      <c r="J42" s="147">
        <v>17</v>
      </c>
      <c r="K42" s="146">
        <f t="shared" si="40"/>
        <v>45</v>
      </c>
      <c r="L42" s="116">
        <v>18</v>
      </c>
      <c r="M42" s="147">
        <v>23</v>
      </c>
      <c r="N42" s="146">
        <f t="shared" si="9"/>
        <v>41</v>
      </c>
      <c r="O42" s="147">
        <v>25</v>
      </c>
      <c r="P42" s="146">
        <f t="shared" si="41"/>
        <v>66</v>
      </c>
      <c r="Q42" s="146">
        <f t="shared" si="11"/>
        <v>111</v>
      </c>
      <c r="R42" s="263"/>
      <c r="S42" s="147">
        <f t="shared" si="12"/>
        <v>3</v>
      </c>
      <c r="T42" s="116">
        <v>12</v>
      </c>
      <c r="U42" s="147">
        <v>44</v>
      </c>
      <c r="V42" s="146">
        <f t="shared" si="13"/>
        <v>56</v>
      </c>
      <c r="W42" s="147">
        <v>11</v>
      </c>
      <c r="X42" s="147">
        <v>56</v>
      </c>
      <c r="Y42" s="146">
        <f t="shared" si="14"/>
        <v>67</v>
      </c>
      <c r="Z42" s="146">
        <f t="shared" si="15"/>
        <v>123</v>
      </c>
      <c r="AA42" s="263"/>
      <c r="AB42" s="147">
        <f t="shared" si="0"/>
        <v>3.5</v>
      </c>
      <c r="AC42" s="116">
        <v>9</v>
      </c>
      <c r="AD42" s="147">
        <v>23</v>
      </c>
      <c r="AE42" s="146">
        <f t="shared" si="16"/>
        <v>32</v>
      </c>
      <c r="AF42" s="147">
        <v>12</v>
      </c>
      <c r="AG42" s="146">
        <f t="shared" si="17"/>
        <v>44</v>
      </c>
      <c r="AH42" s="263"/>
      <c r="AI42" s="147">
        <f t="shared" si="1"/>
        <v>2</v>
      </c>
      <c r="AJ42" s="116">
        <v>16</v>
      </c>
      <c r="AK42" s="147">
        <v>27</v>
      </c>
      <c r="AL42" s="146">
        <f t="shared" si="18"/>
        <v>43</v>
      </c>
      <c r="AM42" s="147">
        <v>25</v>
      </c>
      <c r="AN42" s="146">
        <f t="shared" si="19"/>
        <v>68</v>
      </c>
      <c r="AO42" s="263"/>
      <c r="AP42" s="147">
        <f t="shared" si="2"/>
        <v>3.5</v>
      </c>
      <c r="AQ42" s="116"/>
      <c r="AR42" s="147">
        <v>24</v>
      </c>
      <c r="AS42" s="147">
        <v>25</v>
      </c>
      <c r="AT42" s="147">
        <f t="shared" si="20"/>
        <v>49</v>
      </c>
      <c r="AU42" s="264"/>
      <c r="AV42" s="147">
        <f t="shared" si="21"/>
        <v>5</v>
      </c>
      <c r="AW42" s="116">
        <v>11</v>
      </c>
      <c r="AX42" s="147">
        <v>19</v>
      </c>
      <c r="AY42" s="146">
        <f t="shared" si="22"/>
        <v>30</v>
      </c>
      <c r="AZ42" s="147">
        <v>22</v>
      </c>
      <c r="BA42" s="146">
        <f t="shared" si="23"/>
        <v>52</v>
      </c>
      <c r="BB42" s="263"/>
      <c r="BC42" s="147">
        <f t="shared" si="24"/>
        <v>3</v>
      </c>
      <c r="BD42" s="116">
        <v>8</v>
      </c>
      <c r="BE42" s="147">
        <v>12</v>
      </c>
      <c r="BF42" s="146">
        <f t="shared" si="25"/>
        <v>20</v>
      </c>
      <c r="BG42" s="147">
        <v>10</v>
      </c>
      <c r="BH42" s="147">
        <v>20</v>
      </c>
      <c r="BI42" s="146">
        <f t="shared" si="26"/>
        <v>50</v>
      </c>
      <c r="BJ42" s="264"/>
      <c r="BK42" s="147">
        <f t="shared" si="3"/>
        <v>3</v>
      </c>
      <c r="BL42" s="116">
        <v>6</v>
      </c>
      <c r="BM42" s="147">
        <v>16</v>
      </c>
      <c r="BN42" s="146">
        <f t="shared" si="27"/>
        <v>22</v>
      </c>
      <c r="BO42" s="147">
        <v>16</v>
      </c>
      <c r="BP42" s="147">
        <v>20</v>
      </c>
      <c r="BQ42" s="146">
        <f t="shared" si="28"/>
        <v>58</v>
      </c>
      <c r="BR42" s="263"/>
      <c r="BS42" s="147">
        <f t="shared" si="29"/>
        <v>3</v>
      </c>
      <c r="BT42" s="116">
        <v>6</v>
      </c>
      <c r="BU42" s="147">
        <v>21</v>
      </c>
      <c r="BV42" s="146">
        <f t="shared" si="30"/>
        <v>27</v>
      </c>
      <c r="BW42" s="147">
        <v>17</v>
      </c>
      <c r="BX42" s="147">
        <v>22</v>
      </c>
      <c r="BY42" s="146">
        <f t="shared" si="31"/>
        <v>66</v>
      </c>
      <c r="BZ42" s="264"/>
      <c r="CA42" s="147">
        <f t="shared" si="32"/>
        <v>3.5</v>
      </c>
      <c r="CB42" s="116">
        <v>8</v>
      </c>
      <c r="CC42" s="147">
        <v>21</v>
      </c>
      <c r="CD42" s="146">
        <f t="shared" si="33"/>
        <v>29</v>
      </c>
      <c r="CE42" s="147">
        <v>11</v>
      </c>
      <c r="CF42" s="147">
        <v>23</v>
      </c>
      <c r="CG42" s="146">
        <f t="shared" si="34"/>
        <v>63</v>
      </c>
      <c r="CH42" s="263"/>
      <c r="CI42" s="129">
        <f t="shared" si="35"/>
        <v>3.5</v>
      </c>
      <c r="CJ42" s="147">
        <f t="shared" si="4"/>
        <v>31</v>
      </c>
      <c r="CK42" s="130">
        <f t="shared" si="36"/>
        <v>3.4444444444444446</v>
      </c>
      <c r="CL42" s="130" t="str">
        <f t="shared" si="37"/>
        <v>B</v>
      </c>
      <c r="CM42" s="37" t="str">
        <f t="shared" si="5"/>
        <v>GOOD</v>
      </c>
      <c r="CN42" s="38">
        <f t="shared" si="6"/>
        <v>684</v>
      </c>
      <c r="CO42" s="37">
        <f t="shared" si="38"/>
        <v>39</v>
      </c>
      <c r="CP42" s="40"/>
    </row>
    <row r="43" spans="1:94" s="41" customFormat="1" ht="27" customHeight="1">
      <c r="A43" s="207">
        <v>36</v>
      </c>
      <c r="B43" s="117">
        <v>134</v>
      </c>
      <c r="C43" s="118" t="s">
        <v>226</v>
      </c>
      <c r="D43" s="69" t="s">
        <v>219</v>
      </c>
      <c r="E43" s="69" t="s">
        <v>220</v>
      </c>
      <c r="F43" s="70" t="s">
        <v>227</v>
      </c>
      <c r="G43" s="116">
        <v>15</v>
      </c>
      <c r="H43" s="147">
        <v>36</v>
      </c>
      <c r="I43" s="146">
        <f t="shared" si="8"/>
        <v>51</v>
      </c>
      <c r="J43" s="147">
        <v>18</v>
      </c>
      <c r="K43" s="146">
        <f t="shared" si="40"/>
        <v>69</v>
      </c>
      <c r="L43" s="116">
        <v>18</v>
      </c>
      <c r="M43" s="147">
        <v>36</v>
      </c>
      <c r="N43" s="146">
        <f t="shared" si="9"/>
        <v>54</v>
      </c>
      <c r="O43" s="147">
        <v>27</v>
      </c>
      <c r="P43" s="146">
        <f t="shared" si="41"/>
        <v>81</v>
      </c>
      <c r="Q43" s="146">
        <f t="shared" si="11"/>
        <v>150</v>
      </c>
      <c r="R43" s="263"/>
      <c r="S43" s="147">
        <f t="shared" si="12"/>
        <v>4</v>
      </c>
      <c r="T43" s="116">
        <v>19</v>
      </c>
      <c r="U43" s="147">
        <v>59</v>
      </c>
      <c r="V43" s="146">
        <f t="shared" si="13"/>
        <v>78</v>
      </c>
      <c r="W43" s="147">
        <v>14</v>
      </c>
      <c r="X43" s="147">
        <v>57</v>
      </c>
      <c r="Y43" s="146">
        <f t="shared" si="14"/>
        <v>71</v>
      </c>
      <c r="Z43" s="146">
        <f t="shared" si="15"/>
        <v>149</v>
      </c>
      <c r="AA43" s="263"/>
      <c r="AB43" s="147">
        <f t="shared" si="0"/>
        <v>4</v>
      </c>
      <c r="AC43" s="116">
        <v>16</v>
      </c>
      <c r="AD43" s="147">
        <v>37</v>
      </c>
      <c r="AE43" s="146">
        <f t="shared" si="16"/>
        <v>53</v>
      </c>
      <c r="AF43" s="147">
        <v>22</v>
      </c>
      <c r="AG43" s="146">
        <f t="shared" si="17"/>
        <v>75</v>
      </c>
      <c r="AH43" s="263"/>
      <c r="AI43" s="147">
        <f t="shared" si="1"/>
        <v>4</v>
      </c>
      <c r="AJ43" s="116">
        <v>17</v>
      </c>
      <c r="AK43" s="147">
        <v>43</v>
      </c>
      <c r="AL43" s="146">
        <f t="shared" si="18"/>
        <v>60</v>
      </c>
      <c r="AM43" s="147">
        <v>26</v>
      </c>
      <c r="AN43" s="146">
        <f t="shared" si="19"/>
        <v>86</v>
      </c>
      <c r="AO43" s="263"/>
      <c r="AP43" s="147">
        <f t="shared" si="2"/>
        <v>5</v>
      </c>
      <c r="AQ43" s="116"/>
      <c r="AR43" s="147">
        <v>23</v>
      </c>
      <c r="AS43" s="147">
        <v>25</v>
      </c>
      <c r="AT43" s="147">
        <f t="shared" si="20"/>
        <v>48</v>
      </c>
      <c r="AU43" s="264"/>
      <c r="AV43" s="147">
        <f t="shared" si="21"/>
        <v>5</v>
      </c>
      <c r="AW43" s="116">
        <v>13</v>
      </c>
      <c r="AX43" s="147">
        <v>38</v>
      </c>
      <c r="AY43" s="146">
        <f t="shared" si="22"/>
        <v>51</v>
      </c>
      <c r="AZ43" s="147">
        <v>22</v>
      </c>
      <c r="BA43" s="146">
        <f t="shared" si="23"/>
        <v>73</v>
      </c>
      <c r="BB43" s="263"/>
      <c r="BC43" s="147">
        <f t="shared" si="24"/>
        <v>4</v>
      </c>
      <c r="BD43" s="116">
        <v>4</v>
      </c>
      <c r="BE43" s="147">
        <v>26</v>
      </c>
      <c r="BF43" s="146">
        <f t="shared" si="25"/>
        <v>30</v>
      </c>
      <c r="BG43" s="147">
        <v>17</v>
      </c>
      <c r="BH43" s="147">
        <v>25</v>
      </c>
      <c r="BI43" s="146">
        <f t="shared" si="26"/>
        <v>72</v>
      </c>
      <c r="BJ43" s="264"/>
      <c r="BK43" s="147">
        <f t="shared" si="3"/>
        <v>4</v>
      </c>
      <c r="BL43" s="116">
        <v>7</v>
      </c>
      <c r="BM43" s="147">
        <v>34</v>
      </c>
      <c r="BN43" s="146">
        <f t="shared" si="27"/>
        <v>41</v>
      </c>
      <c r="BO43" s="147">
        <v>15</v>
      </c>
      <c r="BP43" s="147">
        <v>24</v>
      </c>
      <c r="BQ43" s="146">
        <f t="shared" si="28"/>
        <v>80</v>
      </c>
      <c r="BR43" s="263"/>
      <c r="BS43" s="147">
        <f t="shared" si="29"/>
        <v>5</v>
      </c>
      <c r="BT43" s="116">
        <v>8</v>
      </c>
      <c r="BU43" s="147">
        <v>30</v>
      </c>
      <c r="BV43" s="146">
        <f t="shared" si="30"/>
        <v>38</v>
      </c>
      <c r="BW43" s="147">
        <v>18</v>
      </c>
      <c r="BX43" s="147">
        <v>22</v>
      </c>
      <c r="BY43" s="146">
        <f t="shared" si="31"/>
        <v>78</v>
      </c>
      <c r="BZ43" s="264"/>
      <c r="CA43" s="147">
        <f t="shared" si="32"/>
        <v>4</v>
      </c>
      <c r="CB43" s="116">
        <v>12</v>
      </c>
      <c r="CC43" s="147">
        <v>28</v>
      </c>
      <c r="CD43" s="146">
        <f t="shared" si="33"/>
        <v>40</v>
      </c>
      <c r="CE43" s="147">
        <v>18</v>
      </c>
      <c r="CF43" s="147">
        <v>22</v>
      </c>
      <c r="CG43" s="146">
        <f t="shared" si="34"/>
        <v>80</v>
      </c>
      <c r="CH43" s="263"/>
      <c r="CI43" s="129">
        <f t="shared" si="35"/>
        <v>5</v>
      </c>
      <c r="CJ43" s="147">
        <f t="shared" si="4"/>
        <v>42</v>
      </c>
      <c r="CK43" s="130">
        <f t="shared" si="36"/>
        <v>4.666666666666667</v>
      </c>
      <c r="CL43" s="130" t="str">
        <f t="shared" si="37"/>
        <v>A</v>
      </c>
      <c r="CM43" s="37" t="str">
        <f t="shared" si="5"/>
        <v>BETTER</v>
      </c>
      <c r="CN43" s="38">
        <f t="shared" si="6"/>
        <v>891</v>
      </c>
      <c r="CO43" s="37">
        <f t="shared" si="38"/>
        <v>10</v>
      </c>
      <c r="CP43" s="40"/>
    </row>
    <row r="44" spans="1:94" s="41" customFormat="1" ht="27" customHeight="1">
      <c r="A44" s="207">
        <v>37</v>
      </c>
      <c r="B44" s="117">
        <v>136</v>
      </c>
      <c r="C44" s="118" t="s">
        <v>228</v>
      </c>
      <c r="D44" s="69" t="s">
        <v>229</v>
      </c>
      <c r="E44" s="69" t="s">
        <v>230</v>
      </c>
      <c r="F44" s="70" t="s">
        <v>231</v>
      </c>
      <c r="G44" s="116">
        <v>16</v>
      </c>
      <c r="H44" s="147">
        <v>38</v>
      </c>
      <c r="I44" s="146">
        <f t="shared" si="8"/>
        <v>54</v>
      </c>
      <c r="J44" s="147">
        <v>23</v>
      </c>
      <c r="K44" s="146">
        <f t="shared" si="40"/>
        <v>77</v>
      </c>
      <c r="L44" s="116">
        <v>17</v>
      </c>
      <c r="M44" s="147">
        <v>35</v>
      </c>
      <c r="N44" s="146">
        <f t="shared" si="9"/>
        <v>52</v>
      </c>
      <c r="O44" s="147">
        <v>28</v>
      </c>
      <c r="P44" s="146">
        <f t="shared" si="41"/>
        <v>80</v>
      </c>
      <c r="Q44" s="146">
        <f t="shared" si="11"/>
        <v>157</v>
      </c>
      <c r="R44" s="263"/>
      <c r="S44" s="147">
        <f t="shared" si="12"/>
        <v>4</v>
      </c>
      <c r="T44" s="116">
        <v>20</v>
      </c>
      <c r="U44" s="147">
        <v>72</v>
      </c>
      <c r="V44" s="146">
        <f t="shared" si="13"/>
        <v>92</v>
      </c>
      <c r="W44" s="147">
        <v>17</v>
      </c>
      <c r="X44" s="147">
        <v>56</v>
      </c>
      <c r="Y44" s="146">
        <f t="shared" si="14"/>
        <v>73</v>
      </c>
      <c r="Z44" s="146">
        <f t="shared" si="15"/>
        <v>165</v>
      </c>
      <c r="AA44" s="263"/>
      <c r="AB44" s="147">
        <f t="shared" si="0"/>
        <v>5</v>
      </c>
      <c r="AC44" s="116">
        <v>16</v>
      </c>
      <c r="AD44" s="147">
        <v>48</v>
      </c>
      <c r="AE44" s="146">
        <f t="shared" si="16"/>
        <v>64</v>
      </c>
      <c r="AF44" s="147">
        <v>23</v>
      </c>
      <c r="AG44" s="146">
        <f t="shared" si="17"/>
        <v>87</v>
      </c>
      <c r="AH44" s="263"/>
      <c r="AI44" s="147">
        <f t="shared" si="1"/>
        <v>5</v>
      </c>
      <c r="AJ44" s="116">
        <v>20</v>
      </c>
      <c r="AK44" s="147">
        <v>44</v>
      </c>
      <c r="AL44" s="146">
        <f t="shared" si="18"/>
        <v>64</v>
      </c>
      <c r="AM44" s="147">
        <v>27</v>
      </c>
      <c r="AN44" s="146">
        <f t="shared" si="19"/>
        <v>91</v>
      </c>
      <c r="AO44" s="263"/>
      <c r="AP44" s="147">
        <f t="shared" si="2"/>
        <v>5</v>
      </c>
      <c r="AQ44" s="116"/>
      <c r="AR44" s="147">
        <v>24</v>
      </c>
      <c r="AS44" s="147">
        <v>25</v>
      </c>
      <c r="AT44" s="147">
        <f t="shared" si="20"/>
        <v>49</v>
      </c>
      <c r="AU44" s="264"/>
      <c r="AV44" s="147">
        <f t="shared" si="21"/>
        <v>5</v>
      </c>
      <c r="AW44" s="116">
        <v>18</v>
      </c>
      <c r="AX44" s="147">
        <v>44</v>
      </c>
      <c r="AY44" s="146">
        <f t="shared" si="22"/>
        <v>62</v>
      </c>
      <c r="AZ44" s="147">
        <v>26</v>
      </c>
      <c r="BA44" s="146">
        <f t="shared" si="23"/>
        <v>88</v>
      </c>
      <c r="BB44" s="263"/>
      <c r="BC44" s="147">
        <f t="shared" si="24"/>
        <v>5</v>
      </c>
      <c r="BD44" s="116">
        <v>5</v>
      </c>
      <c r="BE44" s="147">
        <v>34</v>
      </c>
      <c r="BF44" s="146">
        <f t="shared" si="25"/>
        <v>39</v>
      </c>
      <c r="BG44" s="147">
        <v>18</v>
      </c>
      <c r="BH44" s="147">
        <v>25</v>
      </c>
      <c r="BI44" s="146">
        <f t="shared" si="26"/>
        <v>82</v>
      </c>
      <c r="BJ44" s="264"/>
      <c r="BK44" s="147">
        <f t="shared" si="3"/>
        <v>5</v>
      </c>
      <c r="BL44" s="116">
        <v>7</v>
      </c>
      <c r="BM44" s="147">
        <v>34</v>
      </c>
      <c r="BN44" s="146">
        <f t="shared" si="27"/>
        <v>41</v>
      </c>
      <c r="BO44" s="147">
        <v>15</v>
      </c>
      <c r="BP44" s="147">
        <v>24</v>
      </c>
      <c r="BQ44" s="146">
        <f t="shared" si="28"/>
        <v>80</v>
      </c>
      <c r="BR44" s="263"/>
      <c r="BS44" s="147">
        <f t="shared" si="29"/>
        <v>5</v>
      </c>
      <c r="BT44" s="116">
        <v>8</v>
      </c>
      <c r="BU44" s="147">
        <v>36</v>
      </c>
      <c r="BV44" s="146">
        <f t="shared" si="30"/>
        <v>44</v>
      </c>
      <c r="BW44" s="147">
        <v>17</v>
      </c>
      <c r="BX44" s="147">
        <v>23</v>
      </c>
      <c r="BY44" s="146">
        <f t="shared" si="31"/>
        <v>84</v>
      </c>
      <c r="BZ44" s="264"/>
      <c r="CA44" s="147">
        <f t="shared" si="32"/>
        <v>5</v>
      </c>
      <c r="CB44" s="116">
        <v>12</v>
      </c>
      <c r="CC44" s="147">
        <v>36</v>
      </c>
      <c r="CD44" s="146">
        <f t="shared" si="33"/>
        <v>48</v>
      </c>
      <c r="CE44" s="147">
        <v>21</v>
      </c>
      <c r="CF44" s="147">
        <v>22</v>
      </c>
      <c r="CG44" s="146">
        <f t="shared" si="34"/>
        <v>91</v>
      </c>
      <c r="CH44" s="263"/>
      <c r="CI44" s="129">
        <f t="shared" si="35"/>
        <v>5</v>
      </c>
      <c r="CJ44" s="147">
        <f t="shared" si="4"/>
        <v>47</v>
      </c>
      <c r="CK44" s="130">
        <f t="shared" si="36"/>
        <v>5</v>
      </c>
      <c r="CL44" s="130" t="str">
        <f t="shared" si="37"/>
        <v>A+</v>
      </c>
      <c r="CM44" s="37" t="str">
        <f t="shared" si="5"/>
        <v>BEST</v>
      </c>
      <c r="CN44" s="38">
        <f t="shared" si="6"/>
        <v>974</v>
      </c>
      <c r="CO44" s="37">
        <f t="shared" si="38"/>
        <v>5</v>
      </c>
      <c r="CP44" s="40"/>
    </row>
    <row r="45" spans="1:94" s="41" customFormat="1" ht="27" customHeight="1">
      <c r="A45" s="207">
        <v>38</v>
      </c>
      <c r="B45" s="117">
        <v>142</v>
      </c>
      <c r="C45" s="118" t="s">
        <v>232</v>
      </c>
      <c r="D45" s="69" t="s">
        <v>233</v>
      </c>
      <c r="E45" s="69" t="s">
        <v>234</v>
      </c>
      <c r="F45" s="70" t="s">
        <v>235</v>
      </c>
      <c r="G45" s="116">
        <v>11</v>
      </c>
      <c r="H45" s="147">
        <v>26</v>
      </c>
      <c r="I45" s="146">
        <f t="shared" si="8"/>
        <v>37</v>
      </c>
      <c r="J45" s="147">
        <v>22</v>
      </c>
      <c r="K45" s="146">
        <f t="shared" si="40"/>
        <v>59</v>
      </c>
      <c r="L45" s="116">
        <v>18</v>
      </c>
      <c r="M45" s="147">
        <v>39</v>
      </c>
      <c r="N45" s="146">
        <f t="shared" si="9"/>
        <v>57</v>
      </c>
      <c r="O45" s="147">
        <v>23</v>
      </c>
      <c r="P45" s="146">
        <f t="shared" si="41"/>
        <v>80</v>
      </c>
      <c r="Q45" s="146">
        <f t="shared" si="11"/>
        <v>139</v>
      </c>
      <c r="R45" s="263"/>
      <c r="S45" s="147">
        <f t="shared" si="12"/>
        <v>3.5</v>
      </c>
      <c r="T45" s="116">
        <v>19</v>
      </c>
      <c r="U45" s="147">
        <v>60</v>
      </c>
      <c r="V45" s="146">
        <f t="shared" si="13"/>
        <v>79</v>
      </c>
      <c r="W45" s="147">
        <v>11</v>
      </c>
      <c r="X45" s="147">
        <v>45</v>
      </c>
      <c r="Y45" s="146">
        <f t="shared" si="14"/>
        <v>56</v>
      </c>
      <c r="Z45" s="146">
        <f t="shared" si="15"/>
        <v>135</v>
      </c>
      <c r="AA45" s="263"/>
      <c r="AB45" s="147">
        <f t="shared" si="0"/>
        <v>3.5</v>
      </c>
      <c r="AC45" s="116">
        <v>11</v>
      </c>
      <c r="AD45" s="147">
        <v>24</v>
      </c>
      <c r="AE45" s="146">
        <f t="shared" si="16"/>
        <v>35</v>
      </c>
      <c r="AF45" s="147">
        <v>12</v>
      </c>
      <c r="AG45" s="146">
        <f t="shared" si="17"/>
        <v>47</v>
      </c>
      <c r="AH45" s="263"/>
      <c r="AI45" s="147">
        <f t="shared" si="1"/>
        <v>2</v>
      </c>
      <c r="AJ45" s="116">
        <v>17</v>
      </c>
      <c r="AK45" s="147">
        <v>38</v>
      </c>
      <c r="AL45" s="146">
        <f t="shared" si="18"/>
        <v>55</v>
      </c>
      <c r="AM45" s="147">
        <v>21</v>
      </c>
      <c r="AN45" s="146">
        <f t="shared" si="19"/>
        <v>76</v>
      </c>
      <c r="AO45" s="263"/>
      <c r="AP45" s="147">
        <f t="shared" si="2"/>
        <v>4</v>
      </c>
      <c r="AQ45" s="116"/>
      <c r="AR45" s="147">
        <v>24</v>
      </c>
      <c r="AS45" s="147">
        <v>25</v>
      </c>
      <c r="AT45" s="147">
        <f t="shared" si="20"/>
        <v>49</v>
      </c>
      <c r="AU45" s="264"/>
      <c r="AV45" s="147">
        <f t="shared" si="21"/>
        <v>5</v>
      </c>
      <c r="AW45" s="116">
        <v>14</v>
      </c>
      <c r="AX45" s="147">
        <v>28</v>
      </c>
      <c r="AY45" s="146">
        <f t="shared" si="22"/>
        <v>42</v>
      </c>
      <c r="AZ45" s="147">
        <v>20</v>
      </c>
      <c r="BA45" s="146">
        <f t="shared" si="23"/>
        <v>62</v>
      </c>
      <c r="BB45" s="263"/>
      <c r="BC45" s="147">
        <f t="shared" si="24"/>
        <v>3.5</v>
      </c>
      <c r="BD45" s="116">
        <v>8</v>
      </c>
      <c r="BE45" s="147">
        <v>12</v>
      </c>
      <c r="BF45" s="146">
        <f t="shared" si="25"/>
        <v>20</v>
      </c>
      <c r="BG45" s="147">
        <v>14</v>
      </c>
      <c r="BH45" s="147">
        <v>20</v>
      </c>
      <c r="BI45" s="146">
        <f t="shared" si="26"/>
        <v>54</v>
      </c>
      <c r="BJ45" s="264"/>
      <c r="BK45" s="147">
        <f t="shared" si="3"/>
        <v>3</v>
      </c>
      <c r="BL45" s="116">
        <v>5</v>
      </c>
      <c r="BM45" s="147">
        <v>19</v>
      </c>
      <c r="BN45" s="146">
        <f t="shared" si="27"/>
        <v>24</v>
      </c>
      <c r="BO45" s="147">
        <v>10</v>
      </c>
      <c r="BP45" s="147">
        <v>20</v>
      </c>
      <c r="BQ45" s="146">
        <f t="shared" si="28"/>
        <v>54</v>
      </c>
      <c r="BR45" s="263"/>
      <c r="BS45" s="147">
        <f t="shared" si="29"/>
        <v>3</v>
      </c>
      <c r="BT45" s="116">
        <v>7</v>
      </c>
      <c r="BU45" s="147">
        <v>22</v>
      </c>
      <c r="BV45" s="146">
        <f t="shared" si="30"/>
        <v>29</v>
      </c>
      <c r="BW45" s="147">
        <v>13</v>
      </c>
      <c r="BX45" s="147">
        <v>22</v>
      </c>
      <c r="BY45" s="146">
        <f t="shared" si="31"/>
        <v>64</v>
      </c>
      <c r="BZ45" s="264"/>
      <c r="CA45" s="147">
        <f t="shared" si="32"/>
        <v>3.5</v>
      </c>
      <c r="CB45" s="116">
        <v>9</v>
      </c>
      <c r="CC45" s="147">
        <v>7</v>
      </c>
      <c r="CD45" s="146">
        <f t="shared" si="33"/>
        <v>16</v>
      </c>
      <c r="CE45" s="147">
        <v>9</v>
      </c>
      <c r="CF45" s="147">
        <v>22</v>
      </c>
      <c r="CG45" s="146">
        <f t="shared" si="34"/>
        <v>47</v>
      </c>
      <c r="CH45" s="263"/>
      <c r="CI45" s="129" t="str">
        <f t="shared" si="35"/>
        <v>0</v>
      </c>
      <c r="CJ45" s="147">
        <f t="shared" si="4"/>
        <v>29</v>
      </c>
      <c r="CK45" s="130">
        <f t="shared" si="36"/>
        <v>3.2222222222222223</v>
      </c>
      <c r="CL45" s="130" t="str">
        <f t="shared" si="37"/>
        <v>B</v>
      </c>
      <c r="CM45" s="37" t="str">
        <f t="shared" si="5"/>
        <v>GOOD</v>
      </c>
      <c r="CN45" s="38">
        <f t="shared" si="6"/>
        <v>727</v>
      </c>
      <c r="CO45" s="37">
        <f t="shared" si="38"/>
        <v>33</v>
      </c>
      <c r="CP45" s="40"/>
    </row>
    <row r="46" spans="1:94" s="41" customFormat="1" ht="27" customHeight="1">
      <c r="A46" s="207">
        <v>39</v>
      </c>
      <c r="B46" s="117">
        <v>18</v>
      </c>
      <c r="C46" s="118" t="s">
        <v>236</v>
      </c>
      <c r="D46" s="69" t="s">
        <v>237</v>
      </c>
      <c r="E46" s="69" t="s">
        <v>238</v>
      </c>
      <c r="F46" s="70" t="s">
        <v>239</v>
      </c>
      <c r="G46" s="116">
        <v>13</v>
      </c>
      <c r="H46" s="147">
        <v>15</v>
      </c>
      <c r="I46" s="146">
        <f t="shared" si="8"/>
        <v>28</v>
      </c>
      <c r="J46" s="147">
        <v>20</v>
      </c>
      <c r="K46" s="146">
        <f t="shared" si="40"/>
        <v>48</v>
      </c>
      <c r="L46" s="116">
        <v>19</v>
      </c>
      <c r="M46" s="147">
        <v>35</v>
      </c>
      <c r="N46" s="146">
        <f t="shared" si="9"/>
        <v>54</v>
      </c>
      <c r="O46" s="147">
        <v>22</v>
      </c>
      <c r="P46" s="146">
        <f t="shared" si="41"/>
        <v>76</v>
      </c>
      <c r="Q46" s="146">
        <f t="shared" si="11"/>
        <v>124</v>
      </c>
      <c r="R46" s="263"/>
      <c r="S46" s="147">
        <f t="shared" si="12"/>
        <v>3.5</v>
      </c>
      <c r="T46" s="116">
        <v>11</v>
      </c>
      <c r="U46" s="147">
        <v>39</v>
      </c>
      <c r="V46" s="146">
        <f t="shared" si="13"/>
        <v>50</v>
      </c>
      <c r="W46" s="147">
        <v>10</v>
      </c>
      <c r="X46" s="147">
        <v>47</v>
      </c>
      <c r="Y46" s="146">
        <f t="shared" si="14"/>
        <v>57</v>
      </c>
      <c r="Z46" s="146">
        <f t="shared" si="15"/>
        <v>107</v>
      </c>
      <c r="AA46" s="263"/>
      <c r="AB46" s="147">
        <f t="shared" si="0"/>
        <v>3</v>
      </c>
      <c r="AC46" s="116">
        <v>11</v>
      </c>
      <c r="AD46" s="147">
        <v>9</v>
      </c>
      <c r="AE46" s="146">
        <f t="shared" si="16"/>
        <v>20</v>
      </c>
      <c r="AF46" s="147">
        <v>8</v>
      </c>
      <c r="AG46" s="146">
        <f t="shared" si="17"/>
        <v>28</v>
      </c>
      <c r="AH46" s="263"/>
      <c r="AI46" s="147" t="str">
        <f t="shared" si="1"/>
        <v>F</v>
      </c>
      <c r="AJ46" s="116">
        <v>15</v>
      </c>
      <c r="AK46" s="147">
        <v>31</v>
      </c>
      <c r="AL46" s="146">
        <f t="shared" si="18"/>
        <v>46</v>
      </c>
      <c r="AM46" s="147">
        <v>21</v>
      </c>
      <c r="AN46" s="146">
        <f t="shared" si="19"/>
        <v>67</v>
      </c>
      <c r="AO46" s="263"/>
      <c r="AP46" s="147">
        <f t="shared" si="2"/>
        <v>3.5</v>
      </c>
      <c r="AQ46" s="116"/>
      <c r="AR46" s="147">
        <v>24</v>
      </c>
      <c r="AS46" s="147">
        <v>25</v>
      </c>
      <c r="AT46" s="147">
        <f t="shared" si="20"/>
        <v>49</v>
      </c>
      <c r="AU46" s="264"/>
      <c r="AV46" s="147">
        <f t="shared" si="21"/>
        <v>5</v>
      </c>
      <c r="AW46" s="116">
        <v>11</v>
      </c>
      <c r="AX46" s="147">
        <v>21</v>
      </c>
      <c r="AY46" s="146">
        <f t="shared" si="22"/>
        <v>32</v>
      </c>
      <c r="AZ46" s="147">
        <v>18</v>
      </c>
      <c r="BA46" s="146">
        <f t="shared" si="23"/>
        <v>50</v>
      </c>
      <c r="BB46" s="263"/>
      <c r="BC46" s="147">
        <f t="shared" si="24"/>
        <v>3</v>
      </c>
      <c r="BD46" s="116">
        <v>4</v>
      </c>
      <c r="BE46" s="147">
        <v>18</v>
      </c>
      <c r="BF46" s="146">
        <f t="shared" si="25"/>
        <v>22</v>
      </c>
      <c r="BG46" s="147">
        <v>10</v>
      </c>
      <c r="BH46" s="147">
        <v>25</v>
      </c>
      <c r="BI46" s="146">
        <f t="shared" si="26"/>
        <v>57</v>
      </c>
      <c r="BJ46" s="264"/>
      <c r="BK46" s="147">
        <f t="shared" si="3"/>
        <v>3</v>
      </c>
      <c r="BL46" s="116">
        <v>5</v>
      </c>
      <c r="BM46" s="147">
        <v>16</v>
      </c>
      <c r="BN46" s="146">
        <f t="shared" si="27"/>
        <v>21</v>
      </c>
      <c r="BO46" s="147">
        <v>14</v>
      </c>
      <c r="BP46" s="147">
        <v>20</v>
      </c>
      <c r="BQ46" s="146">
        <f t="shared" si="28"/>
        <v>55</v>
      </c>
      <c r="BR46" s="263"/>
      <c r="BS46" s="147">
        <f t="shared" si="29"/>
        <v>3</v>
      </c>
      <c r="BT46" s="116">
        <v>7</v>
      </c>
      <c r="BU46" s="147">
        <v>23</v>
      </c>
      <c r="BV46" s="146">
        <f t="shared" si="30"/>
        <v>30</v>
      </c>
      <c r="BW46" s="147">
        <v>17</v>
      </c>
      <c r="BX46" s="147">
        <v>22</v>
      </c>
      <c r="BY46" s="146">
        <f t="shared" si="31"/>
        <v>69</v>
      </c>
      <c r="BZ46" s="264"/>
      <c r="CA46" s="147">
        <f t="shared" si="32"/>
        <v>3.5</v>
      </c>
      <c r="CB46" s="116">
        <v>5</v>
      </c>
      <c r="CC46" s="147">
        <v>19</v>
      </c>
      <c r="CD46" s="146">
        <f t="shared" si="33"/>
        <v>24</v>
      </c>
      <c r="CE46" s="147">
        <v>10</v>
      </c>
      <c r="CF46" s="147">
        <v>23</v>
      </c>
      <c r="CG46" s="146">
        <f t="shared" si="34"/>
        <v>57</v>
      </c>
      <c r="CH46" s="263"/>
      <c r="CI46" s="129">
        <f t="shared" si="35"/>
        <v>3</v>
      </c>
      <c r="CJ46" s="147" t="str">
        <f t="shared" si="4"/>
        <v>F</v>
      </c>
      <c r="CK46" s="130" t="str">
        <f t="shared" si="36"/>
        <v>F</v>
      </c>
      <c r="CL46" s="130" t="str">
        <f t="shared" si="37"/>
        <v>F</v>
      </c>
      <c r="CM46" s="37" t="str">
        <f t="shared" si="5"/>
        <v>NEED TO PROGRESS</v>
      </c>
      <c r="CN46" s="38">
        <f t="shared" si="6"/>
        <v>663</v>
      </c>
      <c r="CO46" s="37" t="str">
        <f t="shared" si="38"/>
        <v>F</v>
      </c>
      <c r="CP46" s="40"/>
    </row>
    <row r="47" spans="1:94" s="41" customFormat="1" ht="27" customHeight="1">
      <c r="A47" s="207">
        <v>40</v>
      </c>
      <c r="B47" s="117">
        <v>20</v>
      </c>
      <c r="C47" s="118" t="s">
        <v>240</v>
      </c>
      <c r="D47" s="69" t="s">
        <v>241</v>
      </c>
      <c r="E47" s="69" t="s">
        <v>242</v>
      </c>
      <c r="F47" s="97" t="s">
        <v>243</v>
      </c>
      <c r="G47" s="116">
        <v>10</v>
      </c>
      <c r="H47" s="147">
        <v>21</v>
      </c>
      <c r="I47" s="146">
        <f t="shared" si="8"/>
        <v>31</v>
      </c>
      <c r="J47" s="147">
        <v>14</v>
      </c>
      <c r="K47" s="146">
        <f t="shared" si="40"/>
        <v>45</v>
      </c>
      <c r="L47" s="116">
        <v>18</v>
      </c>
      <c r="M47" s="147">
        <v>31</v>
      </c>
      <c r="N47" s="146">
        <f t="shared" si="9"/>
        <v>49</v>
      </c>
      <c r="O47" s="147">
        <v>11</v>
      </c>
      <c r="P47" s="146">
        <f t="shared" si="41"/>
        <v>60</v>
      </c>
      <c r="Q47" s="146">
        <f t="shared" si="11"/>
        <v>105</v>
      </c>
      <c r="R47" s="263"/>
      <c r="S47" s="147">
        <f t="shared" si="12"/>
        <v>3</v>
      </c>
      <c r="T47" s="116">
        <v>12</v>
      </c>
      <c r="U47" s="147">
        <v>34</v>
      </c>
      <c r="V47" s="146">
        <f t="shared" si="13"/>
        <v>46</v>
      </c>
      <c r="W47" s="147">
        <v>8</v>
      </c>
      <c r="X47" s="147">
        <v>33</v>
      </c>
      <c r="Y47" s="146">
        <f t="shared" si="14"/>
        <v>41</v>
      </c>
      <c r="Z47" s="146">
        <f t="shared" si="15"/>
        <v>87</v>
      </c>
      <c r="AA47" s="263"/>
      <c r="AB47" s="147">
        <f t="shared" si="0"/>
        <v>2</v>
      </c>
      <c r="AC47" s="116">
        <v>9</v>
      </c>
      <c r="AD47" s="147">
        <v>23</v>
      </c>
      <c r="AE47" s="146">
        <f t="shared" si="16"/>
        <v>32</v>
      </c>
      <c r="AF47" s="147">
        <v>14</v>
      </c>
      <c r="AG47" s="146">
        <f t="shared" si="17"/>
        <v>46</v>
      </c>
      <c r="AH47" s="263"/>
      <c r="AI47" s="147">
        <f t="shared" si="1"/>
        <v>2</v>
      </c>
      <c r="AJ47" s="116">
        <v>17</v>
      </c>
      <c r="AK47" s="147">
        <v>40</v>
      </c>
      <c r="AL47" s="146">
        <f t="shared" si="18"/>
        <v>57</v>
      </c>
      <c r="AM47" s="147">
        <v>21</v>
      </c>
      <c r="AN47" s="146">
        <f t="shared" si="19"/>
        <v>78</v>
      </c>
      <c r="AO47" s="263"/>
      <c r="AP47" s="147">
        <f t="shared" si="2"/>
        <v>4</v>
      </c>
      <c r="AQ47" s="116"/>
      <c r="AR47" s="147">
        <v>24</v>
      </c>
      <c r="AS47" s="147">
        <v>23</v>
      </c>
      <c r="AT47" s="147">
        <f t="shared" si="20"/>
        <v>47</v>
      </c>
      <c r="AU47" s="264"/>
      <c r="AV47" s="147">
        <f t="shared" si="21"/>
        <v>5</v>
      </c>
      <c r="AW47" s="116">
        <v>11</v>
      </c>
      <c r="AX47" s="147">
        <v>21</v>
      </c>
      <c r="AY47" s="146">
        <f t="shared" si="22"/>
        <v>32</v>
      </c>
      <c r="AZ47" s="147">
        <v>12</v>
      </c>
      <c r="BA47" s="146">
        <f t="shared" si="23"/>
        <v>44</v>
      </c>
      <c r="BB47" s="263"/>
      <c r="BC47" s="147">
        <f t="shared" si="24"/>
        <v>2</v>
      </c>
      <c r="BD47" s="116">
        <v>4</v>
      </c>
      <c r="BE47" s="147">
        <v>16</v>
      </c>
      <c r="BF47" s="146">
        <f t="shared" si="25"/>
        <v>20</v>
      </c>
      <c r="BG47" s="147">
        <v>10</v>
      </c>
      <c r="BH47" s="147">
        <v>25</v>
      </c>
      <c r="BI47" s="146">
        <f t="shared" si="26"/>
        <v>55</v>
      </c>
      <c r="BJ47" s="264"/>
      <c r="BK47" s="147">
        <f t="shared" si="3"/>
        <v>3</v>
      </c>
      <c r="BL47" s="116">
        <v>6</v>
      </c>
      <c r="BM47" s="147">
        <v>29</v>
      </c>
      <c r="BN47" s="146">
        <f t="shared" si="27"/>
        <v>35</v>
      </c>
      <c r="BO47" s="147">
        <v>10</v>
      </c>
      <c r="BP47" s="147">
        <v>22</v>
      </c>
      <c r="BQ47" s="146">
        <f t="shared" si="28"/>
        <v>67</v>
      </c>
      <c r="BR47" s="263"/>
      <c r="BS47" s="147">
        <f t="shared" si="29"/>
        <v>3.5</v>
      </c>
      <c r="BT47" s="116">
        <v>7</v>
      </c>
      <c r="BU47" s="147">
        <v>29</v>
      </c>
      <c r="BV47" s="146">
        <f t="shared" si="30"/>
        <v>36</v>
      </c>
      <c r="BW47" s="147">
        <v>14</v>
      </c>
      <c r="BX47" s="147">
        <v>22</v>
      </c>
      <c r="BY47" s="146">
        <f t="shared" si="31"/>
        <v>72</v>
      </c>
      <c r="BZ47" s="264"/>
      <c r="CA47" s="147">
        <f t="shared" si="32"/>
        <v>4</v>
      </c>
      <c r="CB47" s="116">
        <v>9</v>
      </c>
      <c r="CC47" s="147">
        <v>8</v>
      </c>
      <c r="CD47" s="146">
        <f t="shared" si="33"/>
        <v>17</v>
      </c>
      <c r="CE47" s="147">
        <v>10</v>
      </c>
      <c r="CF47" s="147">
        <v>22</v>
      </c>
      <c r="CG47" s="146">
        <f t="shared" si="34"/>
        <v>49</v>
      </c>
      <c r="CH47" s="263"/>
      <c r="CI47" s="129" t="str">
        <f t="shared" si="35"/>
        <v>0</v>
      </c>
      <c r="CJ47" s="147">
        <f t="shared" si="4"/>
        <v>26.5</v>
      </c>
      <c r="CK47" s="130">
        <f t="shared" si="36"/>
        <v>2.9444444444444446</v>
      </c>
      <c r="CL47" s="130" t="str">
        <f t="shared" si="37"/>
        <v>C</v>
      </c>
      <c r="CM47" s="37" t="str">
        <f t="shared" si="5"/>
        <v>GOOD</v>
      </c>
      <c r="CN47" s="38">
        <f t="shared" si="6"/>
        <v>650</v>
      </c>
      <c r="CO47" s="37">
        <f t="shared" si="38"/>
        <v>49</v>
      </c>
      <c r="CP47" s="40"/>
    </row>
    <row r="48" spans="1:94" s="41" customFormat="1" ht="27" customHeight="1">
      <c r="A48" s="207">
        <v>41</v>
      </c>
      <c r="B48" s="117">
        <v>23</v>
      </c>
      <c r="C48" s="118" t="s">
        <v>244</v>
      </c>
      <c r="D48" s="69" t="s">
        <v>245</v>
      </c>
      <c r="E48" s="69" t="s">
        <v>246</v>
      </c>
      <c r="F48" s="70" t="s">
        <v>247</v>
      </c>
      <c r="G48" s="116">
        <v>14</v>
      </c>
      <c r="H48" s="147">
        <v>26</v>
      </c>
      <c r="I48" s="146">
        <f t="shared" si="8"/>
        <v>40</v>
      </c>
      <c r="J48" s="147">
        <v>17</v>
      </c>
      <c r="K48" s="146">
        <f t="shared" si="40"/>
        <v>57</v>
      </c>
      <c r="L48" s="116">
        <v>19</v>
      </c>
      <c r="M48" s="147">
        <v>32</v>
      </c>
      <c r="N48" s="146">
        <f t="shared" si="9"/>
        <v>51</v>
      </c>
      <c r="O48" s="147">
        <v>17</v>
      </c>
      <c r="P48" s="146">
        <f t="shared" si="41"/>
        <v>68</v>
      </c>
      <c r="Q48" s="146">
        <f t="shared" si="11"/>
        <v>125</v>
      </c>
      <c r="R48" s="263"/>
      <c r="S48" s="147">
        <f t="shared" si="12"/>
        <v>3.5</v>
      </c>
      <c r="T48" s="116">
        <v>11</v>
      </c>
      <c r="U48" s="147">
        <v>43</v>
      </c>
      <c r="V48" s="146">
        <f t="shared" si="13"/>
        <v>54</v>
      </c>
      <c r="W48" s="147">
        <v>12</v>
      </c>
      <c r="X48" s="147">
        <v>45</v>
      </c>
      <c r="Y48" s="146">
        <f t="shared" si="14"/>
        <v>57</v>
      </c>
      <c r="Z48" s="146">
        <f t="shared" si="15"/>
        <v>111</v>
      </c>
      <c r="AA48" s="263"/>
      <c r="AB48" s="147">
        <f t="shared" si="0"/>
        <v>3</v>
      </c>
      <c r="AC48" s="116">
        <v>12</v>
      </c>
      <c r="AD48" s="147">
        <v>16</v>
      </c>
      <c r="AE48" s="146">
        <f t="shared" si="16"/>
        <v>28</v>
      </c>
      <c r="AF48" s="147">
        <v>12</v>
      </c>
      <c r="AG48" s="146">
        <f t="shared" si="17"/>
        <v>40</v>
      </c>
      <c r="AH48" s="263"/>
      <c r="AI48" s="147">
        <f t="shared" si="1"/>
        <v>2</v>
      </c>
      <c r="AJ48" s="116">
        <v>16</v>
      </c>
      <c r="AK48" s="147">
        <v>31</v>
      </c>
      <c r="AL48" s="146">
        <f t="shared" si="18"/>
        <v>47</v>
      </c>
      <c r="AM48" s="147">
        <v>20</v>
      </c>
      <c r="AN48" s="146">
        <f t="shared" si="19"/>
        <v>67</v>
      </c>
      <c r="AO48" s="263"/>
      <c r="AP48" s="147">
        <f t="shared" si="2"/>
        <v>3.5</v>
      </c>
      <c r="AQ48" s="116"/>
      <c r="AR48" s="147">
        <v>25</v>
      </c>
      <c r="AS48" s="147">
        <v>25</v>
      </c>
      <c r="AT48" s="147">
        <f t="shared" si="20"/>
        <v>50</v>
      </c>
      <c r="AU48" s="264"/>
      <c r="AV48" s="147">
        <f t="shared" si="21"/>
        <v>5</v>
      </c>
      <c r="AW48" s="116">
        <v>14</v>
      </c>
      <c r="AX48" s="147">
        <v>24</v>
      </c>
      <c r="AY48" s="146">
        <f t="shared" si="22"/>
        <v>38</v>
      </c>
      <c r="AZ48" s="147">
        <v>15</v>
      </c>
      <c r="BA48" s="146">
        <f t="shared" si="23"/>
        <v>53</v>
      </c>
      <c r="BB48" s="263"/>
      <c r="BC48" s="147">
        <f t="shared" si="24"/>
        <v>3</v>
      </c>
      <c r="BD48" s="116">
        <v>5</v>
      </c>
      <c r="BE48" s="147">
        <v>18</v>
      </c>
      <c r="BF48" s="146">
        <f t="shared" si="25"/>
        <v>23</v>
      </c>
      <c r="BG48" s="147">
        <v>14</v>
      </c>
      <c r="BH48" s="147">
        <v>25</v>
      </c>
      <c r="BI48" s="146">
        <f t="shared" si="26"/>
        <v>62</v>
      </c>
      <c r="BJ48" s="264"/>
      <c r="BK48" s="147">
        <f t="shared" si="3"/>
        <v>3.5</v>
      </c>
      <c r="BL48" s="116">
        <v>5</v>
      </c>
      <c r="BM48" s="147">
        <v>16</v>
      </c>
      <c r="BN48" s="146">
        <f t="shared" si="27"/>
        <v>21</v>
      </c>
      <c r="BO48" s="147">
        <v>10</v>
      </c>
      <c r="BP48" s="147">
        <v>20</v>
      </c>
      <c r="BQ48" s="146">
        <f t="shared" si="28"/>
        <v>51</v>
      </c>
      <c r="BR48" s="263"/>
      <c r="BS48" s="147">
        <f t="shared" si="29"/>
        <v>3</v>
      </c>
      <c r="BT48" s="116">
        <v>7</v>
      </c>
      <c r="BU48" s="147">
        <v>20</v>
      </c>
      <c r="BV48" s="146">
        <f t="shared" si="30"/>
        <v>27</v>
      </c>
      <c r="BW48" s="147">
        <v>14</v>
      </c>
      <c r="BX48" s="147">
        <v>22</v>
      </c>
      <c r="BY48" s="146">
        <f t="shared" si="31"/>
        <v>63</v>
      </c>
      <c r="BZ48" s="264"/>
      <c r="CA48" s="147">
        <f t="shared" si="32"/>
        <v>3.5</v>
      </c>
      <c r="CB48" s="116">
        <v>7</v>
      </c>
      <c r="CC48" s="147">
        <v>11</v>
      </c>
      <c r="CD48" s="146">
        <f t="shared" si="33"/>
        <v>18</v>
      </c>
      <c r="CE48" s="147">
        <v>20</v>
      </c>
      <c r="CF48" s="147">
        <v>23</v>
      </c>
      <c r="CG48" s="146">
        <f t="shared" si="34"/>
        <v>61</v>
      </c>
      <c r="CH48" s="263"/>
      <c r="CI48" s="129" t="str">
        <f t="shared" si="35"/>
        <v>0</v>
      </c>
      <c r="CJ48" s="147">
        <f t="shared" si="4"/>
        <v>28</v>
      </c>
      <c r="CK48" s="130">
        <f t="shared" si="36"/>
        <v>3.1111111111111112</v>
      </c>
      <c r="CL48" s="130" t="str">
        <f t="shared" si="37"/>
        <v>B</v>
      </c>
      <c r="CM48" s="37" t="str">
        <f t="shared" si="5"/>
        <v>GOOD</v>
      </c>
      <c r="CN48" s="38">
        <f t="shared" si="6"/>
        <v>683</v>
      </c>
      <c r="CO48" s="37">
        <f t="shared" si="38"/>
        <v>40</v>
      </c>
      <c r="CP48" s="40"/>
    </row>
    <row r="49" spans="1:94" s="41" customFormat="1" ht="27" customHeight="1">
      <c r="A49" s="207">
        <v>42</v>
      </c>
      <c r="B49" s="117">
        <v>24</v>
      </c>
      <c r="C49" s="118" t="s">
        <v>248</v>
      </c>
      <c r="D49" s="69" t="s">
        <v>249</v>
      </c>
      <c r="E49" s="69" t="s">
        <v>250</v>
      </c>
      <c r="F49" s="70" t="s">
        <v>251</v>
      </c>
      <c r="G49" s="116">
        <v>11</v>
      </c>
      <c r="H49" s="147">
        <v>20</v>
      </c>
      <c r="I49" s="146">
        <f t="shared" si="8"/>
        <v>31</v>
      </c>
      <c r="J49" s="147">
        <v>18</v>
      </c>
      <c r="K49" s="146">
        <f t="shared" si="40"/>
        <v>49</v>
      </c>
      <c r="L49" s="116">
        <v>16</v>
      </c>
      <c r="M49" s="147">
        <v>34</v>
      </c>
      <c r="N49" s="146">
        <f t="shared" si="9"/>
        <v>50</v>
      </c>
      <c r="O49" s="147">
        <v>25</v>
      </c>
      <c r="P49" s="146">
        <f t="shared" si="41"/>
        <v>75</v>
      </c>
      <c r="Q49" s="146">
        <f t="shared" si="11"/>
        <v>124</v>
      </c>
      <c r="R49" s="263"/>
      <c r="S49" s="147">
        <f t="shared" si="12"/>
        <v>3.5</v>
      </c>
      <c r="T49" s="116">
        <v>12</v>
      </c>
      <c r="U49" s="147">
        <v>39</v>
      </c>
      <c r="V49" s="146">
        <f t="shared" si="13"/>
        <v>51</v>
      </c>
      <c r="W49" s="147">
        <v>13</v>
      </c>
      <c r="X49" s="147">
        <v>47</v>
      </c>
      <c r="Y49" s="146">
        <f t="shared" si="14"/>
        <v>60</v>
      </c>
      <c r="Z49" s="146">
        <f t="shared" si="15"/>
        <v>111</v>
      </c>
      <c r="AA49" s="263"/>
      <c r="AB49" s="147">
        <f t="shared" si="0"/>
        <v>3</v>
      </c>
      <c r="AC49" s="116">
        <v>13</v>
      </c>
      <c r="AD49" s="147">
        <v>19</v>
      </c>
      <c r="AE49" s="146">
        <f t="shared" si="16"/>
        <v>32</v>
      </c>
      <c r="AF49" s="147">
        <v>15</v>
      </c>
      <c r="AG49" s="146">
        <f t="shared" si="17"/>
        <v>47</v>
      </c>
      <c r="AH49" s="263"/>
      <c r="AI49" s="147">
        <f t="shared" si="1"/>
        <v>2</v>
      </c>
      <c r="AJ49" s="116">
        <v>17</v>
      </c>
      <c r="AK49" s="147">
        <v>33</v>
      </c>
      <c r="AL49" s="146">
        <f t="shared" si="18"/>
        <v>50</v>
      </c>
      <c r="AM49" s="147">
        <v>21</v>
      </c>
      <c r="AN49" s="146">
        <f t="shared" si="19"/>
        <v>71</v>
      </c>
      <c r="AO49" s="263"/>
      <c r="AP49" s="147">
        <f t="shared" si="2"/>
        <v>4</v>
      </c>
      <c r="AQ49" s="116"/>
      <c r="AR49" s="147">
        <v>23</v>
      </c>
      <c r="AS49" s="147">
        <v>15</v>
      </c>
      <c r="AT49" s="147">
        <f t="shared" si="20"/>
        <v>38</v>
      </c>
      <c r="AU49" s="264"/>
      <c r="AV49" s="147">
        <f t="shared" si="21"/>
        <v>4</v>
      </c>
      <c r="AW49" s="116">
        <v>14</v>
      </c>
      <c r="AX49" s="147">
        <v>28</v>
      </c>
      <c r="AY49" s="146">
        <f t="shared" si="22"/>
        <v>42</v>
      </c>
      <c r="AZ49" s="147">
        <v>20</v>
      </c>
      <c r="BA49" s="146">
        <f t="shared" si="23"/>
        <v>62</v>
      </c>
      <c r="BB49" s="263"/>
      <c r="BC49" s="147">
        <f t="shared" si="24"/>
        <v>3.5</v>
      </c>
      <c r="BD49" s="116">
        <v>4</v>
      </c>
      <c r="BE49" s="147">
        <v>16</v>
      </c>
      <c r="BF49" s="146">
        <f t="shared" si="25"/>
        <v>20</v>
      </c>
      <c r="BG49" s="147">
        <v>10</v>
      </c>
      <c r="BH49" s="147">
        <v>25</v>
      </c>
      <c r="BI49" s="146">
        <f t="shared" si="26"/>
        <v>55</v>
      </c>
      <c r="BJ49" s="264"/>
      <c r="BK49" s="147">
        <f t="shared" si="3"/>
        <v>3</v>
      </c>
      <c r="BL49" s="116">
        <v>5</v>
      </c>
      <c r="BM49" s="147">
        <v>23</v>
      </c>
      <c r="BN49" s="146">
        <f t="shared" si="27"/>
        <v>28</v>
      </c>
      <c r="BO49" s="147">
        <v>14</v>
      </c>
      <c r="BP49" s="147">
        <v>21</v>
      </c>
      <c r="BQ49" s="146">
        <f t="shared" si="28"/>
        <v>63</v>
      </c>
      <c r="BR49" s="263"/>
      <c r="BS49" s="147">
        <f t="shared" si="29"/>
        <v>3.5</v>
      </c>
      <c r="BT49" s="116">
        <v>7</v>
      </c>
      <c r="BU49" s="147">
        <v>26</v>
      </c>
      <c r="BV49" s="146">
        <f t="shared" si="30"/>
        <v>33</v>
      </c>
      <c r="BW49" s="147">
        <v>13</v>
      </c>
      <c r="BX49" s="147">
        <v>22</v>
      </c>
      <c r="BY49" s="146">
        <f t="shared" si="31"/>
        <v>68</v>
      </c>
      <c r="BZ49" s="264"/>
      <c r="CA49" s="147">
        <f t="shared" si="32"/>
        <v>3.5</v>
      </c>
      <c r="CB49" s="116">
        <v>6</v>
      </c>
      <c r="CC49" s="147">
        <v>10</v>
      </c>
      <c r="CD49" s="146">
        <f t="shared" si="33"/>
        <v>16</v>
      </c>
      <c r="CE49" s="147">
        <v>8</v>
      </c>
      <c r="CF49" s="147">
        <v>22</v>
      </c>
      <c r="CG49" s="146">
        <f t="shared" si="34"/>
        <v>46</v>
      </c>
      <c r="CH49" s="263"/>
      <c r="CI49" s="129" t="str">
        <f t="shared" si="35"/>
        <v>0</v>
      </c>
      <c r="CJ49" s="147">
        <f t="shared" si="4"/>
        <v>28</v>
      </c>
      <c r="CK49" s="130">
        <f t="shared" si="36"/>
        <v>3.1111111111111112</v>
      </c>
      <c r="CL49" s="130" t="str">
        <f t="shared" si="37"/>
        <v>B</v>
      </c>
      <c r="CM49" s="37" t="str">
        <f t="shared" si="5"/>
        <v>GOOD</v>
      </c>
      <c r="CN49" s="38">
        <f t="shared" si="6"/>
        <v>685</v>
      </c>
      <c r="CO49" s="37">
        <f t="shared" si="38"/>
        <v>38</v>
      </c>
      <c r="CP49" s="40"/>
    </row>
    <row r="50" spans="1:94" s="41" customFormat="1" ht="27" customHeight="1">
      <c r="A50" s="207">
        <v>43</v>
      </c>
      <c r="B50" s="117">
        <v>25</v>
      </c>
      <c r="C50" s="179" t="s">
        <v>252</v>
      </c>
      <c r="D50" s="95" t="s">
        <v>253</v>
      </c>
      <c r="E50" s="95" t="s">
        <v>254</v>
      </c>
      <c r="F50" s="96" t="s">
        <v>255</v>
      </c>
      <c r="G50" s="116">
        <v>13</v>
      </c>
      <c r="H50" s="147">
        <v>22</v>
      </c>
      <c r="I50" s="146">
        <f t="shared" si="8"/>
        <v>35</v>
      </c>
      <c r="J50" s="147">
        <v>12</v>
      </c>
      <c r="K50" s="146">
        <f t="shared" si="40"/>
        <v>47</v>
      </c>
      <c r="L50" s="116">
        <v>19</v>
      </c>
      <c r="M50" s="147">
        <v>34</v>
      </c>
      <c r="N50" s="146">
        <f t="shared" si="9"/>
        <v>53</v>
      </c>
      <c r="O50" s="147">
        <v>16</v>
      </c>
      <c r="P50" s="146">
        <f t="shared" si="41"/>
        <v>69</v>
      </c>
      <c r="Q50" s="146">
        <f t="shared" si="11"/>
        <v>116</v>
      </c>
      <c r="R50" s="263"/>
      <c r="S50" s="147">
        <f t="shared" si="12"/>
        <v>3</v>
      </c>
      <c r="T50" s="116">
        <v>9</v>
      </c>
      <c r="U50" s="147">
        <v>32</v>
      </c>
      <c r="V50" s="146">
        <f t="shared" si="13"/>
        <v>41</v>
      </c>
      <c r="W50" s="147">
        <v>6</v>
      </c>
      <c r="X50" s="147">
        <v>41</v>
      </c>
      <c r="Y50" s="146">
        <f t="shared" si="14"/>
        <v>47</v>
      </c>
      <c r="Z50" s="146">
        <f t="shared" si="15"/>
        <v>88</v>
      </c>
      <c r="AA50" s="263"/>
      <c r="AB50" s="147">
        <f t="shared" si="0"/>
        <v>2</v>
      </c>
      <c r="AC50" s="116">
        <v>18</v>
      </c>
      <c r="AD50" s="147">
        <v>21</v>
      </c>
      <c r="AE50" s="146">
        <f t="shared" si="16"/>
        <v>39</v>
      </c>
      <c r="AF50" s="147">
        <v>14</v>
      </c>
      <c r="AG50" s="146">
        <f t="shared" si="17"/>
        <v>53</v>
      </c>
      <c r="AH50" s="263"/>
      <c r="AI50" s="147">
        <f t="shared" si="1"/>
        <v>3</v>
      </c>
      <c r="AJ50" s="116">
        <v>15</v>
      </c>
      <c r="AK50" s="147">
        <v>32</v>
      </c>
      <c r="AL50" s="146">
        <f t="shared" si="18"/>
        <v>47</v>
      </c>
      <c r="AM50" s="147">
        <v>21</v>
      </c>
      <c r="AN50" s="146">
        <f t="shared" si="19"/>
        <v>68</v>
      </c>
      <c r="AO50" s="263"/>
      <c r="AP50" s="147">
        <f t="shared" si="2"/>
        <v>3.5</v>
      </c>
      <c r="AQ50" s="116"/>
      <c r="AR50" s="147">
        <v>25</v>
      </c>
      <c r="AS50" s="147">
        <v>25</v>
      </c>
      <c r="AT50" s="147">
        <f t="shared" si="20"/>
        <v>50</v>
      </c>
      <c r="AU50" s="264"/>
      <c r="AV50" s="147">
        <f t="shared" si="21"/>
        <v>5</v>
      </c>
      <c r="AW50" s="116">
        <v>14</v>
      </c>
      <c r="AX50" s="147">
        <v>24</v>
      </c>
      <c r="AY50" s="146">
        <f t="shared" si="22"/>
        <v>38</v>
      </c>
      <c r="AZ50" s="147">
        <v>17</v>
      </c>
      <c r="BA50" s="146">
        <f t="shared" si="23"/>
        <v>55</v>
      </c>
      <c r="BB50" s="263"/>
      <c r="BC50" s="147">
        <f t="shared" si="24"/>
        <v>3</v>
      </c>
      <c r="BD50" s="116">
        <v>5</v>
      </c>
      <c r="BE50" s="147">
        <v>16</v>
      </c>
      <c r="BF50" s="146">
        <f t="shared" si="25"/>
        <v>21</v>
      </c>
      <c r="BG50" s="147">
        <v>10</v>
      </c>
      <c r="BH50" s="147">
        <v>25</v>
      </c>
      <c r="BI50" s="146">
        <f t="shared" si="26"/>
        <v>56</v>
      </c>
      <c r="BJ50" s="264"/>
      <c r="BK50" s="147">
        <f t="shared" si="3"/>
        <v>3</v>
      </c>
      <c r="BL50" s="116">
        <v>2</v>
      </c>
      <c r="BM50" s="147">
        <v>20</v>
      </c>
      <c r="BN50" s="146">
        <f t="shared" si="27"/>
        <v>22</v>
      </c>
      <c r="BO50" s="147">
        <v>10</v>
      </c>
      <c r="BP50" s="147">
        <v>20</v>
      </c>
      <c r="BQ50" s="146">
        <f t="shared" si="28"/>
        <v>52</v>
      </c>
      <c r="BR50" s="263"/>
      <c r="BS50" s="147">
        <f t="shared" si="29"/>
        <v>3</v>
      </c>
      <c r="BT50" s="116">
        <v>6</v>
      </c>
      <c r="BU50" s="147">
        <v>21</v>
      </c>
      <c r="BV50" s="146">
        <f t="shared" si="30"/>
        <v>27</v>
      </c>
      <c r="BW50" s="147">
        <v>14</v>
      </c>
      <c r="BX50" s="147">
        <v>22</v>
      </c>
      <c r="BY50" s="146">
        <f t="shared" si="31"/>
        <v>63</v>
      </c>
      <c r="BZ50" s="264"/>
      <c r="CA50" s="147">
        <f t="shared" si="32"/>
        <v>3.5</v>
      </c>
      <c r="CB50" s="116">
        <v>6</v>
      </c>
      <c r="CC50" s="147">
        <v>14</v>
      </c>
      <c r="CD50" s="146">
        <f t="shared" si="33"/>
        <v>20</v>
      </c>
      <c r="CE50" s="147">
        <v>21</v>
      </c>
      <c r="CF50" s="147">
        <v>23</v>
      </c>
      <c r="CG50" s="146">
        <f t="shared" si="34"/>
        <v>64</v>
      </c>
      <c r="CH50" s="263"/>
      <c r="CI50" s="129">
        <f t="shared" si="35"/>
        <v>3.5</v>
      </c>
      <c r="CJ50" s="147">
        <f t="shared" si="4"/>
        <v>30.5</v>
      </c>
      <c r="CK50" s="130">
        <f t="shared" si="36"/>
        <v>3.3888888888888888</v>
      </c>
      <c r="CL50" s="130" t="str">
        <f t="shared" si="37"/>
        <v>B</v>
      </c>
      <c r="CM50" s="37" t="str">
        <f t="shared" si="5"/>
        <v>GOOD</v>
      </c>
      <c r="CN50" s="38">
        <f t="shared" si="6"/>
        <v>665</v>
      </c>
      <c r="CO50" s="37">
        <f t="shared" si="38"/>
        <v>44</v>
      </c>
      <c r="CP50" s="40"/>
    </row>
    <row r="51" spans="1:94" s="41" customFormat="1" ht="27" customHeight="1">
      <c r="A51" s="207">
        <v>44</v>
      </c>
      <c r="B51" s="117">
        <v>26</v>
      </c>
      <c r="C51" s="179" t="s">
        <v>256</v>
      </c>
      <c r="D51" s="95" t="s">
        <v>257</v>
      </c>
      <c r="E51" s="95" t="s">
        <v>258</v>
      </c>
      <c r="F51" s="96" t="s">
        <v>259</v>
      </c>
      <c r="G51" s="116">
        <v>14</v>
      </c>
      <c r="H51" s="147">
        <v>21</v>
      </c>
      <c r="I51" s="146">
        <f t="shared" si="8"/>
        <v>35</v>
      </c>
      <c r="J51" s="147">
        <v>11</v>
      </c>
      <c r="K51" s="146">
        <f t="shared" si="40"/>
        <v>46</v>
      </c>
      <c r="L51" s="116">
        <v>16</v>
      </c>
      <c r="M51" s="147">
        <v>32</v>
      </c>
      <c r="N51" s="146">
        <f t="shared" si="9"/>
        <v>48</v>
      </c>
      <c r="O51" s="147">
        <v>23</v>
      </c>
      <c r="P51" s="146">
        <f t="shared" si="41"/>
        <v>71</v>
      </c>
      <c r="Q51" s="146">
        <f t="shared" si="11"/>
        <v>117</v>
      </c>
      <c r="R51" s="263"/>
      <c r="S51" s="147">
        <f t="shared" si="12"/>
        <v>3</v>
      </c>
      <c r="T51" s="116">
        <v>16</v>
      </c>
      <c r="U51" s="147">
        <v>42</v>
      </c>
      <c r="V51" s="146">
        <f t="shared" si="13"/>
        <v>58</v>
      </c>
      <c r="W51" s="147">
        <v>13</v>
      </c>
      <c r="X51" s="147">
        <v>46</v>
      </c>
      <c r="Y51" s="146">
        <f t="shared" si="14"/>
        <v>59</v>
      </c>
      <c r="Z51" s="146">
        <f t="shared" si="15"/>
        <v>117</v>
      </c>
      <c r="AA51" s="263"/>
      <c r="AB51" s="147">
        <f t="shared" si="0"/>
        <v>3</v>
      </c>
      <c r="AC51" s="116">
        <v>8</v>
      </c>
      <c r="AD51" s="147">
        <v>7</v>
      </c>
      <c r="AE51" s="146">
        <f t="shared" si="16"/>
        <v>15</v>
      </c>
      <c r="AF51" s="147">
        <v>12</v>
      </c>
      <c r="AG51" s="146">
        <f t="shared" si="17"/>
        <v>27</v>
      </c>
      <c r="AH51" s="263"/>
      <c r="AI51" s="147" t="str">
        <f t="shared" si="1"/>
        <v>F</v>
      </c>
      <c r="AJ51" s="116">
        <v>14</v>
      </c>
      <c r="AK51" s="147">
        <v>24</v>
      </c>
      <c r="AL51" s="146">
        <f t="shared" si="18"/>
        <v>38</v>
      </c>
      <c r="AM51" s="147">
        <v>23</v>
      </c>
      <c r="AN51" s="146">
        <f t="shared" si="19"/>
        <v>61</v>
      </c>
      <c r="AO51" s="263"/>
      <c r="AP51" s="147">
        <f t="shared" si="2"/>
        <v>3.5</v>
      </c>
      <c r="AQ51" s="116"/>
      <c r="AR51" s="147">
        <v>24</v>
      </c>
      <c r="AS51" s="147">
        <v>23</v>
      </c>
      <c r="AT51" s="147">
        <f t="shared" si="20"/>
        <v>47</v>
      </c>
      <c r="AU51" s="264"/>
      <c r="AV51" s="147">
        <f t="shared" si="21"/>
        <v>5</v>
      </c>
      <c r="AW51" s="116">
        <v>11</v>
      </c>
      <c r="AX51" s="147">
        <v>27</v>
      </c>
      <c r="AY51" s="146">
        <f t="shared" si="22"/>
        <v>38</v>
      </c>
      <c r="AZ51" s="147">
        <v>17</v>
      </c>
      <c r="BA51" s="146">
        <f t="shared" si="23"/>
        <v>55</v>
      </c>
      <c r="BB51" s="263"/>
      <c r="BC51" s="147">
        <f t="shared" si="24"/>
        <v>3</v>
      </c>
      <c r="BD51" s="116">
        <v>5</v>
      </c>
      <c r="BE51" s="147">
        <v>10</v>
      </c>
      <c r="BF51" s="146">
        <f t="shared" si="25"/>
        <v>15</v>
      </c>
      <c r="BG51" s="147">
        <v>11</v>
      </c>
      <c r="BH51" s="147">
        <v>20</v>
      </c>
      <c r="BI51" s="146">
        <f t="shared" si="26"/>
        <v>46</v>
      </c>
      <c r="BJ51" s="264"/>
      <c r="BK51" s="147" t="str">
        <f t="shared" si="3"/>
        <v>F</v>
      </c>
      <c r="BL51" s="116">
        <v>6</v>
      </c>
      <c r="BM51" s="147">
        <v>5</v>
      </c>
      <c r="BN51" s="146">
        <f t="shared" si="27"/>
        <v>11</v>
      </c>
      <c r="BO51" s="147">
        <v>10</v>
      </c>
      <c r="BP51" s="147">
        <v>20</v>
      </c>
      <c r="BQ51" s="146">
        <f t="shared" si="28"/>
        <v>41</v>
      </c>
      <c r="BR51" s="263"/>
      <c r="BS51" s="147" t="str">
        <f t="shared" si="29"/>
        <v>F</v>
      </c>
      <c r="BT51" s="116">
        <v>4</v>
      </c>
      <c r="BU51" s="147">
        <v>7</v>
      </c>
      <c r="BV51" s="146">
        <f t="shared" si="30"/>
        <v>11</v>
      </c>
      <c r="BW51" s="147">
        <v>13</v>
      </c>
      <c r="BX51" s="147">
        <v>22</v>
      </c>
      <c r="BY51" s="146">
        <f t="shared" si="31"/>
        <v>46</v>
      </c>
      <c r="BZ51" s="264"/>
      <c r="CA51" s="147" t="str">
        <f t="shared" si="32"/>
        <v>F</v>
      </c>
      <c r="CB51" s="116">
        <v>6</v>
      </c>
      <c r="CC51" s="147">
        <v>15</v>
      </c>
      <c r="CD51" s="146">
        <f t="shared" si="33"/>
        <v>21</v>
      </c>
      <c r="CE51" s="147">
        <v>17</v>
      </c>
      <c r="CF51" s="147">
        <v>22</v>
      </c>
      <c r="CG51" s="146">
        <f t="shared" si="34"/>
        <v>60</v>
      </c>
      <c r="CH51" s="263"/>
      <c r="CI51" s="129">
        <f t="shared" si="35"/>
        <v>3.5</v>
      </c>
      <c r="CJ51" s="147" t="str">
        <f t="shared" si="4"/>
        <v>F</v>
      </c>
      <c r="CK51" s="130" t="str">
        <f t="shared" si="36"/>
        <v>F</v>
      </c>
      <c r="CL51" s="130" t="str">
        <f t="shared" si="37"/>
        <v>F</v>
      </c>
      <c r="CM51" s="37" t="str">
        <f t="shared" si="5"/>
        <v>NEED TO PROGRESS</v>
      </c>
      <c r="CN51" s="38">
        <f t="shared" si="6"/>
        <v>617</v>
      </c>
      <c r="CO51" s="37" t="str">
        <f t="shared" si="38"/>
        <v>F</v>
      </c>
      <c r="CP51" s="40"/>
    </row>
    <row r="52" spans="1:94" s="41" customFormat="1" ht="27" customHeight="1">
      <c r="A52" s="207">
        <v>45</v>
      </c>
      <c r="B52" s="117">
        <v>28</v>
      </c>
      <c r="C52" s="118" t="s">
        <v>260</v>
      </c>
      <c r="D52" s="69" t="s">
        <v>261</v>
      </c>
      <c r="E52" s="69" t="s">
        <v>262</v>
      </c>
      <c r="F52" s="70" t="s">
        <v>263</v>
      </c>
      <c r="G52" s="116">
        <v>9</v>
      </c>
      <c r="H52" s="147">
        <v>17</v>
      </c>
      <c r="I52" s="146">
        <f t="shared" si="8"/>
        <v>26</v>
      </c>
      <c r="J52" s="147">
        <v>13</v>
      </c>
      <c r="K52" s="146">
        <f t="shared" si="40"/>
        <v>39</v>
      </c>
      <c r="L52" s="116">
        <v>15</v>
      </c>
      <c r="M52" s="147">
        <v>23</v>
      </c>
      <c r="N52" s="146">
        <f t="shared" si="9"/>
        <v>38</v>
      </c>
      <c r="O52" s="147">
        <v>25</v>
      </c>
      <c r="P52" s="146">
        <f t="shared" si="41"/>
        <v>63</v>
      </c>
      <c r="Q52" s="146">
        <f t="shared" si="11"/>
        <v>102</v>
      </c>
      <c r="R52" s="263"/>
      <c r="S52" s="147">
        <f t="shared" si="12"/>
        <v>3</v>
      </c>
      <c r="T52" s="116">
        <v>18</v>
      </c>
      <c r="U52" s="147">
        <v>63</v>
      </c>
      <c r="V52" s="146">
        <f t="shared" si="13"/>
        <v>81</v>
      </c>
      <c r="W52" s="147">
        <v>16</v>
      </c>
      <c r="X52" s="147">
        <v>42</v>
      </c>
      <c r="Y52" s="146">
        <f t="shared" si="14"/>
        <v>58</v>
      </c>
      <c r="Z52" s="146">
        <f t="shared" si="15"/>
        <v>139</v>
      </c>
      <c r="AA52" s="263"/>
      <c r="AB52" s="147">
        <f t="shared" si="0"/>
        <v>3.5</v>
      </c>
      <c r="AC52" s="116">
        <v>8</v>
      </c>
      <c r="AD52" s="147">
        <v>21</v>
      </c>
      <c r="AE52" s="146">
        <f t="shared" si="16"/>
        <v>29</v>
      </c>
      <c r="AF52" s="147">
        <v>13</v>
      </c>
      <c r="AG52" s="146">
        <f t="shared" si="17"/>
        <v>42</v>
      </c>
      <c r="AH52" s="263"/>
      <c r="AI52" s="147">
        <f t="shared" si="1"/>
        <v>2</v>
      </c>
      <c r="AJ52" s="116">
        <v>13</v>
      </c>
      <c r="AK52" s="147">
        <v>21</v>
      </c>
      <c r="AL52" s="146">
        <f t="shared" si="18"/>
        <v>34</v>
      </c>
      <c r="AM52" s="147">
        <v>23</v>
      </c>
      <c r="AN52" s="146">
        <f t="shared" si="19"/>
        <v>57</v>
      </c>
      <c r="AO52" s="263"/>
      <c r="AP52" s="147">
        <f t="shared" si="2"/>
        <v>3</v>
      </c>
      <c r="AQ52" s="116"/>
      <c r="AR52" s="147">
        <v>23</v>
      </c>
      <c r="AS52" s="147">
        <v>15</v>
      </c>
      <c r="AT52" s="147">
        <f t="shared" si="20"/>
        <v>38</v>
      </c>
      <c r="AU52" s="264"/>
      <c r="AV52" s="147">
        <f t="shared" si="21"/>
        <v>4</v>
      </c>
      <c r="AW52" s="116">
        <v>11</v>
      </c>
      <c r="AX52" s="147">
        <v>18</v>
      </c>
      <c r="AY52" s="146">
        <f t="shared" si="22"/>
        <v>29</v>
      </c>
      <c r="AZ52" s="147">
        <v>14</v>
      </c>
      <c r="BA52" s="146">
        <f t="shared" si="23"/>
        <v>43</v>
      </c>
      <c r="BB52" s="263"/>
      <c r="BC52" s="147">
        <f t="shared" si="24"/>
        <v>2</v>
      </c>
      <c r="BD52" s="116">
        <v>10</v>
      </c>
      <c r="BE52" s="147">
        <v>10</v>
      </c>
      <c r="BF52" s="146">
        <f t="shared" si="25"/>
        <v>20</v>
      </c>
      <c r="BG52" s="147">
        <v>10</v>
      </c>
      <c r="BH52" s="147">
        <v>20</v>
      </c>
      <c r="BI52" s="146">
        <f t="shared" si="26"/>
        <v>50</v>
      </c>
      <c r="BJ52" s="264"/>
      <c r="BK52" s="147">
        <f t="shared" si="3"/>
        <v>3</v>
      </c>
      <c r="BL52" s="116">
        <v>6</v>
      </c>
      <c r="BM52" s="147">
        <v>16</v>
      </c>
      <c r="BN52" s="146">
        <f t="shared" si="27"/>
        <v>22</v>
      </c>
      <c r="BO52" s="147">
        <v>10</v>
      </c>
      <c r="BP52" s="147">
        <v>20</v>
      </c>
      <c r="BQ52" s="146">
        <f t="shared" si="28"/>
        <v>52</v>
      </c>
      <c r="BR52" s="263"/>
      <c r="BS52" s="147">
        <f t="shared" si="29"/>
        <v>3</v>
      </c>
      <c r="BT52" s="116">
        <v>6</v>
      </c>
      <c r="BU52" s="147">
        <v>16</v>
      </c>
      <c r="BV52" s="146">
        <f t="shared" si="30"/>
        <v>22</v>
      </c>
      <c r="BW52" s="147">
        <v>14</v>
      </c>
      <c r="BX52" s="147">
        <v>22</v>
      </c>
      <c r="BY52" s="146">
        <f t="shared" si="31"/>
        <v>58</v>
      </c>
      <c r="BZ52" s="264"/>
      <c r="CA52" s="147">
        <f t="shared" si="32"/>
        <v>3</v>
      </c>
      <c r="CB52" s="116">
        <v>2</v>
      </c>
      <c r="CC52" s="147">
        <v>4</v>
      </c>
      <c r="CD52" s="146">
        <f t="shared" si="33"/>
        <v>6</v>
      </c>
      <c r="CE52" s="147">
        <v>3</v>
      </c>
      <c r="CF52" s="147">
        <v>22</v>
      </c>
      <c r="CG52" s="146">
        <f t="shared" si="34"/>
        <v>31</v>
      </c>
      <c r="CH52" s="263"/>
      <c r="CI52" s="129" t="str">
        <f t="shared" si="35"/>
        <v>0</v>
      </c>
      <c r="CJ52" s="147">
        <f t="shared" si="4"/>
        <v>24.5</v>
      </c>
      <c r="CK52" s="130">
        <f t="shared" si="36"/>
        <v>2.7222222222222223</v>
      </c>
      <c r="CL52" s="130" t="str">
        <f t="shared" si="37"/>
        <v>C</v>
      </c>
      <c r="CM52" s="37" t="str">
        <f t="shared" si="5"/>
        <v>GOOD</v>
      </c>
      <c r="CN52" s="38">
        <f t="shared" si="6"/>
        <v>612</v>
      </c>
      <c r="CO52" s="37">
        <f t="shared" si="38"/>
        <v>58</v>
      </c>
      <c r="CP52" s="40"/>
    </row>
    <row r="53" spans="1:94" s="41" customFormat="1" ht="27" customHeight="1">
      <c r="A53" s="207">
        <v>46</v>
      </c>
      <c r="B53" s="117">
        <v>29</v>
      </c>
      <c r="C53" s="118" t="s">
        <v>264</v>
      </c>
      <c r="D53" s="69" t="s">
        <v>265</v>
      </c>
      <c r="E53" s="69" t="s">
        <v>266</v>
      </c>
      <c r="F53" s="70" t="s">
        <v>267</v>
      </c>
      <c r="G53" s="116"/>
      <c r="H53" s="147"/>
      <c r="I53" s="146">
        <f t="shared" si="8"/>
        <v>0</v>
      </c>
      <c r="J53" s="116"/>
      <c r="K53" s="146">
        <f t="shared" ref="K53:K81" si="42">I53+J53</f>
        <v>0</v>
      </c>
      <c r="L53" s="116"/>
      <c r="M53" s="147"/>
      <c r="N53" s="146">
        <f t="shared" si="9"/>
        <v>0</v>
      </c>
      <c r="O53" s="147"/>
      <c r="P53" s="146">
        <f t="shared" si="41"/>
        <v>0</v>
      </c>
      <c r="Q53" s="146">
        <f t="shared" si="11"/>
        <v>0</v>
      </c>
      <c r="R53" s="263"/>
      <c r="S53" s="147" t="str">
        <f t="shared" si="12"/>
        <v>F</v>
      </c>
      <c r="T53" s="116"/>
      <c r="U53" s="146"/>
      <c r="V53" s="146">
        <f t="shared" si="13"/>
        <v>0</v>
      </c>
      <c r="W53" s="116"/>
      <c r="X53" s="146"/>
      <c r="Y53" s="146">
        <f t="shared" si="14"/>
        <v>0</v>
      </c>
      <c r="Z53" s="146">
        <f t="shared" si="15"/>
        <v>0</v>
      </c>
      <c r="AA53" s="263"/>
      <c r="AB53" s="147" t="str">
        <f t="shared" si="0"/>
        <v>F</v>
      </c>
      <c r="AC53" s="116"/>
      <c r="AD53" s="147"/>
      <c r="AE53" s="146">
        <f t="shared" si="16"/>
        <v>0</v>
      </c>
      <c r="AF53" s="147"/>
      <c r="AG53" s="146">
        <f t="shared" si="17"/>
        <v>0</v>
      </c>
      <c r="AH53" s="263"/>
      <c r="AI53" s="147" t="str">
        <f t="shared" si="1"/>
        <v>F</v>
      </c>
      <c r="AJ53" s="116"/>
      <c r="AK53" s="147"/>
      <c r="AL53" s="146">
        <f t="shared" si="18"/>
        <v>0</v>
      </c>
      <c r="AM53" s="147"/>
      <c r="AN53" s="146">
        <f t="shared" si="19"/>
        <v>0</v>
      </c>
      <c r="AO53" s="263"/>
      <c r="AP53" s="147" t="str">
        <f t="shared" si="2"/>
        <v>F</v>
      </c>
      <c r="AQ53" s="116"/>
      <c r="AR53" s="147"/>
      <c r="AS53" s="147"/>
      <c r="AT53" s="147">
        <f t="shared" si="20"/>
        <v>0</v>
      </c>
      <c r="AU53" s="264"/>
      <c r="AV53" s="147" t="str">
        <f t="shared" si="21"/>
        <v>F</v>
      </c>
      <c r="AW53" s="116"/>
      <c r="AX53" s="147"/>
      <c r="AY53" s="146">
        <f t="shared" si="22"/>
        <v>0</v>
      </c>
      <c r="AZ53" s="147"/>
      <c r="BA53" s="146">
        <f t="shared" si="23"/>
        <v>0</v>
      </c>
      <c r="BB53" s="263"/>
      <c r="BC53" s="147" t="str">
        <f t="shared" si="24"/>
        <v>F</v>
      </c>
      <c r="BD53" s="116"/>
      <c r="BE53" s="147"/>
      <c r="BF53" s="146">
        <f t="shared" si="25"/>
        <v>0</v>
      </c>
      <c r="BG53" s="147"/>
      <c r="BH53" s="147"/>
      <c r="BI53" s="146">
        <f t="shared" si="26"/>
        <v>0</v>
      </c>
      <c r="BJ53" s="264"/>
      <c r="BK53" s="147" t="str">
        <f t="shared" si="3"/>
        <v>F</v>
      </c>
      <c r="BL53" s="116"/>
      <c r="BM53" s="147"/>
      <c r="BN53" s="146">
        <f t="shared" si="27"/>
        <v>0</v>
      </c>
      <c r="BO53" s="147"/>
      <c r="BP53" s="147"/>
      <c r="BQ53" s="146">
        <f t="shared" si="28"/>
        <v>0</v>
      </c>
      <c r="BR53" s="263"/>
      <c r="BS53" s="147" t="str">
        <f t="shared" si="29"/>
        <v>F</v>
      </c>
      <c r="BT53" s="116"/>
      <c r="BU53" s="147"/>
      <c r="BV53" s="146">
        <f t="shared" si="30"/>
        <v>0</v>
      </c>
      <c r="BW53" s="147"/>
      <c r="BX53" s="147"/>
      <c r="BY53" s="146">
        <f t="shared" si="31"/>
        <v>0</v>
      </c>
      <c r="BZ53" s="264"/>
      <c r="CA53" s="147" t="str">
        <f t="shared" si="32"/>
        <v>F</v>
      </c>
      <c r="CB53" s="116"/>
      <c r="CC53" s="147"/>
      <c r="CD53" s="146">
        <f t="shared" si="33"/>
        <v>0</v>
      </c>
      <c r="CE53" s="147"/>
      <c r="CF53" s="147"/>
      <c r="CG53" s="146">
        <f t="shared" si="34"/>
        <v>0</v>
      </c>
      <c r="CH53" s="263"/>
      <c r="CI53" s="129" t="str">
        <f t="shared" si="35"/>
        <v>0</v>
      </c>
      <c r="CJ53" s="147" t="str">
        <f t="shared" si="4"/>
        <v>F</v>
      </c>
      <c r="CK53" s="130" t="str">
        <f t="shared" si="36"/>
        <v>F</v>
      </c>
      <c r="CL53" s="130" t="str">
        <f t="shared" si="37"/>
        <v>F</v>
      </c>
      <c r="CM53" s="37" t="str">
        <f t="shared" si="5"/>
        <v>NEED TO PROGRESS</v>
      </c>
      <c r="CN53" s="38">
        <f t="shared" si="6"/>
        <v>0</v>
      </c>
      <c r="CO53" s="37" t="str">
        <f t="shared" si="38"/>
        <v>F</v>
      </c>
      <c r="CP53" s="40"/>
    </row>
    <row r="54" spans="1:94" s="41" customFormat="1" ht="27" customHeight="1">
      <c r="A54" s="207">
        <v>47</v>
      </c>
      <c r="B54" s="117">
        <v>30</v>
      </c>
      <c r="C54" s="118" t="s">
        <v>268</v>
      </c>
      <c r="D54" s="69" t="s">
        <v>269</v>
      </c>
      <c r="E54" s="69" t="s">
        <v>270</v>
      </c>
      <c r="F54" s="70" t="s">
        <v>271</v>
      </c>
      <c r="G54" s="116">
        <v>12</v>
      </c>
      <c r="H54" s="147">
        <v>21</v>
      </c>
      <c r="I54" s="146">
        <f t="shared" si="8"/>
        <v>33</v>
      </c>
      <c r="J54" s="147">
        <v>18</v>
      </c>
      <c r="K54" s="146">
        <f t="shared" si="42"/>
        <v>51</v>
      </c>
      <c r="L54" s="116">
        <v>16</v>
      </c>
      <c r="M54" s="147">
        <v>29</v>
      </c>
      <c r="N54" s="146">
        <f t="shared" si="9"/>
        <v>45</v>
      </c>
      <c r="O54" s="147">
        <v>24</v>
      </c>
      <c r="P54" s="146">
        <f t="shared" si="41"/>
        <v>69</v>
      </c>
      <c r="Q54" s="146">
        <f t="shared" si="11"/>
        <v>120</v>
      </c>
      <c r="R54" s="263"/>
      <c r="S54" s="147">
        <f t="shared" si="12"/>
        <v>3.5</v>
      </c>
      <c r="T54" s="116">
        <v>12</v>
      </c>
      <c r="U54" s="147">
        <v>56</v>
      </c>
      <c r="V54" s="146">
        <f t="shared" si="13"/>
        <v>68</v>
      </c>
      <c r="W54" s="147">
        <v>12</v>
      </c>
      <c r="X54" s="147">
        <v>50</v>
      </c>
      <c r="Y54" s="146">
        <f t="shared" si="14"/>
        <v>62</v>
      </c>
      <c r="Z54" s="146">
        <f t="shared" si="15"/>
        <v>130</v>
      </c>
      <c r="AA54" s="263"/>
      <c r="AB54" s="147">
        <f t="shared" si="0"/>
        <v>3.5</v>
      </c>
      <c r="AC54" s="116">
        <v>11</v>
      </c>
      <c r="AD54" s="147">
        <v>22</v>
      </c>
      <c r="AE54" s="146">
        <f t="shared" si="16"/>
        <v>33</v>
      </c>
      <c r="AF54" s="147">
        <v>15</v>
      </c>
      <c r="AG54" s="146">
        <f t="shared" si="17"/>
        <v>48</v>
      </c>
      <c r="AH54" s="263"/>
      <c r="AI54" s="147">
        <f t="shared" si="1"/>
        <v>2</v>
      </c>
      <c r="AJ54" s="116">
        <v>17</v>
      </c>
      <c r="AK54" s="147">
        <v>21</v>
      </c>
      <c r="AL54" s="146">
        <f t="shared" si="18"/>
        <v>38</v>
      </c>
      <c r="AM54" s="147">
        <v>24</v>
      </c>
      <c r="AN54" s="146">
        <f t="shared" si="19"/>
        <v>62</v>
      </c>
      <c r="AO54" s="263"/>
      <c r="AP54" s="147">
        <f t="shared" si="2"/>
        <v>3.5</v>
      </c>
      <c r="AQ54" s="116"/>
      <c r="AR54" s="147">
        <v>24</v>
      </c>
      <c r="AS54" s="147">
        <v>23</v>
      </c>
      <c r="AT54" s="147">
        <f t="shared" si="20"/>
        <v>47</v>
      </c>
      <c r="AU54" s="264"/>
      <c r="AV54" s="147">
        <f t="shared" si="21"/>
        <v>5</v>
      </c>
      <c r="AW54" s="116">
        <v>13</v>
      </c>
      <c r="AX54" s="147">
        <v>26</v>
      </c>
      <c r="AY54" s="146">
        <f t="shared" si="22"/>
        <v>39</v>
      </c>
      <c r="AZ54" s="147">
        <v>22</v>
      </c>
      <c r="BA54" s="146">
        <f t="shared" si="23"/>
        <v>61</v>
      </c>
      <c r="BB54" s="263"/>
      <c r="BC54" s="147">
        <f t="shared" si="24"/>
        <v>3.5</v>
      </c>
      <c r="BD54" s="116">
        <v>4</v>
      </c>
      <c r="BE54" s="147">
        <v>5</v>
      </c>
      <c r="BF54" s="146">
        <f t="shared" si="25"/>
        <v>9</v>
      </c>
      <c r="BG54" s="147">
        <v>13</v>
      </c>
      <c r="BH54" s="147">
        <v>20</v>
      </c>
      <c r="BI54" s="146">
        <f t="shared" si="26"/>
        <v>42</v>
      </c>
      <c r="BJ54" s="264"/>
      <c r="BK54" s="147" t="str">
        <f t="shared" si="3"/>
        <v>F</v>
      </c>
      <c r="BL54" s="116">
        <v>4</v>
      </c>
      <c r="BM54" s="147">
        <v>2</v>
      </c>
      <c r="BN54" s="146">
        <f t="shared" si="27"/>
        <v>6</v>
      </c>
      <c r="BO54" s="147">
        <v>13</v>
      </c>
      <c r="BP54" s="147">
        <v>20</v>
      </c>
      <c r="BQ54" s="146">
        <f t="shared" si="28"/>
        <v>39</v>
      </c>
      <c r="BR54" s="263"/>
      <c r="BS54" s="147" t="str">
        <f t="shared" si="29"/>
        <v>F</v>
      </c>
      <c r="BT54" s="116">
        <v>5</v>
      </c>
      <c r="BU54" s="147">
        <v>23</v>
      </c>
      <c r="BV54" s="146">
        <f t="shared" si="30"/>
        <v>28</v>
      </c>
      <c r="BW54" s="147">
        <v>14</v>
      </c>
      <c r="BX54" s="147">
        <v>22</v>
      </c>
      <c r="BY54" s="146">
        <f t="shared" si="31"/>
        <v>64</v>
      </c>
      <c r="BZ54" s="264"/>
      <c r="CA54" s="147">
        <f t="shared" si="32"/>
        <v>3.5</v>
      </c>
      <c r="CB54" s="116">
        <v>9</v>
      </c>
      <c r="CC54" s="147">
        <v>10</v>
      </c>
      <c r="CD54" s="146">
        <f t="shared" si="33"/>
        <v>19</v>
      </c>
      <c r="CE54" s="147">
        <v>8</v>
      </c>
      <c r="CF54" s="147">
        <v>22</v>
      </c>
      <c r="CG54" s="146">
        <f t="shared" si="34"/>
        <v>49</v>
      </c>
      <c r="CH54" s="263"/>
      <c r="CI54" s="129" t="str">
        <f t="shared" si="35"/>
        <v>0</v>
      </c>
      <c r="CJ54" s="147" t="str">
        <f t="shared" si="4"/>
        <v>F</v>
      </c>
      <c r="CK54" s="130" t="str">
        <f t="shared" si="36"/>
        <v>F</v>
      </c>
      <c r="CL54" s="130" t="str">
        <f t="shared" si="37"/>
        <v>F</v>
      </c>
      <c r="CM54" s="37" t="str">
        <f t="shared" si="5"/>
        <v>NEED TO PROGRESS</v>
      </c>
      <c r="CN54" s="38">
        <f t="shared" si="6"/>
        <v>662</v>
      </c>
      <c r="CO54" s="37" t="str">
        <f t="shared" si="38"/>
        <v>F</v>
      </c>
      <c r="CP54" s="40"/>
    </row>
    <row r="55" spans="1:94" s="41" customFormat="1" ht="27" customHeight="1">
      <c r="A55" s="207">
        <v>48</v>
      </c>
      <c r="B55" s="117">
        <v>33</v>
      </c>
      <c r="C55" s="118" t="s">
        <v>272</v>
      </c>
      <c r="D55" s="69" t="s">
        <v>273</v>
      </c>
      <c r="E55" s="69" t="s">
        <v>274</v>
      </c>
      <c r="F55" s="70" t="s">
        <v>275</v>
      </c>
      <c r="G55" s="116">
        <v>11</v>
      </c>
      <c r="H55" s="147">
        <v>9</v>
      </c>
      <c r="I55" s="146">
        <f t="shared" si="8"/>
        <v>20</v>
      </c>
      <c r="J55" s="147">
        <v>14</v>
      </c>
      <c r="K55" s="146">
        <f t="shared" si="42"/>
        <v>34</v>
      </c>
      <c r="L55" s="147">
        <v>18</v>
      </c>
      <c r="M55" s="147">
        <v>22</v>
      </c>
      <c r="N55" s="146">
        <f t="shared" si="9"/>
        <v>40</v>
      </c>
      <c r="O55" s="147">
        <v>13</v>
      </c>
      <c r="P55" s="146">
        <f t="shared" si="41"/>
        <v>53</v>
      </c>
      <c r="Q55" s="146">
        <f t="shared" si="11"/>
        <v>87</v>
      </c>
      <c r="R55" s="263"/>
      <c r="S55" s="147">
        <f t="shared" si="12"/>
        <v>2</v>
      </c>
      <c r="T55" s="116">
        <v>11</v>
      </c>
      <c r="U55" s="147">
        <v>36</v>
      </c>
      <c r="V55" s="146">
        <f t="shared" si="13"/>
        <v>47</v>
      </c>
      <c r="W55" s="147">
        <v>10</v>
      </c>
      <c r="X55" s="147">
        <v>30</v>
      </c>
      <c r="Y55" s="146">
        <f t="shared" si="14"/>
        <v>40</v>
      </c>
      <c r="Z55" s="146">
        <f t="shared" si="15"/>
        <v>87</v>
      </c>
      <c r="AA55" s="263"/>
      <c r="AB55" s="147">
        <f t="shared" si="0"/>
        <v>2</v>
      </c>
      <c r="AC55" s="116">
        <v>9</v>
      </c>
      <c r="AD55" s="147">
        <v>7</v>
      </c>
      <c r="AE55" s="146">
        <f t="shared" si="16"/>
        <v>16</v>
      </c>
      <c r="AF55" s="147">
        <v>12</v>
      </c>
      <c r="AG55" s="146">
        <f t="shared" si="17"/>
        <v>28</v>
      </c>
      <c r="AH55" s="263"/>
      <c r="AI55" s="147" t="str">
        <f t="shared" si="1"/>
        <v>F</v>
      </c>
      <c r="AJ55" s="116">
        <v>13</v>
      </c>
      <c r="AK55" s="147">
        <v>35</v>
      </c>
      <c r="AL55" s="146">
        <f t="shared" si="18"/>
        <v>48</v>
      </c>
      <c r="AM55" s="147">
        <v>15</v>
      </c>
      <c r="AN55" s="146">
        <f t="shared" si="19"/>
        <v>63</v>
      </c>
      <c r="AO55" s="263"/>
      <c r="AP55" s="147">
        <f t="shared" si="2"/>
        <v>3.5</v>
      </c>
      <c r="AQ55" s="116"/>
      <c r="AR55" s="147">
        <v>21</v>
      </c>
      <c r="AS55" s="147">
        <v>25</v>
      </c>
      <c r="AT55" s="147">
        <f t="shared" si="20"/>
        <v>46</v>
      </c>
      <c r="AU55" s="264"/>
      <c r="AV55" s="147">
        <f t="shared" si="21"/>
        <v>5</v>
      </c>
      <c r="AW55" s="116">
        <v>8</v>
      </c>
      <c r="AX55" s="147">
        <v>26</v>
      </c>
      <c r="AY55" s="146">
        <f t="shared" si="22"/>
        <v>34</v>
      </c>
      <c r="AZ55" s="147">
        <v>17</v>
      </c>
      <c r="BA55" s="146">
        <f t="shared" si="23"/>
        <v>51</v>
      </c>
      <c r="BB55" s="263"/>
      <c r="BC55" s="147">
        <f t="shared" si="24"/>
        <v>3</v>
      </c>
      <c r="BD55" s="116">
        <v>4</v>
      </c>
      <c r="BE55" s="147">
        <v>18</v>
      </c>
      <c r="BF55" s="146">
        <f t="shared" si="25"/>
        <v>22</v>
      </c>
      <c r="BG55" s="147">
        <v>16</v>
      </c>
      <c r="BH55" s="147">
        <v>25</v>
      </c>
      <c r="BI55" s="146">
        <f t="shared" si="26"/>
        <v>63</v>
      </c>
      <c r="BJ55" s="264"/>
      <c r="BK55" s="147">
        <f t="shared" si="3"/>
        <v>3.5</v>
      </c>
      <c r="BL55" s="116">
        <v>2</v>
      </c>
      <c r="BM55" s="147">
        <v>19</v>
      </c>
      <c r="BN55" s="146">
        <f t="shared" si="27"/>
        <v>21</v>
      </c>
      <c r="BO55" s="147">
        <v>10</v>
      </c>
      <c r="BP55" s="147">
        <v>20</v>
      </c>
      <c r="BQ55" s="146">
        <f t="shared" si="28"/>
        <v>51</v>
      </c>
      <c r="BR55" s="263"/>
      <c r="BS55" s="147">
        <f t="shared" si="29"/>
        <v>3</v>
      </c>
      <c r="BT55" s="116">
        <v>6</v>
      </c>
      <c r="BU55" s="147">
        <v>20</v>
      </c>
      <c r="BV55" s="146">
        <f t="shared" si="30"/>
        <v>26</v>
      </c>
      <c r="BW55" s="147">
        <v>15</v>
      </c>
      <c r="BX55" s="147">
        <v>22</v>
      </c>
      <c r="BY55" s="146">
        <f t="shared" si="31"/>
        <v>63</v>
      </c>
      <c r="BZ55" s="264"/>
      <c r="CA55" s="147">
        <f t="shared" si="32"/>
        <v>3.5</v>
      </c>
      <c r="CB55" s="116">
        <v>4</v>
      </c>
      <c r="CC55" s="147">
        <v>5</v>
      </c>
      <c r="CD55" s="146">
        <f t="shared" si="33"/>
        <v>9</v>
      </c>
      <c r="CE55" s="147">
        <v>17</v>
      </c>
      <c r="CF55" s="147">
        <v>23</v>
      </c>
      <c r="CG55" s="146">
        <f t="shared" si="34"/>
        <v>49</v>
      </c>
      <c r="CH55" s="263"/>
      <c r="CI55" s="129" t="str">
        <f t="shared" si="35"/>
        <v>0</v>
      </c>
      <c r="CJ55" s="147" t="str">
        <f t="shared" si="4"/>
        <v>F</v>
      </c>
      <c r="CK55" s="130" t="str">
        <f t="shared" si="36"/>
        <v>F</v>
      </c>
      <c r="CL55" s="130" t="str">
        <f t="shared" si="37"/>
        <v>F</v>
      </c>
      <c r="CM55" s="37" t="str">
        <f t="shared" si="5"/>
        <v>NEED TO PROGRESS</v>
      </c>
      <c r="CN55" s="38">
        <f t="shared" si="6"/>
        <v>588</v>
      </c>
      <c r="CO55" s="37" t="str">
        <f t="shared" si="38"/>
        <v>F</v>
      </c>
      <c r="CP55" s="40"/>
    </row>
    <row r="56" spans="1:94" s="41" customFormat="1" ht="27" customHeight="1">
      <c r="A56" s="207">
        <v>49</v>
      </c>
      <c r="B56" s="117">
        <v>34</v>
      </c>
      <c r="C56" s="118" t="s">
        <v>276</v>
      </c>
      <c r="D56" s="69" t="s">
        <v>277</v>
      </c>
      <c r="E56" s="69" t="s">
        <v>278</v>
      </c>
      <c r="F56" s="98" t="s">
        <v>279</v>
      </c>
      <c r="G56" s="116">
        <v>12</v>
      </c>
      <c r="H56" s="147">
        <v>17</v>
      </c>
      <c r="I56" s="146">
        <f t="shared" si="8"/>
        <v>29</v>
      </c>
      <c r="J56" s="147">
        <v>14</v>
      </c>
      <c r="K56" s="146">
        <f t="shared" si="42"/>
        <v>43</v>
      </c>
      <c r="L56" s="116">
        <v>18</v>
      </c>
      <c r="M56" s="147">
        <v>21</v>
      </c>
      <c r="N56" s="146">
        <f t="shared" si="9"/>
        <v>39</v>
      </c>
      <c r="O56" s="147">
        <v>23</v>
      </c>
      <c r="P56" s="146">
        <f t="shared" si="41"/>
        <v>62</v>
      </c>
      <c r="Q56" s="146">
        <f t="shared" si="11"/>
        <v>105</v>
      </c>
      <c r="R56" s="263"/>
      <c r="S56" s="147">
        <f t="shared" si="12"/>
        <v>3</v>
      </c>
      <c r="T56" s="116">
        <v>10</v>
      </c>
      <c r="U56" s="147">
        <v>49</v>
      </c>
      <c r="V56" s="146">
        <f t="shared" si="13"/>
        <v>59</v>
      </c>
      <c r="W56" s="147">
        <v>10</v>
      </c>
      <c r="X56" s="147">
        <v>36</v>
      </c>
      <c r="Y56" s="146">
        <f t="shared" si="14"/>
        <v>46</v>
      </c>
      <c r="Z56" s="146">
        <f t="shared" si="15"/>
        <v>105</v>
      </c>
      <c r="AA56" s="263"/>
      <c r="AB56" s="147">
        <f t="shared" si="0"/>
        <v>3</v>
      </c>
      <c r="AC56" s="116">
        <v>8</v>
      </c>
      <c r="AD56" s="147">
        <v>20</v>
      </c>
      <c r="AE56" s="146">
        <f t="shared" si="16"/>
        <v>28</v>
      </c>
      <c r="AF56" s="147">
        <v>15</v>
      </c>
      <c r="AG56" s="146">
        <f t="shared" si="17"/>
        <v>43</v>
      </c>
      <c r="AH56" s="263"/>
      <c r="AI56" s="147">
        <f t="shared" si="1"/>
        <v>2</v>
      </c>
      <c r="AJ56" s="116">
        <v>14</v>
      </c>
      <c r="AK56" s="147">
        <v>24</v>
      </c>
      <c r="AL56" s="146">
        <f t="shared" si="18"/>
        <v>38</v>
      </c>
      <c r="AM56" s="147">
        <v>16</v>
      </c>
      <c r="AN56" s="146">
        <f t="shared" si="19"/>
        <v>54</v>
      </c>
      <c r="AO56" s="263"/>
      <c r="AP56" s="147">
        <f t="shared" si="2"/>
        <v>3</v>
      </c>
      <c r="AQ56" s="116"/>
      <c r="AR56" s="147">
        <v>25</v>
      </c>
      <c r="AS56" s="147">
        <v>23</v>
      </c>
      <c r="AT56" s="147">
        <f t="shared" si="20"/>
        <v>48</v>
      </c>
      <c r="AU56" s="264"/>
      <c r="AV56" s="147">
        <f t="shared" si="21"/>
        <v>5</v>
      </c>
      <c r="AW56" s="116">
        <v>10</v>
      </c>
      <c r="AX56" s="147">
        <v>24</v>
      </c>
      <c r="AY56" s="146">
        <f t="shared" si="22"/>
        <v>34</v>
      </c>
      <c r="AZ56" s="147">
        <v>12</v>
      </c>
      <c r="BA56" s="146">
        <f t="shared" si="23"/>
        <v>46</v>
      </c>
      <c r="BB56" s="263"/>
      <c r="BC56" s="147">
        <f t="shared" si="24"/>
        <v>2</v>
      </c>
      <c r="BD56" s="116">
        <v>1</v>
      </c>
      <c r="BE56" s="147">
        <v>10</v>
      </c>
      <c r="BF56" s="146">
        <f t="shared" si="25"/>
        <v>11</v>
      </c>
      <c r="BG56" s="147">
        <v>10</v>
      </c>
      <c r="BH56" s="147">
        <v>20</v>
      </c>
      <c r="BI56" s="146">
        <f t="shared" si="26"/>
        <v>41</v>
      </c>
      <c r="BJ56" s="264"/>
      <c r="BK56" s="147" t="str">
        <f t="shared" si="3"/>
        <v>F</v>
      </c>
      <c r="BL56" s="116">
        <v>5</v>
      </c>
      <c r="BM56" s="147">
        <v>16</v>
      </c>
      <c r="BN56" s="146">
        <f t="shared" si="27"/>
        <v>21</v>
      </c>
      <c r="BO56" s="147">
        <v>13</v>
      </c>
      <c r="BP56" s="147">
        <v>20</v>
      </c>
      <c r="BQ56" s="146">
        <f t="shared" si="28"/>
        <v>54</v>
      </c>
      <c r="BR56" s="263"/>
      <c r="BS56" s="147">
        <f t="shared" si="29"/>
        <v>3</v>
      </c>
      <c r="BT56" s="116">
        <v>6</v>
      </c>
      <c r="BU56" s="147">
        <v>18</v>
      </c>
      <c r="BV56" s="146">
        <f t="shared" si="30"/>
        <v>24</v>
      </c>
      <c r="BW56" s="147">
        <v>10</v>
      </c>
      <c r="BX56" s="147">
        <v>22</v>
      </c>
      <c r="BY56" s="146">
        <f t="shared" si="31"/>
        <v>56</v>
      </c>
      <c r="BZ56" s="264"/>
      <c r="CA56" s="147">
        <f t="shared" si="32"/>
        <v>3</v>
      </c>
      <c r="CB56" s="116">
        <v>6</v>
      </c>
      <c r="CC56" s="147">
        <v>19</v>
      </c>
      <c r="CD56" s="146">
        <f t="shared" si="33"/>
        <v>25</v>
      </c>
      <c r="CE56" s="147">
        <v>14</v>
      </c>
      <c r="CF56" s="147">
        <v>22</v>
      </c>
      <c r="CG56" s="146">
        <f t="shared" si="34"/>
        <v>61</v>
      </c>
      <c r="CH56" s="263"/>
      <c r="CI56" s="129">
        <f t="shared" si="35"/>
        <v>3.5</v>
      </c>
      <c r="CJ56" s="147" t="str">
        <f t="shared" si="4"/>
        <v>F</v>
      </c>
      <c r="CK56" s="130" t="str">
        <f t="shared" si="36"/>
        <v>F</v>
      </c>
      <c r="CL56" s="130" t="str">
        <f t="shared" si="37"/>
        <v>F</v>
      </c>
      <c r="CM56" s="37" t="str">
        <f t="shared" si="5"/>
        <v>NEED TO PROGRESS</v>
      </c>
      <c r="CN56" s="38">
        <f t="shared" si="6"/>
        <v>613</v>
      </c>
      <c r="CO56" s="37" t="str">
        <f t="shared" si="38"/>
        <v>F</v>
      </c>
      <c r="CP56" s="40"/>
    </row>
    <row r="57" spans="1:94" s="41" customFormat="1" ht="27" customHeight="1">
      <c r="A57" s="207">
        <v>50</v>
      </c>
      <c r="B57" s="117">
        <v>35</v>
      </c>
      <c r="C57" s="118" t="s">
        <v>280</v>
      </c>
      <c r="D57" s="69" t="s">
        <v>281</v>
      </c>
      <c r="E57" s="69" t="s">
        <v>282</v>
      </c>
      <c r="F57" s="70" t="s">
        <v>283</v>
      </c>
      <c r="G57" s="116">
        <v>10</v>
      </c>
      <c r="H57" s="147">
        <v>12</v>
      </c>
      <c r="I57" s="146">
        <f t="shared" si="8"/>
        <v>22</v>
      </c>
      <c r="J57" s="147">
        <v>8</v>
      </c>
      <c r="K57" s="146">
        <f t="shared" si="42"/>
        <v>30</v>
      </c>
      <c r="L57" s="116">
        <v>16</v>
      </c>
      <c r="M57" s="147">
        <v>16</v>
      </c>
      <c r="N57" s="146">
        <f t="shared" si="9"/>
        <v>32</v>
      </c>
      <c r="O57" s="147">
        <v>26</v>
      </c>
      <c r="P57" s="146">
        <f t="shared" si="41"/>
        <v>58</v>
      </c>
      <c r="Q57" s="146">
        <f t="shared" si="11"/>
        <v>88</v>
      </c>
      <c r="R57" s="263"/>
      <c r="S57" s="147" t="str">
        <f t="shared" si="12"/>
        <v>F</v>
      </c>
      <c r="T57" s="116">
        <v>14</v>
      </c>
      <c r="U57" s="147">
        <v>44</v>
      </c>
      <c r="V57" s="146">
        <f t="shared" si="13"/>
        <v>58</v>
      </c>
      <c r="W57" s="147">
        <v>11</v>
      </c>
      <c r="X57" s="147">
        <v>37</v>
      </c>
      <c r="Y57" s="146">
        <f t="shared" si="14"/>
        <v>48</v>
      </c>
      <c r="Z57" s="146">
        <f t="shared" si="15"/>
        <v>106</v>
      </c>
      <c r="AA57" s="263"/>
      <c r="AB57" s="147">
        <f t="shared" si="0"/>
        <v>3</v>
      </c>
      <c r="AC57" s="116">
        <v>9</v>
      </c>
      <c r="AD57" s="147">
        <v>6</v>
      </c>
      <c r="AE57" s="146">
        <f t="shared" si="16"/>
        <v>15</v>
      </c>
      <c r="AF57" s="147">
        <v>12</v>
      </c>
      <c r="AG57" s="146">
        <f t="shared" si="17"/>
        <v>27</v>
      </c>
      <c r="AH57" s="263"/>
      <c r="AI57" s="147" t="str">
        <f t="shared" si="1"/>
        <v>F</v>
      </c>
      <c r="AJ57" s="116">
        <v>14</v>
      </c>
      <c r="AK57" s="147">
        <v>30</v>
      </c>
      <c r="AL57" s="146">
        <f t="shared" si="18"/>
        <v>44</v>
      </c>
      <c r="AM57" s="147">
        <v>16</v>
      </c>
      <c r="AN57" s="146">
        <f t="shared" si="19"/>
        <v>60</v>
      </c>
      <c r="AO57" s="263"/>
      <c r="AP57" s="147">
        <f t="shared" si="2"/>
        <v>3.5</v>
      </c>
      <c r="AQ57" s="116"/>
      <c r="AR57" s="147">
        <v>21</v>
      </c>
      <c r="AS57" s="147">
        <v>25</v>
      </c>
      <c r="AT57" s="147">
        <f t="shared" si="20"/>
        <v>46</v>
      </c>
      <c r="AU57" s="264"/>
      <c r="AV57" s="147">
        <f t="shared" si="21"/>
        <v>5</v>
      </c>
      <c r="AW57" s="116">
        <v>9</v>
      </c>
      <c r="AX57" s="147">
        <v>19</v>
      </c>
      <c r="AY57" s="146">
        <f t="shared" si="22"/>
        <v>28</v>
      </c>
      <c r="AZ57" s="147">
        <v>19</v>
      </c>
      <c r="BA57" s="146">
        <f t="shared" si="23"/>
        <v>47</v>
      </c>
      <c r="BB57" s="263"/>
      <c r="BC57" s="147">
        <f t="shared" si="24"/>
        <v>2</v>
      </c>
      <c r="BD57" s="116">
        <v>6</v>
      </c>
      <c r="BE57" s="147">
        <v>17</v>
      </c>
      <c r="BF57" s="146">
        <f t="shared" si="25"/>
        <v>23</v>
      </c>
      <c r="BG57" s="147">
        <v>14</v>
      </c>
      <c r="BH57" s="147">
        <v>25</v>
      </c>
      <c r="BI57" s="146">
        <f t="shared" si="26"/>
        <v>62</v>
      </c>
      <c r="BJ57" s="264"/>
      <c r="BK57" s="147">
        <f t="shared" si="3"/>
        <v>3.5</v>
      </c>
      <c r="BL57" s="116">
        <v>5</v>
      </c>
      <c r="BM57" s="147">
        <v>28</v>
      </c>
      <c r="BN57" s="146">
        <f t="shared" si="27"/>
        <v>33</v>
      </c>
      <c r="BO57" s="147">
        <v>22</v>
      </c>
      <c r="BP57" s="147">
        <v>22</v>
      </c>
      <c r="BQ57" s="146">
        <f t="shared" si="28"/>
        <v>77</v>
      </c>
      <c r="BR57" s="263"/>
      <c r="BS57" s="147">
        <f t="shared" si="29"/>
        <v>4</v>
      </c>
      <c r="BT57" s="116">
        <v>6</v>
      </c>
      <c r="BU57" s="147">
        <v>22</v>
      </c>
      <c r="BV57" s="146">
        <f t="shared" si="30"/>
        <v>28</v>
      </c>
      <c r="BW57" s="147">
        <v>15</v>
      </c>
      <c r="BX57" s="147">
        <v>22</v>
      </c>
      <c r="BY57" s="146">
        <f t="shared" si="31"/>
        <v>65</v>
      </c>
      <c r="BZ57" s="264"/>
      <c r="CA57" s="147">
        <f t="shared" si="32"/>
        <v>3.5</v>
      </c>
      <c r="CB57" s="116">
        <v>4</v>
      </c>
      <c r="CC57" s="147">
        <v>5</v>
      </c>
      <c r="CD57" s="146">
        <f t="shared" si="33"/>
        <v>9</v>
      </c>
      <c r="CE57" s="147">
        <v>18</v>
      </c>
      <c r="CF57" s="147">
        <v>23</v>
      </c>
      <c r="CG57" s="146">
        <f t="shared" si="34"/>
        <v>50</v>
      </c>
      <c r="CH57" s="263"/>
      <c r="CI57" s="129" t="str">
        <f t="shared" si="35"/>
        <v>0</v>
      </c>
      <c r="CJ57" s="147" t="str">
        <f t="shared" si="4"/>
        <v>F</v>
      </c>
      <c r="CK57" s="130" t="str">
        <f t="shared" si="36"/>
        <v>F</v>
      </c>
      <c r="CL57" s="130" t="str">
        <f t="shared" si="37"/>
        <v>F</v>
      </c>
      <c r="CM57" s="37" t="str">
        <f t="shared" si="5"/>
        <v>NEED TO PROGRESS</v>
      </c>
      <c r="CN57" s="38">
        <f t="shared" si="6"/>
        <v>628</v>
      </c>
      <c r="CO57" s="37" t="str">
        <f t="shared" si="38"/>
        <v>F</v>
      </c>
      <c r="CP57" s="40"/>
    </row>
    <row r="58" spans="1:94" s="41" customFormat="1" ht="27" customHeight="1">
      <c r="A58" s="207">
        <v>51</v>
      </c>
      <c r="B58" s="117">
        <v>40</v>
      </c>
      <c r="C58" s="118" t="s">
        <v>284</v>
      </c>
      <c r="D58" s="69" t="s">
        <v>285</v>
      </c>
      <c r="E58" s="69" t="s">
        <v>286</v>
      </c>
      <c r="F58" s="70" t="s">
        <v>287</v>
      </c>
      <c r="G58" s="116">
        <v>12</v>
      </c>
      <c r="H58" s="147">
        <v>18</v>
      </c>
      <c r="I58" s="146">
        <f t="shared" si="8"/>
        <v>30</v>
      </c>
      <c r="J58" s="147">
        <v>14</v>
      </c>
      <c r="K58" s="146">
        <f t="shared" si="42"/>
        <v>44</v>
      </c>
      <c r="L58" s="116">
        <v>16</v>
      </c>
      <c r="M58" s="147">
        <v>27</v>
      </c>
      <c r="N58" s="146">
        <f t="shared" si="9"/>
        <v>43</v>
      </c>
      <c r="O58" s="147">
        <v>26</v>
      </c>
      <c r="P58" s="146">
        <f t="shared" si="41"/>
        <v>69</v>
      </c>
      <c r="Q58" s="146">
        <f t="shared" si="11"/>
        <v>113</v>
      </c>
      <c r="R58" s="263"/>
      <c r="S58" s="147">
        <f t="shared" si="12"/>
        <v>3</v>
      </c>
      <c r="T58" s="116">
        <v>16</v>
      </c>
      <c r="U58" s="147">
        <v>48</v>
      </c>
      <c r="V58" s="146">
        <f t="shared" si="13"/>
        <v>64</v>
      </c>
      <c r="W58" s="147">
        <v>9</v>
      </c>
      <c r="X58" s="147">
        <v>35</v>
      </c>
      <c r="Y58" s="146">
        <f t="shared" si="14"/>
        <v>44</v>
      </c>
      <c r="Z58" s="146">
        <f t="shared" si="15"/>
        <v>108</v>
      </c>
      <c r="AA58" s="263"/>
      <c r="AB58" s="147">
        <f t="shared" si="0"/>
        <v>3</v>
      </c>
      <c r="AC58" s="116">
        <v>8</v>
      </c>
      <c r="AD58" s="147">
        <v>17</v>
      </c>
      <c r="AE58" s="146">
        <f t="shared" si="16"/>
        <v>25</v>
      </c>
      <c r="AF58" s="147">
        <v>15</v>
      </c>
      <c r="AG58" s="146">
        <f t="shared" si="17"/>
        <v>40</v>
      </c>
      <c r="AH58" s="263"/>
      <c r="AI58" s="147" t="str">
        <f t="shared" si="1"/>
        <v>F</v>
      </c>
      <c r="AJ58" s="116">
        <v>15</v>
      </c>
      <c r="AK58" s="147">
        <v>30</v>
      </c>
      <c r="AL58" s="146">
        <f t="shared" si="18"/>
        <v>45</v>
      </c>
      <c r="AM58" s="147">
        <v>13</v>
      </c>
      <c r="AN58" s="146">
        <f t="shared" si="19"/>
        <v>58</v>
      </c>
      <c r="AO58" s="263"/>
      <c r="AP58" s="147">
        <f t="shared" si="2"/>
        <v>3</v>
      </c>
      <c r="AQ58" s="116"/>
      <c r="AR58" s="147">
        <v>23</v>
      </c>
      <c r="AS58" s="147">
        <v>25</v>
      </c>
      <c r="AT58" s="147">
        <f t="shared" si="20"/>
        <v>48</v>
      </c>
      <c r="AU58" s="264"/>
      <c r="AV58" s="147">
        <f t="shared" si="21"/>
        <v>5</v>
      </c>
      <c r="AW58" s="116">
        <v>12</v>
      </c>
      <c r="AX58" s="147">
        <v>22</v>
      </c>
      <c r="AY58" s="146">
        <f t="shared" si="22"/>
        <v>34</v>
      </c>
      <c r="AZ58" s="147">
        <v>12</v>
      </c>
      <c r="BA58" s="146">
        <f t="shared" si="23"/>
        <v>46</v>
      </c>
      <c r="BB58" s="263"/>
      <c r="BC58" s="147">
        <f t="shared" si="24"/>
        <v>2</v>
      </c>
      <c r="BD58" s="116">
        <v>4</v>
      </c>
      <c r="BE58" s="147">
        <v>16</v>
      </c>
      <c r="BF58" s="146">
        <f t="shared" si="25"/>
        <v>20</v>
      </c>
      <c r="BG58" s="147">
        <v>10</v>
      </c>
      <c r="BH58" s="147">
        <v>25</v>
      </c>
      <c r="BI58" s="146">
        <f t="shared" si="26"/>
        <v>55</v>
      </c>
      <c r="BJ58" s="264"/>
      <c r="BK58" s="147">
        <f t="shared" si="3"/>
        <v>3</v>
      </c>
      <c r="BL58" s="116">
        <v>4</v>
      </c>
      <c r="BM58" s="147">
        <v>16</v>
      </c>
      <c r="BN58" s="146">
        <f t="shared" si="27"/>
        <v>20</v>
      </c>
      <c r="BO58" s="147">
        <v>13</v>
      </c>
      <c r="BP58" s="147">
        <v>20</v>
      </c>
      <c r="BQ58" s="146">
        <f t="shared" si="28"/>
        <v>53</v>
      </c>
      <c r="BR58" s="263"/>
      <c r="BS58" s="147">
        <f t="shared" si="29"/>
        <v>3</v>
      </c>
      <c r="BT58" s="116">
        <v>5</v>
      </c>
      <c r="BU58" s="147">
        <v>14</v>
      </c>
      <c r="BV58" s="146">
        <f t="shared" si="30"/>
        <v>19</v>
      </c>
      <c r="BW58" s="147">
        <v>12</v>
      </c>
      <c r="BX58" s="147">
        <v>22</v>
      </c>
      <c r="BY58" s="146">
        <f t="shared" si="31"/>
        <v>53</v>
      </c>
      <c r="BZ58" s="264"/>
      <c r="CA58" s="147" t="str">
        <f t="shared" si="32"/>
        <v>F</v>
      </c>
      <c r="CB58" s="116">
        <v>3</v>
      </c>
      <c r="CC58" s="147">
        <v>8</v>
      </c>
      <c r="CD58" s="146">
        <f t="shared" si="33"/>
        <v>11</v>
      </c>
      <c r="CE58" s="147">
        <v>14</v>
      </c>
      <c r="CF58" s="147">
        <v>22</v>
      </c>
      <c r="CG58" s="146">
        <f t="shared" si="34"/>
        <v>47</v>
      </c>
      <c r="CH58" s="263"/>
      <c r="CI58" s="129" t="str">
        <f t="shared" si="35"/>
        <v>0</v>
      </c>
      <c r="CJ58" s="147" t="str">
        <f t="shared" si="4"/>
        <v>F</v>
      </c>
      <c r="CK58" s="130" t="str">
        <f t="shared" si="36"/>
        <v>F</v>
      </c>
      <c r="CL58" s="130" t="str">
        <f t="shared" si="37"/>
        <v>F</v>
      </c>
      <c r="CM58" s="37" t="str">
        <f t="shared" si="5"/>
        <v>NEED TO PROGRESS</v>
      </c>
      <c r="CN58" s="38">
        <f t="shared" si="6"/>
        <v>621</v>
      </c>
      <c r="CO58" s="37" t="str">
        <f t="shared" si="38"/>
        <v>F</v>
      </c>
      <c r="CP58" s="40"/>
    </row>
    <row r="59" spans="1:94" s="41" customFormat="1" ht="27" customHeight="1">
      <c r="A59" s="207">
        <v>52</v>
      </c>
      <c r="B59" s="117">
        <v>43</v>
      </c>
      <c r="C59" s="118" t="s">
        <v>288</v>
      </c>
      <c r="D59" s="69" t="s">
        <v>289</v>
      </c>
      <c r="E59" s="69" t="s">
        <v>290</v>
      </c>
      <c r="F59" s="70" t="s">
        <v>291</v>
      </c>
      <c r="G59" s="116">
        <v>14</v>
      </c>
      <c r="H59" s="147">
        <v>24</v>
      </c>
      <c r="I59" s="146">
        <f t="shared" si="8"/>
        <v>38</v>
      </c>
      <c r="J59" s="147">
        <v>17</v>
      </c>
      <c r="K59" s="146">
        <f t="shared" si="42"/>
        <v>55</v>
      </c>
      <c r="L59" s="116">
        <v>19</v>
      </c>
      <c r="M59" s="147">
        <v>35</v>
      </c>
      <c r="N59" s="146">
        <f t="shared" si="9"/>
        <v>54</v>
      </c>
      <c r="O59" s="147">
        <v>24</v>
      </c>
      <c r="P59" s="146">
        <f t="shared" si="41"/>
        <v>78</v>
      </c>
      <c r="Q59" s="146">
        <f t="shared" si="11"/>
        <v>133</v>
      </c>
      <c r="R59" s="263"/>
      <c r="S59" s="147">
        <f t="shared" si="12"/>
        <v>3.5</v>
      </c>
      <c r="T59" s="116">
        <v>11</v>
      </c>
      <c r="U59" s="147">
        <v>46</v>
      </c>
      <c r="V59" s="146">
        <f t="shared" si="13"/>
        <v>57</v>
      </c>
      <c r="W59" s="147">
        <v>13</v>
      </c>
      <c r="X59" s="147">
        <v>50</v>
      </c>
      <c r="Y59" s="146">
        <f t="shared" si="14"/>
        <v>63</v>
      </c>
      <c r="Z59" s="146">
        <f t="shared" si="15"/>
        <v>120</v>
      </c>
      <c r="AA59" s="263"/>
      <c r="AB59" s="147">
        <f t="shared" si="0"/>
        <v>3.5</v>
      </c>
      <c r="AC59" s="116">
        <v>11</v>
      </c>
      <c r="AD59" s="147">
        <v>17</v>
      </c>
      <c r="AE59" s="146">
        <f t="shared" si="16"/>
        <v>28</v>
      </c>
      <c r="AF59" s="147">
        <v>13</v>
      </c>
      <c r="AG59" s="146">
        <f t="shared" si="17"/>
        <v>41</v>
      </c>
      <c r="AH59" s="263"/>
      <c r="AI59" s="147">
        <f t="shared" si="1"/>
        <v>2</v>
      </c>
      <c r="AJ59" s="116">
        <v>18</v>
      </c>
      <c r="AK59" s="147">
        <v>41</v>
      </c>
      <c r="AL59" s="146">
        <f t="shared" si="18"/>
        <v>59</v>
      </c>
      <c r="AM59" s="147">
        <v>17</v>
      </c>
      <c r="AN59" s="146">
        <f t="shared" si="19"/>
        <v>76</v>
      </c>
      <c r="AO59" s="263"/>
      <c r="AP59" s="147">
        <f t="shared" si="2"/>
        <v>4</v>
      </c>
      <c r="AQ59" s="116"/>
      <c r="AR59" s="147">
        <v>24</v>
      </c>
      <c r="AS59" s="147">
        <v>25</v>
      </c>
      <c r="AT59" s="147">
        <f t="shared" si="20"/>
        <v>49</v>
      </c>
      <c r="AU59" s="264"/>
      <c r="AV59" s="147">
        <f t="shared" si="21"/>
        <v>5</v>
      </c>
      <c r="AW59" s="116">
        <v>16</v>
      </c>
      <c r="AX59" s="147">
        <v>32</v>
      </c>
      <c r="AY59" s="146">
        <f t="shared" si="22"/>
        <v>48</v>
      </c>
      <c r="AZ59" s="147">
        <v>16</v>
      </c>
      <c r="BA59" s="146">
        <f t="shared" si="23"/>
        <v>64</v>
      </c>
      <c r="BB59" s="263"/>
      <c r="BC59" s="147">
        <f t="shared" si="24"/>
        <v>3.5</v>
      </c>
      <c r="BD59" s="116">
        <v>3</v>
      </c>
      <c r="BE59" s="147">
        <v>19</v>
      </c>
      <c r="BF59" s="146">
        <f t="shared" si="25"/>
        <v>22</v>
      </c>
      <c r="BG59" s="147">
        <v>11</v>
      </c>
      <c r="BH59" s="147">
        <v>25</v>
      </c>
      <c r="BI59" s="146">
        <f t="shared" si="26"/>
        <v>58</v>
      </c>
      <c r="BJ59" s="264"/>
      <c r="BK59" s="147">
        <f t="shared" si="3"/>
        <v>3</v>
      </c>
      <c r="BL59" s="116">
        <v>4</v>
      </c>
      <c r="BM59" s="147">
        <v>10</v>
      </c>
      <c r="BN59" s="146">
        <f t="shared" si="27"/>
        <v>14</v>
      </c>
      <c r="BO59" s="147">
        <v>14</v>
      </c>
      <c r="BP59" s="147">
        <v>20</v>
      </c>
      <c r="BQ59" s="146">
        <f t="shared" si="28"/>
        <v>48</v>
      </c>
      <c r="BR59" s="263"/>
      <c r="BS59" s="147" t="str">
        <f t="shared" si="29"/>
        <v>F</v>
      </c>
      <c r="BT59" s="116">
        <v>7</v>
      </c>
      <c r="BU59" s="147">
        <v>25</v>
      </c>
      <c r="BV59" s="146">
        <f t="shared" si="30"/>
        <v>32</v>
      </c>
      <c r="BW59" s="147">
        <v>13</v>
      </c>
      <c r="BX59" s="147">
        <v>22</v>
      </c>
      <c r="BY59" s="146">
        <f t="shared" si="31"/>
        <v>67</v>
      </c>
      <c r="BZ59" s="264"/>
      <c r="CA59" s="147">
        <f t="shared" si="32"/>
        <v>3.5</v>
      </c>
      <c r="CB59" s="116">
        <v>4</v>
      </c>
      <c r="CC59" s="147">
        <v>5</v>
      </c>
      <c r="CD59" s="146">
        <f t="shared" si="33"/>
        <v>9</v>
      </c>
      <c r="CE59" s="147">
        <v>14</v>
      </c>
      <c r="CF59" s="147">
        <v>23</v>
      </c>
      <c r="CG59" s="146">
        <f t="shared" si="34"/>
        <v>46</v>
      </c>
      <c r="CH59" s="263"/>
      <c r="CI59" s="129" t="str">
        <f t="shared" si="35"/>
        <v>0</v>
      </c>
      <c r="CJ59" s="147" t="str">
        <f t="shared" si="4"/>
        <v>F</v>
      </c>
      <c r="CK59" s="130" t="str">
        <f t="shared" si="36"/>
        <v>F</v>
      </c>
      <c r="CL59" s="130" t="str">
        <f t="shared" si="37"/>
        <v>F</v>
      </c>
      <c r="CM59" s="37" t="str">
        <f t="shared" si="5"/>
        <v>NEED TO PROGRESS</v>
      </c>
      <c r="CN59" s="38">
        <f t="shared" si="6"/>
        <v>702</v>
      </c>
      <c r="CO59" s="37" t="str">
        <f t="shared" si="38"/>
        <v>F</v>
      </c>
      <c r="CP59" s="40"/>
    </row>
    <row r="60" spans="1:94" s="41" customFormat="1" ht="27" customHeight="1">
      <c r="A60" s="207">
        <v>53</v>
      </c>
      <c r="B60" s="117">
        <v>45</v>
      </c>
      <c r="C60" s="118" t="s">
        <v>292</v>
      </c>
      <c r="D60" s="69" t="s">
        <v>293</v>
      </c>
      <c r="E60" s="69" t="s">
        <v>294</v>
      </c>
      <c r="F60" s="70" t="s">
        <v>295</v>
      </c>
      <c r="G60" s="116">
        <v>12</v>
      </c>
      <c r="H60" s="147">
        <v>8</v>
      </c>
      <c r="I60" s="146">
        <f t="shared" si="8"/>
        <v>20</v>
      </c>
      <c r="J60" s="147">
        <v>9</v>
      </c>
      <c r="K60" s="146">
        <f t="shared" si="42"/>
        <v>29</v>
      </c>
      <c r="L60" s="116">
        <v>16</v>
      </c>
      <c r="M60" s="147">
        <v>24</v>
      </c>
      <c r="N60" s="146">
        <f t="shared" si="9"/>
        <v>40</v>
      </c>
      <c r="O60" s="147">
        <v>27</v>
      </c>
      <c r="P60" s="146">
        <f t="shared" si="41"/>
        <v>67</v>
      </c>
      <c r="Q60" s="146">
        <f t="shared" si="11"/>
        <v>96</v>
      </c>
      <c r="R60" s="263"/>
      <c r="S60" s="147">
        <f t="shared" si="12"/>
        <v>2</v>
      </c>
      <c r="T60" s="116">
        <v>13</v>
      </c>
      <c r="U60" s="147">
        <v>32</v>
      </c>
      <c r="V60" s="146">
        <f t="shared" si="13"/>
        <v>45</v>
      </c>
      <c r="W60" s="147">
        <v>11</v>
      </c>
      <c r="X60" s="147">
        <v>30</v>
      </c>
      <c r="Y60" s="146">
        <f t="shared" si="14"/>
        <v>41</v>
      </c>
      <c r="Z60" s="146">
        <f t="shared" si="15"/>
        <v>86</v>
      </c>
      <c r="AA60" s="263"/>
      <c r="AB60" s="147">
        <f t="shared" si="0"/>
        <v>2</v>
      </c>
      <c r="AC60" s="116">
        <v>9</v>
      </c>
      <c r="AD60" s="147">
        <v>19</v>
      </c>
      <c r="AE60" s="146">
        <f t="shared" si="16"/>
        <v>28</v>
      </c>
      <c r="AF60" s="147">
        <v>14</v>
      </c>
      <c r="AG60" s="146">
        <f t="shared" si="17"/>
        <v>42</v>
      </c>
      <c r="AH60" s="263"/>
      <c r="AI60" s="147">
        <f t="shared" si="1"/>
        <v>2</v>
      </c>
      <c r="AJ60" s="116">
        <v>14</v>
      </c>
      <c r="AK60" s="147">
        <v>24</v>
      </c>
      <c r="AL60" s="146">
        <f t="shared" si="18"/>
        <v>38</v>
      </c>
      <c r="AM60" s="147">
        <v>22</v>
      </c>
      <c r="AN60" s="146">
        <f t="shared" si="19"/>
        <v>60</v>
      </c>
      <c r="AO60" s="263"/>
      <c r="AP60" s="147">
        <f t="shared" si="2"/>
        <v>3.5</v>
      </c>
      <c r="AQ60" s="116"/>
      <c r="AR60" s="147">
        <v>24</v>
      </c>
      <c r="AS60" s="147">
        <v>25</v>
      </c>
      <c r="AT60" s="147">
        <f t="shared" si="20"/>
        <v>49</v>
      </c>
      <c r="AU60" s="264"/>
      <c r="AV60" s="147">
        <f t="shared" si="21"/>
        <v>5</v>
      </c>
      <c r="AW60" s="116">
        <v>9</v>
      </c>
      <c r="AX60" s="147">
        <v>19</v>
      </c>
      <c r="AY60" s="146">
        <f t="shared" si="22"/>
        <v>28</v>
      </c>
      <c r="AZ60" s="147">
        <v>22</v>
      </c>
      <c r="BA60" s="146">
        <f t="shared" si="23"/>
        <v>50</v>
      </c>
      <c r="BB60" s="263"/>
      <c r="BC60" s="147">
        <f t="shared" si="24"/>
        <v>3</v>
      </c>
      <c r="BD60" s="116">
        <v>3</v>
      </c>
      <c r="BE60" s="147">
        <v>8</v>
      </c>
      <c r="BF60" s="146">
        <f t="shared" si="25"/>
        <v>11</v>
      </c>
      <c r="BG60" s="147">
        <v>10</v>
      </c>
      <c r="BH60" s="147">
        <v>20</v>
      </c>
      <c r="BI60" s="146">
        <f t="shared" si="26"/>
        <v>41</v>
      </c>
      <c r="BJ60" s="264"/>
      <c r="BK60" s="147" t="str">
        <f t="shared" si="3"/>
        <v>F</v>
      </c>
      <c r="BL60" s="116">
        <v>4</v>
      </c>
      <c r="BM60" s="147">
        <v>10</v>
      </c>
      <c r="BN60" s="146">
        <f t="shared" si="27"/>
        <v>14</v>
      </c>
      <c r="BO60" s="147">
        <v>16</v>
      </c>
      <c r="BP60" s="147">
        <v>20</v>
      </c>
      <c r="BQ60" s="146">
        <f t="shared" si="28"/>
        <v>50</v>
      </c>
      <c r="BR60" s="263"/>
      <c r="BS60" s="147" t="str">
        <f t="shared" si="29"/>
        <v>F</v>
      </c>
      <c r="BT60" s="116">
        <v>6</v>
      </c>
      <c r="BU60" s="147">
        <v>11</v>
      </c>
      <c r="BV60" s="146">
        <f t="shared" si="30"/>
        <v>17</v>
      </c>
      <c r="BW60" s="147">
        <v>10</v>
      </c>
      <c r="BX60" s="147">
        <v>22</v>
      </c>
      <c r="BY60" s="146">
        <f t="shared" si="31"/>
        <v>49</v>
      </c>
      <c r="BZ60" s="264"/>
      <c r="CA60" s="147" t="str">
        <f t="shared" si="32"/>
        <v>F</v>
      </c>
      <c r="CB60" s="116">
        <v>3</v>
      </c>
      <c r="CC60" s="147">
        <v>6</v>
      </c>
      <c r="CD60" s="146">
        <f t="shared" si="33"/>
        <v>9</v>
      </c>
      <c r="CE60" s="147">
        <v>17</v>
      </c>
      <c r="CF60" s="147">
        <v>23</v>
      </c>
      <c r="CG60" s="146">
        <f t="shared" si="34"/>
        <v>49</v>
      </c>
      <c r="CH60" s="263"/>
      <c r="CI60" s="129" t="str">
        <f t="shared" si="35"/>
        <v>0</v>
      </c>
      <c r="CJ60" s="147" t="str">
        <f t="shared" si="4"/>
        <v>F</v>
      </c>
      <c r="CK60" s="130" t="str">
        <f t="shared" si="36"/>
        <v>F</v>
      </c>
      <c r="CL60" s="130" t="str">
        <f t="shared" si="37"/>
        <v>F</v>
      </c>
      <c r="CM60" s="37" t="str">
        <f t="shared" si="5"/>
        <v>NEED TO PROGRESS</v>
      </c>
      <c r="CN60" s="38">
        <f t="shared" si="6"/>
        <v>572</v>
      </c>
      <c r="CO60" s="37" t="str">
        <f t="shared" si="38"/>
        <v>F</v>
      </c>
      <c r="CP60" s="40"/>
    </row>
    <row r="61" spans="1:94" s="41" customFormat="1" ht="27" customHeight="1">
      <c r="A61" s="207">
        <v>54</v>
      </c>
      <c r="B61" s="117">
        <v>48</v>
      </c>
      <c r="C61" s="179" t="s">
        <v>296</v>
      </c>
      <c r="D61" s="69" t="s">
        <v>297</v>
      </c>
      <c r="E61" s="69" t="s">
        <v>298</v>
      </c>
      <c r="F61" s="70" t="s">
        <v>299</v>
      </c>
      <c r="G61" s="116">
        <v>18</v>
      </c>
      <c r="H61" s="147">
        <v>17</v>
      </c>
      <c r="I61" s="146">
        <f t="shared" si="8"/>
        <v>35</v>
      </c>
      <c r="J61" s="147">
        <v>12</v>
      </c>
      <c r="K61" s="146">
        <f t="shared" si="42"/>
        <v>47</v>
      </c>
      <c r="L61" s="116">
        <v>13</v>
      </c>
      <c r="M61" s="147">
        <v>19</v>
      </c>
      <c r="N61" s="146">
        <f t="shared" si="9"/>
        <v>32</v>
      </c>
      <c r="O61" s="147">
        <v>23</v>
      </c>
      <c r="P61" s="146">
        <f t="shared" si="41"/>
        <v>55</v>
      </c>
      <c r="Q61" s="146">
        <f t="shared" si="11"/>
        <v>102</v>
      </c>
      <c r="R61" s="263"/>
      <c r="S61" s="147">
        <f t="shared" si="12"/>
        <v>3</v>
      </c>
      <c r="T61" s="116">
        <v>13</v>
      </c>
      <c r="U61" s="147">
        <v>39</v>
      </c>
      <c r="V61" s="146">
        <f t="shared" si="13"/>
        <v>52</v>
      </c>
      <c r="W61" s="147">
        <v>14</v>
      </c>
      <c r="X61" s="147">
        <v>44</v>
      </c>
      <c r="Y61" s="146">
        <f t="shared" si="14"/>
        <v>58</v>
      </c>
      <c r="Z61" s="146">
        <f t="shared" si="15"/>
        <v>110</v>
      </c>
      <c r="AA61" s="263"/>
      <c r="AB61" s="147">
        <f t="shared" si="0"/>
        <v>3</v>
      </c>
      <c r="AC61" s="116">
        <v>16</v>
      </c>
      <c r="AD61" s="147">
        <v>21</v>
      </c>
      <c r="AE61" s="146">
        <f t="shared" si="16"/>
        <v>37</v>
      </c>
      <c r="AF61" s="147">
        <v>19</v>
      </c>
      <c r="AG61" s="146">
        <f t="shared" si="17"/>
        <v>56</v>
      </c>
      <c r="AH61" s="263"/>
      <c r="AI61" s="147">
        <f t="shared" si="1"/>
        <v>3</v>
      </c>
      <c r="AJ61" s="116">
        <v>14</v>
      </c>
      <c r="AK61" s="147">
        <v>35</v>
      </c>
      <c r="AL61" s="146">
        <f t="shared" si="18"/>
        <v>49</v>
      </c>
      <c r="AM61" s="147">
        <v>18</v>
      </c>
      <c r="AN61" s="146">
        <f t="shared" si="19"/>
        <v>67</v>
      </c>
      <c r="AO61" s="263"/>
      <c r="AP61" s="147">
        <f t="shared" si="2"/>
        <v>3.5</v>
      </c>
      <c r="AQ61" s="116"/>
      <c r="AR61" s="147">
        <v>23</v>
      </c>
      <c r="AS61" s="147">
        <v>25</v>
      </c>
      <c r="AT61" s="147">
        <f t="shared" si="20"/>
        <v>48</v>
      </c>
      <c r="AU61" s="264"/>
      <c r="AV61" s="147">
        <f t="shared" si="21"/>
        <v>5</v>
      </c>
      <c r="AW61" s="116">
        <v>12</v>
      </c>
      <c r="AX61" s="147">
        <v>26</v>
      </c>
      <c r="AY61" s="146">
        <f t="shared" si="22"/>
        <v>38</v>
      </c>
      <c r="AZ61" s="147">
        <v>18</v>
      </c>
      <c r="BA61" s="146">
        <f t="shared" si="23"/>
        <v>56</v>
      </c>
      <c r="BB61" s="263"/>
      <c r="BC61" s="147">
        <f t="shared" si="24"/>
        <v>3</v>
      </c>
      <c r="BD61" s="116">
        <v>5</v>
      </c>
      <c r="BE61" s="147">
        <v>24</v>
      </c>
      <c r="BF61" s="146">
        <f t="shared" si="25"/>
        <v>29</v>
      </c>
      <c r="BG61" s="147">
        <v>17</v>
      </c>
      <c r="BH61" s="147">
        <v>25</v>
      </c>
      <c r="BI61" s="146">
        <f t="shared" si="26"/>
        <v>71</v>
      </c>
      <c r="BJ61" s="264"/>
      <c r="BK61" s="147">
        <f t="shared" si="3"/>
        <v>4</v>
      </c>
      <c r="BL61" s="116">
        <v>5</v>
      </c>
      <c r="BM61" s="147">
        <v>17</v>
      </c>
      <c r="BN61" s="146">
        <f t="shared" si="27"/>
        <v>22</v>
      </c>
      <c r="BO61" s="147">
        <v>14</v>
      </c>
      <c r="BP61" s="147">
        <v>20</v>
      </c>
      <c r="BQ61" s="146">
        <f t="shared" si="28"/>
        <v>56</v>
      </c>
      <c r="BR61" s="263"/>
      <c r="BS61" s="147">
        <f t="shared" si="29"/>
        <v>3</v>
      </c>
      <c r="BT61" s="116">
        <v>6</v>
      </c>
      <c r="BU61" s="147">
        <v>15</v>
      </c>
      <c r="BV61" s="146">
        <f t="shared" si="30"/>
        <v>21</v>
      </c>
      <c r="BW61" s="147">
        <v>14</v>
      </c>
      <c r="BX61" s="147">
        <v>22</v>
      </c>
      <c r="BY61" s="146">
        <f t="shared" si="31"/>
        <v>57</v>
      </c>
      <c r="BZ61" s="264"/>
      <c r="CA61" s="147">
        <f t="shared" si="32"/>
        <v>3</v>
      </c>
      <c r="CB61" s="116">
        <v>9</v>
      </c>
      <c r="CC61" s="147">
        <v>13</v>
      </c>
      <c r="CD61" s="146">
        <f t="shared" si="33"/>
        <v>22</v>
      </c>
      <c r="CE61" s="147">
        <v>8</v>
      </c>
      <c r="CF61" s="147">
        <v>22</v>
      </c>
      <c r="CG61" s="146">
        <f t="shared" si="34"/>
        <v>52</v>
      </c>
      <c r="CH61" s="263"/>
      <c r="CI61" s="129" t="str">
        <f t="shared" si="35"/>
        <v>0</v>
      </c>
      <c r="CJ61" s="147">
        <f t="shared" si="4"/>
        <v>28.5</v>
      </c>
      <c r="CK61" s="130">
        <f t="shared" si="36"/>
        <v>3.1666666666666665</v>
      </c>
      <c r="CL61" s="130" t="str">
        <f t="shared" si="37"/>
        <v>B</v>
      </c>
      <c r="CM61" s="37" t="str">
        <f t="shared" si="5"/>
        <v>GOOD</v>
      </c>
      <c r="CN61" s="38">
        <f t="shared" si="6"/>
        <v>675</v>
      </c>
      <c r="CO61" s="37">
        <f t="shared" si="38"/>
        <v>41</v>
      </c>
      <c r="CP61" s="40"/>
    </row>
    <row r="62" spans="1:94" s="41" customFormat="1" ht="27" customHeight="1">
      <c r="A62" s="207">
        <v>55</v>
      </c>
      <c r="B62" s="117">
        <v>50</v>
      </c>
      <c r="C62" s="118" t="s">
        <v>300</v>
      </c>
      <c r="D62" s="69" t="s">
        <v>301</v>
      </c>
      <c r="E62" s="69" t="s">
        <v>302</v>
      </c>
      <c r="F62" s="70" t="s">
        <v>303</v>
      </c>
      <c r="G62" s="116">
        <v>0</v>
      </c>
      <c r="H62" s="147">
        <v>18</v>
      </c>
      <c r="I62" s="146">
        <f t="shared" si="8"/>
        <v>18</v>
      </c>
      <c r="J62" s="147">
        <v>16</v>
      </c>
      <c r="K62" s="146">
        <f t="shared" si="42"/>
        <v>34</v>
      </c>
      <c r="L62" s="116">
        <v>0</v>
      </c>
      <c r="M62" s="147">
        <v>17</v>
      </c>
      <c r="N62" s="146">
        <f t="shared" si="9"/>
        <v>17</v>
      </c>
      <c r="O62" s="147">
        <v>21</v>
      </c>
      <c r="P62" s="146">
        <f t="shared" si="41"/>
        <v>38</v>
      </c>
      <c r="Q62" s="146">
        <f t="shared" si="11"/>
        <v>72</v>
      </c>
      <c r="R62" s="263"/>
      <c r="S62" s="147" t="str">
        <f t="shared" si="12"/>
        <v>F</v>
      </c>
      <c r="T62" s="116"/>
      <c r="U62" s="147">
        <v>56</v>
      </c>
      <c r="V62" s="146">
        <f t="shared" si="13"/>
        <v>56</v>
      </c>
      <c r="W62" s="147"/>
      <c r="X62" s="147">
        <v>13</v>
      </c>
      <c r="Y62" s="146">
        <f t="shared" si="14"/>
        <v>13</v>
      </c>
      <c r="Z62" s="146">
        <f t="shared" si="15"/>
        <v>69</v>
      </c>
      <c r="AA62" s="263"/>
      <c r="AB62" s="147" t="str">
        <f t="shared" si="0"/>
        <v>F</v>
      </c>
      <c r="AC62" s="116">
        <v>0</v>
      </c>
      <c r="AD62" s="147">
        <v>4</v>
      </c>
      <c r="AE62" s="146">
        <f t="shared" si="16"/>
        <v>4</v>
      </c>
      <c r="AF62" s="147">
        <v>6</v>
      </c>
      <c r="AG62" s="146">
        <f t="shared" si="17"/>
        <v>10</v>
      </c>
      <c r="AH62" s="263"/>
      <c r="AI62" s="147" t="str">
        <f t="shared" si="1"/>
        <v>F</v>
      </c>
      <c r="AJ62" s="116">
        <v>0</v>
      </c>
      <c r="AK62" s="147">
        <v>33</v>
      </c>
      <c r="AL62" s="146">
        <f t="shared" si="18"/>
        <v>33</v>
      </c>
      <c r="AM62" s="147">
        <v>21</v>
      </c>
      <c r="AN62" s="146">
        <f t="shared" si="19"/>
        <v>54</v>
      </c>
      <c r="AO62" s="263"/>
      <c r="AP62" s="147">
        <f t="shared" si="2"/>
        <v>3</v>
      </c>
      <c r="AQ62" s="116"/>
      <c r="AR62" s="147">
        <v>18</v>
      </c>
      <c r="AS62" s="147">
        <v>15</v>
      </c>
      <c r="AT62" s="147">
        <f t="shared" si="20"/>
        <v>33</v>
      </c>
      <c r="AU62" s="264"/>
      <c r="AV62" s="147">
        <f t="shared" si="21"/>
        <v>3.5</v>
      </c>
      <c r="AW62" s="116">
        <v>0</v>
      </c>
      <c r="AX62" s="147">
        <v>28</v>
      </c>
      <c r="AY62" s="146">
        <f t="shared" si="22"/>
        <v>28</v>
      </c>
      <c r="AZ62" s="147">
        <v>14</v>
      </c>
      <c r="BA62" s="146">
        <f t="shared" si="23"/>
        <v>42</v>
      </c>
      <c r="BB62" s="263"/>
      <c r="BC62" s="147">
        <f t="shared" si="24"/>
        <v>2</v>
      </c>
      <c r="BD62" s="116">
        <v>0</v>
      </c>
      <c r="BE62" s="147">
        <v>5</v>
      </c>
      <c r="BF62" s="146">
        <f t="shared" si="25"/>
        <v>5</v>
      </c>
      <c r="BG62" s="147">
        <v>13</v>
      </c>
      <c r="BH62" s="147">
        <v>20</v>
      </c>
      <c r="BI62" s="146">
        <f t="shared" si="26"/>
        <v>38</v>
      </c>
      <c r="BJ62" s="264"/>
      <c r="BK62" s="147" t="str">
        <f t="shared" si="3"/>
        <v>F</v>
      </c>
      <c r="BL62" s="116">
        <v>0</v>
      </c>
      <c r="BM62" s="147">
        <v>9</v>
      </c>
      <c r="BN62" s="146">
        <f t="shared" si="27"/>
        <v>9</v>
      </c>
      <c r="BO62" s="147">
        <v>14</v>
      </c>
      <c r="BP62" s="147">
        <v>20</v>
      </c>
      <c r="BQ62" s="146">
        <f t="shared" si="28"/>
        <v>43</v>
      </c>
      <c r="BR62" s="263"/>
      <c r="BS62" s="147" t="str">
        <f t="shared" si="29"/>
        <v>F</v>
      </c>
      <c r="BT62" s="116">
        <v>0</v>
      </c>
      <c r="BU62" s="147">
        <v>19</v>
      </c>
      <c r="BV62" s="146">
        <f t="shared" si="30"/>
        <v>19</v>
      </c>
      <c r="BW62" s="147">
        <v>10</v>
      </c>
      <c r="BX62" s="147">
        <v>22</v>
      </c>
      <c r="BY62" s="146">
        <f t="shared" si="31"/>
        <v>51</v>
      </c>
      <c r="BZ62" s="264"/>
      <c r="CA62" s="147" t="str">
        <f t="shared" si="32"/>
        <v>F</v>
      </c>
      <c r="CB62" s="116">
        <v>0</v>
      </c>
      <c r="CC62" s="147">
        <v>3</v>
      </c>
      <c r="CD62" s="146">
        <f t="shared" si="33"/>
        <v>3</v>
      </c>
      <c r="CE62" s="147">
        <v>11</v>
      </c>
      <c r="CF62" s="147">
        <v>22</v>
      </c>
      <c r="CG62" s="146">
        <f t="shared" si="34"/>
        <v>36</v>
      </c>
      <c r="CH62" s="263"/>
      <c r="CI62" s="129" t="str">
        <f t="shared" si="35"/>
        <v>0</v>
      </c>
      <c r="CJ62" s="147" t="str">
        <f t="shared" si="4"/>
        <v>F</v>
      </c>
      <c r="CK62" s="130" t="str">
        <f t="shared" si="36"/>
        <v>F</v>
      </c>
      <c r="CL62" s="130" t="str">
        <f t="shared" si="37"/>
        <v>F</v>
      </c>
      <c r="CM62" s="37" t="str">
        <f t="shared" si="5"/>
        <v>NEED TO PROGRESS</v>
      </c>
      <c r="CN62" s="38">
        <f t="shared" si="6"/>
        <v>448</v>
      </c>
      <c r="CO62" s="37" t="str">
        <f t="shared" si="38"/>
        <v>F</v>
      </c>
      <c r="CP62" s="40"/>
    </row>
    <row r="63" spans="1:94" s="41" customFormat="1" ht="27" customHeight="1">
      <c r="A63" s="207">
        <v>56</v>
      </c>
      <c r="B63" s="117">
        <v>54</v>
      </c>
      <c r="C63" s="118" t="s">
        <v>304</v>
      </c>
      <c r="D63" s="69" t="s">
        <v>305</v>
      </c>
      <c r="E63" s="69" t="s">
        <v>306</v>
      </c>
      <c r="F63" s="70" t="s">
        <v>307</v>
      </c>
      <c r="G63" s="116">
        <v>15</v>
      </c>
      <c r="H63" s="147">
        <v>17</v>
      </c>
      <c r="I63" s="146">
        <f t="shared" si="8"/>
        <v>32</v>
      </c>
      <c r="J63" s="147">
        <v>17</v>
      </c>
      <c r="K63" s="146">
        <f t="shared" si="42"/>
        <v>49</v>
      </c>
      <c r="L63" s="116">
        <v>16</v>
      </c>
      <c r="M63" s="147">
        <v>34</v>
      </c>
      <c r="N63" s="146">
        <f t="shared" si="9"/>
        <v>50</v>
      </c>
      <c r="O63" s="147">
        <v>27</v>
      </c>
      <c r="P63" s="146">
        <f t="shared" si="41"/>
        <v>77</v>
      </c>
      <c r="Q63" s="146">
        <f t="shared" si="11"/>
        <v>126</v>
      </c>
      <c r="R63" s="263"/>
      <c r="S63" s="147">
        <f t="shared" si="12"/>
        <v>3.5</v>
      </c>
      <c r="T63" s="116">
        <v>19</v>
      </c>
      <c r="U63" s="147">
        <v>39</v>
      </c>
      <c r="V63" s="146">
        <f t="shared" si="13"/>
        <v>58</v>
      </c>
      <c r="W63" s="147">
        <v>16</v>
      </c>
      <c r="X63" s="147">
        <v>44</v>
      </c>
      <c r="Y63" s="146">
        <f t="shared" si="14"/>
        <v>60</v>
      </c>
      <c r="Z63" s="146">
        <f t="shared" si="15"/>
        <v>118</v>
      </c>
      <c r="AA63" s="263"/>
      <c r="AB63" s="147">
        <f t="shared" si="0"/>
        <v>3</v>
      </c>
      <c r="AC63" s="116">
        <v>13</v>
      </c>
      <c r="AD63" s="147">
        <v>17</v>
      </c>
      <c r="AE63" s="146">
        <f t="shared" si="16"/>
        <v>30</v>
      </c>
      <c r="AF63" s="147">
        <v>16</v>
      </c>
      <c r="AG63" s="146">
        <f t="shared" si="17"/>
        <v>46</v>
      </c>
      <c r="AH63" s="263"/>
      <c r="AI63" s="147">
        <f t="shared" si="1"/>
        <v>2</v>
      </c>
      <c r="AJ63" s="116">
        <v>17</v>
      </c>
      <c r="AK63" s="147">
        <v>40</v>
      </c>
      <c r="AL63" s="146">
        <f t="shared" si="18"/>
        <v>57</v>
      </c>
      <c r="AM63" s="147">
        <v>23</v>
      </c>
      <c r="AN63" s="146">
        <f t="shared" si="19"/>
        <v>80</v>
      </c>
      <c r="AO63" s="263"/>
      <c r="AP63" s="147">
        <f t="shared" si="2"/>
        <v>5</v>
      </c>
      <c r="AQ63" s="116"/>
      <c r="AR63" s="147">
        <v>24</v>
      </c>
      <c r="AS63" s="147">
        <v>25</v>
      </c>
      <c r="AT63" s="147">
        <f t="shared" si="20"/>
        <v>49</v>
      </c>
      <c r="AU63" s="264"/>
      <c r="AV63" s="147">
        <f t="shared" si="21"/>
        <v>5</v>
      </c>
      <c r="AW63" s="116">
        <v>16</v>
      </c>
      <c r="AX63" s="147">
        <v>29</v>
      </c>
      <c r="AY63" s="146">
        <f t="shared" si="22"/>
        <v>45</v>
      </c>
      <c r="AZ63" s="147">
        <v>17</v>
      </c>
      <c r="BA63" s="146">
        <f t="shared" si="23"/>
        <v>62</v>
      </c>
      <c r="BB63" s="263"/>
      <c r="BC63" s="147">
        <f t="shared" si="24"/>
        <v>3.5</v>
      </c>
      <c r="BD63" s="116">
        <v>8</v>
      </c>
      <c r="BE63" s="147">
        <v>12</v>
      </c>
      <c r="BF63" s="146">
        <f t="shared" si="25"/>
        <v>20</v>
      </c>
      <c r="BG63" s="147">
        <v>11</v>
      </c>
      <c r="BH63" s="147">
        <v>20</v>
      </c>
      <c r="BI63" s="146">
        <f t="shared" si="26"/>
        <v>51</v>
      </c>
      <c r="BJ63" s="264"/>
      <c r="BK63" s="147">
        <f t="shared" si="3"/>
        <v>3</v>
      </c>
      <c r="BL63" s="116">
        <v>4</v>
      </c>
      <c r="BM63" s="147">
        <v>18</v>
      </c>
      <c r="BN63" s="146">
        <f t="shared" si="27"/>
        <v>22</v>
      </c>
      <c r="BO63" s="147">
        <v>12</v>
      </c>
      <c r="BP63" s="147">
        <v>20</v>
      </c>
      <c r="BQ63" s="146">
        <f t="shared" si="28"/>
        <v>54</v>
      </c>
      <c r="BR63" s="263"/>
      <c r="BS63" s="147">
        <f t="shared" si="29"/>
        <v>3</v>
      </c>
      <c r="BT63" s="116">
        <v>7</v>
      </c>
      <c r="BU63" s="147">
        <v>22</v>
      </c>
      <c r="BV63" s="146">
        <f t="shared" si="30"/>
        <v>29</v>
      </c>
      <c r="BW63" s="147">
        <v>10</v>
      </c>
      <c r="BX63" s="147">
        <v>22</v>
      </c>
      <c r="BY63" s="146">
        <f t="shared" si="31"/>
        <v>61</v>
      </c>
      <c r="BZ63" s="264"/>
      <c r="CA63" s="147">
        <f t="shared" si="32"/>
        <v>3.5</v>
      </c>
      <c r="CB63" s="116">
        <v>8</v>
      </c>
      <c r="CC63" s="147">
        <v>0</v>
      </c>
      <c r="CD63" s="146">
        <f t="shared" si="33"/>
        <v>8</v>
      </c>
      <c r="CE63" s="147">
        <v>0</v>
      </c>
      <c r="CF63" s="147">
        <v>0</v>
      </c>
      <c r="CG63" s="146">
        <f t="shared" si="34"/>
        <v>8</v>
      </c>
      <c r="CH63" s="263"/>
      <c r="CI63" s="129" t="str">
        <f t="shared" si="35"/>
        <v>0</v>
      </c>
      <c r="CJ63" s="147">
        <f t="shared" si="4"/>
        <v>29.5</v>
      </c>
      <c r="CK63" s="130">
        <f t="shared" si="36"/>
        <v>3.2777777777777777</v>
      </c>
      <c r="CL63" s="130" t="str">
        <f t="shared" si="37"/>
        <v>B</v>
      </c>
      <c r="CM63" s="37" t="str">
        <f t="shared" si="5"/>
        <v>GOOD</v>
      </c>
      <c r="CN63" s="38">
        <f t="shared" si="6"/>
        <v>655</v>
      </c>
      <c r="CO63" s="37">
        <f t="shared" si="38"/>
        <v>47</v>
      </c>
      <c r="CP63" s="40"/>
    </row>
    <row r="64" spans="1:94" s="41" customFormat="1" ht="27" customHeight="1">
      <c r="A64" s="207">
        <v>57</v>
      </c>
      <c r="B64" s="117">
        <v>63</v>
      </c>
      <c r="C64" s="118" t="s">
        <v>308</v>
      </c>
      <c r="D64" s="69" t="s">
        <v>309</v>
      </c>
      <c r="E64" s="69" t="s">
        <v>310</v>
      </c>
      <c r="F64" s="70" t="s">
        <v>311</v>
      </c>
      <c r="G64" s="116">
        <v>11</v>
      </c>
      <c r="H64" s="147">
        <v>9</v>
      </c>
      <c r="I64" s="146">
        <f t="shared" si="8"/>
        <v>20</v>
      </c>
      <c r="J64" s="147">
        <v>10</v>
      </c>
      <c r="K64" s="146">
        <f t="shared" si="42"/>
        <v>30</v>
      </c>
      <c r="L64" s="116">
        <v>16</v>
      </c>
      <c r="M64" s="147">
        <v>23</v>
      </c>
      <c r="N64" s="146">
        <f t="shared" si="9"/>
        <v>39</v>
      </c>
      <c r="O64" s="147">
        <v>25</v>
      </c>
      <c r="P64" s="146">
        <f t="shared" si="41"/>
        <v>64</v>
      </c>
      <c r="Q64" s="146">
        <f t="shared" si="11"/>
        <v>94</v>
      </c>
      <c r="R64" s="263"/>
      <c r="S64" s="147">
        <f t="shared" si="12"/>
        <v>2</v>
      </c>
      <c r="T64" s="116">
        <v>10</v>
      </c>
      <c r="U64" s="147">
        <v>37</v>
      </c>
      <c r="V64" s="146">
        <f t="shared" si="13"/>
        <v>47</v>
      </c>
      <c r="W64" s="147">
        <v>11</v>
      </c>
      <c r="X64" s="147">
        <v>30</v>
      </c>
      <c r="Y64" s="146">
        <f t="shared" si="14"/>
        <v>41</v>
      </c>
      <c r="Z64" s="146">
        <f t="shared" si="15"/>
        <v>88</v>
      </c>
      <c r="AA64" s="263"/>
      <c r="AB64" s="147">
        <f t="shared" si="0"/>
        <v>2</v>
      </c>
      <c r="AC64" s="116">
        <v>11</v>
      </c>
      <c r="AD64" s="147">
        <v>17</v>
      </c>
      <c r="AE64" s="146">
        <f t="shared" si="16"/>
        <v>28</v>
      </c>
      <c r="AF64" s="147">
        <v>17</v>
      </c>
      <c r="AG64" s="146">
        <f t="shared" si="17"/>
        <v>45</v>
      </c>
      <c r="AH64" s="263"/>
      <c r="AI64" s="147">
        <f t="shared" si="1"/>
        <v>2</v>
      </c>
      <c r="AJ64" s="116">
        <v>14</v>
      </c>
      <c r="AK64" s="147">
        <v>29</v>
      </c>
      <c r="AL64" s="146">
        <f t="shared" si="18"/>
        <v>43</v>
      </c>
      <c r="AM64" s="147">
        <v>17</v>
      </c>
      <c r="AN64" s="146">
        <f t="shared" si="19"/>
        <v>60</v>
      </c>
      <c r="AO64" s="263"/>
      <c r="AP64" s="147">
        <f t="shared" si="2"/>
        <v>3.5</v>
      </c>
      <c r="AQ64" s="116"/>
      <c r="AR64" s="147">
        <v>20</v>
      </c>
      <c r="AS64" s="147">
        <v>25</v>
      </c>
      <c r="AT64" s="147">
        <f t="shared" si="20"/>
        <v>45</v>
      </c>
      <c r="AU64" s="264"/>
      <c r="AV64" s="147">
        <f t="shared" si="21"/>
        <v>5</v>
      </c>
      <c r="AW64" s="116">
        <v>9</v>
      </c>
      <c r="AX64" s="147">
        <v>19</v>
      </c>
      <c r="AY64" s="146">
        <f t="shared" si="22"/>
        <v>28</v>
      </c>
      <c r="AZ64" s="147">
        <v>16</v>
      </c>
      <c r="BA64" s="146">
        <f t="shared" si="23"/>
        <v>44</v>
      </c>
      <c r="BB64" s="263"/>
      <c r="BC64" s="147">
        <f t="shared" si="24"/>
        <v>2</v>
      </c>
      <c r="BD64" s="116">
        <v>5</v>
      </c>
      <c r="BE64" s="147">
        <v>16</v>
      </c>
      <c r="BF64" s="146">
        <f t="shared" si="25"/>
        <v>21</v>
      </c>
      <c r="BG64" s="147">
        <v>10</v>
      </c>
      <c r="BH64" s="147">
        <v>25</v>
      </c>
      <c r="BI64" s="146">
        <f t="shared" si="26"/>
        <v>56</v>
      </c>
      <c r="BJ64" s="264"/>
      <c r="BK64" s="147">
        <f t="shared" si="3"/>
        <v>3</v>
      </c>
      <c r="BL64" s="116">
        <v>4</v>
      </c>
      <c r="BM64" s="147">
        <v>21</v>
      </c>
      <c r="BN64" s="146">
        <f t="shared" si="27"/>
        <v>25</v>
      </c>
      <c r="BO64" s="147">
        <v>20</v>
      </c>
      <c r="BP64" s="147">
        <v>21</v>
      </c>
      <c r="BQ64" s="146">
        <f t="shared" si="28"/>
        <v>66</v>
      </c>
      <c r="BR64" s="263"/>
      <c r="BS64" s="147">
        <f t="shared" si="29"/>
        <v>3.5</v>
      </c>
      <c r="BT64" s="116">
        <v>5</v>
      </c>
      <c r="BU64" s="147">
        <v>18</v>
      </c>
      <c r="BV64" s="146">
        <f t="shared" si="30"/>
        <v>23</v>
      </c>
      <c r="BW64" s="147">
        <v>15</v>
      </c>
      <c r="BX64" s="147">
        <v>22</v>
      </c>
      <c r="BY64" s="146">
        <f t="shared" si="31"/>
        <v>60</v>
      </c>
      <c r="BZ64" s="264"/>
      <c r="CA64" s="147">
        <f t="shared" si="32"/>
        <v>3.5</v>
      </c>
      <c r="CB64" s="116"/>
      <c r="CC64" s="147"/>
      <c r="CD64" s="146">
        <f t="shared" si="33"/>
        <v>0</v>
      </c>
      <c r="CE64" s="147"/>
      <c r="CF64" s="147">
        <v>23</v>
      </c>
      <c r="CG64" s="146">
        <f t="shared" si="34"/>
        <v>23</v>
      </c>
      <c r="CH64" s="263"/>
      <c r="CI64" s="129" t="str">
        <f t="shared" si="35"/>
        <v>0</v>
      </c>
      <c r="CJ64" s="147">
        <f t="shared" si="4"/>
        <v>24.5</v>
      </c>
      <c r="CK64" s="130">
        <f t="shared" si="36"/>
        <v>2.7222222222222223</v>
      </c>
      <c r="CL64" s="130" t="str">
        <f t="shared" si="37"/>
        <v>C</v>
      </c>
      <c r="CM64" s="37" t="str">
        <f t="shared" si="5"/>
        <v>GOOD</v>
      </c>
      <c r="CN64" s="38">
        <f t="shared" si="6"/>
        <v>581</v>
      </c>
      <c r="CO64" s="37">
        <f t="shared" si="38"/>
        <v>65</v>
      </c>
      <c r="CP64" s="40"/>
    </row>
    <row r="65" spans="1:94" s="41" customFormat="1" ht="27" customHeight="1">
      <c r="A65" s="207">
        <v>58</v>
      </c>
      <c r="B65" s="117">
        <v>65</v>
      </c>
      <c r="C65" s="179" t="s">
        <v>312</v>
      </c>
      <c r="D65" s="95" t="s">
        <v>313</v>
      </c>
      <c r="E65" s="95" t="s">
        <v>314</v>
      </c>
      <c r="F65" s="96" t="s">
        <v>315</v>
      </c>
      <c r="G65" s="116">
        <v>11</v>
      </c>
      <c r="H65" s="147">
        <v>17</v>
      </c>
      <c r="I65" s="146">
        <f t="shared" si="8"/>
        <v>28</v>
      </c>
      <c r="J65" s="147">
        <v>12</v>
      </c>
      <c r="K65" s="146">
        <f t="shared" si="42"/>
        <v>40</v>
      </c>
      <c r="L65" s="116">
        <v>13</v>
      </c>
      <c r="M65" s="147">
        <v>15</v>
      </c>
      <c r="N65" s="146">
        <f t="shared" si="9"/>
        <v>28</v>
      </c>
      <c r="O65" s="147">
        <v>26</v>
      </c>
      <c r="P65" s="146">
        <f t="shared" si="41"/>
        <v>54</v>
      </c>
      <c r="Q65" s="146">
        <f t="shared" si="11"/>
        <v>94</v>
      </c>
      <c r="R65" s="263"/>
      <c r="S65" s="147" t="str">
        <f t="shared" si="12"/>
        <v>F</v>
      </c>
      <c r="T65" s="116">
        <v>9</v>
      </c>
      <c r="U65" s="147">
        <v>36</v>
      </c>
      <c r="V65" s="146">
        <f t="shared" si="13"/>
        <v>45</v>
      </c>
      <c r="W65" s="147">
        <v>8</v>
      </c>
      <c r="X65" s="147">
        <v>20</v>
      </c>
      <c r="Y65" s="146">
        <f t="shared" si="14"/>
        <v>28</v>
      </c>
      <c r="Z65" s="146">
        <f t="shared" si="15"/>
        <v>73</v>
      </c>
      <c r="AA65" s="263"/>
      <c r="AB65" s="147" t="str">
        <f t="shared" si="0"/>
        <v>F</v>
      </c>
      <c r="AC65" s="116">
        <v>5</v>
      </c>
      <c r="AD65" s="147">
        <v>4</v>
      </c>
      <c r="AE65" s="146">
        <f t="shared" si="16"/>
        <v>9</v>
      </c>
      <c r="AF65" s="147">
        <v>8</v>
      </c>
      <c r="AG65" s="146">
        <f t="shared" si="17"/>
        <v>17</v>
      </c>
      <c r="AH65" s="263"/>
      <c r="AI65" s="147" t="str">
        <f t="shared" si="1"/>
        <v>F</v>
      </c>
      <c r="AJ65" s="116">
        <v>13</v>
      </c>
      <c r="AK65" s="147">
        <v>25</v>
      </c>
      <c r="AL65" s="146">
        <f t="shared" si="18"/>
        <v>38</v>
      </c>
      <c r="AM65" s="147">
        <v>21</v>
      </c>
      <c r="AN65" s="146">
        <f t="shared" si="19"/>
        <v>59</v>
      </c>
      <c r="AO65" s="263"/>
      <c r="AP65" s="147">
        <f t="shared" si="2"/>
        <v>3</v>
      </c>
      <c r="AQ65" s="116"/>
      <c r="AR65" s="147">
        <v>21</v>
      </c>
      <c r="AS65" s="147">
        <v>25</v>
      </c>
      <c r="AT65" s="147">
        <f t="shared" si="20"/>
        <v>46</v>
      </c>
      <c r="AU65" s="264"/>
      <c r="AV65" s="147">
        <f t="shared" si="21"/>
        <v>5</v>
      </c>
      <c r="AW65" s="116">
        <v>8</v>
      </c>
      <c r="AX65" s="147">
        <v>7</v>
      </c>
      <c r="AY65" s="146">
        <f t="shared" si="22"/>
        <v>15</v>
      </c>
      <c r="AZ65" s="147">
        <v>19</v>
      </c>
      <c r="BA65" s="146">
        <f t="shared" si="23"/>
        <v>34</v>
      </c>
      <c r="BB65" s="263"/>
      <c r="BC65" s="147" t="str">
        <f t="shared" si="24"/>
        <v>F</v>
      </c>
      <c r="BD65" s="116">
        <v>4</v>
      </c>
      <c r="BE65" s="147">
        <v>20</v>
      </c>
      <c r="BF65" s="146">
        <f t="shared" si="25"/>
        <v>24</v>
      </c>
      <c r="BG65" s="147">
        <v>15</v>
      </c>
      <c r="BH65" s="147">
        <v>25</v>
      </c>
      <c r="BI65" s="146">
        <f t="shared" si="26"/>
        <v>64</v>
      </c>
      <c r="BJ65" s="264"/>
      <c r="BK65" s="147">
        <f t="shared" si="3"/>
        <v>3.5</v>
      </c>
      <c r="BL65" s="116">
        <v>3</v>
      </c>
      <c r="BM65" s="147">
        <v>18</v>
      </c>
      <c r="BN65" s="146">
        <f t="shared" si="27"/>
        <v>21</v>
      </c>
      <c r="BO65" s="147">
        <v>17</v>
      </c>
      <c r="BP65" s="147">
        <v>20</v>
      </c>
      <c r="BQ65" s="146">
        <f t="shared" si="28"/>
        <v>58</v>
      </c>
      <c r="BR65" s="263"/>
      <c r="BS65" s="147">
        <f t="shared" si="29"/>
        <v>3</v>
      </c>
      <c r="BT65" s="116">
        <v>5</v>
      </c>
      <c r="BU65" s="147">
        <v>12</v>
      </c>
      <c r="BV65" s="146">
        <f t="shared" si="30"/>
        <v>17</v>
      </c>
      <c r="BW65" s="147">
        <v>12</v>
      </c>
      <c r="BX65" s="147">
        <v>22</v>
      </c>
      <c r="BY65" s="146">
        <f t="shared" si="31"/>
        <v>51</v>
      </c>
      <c r="BZ65" s="264"/>
      <c r="CA65" s="147" t="str">
        <f t="shared" si="32"/>
        <v>F</v>
      </c>
      <c r="CB65" s="116">
        <v>4</v>
      </c>
      <c r="CC65" s="147">
        <v>0</v>
      </c>
      <c r="CD65" s="146">
        <f t="shared" si="33"/>
        <v>4</v>
      </c>
      <c r="CE65" s="147">
        <v>0</v>
      </c>
      <c r="CF65" s="147">
        <v>0</v>
      </c>
      <c r="CG65" s="146">
        <f t="shared" si="34"/>
        <v>4</v>
      </c>
      <c r="CH65" s="263"/>
      <c r="CI65" s="129" t="str">
        <f t="shared" si="35"/>
        <v>0</v>
      </c>
      <c r="CJ65" s="147" t="str">
        <f t="shared" si="4"/>
        <v>F</v>
      </c>
      <c r="CK65" s="130" t="str">
        <f t="shared" si="36"/>
        <v>F</v>
      </c>
      <c r="CL65" s="130" t="str">
        <f t="shared" si="37"/>
        <v>F</v>
      </c>
      <c r="CM65" s="37" t="str">
        <f t="shared" si="5"/>
        <v>NEED TO PROGRESS</v>
      </c>
      <c r="CN65" s="38">
        <f t="shared" si="6"/>
        <v>500</v>
      </c>
      <c r="CO65" s="37" t="str">
        <f t="shared" si="38"/>
        <v>F</v>
      </c>
      <c r="CP65" s="40"/>
    </row>
    <row r="66" spans="1:94" s="41" customFormat="1" ht="27" customHeight="1">
      <c r="A66" s="207">
        <v>59</v>
      </c>
      <c r="B66" s="117">
        <v>66</v>
      </c>
      <c r="C66" s="179" t="s">
        <v>316</v>
      </c>
      <c r="D66" s="95" t="s">
        <v>317</v>
      </c>
      <c r="E66" s="95" t="s">
        <v>318</v>
      </c>
      <c r="F66" s="96" t="s">
        <v>319</v>
      </c>
      <c r="G66" s="116">
        <v>11</v>
      </c>
      <c r="H66" s="147">
        <v>17</v>
      </c>
      <c r="I66" s="146">
        <f t="shared" si="8"/>
        <v>28</v>
      </c>
      <c r="J66" s="147">
        <v>21</v>
      </c>
      <c r="K66" s="146">
        <f t="shared" si="42"/>
        <v>49</v>
      </c>
      <c r="L66" s="116">
        <v>17</v>
      </c>
      <c r="M66" s="147">
        <v>28</v>
      </c>
      <c r="N66" s="146">
        <f t="shared" si="9"/>
        <v>45</v>
      </c>
      <c r="O66" s="147">
        <v>22</v>
      </c>
      <c r="P66" s="146">
        <f t="shared" si="41"/>
        <v>67</v>
      </c>
      <c r="Q66" s="146">
        <f t="shared" si="11"/>
        <v>116</v>
      </c>
      <c r="R66" s="263"/>
      <c r="S66" s="147">
        <f t="shared" si="12"/>
        <v>3</v>
      </c>
      <c r="T66" s="116">
        <v>18</v>
      </c>
      <c r="U66" s="147">
        <v>56</v>
      </c>
      <c r="V66" s="146">
        <f t="shared" si="13"/>
        <v>74</v>
      </c>
      <c r="W66" s="147">
        <v>13</v>
      </c>
      <c r="X66" s="147">
        <v>36</v>
      </c>
      <c r="Y66" s="146">
        <f t="shared" si="14"/>
        <v>49</v>
      </c>
      <c r="Z66" s="146">
        <f t="shared" si="15"/>
        <v>123</v>
      </c>
      <c r="AA66" s="263"/>
      <c r="AB66" s="147">
        <f t="shared" si="0"/>
        <v>3.5</v>
      </c>
      <c r="AC66" s="116">
        <v>10</v>
      </c>
      <c r="AD66" s="147">
        <v>6</v>
      </c>
      <c r="AE66" s="146">
        <f t="shared" si="16"/>
        <v>16</v>
      </c>
      <c r="AF66" s="147">
        <v>16</v>
      </c>
      <c r="AG66" s="146">
        <f t="shared" si="17"/>
        <v>32</v>
      </c>
      <c r="AH66" s="263"/>
      <c r="AI66" s="147" t="str">
        <f t="shared" si="1"/>
        <v>F</v>
      </c>
      <c r="AJ66" s="116">
        <v>14</v>
      </c>
      <c r="AK66" s="147">
        <v>29</v>
      </c>
      <c r="AL66" s="146">
        <f t="shared" si="18"/>
        <v>43</v>
      </c>
      <c r="AM66" s="147">
        <v>23</v>
      </c>
      <c r="AN66" s="146">
        <f t="shared" si="19"/>
        <v>66</v>
      </c>
      <c r="AO66" s="263"/>
      <c r="AP66" s="147">
        <f t="shared" si="2"/>
        <v>3.5</v>
      </c>
      <c r="AQ66" s="116"/>
      <c r="AR66" s="147">
        <v>23</v>
      </c>
      <c r="AS66" s="147">
        <v>23</v>
      </c>
      <c r="AT66" s="147">
        <f t="shared" si="20"/>
        <v>46</v>
      </c>
      <c r="AU66" s="264"/>
      <c r="AV66" s="147">
        <f t="shared" si="21"/>
        <v>5</v>
      </c>
      <c r="AW66" s="116">
        <v>10</v>
      </c>
      <c r="AX66" s="147">
        <v>24</v>
      </c>
      <c r="AY66" s="146">
        <f t="shared" si="22"/>
        <v>34</v>
      </c>
      <c r="AZ66" s="147">
        <v>21</v>
      </c>
      <c r="BA66" s="146">
        <f t="shared" si="23"/>
        <v>55</v>
      </c>
      <c r="BB66" s="263"/>
      <c r="BC66" s="147">
        <f t="shared" si="24"/>
        <v>3</v>
      </c>
      <c r="BD66" s="116">
        <v>8</v>
      </c>
      <c r="BE66" s="147">
        <v>12</v>
      </c>
      <c r="BF66" s="146">
        <f t="shared" si="25"/>
        <v>20</v>
      </c>
      <c r="BG66" s="147">
        <v>12</v>
      </c>
      <c r="BH66" s="147">
        <v>20</v>
      </c>
      <c r="BI66" s="146">
        <f t="shared" si="26"/>
        <v>52</v>
      </c>
      <c r="BJ66" s="264"/>
      <c r="BK66" s="147">
        <f t="shared" si="3"/>
        <v>3</v>
      </c>
      <c r="BL66" s="116">
        <v>5</v>
      </c>
      <c r="BM66" s="147">
        <v>16</v>
      </c>
      <c r="BN66" s="146">
        <f t="shared" si="27"/>
        <v>21</v>
      </c>
      <c r="BO66" s="147">
        <v>11</v>
      </c>
      <c r="BP66" s="147">
        <v>20</v>
      </c>
      <c r="BQ66" s="146">
        <f t="shared" si="28"/>
        <v>52</v>
      </c>
      <c r="BR66" s="263"/>
      <c r="BS66" s="147">
        <f t="shared" si="29"/>
        <v>3</v>
      </c>
      <c r="BT66" s="116">
        <v>4</v>
      </c>
      <c r="BU66" s="147">
        <v>22</v>
      </c>
      <c r="BV66" s="146">
        <f t="shared" si="30"/>
        <v>26</v>
      </c>
      <c r="BW66" s="147">
        <v>15</v>
      </c>
      <c r="BX66" s="147">
        <v>22</v>
      </c>
      <c r="BY66" s="146">
        <f t="shared" si="31"/>
        <v>63</v>
      </c>
      <c r="BZ66" s="264"/>
      <c r="CA66" s="147">
        <f t="shared" si="32"/>
        <v>3.5</v>
      </c>
      <c r="CB66" s="116">
        <v>7</v>
      </c>
      <c r="CC66" s="147">
        <v>0</v>
      </c>
      <c r="CD66" s="146">
        <f t="shared" si="33"/>
        <v>7</v>
      </c>
      <c r="CE66" s="147">
        <v>7</v>
      </c>
      <c r="CF66" s="147">
        <v>22</v>
      </c>
      <c r="CG66" s="146">
        <f t="shared" si="34"/>
        <v>36</v>
      </c>
      <c r="CH66" s="263"/>
      <c r="CI66" s="129" t="str">
        <f t="shared" si="35"/>
        <v>0</v>
      </c>
      <c r="CJ66" s="147" t="str">
        <f t="shared" si="4"/>
        <v>F</v>
      </c>
      <c r="CK66" s="130" t="str">
        <f t="shared" si="36"/>
        <v>F</v>
      </c>
      <c r="CL66" s="130" t="str">
        <f t="shared" si="37"/>
        <v>F</v>
      </c>
      <c r="CM66" s="37" t="str">
        <f t="shared" si="5"/>
        <v>NEED TO PROGRESS</v>
      </c>
      <c r="CN66" s="38">
        <f t="shared" si="6"/>
        <v>641</v>
      </c>
      <c r="CO66" s="37" t="str">
        <f t="shared" si="38"/>
        <v>F</v>
      </c>
      <c r="CP66" s="40"/>
    </row>
    <row r="67" spans="1:94" s="41" customFormat="1" ht="27" customHeight="1">
      <c r="A67" s="207">
        <v>60</v>
      </c>
      <c r="B67" s="117">
        <v>70</v>
      </c>
      <c r="C67" s="118" t="s">
        <v>320</v>
      </c>
      <c r="D67" s="69" t="s">
        <v>321</v>
      </c>
      <c r="E67" s="69" t="s">
        <v>322</v>
      </c>
      <c r="F67" s="70" t="s">
        <v>323</v>
      </c>
      <c r="G67" s="116">
        <v>12</v>
      </c>
      <c r="H67" s="147">
        <v>17</v>
      </c>
      <c r="I67" s="146">
        <f t="shared" si="8"/>
        <v>29</v>
      </c>
      <c r="J67" s="147">
        <v>14</v>
      </c>
      <c r="K67" s="146">
        <f t="shared" si="42"/>
        <v>43</v>
      </c>
      <c r="L67" s="116">
        <v>17</v>
      </c>
      <c r="M67" s="147">
        <v>26</v>
      </c>
      <c r="N67" s="146">
        <f t="shared" si="9"/>
        <v>43</v>
      </c>
      <c r="O67" s="147">
        <v>18</v>
      </c>
      <c r="P67" s="146">
        <f t="shared" si="41"/>
        <v>61</v>
      </c>
      <c r="Q67" s="146">
        <f t="shared" si="11"/>
        <v>104</v>
      </c>
      <c r="R67" s="263"/>
      <c r="S67" s="147">
        <f t="shared" si="12"/>
        <v>3</v>
      </c>
      <c r="T67" s="116">
        <v>13</v>
      </c>
      <c r="U67" s="147">
        <v>46</v>
      </c>
      <c r="V67" s="146">
        <f t="shared" si="13"/>
        <v>59</v>
      </c>
      <c r="W67" s="147">
        <v>12</v>
      </c>
      <c r="X67" s="147">
        <v>32</v>
      </c>
      <c r="Y67" s="146">
        <f t="shared" si="14"/>
        <v>44</v>
      </c>
      <c r="Z67" s="146">
        <f t="shared" si="15"/>
        <v>103</v>
      </c>
      <c r="AA67" s="263"/>
      <c r="AB67" s="147">
        <f t="shared" si="0"/>
        <v>3</v>
      </c>
      <c r="AC67" s="116">
        <v>14</v>
      </c>
      <c r="AD67" s="147">
        <v>3</v>
      </c>
      <c r="AE67" s="146">
        <f t="shared" si="16"/>
        <v>17</v>
      </c>
      <c r="AF67" s="147">
        <v>19</v>
      </c>
      <c r="AG67" s="146">
        <f t="shared" si="17"/>
        <v>36</v>
      </c>
      <c r="AH67" s="263"/>
      <c r="AI67" s="147" t="str">
        <f t="shared" si="1"/>
        <v>F</v>
      </c>
      <c r="AJ67" s="116">
        <v>14</v>
      </c>
      <c r="AK67" s="147">
        <v>33</v>
      </c>
      <c r="AL67" s="146">
        <f t="shared" si="18"/>
        <v>47</v>
      </c>
      <c r="AM67" s="147">
        <v>19</v>
      </c>
      <c r="AN67" s="146">
        <f t="shared" si="19"/>
        <v>66</v>
      </c>
      <c r="AO67" s="263"/>
      <c r="AP67" s="147">
        <f t="shared" si="2"/>
        <v>3.5</v>
      </c>
      <c r="AQ67" s="116"/>
      <c r="AR67" s="147">
        <v>24</v>
      </c>
      <c r="AS67" s="147">
        <v>23</v>
      </c>
      <c r="AT67" s="147">
        <f t="shared" si="20"/>
        <v>47</v>
      </c>
      <c r="AU67" s="264"/>
      <c r="AV67" s="147">
        <f t="shared" si="21"/>
        <v>5</v>
      </c>
      <c r="AW67" s="116">
        <v>13</v>
      </c>
      <c r="AX67" s="147">
        <v>24</v>
      </c>
      <c r="AY67" s="146">
        <f t="shared" si="22"/>
        <v>37</v>
      </c>
      <c r="AZ67" s="147">
        <v>12</v>
      </c>
      <c r="BA67" s="146">
        <f t="shared" si="23"/>
        <v>49</v>
      </c>
      <c r="BB67" s="263"/>
      <c r="BC67" s="147">
        <f t="shared" si="24"/>
        <v>2</v>
      </c>
      <c r="BD67" s="116">
        <v>4</v>
      </c>
      <c r="BE67" s="147">
        <v>7</v>
      </c>
      <c r="BF67" s="146">
        <f t="shared" si="25"/>
        <v>11</v>
      </c>
      <c r="BG67" s="147">
        <v>15</v>
      </c>
      <c r="BH67" s="147">
        <v>20</v>
      </c>
      <c r="BI67" s="146">
        <f t="shared" si="26"/>
        <v>46</v>
      </c>
      <c r="BJ67" s="264"/>
      <c r="BK67" s="147" t="str">
        <f t="shared" si="3"/>
        <v>F</v>
      </c>
      <c r="BL67" s="116">
        <v>4</v>
      </c>
      <c r="BM67" s="147">
        <v>16</v>
      </c>
      <c r="BN67" s="146">
        <f t="shared" si="27"/>
        <v>20</v>
      </c>
      <c r="BO67" s="147">
        <v>10</v>
      </c>
      <c r="BP67" s="147">
        <v>20</v>
      </c>
      <c r="BQ67" s="146">
        <f t="shared" si="28"/>
        <v>50</v>
      </c>
      <c r="BR67" s="263"/>
      <c r="BS67" s="147">
        <f t="shared" si="29"/>
        <v>3</v>
      </c>
      <c r="BT67" s="116">
        <v>5</v>
      </c>
      <c r="BU67" s="147">
        <v>17</v>
      </c>
      <c r="BV67" s="146">
        <f t="shared" si="30"/>
        <v>22</v>
      </c>
      <c r="BW67" s="147">
        <v>12</v>
      </c>
      <c r="BX67" s="147">
        <v>22</v>
      </c>
      <c r="BY67" s="146">
        <f t="shared" si="31"/>
        <v>56</v>
      </c>
      <c r="BZ67" s="264"/>
      <c r="CA67" s="147">
        <f t="shared" si="32"/>
        <v>3</v>
      </c>
      <c r="CB67" s="116">
        <v>10</v>
      </c>
      <c r="CC67" s="147">
        <v>0</v>
      </c>
      <c r="CD67" s="146">
        <f t="shared" si="33"/>
        <v>10</v>
      </c>
      <c r="CE67" s="147">
        <v>7</v>
      </c>
      <c r="CF67" s="147">
        <v>22</v>
      </c>
      <c r="CG67" s="146">
        <f t="shared" si="34"/>
        <v>39</v>
      </c>
      <c r="CH67" s="263"/>
      <c r="CI67" s="129" t="str">
        <f t="shared" si="35"/>
        <v>0</v>
      </c>
      <c r="CJ67" s="147" t="str">
        <f t="shared" si="4"/>
        <v>F</v>
      </c>
      <c r="CK67" s="130" t="str">
        <f t="shared" si="36"/>
        <v>F</v>
      </c>
      <c r="CL67" s="130" t="str">
        <f t="shared" si="37"/>
        <v>F</v>
      </c>
      <c r="CM67" s="37" t="str">
        <f t="shared" si="5"/>
        <v>NEED TO PROGRESS</v>
      </c>
      <c r="CN67" s="38">
        <f t="shared" si="6"/>
        <v>596</v>
      </c>
      <c r="CO67" s="37" t="str">
        <f t="shared" si="38"/>
        <v>F</v>
      </c>
      <c r="CP67" s="40"/>
    </row>
    <row r="68" spans="1:94" s="41" customFormat="1" ht="27" customHeight="1">
      <c r="A68" s="207">
        <v>61</v>
      </c>
      <c r="B68" s="117">
        <v>71</v>
      </c>
      <c r="C68" s="118" t="s">
        <v>324</v>
      </c>
      <c r="D68" s="69" t="s">
        <v>325</v>
      </c>
      <c r="E68" s="69" t="s">
        <v>326</v>
      </c>
      <c r="F68" s="70" t="s">
        <v>327</v>
      </c>
      <c r="G68" s="116">
        <v>9</v>
      </c>
      <c r="H68" s="147">
        <v>17</v>
      </c>
      <c r="I68" s="146">
        <f t="shared" si="8"/>
        <v>26</v>
      </c>
      <c r="J68" s="147">
        <v>14</v>
      </c>
      <c r="K68" s="146">
        <f t="shared" si="42"/>
        <v>40</v>
      </c>
      <c r="L68" s="116">
        <v>13</v>
      </c>
      <c r="M68" s="147">
        <v>22</v>
      </c>
      <c r="N68" s="146">
        <f t="shared" si="9"/>
        <v>35</v>
      </c>
      <c r="O68" s="147">
        <v>12</v>
      </c>
      <c r="P68" s="146">
        <f t="shared" si="41"/>
        <v>47</v>
      </c>
      <c r="Q68" s="146">
        <f t="shared" si="11"/>
        <v>87</v>
      </c>
      <c r="R68" s="263"/>
      <c r="S68" s="147">
        <f t="shared" si="12"/>
        <v>2</v>
      </c>
      <c r="T68" s="116">
        <v>13</v>
      </c>
      <c r="U68" s="147">
        <v>32</v>
      </c>
      <c r="V68" s="146">
        <f t="shared" si="13"/>
        <v>45</v>
      </c>
      <c r="W68" s="147">
        <v>8</v>
      </c>
      <c r="X68" s="147">
        <v>32</v>
      </c>
      <c r="Y68" s="146">
        <f t="shared" si="14"/>
        <v>40</v>
      </c>
      <c r="Z68" s="146">
        <f t="shared" si="15"/>
        <v>85</v>
      </c>
      <c r="AA68" s="263"/>
      <c r="AB68" s="147">
        <f t="shared" si="0"/>
        <v>2</v>
      </c>
      <c r="AC68" s="116">
        <v>3</v>
      </c>
      <c r="AD68" s="147">
        <v>11</v>
      </c>
      <c r="AE68" s="146">
        <f t="shared" si="16"/>
        <v>14</v>
      </c>
      <c r="AF68" s="147">
        <v>12</v>
      </c>
      <c r="AG68" s="146">
        <f t="shared" si="17"/>
        <v>26</v>
      </c>
      <c r="AH68" s="263"/>
      <c r="AI68" s="147" t="str">
        <f t="shared" si="1"/>
        <v>F</v>
      </c>
      <c r="AJ68" s="116">
        <v>9</v>
      </c>
      <c r="AK68" s="147">
        <v>14</v>
      </c>
      <c r="AL68" s="146">
        <f t="shared" si="18"/>
        <v>23</v>
      </c>
      <c r="AM68" s="147">
        <v>18</v>
      </c>
      <c r="AN68" s="146">
        <f t="shared" si="19"/>
        <v>41</v>
      </c>
      <c r="AO68" s="263"/>
      <c r="AP68" s="147" t="str">
        <f t="shared" si="2"/>
        <v>F</v>
      </c>
      <c r="AQ68" s="116"/>
      <c r="AR68" s="147">
        <v>16</v>
      </c>
      <c r="AS68" s="147">
        <v>15</v>
      </c>
      <c r="AT68" s="147">
        <f t="shared" si="20"/>
        <v>31</v>
      </c>
      <c r="AU68" s="264"/>
      <c r="AV68" s="147">
        <f t="shared" si="21"/>
        <v>3.5</v>
      </c>
      <c r="AW68" s="116">
        <v>9</v>
      </c>
      <c r="AX68" s="147">
        <v>19</v>
      </c>
      <c r="AY68" s="146">
        <f t="shared" si="22"/>
        <v>28</v>
      </c>
      <c r="AZ68" s="147">
        <v>12</v>
      </c>
      <c r="BA68" s="146">
        <f t="shared" si="23"/>
        <v>40</v>
      </c>
      <c r="BB68" s="263"/>
      <c r="BC68" s="147">
        <f t="shared" si="24"/>
        <v>2</v>
      </c>
      <c r="BD68" s="116">
        <v>2</v>
      </c>
      <c r="BE68" s="147">
        <v>1</v>
      </c>
      <c r="BF68" s="146">
        <f t="shared" si="25"/>
        <v>3</v>
      </c>
      <c r="BG68" s="147">
        <v>10</v>
      </c>
      <c r="BH68" s="147">
        <v>20</v>
      </c>
      <c r="BI68" s="146">
        <f t="shared" si="26"/>
        <v>33</v>
      </c>
      <c r="BJ68" s="264"/>
      <c r="BK68" s="147" t="str">
        <f t="shared" si="3"/>
        <v>F</v>
      </c>
      <c r="BL68" s="116">
        <v>1</v>
      </c>
      <c r="BM68" s="147">
        <v>1</v>
      </c>
      <c r="BN68" s="146">
        <f t="shared" si="27"/>
        <v>2</v>
      </c>
      <c r="BO68" s="147">
        <v>8</v>
      </c>
      <c r="BP68" s="147">
        <v>20</v>
      </c>
      <c r="BQ68" s="146">
        <f t="shared" si="28"/>
        <v>30</v>
      </c>
      <c r="BR68" s="263"/>
      <c r="BS68" s="147" t="str">
        <f t="shared" si="29"/>
        <v>F</v>
      </c>
      <c r="BT68" s="116">
        <v>5</v>
      </c>
      <c r="BU68" s="147">
        <v>10</v>
      </c>
      <c r="BV68" s="146">
        <f t="shared" si="30"/>
        <v>15</v>
      </c>
      <c r="BW68" s="147">
        <v>11</v>
      </c>
      <c r="BX68" s="147">
        <v>22</v>
      </c>
      <c r="BY68" s="146">
        <f t="shared" si="31"/>
        <v>48</v>
      </c>
      <c r="BZ68" s="264"/>
      <c r="CA68" s="147" t="str">
        <f t="shared" si="32"/>
        <v>F</v>
      </c>
      <c r="CB68" s="116">
        <v>5</v>
      </c>
      <c r="CC68" s="147">
        <v>0</v>
      </c>
      <c r="CD68" s="146">
        <f t="shared" si="33"/>
        <v>5</v>
      </c>
      <c r="CE68" s="147">
        <v>9</v>
      </c>
      <c r="CF68" s="147">
        <v>22</v>
      </c>
      <c r="CG68" s="146">
        <f t="shared" si="34"/>
        <v>36</v>
      </c>
      <c r="CH68" s="263"/>
      <c r="CI68" s="129" t="str">
        <f t="shared" si="35"/>
        <v>0</v>
      </c>
      <c r="CJ68" s="147" t="str">
        <f t="shared" si="4"/>
        <v>F</v>
      </c>
      <c r="CK68" s="130" t="str">
        <f t="shared" si="36"/>
        <v>F</v>
      </c>
      <c r="CL68" s="130" t="str">
        <f t="shared" si="37"/>
        <v>F</v>
      </c>
      <c r="CM68" s="37" t="str">
        <f t="shared" si="5"/>
        <v>NEED TO PROGRESS</v>
      </c>
      <c r="CN68" s="38">
        <f t="shared" si="6"/>
        <v>457</v>
      </c>
      <c r="CO68" s="37" t="str">
        <f t="shared" si="38"/>
        <v>F</v>
      </c>
      <c r="CP68" s="40"/>
    </row>
    <row r="69" spans="1:94" s="41" customFormat="1" ht="27" customHeight="1">
      <c r="A69" s="207">
        <v>62</v>
      </c>
      <c r="B69" s="117">
        <v>72</v>
      </c>
      <c r="C69" s="179" t="s">
        <v>328</v>
      </c>
      <c r="D69" s="95" t="s">
        <v>329</v>
      </c>
      <c r="E69" s="95" t="s">
        <v>330</v>
      </c>
      <c r="F69" s="96" t="s">
        <v>331</v>
      </c>
      <c r="G69" s="116">
        <v>12</v>
      </c>
      <c r="H69" s="147">
        <v>18</v>
      </c>
      <c r="I69" s="146">
        <f t="shared" si="8"/>
        <v>30</v>
      </c>
      <c r="J69" s="147">
        <v>16</v>
      </c>
      <c r="K69" s="146">
        <f t="shared" si="42"/>
        <v>46</v>
      </c>
      <c r="L69" s="116">
        <v>16</v>
      </c>
      <c r="M69" s="147">
        <v>30</v>
      </c>
      <c r="N69" s="146">
        <f t="shared" si="9"/>
        <v>46</v>
      </c>
      <c r="O69" s="147">
        <v>15</v>
      </c>
      <c r="P69" s="146">
        <f t="shared" si="41"/>
        <v>61</v>
      </c>
      <c r="Q69" s="146">
        <f t="shared" si="11"/>
        <v>107</v>
      </c>
      <c r="R69" s="263"/>
      <c r="S69" s="147">
        <f t="shared" si="12"/>
        <v>3</v>
      </c>
      <c r="T69" s="116">
        <v>14</v>
      </c>
      <c r="U69" s="147">
        <v>42</v>
      </c>
      <c r="V69" s="146">
        <f t="shared" si="13"/>
        <v>56</v>
      </c>
      <c r="W69" s="147">
        <v>14</v>
      </c>
      <c r="X69" s="147">
        <v>32</v>
      </c>
      <c r="Y69" s="146">
        <f t="shared" si="14"/>
        <v>46</v>
      </c>
      <c r="Z69" s="146">
        <f t="shared" si="15"/>
        <v>102</v>
      </c>
      <c r="AA69" s="263"/>
      <c r="AB69" s="147">
        <f t="shared" si="0"/>
        <v>3</v>
      </c>
      <c r="AC69" s="116">
        <v>10</v>
      </c>
      <c r="AD69" s="147">
        <v>18</v>
      </c>
      <c r="AE69" s="146">
        <f t="shared" si="16"/>
        <v>28</v>
      </c>
      <c r="AF69" s="147">
        <v>12</v>
      </c>
      <c r="AG69" s="146">
        <f t="shared" si="17"/>
        <v>40</v>
      </c>
      <c r="AH69" s="263"/>
      <c r="AI69" s="147">
        <f t="shared" si="1"/>
        <v>2</v>
      </c>
      <c r="AJ69" s="116">
        <v>14</v>
      </c>
      <c r="AK69" s="147">
        <v>26</v>
      </c>
      <c r="AL69" s="146">
        <f t="shared" si="18"/>
        <v>40</v>
      </c>
      <c r="AM69" s="147">
        <v>17</v>
      </c>
      <c r="AN69" s="146">
        <f t="shared" si="19"/>
        <v>57</v>
      </c>
      <c r="AO69" s="263"/>
      <c r="AP69" s="147">
        <f t="shared" si="2"/>
        <v>3</v>
      </c>
      <c r="AQ69" s="116"/>
      <c r="AR69" s="147">
        <v>20</v>
      </c>
      <c r="AS69" s="147">
        <v>23</v>
      </c>
      <c r="AT69" s="147">
        <f t="shared" si="20"/>
        <v>43</v>
      </c>
      <c r="AU69" s="264"/>
      <c r="AV69" s="147">
        <f t="shared" si="21"/>
        <v>5</v>
      </c>
      <c r="AW69" s="116">
        <v>12</v>
      </c>
      <c r="AX69" s="147">
        <v>18</v>
      </c>
      <c r="AY69" s="146">
        <f t="shared" si="22"/>
        <v>30</v>
      </c>
      <c r="AZ69" s="147">
        <v>12</v>
      </c>
      <c r="BA69" s="146">
        <f t="shared" si="23"/>
        <v>42</v>
      </c>
      <c r="BB69" s="263"/>
      <c r="BC69" s="147">
        <f t="shared" si="24"/>
        <v>2</v>
      </c>
      <c r="BD69" s="116">
        <v>4</v>
      </c>
      <c r="BE69" s="147">
        <v>5</v>
      </c>
      <c r="BF69" s="146">
        <f t="shared" si="25"/>
        <v>9</v>
      </c>
      <c r="BG69" s="147">
        <v>12</v>
      </c>
      <c r="BH69" s="147">
        <v>20</v>
      </c>
      <c r="BI69" s="146">
        <f t="shared" si="26"/>
        <v>41</v>
      </c>
      <c r="BJ69" s="264"/>
      <c r="BK69" s="147" t="str">
        <f t="shared" si="3"/>
        <v>F</v>
      </c>
      <c r="BL69" s="116">
        <v>1</v>
      </c>
      <c r="BM69" s="147">
        <v>6</v>
      </c>
      <c r="BN69" s="146">
        <f t="shared" si="27"/>
        <v>7</v>
      </c>
      <c r="BO69" s="147">
        <v>6</v>
      </c>
      <c r="BP69" s="147">
        <v>20</v>
      </c>
      <c r="BQ69" s="146">
        <f t="shared" si="28"/>
        <v>33</v>
      </c>
      <c r="BR69" s="263"/>
      <c r="BS69" s="147" t="str">
        <f t="shared" si="29"/>
        <v>F</v>
      </c>
      <c r="BT69" s="116">
        <v>6</v>
      </c>
      <c r="BU69" s="147">
        <v>7</v>
      </c>
      <c r="BV69" s="146">
        <f t="shared" si="30"/>
        <v>13</v>
      </c>
      <c r="BW69" s="147">
        <v>11</v>
      </c>
      <c r="BX69" s="147">
        <v>22</v>
      </c>
      <c r="BY69" s="146">
        <f t="shared" si="31"/>
        <v>46</v>
      </c>
      <c r="BZ69" s="264"/>
      <c r="CA69" s="147" t="str">
        <f t="shared" si="32"/>
        <v>F</v>
      </c>
      <c r="CB69" s="116">
        <v>5</v>
      </c>
      <c r="CC69" s="147">
        <v>17</v>
      </c>
      <c r="CD69" s="146">
        <f t="shared" si="33"/>
        <v>22</v>
      </c>
      <c r="CE69" s="147">
        <v>10</v>
      </c>
      <c r="CF69" s="147">
        <v>22</v>
      </c>
      <c r="CG69" s="146">
        <f t="shared" si="34"/>
        <v>54</v>
      </c>
      <c r="CH69" s="263"/>
      <c r="CI69" s="129">
        <f t="shared" si="35"/>
        <v>3</v>
      </c>
      <c r="CJ69" s="147" t="str">
        <f t="shared" si="4"/>
        <v>F</v>
      </c>
      <c r="CK69" s="130" t="str">
        <f t="shared" si="36"/>
        <v>F</v>
      </c>
      <c r="CL69" s="130" t="str">
        <f t="shared" si="37"/>
        <v>F</v>
      </c>
      <c r="CM69" s="37" t="str">
        <f t="shared" si="5"/>
        <v>NEED TO PROGRESS</v>
      </c>
      <c r="CN69" s="38">
        <f t="shared" si="6"/>
        <v>565</v>
      </c>
      <c r="CO69" s="37" t="str">
        <f t="shared" si="38"/>
        <v>F</v>
      </c>
      <c r="CP69" s="40"/>
    </row>
    <row r="70" spans="1:94" s="41" customFormat="1" ht="27" customHeight="1">
      <c r="A70" s="207">
        <v>63</v>
      </c>
      <c r="B70" s="117">
        <v>75</v>
      </c>
      <c r="C70" s="118" t="s">
        <v>332</v>
      </c>
      <c r="D70" s="69" t="s">
        <v>321</v>
      </c>
      <c r="E70" s="69" t="s">
        <v>333</v>
      </c>
      <c r="F70" s="70" t="s">
        <v>334</v>
      </c>
      <c r="G70" s="116">
        <v>10</v>
      </c>
      <c r="H70" s="147">
        <v>11</v>
      </c>
      <c r="I70" s="146">
        <f t="shared" si="8"/>
        <v>21</v>
      </c>
      <c r="J70" s="147">
        <v>12</v>
      </c>
      <c r="K70" s="146">
        <f t="shared" si="42"/>
        <v>33</v>
      </c>
      <c r="L70" s="116">
        <v>15</v>
      </c>
      <c r="M70" s="147">
        <v>19</v>
      </c>
      <c r="N70" s="146">
        <f t="shared" si="9"/>
        <v>34</v>
      </c>
      <c r="O70" s="147">
        <v>26</v>
      </c>
      <c r="P70" s="146">
        <f t="shared" si="41"/>
        <v>60</v>
      </c>
      <c r="Q70" s="146">
        <f t="shared" si="11"/>
        <v>93</v>
      </c>
      <c r="R70" s="263"/>
      <c r="S70" s="147" t="str">
        <f t="shared" si="12"/>
        <v>F</v>
      </c>
      <c r="T70" s="116">
        <v>13</v>
      </c>
      <c r="U70" s="147">
        <v>32</v>
      </c>
      <c r="V70" s="146">
        <f t="shared" si="13"/>
        <v>45</v>
      </c>
      <c r="W70" s="147">
        <v>9</v>
      </c>
      <c r="X70" s="147">
        <v>16</v>
      </c>
      <c r="Y70" s="146">
        <f t="shared" si="14"/>
        <v>25</v>
      </c>
      <c r="Z70" s="146">
        <f t="shared" si="15"/>
        <v>70</v>
      </c>
      <c r="AA70" s="263"/>
      <c r="AB70" s="147" t="str">
        <f t="shared" si="0"/>
        <v>F</v>
      </c>
      <c r="AC70" s="116">
        <v>10</v>
      </c>
      <c r="AD70" s="147">
        <v>7</v>
      </c>
      <c r="AE70" s="146">
        <f t="shared" si="16"/>
        <v>17</v>
      </c>
      <c r="AF70" s="147">
        <v>12</v>
      </c>
      <c r="AG70" s="146">
        <f t="shared" si="17"/>
        <v>29</v>
      </c>
      <c r="AH70" s="263"/>
      <c r="AI70" s="147" t="str">
        <f t="shared" si="1"/>
        <v>F</v>
      </c>
      <c r="AJ70" s="116">
        <v>12</v>
      </c>
      <c r="AK70" s="147">
        <v>17</v>
      </c>
      <c r="AL70" s="146">
        <f t="shared" si="18"/>
        <v>29</v>
      </c>
      <c r="AM70" s="147">
        <v>16</v>
      </c>
      <c r="AN70" s="146">
        <f t="shared" si="19"/>
        <v>45</v>
      </c>
      <c r="AO70" s="263"/>
      <c r="AP70" s="147">
        <f t="shared" si="2"/>
        <v>2</v>
      </c>
      <c r="AQ70" s="116"/>
      <c r="AR70" s="147">
        <v>20</v>
      </c>
      <c r="AS70" s="147">
        <v>25</v>
      </c>
      <c r="AT70" s="147">
        <f t="shared" si="20"/>
        <v>45</v>
      </c>
      <c r="AU70" s="264"/>
      <c r="AV70" s="147">
        <f t="shared" si="21"/>
        <v>5</v>
      </c>
      <c r="AW70" s="116">
        <v>8</v>
      </c>
      <c r="AX70" s="147">
        <v>5</v>
      </c>
      <c r="AY70" s="146">
        <f t="shared" si="22"/>
        <v>13</v>
      </c>
      <c r="AZ70" s="147">
        <v>17</v>
      </c>
      <c r="BA70" s="146">
        <f t="shared" si="23"/>
        <v>30</v>
      </c>
      <c r="BB70" s="263"/>
      <c r="BC70" s="147" t="str">
        <f t="shared" si="24"/>
        <v>F</v>
      </c>
      <c r="BD70" s="116">
        <v>4</v>
      </c>
      <c r="BE70" s="147">
        <v>20</v>
      </c>
      <c r="BF70" s="146">
        <f t="shared" si="25"/>
        <v>24</v>
      </c>
      <c r="BG70" s="147">
        <v>12</v>
      </c>
      <c r="BH70" s="147">
        <v>25</v>
      </c>
      <c r="BI70" s="146">
        <f t="shared" si="26"/>
        <v>61</v>
      </c>
      <c r="BJ70" s="264"/>
      <c r="BK70" s="147">
        <f t="shared" si="3"/>
        <v>3.5</v>
      </c>
      <c r="BL70" s="116">
        <v>1</v>
      </c>
      <c r="BM70" s="147">
        <v>21</v>
      </c>
      <c r="BN70" s="146">
        <f t="shared" si="27"/>
        <v>22</v>
      </c>
      <c r="BO70" s="147">
        <v>10</v>
      </c>
      <c r="BP70" s="147">
        <v>21</v>
      </c>
      <c r="BQ70" s="146">
        <f t="shared" si="28"/>
        <v>53</v>
      </c>
      <c r="BR70" s="263"/>
      <c r="BS70" s="147">
        <f t="shared" si="29"/>
        <v>3</v>
      </c>
      <c r="BT70" s="116">
        <v>6</v>
      </c>
      <c r="BU70" s="147">
        <v>18</v>
      </c>
      <c r="BV70" s="146">
        <f t="shared" si="30"/>
        <v>24</v>
      </c>
      <c r="BW70" s="147">
        <v>11</v>
      </c>
      <c r="BX70" s="147">
        <v>22</v>
      </c>
      <c r="BY70" s="146">
        <f t="shared" si="31"/>
        <v>57</v>
      </c>
      <c r="BZ70" s="264"/>
      <c r="CA70" s="147">
        <f t="shared" si="32"/>
        <v>3</v>
      </c>
      <c r="CB70" s="116">
        <v>4</v>
      </c>
      <c r="CC70" s="147">
        <v>7</v>
      </c>
      <c r="CD70" s="146">
        <f t="shared" si="33"/>
        <v>11</v>
      </c>
      <c r="CE70" s="147">
        <v>8</v>
      </c>
      <c r="CF70" s="147">
        <v>23</v>
      </c>
      <c r="CG70" s="146">
        <f t="shared" si="34"/>
        <v>42</v>
      </c>
      <c r="CH70" s="263"/>
      <c r="CI70" s="129" t="str">
        <f t="shared" si="35"/>
        <v>0</v>
      </c>
      <c r="CJ70" s="147" t="str">
        <f t="shared" si="4"/>
        <v>F</v>
      </c>
      <c r="CK70" s="130" t="str">
        <f t="shared" si="36"/>
        <v>F</v>
      </c>
      <c r="CL70" s="130" t="str">
        <f t="shared" si="37"/>
        <v>F</v>
      </c>
      <c r="CM70" s="37" t="str">
        <f t="shared" si="5"/>
        <v>NEED TO PROGRESS</v>
      </c>
      <c r="CN70" s="38">
        <f t="shared" si="6"/>
        <v>525</v>
      </c>
      <c r="CO70" s="37" t="str">
        <f t="shared" si="38"/>
        <v>F</v>
      </c>
      <c r="CP70" s="40"/>
    </row>
    <row r="71" spans="1:94" s="41" customFormat="1" ht="27" customHeight="1">
      <c r="A71" s="207">
        <v>64</v>
      </c>
      <c r="B71" s="117">
        <v>79</v>
      </c>
      <c r="C71" s="118" t="s">
        <v>335</v>
      </c>
      <c r="D71" s="69"/>
      <c r="E71" s="69"/>
      <c r="F71" s="70"/>
      <c r="G71" s="116"/>
      <c r="H71" s="147"/>
      <c r="I71" s="146">
        <f t="shared" si="8"/>
        <v>0</v>
      </c>
      <c r="J71" s="116"/>
      <c r="K71" s="146">
        <f t="shared" si="42"/>
        <v>0</v>
      </c>
      <c r="L71" s="116"/>
      <c r="M71" s="147"/>
      <c r="N71" s="146">
        <f t="shared" si="9"/>
        <v>0</v>
      </c>
      <c r="O71" s="147"/>
      <c r="P71" s="146">
        <f t="shared" si="41"/>
        <v>0</v>
      </c>
      <c r="Q71" s="146">
        <f t="shared" si="11"/>
        <v>0</v>
      </c>
      <c r="R71" s="263"/>
      <c r="S71" s="147" t="str">
        <f t="shared" si="12"/>
        <v>F</v>
      </c>
      <c r="T71" s="116"/>
      <c r="U71" s="146"/>
      <c r="V71" s="146">
        <f t="shared" si="13"/>
        <v>0</v>
      </c>
      <c r="W71" s="116"/>
      <c r="X71" s="146"/>
      <c r="Y71" s="146">
        <f t="shared" si="14"/>
        <v>0</v>
      </c>
      <c r="Z71" s="146">
        <f t="shared" si="15"/>
        <v>0</v>
      </c>
      <c r="AA71" s="263"/>
      <c r="AB71" s="147" t="str">
        <f t="shared" si="0"/>
        <v>F</v>
      </c>
      <c r="AC71" s="116"/>
      <c r="AD71" s="147"/>
      <c r="AE71" s="146">
        <f t="shared" si="16"/>
        <v>0</v>
      </c>
      <c r="AF71" s="147"/>
      <c r="AG71" s="146">
        <f t="shared" si="17"/>
        <v>0</v>
      </c>
      <c r="AH71" s="263"/>
      <c r="AI71" s="147" t="str">
        <f t="shared" si="1"/>
        <v>F</v>
      </c>
      <c r="AJ71" s="116"/>
      <c r="AK71" s="147"/>
      <c r="AL71" s="146">
        <f t="shared" si="18"/>
        <v>0</v>
      </c>
      <c r="AM71" s="147"/>
      <c r="AN71" s="146">
        <f t="shared" si="19"/>
        <v>0</v>
      </c>
      <c r="AO71" s="263"/>
      <c r="AP71" s="147" t="str">
        <f t="shared" si="2"/>
        <v>F</v>
      </c>
      <c r="AQ71" s="116"/>
      <c r="AR71" s="147"/>
      <c r="AS71" s="147"/>
      <c r="AT71" s="147">
        <f t="shared" si="20"/>
        <v>0</v>
      </c>
      <c r="AU71" s="264"/>
      <c r="AV71" s="147" t="str">
        <f t="shared" si="21"/>
        <v>F</v>
      </c>
      <c r="AW71" s="116"/>
      <c r="AX71" s="147"/>
      <c r="AY71" s="146">
        <f t="shared" si="22"/>
        <v>0</v>
      </c>
      <c r="AZ71" s="147"/>
      <c r="BA71" s="146">
        <f t="shared" si="23"/>
        <v>0</v>
      </c>
      <c r="BB71" s="263"/>
      <c r="BC71" s="147" t="str">
        <f t="shared" si="24"/>
        <v>F</v>
      </c>
      <c r="BD71" s="116"/>
      <c r="BE71" s="147"/>
      <c r="BF71" s="146">
        <f t="shared" si="25"/>
        <v>0</v>
      </c>
      <c r="BG71" s="147"/>
      <c r="BH71" s="147"/>
      <c r="BI71" s="146">
        <f t="shared" si="26"/>
        <v>0</v>
      </c>
      <c r="BJ71" s="264"/>
      <c r="BK71" s="147" t="str">
        <f t="shared" si="3"/>
        <v>F</v>
      </c>
      <c r="BL71" s="116"/>
      <c r="BM71" s="147"/>
      <c r="BN71" s="146">
        <f t="shared" si="27"/>
        <v>0</v>
      </c>
      <c r="BO71" s="147"/>
      <c r="BP71" s="147"/>
      <c r="BQ71" s="146">
        <f t="shared" si="28"/>
        <v>0</v>
      </c>
      <c r="BR71" s="263"/>
      <c r="BS71" s="147" t="str">
        <f t="shared" si="29"/>
        <v>F</v>
      </c>
      <c r="BT71" s="116"/>
      <c r="BU71" s="147"/>
      <c r="BV71" s="146">
        <f t="shared" si="30"/>
        <v>0</v>
      </c>
      <c r="BW71" s="147"/>
      <c r="BX71" s="147"/>
      <c r="BY71" s="146">
        <f t="shared" si="31"/>
        <v>0</v>
      </c>
      <c r="BZ71" s="264"/>
      <c r="CA71" s="147" t="str">
        <f t="shared" si="32"/>
        <v>F</v>
      </c>
      <c r="CB71" s="116"/>
      <c r="CC71" s="147"/>
      <c r="CD71" s="146">
        <f t="shared" si="33"/>
        <v>0</v>
      </c>
      <c r="CE71" s="147"/>
      <c r="CF71" s="147"/>
      <c r="CG71" s="146">
        <f t="shared" si="34"/>
        <v>0</v>
      </c>
      <c r="CH71" s="263"/>
      <c r="CI71" s="129" t="str">
        <f t="shared" si="35"/>
        <v>0</v>
      </c>
      <c r="CJ71" s="147" t="str">
        <f t="shared" si="4"/>
        <v>F</v>
      </c>
      <c r="CK71" s="130" t="str">
        <f t="shared" si="36"/>
        <v>F</v>
      </c>
      <c r="CL71" s="130" t="str">
        <f t="shared" si="37"/>
        <v>F</v>
      </c>
      <c r="CM71" s="37" t="str">
        <f t="shared" si="5"/>
        <v>NEED TO PROGRESS</v>
      </c>
      <c r="CN71" s="38">
        <f t="shared" si="6"/>
        <v>0</v>
      </c>
      <c r="CO71" s="37" t="str">
        <f t="shared" si="38"/>
        <v>F</v>
      </c>
      <c r="CP71" s="40"/>
    </row>
    <row r="72" spans="1:94" s="41" customFormat="1" ht="27" customHeight="1">
      <c r="A72" s="207">
        <v>65</v>
      </c>
      <c r="B72" s="117">
        <v>87</v>
      </c>
      <c r="C72" s="118" t="s">
        <v>336</v>
      </c>
      <c r="D72" s="69" t="s">
        <v>337</v>
      </c>
      <c r="E72" s="69" t="s">
        <v>338</v>
      </c>
      <c r="F72" s="70" t="s">
        <v>339</v>
      </c>
      <c r="G72" s="116">
        <v>12</v>
      </c>
      <c r="H72" s="147">
        <v>11</v>
      </c>
      <c r="I72" s="146">
        <f t="shared" si="8"/>
        <v>23</v>
      </c>
      <c r="J72" s="147">
        <v>14</v>
      </c>
      <c r="K72" s="146">
        <f t="shared" si="42"/>
        <v>37</v>
      </c>
      <c r="L72" s="116">
        <v>16</v>
      </c>
      <c r="M72" s="147">
        <v>29</v>
      </c>
      <c r="N72" s="146">
        <f t="shared" si="9"/>
        <v>45</v>
      </c>
      <c r="O72" s="147">
        <v>28</v>
      </c>
      <c r="P72" s="146">
        <f t="shared" si="41"/>
        <v>73</v>
      </c>
      <c r="Q72" s="146">
        <f t="shared" si="11"/>
        <v>110</v>
      </c>
      <c r="R72" s="263"/>
      <c r="S72" s="147">
        <f t="shared" si="12"/>
        <v>3</v>
      </c>
      <c r="T72" s="116">
        <v>12</v>
      </c>
      <c r="U72" s="147">
        <v>37</v>
      </c>
      <c r="V72" s="146">
        <f t="shared" si="13"/>
        <v>49</v>
      </c>
      <c r="W72" s="147">
        <v>10</v>
      </c>
      <c r="X72" s="147">
        <v>40</v>
      </c>
      <c r="Y72" s="146">
        <f t="shared" si="14"/>
        <v>50</v>
      </c>
      <c r="Z72" s="146">
        <f t="shared" si="15"/>
        <v>99</v>
      </c>
      <c r="AA72" s="263"/>
      <c r="AB72" s="147">
        <f t="shared" si="0"/>
        <v>2</v>
      </c>
      <c r="AC72" s="116">
        <v>12</v>
      </c>
      <c r="AD72" s="147">
        <v>21</v>
      </c>
      <c r="AE72" s="146">
        <f t="shared" si="16"/>
        <v>33</v>
      </c>
      <c r="AF72" s="147">
        <v>17</v>
      </c>
      <c r="AG72" s="146">
        <f t="shared" si="17"/>
        <v>50</v>
      </c>
      <c r="AH72" s="263"/>
      <c r="AI72" s="147">
        <f t="shared" ref="AI72:AI95" si="43">IF(AE72&lt;28,"F",IF(AF72&lt;12,"F",IF(AG72&lt;40,"F",IF(AG72&lt;50,2,IF(AG72&lt;60,3,IF(AG72&lt;70,3.5,IF(AG72&lt;80,4,5)))))))</f>
        <v>3</v>
      </c>
      <c r="AJ72" s="116">
        <v>10</v>
      </c>
      <c r="AK72" s="147">
        <v>28</v>
      </c>
      <c r="AL72" s="146">
        <f t="shared" si="18"/>
        <v>38</v>
      </c>
      <c r="AM72" s="147">
        <v>21</v>
      </c>
      <c r="AN72" s="146">
        <f t="shared" si="19"/>
        <v>59</v>
      </c>
      <c r="AO72" s="263"/>
      <c r="AP72" s="147">
        <f t="shared" ref="AP72:AP95" si="44">IF(AL72&lt;28,"F",IF(AM72&lt;12,"F",IF(AN72&lt;40,"F",IF(AN72&lt;50,2,IF(AN72&lt;60,3,IF(AN72&lt;70,3.5,IF(AN72&lt;80,4,5)))))))</f>
        <v>3</v>
      </c>
      <c r="AQ72" s="116"/>
      <c r="AR72" s="147">
        <v>22</v>
      </c>
      <c r="AS72" s="147">
        <v>25</v>
      </c>
      <c r="AT72" s="147">
        <f t="shared" si="20"/>
        <v>47</v>
      </c>
      <c r="AU72" s="264"/>
      <c r="AV72" s="147">
        <f t="shared" si="21"/>
        <v>5</v>
      </c>
      <c r="AW72" s="116">
        <v>10</v>
      </c>
      <c r="AX72" s="147">
        <v>18</v>
      </c>
      <c r="AY72" s="146">
        <f t="shared" si="22"/>
        <v>28</v>
      </c>
      <c r="AZ72" s="147">
        <v>25</v>
      </c>
      <c r="BA72" s="146">
        <f t="shared" si="23"/>
        <v>53</v>
      </c>
      <c r="BB72" s="263"/>
      <c r="BC72" s="147">
        <f t="shared" si="24"/>
        <v>3</v>
      </c>
      <c r="BD72" s="116">
        <v>5</v>
      </c>
      <c r="BE72" s="147">
        <v>18</v>
      </c>
      <c r="BF72" s="146">
        <f t="shared" si="25"/>
        <v>23</v>
      </c>
      <c r="BG72" s="147">
        <v>13</v>
      </c>
      <c r="BH72" s="147">
        <v>25</v>
      </c>
      <c r="BI72" s="146">
        <f t="shared" si="26"/>
        <v>61</v>
      </c>
      <c r="BJ72" s="264"/>
      <c r="BK72" s="147">
        <f t="shared" si="3"/>
        <v>3.5</v>
      </c>
      <c r="BL72" s="116">
        <v>1</v>
      </c>
      <c r="BM72" s="147">
        <v>19</v>
      </c>
      <c r="BN72" s="146">
        <f t="shared" si="27"/>
        <v>20</v>
      </c>
      <c r="BO72" s="147">
        <v>23</v>
      </c>
      <c r="BP72" s="147">
        <v>20</v>
      </c>
      <c r="BQ72" s="146">
        <f t="shared" si="28"/>
        <v>63</v>
      </c>
      <c r="BR72" s="263"/>
      <c r="BS72" s="147">
        <f t="shared" si="29"/>
        <v>3.5</v>
      </c>
      <c r="BT72" s="116">
        <v>6</v>
      </c>
      <c r="BU72" s="147">
        <v>18</v>
      </c>
      <c r="BV72" s="146">
        <f t="shared" si="30"/>
        <v>24</v>
      </c>
      <c r="BW72" s="147">
        <v>14</v>
      </c>
      <c r="BX72" s="147">
        <v>22</v>
      </c>
      <c r="BY72" s="146">
        <f t="shared" si="31"/>
        <v>60</v>
      </c>
      <c r="BZ72" s="264"/>
      <c r="CA72" s="147">
        <f t="shared" si="32"/>
        <v>3.5</v>
      </c>
      <c r="CB72" s="116">
        <v>5</v>
      </c>
      <c r="CC72" s="147">
        <v>21</v>
      </c>
      <c r="CD72" s="146">
        <f t="shared" si="33"/>
        <v>26</v>
      </c>
      <c r="CE72" s="147">
        <v>16</v>
      </c>
      <c r="CF72" s="147">
        <v>22</v>
      </c>
      <c r="CG72" s="146">
        <f t="shared" si="34"/>
        <v>64</v>
      </c>
      <c r="CH72" s="263"/>
      <c r="CI72" s="129">
        <f t="shared" si="35"/>
        <v>3.5</v>
      </c>
      <c r="CJ72" s="147">
        <f t="shared" ref="CJ72:CJ95" si="45">IF(S72="F","F",IF(AB72="F","F",IF(AI72="F","F",IF(AP72="F","F",IF(BC72="F","F",IF(BK72="F","F",IF(BS72="F","F",IF(CA72="F","F",IF(CI72="F","F",IF(AV72="F","F", IF(CI72&lt;=2,SUM(S72,AB72,AI72,AP72,AV72,BC72,BK72,BS72,CA72,CI72),IF(CI72&gt;=2,SUM(S72,AB72,AI72,AP72,BC72,BK72,AV72,BS72,CA72,CI72-2)))))))))))))</f>
        <v>31</v>
      </c>
      <c r="CK72" s="130">
        <f t="shared" si="36"/>
        <v>3.4444444444444446</v>
      </c>
      <c r="CL72" s="130" t="str">
        <f t="shared" si="37"/>
        <v>B</v>
      </c>
      <c r="CM72" s="37" t="str">
        <f t="shared" ref="CM72:CM95" si="46">IF(CK72="F","NEED TO PROGRESS",IF(CK72&gt;=5,"BEST",IF(CK72&gt;=4,"BETTER",IF(CK72&gt;=2,"GOOD"))))</f>
        <v>GOOD</v>
      </c>
      <c r="CN72" s="38">
        <f t="shared" ref="CN72:CN95" si="47">Q72+Z72+AG72+AN72+AT72+BA72+BI72+BQ72+BY72+CG72</f>
        <v>666</v>
      </c>
      <c r="CO72" s="37">
        <f t="shared" si="38"/>
        <v>43</v>
      </c>
      <c r="CP72" s="40"/>
    </row>
    <row r="73" spans="1:94" s="41" customFormat="1" ht="27" customHeight="1">
      <c r="A73" s="207">
        <v>66</v>
      </c>
      <c r="B73" s="117">
        <v>99</v>
      </c>
      <c r="C73" s="179" t="s">
        <v>340</v>
      </c>
      <c r="D73" s="95" t="s">
        <v>341</v>
      </c>
      <c r="E73" s="95" t="s">
        <v>342</v>
      </c>
      <c r="F73" s="96" t="s">
        <v>343</v>
      </c>
      <c r="G73" s="116">
        <v>14</v>
      </c>
      <c r="H73" s="147">
        <v>7</v>
      </c>
      <c r="I73" s="146">
        <f t="shared" ref="I73:I95" si="48">H73+G73</f>
        <v>21</v>
      </c>
      <c r="J73" s="147">
        <v>17</v>
      </c>
      <c r="K73" s="146">
        <f t="shared" si="42"/>
        <v>38</v>
      </c>
      <c r="L73" s="116">
        <v>19</v>
      </c>
      <c r="M73" s="147">
        <v>13</v>
      </c>
      <c r="N73" s="146">
        <f t="shared" ref="N73:N95" si="49">M73+L73</f>
        <v>32</v>
      </c>
      <c r="O73" s="147">
        <v>25</v>
      </c>
      <c r="P73" s="146">
        <f t="shared" si="41"/>
        <v>57</v>
      </c>
      <c r="Q73" s="146">
        <f t="shared" ref="Q73:Q95" si="50">K73+P73</f>
        <v>95</v>
      </c>
      <c r="R73" s="263"/>
      <c r="S73" s="147" t="str">
        <f t="shared" ref="S73:S95" si="51">IF(I73+N73&lt;=56,"F",IF(I73+N73&lt;=24,"F",IF(Q73&lt;80,"F",IF(Q73&lt;100,2,IF(Q73&lt;120,3,IF(Q73&lt;140,3.5,IF(Q73&lt;160,4,5)))))))</f>
        <v>F</v>
      </c>
      <c r="T73" s="116">
        <v>11</v>
      </c>
      <c r="U73" s="147">
        <v>51</v>
      </c>
      <c r="V73" s="146">
        <f t="shared" ref="V73:V95" si="52">U73+T73</f>
        <v>62</v>
      </c>
      <c r="W73" s="147">
        <v>13</v>
      </c>
      <c r="X73" s="147">
        <v>30</v>
      </c>
      <c r="Y73" s="146">
        <f t="shared" ref="Y73:Y95" si="53">W73+X73</f>
        <v>43</v>
      </c>
      <c r="Z73" s="146">
        <f t="shared" ref="Z73:Z95" si="54">V73+Y73</f>
        <v>105</v>
      </c>
      <c r="AA73" s="263"/>
      <c r="AB73" s="147">
        <f t="shared" si="0"/>
        <v>3</v>
      </c>
      <c r="AC73" s="116">
        <v>16</v>
      </c>
      <c r="AD73" s="147">
        <v>21</v>
      </c>
      <c r="AE73" s="146">
        <f t="shared" ref="AE73:AE95" si="55">AD73+AC73</f>
        <v>37</v>
      </c>
      <c r="AF73" s="147">
        <v>17</v>
      </c>
      <c r="AG73" s="146">
        <f t="shared" ref="AG73:AG95" si="56">AF73+AE73</f>
        <v>54</v>
      </c>
      <c r="AH73" s="263"/>
      <c r="AI73" s="147">
        <f t="shared" si="43"/>
        <v>3</v>
      </c>
      <c r="AJ73" s="116">
        <v>16</v>
      </c>
      <c r="AK73" s="147">
        <v>15</v>
      </c>
      <c r="AL73" s="146">
        <f t="shared" ref="AL73:AL95" si="57">AK73+AJ73</f>
        <v>31</v>
      </c>
      <c r="AM73" s="147">
        <v>22</v>
      </c>
      <c r="AN73" s="146">
        <f t="shared" ref="AN73:AN95" si="58">AL73+AM73</f>
        <v>53</v>
      </c>
      <c r="AO73" s="263"/>
      <c r="AP73" s="147">
        <f t="shared" si="44"/>
        <v>3</v>
      </c>
      <c r="AQ73" s="116"/>
      <c r="AR73" s="147">
        <v>23</v>
      </c>
      <c r="AS73" s="147">
        <v>25</v>
      </c>
      <c r="AT73" s="147">
        <f t="shared" ref="AT73:AT95" si="59">SUM(AQ73:AS73)</f>
        <v>48</v>
      </c>
      <c r="AU73" s="264"/>
      <c r="AV73" s="147">
        <f t="shared" ref="AV73:AV95" si="60">IF(AR73&lt;10,"F",IF(AS73&lt;10,"F",IF(AT73&lt;20,"F",IF(AT73&lt;25,2,IF(AT73&lt;30,3,IF(AT73&lt;35,3.5,IF(AT73&lt;40,4,5)))))))</f>
        <v>5</v>
      </c>
      <c r="AW73" s="116">
        <v>10</v>
      </c>
      <c r="AX73" s="147">
        <v>8</v>
      </c>
      <c r="AY73" s="146">
        <f t="shared" ref="AY73:AY95" si="61">AX73+AW73</f>
        <v>18</v>
      </c>
      <c r="AZ73" s="147">
        <v>23</v>
      </c>
      <c r="BA73" s="146">
        <f t="shared" ref="BA73:BA95" si="62">AY73+AZ73</f>
        <v>41</v>
      </c>
      <c r="BB73" s="263"/>
      <c r="BC73" s="147" t="str">
        <f t="shared" ref="BC73:BC95" si="63">IF(AY73&lt;28,"F",IF(AZ73&lt;12,"F",IF(BA73&lt;40,"F",IF(BA73&lt;50,2,IF(BA73&lt;60,3,IF(BA73&lt;70,3.5,IF(BA73&lt;80,4,5)))))))</f>
        <v>F</v>
      </c>
      <c r="BD73" s="116">
        <v>5</v>
      </c>
      <c r="BE73" s="147">
        <v>18</v>
      </c>
      <c r="BF73" s="146">
        <f t="shared" ref="BF73:BF95" si="64">BE73+BD73</f>
        <v>23</v>
      </c>
      <c r="BG73" s="147">
        <v>18</v>
      </c>
      <c r="BH73" s="147">
        <v>25</v>
      </c>
      <c r="BI73" s="146">
        <f t="shared" ref="BI73:BI95" si="65">BF73+BG73+BH73</f>
        <v>66</v>
      </c>
      <c r="BJ73" s="264"/>
      <c r="BK73" s="147">
        <f t="shared" si="3"/>
        <v>3.5</v>
      </c>
      <c r="BL73" s="116">
        <v>6</v>
      </c>
      <c r="BM73" s="147">
        <v>16</v>
      </c>
      <c r="BN73" s="146">
        <f t="shared" ref="BN73:BN95" si="66">BM73+BL73</f>
        <v>22</v>
      </c>
      <c r="BO73" s="147">
        <v>14</v>
      </c>
      <c r="BP73" s="147">
        <v>20</v>
      </c>
      <c r="BQ73" s="146">
        <f t="shared" ref="BQ73:BQ95" si="67">BN73+BO73+BP73</f>
        <v>56</v>
      </c>
      <c r="BR73" s="263"/>
      <c r="BS73" s="147">
        <f t="shared" ref="BS73:BS95" si="68">IF(BN73&lt;20,"F",IF(BO73&lt;10,"F",IF(BP73&lt;10,"F",IF(BQ73&lt;40,"F",IF(BQ73&lt;50,2,IF(BQ73&lt;60,3,IF(BQ73&lt;70,3.5,IF(BQ73&lt;80,4,5))))))))</f>
        <v>3</v>
      </c>
      <c r="BT73" s="116">
        <v>9</v>
      </c>
      <c r="BU73" s="147">
        <v>5</v>
      </c>
      <c r="BV73" s="146">
        <f t="shared" ref="BV73:BV95" si="69">BU73+BT73</f>
        <v>14</v>
      </c>
      <c r="BW73" s="147">
        <v>19</v>
      </c>
      <c r="BX73" s="147">
        <v>22</v>
      </c>
      <c r="BY73" s="146">
        <f t="shared" ref="BY73:BY95" si="70">BV73+BW73+BX73</f>
        <v>55</v>
      </c>
      <c r="BZ73" s="264"/>
      <c r="CA73" s="147" t="str">
        <f t="shared" ref="CA73:CA95" si="71">IF(BV73&lt;20,"F",IF(BW73&lt;10,"F",IF(BX73&lt;10,"F",IF(BY73&lt;40,"F",IF(BY73&lt;50,2,IF(BY73&lt;60,3,IF(BY73&lt;70,3.5,IF(BY73&lt;80,4,5))))))))</f>
        <v>F</v>
      </c>
      <c r="CB73" s="116">
        <v>6</v>
      </c>
      <c r="CC73" s="147">
        <v>24</v>
      </c>
      <c r="CD73" s="146">
        <f t="shared" ref="CD73:CD95" si="72">CC73+CB73</f>
        <v>30</v>
      </c>
      <c r="CE73" s="147">
        <v>14</v>
      </c>
      <c r="CF73" s="147">
        <v>23</v>
      </c>
      <c r="CG73" s="146">
        <f t="shared" ref="CG73:CG95" si="73">CD73+CE73+CF73</f>
        <v>67</v>
      </c>
      <c r="CH73" s="263"/>
      <c r="CI73" s="129">
        <f t="shared" ref="CI73:CI95" si="74">IF(CD73&lt;20,"0",IF(CE73&lt;10,"0",IF(CF73&lt;10,"0",IF(CG73&lt;40,"0",IF(CG73&lt;50,2,IF(CG73&lt;60,3,IF(CG73&lt;70,3.5,IF(CG73&lt;80,4,5))))))))</f>
        <v>3.5</v>
      </c>
      <c r="CJ73" s="147" t="str">
        <f t="shared" si="45"/>
        <v>F</v>
      </c>
      <c r="CK73" s="130" t="str">
        <f t="shared" ref="CK73:CK95" si="75">IF(CJ73="F","F",IF(CJ73&gt;=45,5,IF(CJ73&lt;45,CJ73/9)))</f>
        <v>F</v>
      </c>
      <c r="CL73" s="130" t="str">
        <f t="shared" ref="CL73:CL95" si="76">IF(CK73="F","F",IF(CK73&lt;2.5,"D",IF(CK73&lt;3,"C",IF(CK73&lt;3.5,"B",IF(CK73&lt;4,"A-",IF(CK73&lt;5,"A","A+"))))))</f>
        <v>F</v>
      </c>
      <c r="CM73" s="37" t="str">
        <f t="shared" si="46"/>
        <v>NEED TO PROGRESS</v>
      </c>
      <c r="CN73" s="38">
        <f t="shared" si="47"/>
        <v>640</v>
      </c>
      <c r="CO73" s="37" t="str">
        <f t="shared" ref="CO73:CO95" si="77">IF(CK73="F","F",RANK(CN73,CN$8:CN$95))</f>
        <v>F</v>
      </c>
      <c r="CP73" s="40"/>
    </row>
    <row r="74" spans="1:94" s="41" customFormat="1" ht="27" customHeight="1">
      <c r="A74" s="207">
        <v>67</v>
      </c>
      <c r="B74" s="117">
        <v>109</v>
      </c>
      <c r="C74" s="118" t="s">
        <v>344</v>
      </c>
      <c r="D74" s="69" t="s">
        <v>345</v>
      </c>
      <c r="E74" s="69" t="s">
        <v>346</v>
      </c>
      <c r="F74" s="70" t="s">
        <v>347</v>
      </c>
      <c r="G74" s="116">
        <v>14</v>
      </c>
      <c r="H74" s="147">
        <v>14</v>
      </c>
      <c r="I74" s="146">
        <f t="shared" si="48"/>
        <v>28</v>
      </c>
      <c r="J74" s="147">
        <v>21</v>
      </c>
      <c r="K74" s="146">
        <f t="shared" si="42"/>
        <v>49</v>
      </c>
      <c r="L74" s="116">
        <v>16</v>
      </c>
      <c r="M74" s="147">
        <v>26</v>
      </c>
      <c r="N74" s="146">
        <f t="shared" si="49"/>
        <v>42</v>
      </c>
      <c r="O74" s="147">
        <v>26</v>
      </c>
      <c r="P74" s="146">
        <f t="shared" si="41"/>
        <v>68</v>
      </c>
      <c r="Q74" s="146">
        <f t="shared" si="50"/>
        <v>117</v>
      </c>
      <c r="R74" s="263"/>
      <c r="S74" s="147">
        <f t="shared" si="51"/>
        <v>3</v>
      </c>
      <c r="T74" s="116">
        <v>10</v>
      </c>
      <c r="U74" s="147">
        <v>37</v>
      </c>
      <c r="V74" s="146">
        <f t="shared" si="52"/>
        <v>47</v>
      </c>
      <c r="W74" s="147">
        <v>10</v>
      </c>
      <c r="X74" s="147">
        <v>33</v>
      </c>
      <c r="Y74" s="146">
        <f t="shared" si="53"/>
        <v>43</v>
      </c>
      <c r="Z74" s="146">
        <f t="shared" si="54"/>
        <v>90</v>
      </c>
      <c r="AA74" s="263"/>
      <c r="AB74" s="147">
        <f t="shared" si="0"/>
        <v>2</v>
      </c>
      <c r="AC74" s="116">
        <v>8</v>
      </c>
      <c r="AD74" s="147">
        <v>20</v>
      </c>
      <c r="AE74" s="146">
        <f t="shared" si="55"/>
        <v>28</v>
      </c>
      <c r="AF74" s="147">
        <v>14</v>
      </c>
      <c r="AG74" s="146">
        <f t="shared" si="56"/>
        <v>42</v>
      </c>
      <c r="AH74" s="263"/>
      <c r="AI74" s="147">
        <f t="shared" si="43"/>
        <v>2</v>
      </c>
      <c r="AJ74" s="116">
        <v>14</v>
      </c>
      <c r="AK74" s="147">
        <v>36</v>
      </c>
      <c r="AL74" s="146">
        <f t="shared" si="57"/>
        <v>50</v>
      </c>
      <c r="AM74" s="147">
        <v>20</v>
      </c>
      <c r="AN74" s="146">
        <f t="shared" si="58"/>
        <v>70</v>
      </c>
      <c r="AO74" s="263"/>
      <c r="AP74" s="147">
        <f t="shared" si="44"/>
        <v>4</v>
      </c>
      <c r="AQ74" s="116"/>
      <c r="AR74" s="147">
        <v>24</v>
      </c>
      <c r="AS74" s="147">
        <v>25</v>
      </c>
      <c r="AT74" s="147">
        <f t="shared" si="59"/>
        <v>49</v>
      </c>
      <c r="AU74" s="264"/>
      <c r="AV74" s="147">
        <f t="shared" si="60"/>
        <v>5</v>
      </c>
      <c r="AW74" s="116">
        <v>13</v>
      </c>
      <c r="AX74" s="147">
        <v>24</v>
      </c>
      <c r="AY74" s="146">
        <f t="shared" si="61"/>
        <v>37</v>
      </c>
      <c r="AZ74" s="147">
        <v>21</v>
      </c>
      <c r="BA74" s="146">
        <f t="shared" si="62"/>
        <v>58</v>
      </c>
      <c r="BB74" s="263"/>
      <c r="BC74" s="147">
        <f t="shared" si="63"/>
        <v>3</v>
      </c>
      <c r="BD74" s="116">
        <v>8</v>
      </c>
      <c r="BE74" s="147">
        <v>21</v>
      </c>
      <c r="BF74" s="146">
        <f t="shared" si="64"/>
        <v>29</v>
      </c>
      <c r="BG74" s="147">
        <v>13</v>
      </c>
      <c r="BH74" s="147">
        <v>25</v>
      </c>
      <c r="BI74" s="146">
        <f t="shared" si="65"/>
        <v>67</v>
      </c>
      <c r="BJ74" s="264"/>
      <c r="BK74" s="147">
        <f t="shared" si="3"/>
        <v>3.5</v>
      </c>
      <c r="BL74" s="116">
        <v>4</v>
      </c>
      <c r="BM74" s="147">
        <v>20</v>
      </c>
      <c r="BN74" s="146">
        <f t="shared" si="66"/>
        <v>24</v>
      </c>
      <c r="BO74" s="147">
        <v>10</v>
      </c>
      <c r="BP74" s="147">
        <v>21</v>
      </c>
      <c r="BQ74" s="146">
        <f t="shared" si="67"/>
        <v>55</v>
      </c>
      <c r="BR74" s="263"/>
      <c r="BS74" s="147">
        <f t="shared" si="68"/>
        <v>3</v>
      </c>
      <c r="BT74" s="116">
        <v>6</v>
      </c>
      <c r="BU74" s="147">
        <v>18</v>
      </c>
      <c r="BV74" s="146">
        <f t="shared" si="69"/>
        <v>24</v>
      </c>
      <c r="BW74" s="147">
        <v>10</v>
      </c>
      <c r="BX74" s="147">
        <v>22</v>
      </c>
      <c r="BY74" s="146">
        <f t="shared" si="70"/>
        <v>56</v>
      </c>
      <c r="BZ74" s="264"/>
      <c r="CA74" s="147">
        <f t="shared" si="71"/>
        <v>3</v>
      </c>
      <c r="CB74" s="116">
        <v>7</v>
      </c>
      <c r="CC74" s="147">
        <v>11</v>
      </c>
      <c r="CD74" s="146">
        <f t="shared" si="72"/>
        <v>18</v>
      </c>
      <c r="CE74" s="147">
        <v>10</v>
      </c>
      <c r="CF74" s="147">
        <v>23</v>
      </c>
      <c r="CG74" s="146">
        <f t="shared" si="73"/>
        <v>51</v>
      </c>
      <c r="CH74" s="263"/>
      <c r="CI74" s="129" t="str">
        <f t="shared" si="74"/>
        <v>0</v>
      </c>
      <c r="CJ74" s="147">
        <f t="shared" si="45"/>
        <v>26.5</v>
      </c>
      <c r="CK74" s="130">
        <f t="shared" si="75"/>
        <v>2.9444444444444446</v>
      </c>
      <c r="CL74" s="130" t="str">
        <f t="shared" si="76"/>
        <v>C</v>
      </c>
      <c r="CM74" s="37" t="str">
        <f t="shared" si="46"/>
        <v>GOOD</v>
      </c>
      <c r="CN74" s="38">
        <f t="shared" si="47"/>
        <v>655</v>
      </c>
      <c r="CO74" s="37">
        <f t="shared" si="77"/>
        <v>47</v>
      </c>
      <c r="CP74" s="40"/>
    </row>
    <row r="75" spans="1:94" s="41" customFormat="1" ht="27" customHeight="1">
      <c r="A75" s="207">
        <v>68</v>
      </c>
      <c r="B75" s="117">
        <v>113</v>
      </c>
      <c r="C75" s="118" t="s">
        <v>348</v>
      </c>
      <c r="D75" s="69" t="s">
        <v>349</v>
      </c>
      <c r="E75" s="69" t="s">
        <v>350</v>
      </c>
      <c r="F75" s="70" t="s">
        <v>351</v>
      </c>
      <c r="G75" s="116">
        <v>10</v>
      </c>
      <c r="H75" s="147">
        <v>8</v>
      </c>
      <c r="I75" s="146">
        <f t="shared" si="48"/>
        <v>18</v>
      </c>
      <c r="J75" s="147">
        <v>15</v>
      </c>
      <c r="K75" s="146">
        <f t="shared" si="42"/>
        <v>33</v>
      </c>
      <c r="L75" s="116">
        <v>12</v>
      </c>
      <c r="M75" s="147">
        <v>12</v>
      </c>
      <c r="N75" s="146">
        <f t="shared" si="49"/>
        <v>24</v>
      </c>
      <c r="O75" s="147">
        <v>16</v>
      </c>
      <c r="P75" s="146">
        <f t="shared" si="41"/>
        <v>40</v>
      </c>
      <c r="Q75" s="146">
        <f t="shared" si="50"/>
        <v>73</v>
      </c>
      <c r="R75" s="263"/>
      <c r="S75" s="147" t="str">
        <f t="shared" si="51"/>
        <v>F</v>
      </c>
      <c r="T75" s="116">
        <v>3</v>
      </c>
      <c r="U75" s="147">
        <v>17</v>
      </c>
      <c r="V75" s="146">
        <f t="shared" si="52"/>
        <v>20</v>
      </c>
      <c r="W75" s="147">
        <v>6</v>
      </c>
      <c r="X75" s="147">
        <v>13</v>
      </c>
      <c r="Y75" s="146">
        <f t="shared" si="53"/>
        <v>19</v>
      </c>
      <c r="Z75" s="146">
        <f t="shared" si="54"/>
        <v>39</v>
      </c>
      <c r="AA75" s="263"/>
      <c r="AB75" s="147" t="str">
        <f t="shared" si="0"/>
        <v>F</v>
      </c>
      <c r="AC75" s="116">
        <v>6</v>
      </c>
      <c r="AD75" s="147">
        <v>3</v>
      </c>
      <c r="AE75" s="146">
        <f t="shared" si="55"/>
        <v>9</v>
      </c>
      <c r="AF75" s="147">
        <v>12</v>
      </c>
      <c r="AG75" s="146">
        <f t="shared" si="56"/>
        <v>21</v>
      </c>
      <c r="AH75" s="263"/>
      <c r="AI75" s="147" t="str">
        <f t="shared" si="43"/>
        <v>F</v>
      </c>
      <c r="AJ75" s="116">
        <v>11</v>
      </c>
      <c r="AK75" s="147">
        <v>15</v>
      </c>
      <c r="AL75" s="146">
        <f t="shared" si="57"/>
        <v>26</v>
      </c>
      <c r="AM75" s="147">
        <v>14</v>
      </c>
      <c r="AN75" s="146">
        <f t="shared" si="58"/>
        <v>40</v>
      </c>
      <c r="AO75" s="263"/>
      <c r="AP75" s="147" t="str">
        <f t="shared" si="44"/>
        <v>F</v>
      </c>
      <c r="AQ75" s="116"/>
      <c r="AR75" s="147">
        <v>21</v>
      </c>
      <c r="AS75" s="147">
        <v>25</v>
      </c>
      <c r="AT75" s="147">
        <f t="shared" si="59"/>
        <v>46</v>
      </c>
      <c r="AU75" s="264"/>
      <c r="AV75" s="147">
        <f t="shared" si="60"/>
        <v>5</v>
      </c>
      <c r="AW75" s="116">
        <v>8</v>
      </c>
      <c r="AX75" s="147">
        <v>8</v>
      </c>
      <c r="AY75" s="146">
        <f t="shared" si="61"/>
        <v>16</v>
      </c>
      <c r="AZ75" s="147">
        <v>12</v>
      </c>
      <c r="BA75" s="146">
        <f t="shared" si="62"/>
        <v>28</v>
      </c>
      <c r="BB75" s="263"/>
      <c r="BC75" s="147" t="str">
        <f t="shared" si="63"/>
        <v>F</v>
      </c>
      <c r="BD75" s="116">
        <v>5</v>
      </c>
      <c r="BE75" s="147">
        <v>16</v>
      </c>
      <c r="BF75" s="146">
        <f t="shared" si="64"/>
        <v>21</v>
      </c>
      <c r="BG75" s="147">
        <v>10</v>
      </c>
      <c r="BH75" s="147">
        <v>25</v>
      </c>
      <c r="BI75" s="146">
        <f t="shared" si="65"/>
        <v>56</v>
      </c>
      <c r="BJ75" s="264"/>
      <c r="BK75" s="147">
        <f t="shared" si="3"/>
        <v>3</v>
      </c>
      <c r="BL75" s="116">
        <v>5</v>
      </c>
      <c r="BM75" s="147">
        <v>16</v>
      </c>
      <c r="BN75" s="146">
        <f t="shared" si="66"/>
        <v>21</v>
      </c>
      <c r="BO75" s="147">
        <v>10</v>
      </c>
      <c r="BP75" s="147">
        <v>20</v>
      </c>
      <c r="BQ75" s="146">
        <f t="shared" si="67"/>
        <v>51</v>
      </c>
      <c r="BR75" s="263"/>
      <c r="BS75" s="147">
        <f t="shared" si="68"/>
        <v>3</v>
      </c>
      <c r="BT75" s="116">
        <v>5</v>
      </c>
      <c r="BU75" s="147">
        <v>19</v>
      </c>
      <c r="BV75" s="146">
        <f t="shared" si="69"/>
        <v>24</v>
      </c>
      <c r="BW75" s="147">
        <v>11</v>
      </c>
      <c r="BX75" s="147">
        <v>22</v>
      </c>
      <c r="BY75" s="146">
        <f t="shared" si="70"/>
        <v>57</v>
      </c>
      <c r="BZ75" s="264"/>
      <c r="CA75" s="147">
        <f t="shared" si="71"/>
        <v>3</v>
      </c>
      <c r="CB75" s="116">
        <v>5</v>
      </c>
      <c r="CC75" s="147">
        <v>16</v>
      </c>
      <c r="CD75" s="146">
        <f t="shared" si="72"/>
        <v>21</v>
      </c>
      <c r="CE75" s="147">
        <v>19</v>
      </c>
      <c r="CF75" s="147">
        <v>22</v>
      </c>
      <c r="CG75" s="146">
        <f t="shared" si="73"/>
        <v>62</v>
      </c>
      <c r="CH75" s="263"/>
      <c r="CI75" s="129">
        <f t="shared" si="74"/>
        <v>3.5</v>
      </c>
      <c r="CJ75" s="147" t="str">
        <f t="shared" si="45"/>
        <v>F</v>
      </c>
      <c r="CK75" s="130" t="str">
        <f t="shared" si="75"/>
        <v>F</v>
      </c>
      <c r="CL75" s="130" t="str">
        <f t="shared" si="76"/>
        <v>F</v>
      </c>
      <c r="CM75" s="37" t="str">
        <f t="shared" si="46"/>
        <v>NEED TO PROGRESS</v>
      </c>
      <c r="CN75" s="38">
        <f t="shared" si="47"/>
        <v>473</v>
      </c>
      <c r="CO75" s="37" t="str">
        <f t="shared" si="77"/>
        <v>F</v>
      </c>
      <c r="CP75" s="40"/>
    </row>
    <row r="76" spans="1:94" s="41" customFormat="1" ht="27" customHeight="1">
      <c r="A76" s="207">
        <v>69</v>
      </c>
      <c r="B76" s="117">
        <v>114</v>
      </c>
      <c r="C76" s="118" t="s">
        <v>352</v>
      </c>
      <c r="D76" s="69" t="s">
        <v>353</v>
      </c>
      <c r="E76" s="69" t="s">
        <v>354</v>
      </c>
      <c r="F76" s="70" t="s">
        <v>355</v>
      </c>
      <c r="G76" s="116">
        <v>10</v>
      </c>
      <c r="H76" s="147">
        <v>18</v>
      </c>
      <c r="I76" s="146">
        <f t="shared" si="48"/>
        <v>28</v>
      </c>
      <c r="J76" s="147">
        <v>15</v>
      </c>
      <c r="K76" s="146">
        <f t="shared" si="42"/>
        <v>43</v>
      </c>
      <c r="L76" s="116">
        <v>12</v>
      </c>
      <c r="M76" s="147">
        <v>29</v>
      </c>
      <c r="N76" s="146">
        <f t="shared" si="49"/>
        <v>41</v>
      </c>
      <c r="O76" s="147">
        <v>27</v>
      </c>
      <c r="P76" s="146">
        <f t="shared" si="41"/>
        <v>68</v>
      </c>
      <c r="Q76" s="146">
        <f t="shared" si="50"/>
        <v>111</v>
      </c>
      <c r="R76" s="263"/>
      <c r="S76" s="147">
        <f t="shared" si="51"/>
        <v>3</v>
      </c>
      <c r="T76" s="116">
        <v>13</v>
      </c>
      <c r="U76" s="147">
        <v>32</v>
      </c>
      <c r="V76" s="146">
        <f t="shared" si="52"/>
        <v>45</v>
      </c>
      <c r="W76" s="147">
        <v>14</v>
      </c>
      <c r="X76" s="147">
        <v>32</v>
      </c>
      <c r="Y76" s="146">
        <f t="shared" si="53"/>
        <v>46</v>
      </c>
      <c r="Z76" s="146">
        <f t="shared" si="54"/>
        <v>91</v>
      </c>
      <c r="AA76" s="263"/>
      <c r="AB76" s="147">
        <f t="shared" si="0"/>
        <v>2</v>
      </c>
      <c r="AC76" s="116">
        <v>13</v>
      </c>
      <c r="AD76" s="147">
        <v>20</v>
      </c>
      <c r="AE76" s="146">
        <f t="shared" si="55"/>
        <v>33</v>
      </c>
      <c r="AF76" s="147">
        <v>15</v>
      </c>
      <c r="AG76" s="146">
        <f t="shared" si="56"/>
        <v>48</v>
      </c>
      <c r="AH76" s="263"/>
      <c r="AI76" s="147">
        <f t="shared" si="43"/>
        <v>2</v>
      </c>
      <c r="AJ76" s="116">
        <v>14</v>
      </c>
      <c r="AK76" s="147">
        <v>25</v>
      </c>
      <c r="AL76" s="146">
        <f t="shared" si="57"/>
        <v>39</v>
      </c>
      <c r="AM76" s="147">
        <v>25</v>
      </c>
      <c r="AN76" s="146">
        <f t="shared" si="58"/>
        <v>64</v>
      </c>
      <c r="AO76" s="263"/>
      <c r="AP76" s="147">
        <f t="shared" si="44"/>
        <v>3.5</v>
      </c>
      <c r="AQ76" s="116"/>
      <c r="AR76" s="147">
        <v>18</v>
      </c>
      <c r="AS76" s="147">
        <v>23</v>
      </c>
      <c r="AT76" s="147">
        <f t="shared" si="59"/>
        <v>41</v>
      </c>
      <c r="AU76" s="264"/>
      <c r="AV76" s="147">
        <f t="shared" si="60"/>
        <v>5</v>
      </c>
      <c r="AW76" s="116">
        <v>10</v>
      </c>
      <c r="AX76" s="147">
        <v>20</v>
      </c>
      <c r="AY76" s="146">
        <f t="shared" si="61"/>
        <v>30</v>
      </c>
      <c r="AZ76" s="147">
        <v>23</v>
      </c>
      <c r="BA76" s="146">
        <f t="shared" si="62"/>
        <v>53</v>
      </c>
      <c r="BB76" s="263"/>
      <c r="BC76" s="147">
        <f t="shared" si="63"/>
        <v>3</v>
      </c>
      <c r="BD76" s="116">
        <v>2</v>
      </c>
      <c r="BE76" s="147">
        <v>4</v>
      </c>
      <c r="BF76" s="146">
        <f t="shared" si="64"/>
        <v>6</v>
      </c>
      <c r="BG76" s="147">
        <v>13</v>
      </c>
      <c r="BH76" s="147">
        <v>20</v>
      </c>
      <c r="BI76" s="146">
        <f t="shared" si="65"/>
        <v>39</v>
      </c>
      <c r="BJ76" s="264"/>
      <c r="BK76" s="147" t="str">
        <f t="shared" si="3"/>
        <v>F</v>
      </c>
      <c r="BL76" s="116">
        <v>2</v>
      </c>
      <c r="BM76" s="147">
        <v>16</v>
      </c>
      <c r="BN76" s="146">
        <f t="shared" si="66"/>
        <v>18</v>
      </c>
      <c r="BO76" s="147">
        <v>14</v>
      </c>
      <c r="BP76" s="147">
        <v>20</v>
      </c>
      <c r="BQ76" s="146">
        <f t="shared" si="67"/>
        <v>52</v>
      </c>
      <c r="BR76" s="263"/>
      <c r="BS76" s="147" t="str">
        <f t="shared" si="68"/>
        <v>F</v>
      </c>
      <c r="BT76" s="116">
        <v>5</v>
      </c>
      <c r="BU76" s="147">
        <v>7</v>
      </c>
      <c r="BV76" s="146">
        <f t="shared" si="69"/>
        <v>12</v>
      </c>
      <c r="BW76" s="147">
        <v>14</v>
      </c>
      <c r="BX76" s="147">
        <v>22</v>
      </c>
      <c r="BY76" s="146">
        <f t="shared" si="70"/>
        <v>48</v>
      </c>
      <c r="BZ76" s="264"/>
      <c r="CA76" s="147" t="str">
        <f t="shared" si="71"/>
        <v>F</v>
      </c>
      <c r="CB76" s="116">
        <v>9</v>
      </c>
      <c r="CC76" s="147">
        <v>15</v>
      </c>
      <c r="CD76" s="146">
        <f t="shared" si="72"/>
        <v>24</v>
      </c>
      <c r="CE76" s="147">
        <v>8</v>
      </c>
      <c r="CF76" s="147">
        <v>22</v>
      </c>
      <c r="CG76" s="146">
        <f t="shared" si="73"/>
        <v>54</v>
      </c>
      <c r="CH76" s="263"/>
      <c r="CI76" s="129" t="str">
        <f t="shared" si="74"/>
        <v>0</v>
      </c>
      <c r="CJ76" s="147" t="str">
        <f t="shared" si="45"/>
        <v>F</v>
      </c>
      <c r="CK76" s="130" t="str">
        <f t="shared" si="75"/>
        <v>F</v>
      </c>
      <c r="CL76" s="130" t="str">
        <f t="shared" si="76"/>
        <v>F</v>
      </c>
      <c r="CM76" s="37" t="str">
        <f t="shared" si="46"/>
        <v>NEED TO PROGRESS</v>
      </c>
      <c r="CN76" s="38">
        <f t="shared" si="47"/>
        <v>601</v>
      </c>
      <c r="CO76" s="37" t="str">
        <f t="shared" si="77"/>
        <v>F</v>
      </c>
      <c r="CP76" s="40"/>
    </row>
    <row r="77" spans="1:94" s="41" customFormat="1" ht="27" customHeight="1">
      <c r="A77" s="207">
        <v>70</v>
      </c>
      <c r="B77" s="117">
        <v>117</v>
      </c>
      <c r="C77" s="118" t="s">
        <v>356</v>
      </c>
      <c r="D77" s="69" t="s">
        <v>357</v>
      </c>
      <c r="E77" s="69" t="s">
        <v>358</v>
      </c>
      <c r="F77" s="70" t="s">
        <v>359</v>
      </c>
      <c r="G77" s="116">
        <v>12</v>
      </c>
      <c r="H77" s="147">
        <v>19</v>
      </c>
      <c r="I77" s="146">
        <f t="shared" si="48"/>
        <v>31</v>
      </c>
      <c r="J77" s="147">
        <v>15</v>
      </c>
      <c r="K77" s="146">
        <f t="shared" si="42"/>
        <v>46</v>
      </c>
      <c r="L77" s="116">
        <v>19</v>
      </c>
      <c r="M77" s="147">
        <v>21</v>
      </c>
      <c r="N77" s="146">
        <f t="shared" si="49"/>
        <v>40</v>
      </c>
      <c r="O77" s="147">
        <v>25</v>
      </c>
      <c r="P77" s="146">
        <f t="shared" si="41"/>
        <v>65</v>
      </c>
      <c r="Q77" s="146">
        <f t="shared" si="50"/>
        <v>111</v>
      </c>
      <c r="R77" s="263"/>
      <c r="S77" s="147">
        <f t="shared" si="51"/>
        <v>3</v>
      </c>
      <c r="T77" s="116">
        <v>10</v>
      </c>
      <c r="U77" s="147">
        <v>17</v>
      </c>
      <c r="V77" s="146">
        <f t="shared" si="52"/>
        <v>27</v>
      </c>
      <c r="W77" s="147">
        <v>6</v>
      </c>
      <c r="X77" s="147">
        <v>23</v>
      </c>
      <c r="Y77" s="146">
        <f t="shared" si="53"/>
        <v>29</v>
      </c>
      <c r="Z77" s="146">
        <f t="shared" si="54"/>
        <v>56</v>
      </c>
      <c r="AA77" s="263"/>
      <c r="AB77" s="147" t="str">
        <f t="shared" si="0"/>
        <v>F</v>
      </c>
      <c r="AC77" s="116">
        <v>11</v>
      </c>
      <c r="AD77" s="147">
        <v>11</v>
      </c>
      <c r="AE77" s="146">
        <f t="shared" si="55"/>
        <v>22</v>
      </c>
      <c r="AF77" s="147">
        <v>17</v>
      </c>
      <c r="AG77" s="146">
        <f t="shared" si="56"/>
        <v>39</v>
      </c>
      <c r="AH77" s="263"/>
      <c r="AI77" s="147" t="str">
        <f t="shared" si="43"/>
        <v>F</v>
      </c>
      <c r="AJ77" s="116">
        <v>15</v>
      </c>
      <c r="AK77" s="147">
        <v>30</v>
      </c>
      <c r="AL77" s="146">
        <f t="shared" si="57"/>
        <v>45</v>
      </c>
      <c r="AM77" s="147">
        <v>17</v>
      </c>
      <c r="AN77" s="146">
        <f t="shared" si="58"/>
        <v>62</v>
      </c>
      <c r="AO77" s="263"/>
      <c r="AP77" s="147">
        <f t="shared" si="44"/>
        <v>3.5</v>
      </c>
      <c r="AQ77" s="116"/>
      <c r="AR77" s="147">
        <v>19</v>
      </c>
      <c r="AS77" s="147">
        <v>25</v>
      </c>
      <c r="AT77" s="147">
        <f t="shared" si="59"/>
        <v>44</v>
      </c>
      <c r="AU77" s="264"/>
      <c r="AV77" s="147">
        <f t="shared" si="60"/>
        <v>5</v>
      </c>
      <c r="AW77" s="116">
        <v>9</v>
      </c>
      <c r="AX77" s="147">
        <v>6</v>
      </c>
      <c r="AY77" s="146">
        <f t="shared" si="61"/>
        <v>15</v>
      </c>
      <c r="AZ77" s="147">
        <v>12</v>
      </c>
      <c r="BA77" s="146">
        <f t="shared" si="62"/>
        <v>27</v>
      </c>
      <c r="BB77" s="263"/>
      <c r="BC77" s="147" t="str">
        <f t="shared" si="63"/>
        <v>F</v>
      </c>
      <c r="BD77" s="116">
        <v>4</v>
      </c>
      <c r="BE77" s="147">
        <v>16</v>
      </c>
      <c r="BF77" s="146">
        <f t="shared" si="64"/>
        <v>20</v>
      </c>
      <c r="BG77" s="147">
        <v>10</v>
      </c>
      <c r="BH77" s="147">
        <v>25</v>
      </c>
      <c r="BI77" s="146">
        <f t="shared" si="65"/>
        <v>55</v>
      </c>
      <c r="BJ77" s="264"/>
      <c r="BK77" s="147">
        <f t="shared" si="3"/>
        <v>3</v>
      </c>
      <c r="BL77" s="116">
        <v>4</v>
      </c>
      <c r="BM77" s="147">
        <v>16</v>
      </c>
      <c r="BN77" s="146">
        <f t="shared" si="66"/>
        <v>20</v>
      </c>
      <c r="BO77" s="147">
        <v>14</v>
      </c>
      <c r="BP77" s="147">
        <v>20</v>
      </c>
      <c r="BQ77" s="146">
        <f t="shared" si="67"/>
        <v>54</v>
      </c>
      <c r="BR77" s="263"/>
      <c r="BS77" s="147">
        <f t="shared" si="68"/>
        <v>3</v>
      </c>
      <c r="BT77" s="116">
        <v>5</v>
      </c>
      <c r="BU77" s="147">
        <v>9</v>
      </c>
      <c r="BV77" s="146">
        <f t="shared" si="69"/>
        <v>14</v>
      </c>
      <c r="BW77" s="147">
        <v>14</v>
      </c>
      <c r="BX77" s="147">
        <v>22</v>
      </c>
      <c r="BY77" s="146">
        <f t="shared" si="70"/>
        <v>50</v>
      </c>
      <c r="BZ77" s="264"/>
      <c r="CA77" s="147" t="str">
        <f t="shared" si="71"/>
        <v>F</v>
      </c>
      <c r="CB77" s="116">
        <v>7</v>
      </c>
      <c r="CC77" s="147">
        <v>29</v>
      </c>
      <c r="CD77" s="146">
        <f t="shared" si="72"/>
        <v>36</v>
      </c>
      <c r="CE77" s="147">
        <v>21</v>
      </c>
      <c r="CF77" s="147">
        <v>23</v>
      </c>
      <c r="CG77" s="146">
        <f t="shared" si="73"/>
        <v>80</v>
      </c>
      <c r="CH77" s="263"/>
      <c r="CI77" s="129">
        <f t="shared" si="74"/>
        <v>5</v>
      </c>
      <c r="CJ77" s="147" t="str">
        <f t="shared" si="45"/>
        <v>F</v>
      </c>
      <c r="CK77" s="130" t="str">
        <f t="shared" si="75"/>
        <v>F</v>
      </c>
      <c r="CL77" s="130" t="str">
        <f t="shared" si="76"/>
        <v>F</v>
      </c>
      <c r="CM77" s="37" t="str">
        <f t="shared" si="46"/>
        <v>NEED TO PROGRESS</v>
      </c>
      <c r="CN77" s="38">
        <f t="shared" si="47"/>
        <v>578</v>
      </c>
      <c r="CO77" s="37" t="str">
        <f t="shared" si="77"/>
        <v>F</v>
      </c>
      <c r="CP77" s="40"/>
    </row>
    <row r="78" spans="1:94" s="41" customFormat="1" ht="27" customHeight="1">
      <c r="A78" s="207">
        <v>71</v>
      </c>
      <c r="B78" s="117">
        <v>118</v>
      </c>
      <c r="C78" s="118" t="s">
        <v>360</v>
      </c>
      <c r="D78" s="69" t="s">
        <v>361</v>
      </c>
      <c r="E78" s="69" t="s">
        <v>362</v>
      </c>
      <c r="F78" s="70" t="s">
        <v>363</v>
      </c>
      <c r="G78" s="116">
        <v>12</v>
      </c>
      <c r="H78" s="147">
        <v>17</v>
      </c>
      <c r="I78" s="146">
        <f t="shared" si="48"/>
        <v>29</v>
      </c>
      <c r="J78" s="147">
        <v>17</v>
      </c>
      <c r="K78" s="146">
        <f t="shared" si="42"/>
        <v>46</v>
      </c>
      <c r="L78" s="116">
        <v>16</v>
      </c>
      <c r="M78" s="147">
        <v>31</v>
      </c>
      <c r="N78" s="146">
        <f t="shared" si="49"/>
        <v>47</v>
      </c>
      <c r="O78" s="147">
        <v>23</v>
      </c>
      <c r="P78" s="146">
        <f t="shared" si="41"/>
        <v>70</v>
      </c>
      <c r="Q78" s="146">
        <f t="shared" si="50"/>
        <v>116</v>
      </c>
      <c r="R78" s="263"/>
      <c r="S78" s="147">
        <f t="shared" si="51"/>
        <v>3</v>
      </c>
      <c r="T78" s="116">
        <v>15</v>
      </c>
      <c r="U78" s="147"/>
      <c r="V78" s="146">
        <f t="shared" si="52"/>
        <v>15</v>
      </c>
      <c r="W78" s="147">
        <v>15</v>
      </c>
      <c r="X78" s="147"/>
      <c r="Y78" s="146">
        <f t="shared" si="53"/>
        <v>15</v>
      </c>
      <c r="Z78" s="146">
        <f t="shared" si="54"/>
        <v>30</v>
      </c>
      <c r="AA78" s="263"/>
      <c r="AB78" s="147" t="str">
        <f t="shared" si="0"/>
        <v>F</v>
      </c>
      <c r="AC78" s="116">
        <v>18</v>
      </c>
      <c r="AD78" s="147">
        <v>30</v>
      </c>
      <c r="AE78" s="146">
        <f t="shared" si="55"/>
        <v>48</v>
      </c>
      <c r="AF78" s="147">
        <v>16</v>
      </c>
      <c r="AG78" s="146">
        <f t="shared" si="56"/>
        <v>64</v>
      </c>
      <c r="AH78" s="263"/>
      <c r="AI78" s="147">
        <f t="shared" si="43"/>
        <v>3.5</v>
      </c>
      <c r="AJ78" s="116">
        <v>16</v>
      </c>
      <c r="AK78" s="147">
        <v>25</v>
      </c>
      <c r="AL78" s="146">
        <f t="shared" si="57"/>
        <v>41</v>
      </c>
      <c r="AM78" s="147">
        <v>26</v>
      </c>
      <c r="AN78" s="146">
        <f t="shared" si="58"/>
        <v>67</v>
      </c>
      <c r="AO78" s="263"/>
      <c r="AP78" s="147">
        <f t="shared" si="44"/>
        <v>3.5</v>
      </c>
      <c r="AQ78" s="116"/>
      <c r="AR78" s="147">
        <v>24</v>
      </c>
      <c r="AS78" s="147">
        <v>15</v>
      </c>
      <c r="AT78" s="147">
        <f t="shared" si="59"/>
        <v>39</v>
      </c>
      <c r="AU78" s="264"/>
      <c r="AV78" s="147">
        <f t="shared" si="60"/>
        <v>4</v>
      </c>
      <c r="AW78" s="116">
        <v>11</v>
      </c>
      <c r="AX78" s="147">
        <v>0</v>
      </c>
      <c r="AY78" s="146">
        <f t="shared" si="61"/>
        <v>11</v>
      </c>
      <c r="AZ78" s="147">
        <v>0</v>
      </c>
      <c r="BA78" s="146">
        <f t="shared" si="62"/>
        <v>11</v>
      </c>
      <c r="BB78" s="263"/>
      <c r="BC78" s="147" t="str">
        <f t="shared" si="63"/>
        <v>F</v>
      </c>
      <c r="BD78" s="116">
        <v>6</v>
      </c>
      <c r="BE78" s="147">
        <v>18</v>
      </c>
      <c r="BF78" s="146">
        <f t="shared" si="64"/>
        <v>24</v>
      </c>
      <c r="BG78" s="147">
        <v>15</v>
      </c>
      <c r="BH78" s="147">
        <v>25</v>
      </c>
      <c r="BI78" s="146">
        <f t="shared" si="65"/>
        <v>64</v>
      </c>
      <c r="BJ78" s="264"/>
      <c r="BK78" s="147">
        <f t="shared" si="3"/>
        <v>3.5</v>
      </c>
      <c r="BL78" s="116">
        <v>4</v>
      </c>
      <c r="BM78" s="147">
        <v>23</v>
      </c>
      <c r="BN78" s="146">
        <f t="shared" si="66"/>
        <v>27</v>
      </c>
      <c r="BO78" s="147">
        <v>18</v>
      </c>
      <c r="BP78" s="147">
        <v>21</v>
      </c>
      <c r="BQ78" s="146">
        <f t="shared" si="67"/>
        <v>66</v>
      </c>
      <c r="BR78" s="263"/>
      <c r="BS78" s="147">
        <f t="shared" si="68"/>
        <v>3.5</v>
      </c>
      <c r="BT78" s="116">
        <v>5</v>
      </c>
      <c r="BU78" s="147">
        <v>14</v>
      </c>
      <c r="BV78" s="146">
        <f t="shared" si="69"/>
        <v>19</v>
      </c>
      <c r="BW78" s="147">
        <v>15</v>
      </c>
      <c r="BX78" s="147">
        <v>22</v>
      </c>
      <c r="BY78" s="146">
        <f t="shared" si="70"/>
        <v>56</v>
      </c>
      <c r="BZ78" s="264"/>
      <c r="CA78" s="147" t="str">
        <f t="shared" si="71"/>
        <v>F</v>
      </c>
      <c r="CB78" s="116">
        <v>11</v>
      </c>
      <c r="CC78" s="147">
        <v>17</v>
      </c>
      <c r="CD78" s="146">
        <f t="shared" si="72"/>
        <v>28</v>
      </c>
      <c r="CE78" s="147">
        <v>6</v>
      </c>
      <c r="CF78" s="147">
        <v>22</v>
      </c>
      <c r="CG78" s="146">
        <f t="shared" si="73"/>
        <v>56</v>
      </c>
      <c r="CH78" s="263"/>
      <c r="CI78" s="129" t="str">
        <f t="shared" si="74"/>
        <v>0</v>
      </c>
      <c r="CJ78" s="147" t="str">
        <f t="shared" si="45"/>
        <v>F</v>
      </c>
      <c r="CK78" s="130" t="str">
        <f t="shared" si="75"/>
        <v>F</v>
      </c>
      <c r="CL78" s="130" t="str">
        <f t="shared" si="76"/>
        <v>F</v>
      </c>
      <c r="CM78" s="37" t="str">
        <f t="shared" si="46"/>
        <v>NEED TO PROGRESS</v>
      </c>
      <c r="CN78" s="38">
        <f t="shared" si="47"/>
        <v>569</v>
      </c>
      <c r="CO78" s="37" t="str">
        <f t="shared" si="77"/>
        <v>F</v>
      </c>
      <c r="CP78" s="40"/>
    </row>
    <row r="79" spans="1:94" s="41" customFormat="1" ht="27" customHeight="1">
      <c r="A79" s="207">
        <v>72</v>
      </c>
      <c r="B79" s="117">
        <v>122</v>
      </c>
      <c r="C79" s="118" t="s">
        <v>364</v>
      </c>
      <c r="D79" s="69" t="s">
        <v>365</v>
      </c>
      <c r="E79" s="69" t="s">
        <v>366</v>
      </c>
      <c r="F79" s="70" t="s">
        <v>367</v>
      </c>
      <c r="G79" s="116">
        <v>9</v>
      </c>
      <c r="H79" s="147">
        <v>17</v>
      </c>
      <c r="I79" s="146">
        <f t="shared" si="48"/>
        <v>26</v>
      </c>
      <c r="J79" s="147">
        <v>18</v>
      </c>
      <c r="K79" s="146">
        <f t="shared" si="42"/>
        <v>44</v>
      </c>
      <c r="L79" s="116">
        <v>14</v>
      </c>
      <c r="M79" s="147">
        <v>26</v>
      </c>
      <c r="N79" s="146">
        <f t="shared" si="49"/>
        <v>40</v>
      </c>
      <c r="O79" s="147">
        <v>12</v>
      </c>
      <c r="P79" s="146">
        <f t="shared" si="41"/>
        <v>52</v>
      </c>
      <c r="Q79" s="146">
        <f t="shared" si="50"/>
        <v>96</v>
      </c>
      <c r="R79" s="263"/>
      <c r="S79" s="147">
        <f t="shared" si="51"/>
        <v>2</v>
      </c>
      <c r="T79" s="116">
        <v>19</v>
      </c>
      <c r="U79" s="147">
        <v>48</v>
      </c>
      <c r="V79" s="146">
        <f t="shared" si="52"/>
        <v>67</v>
      </c>
      <c r="W79" s="147">
        <v>15</v>
      </c>
      <c r="X79" s="147">
        <v>48</v>
      </c>
      <c r="Y79" s="146">
        <f t="shared" si="53"/>
        <v>63</v>
      </c>
      <c r="Z79" s="146">
        <f t="shared" si="54"/>
        <v>130</v>
      </c>
      <c r="AA79" s="263"/>
      <c r="AB79" s="147">
        <f t="shared" si="0"/>
        <v>3.5</v>
      </c>
      <c r="AC79" s="116">
        <v>13</v>
      </c>
      <c r="AD79" s="147">
        <v>22</v>
      </c>
      <c r="AE79" s="146">
        <f t="shared" si="55"/>
        <v>35</v>
      </c>
      <c r="AF79" s="147">
        <v>18</v>
      </c>
      <c r="AG79" s="146">
        <f t="shared" si="56"/>
        <v>53</v>
      </c>
      <c r="AH79" s="263"/>
      <c r="AI79" s="147">
        <f t="shared" si="43"/>
        <v>3</v>
      </c>
      <c r="AJ79" s="116">
        <v>14</v>
      </c>
      <c r="AK79" s="147">
        <v>20</v>
      </c>
      <c r="AL79" s="146">
        <f t="shared" si="57"/>
        <v>34</v>
      </c>
      <c r="AM79" s="147">
        <v>15</v>
      </c>
      <c r="AN79" s="146">
        <f t="shared" si="58"/>
        <v>49</v>
      </c>
      <c r="AO79" s="263"/>
      <c r="AP79" s="147">
        <f t="shared" si="44"/>
        <v>2</v>
      </c>
      <c r="AQ79" s="116"/>
      <c r="AR79" s="147">
        <v>17</v>
      </c>
      <c r="AS79" s="147">
        <v>23</v>
      </c>
      <c r="AT79" s="147">
        <f t="shared" si="59"/>
        <v>40</v>
      </c>
      <c r="AU79" s="264"/>
      <c r="AV79" s="147">
        <f t="shared" si="60"/>
        <v>5</v>
      </c>
      <c r="AW79" s="116">
        <v>9</v>
      </c>
      <c r="AX79" s="147">
        <v>10</v>
      </c>
      <c r="AY79" s="146">
        <f t="shared" si="61"/>
        <v>19</v>
      </c>
      <c r="AZ79" s="147">
        <v>13</v>
      </c>
      <c r="BA79" s="146">
        <f t="shared" si="62"/>
        <v>32</v>
      </c>
      <c r="BB79" s="263"/>
      <c r="BC79" s="147" t="str">
        <f t="shared" si="63"/>
        <v>F</v>
      </c>
      <c r="BD79" s="116">
        <v>8</v>
      </c>
      <c r="BE79" s="147">
        <v>15</v>
      </c>
      <c r="BF79" s="146">
        <f t="shared" si="64"/>
        <v>23</v>
      </c>
      <c r="BG79" s="147">
        <v>10</v>
      </c>
      <c r="BH79" s="147">
        <v>25</v>
      </c>
      <c r="BI79" s="146">
        <f t="shared" si="65"/>
        <v>58</v>
      </c>
      <c r="BJ79" s="264"/>
      <c r="BK79" s="147">
        <f t="shared" si="3"/>
        <v>3</v>
      </c>
      <c r="BL79" s="116">
        <v>3</v>
      </c>
      <c r="BM79" s="147">
        <v>18</v>
      </c>
      <c r="BN79" s="146">
        <f t="shared" si="66"/>
        <v>21</v>
      </c>
      <c r="BO79" s="147">
        <v>12</v>
      </c>
      <c r="BP79" s="147">
        <v>20</v>
      </c>
      <c r="BQ79" s="146">
        <f t="shared" si="67"/>
        <v>53</v>
      </c>
      <c r="BR79" s="263"/>
      <c r="BS79" s="147">
        <f t="shared" si="68"/>
        <v>3</v>
      </c>
      <c r="BT79" s="116">
        <v>5</v>
      </c>
      <c r="BU79" s="147">
        <v>4</v>
      </c>
      <c r="BV79" s="146">
        <f t="shared" si="69"/>
        <v>9</v>
      </c>
      <c r="BW79" s="147">
        <v>10</v>
      </c>
      <c r="BX79" s="147">
        <v>22</v>
      </c>
      <c r="BY79" s="146">
        <f t="shared" si="70"/>
        <v>41</v>
      </c>
      <c r="BZ79" s="264"/>
      <c r="CA79" s="147" t="str">
        <f t="shared" si="71"/>
        <v>F</v>
      </c>
      <c r="CB79" s="116">
        <v>4</v>
      </c>
      <c r="CC79" s="147">
        <v>17</v>
      </c>
      <c r="CD79" s="146">
        <f t="shared" si="72"/>
        <v>21</v>
      </c>
      <c r="CE79" s="147">
        <v>9</v>
      </c>
      <c r="CF79" s="147">
        <v>22</v>
      </c>
      <c r="CG79" s="146">
        <f t="shared" si="73"/>
        <v>52</v>
      </c>
      <c r="CH79" s="263"/>
      <c r="CI79" s="129" t="str">
        <f t="shared" si="74"/>
        <v>0</v>
      </c>
      <c r="CJ79" s="147" t="str">
        <f t="shared" si="45"/>
        <v>F</v>
      </c>
      <c r="CK79" s="130" t="str">
        <f t="shared" si="75"/>
        <v>F</v>
      </c>
      <c r="CL79" s="130" t="str">
        <f t="shared" si="76"/>
        <v>F</v>
      </c>
      <c r="CM79" s="37" t="str">
        <f t="shared" si="46"/>
        <v>NEED TO PROGRESS</v>
      </c>
      <c r="CN79" s="38">
        <f t="shared" si="47"/>
        <v>604</v>
      </c>
      <c r="CO79" s="37" t="str">
        <f t="shared" si="77"/>
        <v>F</v>
      </c>
      <c r="CP79" s="40"/>
    </row>
    <row r="80" spans="1:94" s="41" customFormat="1" ht="27" customHeight="1">
      <c r="A80" s="207">
        <v>73</v>
      </c>
      <c r="B80" s="117">
        <v>131</v>
      </c>
      <c r="C80" s="118" t="s">
        <v>368</v>
      </c>
      <c r="D80" s="69" t="s">
        <v>369</v>
      </c>
      <c r="E80" s="69" t="s">
        <v>370</v>
      </c>
      <c r="F80" s="70" t="s">
        <v>371</v>
      </c>
      <c r="G80" s="116">
        <v>12</v>
      </c>
      <c r="H80" s="147">
        <v>14</v>
      </c>
      <c r="I80" s="146">
        <f t="shared" si="48"/>
        <v>26</v>
      </c>
      <c r="J80" s="147">
        <v>18</v>
      </c>
      <c r="K80" s="146">
        <f t="shared" si="42"/>
        <v>44</v>
      </c>
      <c r="L80" s="116">
        <v>19</v>
      </c>
      <c r="M80" s="147">
        <v>26</v>
      </c>
      <c r="N80" s="146">
        <f t="shared" si="49"/>
        <v>45</v>
      </c>
      <c r="O80" s="147">
        <v>29</v>
      </c>
      <c r="P80" s="146">
        <f t="shared" si="41"/>
        <v>74</v>
      </c>
      <c r="Q80" s="146">
        <f t="shared" si="50"/>
        <v>118</v>
      </c>
      <c r="R80" s="263"/>
      <c r="S80" s="147">
        <f t="shared" si="51"/>
        <v>3</v>
      </c>
      <c r="T80" s="116">
        <v>10</v>
      </c>
      <c r="U80" s="147">
        <v>47</v>
      </c>
      <c r="V80" s="146">
        <f t="shared" si="52"/>
        <v>57</v>
      </c>
      <c r="W80" s="147">
        <v>7</v>
      </c>
      <c r="X80" s="147">
        <v>57</v>
      </c>
      <c r="Y80" s="146">
        <f t="shared" si="53"/>
        <v>64</v>
      </c>
      <c r="Z80" s="146">
        <f t="shared" si="54"/>
        <v>121</v>
      </c>
      <c r="AA80" s="263"/>
      <c r="AB80" s="147">
        <f t="shared" si="0"/>
        <v>3.5</v>
      </c>
      <c r="AC80" s="116">
        <v>3</v>
      </c>
      <c r="AD80" s="147">
        <v>9</v>
      </c>
      <c r="AE80" s="146">
        <f t="shared" si="55"/>
        <v>12</v>
      </c>
      <c r="AF80" s="147">
        <v>14</v>
      </c>
      <c r="AG80" s="146">
        <f t="shared" si="56"/>
        <v>26</v>
      </c>
      <c r="AH80" s="263"/>
      <c r="AI80" s="147" t="str">
        <f t="shared" si="43"/>
        <v>F</v>
      </c>
      <c r="AJ80" s="116">
        <v>18</v>
      </c>
      <c r="AK80" s="147">
        <v>36</v>
      </c>
      <c r="AL80" s="146">
        <f t="shared" si="57"/>
        <v>54</v>
      </c>
      <c r="AM80" s="147">
        <v>25</v>
      </c>
      <c r="AN80" s="146">
        <f t="shared" si="58"/>
        <v>79</v>
      </c>
      <c r="AO80" s="263"/>
      <c r="AP80" s="147">
        <f t="shared" si="44"/>
        <v>4</v>
      </c>
      <c r="AQ80" s="116"/>
      <c r="AR80" s="147">
        <v>24</v>
      </c>
      <c r="AS80" s="147">
        <v>25</v>
      </c>
      <c r="AT80" s="147">
        <f t="shared" si="59"/>
        <v>49</v>
      </c>
      <c r="AU80" s="264"/>
      <c r="AV80" s="147">
        <f t="shared" si="60"/>
        <v>5</v>
      </c>
      <c r="AW80" s="116">
        <v>14</v>
      </c>
      <c r="AX80" s="147">
        <v>17</v>
      </c>
      <c r="AY80" s="146">
        <f t="shared" si="61"/>
        <v>31</v>
      </c>
      <c r="AZ80" s="147">
        <v>12</v>
      </c>
      <c r="BA80" s="146">
        <f t="shared" si="62"/>
        <v>43</v>
      </c>
      <c r="BB80" s="263"/>
      <c r="BC80" s="147">
        <f t="shared" si="63"/>
        <v>2</v>
      </c>
      <c r="BD80" s="116">
        <v>6</v>
      </c>
      <c r="BE80" s="147">
        <v>17</v>
      </c>
      <c r="BF80" s="146">
        <f t="shared" si="64"/>
        <v>23</v>
      </c>
      <c r="BG80" s="147">
        <v>10</v>
      </c>
      <c r="BH80" s="147">
        <v>25</v>
      </c>
      <c r="BI80" s="146">
        <f t="shared" si="65"/>
        <v>58</v>
      </c>
      <c r="BJ80" s="264"/>
      <c r="BK80" s="147">
        <f t="shared" si="3"/>
        <v>3</v>
      </c>
      <c r="BL80" s="116">
        <v>4</v>
      </c>
      <c r="BM80" s="147">
        <v>1</v>
      </c>
      <c r="BN80" s="146">
        <f t="shared" si="66"/>
        <v>5</v>
      </c>
      <c r="BO80" s="147">
        <v>15</v>
      </c>
      <c r="BP80" s="147">
        <v>20</v>
      </c>
      <c r="BQ80" s="146">
        <f t="shared" si="67"/>
        <v>40</v>
      </c>
      <c r="BR80" s="263"/>
      <c r="BS80" s="147" t="str">
        <f t="shared" si="68"/>
        <v>F</v>
      </c>
      <c r="BT80" s="116">
        <v>6</v>
      </c>
      <c r="BU80" s="147">
        <v>21</v>
      </c>
      <c r="BV80" s="146">
        <f t="shared" si="69"/>
        <v>27</v>
      </c>
      <c r="BW80" s="147">
        <v>20</v>
      </c>
      <c r="BX80" s="147">
        <v>22</v>
      </c>
      <c r="BY80" s="146">
        <f t="shared" si="70"/>
        <v>69</v>
      </c>
      <c r="BZ80" s="264"/>
      <c r="CA80" s="147">
        <f t="shared" si="71"/>
        <v>3.5</v>
      </c>
      <c r="CB80" s="116">
        <v>8</v>
      </c>
      <c r="CC80" s="147">
        <v>5</v>
      </c>
      <c r="CD80" s="146">
        <f t="shared" si="72"/>
        <v>13</v>
      </c>
      <c r="CE80" s="147">
        <v>11</v>
      </c>
      <c r="CF80" s="147">
        <v>23</v>
      </c>
      <c r="CG80" s="146">
        <f t="shared" si="73"/>
        <v>47</v>
      </c>
      <c r="CH80" s="263"/>
      <c r="CI80" s="129" t="str">
        <f t="shared" si="74"/>
        <v>0</v>
      </c>
      <c r="CJ80" s="147" t="str">
        <f t="shared" si="45"/>
        <v>F</v>
      </c>
      <c r="CK80" s="130" t="str">
        <f t="shared" si="75"/>
        <v>F</v>
      </c>
      <c r="CL80" s="130" t="str">
        <f t="shared" si="76"/>
        <v>F</v>
      </c>
      <c r="CM80" s="37" t="str">
        <f t="shared" si="46"/>
        <v>NEED TO PROGRESS</v>
      </c>
      <c r="CN80" s="38">
        <f t="shared" si="47"/>
        <v>650</v>
      </c>
      <c r="CO80" s="37" t="str">
        <f t="shared" si="77"/>
        <v>F</v>
      </c>
      <c r="CP80" s="40"/>
    </row>
    <row r="81" spans="1:94" s="41" customFormat="1" ht="27" customHeight="1">
      <c r="A81" s="207">
        <v>74</v>
      </c>
      <c r="B81" s="117">
        <v>137</v>
      </c>
      <c r="C81" s="118" t="s">
        <v>372</v>
      </c>
      <c r="D81" s="69" t="s">
        <v>373</v>
      </c>
      <c r="E81" s="69" t="s">
        <v>374</v>
      </c>
      <c r="F81" s="70" t="s">
        <v>375</v>
      </c>
      <c r="G81" s="116">
        <v>13</v>
      </c>
      <c r="H81" s="146">
        <v>16</v>
      </c>
      <c r="I81" s="146">
        <f t="shared" si="48"/>
        <v>29</v>
      </c>
      <c r="J81" s="147">
        <v>14</v>
      </c>
      <c r="K81" s="146">
        <f t="shared" si="42"/>
        <v>43</v>
      </c>
      <c r="L81" s="116">
        <v>18</v>
      </c>
      <c r="M81" s="147">
        <v>26</v>
      </c>
      <c r="N81" s="146">
        <f t="shared" si="49"/>
        <v>44</v>
      </c>
      <c r="O81" s="147">
        <v>22</v>
      </c>
      <c r="P81" s="146">
        <f t="shared" si="41"/>
        <v>66</v>
      </c>
      <c r="Q81" s="146">
        <f t="shared" si="50"/>
        <v>109</v>
      </c>
      <c r="R81" s="263"/>
      <c r="S81" s="147">
        <f t="shared" si="51"/>
        <v>3</v>
      </c>
      <c r="T81" s="116">
        <v>12</v>
      </c>
      <c r="U81" s="147">
        <v>36</v>
      </c>
      <c r="V81" s="146">
        <f t="shared" si="52"/>
        <v>48</v>
      </c>
      <c r="W81" s="147">
        <v>9</v>
      </c>
      <c r="X81" s="147">
        <v>36</v>
      </c>
      <c r="Y81" s="146">
        <f t="shared" si="53"/>
        <v>45</v>
      </c>
      <c r="Z81" s="146">
        <f t="shared" si="54"/>
        <v>93</v>
      </c>
      <c r="AA81" s="263"/>
      <c r="AB81" s="147">
        <f t="shared" si="0"/>
        <v>2</v>
      </c>
      <c r="AC81" s="116">
        <v>4</v>
      </c>
      <c r="AD81" s="147">
        <v>18</v>
      </c>
      <c r="AE81" s="146">
        <f t="shared" si="55"/>
        <v>22</v>
      </c>
      <c r="AF81" s="147">
        <v>8</v>
      </c>
      <c r="AG81" s="146">
        <f t="shared" si="56"/>
        <v>30</v>
      </c>
      <c r="AH81" s="263"/>
      <c r="AI81" s="147" t="str">
        <f t="shared" si="43"/>
        <v>F</v>
      </c>
      <c r="AJ81" s="116">
        <v>16</v>
      </c>
      <c r="AK81" s="147">
        <v>24</v>
      </c>
      <c r="AL81" s="146">
        <f t="shared" si="57"/>
        <v>40</v>
      </c>
      <c r="AM81" s="147">
        <v>23</v>
      </c>
      <c r="AN81" s="146">
        <f t="shared" si="58"/>
        <v>63</v>
      </c>
      <c r="AO81" s="263"/>
      <c r="AP81" s="147">
        <f t="shared" si="44"/>
        <v>3.5</v>
      </c>
      <c r="AQ81" s="116"/>
      <c r="AR81" s="147">
        <v>23</v>
      </c>
      <c r="AS81" s="147">
        <v>25</v>
      </c>
      <c r="AT81" s="147">
        <f t="shared" si="59"/>
        <v>48</v>
      </c>
      <c r="AU81" s="264"/>
      <c r="AV81" s="147">
        <f t="shared" si="60"/>
        <v>5</v>
      </c>
      <c r="AW81" s="116">
        <v>10</v>
      </c>
      <c r="AX81" s="147">
        <v>18</v>
      </c>
      <c r="AY81" s="146">
        <f t="shared" si="61"/>
        <v>28</v>
      </c>
      <c r="AZ81" s="147">
        <v>16</v>
      </c>
      <c r="BA81" s="146">
        <f t="shared" si="62"/>
        <v>44</v>
      </c>
      <c r="BB81" s="263"/>
      <c r="BC81" s="147">
        <f t="shared" si="63"/>
        <v>2</v>
      </c>
      <c r="BD81" s="116">
        <v>4</v>
      </c>
      <c r="BE81" s="147">
        <v>9</v>
      </c>
      <c r="BF81" s="146">
        <f t="shared" si="64"/>
        <v>13</v>
      </c>
      <c r="BG81" s="147">
        <v>11</v>
      </c>
      <c r="BH81" s="147">
        <v>20</v>
      </c>
      <c r="BI81" s="146">
        <f t="shared" si="65"/>
        <v>44</v>
      </c>
      <c r="BJ81" s="264"/>
      <c r="BK81" s="147" t="str">
        <f t="shared" si="3"/>
        <v>F</v>
      </c>
      <c r="BL81" s="116">
        <v>4</v>
      </c>
      <c r="BM81" s="147">
        <v>10</v>
      </c>
      <c r="BN81" s="146">
        <f t="shared" si="66"/>
        <v>14</v>
      </c>
      <c r="BO81" s="147">
        <v>14</v>
      </c>
      <c r="BP81" s="147">
        <v>20</v>
      </c>
      <c r="BQ81" s="146">
        <f t="shared" si="67"/>
        <v>48</v>
      </c>
      <c r="BR81" s="263"/>
      <c r="BS81" s="147" t="str">
        <f t="shared" si="68"/>
        <v>F</v>
      </c>
      <c r="BT81" s="116">
        <v>6</v>
      </c>
      <c r="BU81" s="147">
        <v>17</v>
      </c>
      <c r="BV81" s="146">
        <f t="shared" si="69"/>
        <v>23</v>
      </c>
      <c r="BW81" s="147">
        <v>17</v>
      </c>
      <c r="BX81" s="147">
        <v>22</v>
      </c>
      <c r="BY81" s="146">
        <f t="shared" si="70"/>
        <v>62</v>
      </c>
      <c r="BZ81" s="264"/>
      <c r="CA81" s="147">
        <f t="shared" si="71"/>
        <v>3.5</v>
      </c>
      <c r="CB81" s="116">
        <v>3</v>
      </c>
      <c r="CC81" s="147">
        <v>11</v>
      </c>
      <c r="CD81" s="146">
        <f t="shared" si="72"/>
        <v>14</v>
      </c>
      <c r="CE81" s="147">
        <v>9</v>
      </c>
      <c r="CF81" s="147">
        <v>23</v>
      </c>
      <c r="CG81" s="146">
        <f t="shared" si="73"/>
        <v>46</v>
      </c>
      <c r="CH81" s="263"/>
      <c r="CI81" s="129" t="str">
        <f t="shared" si="74"/>
        <v>0</v>
      </c>
      <c r="CJ81" s="147" t="str">
        <f t="shared" si="45"/>
        <v>F</v>
      </c>
      <c r="CK81" s="130" t="str">
        <f t="shared" si="75"/>
        <v>F</v>
      </c>
      <c r="CL81" s="130" t="str">
        <f t="shared" si="76"/>
        <v>F</v>
      </c>
      <c r="CM81" s="37" t="str">
        <f t="shared" si="46"/>
        <v>NEED TO PROGRESS</v>
      </c>
      <c r="CN81" s="38">
        <f t="shared" si="47"/>
        <v>587</v>
      </c>
      <c r="CO81" s="37" t="str">
        <f t="shared" si="77"/>
        <v>F</v>
      </c>
      <c r="CP81" s="40"/>
    </row>
    <row r="82" spans="1:94" s="41" customFormat="1" ht="27" customHeight="1">
      <c r="A82" s="207">
        <v>75</v>
      </c>
      <c r="B82" s="117">
        <v>140</v>
      </c>
      <c r="C82" s="118" t="s">
        <v>376</v>
      </c>
      <c r="D82" s="69" t="s">
        <v>377</v>
      </c>
      <c r="E82" s="69" t="s">
        <v>378</v>
      </c>
      <c r="F82" s="70" t="s">
        <v>379</v>
      </c>
      <c r="G82" s="116"/>
      <c r="H82" s="147">
        <v>17</v>
      </c>
      <c r="I82" s="146">
        <f t="shared" si="48"/>
        <v>17</v>
      </c>
      <c r="J82" s="147">
        <v>11</v>
      </c>
      <c r="K82" s="146">
        <f t="shared" ref="K82" si="78">I82+J82</f>
        <v>28</v>
      </c>
      <c r="L82" s="116"/>
      <c r="M82" s="147">
        <v>34</v>
      </c>
      <c r="N82" s="146">
        <f t="shared" si="49"/>
        <v>34</v>
      </c>
      <c r="O82" s="147">
        <v>15</v>
      </c>
      <c r="P82" s="146">
        <f t="shared" si="41"/>
        <v>49</v>
      </c>
      <c r="Q82" s="146">
        <f t="shared" si="50"/>
        <v>77</v>
      </c>
      <c r="R82" s="263"/>
      <c r="S82" s="147" t="str">
        <f t="shared" si="51"/>
        <v>F</v>
      </c>
      <c r="T82" s="116"/>
      <c r="U82" s="147">
        <v>41</v>
      </c>
      <c r="V82" s="146">
        <f t="shared" si="52"/>
        <v>41</v>
      </c>
      <c r="W82" s="147"/>
      <c r="X82" s="147">
        <v>41</v>
      </c>
      <c r="Y82" s="146">
        <f t="shared" si="53"/>
        <v>41</v>
      </c>
      <c r="Z82" s="146">
        <f t="shared" si="54"/>
        <v>82</v>
      </c>
      <c r="AA82" s="263"/>
      <c r="AB82" s="147">
        <f t="shared" si="0"/>
        <v>2</v>
      </c>
      <c r="AC82" s="116">
        <v>0</v>
      </c>
      <c r="AD82" s="147">
        <v>23</v>
      </c>
      <c r="AE82" s="146">
        <f t="shared" si="55"/>
        <v>23</v>
      </c>
      <c r="AF82" s="147">
        <v>13</v>
      </c>
      <c r="AG82" s="146">
        <f t="shared" si="56"/>
        <v>36</v>
      </c>
      <c r="AH82" s="263"/>
      <c r="AI82" s="147" t="str">
        <f t="shared" si="43"/>
        <v>F</v>
      </c>
      <c r="AJ82" s="116">
        <v>0</v>
      </c>
      <c r="AK82" s="147">
        <v>32</v>
      </c>
      <c r="AL82" s="146">
        <f t="shared" si="57"/>
        <v>32</v>
      </c>
      <c r="AM82" s="147">
        <v>18</v>
      </c>
      <c r="AN82" s="146">
        <f t="shared" si="58"/>
        <v>50</v>
      </c>
      <c r="AO82" s="263"/>
      <c r="AP82" s="147">
        <f t="shared" si="44"/>
        <v>3</v>
      </c>
      <c r="AQ82" s="116"/>
      <c r="AR82" s="147">
        <v>20</v>
      </c>
      <c r="AS82" s="147">
        <v>15</v>
      </c>
      <c r="AT82" s="147">
        <f t="shared" si="59"/>
        <v>35</v>
      </c>
      <c r="AU82" s="264"/>
      <c r="AV82" s="147">
        <f t="shared" si="60"/>
        <v>4</v>
      </c>
      <c r="AW82" s="116">
        <v>5</v>
      </c>
      <c r="AX82" s="147">
        <v>20</v>
      </c>
      <c r="AY82" s="146">
        <f t="shared" si="61"/>
        <v>25</v>
      </c>
      <c r="AZ82" s="147">
        <v>23</v>
      </c>
      <c r="BA82" s="146">
        <f t="shared" si="62"/>
        <v>48</v>
      </c>
      <c r="BB82" s="263"/>
      <c r="BC82" s="147" t="str">
        <f t="shared" si="63"/>
        <v>F</v>
      </c>
      <c r="BD82" s="116">
        <v>0</v>
      </c>
      <c r="BE82" s="147">
        <v>4</v>
      </c>
      <c r="BF82" s="146">
        <f t="shared" si="64"/>
        <v>4</v>
      </c>
      <c r="BG82" s="147">
        <v>10</v>
      </c>
      <c r="BH82" s="147">
        <v>20</v>
      </c>
      <c r="BI82" s="146">
        <f t="shared" si="65"/>
        <v>34</v>
      </c>
      <c r="BJ82" s="264"/>
      <c r="BK82" s="147" t="str">
        <f t="shared" si="3"/>
        <v>F</v>
      </c>
      <c r="BL82" s="116">
        <v>0</v>
      </c>
      <c r="BM82" s="147">
        <v>0</v>
      </c>
      <c r="BN82" s="146">
        <f t="shared" si="66"/>
        <v>0</v>
      </c>
      <c r="BO82" s="147">
        <v>0</v>
      </c>
      <c r="BP82" s="147">
        <v>0</v>
      </c>
      <c r="BQ82" s="146">
        <f t="shared" si="67"/>
        <v>0</v>
      </c>
      <c r="BR82" s="263"/>
      <c r="BS82" s="147" t="str">
        <f t="shared" si="68"/>
        <v>F</v>
      </c>
      <c r="BT82" s="116">
        <v>0</v>
      </c>
      <c r="BU82" s="147">
        <v>0</v>
      </c>
      <c r="BV82" s="146">
        <f t="shared" si="69"/>
        <v>0</v>
      </c>
      <c r="BW82" s="147">
        <v>0</v>
      </c>
      <c r="BX82" s="147">
        <v>0</v>
      </c>
      <c r="BY82" s="146">
        <f t="shared" si="70"/>
        <v>0</v>
      </c>
      <c r="BZ82" s="264"/>
      <c r="CA82" s="147" t="str">
        <f t="shared" si="71"/>
        <v>F</v>
      </c>
      <c r="CB82" s="116">
        <v>0</v>
      </c>
      <c r="CC82" s="147">
        <v>0</v>
      </c>
      <c r="CD82" s="146">
        <f t="shared" si="72"/>
        <v>0</v>
      </c>
      <c r="CE82" s="147">
        <v>0</v>
      </c>
      <c r="CF82" s="147">
        <v>0</v>
      </c>
      <c r="CG82" s="146">
        <f t="shared" si="73"/>
        <v>0</v>
      </c>
      <c r="CH82" s="263"/>
      <c r="CI82" s="129" t="str">
        <f t="shared" si="74"/>
        <v>0</v>
      </c>
      <c r="CJ82" s="147" t="str">
        <f t="shared" si="45"/>
        <v>F</v>
      </c>
      <c r="CK82" s="130" t="str">
        <f t="shared" si="75"/>
        <v>F</v>
      </c>
      <c r="CL82" s="130" t="str">
        <f t="shared" si="76"/>
        <v>F</v>
      </c>
      <c r="CM82" s="37" t="str">
        <f t="shared" si="46"/>
        <v>NEED TO PROGRESS</v>
      </c>
      <c r="CN82" s="38">
        <f t="shared" si="47"/>
        <v>362</v>
      </c>
      <c r="CO82" s="37" t="str">
        <f t="shared" si="77"/>
        <v>F</v>
      </c>
      <c r="CP82" s="40"/>
    </row>
    <row r="83" spans="1:94" s="41" customFormat="1" ht="27" customHeight="1">
      <c r="A83" s="207">
        <v>76</v>
      </c>
      <c r="B83" s="117">
        <v>141</v>
      </c>
      <c r="C83" s="118" t="s">
        <v>380</v>
      </c>
      <c r="D83" s="69" t="s">
        <v>381</v>
      </c>
      <c r="E83" s="69" t="s">
        <v>382</v>
      </c>
      <c r="F83" s="70" t="s">
        <v>383</v>
      </c>
      <c r="G83" s="116">
        <v>10</v>
      </c>
      <c r="H83" s="146">
        <v>11</v>
      </c>
      <c r="I83" s="146">
        <f t="shared" si="48"/>
        <v>21</v>
      </c>
      <c r="J83" s="147">
        <v>12</v>
      </c>
      <c r="K83" s="146">
        <f>I83+J83</f>
        <v>33</v>
      </c>
      <c r="L83" s="116">
        <v>15</v>
      </c>
      <c r="M83" s="147">
        <v>17</v>
      </c>
      <c r="N83" s="146">
        <f t="shared" si="49"/>
        <v>32</v>
      </c>
      <c r="O83" s="147">
        <v>25</v>
      </c>
      <c r="P83" s="146">
        <f t="shared" ref="P83:P95" si="79">N83+O83</f>
        <v>57</v>
      </c>
      <c r="Q83" s="146">
        <f t="shared" si="50"/>
        <v>90</v>
      </c>
      <c r="R83" s="263"/>
      <c r="S83" s="147" t="str">
        <f t="shared" si="51"/>
        <v>F</v>
      </c>
      <c r="T83" s="116">
        <v>9</v>
      </c>
      <c r="U83" s="147">
        <v>36</v>
      </c>
      <c r="V83" s="146">
        <f t="shared" si="52"/>
        <v>45</v>
      </c>
      <c r="W83" s="147">
        <v>9</v>
      </c>
      <c r="X83" s="147">
        <v>17</v>
      </c>
      <c r="Y83" s="146">
        <f t="shared" si="53"/>
        <v>26</v>
      </c>
      <c r="Z83" s="146">
        <f t="shared" si="54"/>
        <v>71</v>
      </c>
      <c r="AA83" s="263"/>
      <c r="AB83" s="147" t="str">
        <f t="shared" si="0"/>
        <v>F</v>
      </c>
      <c r="AC83" s="116">
        <v>6</v>
      </c>
      <c r="AD83" s="147">
        <v>1</v>
      </c>
      <c r="AE83" s="146">
        <f t="shared" si="55"/>
        <v>7</v>
      </c>
      <c r="AF83" s="147">
        <v>12</v>
      </c>
      <c r="AG83" s="146">
        <f t="shared" si="56"/>
        <v>19</v>
      </c>
      <c r="AH83" s="263"/>
      <c r="AI83" s="147" t="str">
        <f t="shared" si="43"/>
        <v>F</v>
      </c>
      <c r="AJ83" s="116">
        <v>11</v>
      </c>
      <c r="AK83" s="147">
        <v>21</v>
      </c>
      <c r="AL83" s="146">
        <f t="shared" si="57"/>
        <v>32</v>
      </c>
      <c r="AM83" s="147">
        <v>16</v>
      </c>
      <c r="AN83" s="146">
        <f t="shared" si="58"/>
        <v>48</v>
      </c>
      <c r="AO83" s="263"/>
      <c r="AP83" s="147">
        <f t="shared" si="44"/>
        <v>2</v>
      </c>
      <c r="AQ83" s="116"/>
      <c r="AR83" s="147">
        <v>13</v>
      </c>
      <c r="AS83" s="147">
        <v>25</v>
      </c>
      <c r="AT83" s="147">
        <f t="shared" si="59"/>
        <v>38</v>
      </c>
      <c r="AU83" s="264"/>
      <c r="AV83" s="147">
        <f t="shared" si="60"/>
        <v>4</v>
      </c>
      <c r="AW83" s="116">
        <v>10</v>
      </c>
      <c r="AX83" s="147">
        <v>22</v>
      </c>
      <c r="AY83" s="146">
        <f t="shared" si="61"/>
        <v>32</v>
      </c>
      <c r="AZ83" s="147">
        <v>19</v>
      </c>
      <c r="BA83" s="146">
        <f t="shared" si="62"/>
        <v>51</v>
      </c>
      <c r="BB83" s="263"/>
      <c r="BC83" s="147">
        <f t="shared" si="63"/>
        <v>3</v>
      </c>
      <c r="BD83" s="116">
        <v>2</v>
      </c>
      <c r="BE83" s="147">
        <v>10</v>
      </c>
      <c r="BF83" s="146">
        <f t="shared" si="64"/>
        <v>12</v>
      </c>
      <c r="BG83" s="147">
        <v>10</v>
      </c>
      <c r="BH83" s="147">
        <v>20</v>
      </c>
      <c r="BI83" s="146">
        <f t="shared" si="65"/>
        <v>42</v>
      </c>
      <c r="BJ83" s="264"/>
      <c r="BK83" s="147" t="str">
        <f t="shared" si="3"/>
        <v>F</v>
      </c>
      <c r="BL83" s="116">
        <v>2</v>
      </c>
      <c r="BM83" s="147">
        <v>7</v>
      </c>
      <c r="BN83" s="146">
        <f t="shared" si="66"/>
        <v>9</v>
      </c>
      <c r="BO83" s="147">
        <v>7</v>
      </c>
      <c r="BP83" s="147">
        <v>20</v>
      </c>
      <c r="BQ83" s="146">
        <f t="shared" si="67"/>
        <v>36</v>
      </c>
      <c r="BR83" s="263"/>
      <c r="BS83" s="147" t="str">
        <f t="shared" si="68"/>
        <v>F</v>
      </c>
      <c r="BT83" s="116">
        <v>4</v>
      </c>
      <c r="BU83" s="147">
        <v>15</v>
      </c>
      <c r="BV83" s="146">
        <f t="shared" si="69"/>
        <v>19</v>
      </c>
      <c r="BW83" s="147">
        <v>10</v>
      </c>
      <c r="BX83" s="147">
        <v>22</v>
      </c>
      <c r="BY83" s="146">
        <f t="shared" si="70"/>
        <v>51</v>
      </c>
      <c r="BZ83" s="264"/>
      <c r="CA83" s="147" t="str">
        <f t="shared" si="71"/>
        <v>F</v>
      </c>
      <c r="CB83" s="116">
        <v>3</v>
      </c>
      <c r="CC83" s="147">
        <v>0</v>
      </c>
      <c r="CD83" s="146">
        <f t="shared" si="72"/>
        <v>3</v>
      </c>
      <c r="CE83" s="147">
        <v>9</v>
      </c>
      <c r="CF83" s="147">
        <v>23</v>
      </c>
      <c r="CG83" s="146">
        <f t="shared" si="73"/>
        <v>35</v>
      </c>
      <c r="CH83" s="263"/>
      <c r="CI83" s="129" t="str">
        <f t="shared" si="74"/>
        <v>0</v>
      </c>
      <c r="CJ83" s="147" t="str">
        <f t="shared" si="45"/>
        <v>F</v>
      </c>
      <c r="CK83" s="130" t="str">
        <f t="shared" si="75"/>
        <v>F</v>
      </c>
      <c r="CL83" s="130" t="str">
        <f t="shared" si="76"/>
        <v>F</v>
      </c>
      <c r="CM83" s="37" t="str">
        <f t="shared" si="46"/>
        <v>NEED TO PROGRESS</v>
      </c>
      <c r="CN83" s="38">
        <f t="shared" si="47"/>
        <v>481</v>
      </c>
      <c r="CO83" s="37" t="str">
        <f t="shared" si="77"/>
        <v>F</v>
      </c>
      <c r="CP83" s="40"/>
    </row>
    <row r="84" spans="1:94" s="41" customFormat="1" ht="27" customHeight="1">
      <c r="A84" s="207">
        <v>77</v>
      </c>
      <c r="B84" s="117">
        <v>143</v>
      </c>
      <c r="C84" s="118" t="s">
        <v>384</v>
      </c>
      <c r="D84" s="69" t="s">
        <v>385</v>
      </c>
      <c r="E84" s="69" t="s">
        <v>386</v>
      </c>
      <c r="F84" s="70" t="s">
        <v>387</v>
      </c>
      <c r="G84" s="116">
        <v>15</v>
      </c>
      <c r="H84" s="147">
        <v>14</v>
      </c>
      <c r="I84" s="146">
        <f t="shared" si="48"/>
        <v>29</v>
      </c>
      <c r="J84" s="147">
        <v>12</v>
      </c>
      <c r="K84" s="146">
        <f t="shared" ref="K84:K86" si="80">I84+J84</f>
        <v>41</v>
      </c>
      <c r="L84" s="116">
        <v>16</v>
      </c>
      <c r="M84" s="147">
        <v>24</v>
      </c>
      <c r="N84" s="146">
        <f t="shared" si="49"/>
        <v>40</v>
      </c>
      <c r="O84" s="147">
        <v>25</v>
      </c>
      <c r="P84" s="146">
        <f t="shared" si="79"/>
        <v>65</v>
      </c>
      <c r="Q84" s="146">
        <f t="shared" si="50"/>
        <v>106</v>
      </c>
      <c r="R84" s="263"/>
      <c r="S84" s="147">
        <f t="shared" si="51"/>
        <v>3</v>
      </c>
      <c r="T84" s="116">
        <v>10</v>
      </c>
      <c r="U84" s="147">
        <v>41</v>
      </c>
      <c r="V84" s="146">
        <f t="shared" si="52"/>
        <v>51</v>
      </c>
      <c r="W84" s="147">
        <v>10</v>
      </c>
      <c r="X84" s="147">
        <v>30</v>
      </c>
      <c r="Y84" s="146">
        <f t="shared" si="53"/>
        <v>40</v>
      </c>
      <c r="Z84" s="146">
        <f t="shared" si="54"/>
        <v>91</v>
      </c>
      <c r="AA84" s="263"/>
      <c r="AB84" s="147">
        <f t="shared" si="0"/>
        <v>2</v>
      </c>
      <c r="AC84" s="116">
        <v>5</v>
      </c>
      <c r="AD84" s="147">
        <v>16</v>
      </c>
      <c r="AE84" s="146">
        <f t="shared" si="55"/>
        <v>21</v>
      </c>
      <c r="AF84" s="147">
        <v>14</v>
      </c>
      <c r="AG84" s="146">
        <f t="shared" si="56"/>
        <v>35</v>
      </c>
      <c r="AH84" s="263"/>
      <c r="AI84" s="147" t="str">
        <f t="shared" si="43"/>
        <v>F</v>
      </c>
      <c r="AJ84" s="116">
        <v>15</v>
      </c>
      <c r="AK84" s="147">
        <v>29</v>
      </c>
      <c r="AL84" s="146">
        <f t="shared" si="57"/>
        <v>44</v>
      </c>
      <c r="AM84" s="147">
        <v>17</v>
      </c>
      <c r="AN84" s="146">
        <f t="shared" si="58"/>
        <v>61</v>
      </c>
      <c r="AO84" s="263"/>
      <c r="AP84" s="147">
        <f t="shared" si="44"/>
        <v>3.5</v>
      </c>
      <c r="AQ84" s="116"/>
      <c r="AR84" s="147">
        <v>23</v>
      </c>
      <c r="AS84" s="147">
        <v>25</v>
      </c>
      <c r="AT84" s="147">
        <f t="shared" si="59"/>
        <v>48</v>
      </c>
      <c r="AU84" s="264"/>
      <c r="AV84" s="147">
        <f t="shared" si="60"/>
        <v>5</v>
      </c>
      <c r="AW84" s="116">
        <v>11</v>
      </c>
      <c r="AX84" s="147">
        <v>22</v>
      </c>
      <c r="AY84" s="146">
        <f t="shared" si="61"/>
        <v>33</v>
      </c>
      <c r="AZ84" s="147">
        <v>19</v>
      </c>
      <c r="BA84" s="146">
        <f t="shared" si="62"/>
        <v>52</v>
      </c>
      <c r="BB84" s="263"/>
      <c r="BC84" s="147">
        <f t="shared" si="63"/>
        <v>3</v>
      </c>
      <c r="BD84" s="116">
        <v>2</v>
      </c>
      <c r="BE84" s="147">
        <v>20</v>
      </c>
      <c r="BF84" s="146">
        <f t="shared" si="64"/>
        <v>22</v>
      </c>
      <c r="BG84" s="147">
        <v>10</v>
      </c>
      <c r="BH84" s="147">
        <v>25</v>
      </c>
      <c r="BI84" s="146">
        <f t="shared" si="65"/>
        <v>57</v>
      </c>
      <c r="BJ84" s="264"/>
      <c r="BK84" s="147">
        <f t="shared" si="3"/>
        <v>3</v>
      </c>
      <c r="BL84" s="116">
        <v>4</v>
      </c>
      <c r="BM84" s="147">
        <v>22</v>
      </c>
      <c r="BN84" s="146">
        <f t="shared" si="66"/>
        <v>26</v>
      </c>
      <c r="BO84" s="147">
        <v>10</v>
      </c>
      <c r="BP84" s="147">
        <v>20</v>
      </c>
      <c r="BQ84" s="146">
        <f t="shared" si="67"/>
        <v>56</v>
      </c>
      <c r="BR84" s="263"/>
      <c r="BS84" s="147">
        <f t="shared" si="68"/>
        <v>3</v>
      </c>
      <c r="BT84" s="116">
        <v>5</v>
      </c>
      <c r="BU84" s="147">
        <v>20</v>
      </c>
      <c r="BV84" s="146">
        <f t="shared" si="69"/>
        <v>25</v>
      </c>
      <c r="BW84" s="147">
        <v>10</v>
      </c>
      <c r="BX84" s="147">
        <v>22</v>
      </c>
      <c r="BY84" s="146">
        <f t="shared" si="70"/>
        <v>57</v>
      </c>
      <c r="BZ84" s="264"/>
      <c r="CA84" s="147">
        <f t="shared" si="71"/>
        <v>3</v>
      </c>
      <c r="CB84" s="116">
        <v>3</v>
      </c>
      <c r="CC84" s="147">
        <v>8</v>
      </c>
      <c r="CD84" s="146">
        <f t="shared" si="72"/>
        <v>11</v>
      </c>
      <c r="CE84" s="147">
        <v>10</v>
      </c>
      <c r="CF84" s="147">
        <v>23</v>
      </c>
      <c r="CG84" s="146">
        <f t="shared" si="73"/>
        <v>44</v>
      </c>
      <c r="CH84" s="263"/>
      <c r="CI84" s="129" t="str">
        <f t="shared" si="74"/>
        <v>0</v>
      </c>
      <c r="CJ84" s="147" t="str">
        <f t="shared" si="45"/>
        <v>F</v>
      </c>
      <c r="CK84" s="130" t="str">
        <f t="shared" si="75"/>
        <v>F</v>
      </c>
      <c r="CL84" s="130" t="str">
        <f t="shared" si="76"/>
        <v>F</v>
      </c>
      <c r="CM84" s="37" t="str">
        <f t="shared" si="46"/>
        <v>NEED TO PROGRESS</v>
      </c>
      <c r="CN84" s="38">
        <f t="shared" si="47"/>
        <v>607</v>
      </c>
      <c r="CO84" s="37" t="str">
        <f t="shared" si="77"/>
        <v>F</v>
      </c>
      <c r="CP84" s="40"/>
    </row>
    <row r="85" spans="1:94" s="41" customFormat="1" ht="27" customHeight="1">
      <c r="A85" s="207">
        <v>78</v>
      </c>
      <c r="B85" s="117">
        <v>147</v>
      </c>
      <c r="C85" s="118" t="s">
        <v>388</v>
      </c>
      <c r="D85" s="69" t="s">
        <v>389</v>
      </c>
      <c r="E85" s="69" t="s">
        <v>390</v>
      </c>
      <c r="F85" s="98" t="s">
        <v>391</v>
      </c>
      <c r="G85" s="116">
        <v>14</v>
      </c>
      <c r="H85" s="147">
        <v>15</v>
      </c>
      <c r="I85" s="146">
        <f t="shared" si="48"/>
        <v>29</v>
      </c>
      <c r="J85" s="147">
        <v>12</v>
      </c>
      <c r="K85" s="146">
        <f t="shared" si="80"/>
        <v>41</v>
      </c>
      <c r="L85" s="116">
        <v>17</v>
      </c>
      <c r="M85" s="147">
        <v>24</v>
      </c>
      <c r="N85" s="146">
        <f t="shared" si="49"/>
        <v>41</v>
      </c>
      <c r="O85" s="147">
        <v>26</v>
      </c>
      <c r="P85" s="146">
        <f t="shared" si="79"/>
        <v>67</v>
      </c>
      <c r="Q85" s="146">
        <f t="shared" si="50"/>
        <v>108</v>
      </c>
      <c r="R85" s="263"/>
      <c r="S85" s="147">
        <f t="shared" si="51"/>
        <v>3</v>
      </c>
      <c r="T85" s="116">
        <v>9</v>
      </c>
      <c r="U85" s="147">
        <v>37</v>
      </c>
      <c r="V85" s="146">
        <f t="shared" si="52"/>
        <v>46</v>
      </c>
      <c r="W85" s="147">
        <v>10</v>
      </c>
      <c r="X85" s="147">
        <v>45</v>
      </c>
      <c r="Y85" s="146">
        <f t="shared" si="53"/>
        <v>55</v>
      </c>
      <c r="Z85" s="146">
        <f t="shared" si="54"/>
        <v>101</v>
      </c>
      <c r="AA85" s="263"/>
      <c r="AB85" s="147">
        <f t="shared" si="0"/>
        <v>3</v>
      </c>
      <c r="AC85" s="116">
        <v>7</v>
      </c>
      <c r="AD85" s="147">
        <v>9</v>
      </c>
      <c r="AE85" s="146">
        <f t="shared" si="55"/>
        <v>16</v>
      </c>
      <c r="AF85" s="147">
        <v>8</v>
      </c>
      <c r="AG85" s="146">
        <f t="shared" si="56"/>
        <v>24</v>
      </c>
      <c r="AH85" s="263"/>
      <c r="AI85" s="147" t="str">
        <f t="shared" si="43"/>
        <v>F</v>
      </c>
      <c r="AJ85" s="116">
        <v>17</v>
      </c>
      <c r="AK85" s="147">
        <v>36</v>
      </c>
      <c r="AL85" s="146">
        <f t="shared" si="57"/>
        <v>53</v>
      </c>
      <c r="AM85" s="147">
        <v>26</v>
      </c>
      <c r="AN85" s="146">
        <f t="shared" si="58"/>
        <v>79</v>
      </c>
      <c r="AO85" s="263"/>
      <c r="AP85" s="147">
        <f t="shared" si="44"/>
        <v>4</v>
      </c>
      <c r="AQ85" s="116"/>
      <c r="AR85" s="147">
        <v>25</v>
      </c>
      <c r="AS85" s="147">
        <v>25</v>
      </c>
      <c r="AT85" s="147">
        <f t="shared" si="59"/>
        <v>50</v>
      </c>
      <c r="AU85" s="264"/>
      <c r="AV85" s="147">
        <f t="shared" si="60"/>
        <v>5</v>
      </c>
      <c r="AW85" s="116">
        <v>11</v>
      </c>
      <c r="AX85" s="147">
        <v>23</v>
      </c>
      <c r="AY85" s="146">
        <f t="shared" si="61"/>
        <v>34</v>
      </c>
      <c r="AZ85" s="147">
        <v>21</v>
      </c>
      <c r="BA85" s="146">
        <f t="shared" si="62"/>
        <v>55</v>
      </c>
      <c r="BB85" s="263"/>
      <c r="BC85" s="147">
        <f t="shared" si="63"/>
        <v>3</v>
      </c>
      <c r="BD85" s="116">
        <v>6</v>
      </c>
      <c r="BE85" s="147">
        <v>14</v>
      </c>
      <c r="BF85" s="146">
        <f t="shared" si="64"/>
        <v>20</v>
      </c>
      <c r="BG85" s="147">
        <v>10</v>
      </c>
      <c r="BH85" s="147">
        <v>20</v>
      </c>
      <c r="BI85" s="146">
        <f t="shared" si="65"/>
        <v>50</v>
      </c>
      <c r="BJ85" s="264"/>
      <c r="BK85" s="147">
        <f t="shared" si="3"/>
        <v>3</v>
      </c>
      <c r="BL85" s="116">
        <v>2</v>
      </c>
      <c r="BM85" s="147">
        <v>9</v>
      </c>
      <c r="BN85" s="146">
        <f t="shared" si="66"/>
        <v>11</v>
      </c>
      <c r="BO85" s="147">
        <v>10</v>
      </c>
      <c r="BP85" s="147">
        <v>20</v>
      </c>
      <c r="BQ85" s="146">
        <f t="shared" si="67"/>
        <v>41</v>
      </c>
      <c r="BR85" s="263"/>
      <c r="BS85" s="147" t="str">
        <f t="shared" si="68"/>
        <v>F</v>
      </c>
      <c r="BT85" s="116">
        <v>5</v>
      </c>
      <c r="BU85" s="147">
        <v>15</v>
      </c>
      <c r="BV85" s="146">
        <f t="shared" si="69"/>
        <v>20</v>
      </c>
      <c r="BW85" s="147">
        <v>12</v>
      </c>
      <c r="BX85" s="147">
        <v>22</v>
      </c>
      <c r="BY85" s="146">
        <f t="shared" si="70"/>
        <v>54</v>
      </c>
      <c r="BZ85" s="264"/>
      <c r="CA85" s="147">
        <f t="shared" si="71"/>
        <v>3</v>
      </c>
      <c r="CB85" s="116">
        <v>8</v>
      </c>
      <c r="CC85" s="147">
        <v>14</v>
      </c>
      <c r="CD85" s="146">
        <f t="shared" si="72"/>
        <v>22</v>
      </c>
      <c r="CE85" s="147">
        <v>10</v>
      </c>
      <c r="CF85" s="147">
        <v>23</v>
      </c>
      <c r="CG85" s="146">
        <f t="shared" si="73"/>
        <v>55</v>
      </c>
      <c r="CH85" s="263"/>
      <c r="CI85" s="129">
        <f t="shared" si="74"/>
        <v>3</v>
      </c>
      <c r="CJ85" s="147" t="str">
        <f t="shared" si="45"/>
        <v>F</v>
      </c>
      <c r="CK85" s="130" t="str">
        <f t="shared" si="75"/>
        <v>F</v>
      </c>
      <c r="CL85" s="130" t="str">
        <f t="shared" si="76"/>
        <v>F</v>
      </c>
      <c r="CM85" s="37" t="str">
        <f t="shared" si="46"/>
        <v>NEED TO PROGRESS</v>
      </c>
      <c r="CN85" s="38">
        <f t="shared" si="47"/>
        <v>617</v>
      </c>
      <c r="CO85" s="37" t="str">
        <f t="shared" si="77"/>
        <v>F</v>
      </c>
      <c r="CP85" s="40"/>
    </row>
    <row r="86" spans="1:94" s="43" customFormat="1" ht="28.5" customHeight="1">
      <c r="A86" s="207">
        <v>79</v>
      </c>
      <c r="B86" s="117">
        <v>148</v>
      </c>
      <c r="C86" s="179" t="s">
        <v>392</v>
      </c>
      <c r="D86" s="95" t="s">
        <v>393</v>
      </c>
      <c r="E86" s="95" t="s">
        <v>394</v>
      </c>
      <c r="F86" s="109" t="s">
        <v>395</v>
      </c>
      <c r="G86" s="116">
        <v>13</v>
      </c>
      <c r="H86" s="147">
        <v>17</v>
      </c>
      <c r="I86" s="146">
        <f t="shared" si="48"/>
        <v>30</v>
      </c>
      <c r="J86" s="147">
        <v>12</v>
      </c>
      <c r="K86" s="146">
        <f t="shared" si="80"/>
        <v>42</v>
      </c>
      <c r="L86" s="116">
        <v>15</v>
      </c>
      <c r="M86" s="147">
        <v>29</v>
      </c>
      <c r="N86" s="146">
        <f t="shared" si="49"/>
        <v>44</v>
      </c>
      <c r="O86" s="147">
        <v>11</v>
      </c>
      <c r="P86" s="146">
        <f t="shared" si="79"/>
        <v>55</v>
      </c>
      <c r="Q86" s="146">
        <f t="shared" si="50"/>
        <v>97</v>
      </c>
      <c r="R86" s="263"/>
      <c r="S86" s="147">
        <f t="shared" si="51"/>
        <v>2</v>
      </c>
      <c r="T86" s="116">
        <v>16</v>
      </c>
      <c r="U86" s="147">
        <v>40</v>
      </c>
      <c r="V86" s="146">
        <f t="shared" si="52"/>
        <v>56</v>
      </c>
      <c r="W86" s="147">
        <v>9</v>
      </c>
      <c r="X86" s="147">
        <v>34</v>
      </c>
      <c r="Y86" s="146">
        <f t="shared" si="53"/>
        <v>43</v>
      </c>
      <c r="Z86" s="146">
        <f t="shared" si="54"/>
        <v>99</v>
      </c>
      <c r="AA86" s="263"/>
      <c r="AB86" s="147">
        <f t="shared" si="0"/>
        <v>2</v>
      </c>
      <c r="AC86" s="116">
        <v>12</v>
      </c>
      <c r="AD86" s="147">
        <v>22</v>
      </c>
      <c r="AE86" s="146">
        <f t="shared" si="55"/>
        <v>34</v>
      </c>
      <c r="AF86" s="147">
        <v>12</v>
      </c>
      <c r="AG86" s="146">
        <f t="shared" si="56"/>
        <v>46</v>
      </c>
      <c r="AH86" s="263"/>
      <c r="AI86" s="147">
        <f t="shared" si="43"/>
        <v>2</v>
      </c>
      <c r="AJ86" s="116">
        <v>14</v>
      </c>
      <c r="AK86" s="147">
        <v>24</v>
      </c>
      <c r="AL86" s="146">
        <f t="shared" si="57"/>
        <v>38</v>
      </c>
      <c r="AM86" s="147">
        <v>20</v>
      </c>
      <c r="AN86" s="146">
        <f t="shared" si="58"/>
        <v>58</v>
      </c>
      <c r="AO86" s="263"/>
      <c r="AP86" s="147">
        <f t="shared" si="44"/>
        <v>3</v>
      </c>
      <c r="AQ86" s="116"/>
      <c r="AR86" s="147">
        <v>23</v>
      </c>
      <c r="AS86" s="147">
        <v>23</v>
      </c>
      <c r="AT86" s="147">
        <f t="shared" si="59"/>
        <v>46</v>
      </c>
      <c r="AU86" s="264"/>
      <c r="AV86" s="147">
        <f t="shared" si="60"/>
        <v>5</v>
      </c>
      <c r="AW86" s="116">
        <v>10</v>
      </c>
      <c r="AX86" s="147">
        <v>18</v>
      </c>
      <c r="AY86" s="146">
        <f t="shared" si="61"/>
        <v>28</v>
      </c>
      <c r="AZ86" s="147">
        <v>12</v>
      </c>
      <c r="BA86" s="146">
        <f t="shared" si="62"/>
        <v>40</v>
      </c>
      <c r="BB86" s="263"/>
      <c r="BC86" s="147">
        <f t="shared" si="63"/>
        <v>2</v>
      </c>
      <c r="BD86" s="116">
        <v>1</v>
      </c>
      <c r="BE86" s="147">
        <v>7</v>
      </c>
      <c r="BF86" s="146">
        <f t="shared" si="64"/>
        <v>8</v>
      </c>
      <c r="BG86" s="147">
        <v>10</v>
      </c>
      <c r="BH86" s="147">
        <v>20</v>
      </c>
      <c r="BI86" s="146">
        <f t="shared" si="65"/>
        <v>38</v>
      </c>
      <c r="BJ86" s="264"/>
      <c r="BK86" s="147" t="str">
        <f t="shared" si="3"/>
        <v>F</v>
      </c>
      <c r="BL86" s="116">
        <v>5</v>
      </c>
      <c r="BM86" s="147">
        <v>4</v>
      </c>
      <c r="BN86" s="146">
        <f t="shared" si="66"/>
        <v>9</v>
      </c>
      <c r="BO86" s="147">
        <v>8</v>
      </c>
      <c r="BP86" s="147">
        <v>20</v>
      </c>
      <c r="BQ86" s="146">
        <f t="shared" si="67"/>
        <v>37</v>
      </c>
      <c r="BR86" s="263"/>
      <c r="BS86" s="147" t="str">
        <f t="shared" si="68"/>
        <v>F</v>
      </c>
      <c r="BT86" s="116">
        <v>6</v>
      </c>
      <c r="BU86" s="147">
        <v>10</v>
      </c>
      <c r="BV86" s="146">
        <f t="shared" si="69"/>
        <v>16</v>
      </c>
      <c r="BW86" s="147">
        <v>8</v>
      </c>
      <c r="BX86" s="147">
        <v>22</v>
      </c>
      <c r="BY86" s="146">
        <f t="shared" si="70"/>
        <v>46</v>
      </c>
      <c r="BZ86" s="264"/>
      <c r="CA86" s="147" t="str">
        <f t="shared" si="71"/>
        <v>F</v>
      </c>
      <c r="CB86" s="116">
        <v>6</v>
      </c>
      <c r="CC86" s="147">
        <v>14</v>
      </c>
      <c r="CD86" s="146">
        <f t="shared" si="72"/>
        <v>20</v>
      </c>
      <c r="CE86" s="147">
        <v>18</v>
      </c>
      <c r="CF86" s="147">
        <v>22</v>
      </c>
      <c r="CG86" s="146">
        <f t="shared" si="73"/>
        <v>60</v>
      </c>
      <c r="CH86" s="263"/>
      <c r="CI86" s="129">
        <f t="shared" si="74"/>
        <v>3.5</v>
      </c>
      <c r="CJ86" s="147" t="str">
        <f t="shared" si="45"/>
        <v>F</v>
      </c>
      <c r="CK86" s="130" t="str">
        <f t="shared" si="75"/>
        <v>F</v>
      </c>
      <c r="CL86" s="130" t="str">
        <f t="shared" si="76"/>
        <v>F</v>
      </c>
      <c r="CM86" s="37" t="str">
        <f t="shared" si="46"/>
        <v>NEED TO PROGRESS</v>
      </c>
      <c r="CN86" s="38">
        <f t="shared" si="47"/>
        <v>567</v>
      </c>
      <c r="CO86" s="37" t="str">
        <f t="shared" si="77"/>
        <v>F</v>
      </c>
      <c r="CP86" s="40"/>
    </row>
    <row r="87" spans="1:94" s="121" customFormat="1" ht="30.6" customHeight="1">
      <c r="A87" s="120">
        <v>80</v>
      </c>
      <c r="B87" s="117">
        <v>149</v>
      </c>
      <c r="C87" s="118" t="s">
        <v>396</v>
      </c>
      <c r="D87" s="118" t="s">
        <v>397</v>
      </c>
      <c r="E87" s="118" t="s">
        <v>398</v>
      </c>
      <c r="F87" s="119" t="s">
        <v>399</v>
      </c>
      <c r="G87" s="116"/>
      <c r="H87" s="147"/>
      <c r="I87" s="146">
        <f t="shared" si="48"/>
        <v>0</v>
      </c>
      <c r="J87" s="116"/>
      <c r="K87" s="146">
        <f t="shared" ref="K87:K95" si="81">I87+J87</f>
        <v>0</v>
      </c>
      <c r="L87" s="116"/>
      <c r="M87" s="147"/>
      <c r="N87" s="146">
        <f t="shared" si="49"/>
        <v>0</v>
      </c>
      <c r="O87" s="147"/>
      <c r="P87" s="146">
        <f t="shared" si="79"/>
        <v>0</v>
      </c>
      <c r="Q87" s="146">
        <f t="shared" si="50"/>
        <v>0</v>
      </c>
      <c r="R87" s="263"/>
      <c r="S87" s="147" t="str">
        <f t="shared" si="51"/>
        <v>F</v>
      </c>
      <c r="T87" s="116">
        <v>12</v>
      </c>
      <c r="U87" s="146">
        <v>32</v>
      </c>
      <c r="V87" s="146">
        <f t="shared" si="52"/>
        <v>44</v>
      </c>
      <c r="W87" s="116">
        <v>0</v>
      </c>
      <c r="X87" s="146">
        <v>48</v>
      </c>
      <c r="Y87" s="146">
        <f t="shared" si="53"/>
        <v>48</v>
      </c>
      <c r="Z87" s="146">
        <f t="shared" si="54"/>
        <v>92</v>
      </c>
      <c r="AA87" s="263"/>
      <c r="AB87" s="147">
        <f t="shared" si="0"/>
        <v>2</v>
      </c>
      <c r="AC87" s="116">
        <v>0</v>
      </c>
      <c r="AD87" s="147">
        <v>0</v>
      </c>
      <c r="AE87" s="146">
        <f t="shared" si="55"/>
        <v>0</v>
      </c>
      <c r="AF87" s="147">
        <v>0</v>
      </c>
      <c r="AG87" s="146">
        <f t="shared" si="56"/>
        <v>0</v>
      </c>
      <c r="AH87" s="263"/>
      <c r="AI87" s="147" t="str">
        <f t="shared" si="43"/>
        <v>F</v>
      </c>
      <c r="AJ87" s="116"/>
      <c r="AK87" s="147"/>
      <c r="AL87" s="146">
        <f t="shared" si="57"/>
        <v>0</v>
      </c>
      <c r="AM87" s="147"/>
      <c r="AN87" s="146">
        <f t="shared" si="58"/>
        <v>0</v>
      </c>
      <c r="AO87" s="263"/>
      <c r="AP87" s="147" t="str">
        <f t="shared" si="44"/>
        <v>F</v>
      </c>
      <c r="AQ87" s="116"/>
      <c r="AR87" s="147">
        <v>0</v>
      </c>
      <c r="AS87" s="147">
        <v>0</v>
      </c>
      <c r="AT87" s="147">
        <f t="shared" si="59"/>
        <v>0</v>
      </c>
      <c r="AU87" s="264"/>
      <c r="AV87" s="147" t="str">
        <f t="shared" si="60"/>
        <v>F</v>
      </c>
      <c r="AW87" s="116"/>
      <c r="AX87" s="147"/>
      <c r="AY87" s="146">
        <f t="shared" si="61"/>
        <v>0</v>
      </c>
      <c r="AZ87" s="147"/>
      <c r="BA87" s="146">
        <f t="shared" si="62"/>
        <v>0</v>
      </c>
      <c r="BB87" s="263"/>
      <c r="BC87" s="147" t="str">
        <f t="shared" si="63"/>
        <v>F</v>
      </c>
      <c r="BD87" s="116"/>
      <c r="BE87" s="147"/>
      <c r="BF87" s="146">
        <f t="shared" si="64"/>
        <v>0</v>
      </c>
      <c r="BG87" s="147"/>
      <c r="BH87" s="147"/>
      <c r="BI87" s="146">
        <f t="shared" si="65"/>
        <v>0</v>
      </c>
      <c r="BJ87" s="264"/>
      <c r="BK87" s="147" t="str">
        <f t="shared" si="3"/>
        <v>F</v>
      </c>
      <c r="BL87" s="116"/>
      <c r="BM87" s="147"/>
      <c r="BN87" s="146">
        <f t="shared" si="66"/>
        <v>0</v>
      </c>
      <c r="BO87" s="147"/>
      <c r="BP87" s="147"/>
      <c r="BQ87" s="146">
        <f t="shared" si="67"/>
        <v>0</v>
      </c>
      <c r="BR87" s="263"/>
      <c r="BS87" s="147" t="str">
        <f t="shared" si="68"/>
        <v>F</v>
      </c>
      <c r="BT87" s="116"/>
      <c r="BU87" s="147"/>
      <c r="BV87" s="146">
        <f t="shared" si="69"/>
        <v>0</v>
      </c>
      <c r="BW87" s="147"/>
      <c r="BX87" s="147"/>
      <c r="BY87" s="146">
        <f t="shared" si="70"/>
        <v>0</v>
      </c>
      <c r="BZ87" s="264"/>
      <c r="CA87" s="147" t="str">
        <f t="shared" si="71"/>
        <v>F</v>
      </c>
      <c r="CB87" s="116"/>
      <c r="CC87" s="147"/>
      <c r="CD87" s="146">
        <f t="shared" si="72"/>
        <v>0</v>
      </c>
      <c r="CE87" s="147"/>
      <c r="CF87" s="147"/>
      <c r="CG87" s="146">
        <f t="shared" si="73"/>
        <v>0</v>
      </c>
      <c r="CH87" s="263"/>
      <c r="CI87" s="129" t="str">
        <f t="shared" si="74"/>
        <v>0</v>
      </c>
      <c r="CJ87" s="147" t="str">
        <f t="shared" si="45"/>
        <v>F</v>
      </c>
      <c r="CK87" s="130" t="str">
        <f t="shared" si="75"/>
        <v>F</v>
      </c>
      <c r="CL87" s="130" t="str">
        <f t="shared" si="76"/>
        <v>F</v>
      </c>
      <c r="CM87" s="37" t="str">
        <f t="shared" si="46"/>
        <v>NEED TO PROGRESS</v>
      </c>
      <c r="CN87" s="38">
        <f t="shared" si="47"/>
        <v>92</v>
      </c>
      <c r="CO87" s="37" t="str">
        <f t="shared" si="77"/>
        <v>F</v>
      </c>
      <c r="CP87" s="120"/>
    </row>
    <row r="88" spans="1:94" s="121" customFormat="1" ht="27" customHeight="1">
      <c r="A88" s="120">
        <v>81</v>
      </c>
      <c r="B88" s="117">
        <v>150</v>
      </c>
      <c r="C88" s="118" t="s">
        <v>63</v>
      </c>
      <c r="D88" s="118" t="s">
        <v>400</v>
      </c>
      <c r="E88" s="118" t="s">
        <v>401</v>
      </c>
      <c r="F88" s="119" t="s">
        <v>402</v>
      </c>
      <c r="G88" s="116"/>
      <c r="H88" s="147"/>
      <c r="I88" s="146">
        <f t="shared" si="48"/>
        <v>0</v>
      </c>
      <c r="J88" s="116"/>
      <c r="K88" s="146">
        <f t="shared" si="81"/>
        <v>0</v>
      </c>
      <c r="L88" s="116"/>
      <c r="M88" s="147"/>
      <c r="N88" s="146">
        <f t="shared" si="49"/>
        <v>0</v>
      </c>
      <c r="O88" s="147"/>
      <c r="P88" s="146">
        <f t="shared" si="79"/>
        <v>0</v>
      </c>
      <c r="Q88" s="146">
        <f t="shared" si="50"/>
        <v>0</v>
      </c>
      <c r="R88" s="263"/>
      <c r="S88" s="147" t="str">
        <f t="shared" si="51"/>
        <v>F</v>
      </c>
      <c r="T88" s="116"/>
      <c r="U88" s="146"/>
      <c r="V88" s="146">
        <f t="shared" si="52"/>
        <v>0</v>
      </c>
      <c r="W88" s="116"/>
      <c r="X88" s="146"/>
      <c r="Y88" s="146">
        <f t="shared" si="53"/>
        <v>0</v>
      </c>
      <c r="Z88" s="146">
        <f t="shared" si="54"/>
        <v>0</v>
      </c>
      <c r="AA88" s="263"/>
      <c r="AB88" s="147" t="str">
        <f t="shared" si="0"/>
        <v>F</v>
      </c>
      <c r="AC88" s="116">
        <v>0</v>
      </c>
      <c r="AD88" s="147">
        <v>0</v>
      </c>
      <c r="AE88" s="146">
        <f t="shared" si="55"/>
        <v>0</v>
      </c>
      <c r="AF88" s="147">
        <v>0</v>
      </c>
      <c r="AG88" s="146">
        <f t="shared" si="56"/>
        <v>0</v>
      </c>
      <c r="AH88" s="263"/>
      <c r="AI88" s="147" t="str">
        <f t="shared" si="43"/>
        <v>F</v>
      </c>
      <c r="AJ88" s="116"/>
      <c r="AK88" s="147"/>
      <c r="AL88" s="146">
        <f t="shared" si="57"/>
        <v>0</v>
      </c>
      <c r="AM88" s="147"/>
      <c r="AN88" s="146">
        <f t="shared" si="58"/>
        <v>0</v>
      </c>
      <c r="AO88" s="263"/>
      <c r="AP88" s="147" t="str">
        <f t="shared" si="44"/>
        <v>F</v>
      </c>
      <c r="AQ88" s="116"/>
      <c r="AR88" s="147">
        <v>0</v>
      </c>
      <c r="AS88" s="147">
        <v>0</v>
      </c>
      <c r="AT88" s="147">
        <f t="shared" si="59"/>
        <v>0</v>
      </c>
      <c r="AU88" s="264"/>
      <c r="AV88" s="147" t="str">
        <f t="shared" si="60"/>
        <v>F</v>
      </c>
      <c r="AW88" s="116"/>
      <c r="AX88" s="147"/>
      <c r="AY88" s="146">
        <f t="shared" si="61"/>
        <v>0</v>
      </c>
      <c r="AZ88" s="147"/>
      <c r="BA88" s="146">
        <f t="shared" si="62"/>
        <v>0</v>
      </c>
      <c r="BB88" s="263"/>
      <c r="BC88" s="147" t="str">
        <f t="shared" si="63"/>
        <v>F</v>
      </c>
      <c r="BD88" s="116"/>
      <c r="BE88" s="147"/>
      <c r="BF88" s="146">
        <f t="shared" si="64"/>
        <v>0</v>
      </c>
      <c r="BG88" s="147"/>
      <c r="BH88" s="147"/>
      <c r="BI88" s="146">
        <f t="shared" si="65"/>
        <v>0</v>
      </c>
      <c r="BJ88" s="264"/>
      <c r="BK88" s="147" t="str">
        <f t="shared" si="3"/>
        <v>F</v>
      </c>
      <c r="BL88" s="116"/>
      <c r="BM88" s="147"/>
      <c r="BN88" s="146">
        <f t="shared" si="66"/>
        <v>0</v>
      </c>
      <c r="BO88" s="147"/>
      <c r="BP88" s="147"/>
      <c r="BQ88" s="146">
        <f t="shared" si="67"/>
        <v>0</v>
      </c>
      <c r="BR88" s="263"/>
      <c r="BS88" s="147" t="str">
        <f t="shared" si="68"/>
        <v>F</v>
      </c>
      <c r="BT88" s="116"/>
      <c r="BU88" s="147"/>
      <c r="BV88" s="146">
        <f t="shared" si="69"/>
        <v>0</v>
      </c>
      <c r="BW88" s="147"/>
      <c r="BX88" s="147"/>
      <c r="BY88" s="146">
        <f t="shared" si="70"/>
        <v>0</v>
      </c>
      <c r="BZ88" s="264"/>
      <c r="CA88" s="147" t="str">
        <f t="shared" si="71"/>
        <v>F</v>
      </c>
      <c r="CB88" s="116"/>
      <c r="CC88" s="147"/>
      <c r="CD88" s="146">
        <f t="shared" si="72"/>
        <v>0</v>
      </c>
      <c r="CE88" s="147"/>
      <c r="CF88" s="147"/>
      <c r="CG88" s="146">
        <f t="shared" si="73"/>
        <v>0</v>
      </c>
      <c r="CH88" s="263"/>
      <c r="CI88" s="129" t="str">
        <f t="shared" si="74"/>
        <v>0</v>
      </c>
      <c r="CJ88" s="147" t="str">
        <f t="shared" si="45"/>
        <v>F</v>
      </c>
      <c r="CK88" s="130" t="str">
        <f t="shared" si="75"/>
        <v>F</v>
      </c>
      <c r="CL88" s="130" t="str">
        <f t="shared" si="76"/>
        <v>F</v>
      </c>
      <c r="CM88" s="37" t="str">
        <f t="shared" si="46"/>
        <v>NEED TO PROGRESS</v>
      </c>
      <c r="CN88" s="38">
        <f t="shared" si="47"/>
        <v>0</v>
      </c>
      <c r="CO88" s="37" t="str">
        <f t="shared" si="77"/>
        <v>F</v>
      </c>
      <c r="CP88" s="120"/>
    </row>
    <row r="89" spans="1:94" s="121" customFormat="1" ht="24" customHeight="1">
      <c r="A89" s="120">
        <v>82</v>
      </c>
      <c r="B89" s="117">
        <v>151</v>
      </c>
      <c r="C89" s="118" t="s">
        <v>403</v>
      </c>
      <c r="D89" s="118" t="s">
        <v>404</v>
      </c>
      <c r="E89" s="118" t="s">
        <v>405</v>
      </c>
      <c r="F89" s="119" t="s">
        <v>406</v>
      </c>
      <c r="G89" s="116"/>
      <c r="H89" s="147"/>
      <c r="I89" s="146">
        <f t="shared" si="48"/>
        <v>0</v>
      </c>
      <c r="J89" s="116"/>
      <c r="K89" s="146">
        <f t="shared" si="81"/>
        <v>0</v>
      </c>
      <c r="L89" s="116"/>
      <c r="M89" s="147"/>
      <c r="N89" s="146">
        <f t="shared" si="49"/>
        <v>0</v>
      </c>
      <c r="O89" s="147"/>
      <c r="P89" s="146">
        <f t="shared" si="79"/>
        <v>0</v>
      </c>
      <c r="Q89" s="146">
        <f t="shared" si="50"/>
        <v>0</v>
      </c>
      <c r="R89" s="263"/>
      <c r="S89" s="147" t="str">
        <f t="shared" si="51"/>
        <v>F</v>
      </c>
      <c r="T89" s="116"/>
      <c r="U89" s="146"/>
      <c r="V89" s="146">
        <f t="shared" si="52"/>
        <v>0</v>
      </c>
      <c r="W89" s="116"/>
      <c r="X89" s="146"/>
      <c r="Y89" s="146">
        <f t="shared" si="53"/>
        <v>0</v>
      </c>
      <c r="Z89" s="146">
        <f t="shared" si="54"/>
        <v>0</v>
      </c>
      <c r="AA89" s="263"/>
      <c r="AB89" s="147" t="str">
        <f t="shared" si="0"/>
        <v>F</v>
      </c>
      <c r="AC89" s="116">
        <v>0</v>
      </c>
      <c r="AD89" s="147">
        <v>0</v>
      </c>
      <c r="AE89" s="146">
        <f t="shared" si="55"/>
        <v>0</v>
      </c>
      <c r="AF89" s="147">
        <v>0</v>
      </c>
      <c r="AG89" s="146">
        <f t="shared" si="56"/>
        <v>0</v>
      </c>
      <c r="AH89" s="263"/>
      <c r="AI89" s="147" t="str">
        <f t="shared" si="43"/>
        <v>F</v>
      </c>
      <c r="AJ89" s="116"/>
      <c r="AK89" s="147"/>
      <c r="AL89" s="146">
        <f t="shared" si="57"/>
        <v>0</v>
      </c>
      <c r="AM89" s="147"/>
      <c r="AN89" s="146">
        <f t="shared" si="58"/>
        <v>0</v>
      </c>
      <c r="AO89" s="263"/>
      <c r="AP89" s="147" t="str">
        <f t="shared" si="44"/>
        <v>F</v>
      </c>
      <c r="AQ89" s="116"/>
      <c r="AR89" s="147">
        <v>0</v>
      </c>
      <c r="AS89" s="147">
        <v>0</v>
      </c>
      <c r="AT89" s="147">
        <f t="shared" si="59"/>
        <v>0</v>
      </c>
      <c r="AU89" s="264"/>
      <c r="AV89" s="147" t="str">
        <f t="shared" si="60"/>
        <v>F</v>
      </c>
      <c r="AW89" s="116"/>
      <c r="AX89" s="147"/>
      <c r="AY89" s="146">
        <f t="shared" si="61"/>
        <v>0</v>
      </c>
      <c r="AZ89" s="147"/>
      <c r="BA89" s="146">
        <f t="shared" si="62"/>
        <v>0</v>
      </c>
      <c r="BB89" s="263"/>
      <c r="BC89" s="147" t="str">
        <f t="shared" si="63"/>
        <v>F</v>
      </c>
      <c r="BD89" s="116"/>
      <c r="BE89" s="147"/>
      <c r="BF89" s="146">
        <f t="shared" si="64"/>
        <v>0</v>
      </c>
      <c r="BG89" s="147"/>
      <c r="BH89" s="147"/>
      <c r="BI89" s="146">
        <f t="shared" si="65"/>
        <v>0</v>
      </c>
      <c r="BJ89" s="264"/>
      <c r="BK89" s="147" t="str">
        <f t="shared" si="3"/>
        <v>F</v>
      </c>
      <c r="BL89" s="116"/>
      <c r="BM89" s="147"/>
      <c r="BN89" s="146">
        <f t="shared" si="66"/>
        <v>0</v>
      </c>
      <c r="BO89" s="147"/>
      <c r="BP89" s="147"/>
      <c r="BQ89" s="146">
        <f t="shared" si="67"/>
        <v>0</v>
      </c>
      <c r="BR89" s="263"/>
      <c r="BS89" s="147" t="str">
        <f t="shared" si="68"/>
        <v>F</v>
      </c>
      <c r="BT89" s="116"/>
      <c r="BU89" s="147"/>
      <c r="BV89" s="146">
        <f t="shared" si="69"/>
        <v>0</v>
      </c>
      <c r="BW89" s="147"/>
      <c r="BX89" s="147"/>
      <c r="BY89" s="146">
        <f t="shared" si="70"/>
        <v>0</v>
      </c>
      <c r="BZ89" s="264"/>
      <c r="CA89" s="147" t="str">
        <f t="shared" si="71"/>
        <v>F</v>
      </c>
      <c r="CB89" s="116"/>
      <c r="CC89" s="147"/>
      <c r="CD89" s="146">
        <f t="shared" si="72"/>
        <v>0</v>
      </c>
      <c r="CE89" s="147"/>
      <c r="CF89" s="147"/>
      <c r="CG89" s="146">
        <f t="shared" si="73"/>
        <v>0</v>
      </c>
      <c r="CH89" s="263"/>
      <c r="CI89" s="129" t="str">
        <f t="shared" si="74"/>
        <v>0</v>
      </c>
      <c r="CJ89" s="147" t="str">
        <f t="shared" si="45"/>
        <v>F</v>
      </c>
      <c r="CK89" s="130" t="str">
        <f t="shared" si="75"/>
        <v>F</v>
      </c>
      <c r="CL89" s="130" t="str">
        <f t="shared" si="76"/>
        <v>F</v>
      </c>
      <c r="CM89" s="37" t="str">
        <f t="shared" si="46"/>
        <v>NEED TO PROGRESS</v>
      </c>
      <c r="CN89" s="38">
        <f t="shared" si="47"/>
        <v>0</v>
      </c>
      <c r="CO89" s="37" t="str">
        <f t="shared" si="77"/>
        <v>F</v>
      </c>
      <c r="CP89" s="120"/>
    </row>
    <row r="90" spans="1:94" s="121" customFormat="1" ht="24" hidden="1" customHeight="1">
      <c r="A90" s="120">
        <v>83</v>
      </c>
      <c r="B90" s="117">
        <v>153</v>
      </c>
      <c r="C90" s="118" t="s">
        <v>407</v>
      </c>
      <c r="D90" s="118"/>
      <c r="E90" s="118"/>
      <c r="F90" s="119"/>
      <c r="G90" s="116"/>
      <c r="H90" s="147"/>
      <c r="I90" s="146">
        <f t="shared" si="48"/>
        <v>0</v>
      </c>
      <c r="J90" s="116"/>
      <c r="K90" s="146">
        <f t="shared" si="81"/>
        <v>0</v>
      </c>
      <c r="L90" s="116"/>
      <c r="M90" s="147"/>
      <c r="N90" s="146">
        <f t="shared" si="49"/>
        <v>0</v>
      </c>
      <c r="O90" s="147"/>
      <c r="P90" s="146">
        <f t="shared" si="79"/>
        <v>0</v>
      </c>
      <c r="Q90" s="146">
        <f t="shared" si="50"/>
        <v>0</v>
      </c>
      <c r="R90" s="263"/>
      <c r="S90" s="147" t="str">
        <f t="shared" si="51"/>
        <v>F</v>
      </c>
      <c r="T90" s="116"/>
      <c r="U90" s="146"/>
      <c r="V90" s="146">
        <f t="shared" si="52"/>
        <v>0</v>
      </c>
      <c r="W90" s="116"/>
      <c r="X90" s="146"/>
      <c r="Y90" s="146">
        <f t="shared" si="53"/>
        <v>0</v>
      </c>
      <c r="Z90" s="146">
        <f t="shared" si="54"/>
        <v>0</v>
      </c>
      <c r="AA90" s="263"/>
      <c r="AB90" s="147" t="str">
        <f t="shared" si="0"/>
        <v>F</v>
      </c>
      <c r="AC90" s="116">
        <v>0</v>
      </c>
      <c r="AD90" s="147">
        <v>0</v>
      </c>
      <c r="AE90" s="146">
        <f t="shared" si="55"/>
        <v>0</v>
      </c>
      <c r="AF90" s="147">
        <v>0</v>
      </c>
      <c r="AG90" s="146">
        <f t="shared" si="56"/>
        <v>0</v>
      </c>
      <c r="AH90" s="263"/>
      <c r="AI90" s="147" t="str">
        <f t="shared" si="43"/>
        <v>F</v>
      </c>
      <c r="AJ90" s="116"/>
      <c r="AK90" s="147"/>
      <c r="AL90" s="146">
        <f t="shared" si="57"/>
        <v>0</v>
      </c>
      <c r="AM90" s="147"/>
      <c r="AN90" s="146">
        <f t="shared" si="58"/>
        <v>0</v>
      </c>
      <c r="AO90" s="263"/>
      <c r="AP90" s="147" t="str">
        <f t="shared" si="44"/>
        <v>F</v>
      </c>
      <c r="AQ90" s="116"/>
      <c r="AR90" s="147">
        <v>0</v>
      </c>
      <c r="AS90" s="147">
        <v>0</v>
      </c>
      <c r="AT90" s="147">
        <f t="shared" si="59"/>
        <v>0</v>
      </c>
      <c r="AU90" s="264"/>
      <c r="AV90" s="147" t="str">
        <f t="shared" si="60"/>
        <v>F</v>
      </c>
      <c r="AW90" s="116"/>
      <c r="AX90" s="147"/>
      <c r="AY90" s="146">
        <f t="shared" si="61"/>
        <v>0</v>
      </c>
      <c r="AZ90" s="147"/>
      <c r="BA90" s="146">
        <f t="shared" si="62"/>
        <v>0</v>
      </c>
      <c r="BB90" s="263"/>
      <c r="BC90" s="147" t="str">
        <f t="shared" si="63"/>
        <v>F</v>
      </c>
      <c r="BD90" s="116"/>
      <c r="BE90" s="147"/>
      <c r="BF90" s="146">
        <f t="shared" si="64"/>
        <v>0</v>
      </c>
      <c r="BG90" s="147"/>
      <c r="BH90" s="147"/>
      <c r="BI90" s="146">
        <f t="shared" si="65"/>
        <v>0</v>
      </c>
      <c r="BJ90" s="264"/>
      <c r="BK90" s="147" t="str">
        <f t="shared" si="3"/>
        <v>F</v>
      </c>
      <c r="BL90" s="116"/>
      <c r="BM90" s="147"/>
      <c r="BN90" s="146">
        <f t="shared" si="66"/>
        <v>0</v>
      </c>
      <c r="BO90" s="147"/>
      <c r="BP90" s="147"/>
      <c r="BQ90" s="146">
        <f t="shared" si="67"/>
        <v>0</v>
      </c>
      <c r="BR90" s="263"/>
      <c r="BS90" s="147" t="str">
        <f t="shared" si="68"/>
        <v>F</v>
      </c>
      <c r="BT90" s="116"/>
      <c r="BU90" s="147"/>
      <c r="BV90" s="146">
        <f t="shared" si="69"/>
        <v>0</v>
      </c>
      <c r="BW90" s="147"/>
      <c r="BX90" s="147"/>
      <c r="BY90" s="146">
        <f t="shared" si="70"/>
        <v>0</v>
      </c>
      <c r="BZ90" s="264"/>
      <c r="CA90" s="147" t="str">
        <f t="shared" si="71"/>
        <v>F</v>
      </c>
      <c r="CB90" s="116"/>
      <c r="CC90" s="147"/>
      <c r="CD90" s="146">
        <f t="shared" si="72"/>
        <v>0</v>
      </c>
      <c r="CE90" s="147"/>
      <c r="CF90" s="147"/>
      <c r="CG90" s="146">
        <f t="shared" si="73"/>
        <v>0</v>
      </c>
      <c r="CH90" s="263"/>
      <c r="CI90" s="129" t="str">
        <f t="shared" si="74"/>
        <v>0</v>
      </c>
      <c r="CJ90" s="147" t="str">
        <f t="shared" si="45"/>
        <v>F</v>
      </c>
      <c r="CK90" s="130" t="str">
        <f t="shared" si="75"/>
        <v>F</v>
      </c>
      <c r="CL90" s="130" t="str">
        <f t="shared" si="76"/>
        <v>F</v>
      </c>
      <c r="CM90" s="37" t="str">
        <f t="shared" si="46"/>
        <v>NEED TO PROGRESS</v>
      </c>
      <c r="CN90" s="38">
        <f t="shared" si="47"/>
        <v>0</v>
      </c>
      <c r="CO90" s="37" t="str">
        <f t="shared" si="77"/>
        <v>F</v>
      </c>
      <c r="CP90" s="120"/>
    </row>
    <row r="91" spans="1:94" s="121" customFormat="1" ht="24" hidden="1" customHeight="1">
      <c r="A91" s="120">
        <v>84</v>
      </c>
      <c r="B91" s="117">
        <v>154</v>
      </c>
      <c r="C91" s="118" t="s">
        <v>408</v>
      </c>
      <c r="D91" s="118"/>
      <c r="E91" s="118"/>
      <c r="F91" s="119"/>
      <c r="G91" s="116"/>
      <c r="H91" s="147"/>
      <c r="I91" s="146">
        <f t="shared" si="48"/>
        <v>0</v>
      </c>
      <c r="J91" s="116"/>
      <c r="K91" s="146">
        <f t="shared" si="81"/>
        <v>0</v>
      </c>
      <c r="L91" s="116"/>
      <c r="M91" s="147"/>
      <c r="N91" s="146">
        <f t="shared" si="49"/>
        <v>0</v>
      </c>
      <c r="O91" s="147"/>
      <c r="P91" s="146">
        <f t="shared" si="79"/>
        <v>0</v>
      </c>
      <c r="Q91" s="146">
        <f t="shared" si="50"/>
        <v>0</v>
      </c>
      <c r="R91" s="263"/>
      <c r="S91" s="147" t="str">
        <f t="shared" si="51"/>
        <v>F</v>
      </c>
      <c r="T91" s="116"/>
      <c r="U91" s="146"/>
      <c r="V91" s="146">
        <f t="shared" si="52"/>
        <v>0</v>
      </c>
      <c r="W91" s="116"/>
      <c r="X91" s="146"/>
      <c r="Y91" s="146">
        <f t="shared" si="53"/>
        <v>0</v>
      </c>
      <c r="Z91" s="146">
        <f t="shared" si="54"/>
        <v>0</v>
      </c>
      <c r="AA91" s="263"/>
      <c r="AB91" s="147" t="str">
        <f t="shared" si="0"/>
        <v>F</v>
      </c>
      <c r="AC91" s="116">
        <v>0</v>
      </c>
      <c r="AD91" s="147">
        <v>0</v>
      </c>
      <c r="AE91" s="146">
        <f t="shared" si="55"/>
        <v>0</v>
      </c>
      <c r="AF91" s="147">
        <v>0</v>
      </c>
      <c r="AG91" s="146">
        <f t="shared" si="56"/>
        <v>0</v>
      </c>
      <c r="AH91" s="263"/>
      <c r="AI91" s="147" t="str">
        <f t="shared" si="43"/>
        <v>F</v>
      </c>
      <c r="AJ91" s="116"/>
      <c r="AK91" s="147"/>
      <c r="AL91" s="146">
        <f t="shared" si="57"/>
        <v>0</v>
      </c>
      <c r="AM91" s="147"/>
      <c r="AN91" s="146">
        <f t="shared" si="58"/>
        <v>0</v>
      </c>
      <c r="AO91" s="263"/>
      <c r="AP91" s="147" t="str">
        <f t="shared" si="44"/>
        <v>F</v>
      </c>
      <c r="AQ91" s="116"/>
      <c r="AR91" s="147">
        <v>0</v>
      </c>
      <c r="AS91" s="147">
        <v>0</v>
      </c>
      <c r="AT91" s="147">
        <f t="shared" si="59"/>
        <v>0</v>
      </c>
      <c r="AU91" s="264"/>
      <c r="AV91" s="147" t="str">
        <f t="shared" si="60"/>
        <v>F</v>
      </c>
      <c r="AW91" s="116"/>
      <c r="AX91" s="147"/>
      <c r="AY91" s="146">
        <f t="shared" si="61"/>
        <v>0</v>
      </c>
      <c r="AZ91" s="147"/>
      <c r="BA91" s="146">
        <f t="shared" si="62"/>
        <v>0</v>
      </c>
      <c r="BB91" s="263"/>
      <c r="BC91" s="147" t="str">
        <f t="shared" si="63"/>
        <v>F</v>
      </c>
      <c r="BD91" s="116"/>
      <c r="BE91" s="147"/>
      <c r="BF91" s="146">
        <f t="shared" si="64"/>
        <v>0</v>
      </c>
      <c r="BG91" s="147"/>
      <c r="BH91" s="147"/>
      <c r="BI91" s="146">
        <f t="shared" si="65"/>
        <v>0</v>
      </c>
      <c r="BJ91" s="264"/>
      <c r="BK91" s="147" t="str">
        <f t="shared" si="3"/>
        <v>F</v>
      </c>
      <c r="BL91" s="116"/>
      <c r="BM91" s="147"/>
      <c r="BN91" s="146">
        <f t="shared" si="66"/>
        <v>0</v>
      </c>
      <c r="BO91" s="147"/>
      <c r="BP91" s="147"/>
      <c r="BQ91" s="146">
        <f t="shared" si="67"/>
        <v>0</v>
      </c>
      <c r="BR91" s="263"/>
      <c r="BS91" s="147" t="str">
        <f t="shared" si="68"/>
        <v>F</v>
      </c>
      <c r="BT91" s="116"/>
      <c r="BU91" s="147"/>
      <c r="BV91" s="146">
        <f t="shared" si="69"/>
        <v>0</v>
      </c>
      <c r="BW91" s="147"/>
      <c r="BX91" s="147"/>
      <c r="BY91" s="146">
        <f t="shared" si="70"/>
        <v>0</v>
      </c>
      <c r="BZ91" s="264"/>
      <c r="CA91" s="147" t="str">
        <f t="shared" si="71"/>
        <v>F</v>
      </c>
      <c r="CB91" s="116"/>
      <c r="CC91" s="147"/>
      <c r="CD91" s="146">
        <f t="shared" si="72"/>
        <v>0</v>
      </c>
      <c r="CE91" s="147"/>
      <c r="CF91" s="147"/>
      <c r="CG91" s="146">
        <f t="shared" si="73"/>
        <v>0</v>
      </c>
      <c r="CH91" s="263"/>
      <c r="CI91" s="129" t="str">
        <f t="shared" si="74"/>
        <v>0</v>
      </c>
      <c r="CJ91" s="147" t="str">
        <f t="shared" si="45"/>
        <v>F</v>
      </c>
      <c r="CK91" s="130" t="str">
        <f t="shared" si="75"/>
        <v>F</v>
      </c>
      <c r="CL91" s="130" t="str">
        <f t="shared" si="76"/>
        <v>F</v>
      </c>
      <c r="CM91" s="37" t="str">
        <f t="shared" si="46"/>
        <v>NEED TO PROGRESS</v>
      </c>
      <c r="CN91" s="38">
        <f t="shared" si="47"/>
        <v>0</v>
      </c>
      <c r="CO91" s="37" t="str">
        <f t="shared" si="77"/>
        <v>F</v>
      </c>
      <c r="CP91" s="120"/>
    </row>
    <row r="92" spans="1:94" s="121" customFormat="1" ht="24" hidden="1" customHeight="1">
      <c r="A92" s="120">
        <v>85</v>
      </c>
      <c r="B92" s="117">
        <v>156</v>
      </c>
      <c r="C92" s="118" t="s">
        <v>409</v>
      </c>
      <c r="D92" s="118"/>
      <c r="E92" s="118"/>
      <c r="F92" s="119"/>
      <c r="G92" s="116"/>
      <c r="H92" s="147"/>
      <c r="I92" s="146">
        <f t="shared" si="48"/>
        <v>0</v>
      </c>
      <c r="J92" s="116"/>
      <c r="K92" s="146">
        <f t="shared" si="81"/>
        <v>0</v>
      </c>
      <c r="L92" s="116"/>
      <c r="M92" s="147"/>
      <c r="N92" s="146">
        <f t="shared" si="49"/>
        <v>0</v>
      </c>
      <c r="O92" s="147"/>
      <c r="P92" s="146">
        <f t="shared" si="79"/>
        <v>0</v>
      </c>
      <c r="Q92" s="146">
        <f t="shared" si="50"/>
        <v>0</v>
      </c>
      <c r="R92" s="263"/>
      <c r="S92" s="147" t="str">
        <f t="shared" si="51"/>
        <v>F</v>
      </c>
      <c r="T92" s="116"/>
      <c r="U92" s="146"/>
      <c r="V92" s="146">
        <f t="shared" si="52"/>
        <v>0</v>
      </c>
      <c r="W92" s="116"/>
      <c r="X92" s="146"/>
      <c r="Y92" s="146">
        <f t="shared" si="53"/>
        <v>0</v>
      </c>
      <c r="Z92" s="146">
        <f t="shared" si="54"/>
        <v>0</v>
      </c>
      <c r="AA92" s="263"/>
      <c r="AB92" s="147" t="str">
        <f t="shared" si="0"/>
        <v>F</v>
      </c>
      <c r="AC92" s="116">
        <v>0</v>
      </c>
      <c r="AD92" s="147">
        <v>0</v>
      </c>
      <c r="AE92" s="146">
        <f t="shared" si="55"/>
        <v>0</v>
      </c>
      <c r="AF92" s="147">
        <v>0</v>
      </c>
      <c r="AG92" s="146">
        <f t="shared" si="56"/>
        <v>0</v>
      </c>
      <c r="AH92" s="263"/>
      <c r="AI92" s="147" t="str">
        <f t="shared" si="43"/>
        <v>F</v>
      </c>
      <c r="AJ92" s="116"/>
      <c r="AK92" s="147"/>
      <c r="AL92" s="146">
        <f t="shared" si="57"/>
        <v>0</v>
      </c>
      <c r="AM92" s="147"/>
      <c r="AN92" s="146">
        <f t="shared" si="58"/>
        <v>0</v>
      </c>
      <c r="AO92" s="263"/>
      <c r="AP92" s="147" t="str">
        <f t="shared" si="44"/>
        <v>F</v>
      </c>
      <c r="AQ92" s="116"/>
      <c r="AR92" s="147">
        <v>0</v>
      </c>
      <c r="AS92" s="147">
        <v>0</v>
      </c>
      <c r="AT92" s="147">
        <f t="shared" si="59"/>
        <v>0</v>
      </c>
      <c r="AU92" s="264"/>
      <c r="AV92" s="147" t="str">
        <f t="shared" si="60"/>
        <v>F</v>
      </c>
      <c r="AW92" s="116"/>
      <c r="AX92" s="147"/>
      <c r="AY92" s="146">
        <f t="shared" si="61"/>
        <v>0</v>
      </c>
      <c r="AZ92" s="147"/>
      <c r="BA92" s="146">
        <f t="shared" si="62"/>
        <v>0</v>
      </c>
      <c r="BB92" s="263"/>
      <c r="BC92" s="147" t="str">
        <f t="shared" si="63"/>
        <v>F</v>
      </c>
      <c r="BD92" s="116"/>
      <c r="BE92" s="147"/>
      <c r="BF92" s="146">
        <f t="shared" si="64"/>
        <v>0</v>
      </c>
      <c r="BG92" s="147"/>
      <c r="BH92" s="147"/>
      <c r="BI92" s="146">
        <f t="shared" si="65"/>
        <v>0</v>
      </c>
      <c r="BJ92" s="264"/>
      <c r="BK92" s="147" t="str">
        <f t="shared" si="3"/>
        <v>F</v>
      </c>
      <c r="BL92" s="116"/>
      <c r="BM92" s="147"/>
      <c r="BN92" s="146">
        <f t="shared" si="66"/>
        <v>0</v>
      </c>
      <c r="BO92" s="147"/>
      <c r="BP92" s="147"/>
      <c r="BQ92" s="146">
        <f t="shared" si="67"/>
        <v>0</v>
      </c>
      <c r="BR92" s="263"/>
      <c r="BS92" s="147" t="str">
        <f t="shared" si="68"/>
        <v>F</v>
      </c>
      <c r="BT92" s="116"/>
      <c r="BU92" s="147"/>
      <c r="BV92" s="146">
        <f t="shared" si="69"/>
        <v>0</v>
      </c>
      <c r="BW92" s="147"/>
      <c r="BX92" s="147"/>
      <c r="BY92" s="146">
        <f t="shared" si="70"/>
        <v>0</v>
      </c>
      <c r="BZ92" s="264"/>
      <c r="CA92" s="147" t="str">
        <f t="shared" si="71"/>
        <v>F</v>
      </c>
      <c r="CB92" s="116"/>
      <c r="CC92" s="147"/>
      <c r="CD92" s="146">
        <f t="shared" si="72"/>
        <v>0</v>
      </c>
      <c r="CE92" s="147"/>
      <c r="CF92" s="147"/>
      <c r="CG92" s="146">
        <f t="shared" si="73"/>
        <v>0</v>
      </c>
      <c r="CH92" s="263"/>
      <c r="CI92" s="129" t="str">
        <f t="shared" si="74"/>
        <v>0</v>
      </c>
      <c r="CJ92" s="147" t="str">
        <f t="shared" si="45"/>
        <v>F</v>
      </c>
      <c r="CK92" s="130" t="str">
        <f t="shared" si="75"/>
        <v>F</v>
      </c>
      <c r="CL92" s="130" t="str">
        <f t="shared" si="76"/>
        <v>F</v>
      </c>
      <c r="CM92" s="37" t="str">
        <f t="shared" si="46"/>
        <v>NEED TO PROGRESS</v>
      </c>
      <c r="CN92" s="38">
        <f t="shared" si="47"/>
        <v>0</v>
      </c>
      <c r="CO92" s="37" t="str">
        <f t="shared" si="77"/>
        <v>F</v>
      </c>
      <c r="CP92" s="120"/>
    </row>
    <row r="93" spans="1:94" s="121" customFormat="1" ht="24" hidden="1" customHeight="1">
      <c r="A93" s="120">
        <v>86</v>
      </c>
      <c r="B93" s="117">
        <v>157</v>
      </c>
      <c r="C93" s="118" t="s">
        <v>410</v>
      </c>
      <c r="D93" s="118"/>
      <c r="E93" s="118"/>
      <c r="F93" s="119"/>
      <c r="G93" s="116"/>
      <c r="H93" s="147"/>
      <c r="I93" s="146">
        <f t="shared" si="48"/>
        <v>0</v>
      </c>
      <c r="J93" s="116"/>
      <c r="K93" s="146">
        <f t="shared" si="81"/>
        <v>0</v>
      </c>
      <c r="L93" s="116"/>
      <c r="M93" s="147"/>
      <c r="N93" s="146">
        <f t="shared" si="49"/>
        <v>0</v>
      </c>
      <c r="O93" s="147"/>
      <c r="P93" s="146">
        <f t="shared" si="79"/>
        <v>0</v>
      </c>
      <c r="Q93" s="146">
        <f t="shared" si="50"/>
        <v>0</v>
      </c>
      <c r="R93" s="263"/>
      <c r="S93" s="147" t="str">
        <f t="shared" si="51"/>
        <v>F</v>
      </c>
      <c r="T93" s="116"/>
      <c r="U93" s="146"/>
      <c r="V93" s="146">
        <f t="shared" si="52"/>
        <v>0</v>
      </c>
      <c r="W93" s="116"/>
      <c r="X93" s="146"/>
      <c r="Y93" s="146">
        <f t="shared" si="53"/>
        <v>0</v>
      </c>
      <c r="Z93" s="146">
        <f t="shared" si="54"/>
        <v>0</v>
      </c>
      <c r="AA93" s="263"/>
      <c r="AB93" s="147" t="str">
        <f t="shared" si="0"/>
        <v>F</v>
      </c>
      <c r="AC93" s="116">
        <v>0</v>
      </c>
      <c r="AD93" s="147">
        <v>0</v>
      </c>
      <c r="AE93" s="146">
        <f t="shared" si="55"/>
        <v>0</v>
      </c>
      <c r="AF93" s="147">
        <v>0</v>
      </c>
      <c r="AG93" s="146">
        <f t="shared" si="56"/>
        <v>0</v>
      </c>
      <c r="AH93" s="263"/>
      <c r="AI93" s="147" t="str">
        <f t="shared" si="43"/>
        <v>F</v>
      </c>
      <c r="AJ93" s="116"/>
      <c r="AK93" s="147"/>
      <c r="AL93" s="146">
        <f t="shared" si="57"/>
        <v>0</v>
      </c>
      <c r="AM93" s="147"/>
      <c r="AN93" s="146">
        <f t="shared" si="58"/>
        <v>0</v>
      </c>
      <c r="AO93" s="263"/>
      <c r="AP93" s="147" t="str">
        <f t="shared" si="44"/>
        <v>F</v>
      </c>
      <c r="AQ93" s="116"/>
      <c r="AR93" s="147">
        <v>0</v>
      </c>
      <c r="AS93" s="147">
        <v>0</v>
      </c>
      <c r="AT93" s="147">
        <f t="shared" si="59"/>
        <v>0</v>
      </c>
      <c r="AU93" s="264"/>
      <c r="AV93" s="147" t="str">
        <f t="shared" si="60"/>
        <v>F</v>
      </c>
      <c r="AW93" s="116"/>
      <c r="AX93" s="147"/>
      <c r="AY93" s="146">
        <f t="shared" si="61"/>
        <v>0</v>
      </c>
      <c r="AZ93" s="147"/>
      <c r="BA93" s="146">
        <f t="shared" si="62"/>
        <v>0</v>
      </c>
      <c r="BB93" s="263"/>
      <c r="BC93" s="147" t="str">
        <f t="shared" si="63"/>
        <v>F</v>
      </c>
      <c r="BD93" s="116"/>
      <c r="BE93" s="147"/>
      <c r="BF93" s="146">
        <f t="shared" si="64"/>
        <v>0</v>
      </c>
      <c r="BG93" s="147"/>
      <c r="BH93" s="147"/>
      <c r="BI93" s="146">
        <f t="shared" si="65"/>
        <v>0</v>
      </c>
      <c r="BJ93" s="264"/>
      <c r="BK93" s="147" t="str">
        <f t="shared" si="3"/>
        <v>F</v>
      </c>
      <c r="BL93" s="116"/>
      <c r="BM93" s="147"/>
      <c r="BN93" s="146">
        <f t="shared" si="66"/>
        <v>0</v>
      </c>
      <c r="BO93" s="147"/>
      <c r="BP93" s="147"/>
      <c r="BQ93" s="146">
        <f t="shared" si="67"/>
        <v>0</v>
      </c>
      <c r="BR93" s="263"/>
      <c r="BS93" s="147" t="str">
        <f t="shared" si="68"/>
        <v>F</v>
      </c>
      <c r="BT93" s="116"/>
      <c r="BU93" s="147"/>
      <c r="BV93" s="146">
        <f t="shared" si="69"/>
        <v>0</v>
      </c>
      <c r="BW93" s="147"/>
      <c r="BX93" s="147"/>
      <c r="BY93" s="146">
        <f t="shared" si="70"/>
        <v>0</v>
      </c>
      <c r="BZ93" s="264"/>
      <c r="CA93" s="147" t="str">
        <f t="shared" si="71"/>
        <v>F</v>
      </c>
      <c r="CB93" s="116"/>
      <c r="CC93" s="147"/>
      <c r="CD93" s="146">
        <f t="shared" si="72"/>
        <v>0</v>
      </c>
      <c r="CE93" s="147"/>
      <c r="CF93" s="147"/>
      <c r="CG93" s="146">
        <f t="shared" si="73"/>
        <v>0</v>
      </c>
      <c r="CH93" s="263"/>
      <c r="CI93" s="129" t="str">
        <f t="shared" si="74"/>
        <v>0</v>
      </c>
      <c r="CJ93" s="147" t="str">
        <f t="shared" si="45"/>
        <v>F</v>
      </c>
      <c r="CK93" s="130" t="str">
        <f t="shared" si="75"/>
        <v>F</v>
      </c>
      <c r="CL93" s="130" t="str">
        <f t="shared" si="76"/>
        <v>F</v>
      </c>
      <c r="CM93" s="37" t="str">
        <f t="shared" si="46"/>
        <v>NEED TO PROGRESS</v>
      </c>
      <c r="CN93" s="38">
        <f t="shared" si="47"/>
        <v>0</v>
      </c>
      <c r="CO93" s="37" t="str">
        <f t="shared" si="77"/>
        <v>F</v>
      </c>
      <c r="CP93" s="120"/>
    </row>
    <row r="94" spans="1:94" s="121" customFormat="1" ht="27" hidden="1" customHeight="1">
      <c r="A94" s="120">
        <v>87</v>
      </c>
      <c r="B94" s="117">
        <v>158</v>
      </c>
      <c r="C94" s="118" t="s">
        <v>411</v>
      </c>
      <c r="D94" s="118"/>
      <c r="E94" s="118"/>
      <c r="F94" s="119"/>
      <c r="G94" s="116"/>
      <c r="H94" s="147"/>
      <c r="I94" s="146">
        <f t="shared" si="48"/>
        <v>0</v>
      </c>
      <c r="J94" s="116"/>
      <c r="K94" s="146">
        <f t="shared" si="81"/>
        <v>0</v>
      </c>
      <c r="L94" s="116"/>
      <c r="M94" s="147"/>
      <c r="N94" s="146">
        <f t="shared" si="49"/>
        <v>0</v>
      </c>
      <c r="O94" s="147"/>
      <c r="P94" s="146">
        <f t="shared" si="79"/>
        <v>0</v>
      </c>
      <c r="Q94" s="146">
        <f t="shared" si="50"/>
        <v>0</v>
      </c>
      <c r="R94" s="263"/>
      <c r="S94" s="147" t="str">
        <f t="shared" si="51"/>
        <v>F</v>
      </c>
      <c r="T94" s="116"/>
      <c r="U94" s="146"/>
      <c r="V94" s="146">
        <f t="shared" si="52"/>
        <v>0</v>
      </c>
      <c r="W94" s="116"/>
      <c r="X94" s="146"/>
      <c r="Y94" s="146">
        <f t="shared" si="53"/>
        <v>0</v>
      </c>
      <c r="Z94" s="146">
        <f t="shared" si="54"/>
        <v>0</v>
      </c>
      <c r="AA94" s="263"/>
      <c r="AB94" s="147" t="str">
        <f t="shared" si="0"/>
        <v>F</v>
      </c>
      <c r="AC94" s="116">
        <v>0</v>
      </c>
      <c r="AD94" s="147">
        <v>0</v>
      </c>
      <c r="AE94" s="146">
        <f t="shared" si="55"/>
        <v>0</v>
      </c>
      <c r="AF94" s="147">
        <v>0</v>
      </c>
      <c r="AG94" s="146">
        <f t="shared" si="56"/>
        <v>0</v>
      </c>
      <c r="AH94" s="263"/>
      <c r="AI94" s="147" t="str">
        <f t="shared" si="43"/>
        <v>F</v>
      </c>
      <c r="AJ94" s="116"/>
      <c r="AK94" s="147"/>
      <c r="AL94" s="146">
        <f t="shared" si="57"/>
        <v>0</v>
      </c>
      <c r="AM94" s="147"/>
      <c r="AN94" s="146">
        <f t="shared" si="58"/>
        <v>0</v>
      </c>
      <c r="AO94" s="263"/>
      <c r="AP94" s="147" t="str">
        <f t="shared" si="44"/>
        <v>F</v>
      </c>
      <c r="AQ94" s="116"/>
      <c r="AR94" s="147">
        <v>0</v>
      </c>
      <c r="AS94" s="147">
        <v>0</v>
      </c>
      <c r="AT94" s="147">
        <f t="shared" si="59"/>
        <v>0</v>
      </c>
      <c r="AU94" s="264"/>
      <c r="AV94" s="147" t="str">
        <f t="shared" si="60"/>
        <v>F</v>
      </c>
      <c r="AW94" s="116"/>
      <c r="AX94" s="147"/>
      <c r="AY94" s="146">
        <f t="shared" si="61"/>
        <v>0</v>
      </c>
      <c r="AZ94" s="147"/>
      <c r="BA94" s="146">
        <f t="shared" si="62"/>
        <v>0</v>
      </c>
      <c r="BB94" s="263"/>
      <c r="BC94" s="147" t="str">
        <f t="shared" si="63"/>
        <v>F</v>
      </c>
      <c r="BD94" s="116"/>
      <c r="BE94" s="147"/>
      <c r="BF94" s="146">
        <f t="shared" si="64"/>
        <v>0</v>
      </c>
      <c r="BG94" s="147"/>
      <c r="BH94" s="147"/>
      <c r="BI94" s="146">
        <f t="shared" si="65"/>
        <v>0</v>
      </c>
      <c r="BJ94" s="264"/>
      <c r="BK94" s="147" t="str">
        <f t="shared" si="3"/>
        <v>F</v>
      </c>
      <c r="BL94" s="116"/>
      <c r="BM94" s="147"/>
      <c r="BN94" s="146">
        <f t="shared" si="66"/>
        <v>0</v>
      </c>
      <c r="BO94" s="147"/>
      <c r="BP94" s="147"/>
      <c r="BQ94" s="146">
        <f t="shared" si="67"/>
        <v>0</v>
      </c>
      <c r="BR94" s="263"/>
      <c r="BS94" s="147" t="str">
        <f t="shared" si="68"/>
        <v>F</v>
      </c>
      <c r="BT94" s="116"/>
      <c r="BU94" s="147"/>
      <c r="BV94" s="146">
        <f t="shared" si="69"/>
        <v>0</v>
      </c>
      <c r="BW94" s="147"/>
      <c r="BX94" s="147"/>
      <c r="BY94" s="146">
        <f t="shared" si="70"/>
        <v>0</v>
      </c>
      <c r="BZ94" s="264"/>
      <c r="CA94" s="147" t="str">
        <f t="shared" si="71"/>
        <v>F</v>
      </c>
      <c r="CB94" s="116"/>
      <c r="CC94" s="147"/>
      <c r="CD94" s="146">
        <f t="shared" si="72"/>
        <v>0</v>
      </c>
      <c r="CE94" s="147"/>
      <c r="CF94" s="147"/>
      <c r="CG94" s="146">
        <f t="shared" si="73"/>
        <v>0</v>
      </c>
      <c r="CH94" s="263"/>
      <c r="CI94" s="129" t="str">
        <f t="shared" si="74"/>
        <v>0</v>
      </c>
      <c r="CJ94" s="147" t="str">
        <f t="shared" si="45"/>
        <v>F</v>
      </c>
      <c r="CK94" s="130" t="str">
        <f t="shared" si="75"/>
        <v>F</v>
      </c>
      <c r="CL94" s="130" t="str">
        <f t="shared" si="76"/>
        <v>F</v>
      </c>
      <c r="CM94" s="37" t="str">
        <f t="shared" si="46"/>
        <v>NEED TO PROGRESS</v>
      </c>
      <c r="CN94" s="38">
        <f t="shared" si="47"/>
        <v>0</v>
      </c>
      <c r="CO94" s="37" t="str">
        <f t="shared" si="77"/>
        <v>F</v>
      </c>
      <c r="CP94" s="120"/>
    </row>
    <row r="95" spans="1:94" s="121" customFormat="1" ht="27" customHeight="1">
      <c r="A95" s="120">
        <v>88</v>
      </c>
      <c r="B95" s="117">
        <v>56</v>
      </c>
      <c r="C95" s="118" t="s">
        <v>415</v>
      </c>
      <c r="D95" s="118"/>
      <c r="E95" s="118"/>
      <c r="F95" s="119"/>
      <c r="G95" s="116">
        <v>0</v>
      </c>
      <c r="H95" s="147">
        <v>0</v>
      </c>
      <c r="I95" s="146">
        <f t="shared" si="48"/>
        <v>0</v>
      </c>
      <c r="J95" s="116"/>
      <c r="K95" s="146">
        <f t="shared" si="81"/>
        <v>0</v>
      </c>
      <c r="L95" s="116"/>
      <c r="M95" s="147"/>
      <c r="N95" s="146">
        <f t="shared" si="49"/>
        <v>0</v>
      </c>
      <c r="O95" s="147"/>
      <c r="P95" s="146">
        <f t="shared" si="79"/>
        <v>0</v>
      </c>
      <c r="Q95" s="146">
        <f t="shared" si="50"/>
        <v>0</v>
      </c>
      <c r="R95" s="263"/>
      <c r="S95" s="147" t="str">
        <f t="shared" si="51"/>
        <v>F</v>
      </c>
      <c r="T95" s="116"/>
      <c r="U95" s="146"/>
      <c r="V95" s="146">
        <f t="shared" si="52"/>
        <v>0</v>
      </c>
      <c r="W95" s="116"/>
      <c r="X95" s="146"/>
      <c r="Y95" s="146">
        <f t="shared" si="53"/>
        <v>0</v>
      </c>
      <c r="Z95" s="146">
        <f t="shared" si="54"/>
        <v>0</v>
      </c>
      <c r="AA95" s="263"/>
      <c r="AB95" s="147" t="str">
        <f t="shared" si="0"/>
        <v>F</v>
      </c>
      <c r="AC95" s="116">
        <v>0</v>
      </c>
      <c r="AD95" s="147">
        <v>0</v>
      </c>
      <c r="AE95" s="146">
        <f t="shared" si="55"/>
        <v>0</v>
      </c>
      <c r="AF95" s="147">
        <v>0</v>
      </c>
      <c r="AG95" s="146">
        <f t="shared" si="56"/>
        <v>0</v>
      </c>
      <c r="AH95" s="263"/>
      <c r="AI95" s="147" t="str">
        <f t="shared" si="43"/>
        <v>F</v>
      </c>
      <c r="AJ95" s="116"/>
      <c r="AK95" s="147"/>
      <c r="AL95" s="146">
        <f t="shared" si="57"/>
        <v>0</v>
      </c>
      <c r="AM95" s="147"/>
      <c r="AN95" s="146">
        <f t="shared" si="58"/>
        <v>0</v>
      </c>
      <c r="AO95" s="263"/>
      <c r="AP95" s="147" t="str">
        <f t="shared" si="44"/>
        <v>F</v>
      </c>
      <c r="AQ95" s="116"/>
      <c r="AR95" s="147">
        <v>0</v>
      </c>
      <c r="AS95" s="147">
        <v>0</v>
      </c>
      <c r="AT95" s="147">
        <f t="shared" si="59"/>
        <v>0</v>
      </c>
      <c r="AU95" s="264"/>
      <c r="AV95" s="147" t="str">
        <f t="shared" si="60"/>
        <v>F</v>
      </c>
      <c r="AW95" s="116"/>
      <c r="AX95" s="147"/>
      <c r="AY95" s="146">
        <f t="shared" si="61"/>
        <v>0</v>
      </c>
      <c r="AZ95" s="147"/>
      <c r="BA95" s="146">
        <f t="shared" si="62"/>
        <v>0</v>
      </c>
      <c r="BB95" s="263"/>
      <c r="BC95" s="147" t="str">
        <f t="shared" si="63"/>
        <v>F</v>
      </c>
      <c r="BD95" s="116"/>
      <c r="BE95" s="147"/>
      <c r="BF95" s="146">
        <f t="shared" si="64"/>
        <v>0</v>
      </c>
      <c r="BG95" s="147"/>
      <c r="BH95" s="147"/>
      <c r="BI95" s="146">
        <f t="shared" si="65"/>
        <v>0</v>
      </c>
      <c r="BJ95" s="264"/>
      <c r="BK95" s="147" t="str">
        <f t="shared" si="3"/>
        <v>F</v>
      </c>
      <c r="BL95" s="116"/>
      <c r="BM95" s="147"/>
      <c r="BN95" s="146">
        <f t="shared" si="66"/>
        <v>0</v>
      </c>
      <c r="BO95" s="147"/>
      <c r="BP95" s="147"/>
      <c r="BQ95" s="146">
        <f t="shared" si="67"/>
        <v>0</v>
      </c>
      <c r="BR95" s="263"/>
      <c r="BS95" s="147" t="str">
        <f t="shared" si="68"/>
        <v>F</v>
      </c>
      <c r="BT95" s="116"/>
      <c r="BU95" s="147"/>
      <c r="BV95" s="146">
        <f t="shared" si="69"/>
        <v>0</v>
      </c>
      <c r="BW95" s="147"/>
      <c r="BX95" s="147"/>
      <c r="BY95" s="146">
        <f t="shared" si="70"/>
        <v>0</v>
      </c>
      <c r="BZ95" s="264"/>
      <c r="CA95" s="147" t="str">
        <f t="shared" si="71"/>
        <v>F</v>
      </c>
      <c r="CB95" s="116"/>
      <c r="CC95" s="147"/>
      <c r="CD95" s="146">
        <f t="shared" si="72"/>
        <v>0</v>
      </c>
      <c r="CE95" s="147"/>
      <c r="CF95" s="147"/>
      <c r="CG95" s="146">
        <f t="shared" si="73"/>
        <v>0</v>
      </c>
      <c r="CH95" s="263"/>
      <c r="CI95" s="129" t="str">
        <f t="shared" si="74"/>
        <v>0</v>
      </c>
      <c r="CJ95" s="147" t="str">
        <f t="shared" si="45"/>
        <v>F</v>
      </c>
      <c r="CK95" s="130" t="str">
        <f t="shared" si="75"/>
        <v>F</v>
      </c>
      <c r="CL95" s="130" t="str">
        <f t="shared" si="76"/>
        <v>F</v>
      </c>
      <c r="CM95" s="37" t="str">
        <f t="shared" si="46"/>
        <v>NEED TO PROGRESS</v>
      </c>
      <c r="CN95" s="38">
        <f t="shared" si="47"/>
        <v>0</v>
      </c>
      <c r="CO95" s="37" t="str">
        <f t="shared" si="77"/>
        <v>F</v>
      </c>
      <c r="CP95" s="120"/>
    </row>
    <row r="96" spans="1:94" s="41" customFormat="1" ht="27" customHeight="1">
      <c r="A96" s="122"/>
      <c r="B96" s="210"/>
      <c r="C96" s="211"/>
      <c r="D96" s="212"/>
      <c r="E96" s="212"/>
      <c r="F96" s="213"/>
      <c r="G96" s="63"/>
      <c r="H96" s="62"/>
      <c r="I96" s="64"/>
      <c r="J96" s="63"/>
      <c r="K96" s="64"/>
      <c r="L96" s="63"/>
      <c r="M96" s="62"/>
      <c r="N96" s="64"/>
      <c r="O96" s="62"/>
      <c r="P96" s="64"/>
      <c r="Q96" s="64"/>
      <c r="R96" s="64"/>
      <c r="S96" s="62"/>
      <c r="T96" s="63"/>
      <c r="U96" s="64"/>
      <c r="V96" s="64"/>
      <c r="W96" s="63"/>
      <c r="X96" s="64"/>
      <c r="Y96" s="64"/>
      <c r="Z96" s="64"/>
      <c r="AA96" s="64"/>
      <c r="AB96" s="62"/>
      <c r="AC96" s="63"/>
      <c r="AD96" s="62"/>
      <c r="AE96" s="64"/>
      <c r="AF96" s="62"/>
      <c r="AG96" s="64"/>
      <c r="AH96" s="64"/>
      <c r="AI96" s="62"/>
      <c r="AJ96" s="63"/>
      <c r="AK96" s="62"/>
      <c r="AL96" s="64"/>
      <c r="AM96" s="62"/>
      <c r="AN96" s="64"/>
      <c r="AO96" s="64"/>
      <c r="AP96" s="62"/>
      <c r="AQ96" s="63"/>
      <c r="AR96" s="62"/>
      <c r="AS96" s="62"/>
      <c r="AT96" s="62"/>
      <c r="AU96" s="62"/>
      <c r="AV96" s="62"/>
      <c r="AW96" s="63"/>
      <c r="AX96" s="62"/>
      <c r="AY96" s="64"/>
      <c r="AZ96" s="62"/>
      <c r="BA96" s="64"/>
      <c r="BB96" s="64"/>
      <c r="BC96" s="62"/>
      <c r="BD96" s="63"/>
      <c r="BE96" s="62"/>
      <c r="BF96" s="64"/>
      <c r="BG96" s="62"/>
      <c r="BH96" s="62"/>
      <c r="BI96" s="64"/>
      <c r="BJ96" s="62"/>
      <c r="BK96" s="62"/>
      <c r="BL96" s="63"/>
      <c r="BM96" s="62"/>
      <c r="BN96" s="64"/>
      <c r="BO96" s="62"/>
      <c r="BP96" s="62"/>
      <c r="BQ96" s="64"/>
      <c r="BR96" s="64"/>
      <c r="BS96" s="62"/>
      <c r="BT96" s="63"/>
      <c r="BU96" s="62"/>
      <c r="BV96" s="64"/>
      <c r="BW96" s="62"/>
      <c r="BX96" s="62"/>
      <c r="BY96" s="64"/>
      <c r="BZ96" s="62"/>
      <c r="CA96" s="62"/>
      <c r="CB96" s="63"/>
      <c r="CC96" s="62"/>
      <c r="CD96" s="64"/>
      <c r="CE96" s="62"/>
      <c r="CF96" s="62"/>
      <c r="CG96" s="64"/>
      <c r="CH96" s="64"/>
      <c r="CI96" s="65"/>
      <c r="CJ96" s="62"/>
      <c r="CK96" s="66"/>
      <c r="CL96" s="66"/>
      <c r="CM96" s="62"/>
      <c r="CN96" s="64"/>
      <c r="CO96" s="62"/>
      <c r="CP96" s="67"/>
    </row>
    <row r="97" spans="1:94" s="41" customFormat="1">
      <c r="A97" s="123"/>
      <c r="B97" s="123"/>
      <c r="C97" s="124"/>
      <c r="D97" s="51"/>
      <c r="E97" s="51"/>
      <c r="F97" s="51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  <c r="CJ97" s="50"/>
      <c r="CK97" s="50"/>
      <c r="CL97" s="50"/>
      <c r="CM97" s="43"/>
      <c r="CN97" s="43"/>
      <c r="CO97" s="52"/>
      <c r="CP97" s="43"/>
    </row>
    <row r="98" spans="1:94" s="41" customFormat="1" ht="11.25">
      <c r="A98" s="123">
        <v>0</v>
      </c>
      <c r="B98" s="123">
        <v>1</v>
      </c>
      <c r="C98" s="123">
        <v>2</v>
      </c>
      <c r="D98" s="50">
        <v>3</v>
      </c>
      <c r="E98" s="50">
        <v>4</v>
      </c>
      <c r="F98" s="50">
        <v>5</v>
      </c>
      <c r="G98" s="50">
        <v>6</v>
      </c>
      <c r="H98" s="50">
        <v>7</v>
      </c>
      <c r="I98" s="50">
        <v>8</v>
      </c>
      <c r="J98" s="50">
        <v>9</v>
      </c>
      <c r="K98" s="50">
        <v>10</v>
      </c>
      <c r="L98" s="50">
        <v>11</v>
      </c>
      <c r="M98" s="50">
        <v>12</v>
      </c>
      <c r="N98" s="50">
        <v>13</v>
      </c>
      <c r="O98" s="50">
        <v>14</v>
      </c>
      <c r="P98" s="50">
        <v>15</v>
      </c>
      <c r="Q98" s="50">
        <v>16</v>
      </c>
      <c r="R98" s="50">
        <v>17</v>
      </c>
      <c r="S98" s="50">
        <v>18</v>
      </c>
      <c r="T98" s="50">
        <v>19</v>
      </c>
      <c r="U98" s="50">
        <v>20</v>
      </c>
      <c r="V98" s="50">
        <v>21</v>
      </c>
      <c r="W98" s="50">
        <v>22</v>
      </c>
      <c r="X98" s="50">
        <v>23</v>
      </c>
      <c r="Y98" s="50">
        <v>24</v>
      </c>
      <c r="Z98" s="50">
        <v>25</v>
      </c>
      <c r="AA98" s="50">
        <v>26</v>
      </c>
      <c r="AB98" s="50">
        <v>27</v>
      </c>
      <c r="AC98" s="50">
        <v>28</v>
      </c>
      <c r="AD98" s="50">
        <v>29</v>
      </c>
      <c r="AE98" s="50">
        <v>30</v>
      </c>
      <c r="AF98" s="50">
        <v>31</v>
      </c>
      <c r="AG98" s="50">
        <v>32</v>
      </c>
      <c r="AH98" s="50">
        <v>33</v>
      </c>
      <c r="AI98" s="50">
        <v>34</v>
      </c>
      <c r="AJ98" s="50">
        <v>35</v>
      </c>
      <c r="AK98" s="50">
        <v>36</v>
      </c>
      <c r="AL98" s="50">
        <v>37</v>
      </c>
      <c r="AM98" s="50">
        <v>38</v>
      </c>
      <c r="AN98" s="50">
        <v>39</v>
      </c>
      <c r="AO98" s="50">
        <v>40</v>
      </c>
      <c r="AP98" s="50">
        <v>41</v>
      </c>
      <c r="AQ98" s="50">
        <v>42</v>
      </c>
      <c r="AR98" s="50">
        <v>43</v>
      </c>
      <c r="AS98" s="50">
        <v>44</v>
      </c>
      <c r="AT98" s="50">
        <v>45</v>
      </c>
      <c r="AU98" s="50">
        <v>46</v>
      </c>
      <c r="AV98" s="50">
        <v>47</v>
      </c>
      <c r="AW98" s="50">
        <v>48</v>
      </c>
      <c r="AX98" s="50">
        <v>49</v>
      </c>
      <c r="AY98" s="50">
        <v>50</v>
      </c>
      <c r="AZ98" s="50">
        <v>51</v>
      </c>
      <c r="BA98" s="50">
        <v>52</v>
      </c>
      <c r="BB98" s="50">
        <v>53</v>
      </c>
      <c r="BC98" s="50">
        <v>54</v>
      </c>
      <c r="BD98" s="50">
        <v>55</v>
      </c>
      <c r="BE98" s="50">
        <v>56</v>
      </c>
      <c r="BF98" s="50">
        <v>57</v>
      </c>
      <c r="BG98" s="50">
        <v>58</v>
      </c>
      <c r="BH98" s="50">
        <v>59</v>
      </c>
      <c r="BI98" s="50">
        <v>60</v>
      </c>
      <c r="BJ98" s="50">
        <v>61</v>
      </c>
      <c r="BK98" s="50">
        <v>62</v>
      </c>
      <c r="BL98" s="50">
        <v>63</v>
      </c>
      <c r="BM98" s="50">
        <v>64</v>
      </c>
      <c r="BN98" s="50">
        <v>65</v>
      </c>
      <c r="BO98" s="50">
        <v>66</v>
      </c>
      <c r="BP98" s="50">
        <v>67</v>
      </c>
      <c r="BQ98" s="50">
        <v>68</v>
      </c>
      <c r="BR98" s="50">
        <v>69</v>
      </c>
      <c r="BS98" s="50">
        <v>70</v>
      </c>
      <c r="BT98" s="50">
        <v>71</v>
      </c>
      <c r="BU98" s="50">
        <v>72</v>
      </c>
      <c r="BV98" s="50">
        <v>73</v>
      </c>
      <c r="BW98" s="50">
        <v>74</v>
      </c>
      <c r="BX98" s="50">
        <v>75</v>
      </c>
      <c r="BY98" s="50">
        <v>76</v>
      </c>
      <c r="BZ98" s="50">
        <v>77</v>
      </c>
      <c r="CA98" s="50">
        <v>78</v>
      </c>
      <c r="CB98" s="50">
        <v>79</v>
      </c>
      <c r="CC98" s="50">
        <v>80</v>
      </c>
      <c r="CD98" s="50">
        <v>81</v>
      </c>
      <c r="CE98" s="50">
        <v>82</v>
      </c>
      <c r="CF98" s="50">
        <v>83</v>
      </c>
      <c r="CG98" s="50">
        <v>84</v>
      </c>
      <c r="CH98" s="50">
        <v>85</v>
      </c>
      <c r="CI98" s="50">
        <v>86</v>
      </c>
      <c r="CJ98" s="50">
        <v>87</v>
      </c>
      <c r="CK98" s="50">
        <v>88</v>
      </c>
      <c r="CL98" s="50">
        <v>89</v>
      </c>
      <c r="CM98" s="50">
        <v>90</v>
      </c>
      <c r="CN98" s="50">
        <v>91</v>
      </c>
      <c r="CO98" s="50">
        <v>92</v>
      </c>
      <c r="CP98" s="50">
        <v>93</v>
      </c>
    </row>
    <row r="99" spans="1:94" s="41" customFormat="1" ht="17.25">
      <c r="A99" s="123"/>
      <c r="B99" s="123"/>
      <c r="C99" s="124"/>
      <c r="D99" s="51"/>
      <c r="E99" s="51"/>
      <c r="F99" s="51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  <c r="CJ99" s="50"/>
      <c r="CK99" s="50"/>
      <c r="CL99" s="50"/>
      <c r="CM99" s="53"/>
      <c r="CN99" s="53"/>
      <c r="CO99" s="53"/>
      <c r="CP99" s="43"/>
    </row>
  </sheetData>
  <mergeCells count="69">
    <mergeCell ref="CH8:CH95"/>
    <mergeCell ref="T6:V6"/>
    <mergeCell ref="W6:Y6"/>
    <mergeCell ref="BB8:BB95"/>
    <mergeCell ref="BJ8:BJ95"/>
    <mergeCell ref="BR8:BR95"/>
    <mergeCell ref="BZ8:BZ95"/>
    <mergeCell ref="AV6:AV7"/>
    <mergeCell ref="AW6:AZ6"/>
    <mergeCell ref="BA6:BA7"/>
    <mergeCell ref="BB6:BB7"/>
    <mergeCell ref="BY6:BY7"/>
    <mergeCell ref="BZ6:BZ7"/>
    <mergeCell ref="BC6:BC7"/>
    <mergeCell ref="CA6:CA7"/>
    <mergeCell ref="CB6:CF6"/>
    <mergeCell ref="R8:R95"/>
    <mergeCell ref="AA8:AA95"/>
    <mergeCell ref="AH8:AH95"/>
    <mergeCell ref="AO8:AO95"/>
    <mergeCell ref="AU8:AU95"/>
    <mergeCell ref="CP6:CP7"/>
    <mergeCell ref="CK6:CK7"/>
    <mergeCell ref="CL6:CL7"/>
    <mergeCell ref="CI6:CI7"/>
    <mergeCell ref="CJ6:CJ7"/>
    <mergeCell ref="CO6:CO7"/>
    <mergeCell ref="CM6:CM7"/>
    <mergeCell ref="BK6:BK7"/>
    <mergeCell ref="CH6:CH7"/>
    <mergeCell ref="AU6:AU7"/>
    <mergeCell ref="CO3:CO4"/>
    <mergeCell ref="BD6:BH6"/>
    <mergeCell ref="BI6:BI7"/>
    <mergeCell ref="BJ6:BJ7"/>
    <mergeCell ref="CN6:CN7"/>
    <mergeCell ref="CG6:CG7"/>
    <mergeCell ref="BL6:BP6"/>
    <mergeCell ref="BQ6:BQ7"/>
    <mergeCell ref="BR6:BR7"/>
    <mergeCell ref="BS6:BS7"/>
    <mergeCell ref="BT6:BX6"/>
    <mergeCell ref="A1:CN5"/>
    <mergeCell ref="P6:P7"/>
    <mergeCell ref="AB6:AB7"/>
    <mergeCell ref="AT6:AT7"/>
    <mergeCell ref="AG6:AG7"/>
    <mergeCell ref="AH6:AH7"/>
    <mergeCell ref="AI6:AI7"/>
    <mergeCell ref="AJ6:AM6"/>
    <mergeCell ref="AN6:AN7"/>
    <mergeCell ref="AO6:AO7"/>
    <mergeCell ref="AP6:AP7"/>
    <mergeCell ref="AQ6:AS6"/>
    <mergeCell ref="AC6:AF6"/>
    <mergeCell ref="R6:R7"/>
    <mergeCell ref="S6:S7"/>
    <mergeCell ref="Z6:Z7"/>
    <mergeCell ref="AA6:AA7"/>
    <mergeCell ref="E6:E7"/>
    <mergeCell ref="F6:F7"/>
    <mergeCell ref="G6:J6"/>
    <mergeCell ref="K6:K7"/>
    <mergeCell ref="L6:O6"/>
    <mergeCell ref="A6:A7"/>
    <mergeCell ref="B6:B7"/>
    <mergeCell ref="C6:C7"/>
    <mergeCell ref="D6:D7"/>
    <mergeCell ref="Q6:Q7"/>
  </mergeCells>
  <conditionalFormatting sqref="AA89:AA93 BZ89:BZ93 AU89:AU93">
    <cfRule type="cellIs" dxfId="2" priority="1" operator="lessThan">
      <formula>28</formula>
    </cfRule>
  </conditionalFormatting>
  <pageMargins left="0.23622047244094491" right="0.23622047244094491" top="0.27559055118110237" bottom="0.23622047244094491" header="0.23622047244094491" footer="0.19685039370078741"/>
  <pageSetup paperSize="5" scale="7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P3649"/>
  <sheetViews>
    <sheetView zoomScale="70" zoomScaleNormal="70" workbookViewId="0">
      <pane xSplit="2" ySplit="7" topLeftCell="AK8" activePane="bottomRight" state="frozen"/>
      <selection pane="topRight" activeCell="C1" sqref="C1"/>
      <selection pane="bottomLeft" activeCell="A8" sqref="A8"/>
      <selection pane="bottomRight" activeCell="CG31" sqref="CG31"/>
    </sheetView>
  </sheetViews>
  <sheetFormatPr defaultColWidth="5.7109375" defaultRowHeight="15"/>
  <cols>
    <col min="3" max="3" width="27.7109375" style="35" customWidth="1"/>
    <col min="4" max="4" width="17.7109375" style="35" hidden="1" customWidth="1"/>
    <col min="5" max="5" width="16.42578125" style="35" hidden="1" customWidth="1"/>
    <col min="6" max="6" width="11.140625" style="35" hidden="1" customWidth="1"/>
    <col min="7" max="7" width="5.85546875" bestFit="1" customWidth="1"/>
    <col min="8" max="8" width="4.85546875" bestFit="1" customWidth="1"/>
    <col min="9" max="9" width="6.140625" bestFit="1" customWidth="1"/>
    <col min="10" max="10" width="4.85546875" bestFit="1" customWidth="1"/>
    <col min="11" max="11" width="6.85546875" bestFit="1" customWidth="1"/>
    <col min="12" max="12" width="5.85546875" bestFit="1" customWidth="1"/>
    <col min="13" max="13" width="4.85546875" bestFit="1" customWidth="1"/>
    <col min="14" max="14" width="6.140625" bestFit="1" customWidth="1"/>
    <col min="15" max="15" width="4.85546875" bestFit="1" customWidth="1"/>
    <col min="16" max="16" width="6.85546875" bestFit="1" customWidth="1"/>
    <col min="17" max="17" width="8" bestFit="1" customWidth="1"/>
    <col min="18" max="18" width="5.85546875" customWidth="1"/>
    <col min="19" max="19" width="3.7109375" customWidth="1"/>
    <col min="20" max="21" width="5.85546875" bestFit="1" customWidth="1"/>
    <col min="22" max="22" width="6.140625" bestFit="1" customWidth="1"/>
    <col min="23" max="24" width="5.85546875" bestFit="1" customWidth="1"/>
    <col min="25" max="25" width="6.140625" bestFit="1" customWidth="1"/>
    <col min="26" max="26" width="8" bestFit="1" customWidth="1"/>
    <col min="27" max="27" width="6.140625" customWidth="1"/>
    <col min="28" max="28" width="7.7109375" bestFit="1" customWidth="1"/>
    <col min="29" max="29" width="5.85546875" bestFit="1" customWidth="1"/>
    <col min="30" max="30" width="4.85546875" bestFit="1" customWidth="1"/>
    <col min="31" max="31" width="6.140625" bestFit="1" customWidth="1"/>
    <col min="32" max="32" width="4.85546875" bestFit="1" customWidth="1"/>
    <col min="33" max="33" width="8" bestFit="1" customWidth="1"/>
    <col min="34" max="34" width="7.140625" bestFit="1" customWidth="1"/>
    <col min="35" max="35" width="7.7109375" bestFit="1" customWidth="1"/>
    <col min="36" max="37" width="4.85546875" bestFit="1" customWidth="1"/>
    <col min="38" max="38" width="6.140625" bestFit="1" customWidth="1"/>
    <col min="39" max="39" width="4.85546875" bestFit="1" customWidth="1"/>
    <col min="40" max="40" width="6.85546875" bestFit="1" customWidth="1"/>
    <col min="41" max="41" width="7.140625" bestFit="1" customWidth="1"/>
    <col min="42" max="42" width="7.7109375" bestFit="1" customWidth="1"/>
    <col min="43" max="43" width="4.5703125" bestFit="1" customWidth="1"/>
    <col min="44" max="45" width="4.85546875" bestFit="1" customWidth="1"/>
    <col min="46" max="46" width="6.85546875" bestFit="1" customWidth="1"/>
    <col min="47" max="47" width="7.140625" bestFit="1" customWidth="1"/>
    <col min="48" max="48" width="4.28515625" bestFit="1" customWidth="1"/>
    <col min="49" max="50" width="4.85546875" bestFit="1" customWidth="1"/>
    <col min="51" max="51" width="6.140625" bestFit="1" customWidth="1"/>
    <col min="52" max="52" width="4.85546875" bestFit="1" customWidth="1"/>
    <col min="53" max="53" width="6.85546875" bestFit="1" customWidth="1"/>
    <col min="54" max="54" width="7.140625" bestFit="1" customWidth="1"/>
    <col min="55" max="55" width="7.7109375" bestFit="1" customWidth="1"/>
    <col min="56" max="57" width="4.85546875" bestFit="1" customWidth="1"/>
    <col min="58" max="58" width="6.140625" bestFit="1" customWidth="1"/>
    <col min="59" max="60" width="4.85546875" bestFit="1" customWidth="1"/>
    <col min="61" max="61" width="6.85546875" bestFit="1" customWidth="1"/>
    <col min="62" max="62" width="7.140625" bestFit="1" customWidth="1"/>
    <col min="63" max="63" width="7.7109375" bestFit="1" customWidth="1"/>
    <col min="64" max="65" width="4.85546875" bestFit="1" customWidth="1"/>
    <col min="66" max="66" width="6.140625" bestFit="1" customWidth="1"/>
    <col min="67" max="68" width="4.85546875" bestFit="1" customWidth="1"/>
    <col min="69" max="69" width="6.85546875" bestFit="1" customWidth="1"/>
    <col min="70" max="70" width="7.140625" bestFit="1" customWidth="1"/>
    <col min="71" max="71" width="7.7109375" bestFit="1" customWidth="1"/>
    <col min="72" max="73" width="4.85546875" bestFit="1" customWidth="1"/>
    <col min="74" max="74" width="6.140625" bestFit="1" customWidth="1"/>
    <col min="75" max="76" width="4.85546875" bestFit="1" customWidth="1"/>
    <col min="77" max="77" width="6.85546875" bestFit="1" customWidth="1"/>
    <col min="78" max="78" width="7.140625" bestFit="1" customWidth="1"/>
    <col min="79" max="79" width="7.7109375" bestFit="1" customWidth="1"/>
    <col min="80" max="81" width="4.85546875" bestFit="1" customWidth="1"/>
    <col min="82" max="82" width="6.140625" bestFit="1" customWidth="1"/>
    <col min="83" max="84" width="4.85546875" bestFit="1" customWidth="1"/>
    <col min="85" max="85" width="6.85546875" bestFit="1" customWidth="1"/>
    <col min="86" max="86" width="3.7109375" customWidth="1"/>
    <col min="87" max="87" width="4.85546875" bestFit="1" customWidth="1"/>
    <col min="88" max="88" width="6" customWidth="1"/>
    <col min="89" max="89" width="6.28515625" bestFit="1" customWidth="1"/>
    <col min="90" max="90" width="5.5703125" customWidth="1"/>
    <col min="91" max="91" width="20.28515625" bestFit="1" customWidth="1"/>
    <col min="92" max="92" width="15.85546875" bestFit="1" customWidth="1"/>
    <col min="93" max="93" width="8.140625" customWidth="1"/>
    <col min="94" max="94" width="8.85546875" style="36" customWidth="1"/>
  </cols>
  <sheetData>
    <row r="1" spans="1:94" ht="21.95" customHeight="1">
      <c r="A1" s="274" t="s">
        <v>90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4"/>
      <c r="AP1" s="274"/>
      <c r="AQ1" s="274"/>
      <c r="AR1" s="274"/>
      <c r="AS1" s="274"/>
      <c r="AT1" s="274"/>
      <c r="AU1" s="274"/>
      <c r="AV1" s="274"/>
      <c r="AW1" s="274"/>
      <c r="AX1" s="274"/>
      <c r="AY1" s="274"/>
      <c r="AZ1" s="274"/>
      <c r="BA1" s="274"/>
      <c r="BB1" s="274"/>
      <c r="BC1" s="274"/>
      <c r="BD1" s="274"/>
      <c r="BE1" s="274"/>
      <c r="BF1" s="274"/>
      <c r="BG1" s="274"/>
      <c r="BH1" s="274"/>
      <c r="BI1" s="274"/>
      <c r="BJ1" s="274"/>
      <c r="BK1" s="274"/>
      <c r="BL1" s="274"/>
      <c r="BM1" s="274"/>
      <c r="BN1" s="274"/>
      <c r="BO1" s="274"/>
      <c r="BP1" s="274"/>
      <c r="BQ1" s="274"/>
      <c r="BR1" s="274"/>
      <c r="BS1" s="274"/>
      <c r="BT1" s="274"/>
      <c r="BU1" s="274"/>
      <c r="BV1" s="274"/>
      <c r="BW1" s="274"/>
      <c r="BX1" s="274"/>
      <c r="BY1" s="274"/>
      <c r="BZ1" s="274"/>
      <c r="CA1" s="274"/>
      <c r="CB1" s="274"/>
      <c r="CC1" s="274"/>
      <c r="CD1" s="274"/>
      <c r="CE1" s="274"/>
      <c r="CF1" s="274"/>
      <c r="CG1" s="274"/>
      <c r="CH1" s="274"/>
      <c r="CI1" s="274"/>
      <c r="CJ1" s="274"/>
      <c r="CK1" s="274"/>
      <c r="CL1" s="274"/>
      <c r="CM1" s="274"/>
      <c r="CN1" s="274"/>
      <c r="CO1" s="274"/>
      <c r="CP1" s="274"/>
    </row>
    <row r="2" spans="1:94" ht="21.95" customHeight="1">
      <c r="A2" s="274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</row>
    <row r="3" spans="1:94" ht="21.95" customHeight="1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</row>
    <row r="4" spans="1:94" ht="21.95" customHeight="1">
      <c r="A4" s="274"/>
      <c r="B4" s="274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4"/>
      <c r="AM4" s="274"/>
      <c r="AN4" s="274"/>
      <c r="AO4" s="274"/>
      <c r="AP4" s="274"/>
      <c r="AQ4" s="274"/>
      <c r="AR4" s="274"/>
      <c r="AS4" s="274"/>
      <c r="AT4" s="274"/>
      <c r="AU4" s="274"/>
      <c r="AV4" s="274"/>
      <c r="AW4" s="274"/>
      <c r="AX4" s="274"/>
      <c r="AY4" s="274"/>
      <c r="AZ4" s="274"/>
      <c r="BA4" s="274"/>
      <c r="BB4" s="274"/>
      <c r="BC4" s="274"/>
      <c r="BD4" s="274"/>
      <c r="BE4" s="274"/>
      <c r="BF4" s="274"/>
      <c r="BG4" s="274"/>
      <c r="BH4" s="274"/>
      <c r="BI4" s="274"/>
      <c r="BJ4" s="274"/>
      <c r="BK4" s="274"/>
      <c r="BL4" s="274"/>
      <c r="BM4" s="274"/>
      <c r="BN4" s="274"/>
      <c r="BO4" s="274"/>
      <c r="BP4" s="274"/>
      <c r="BQ4" s="274"/>
      <c r="BR4" s="274"/>
      <c r="BS4" s="274"/>
      <c r="BT4" s="274"/>
      <c r="BU4" s="274"/>
      <c r="BV4" s="274"/>
      <c r="BW4" s="274"/>
      <c r="BX4" s="274"/>
      <c r="BY4" s="274"/>
      <c r="BZ4" s="274"/>
      <c r="CA4" s="274"/>
      <c r="CB4" s="274"/>
      <c r="CC4" s="274"/>
      <c r="CD4" s="274"/>
      <c r="CE4" s="274"/>
      <c r="CF4" s="274"/>
      <c r="CG4" s="274"/>
      <c r="CH4" s="274"/>
      <c r="CI4" s="274"/>
      <c r="CJ4" s="274"/>
      <c r="CK4" s="274"/>
      <c r="CL4" s="274"/>
      <c r="CM4" s="274"/>
      <c r="CN4" s="274"/>
      <c r="CO4" s="274"/>
      <c r="CP4" s="274"/>
    </row>
    <row r="5" spans="1:94" ht="21.95" customHeight="1">
      <c r="A5" s="274"/>
      <c r="B5" s="274"/>
      <c r="C5" s="274"/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4"/>
      <c r="AM5" s="274"/>
      <c r="AN5" s="274"/>
      <c r="AO5" s="274"/>
      <c r="AP5" s="274"/>
      <c r="AQ5" s="274"/>
      <c r="AR5" s="274"/>
      <c r="AS5" s="274"/>
      <c r="AT5" s="274"/>
      <c r="AU5" s="274"/>
      <c r="AV5" s="274"/>
      <c r="AW5" s="274"/>
      <c r="AX5" s="274"/>
      <c r="AY5" s="274"/>
      <c r="AZ5" s="274"/>
      <c r="BA5" s="274"/>
      <c r="BB5" s="274"/>
      <c r="BC5" s="274"/>
      <c r="BD5" s="274"/>
      <c r="BE5" s="274"/>
      <c r="BF5" s="274"/>
      <c r="BG5" s="274"/>
      <c r="BH5" s="274"/>
      <c r="BI5" s="274"/>
      <c r="BJ5" s="274"/>
      <c r="BK5" s="274"/>
      <c r="BL5" s="274"/>
      <c r="BM5" s="274"/>
      <c r="BN5" s="274"/>
      <c r="BO5" s="274"/>
      <c r="BP5" s="274"/>
      <c r="BQ5" s="274"/>
      <c r="BR5" s="274"/>
      <c r="BS5" s="274"/>
      <c r="BT5" s="274"/>
      <c r="BU5" s="274"/>
      <c r="BV5" s="274"/>
      <c r="BW5" s="274"/>
      <c r="BX5" s="274"/>
      <c r="BY5" s="274"/>
      <c r="BZ5" s="274"/>
      <c r="CA5" s="274"/>
      <c r="CB5" s="274"/>
      <c r="CC5" s="274"/>
      <c r="CD5" s="274"/>
      <c r="CE5" s="274"/>
      <c r="CF5" s="274"/>
      <c r="CG5" s="274"/>
      <c r="CH5" s="274"/>
      <c r="CI5" s="274"/>
      <c r="CJ5" s="274"/>
      <c r="CK5" s="274"/>
      <c r="CL5" s="274"/>
      <c r="CM5" s="274"/>
      <c r="CN5" s="274"/>
      <c r="CO5" s="274"/>
      <c r="CP5" s="274"/>
    </row>
    <row r="6" spans="1:94" s="31" customFormat="1" ht="20.100000000000001" customHeight="1">
      <c r="A6" s="275" t="s">
        <v>10</v>
      </c>
      <c r="B6" s="275" t="s">
        <v>0</v>
      </c>
      <c r="C6" s="276" t="s">
        <v>12</v>
      </c>
      <c r="D6" s="276" t="s">
        <v>51</v>
      </c>
      <c r="E6" s="276" t="s">
        <v>11</v>
      </c>
      <c r="F6" s="277" t="s">
        <v>14</v>
      </c>
      <c r="G6" s="268" t="s">
        <v>16</v>
      </c>
      <c r="H6" s="268"/>
      <c r="I6" s="268"/>
      <c r="J6" s="268"/>
      <c r="K6" s="278" t="s">
        <v>81</v>
      </c>
      <c r="L6" s="268" t="s">
        <v>15</v>
      </c>
      <c r="M6" s="268"/>
      <c r="N6" s="268"/>
      <c r="O6" s="268"/>
      <c r="P6" s="272" t="s">
        <v>81</v>
      </c>
      <c r="Q6" s="268" t="s">
        <v>82</v>
      </c>
      <c r="R6" s="268" t="s">
        <v>52</v>
      </c>
      <c r="S6" s="268" t="s">
        <v>2</v>
      </c>
      <c r="T6" s="269" t="s">
        <v>83</v>
      </c>
      <c r="U6" s="270"/>
      <c r="V6" s="271"/>
      <c r="W6" s="269" t="s">
        <v>84</v>
      </c>
      <c r="X6" s="270"/>
      <c r="Y6" s="271"/>
      <c r="Z6" s="272" t="s">
        <v>1</v>
      </c>
      <c r="AA6" s="268" t="s">
        <v>52</v>
      </c>
      <c r="AB6" s="268" t="s">
        <v>2</v>
      </c>
      <c r="AC6" s="268" t="s">
        <v>43</v>
      </c>
      <c r="AD6" s="268"/>
      <c r="AE6" s="268"/>
      <c r="AF6" s="268"/>
      <c r="AG6" s="268" t="s">
        <v>1</v>
      </c>
      <c r="AH6" s="268" t="s">
        <v>52</v>
      </c>
      <c r="AI6" s="268" t="s">
        <v>2</v>
      </c>
      <c r="AJ6" s="268" t="s">
        <v>3</v>
      </c>
      <c r="AK6" s="268"/>
      <c r="AL6" s="268"/>
      <c r="AM6" s="268"/>
      <c r="AN6" s="268" t="s">
        <v>1</v>
      </c>
      <c r="AO6" s="268" t="s">
        <v>52</v>
      </c>
      <c r="AP6" s="268" t="s">
        <v>2</v>
      </c>
      <c r="AQ6" s="268" t="s">
        <v>4</v>
      </c>
      <c r="AR6" s="268"/>
      <c r="AS6" s="268"/>
      <c r="AT6" s="268" t="s">
        <v>1</v>
      </c>
      <c r="AU6" s="268" t="s">
        <v>52</v>
      </c>
      <c r="AV6" s="268" t="s">
        <v>2</v>
      </c>
      <c r="AW6" s="268" t="s">
        <v>48</v>
      </c>
      <c r="AX6" s="268"/>
      <c r="AY6" s="268"/>
      <c r="AZ6" s="268"/>
      <c r="BA6" s="268" t="s">
        <v>1</v>
      </c>
      <c r="BB6" s="268" t="s">
        <v>52</v>
      </c>
      <c r="BC6" s="268" t="s">
        <v>2</v>
      </c>
      <c r="BD6" s="268" t="s">
        <v>41</v>
      </c>
      <c r="BE6" s="268"/>
      <c r="BF6" s="268"/>
      <c r="BG6" s="268"/>
      <c r="BH6" s="268"/>
      <c r="BI6" s="268" t="s">
        <v>1</v>
      </c>
      <c r="BJ6" s="268" t="s">
        <v>52</v>
      </c>
      <c r="BK6" s="268" t="s">
        <v>2</v>
      </c>
      <c r="BL6" s="268" t="s">
        <v>42</v>
      </c>
      <c r="BM6" s="268"/>
      <c r="BN6" s="268"/>
      <c r="BO6" s="268"/>
      <c r="BP6" s="268"/>
      <c r="BQ6" s="268" t="s">
        <v>1</v>
      </c>
      <c r="BR6" s="268" t="s">
        <v>52</v>
      </c>
      <c r="BS6" s="268" t="s">
        <v>2</v>
      </c>
      <c r="BT6" s="268" t="s">
        <v>49</v>
      </c>
      <c r="BU6" s="268"/>
      <c r="BV6" s="268"/>
      <c r="BW6" s="268"/>
      <c r="BX6" s="268"/>
      <c r="BY6" s="268" t="s">
        <v>1</v>
      </c>
      <c r="BZ6" s="268" t="s">
        <v>52</v>
      </c>
      <c r="CA6" s="268" t="s">
        <v>2</v>
      </c>
      <c r="CB6" s="268" t="s">
        <v>412</v>
      </c>
      <c r="CC6" s="268"/>
      <c r="CD6" s="268"/>
      <c r="CE6" s="268"/>
      <c r="CF6" s="268"/>
      <c r="CG6" s="268" t="s">
        <v>1</v>
      </c>
      <c r="CH6" s="268" t="s">
        <v>52</v>
      </c>
      <c r="CI6" s="272" t="s">
        <v>2</v>
      </c>
      <c r="CJ6" s="268" t="s">
        <v>5</v>
      </c>
      <c r="CK6" s="268" t="s">
        <v>6</v>
      </c>
      <c r="CL6" s="272" t="s">
        <v>54</v>
      </c>
      <c r="CM6" s="272" t="s">
        <v>44</v>
      </c>
      <c r="CN6" s="272" t="s">
        <v>45</v>
      </c>
      <c r="CO6" s="272" t="s">
        <v>47</v>
      </c>
      <c r="CP6" s="272" t="s">
        <v>46</v>
      </c>
    </row>
    <row r="7" spans="1:94" s="31" customFormat="1" ht="20.100000000000001" customHeight="1">
      <c r="A7" s="275"/>
      <c r="B7" s="275"/>
      <c r="C7" s="276"/>
      <c r="D7" s="276"/>
      <c r="E7" s="276"/>
      <c r="F7" s="277"/>
      <c r="G7" s="32" t="s">
        <v>13</v>
      </c>
      <c r="H7" s="68" t="s">
        <v>7</v>
      </c>
      <c r="I7" s="34" t="s">
        <v>53</v>
      </c>
      <c r="J7" s="68" t="s">
        <v>8</v>
      </c>
      <c r="K7" s="279"/>
      <c r="L7" s="32" t="s">
        <v>13</v>
      </c>
      <c r="M7" s="68" t="s">
        <v>7</v>
      </c>
      <c r="N7" s="34" t="s">
        <v>53</v>
      </c>
      <c r="O7" s="68" t="s">
        <v>8</v>
      </c>
      <c r="P7" s="273"/>
      <c r="Q7" s="268"/>
      <c r="R7" s="268"/>
      <c r="S7" s="268"/>
      <c r="T7" s="32" t="s">
        <v>13</v>
      </c>
      <c r="U7" s="33" t="s">
        <v>7</v>
      </c>
      <c r="V7" s="34" t="s">
        <v>53</v>
      </c>
      <c r="W7" s="68" t="s">
        <v>13</v>
      </c>
      <c r="X7" s="33" t="s">
        <v>7</v>
      </c>
      <c r="Y7" s="34" t="s">
        <v>53</v>
      </c>
      <c r="Z7" s="273"/>
      <c r="AA7" s="268"/>
      <c r="AB7" s="268"/>
      <c r="AC7" s="32" t="s">
        <v>13</v>
      </c>
      <c r="AD7" s="68" t="s">
        <v>7</v>
      </c>
      <c r="AE7" s="34" t="s">
        <v>53</v>
      </c>
      <c r="AF7" s="68" t="s">
        <v>8</v>
      </c>
      <c r="AG7" s="268"/>
      <c r="AH7" s="268"/>
      <c r="AI7" s="268"/>
      <c r="AJ7" s="32" t="s">
        <v>13</v>
      </c>
      <c r="AK7" s="68" t="s">
        <v>7</v>
      </c>
      <c r="AL7" s="34" t="s">
        <v>53</v>
      </c>
      <c r="AM7" s="68" t="s">
        <v>8</v>
      </c>
      <c r="AN7" s="268"/>
      <c r="AO7" s="268"/>
      <c r="AP7" s="268"/>
      <c r="AQ7" s="32" t="s">
        <v>13</v>
      </c>
      <c r="AR7" s="68" t="s">
        <v>8</v>
      </c>
      <c r="AS7" s="68" t="s">
        <v>9</v>
      </c>
      <c r="AT7" s="268"/>
      <c r="AU7" s="268"/>
      <c r="AV7" s="268"/>
      <c r="AW7" s="32" t="s">
        <v>13</v>
      </c>
      <c r="AX7" s="68" t="s">
        <v>7</v>
      </c>
      <c r="AY7" s="34" t="s">
        <v>53</v>
      </c>
      <c r="AZ7" s="68" t="s">
        <v>8</v>
      </c>
      <c r="BA7" s="268"/>
      <c r="BB7" s="268"/>
      <c r="BC7" s="268"/>
      <c r="BD7" s="32" t="s">
        <v>13</v>
      </c>
      <c r="BE7" s="68" t="s">
        <v>7</v>
      </c>
      <c r="BF7" s="34" t="s">
        <v>53</v>
      </c>
      <c r="BG7" s="68" t="s">
        <v>8</v>
      </c>
      <c r="BH7" s="68" t="s">
        <v>9</v>
      </c>
      <c r="BI7" s="268"/>
      <c r="BJ7" s="268"/>
      <c r="BK7" s="268"/>
      <c r="BL7" s="32" t="s">
        <v>13</v>
      </c>
      <c r="BM7" s="68" t="s">
        <v>7</v>
      </c>
      <c r="BN7" s="34" t="s">
        <v>53</v>
      </c>
      <c r="BO7" s="68" t="s">
        <v>8</v>
      </c>
      <c r="BP7" s="68" t="s">
        <v>9</v>
      </c>
      <c r="BQ7" s="268"/>
      <c r="BR7" s="268"/>
      <c r="BS7" s="268"/>
      <c r="BT7" s="32" t="s">
        <v>13</v>
      </c>
      <c r="BU7" s="68" t="s">
        <v>7</v>
      </c>
      <c r="BV7" s="34" t="s">
        <v>53</v>
      </c>
      <c r="BW7" s="68" t="s">
        <v>8</v>
      </c>
      <c r="BX7" s="68" t="s">
        <v>9</v>
      </c>
      <c r="BY7" s="268"/>
      <c r="BZ7" s="268"/>
      <c r="CA7" s="268"/>
      <c r="CB7" s="32" t="s">
        <v>13</v>
      </c>
      <c r="CC7" s="68" t="s">
        <v>7</v>
      </c>
      <c r="CD7" s="34" t="s">
        <v>53</v>
      </c>
      <c r="CE7" s="68" t="s">
        <v>8</v>
      </c>
      <c r="CF7" s="68" t="s">
        <v>9</v>
      </c>
      <c r="CG7" s="268"/>
      <c r="CH7" s="268"/>
      <c r="CI7" s="273"/>
      <c r="CJ7" s="268"/>
      <c r="CK7" s="268"/>
      <c r="CL7" s="273"/>
      <c r="CM7" s="273"/>
      <c r="CN7" s="273"/>
      <c r="CO7" s="273"/>
      <c r="CP7" s="273"/>
    </row>
    <row r="8" spans="1:94" s="41" customFormat="1" ht="20.100000000000001" customHeight="1">
      <c r="A8" s="40">
        <v>1</v>
      </c>
      <c r="B8" s="56">
        <v>1</v>
      </c>
      <c r="C8" s="69" t="s">
        <v>92</v>
      </c>
      <c r="D8" s="69" t="s">
        <v>93</v>
      </c>
      <c r="E8" s="69" t="s">
        <v>94</v>
      </c>
      <c r="F8" s="70" t="s">
        <v>95</v>
      </c>
      <c r="G8" s="113">
        <v>19</v>
      </c>
      <c r="H8" s="114">
        <v>43</v>
      </c>
      <c r="I8" s="115">
        <f>H8+G8</f>
        <v>62</v>
      </c>
      <c r="J8" s="114">
        <v>25</v>
      </c>
      <c r="K8" s="115">
        <f>I8+J8</f>
        <v>87</v>
      </c>
      <c r="L8" s="108">
        <v>19</v>
      </c>
      <c r="M8" s="116">
        <v>45</v>
      </c>
      <c r="N8" s="115">
        <f>M8+L8</f>
        <v>64</v>
      </c>
      <c r="O8" s="114">
        <v>25</v>
      </c>
      <c r="P8" s="74">
        <f>N8+O8</f>
        <v>89</v>
      </c>
      <c r="Q8" s="74">
        <f>K8+P8</f>
        <v>176</v>
      </c>
      <c r="R8" s="280">
        <f>MAX(Q8:Q95)</f>
        <v>181</v>
      </c>
      <c r="S8" s="73">
        <f>IF(I8+N8&lt;=56,"F",IF(I8+N8&lt;=24,"F",IF(Q8&lt;80,"F",IF(Q8&lt;100,2,IF(Q8&lt;120,3,IF(Q8&lt;140,3.5,IF(Q8&lt;160,4,5)))))))</f>
        <v>5</v>
      </c>
      <c r="T8" s="108">
        <v>18</v>
      </c>
      <c r="U8" s="114">
        <v>72</v>
      </c>
      <c r="V8" s="115">
        <f>U8+T8</f>
        <v>90</v>
      </c>
      <c r="W8" s="108">
        <v>18</v>
      </c>
      <c r="X8" s="114">
        <v>65</v>
      </c>
      <c r="Y8" s="115">
        <f>X8+W8</f>
        <v>83</v>
      </c>
      <c r="Z8" s="74">
        <f>V8+Y8</f>
        <v>173</v>
      </c>
      <c r="AA8" s="280">
        <f>MAX(Z8:Z95)</f>
        <v>180</v>
      </c>
      <c r="AB8" s="73">
        <f t="shared" ref="AB8:AB95" si="0">IF(Z8&lt;80,"F",IF(Z8&lt;100,2,IF(Z8&lt;120,3,IF(Z8&lt;140,3.5,IF(Z8&lt;160,4,5)))))</f>
        <v>5</v>
      </c>
      <c r="AC8" s="108">
        <v>19</v>
      </c>
      <c r="AD8" s="114">
        <v>36</v>
      </c>
      <c r="AE8" s="115">
        <f>AD8+AC8</f>
        <v>55</v>
      </c>
      <c r="AF8" s="114">
        <v>27</v>
      </c>
      <c r="AG8" s="74">
        <f>AF8+AE8</f>
        <v>82</v>
      </c>
      <c r="AH8" s="280">
        <f>MAX(AG8:AG95)</f>
        <v>94</v>
      </c>
      <c r="AI8" s="73">
        <f t="shared" ref="AI8:AI71" si="1">IF(AE8&lt;28,"F",IF(AF8&lt;12,"F",IF(AG8&lt;40,"F",IF(AG8&lt;50,2,IF(AG8&lt;60,3,IF(AG8&lt;70,3.5,IF(AG8&lt;80,4,5)))))))</f>
        <v>5</v>
      </c>
      <c r="AJ8" s="108">
        <v>20</v>
      </c>
      <c r="AK8" s="114">
        <v>48</v>
      </c>
      <c r="AL8" s="115">
        <f>AK8+AJ8</f>
        <v>68</v>
      </c>
      <c r="AM8" s="114">
        <v>22</v>
      </c>
      <c r="AN8" s="74">
        <f>AL8+AM8</f>
        <v>90</v>
      </c>
      <c r="AO8" s="280">
        <f>MAX(AN8:AN95)</f>
        <v>98</v>
      </c>
      <c r="AP8" s="73">
        <f t="shared" ref="AP8:AP71" si="2">IF(AL8&lt;28,"F",IF(AM8&lt;12,"F",IF(AN8&lt;40,"F",IF(AN8&lt;50,2,IF(AN8&lt;60,3,IF(AN8&lt;70,3.5,IF(AN8&lt;80,4,5)))))))</f>
        <v>5</v>
      </c>
      <c r="AQ8" s="116"/>
      <c r="AR8" s="114">
        <v>22</v>
      </c>
      <c r="AS8" s="114">
        <v>25</v>
      </c>
      <c r="AT8" s="73">
        <f>SUM(AQ8:AS8)</f>
        <v>47</v>
      </c>
      <c r="AU8" s="283">
        <f>MAX(AT8:AT95)</f>
        <v>50</v>
      </c>
      <c r="AV8" s="73">
        <f>IF(AR8&lt;10,"F",IF(AS8&lt;10,"F",IF(AT8&lt;20,"F",IF(AT8&lt;25,2,IF(AT8&lt;30,3,IF(AT8&lt;35,3.5,IF(AT8&lt;40,4,5)))))))</f>
        <v>5</v>
      </c>
      <c r="AW8" s="108">
        <v>16</v>
      </c>
      <c r="AX8" s="114">
        <v>36</v>
      </c>
      <c r="AY8" s="115">
        <f>AX8+AW8</f>
        <v>52</v>
      </c>
      <c r="AZ8" s="114">
        <v>19</v>
      </c>
      <c r="BA8" s="74">
        <f>AY8+AZ8</f>
        <v>71</v>
      </c>
      <c r="BB8" s="280">
        <f>MAX(BA8:BA95)</f>
        <v>85</v>
      </c>
      <c r="BC8" s="73">
        <f>IF(AY8&lt;28,"F",IF(AZ8&lt;12,"F",IF(BA8&lt;40,"F",IF(BA8&lt;50,2,IF(BA8&lt;60,3,IF(BA8&lt;70,3.5,IF(BA8&lt;80,4,5)))))))</f>
        <v>4</v>
      </c>
      <c r="BD8" s="108">
        <v>10</v>
      </c>
      <c r="BE8" s="114">
        <v>36</v>
      </c>
      <c r="BF8" s="115">
        <f>BE8+BD8</f>
        <v>46</v>
      </c>
      <c r="BG8" s="114">
        <v>24</v>
      </c>
      <c r="BH8" s="114">
        <v>25</v>
      </c>
      <c r="BI8" s="74">
        <f>BF8+BG8+BH8</f>
        <v>95</v>
      </c>
      <c r="BJ8" s="280">
        <f>MAX(BI8:BI95)</f>
        <v>95</v>
      </c>
      <c r="BK8" s="73">
        <f t="shared" ref="BK8:BK95" si="3">IF(BF8&lt;20,"F",IF(BG8&lt;10,"F",IF(BH8&lt;10,"F",IF(BI8&lt;40,"F",IF(BI8&lt;50,2,IF(BI8&lt;60,3,IF(BI8&lt;70,3.5,IF(BI8&lt;80,4,5))))))))</f>
        <v>5</v>
      </c>
      <c r="BL8" s="108">
        <v>9</v>
      </c>
      <c r="BM8" s="114">
        <v>39</v>
      </c>
      <c r="BN8" s="115">
        <f>BM8+BL8</f>
        <v>48</v>
      </c>
      <c r="BO8" s="114">
        <v>20</v>
      </c>
      <c r="BP8" s="114">
        <v>25</v>
      </c>
      <c r="BQ8" s="74">
        <f>BN8+BO8+BP8</f>
        <v>93</v>
      </c>
      <c r="BR8" s="280">
        <f>MAX(BQ8:BQ95)</f>
        <v>93</v>
      </c>
      <c r="BS8" s="73">
        <f>IF(BN8&lt;20,"F",IF(BO8&lt;10,"F",IF(BP8&lt;10,"F",IF(BQ8&lt;40,"F",IF(BQ8&lt;50,2,IF(BQ8&lt;60,3,IF(BQ8&lt;70,3.5,IF(BQ8&lt;80,4,5))))))))</f>
        <v>5</v>
      </c>
      <c r="BT8" s="108">
        <v>10</v>
      </c>
      <c r="BU8" s="114">
        <v>39</v>
      </c>
      <c r="BV8" s="115">
        <f>BU8+BT8</f>
        <v>49</v>
      </c>
      <c r="BW8" s="114">
        <v>18</v>
      </c>
      <c r="BX8" s="114">
        <v>23</v>
      </c>
      <c r="BY8" s="74">
        <f>BV8+BW8+BX8</f>
        <v>90</v>
      </c>
      <c r="BZ8" s="280">
        <f>MAX(BY8:BY95)</f>
        <v>92</v>
      </c>
      <c r="CA8" s="73">
        <f>IF(BV8&lt;20,"F",IF(BW8&lt;10,"F",IF(BX8&lt;10,"F",IF(BY8&lt;40,"F",IF(BY8&lt;50,2,IF(BY8&lt;60,3,IF(BY8&lt;70,3.5,IF(BY8&lt;80,4,5))))))))</f>
        <v>5</v>
      </c>
      <c r="CB8" s="108">
        <v>9</v>
      </c>
      <c r="CC8" s="114">
        <v>32</v>
      </c>
      <c r="CD8" s="115">
        <f>CC8+CB8</f>
        <v>41</v>
      </c>
      <c r="CE8" s="114">
        <v>18</v>
      </c>
      <c r="CF8" s="114">
        <v>23</v>
      </c>
      <c r="CG8" s="74">
        <f>CD8+CE8+CF8</f>
        <v>82</v>
      </c>
      <c r="CH8" s="280">
        <f>MAX(CG8:CG95)</f>
        <v>88</v>
      </c>
      <c r="CI8" s="75">
        <f>IF(CD8&lt;20,"0",IF(CE8&lt;10,"0",IF(CF8&lt;10,"0",IF(CG8&lt;40,"0",IF(CG8&lt;50,2,IF(CG8&lt;60,3,IF(CG8&lt;70,3.5,IF(CG8&lt;80,4,5))))))))</f>
        <v>5</v>
      </c>
      <c r="CJ8" s="73">
        <f t="shared" ref="CJ8:CJ71" si="4">IF(S8="F","F",IF(AB8="F","F",IF(AI8="F","F",IF(AP8="F","F",IF(BC8="F","F",IF(BK8="F","F",IF(BS8="F","F",IF(CA8="F","F",IF(CI8="F","F",IF(AV8="F","F", IF(CI8&lt;=2,SUM(S8,AB8,AI8,AP8,AV8,BC8,BK8,BS8,CA8,CI8),IF(CI8&gt;=2,SUM(S8,AB8,AI8,AP8,BC8,BK8,AV8,BS8,CA8,CI8-2)))))))))))))</f>
        <v>47</v>
      </c>
      <c r="CK8" s="76">
        <f>IF(CJ8="F","F",IF(CJ8&gt;=45,5,IF(CJ8&lt;45,CJ8/9)))</f>
        <v>5</v>
      </c>
      <c r="CL8" s="77" t="str">
        <f>IF(CK8="F","F",IF(CK8&lt;2.5,"D",IF(CK8&lt;3,"C",IF(CK8&lt;3.5,"B",IF(CK8&lt;4,"A-",IF(CK8&lt;5,"A","A+"))))))</f>
        <v>A+</v>
      </c>
      <c r="CM8" s="39" t="str">
        <f t="shared" ref="CM8:CM71" si="5">IF(CK8="F","NEED TO PROGRESS",IF(CK8&gt;=5,"BEST",IF(CK8&gt;=4,"BETTER",IF(CK8&gt;=2,"GOOD"))))</f>
        <v>BEST</v>
      </c>
      <c r="CN8" s="38">
        <f t="shared" ref="CN8:CN71" si="6">Q8+Z8+AG8+AN8+AT8+BA8+BI8+BQ8+BY8+CG8</f>
        <v>999</v>
      </c>
      <c r="CO8" s="37">
        <f t="shared" ref="CO8:CO71" si="7">IF(CK8="F","F",RANK(CN8,CN$8:CN$95))</f>
        <v>4</v>
      </c>
      <c r="CP8" s="40"/>
    </row>
    <row r="9" spans="1:94" s="41" customFormat="1" ht="20.100000000000001" customHeight="1">
      <c r="A9" s="40">
        <v>2</v>
      </c>
      <c r="B9" s="56">
        <v>2</v>
      </c>
      <c r="C9" s="69" t="s">
        <v>96</v>
      </c>
      <c r="D9" s="69" t="s">
        <v>93</v>
      </c>
      <c r="E9" s="69" t="s">
        <v>94</v>
      </c>
      <c r="F9" s="70" t="s">
        <v>97</v>
      </c>
      <c r="G9" s="113">
        <v>19</v>
      </c>
      <c r="H9" s="114">
        <v>44</v>
      </c>
      <c r="I9" s="115">
        <f t="shared" ref="I9:I45" si="8">H9+G9</f>
        <v>63</v>
      </c>
      <c r="J9" s="114">
        <v>24</v>
      </c>
      <c r="K9" s="115">
        <f>I9+J9</f>
        <v>87</v>
      </c>
      <c r="L9" s="108">
        <v>19</v>
      </c>
      <c r="M9" s="116">
        <v>45</v>
      </c>
      <c r="N9" s="115">
        <f t="shared" ref="N9:N45" si="9">M9+L9</f>
        <v>64</v>
      </c>
      <c r="O9" s="114">
        <v>25</v>
      </c>
      <c r="P9" s="74">
        <f t="shared" ref="P9:P72" si="10">N9+O9</f>
        <v>89</v>
      </c>
      <c r="Q9" s="74">
        <f t="shared" ref="Q9:Q72" si="11">K9+P9</f>
        <v>176</v>
      </c>
      <c r="R9" s="281"/>
      <c r="S9" s="73">
        <f t="shared" ref="S9:S72" si="12">IF(I9+N9&lt;=56,"F",IF(I9+N9&lt;=24,"F",IF(Q9&lt;80,"F",IF(Q9&lt;100,2,IF(Q9&lt;120,3,IF(Q9&lt;140,3.5,IF(Q9&lt;160,4,5)))))))</f>
        <v>5</v>
      </c>
      <c r="T9" s="108">
        <v>18</v>
      </c>
      <c r="U9" s="114">
        <v>71</v>
      </c>
      <c r="V9" s="115">
        <f t="shared" ref="V9:V45" si="13">U9+T9</f>
        <v>89</v>
      </c>
      <c r="W9" s="108">
        <v>20</v>
      </c>
      <c r="X9" s="114">
        <v>68</v>
      </c>
      <c r="Y9" s="115">
        <f t="shared" ref="Y9:Y45" si="14">X9+W9</f>
        <v>88</v>
      </c>
      <c r="Z9" s="74">
        <f t="shared" ref="Z9:Z72" si="15">V9+Y9</f>
        <v>177</v>
      </c>
      <c r="AA9" s="281"/>
      <c r="AB9" s="73">
        <f t="shared" si="0"/>
        <v>5</v>
      </c>
      <c r="AC9" s="108">
        <v>19</v>
      </c>
      <c r="AD9" s="114">
        <v>44</v>
      </c>
      <c r="AE9" s="115">
        <f t="shared" ref="AE9:AE45" si="16">AD9+AC9</f>
        <v>63</v>
      </c>
      <c r="AF9" s="114">
        <v>25</v>
      </c>
      <c r="AG9" s="74">
        <f t="shared" ref="AG9:AG72" si="17">AF9+AE9</f>
        <v>88</v>
      </c>
      <c r="AH9" s="281"/>
      <c r="AI9" s="73">
        <f t="shared" si="1"/>
        <v>5</v>
      </c>
      <c r="AJ9" s="108">
        <v>20</v>
      </c>
      <c r="AK9" s="114">
        <v>46</v>
      </c>
      <c r="AL9" s="115">
        <f t="shared" ref="AL9:AL45" si="18">AK9+AJ9</f>
        <v>66</v>
      </c>
      <c r="AM9" s="114">
        <v>26</v>
      </c>
      <c r="AN9" s="74">
        <f t="shared" ref="AN9:AN72" si="19">AL9+AM9</f>
        <v>92</v>
      </c>
      <c r="AO9" s="281"/>
      <c r="AP9" s="73">
        <f t="shared" si="2"/>
        <v>5</v>
      </c>
      <c r="AQ9" s="116"/>
      <c r="AR9" s="114">
        <v>22</v>
      </c>
      <c r="AS9" s="114">
        <v>25</v>
      </c>
      <c r="AT9" s="73">
        <f t="shared" ref="AT9:AT18" si="20">SUM(AQ9:AS9)</f>
        <v>47</v>
      </c>
      <c r="AU9" s="284"/>
      <c r="AV9" s="73">
        <f t="shared" ref="AV9:AV95" si="21">IF(AR9&lt;10,"F",IF(AS9&lt;10,"F",IF(AT9&lt;20,"F",IF(AT9&lt;25,2,IF(AT9&lt;30,3,IF(AT9&lt;35,3.5,IF(AT9&lt;40,4,5)))))))</f>
        <v>5</v>
      </c>
      <c r="AW9" s="108">
        <v>16</v>
      </c>
      <c r="AX9" s="114">
        <v>38</v>
      </c>
      <c r="AY9" s="115">
        <f t="shared" ref="AY9:AY72" si="22">AX9+AW9</f>
        <v>54</v>
      </c>
      <c r="AZ9" s="114">
        <v>18</v>
      </c>
      <c r="BA9" s="74">
        <f t="shared" ref="BA9:BA72" si="23">AY9+AZ9</f>
        <v>72</v>
      </c>
      <c r="BB9" s="281"/>
      <c r="BC9" s="73">
        <f t="shared" ref="BC9:BC95" si="24">IF(AY9&lt;28,"F",IF(AZ9&lt;12,"F",IF(BA9&lt;40,"F",IF(BA9&lt;50,2,IF(BA9&lt;60,3,IF(BA9&lt;70,3.5,IF(BA9&lt;80,4,5)))))))</f>
        <v>4</v>
      </c>
      <c r="BD9" s="108">
        <v>10</v>
      </c>
      <c r="BE9" s="114">
        <v>36</v>
      </c>
      <c r="BF9" s="115">
        <f t="shared" ref="BF9:BF45" si="25">BE9+BD9</f>
        <v>46</v>
      </c>
      <c r="BG9" s="114">
        <v>24</v>
      </c>
      <c r="BH9" s="114">
        <v>25</v>
      </c>
      <c r="BI9" s="74">
        <f t="shared" ref="BI9:BI72" si="26">BF9+BG9+BH9</f>
        <v>95</v>
      </c>
      <c r="BJ9" s="284"/>
      <c r="BK9" s="73">
        <f t="shared" si="3"/>
        <v>5</v>
      </c>
      <c r="BL9" s="108">
        <v>9</v>
      </c>
      <c r="BM9" s="114">
        <v>40</v>
      </c>
      <c r="BN9" s="115">
        <f t="shared" ref="BN9:BN45" si="27">BM9+BL9</f>
        <v>49</v>
      </c>
      <c r="BO9" s="114">
        <v>18</v>
      </c>
      <c r="BP9" s="114">
        <v>25</v>
      </c>
      <c r="BQ9" s="74">
        <f t="shared" ref="BQ9:BQ72" si="28">BN9+BO9+BP9</f>
        <v>92</v>
      </c>
      <c r="BR9" s="281"/>
      <c r="BS9" s="73">
        <f t="shared" ref="BS9:BS72" si="29">IF(BN9&lt;20,"F",IF(BO9&lt;10,"F",IF(BP9&lt;10,"F",IF(BQ9&lt;40,"F",IF(BQ9&lt;50,2,IF(BQ9&lt;60,3,IF(BQ9&lt;70,3.5,IF(BQ9&lt;80,4,5))))))))</f>
        <v>5</v>
      </c>
      <c r="BT9" s="108">
        <v>10</v>
      </c>
      <c r="BU9" s="114">
        <v>40</v>
      </c>
      <c r="BV9" s="115">
        <f t="shared" ref="BV9:BV45" si="30">BU9+BT9</f>
        <v>50</v>
      </c>
      <c r="BW9" s="114">
        <v>16</v>
      </c>
      <c r="BX9" s="114">
        <v>23</v>
      </c>
      <c r="BY9" s="74">
        <f t="shared" ref="BY9:BY72" si="31">BV9+BW9+BX9</f>
        <v>89</v>
      </c>
      <c r="BZ9" s="284"/>
      <c r="CA9" s="73">
        <f t="shared" ref="CA9:CA72" si="32">IF(BV9&lt;20,"F",IF(BW9&lt;10,"F",IF(BX9&lt;10,"F",IF(BY9&lt;40,"F",IF(BY9&lt;50,2,IF(BY9&lt;60,3,IF(BY9&lt;70,3.5,IF(BY9&lt;80,4,5))))))))</f>
        <v>5</v>
      </c>
      <c r="CB9" s="108">
        <v>10</v>
      </c>
      <c r="CC9" s="114">
        <v>35</v>
      </c>
      <c r="CD9" s="115">
        <f t="shared" ref="CD9:CD45" si="33">CC9+CB9</f>
        <v>45</v>
      </c>
      <c r="CE9" s="114">
        <v>19</v>
      </c>
      <c r="CF9" s="114">
        <v>23</v>
      </c>
      <c r="CG9" s="74">
        <f t="shared" ref="CG9:CG72" si="34">CD9+CE9+CF9</f>
        <v>87</v>
      </c>
      <c r="CH9" s="281"/>
      <c r="CI9" s="75">
        <f t="shared" ref="CI9:CI72" si="35">IF(CD9&lt;20,"0",IF(CE9&lt;10,"0",IF(CF9&lt;10,"0",IF(CG9&lt;40,"0",IF(CG9&lt;50,2,IF(CG9&lt;60,3,IF(CG9&lt;70,3.5,IF(CG9&lt;80,4,5))))))))</f>
        <v>5</v>
      </c>
      <c r="CJ9" s="73">
        <f t="shared" si="4"/>
        <v>47</v>
      </c>
      <c r="CK9" s="76">
        <f t="shared" ref="CK9:CK72" si="36">IF(CJ9="F","F",IF(CJ9&gt;=45,5,IF(CJ9&lt;45,CJ9/9)))</f>
        <v>5</v>
      </c>
      <c r="CL9" s="77" t="str">
        <f t="shared" ref="CL9:CL72" si="37">IF(CK9="F","F",IF(CK9&lt;2.5,"D",IF(CK9&lt;3,"C",IF(CK9&lt;3.5,"B",IF(CK9&lt;4,"A-",IF(CK9&lt;5,"A","A+"))))))</f>
        <v>A+</v>
      </c>
      <c r="CM9" s="39" t="str">
        <f t="shared" si="5"/>
        <v>BEST</v>
      </c>
      <c r="CN9" s="38">
        <f t="shared" si="6"/>
        <v>1015</v>
      </c>
      <c r="CO9" s="37">
        <f t="shared" si="7"/>
        <v>2</v>
      </c>
      <c r="CP9" s="40"/>
    </row>
    <row r="10" spans="1:94" s="41" customFormat="1" ht="20.100000000000001" customHeight="1">
      <c r="A10" s="40">
        <v>3</v>
      </c>
      <c r="B10" s="56">
        <v>3</v>
      </c>
      <c r="C10" s="69" t="s">
        <v>98</v>
      </c>
      <c r="D10" s="69" t="s">
        <v>99</v>
      </c>
      <c r="E10" s="69" t="s">
        <v>100</v>
      </c>
      <c r="F10" s="70" t="s">
        <v>101</v>
      </c>
      <c r="G10" s="113">
        <v>19</v>
      </c>
      <c r="H10" s="114">
        <v>44</v>
      </c>
      <c r="I10" s="115">
        <f t="shared" si="8"/>
        <v>63</v>
      </c>
      <c r="J10" s="114">
        <v>24</v>
      </c>
      <c r="K10" s="115">
        <f t="shared" ref="K10:K45" si="38">I10+J10</f>
        <v>87</v>
      </c>
      <c r="L10" s="108">
        <v>19</v>
      </c>
      <c r="M10" s="116">
        <v>46</v>
      </c>
      <c r="N10" s="115">
        <f t="shared" si="9"/>
        <v>65</v>
      </c>
      <c r="O10" s="114">
        <v>29</v>
      </c>
      <c r="P10" s="74">
        <f t="shared" si="10"/>
        <v>94</v>
      </c>
      <c r="Q10" s="74">
        <f t="shared" si="11"/>
        <v>181</v>
      </c>
      <c r="R10" s="281"/>
      <c r="S10" s="73">
        <f t="shared" si="12"/>
        <v>5</v>
      </c>
      <c r="T10" s="108">
        <v>18</v>
      </c>
      <c r="U10" s="114">
        <v>73</v>
      </c>
      <c r="V10" s="115">
        <f t="shared" si="13"/>
        <v>91</v>
      </c>
      <c r="W10" s="108">
        <v>19</v>
      </c>
      <c r="X10" s="114">
        <v>68</v>
      </c>
      <c r="Y10" s="115">
        <f t="shared" si="14"/>
        <v>87</v>
      </c>
      <c r="Z10" s="74">
        <f t="shared" si="15"/>
        <v>178</v>
      </c>
      <c r="AA10" s="281"/>
      <c r="AB10" s="73">
        <f t="shared" si="0"/>
        <v>5</v>
      </c>
      <c r="AC10" s="108">
        <v>19</v>
      </c>
      <c r="AD10" s="114">
        <v>46</v>
      </c>
      <c r="AE10" s="115">
        <f t="shared" si="16"/>
        <v>65</v>
      </c>
      <c r="AF10" s="114">
        <v>29</v>
      </c>
      <c r="AG10" s="74">
        <f t="shared" si="17"/>
        <v>94</v>
      </c>
      <c r="AH10" s="281"/>
      <c r="AI10" s="73">
        <f t="shared" si="1"/>
        <v>5</v>
      </c>
      <c r="AJ10" s="108">
        <v>19</v>
      </c>
      <c r="AK10" s="114">
        <v>46</v>
      </c>
      <c r="AL10" s="115">
        <f t="shared" si="18"/>
        <v>65</v>
      </c>
      <c r="AM10" s="114">
        <v>25</v>
      </c>
      <c r="AN10" s="74">
        <f t="shared" si="19"/>
        <v>90</v>
      </c>
      <c r="AO10" s="281"/>
      <c r="AP10" s="73">
        <f t="shared" si="2"/>
        <v>5</v>
      </c>
      <c r="AQ10" s="116"/>
      <c r="AR10" s="114">
        <v>18</v>
      </c>
      <c r="AS10" s="114">
        <v>25</v>
      </c>
      <c r="AT10" s="73">
        <f t="shared" si="20"/>
        <v>43</v>
      </c>
      <c r="AU10" s="284"/>
      <c r="AV10" s="73">
        <f t="shared" si="21"/>
        <v>5</v>
      </c>
      <c r="AW10" s="108">
        <v>17</v>
      </c>
      <c r="AX10" s="114">
        <v>43</v>
      </c>
      <c r="AY10" s="115">
        <f t="shared" si="22"/>
        <v>60</v>
      </c>
      <c r="AZ10" s="114">
        <v>22</v>
      </c>
      <c r="BA10" s="74">
        <f t="shared" si="23"/>
        <v>82</v>
      </c>
      <c r="BB10" s="281"/>
      <c r="BC10" s="73">
        <f t="shared" si="24"/>
        <v>5</v>
      </c>
      <c r="BD10" s="108">
        <v>7</v>
      </c>
      <c r="BE10" s="114">
        <v>38</v>
      </c>
      <c r="BF10" s="115">
        <f t="shared" si="25"/>
        <v>45</v>
      </c>
      <c r="BG10" s="114">
        <v>19</v>
      </c>
      <c r="BH10" s="114">
        <v>25</v>
      </c>
      <c r="BI10" s="74">
        <f t="shared" si="26"/>
        <v>89</v>
      </c>
      <c r="BJ10" s="284"/>
      <c r="BK10" s="73">
        <f t="shared" si="3"/>
        <v>5</v>
      </c>
      <c r="BL10" s="108">
        <v>8</v>
      </c>
      <c r="BM10" s="114">
        <v>36</v>
      </c>
      <c r="BN10" s="115">
        <f t="shared" si="27"/>
        <v>44</v>
      </c>
      <c r="BO10" s="114">
        <v>14</v>
      </c>
      <c r="BP10" s="114">
        <v>25</v>
      </c>
      <c r="BQ10" s="74">
        <f t="shared" si="28"/>
        <v>83</v>
      </c>
      <c r="BR10" s="281"/>
      <c r="BS10" s="73">
        <f t="shared" si="29"/>
        <v>5</v>
      </c>
      <c r="BT10" s="108">
        <v>10</v>
      </c>
      <c r="BU10" s="114">
        <v>38</v>
      </c>
      <c r="BV10" s="115">
        <f t="shared" si="30"/>
        <v>48</v>
      </c>
      <c r="BW10" s="114">
        <v>15</v>
      </c>
      <c r="BX10" s="114">
        <v>23</v>
      </c>
      <c r="BY10" s="74">
        <f t="shared" si="31"/>
        <v>86</v>
      </c>
      <c r="BZ10" s="284"/>
      <c r="CA10" s="73">
        <f t="shared" si="32"/>
        <v>5</v>
      </c>
      <c r="CB10" s="108">
        <v>10</v>
      </c>
      <c r="CC10" s="114">
        <v>35</v>
      </c>
      <c r="CD10" s="115">
        <f t="shared" si="33"/>
        <v>45</v>
      </c>
      <c r="CE10" s="114">
        <v>13</v>
      </c>
      <c r="CF10" s="114">
        <v>23</v>
      </c>
      <c r="CG10" s="74">
        <f t="shared" si="34"/>
        <v>81</v>
      </c>
      <c r="CH10" s="281"/>
      <c r="CI10" s="75">
        <f t="shared" si="35"/>
        <v>5</v>
      </c>
      <c r="CJ10" s="73">
        <f t="shared" si="4"/>
        <v>48</v>
      </c>
      <c r="CK10" s="76">
        <f t="shared" si="36"/>
        <v>5</v>
      </c>
      <c r="CL10" s="77" t="str">
        <f t="shared" si="37"/>
        <v>A+</v>
      </c>
      <c r="CM10" s="39" t="str">
        <f t="shared" si="5"/>
        <v>BEST</v>
      </c>
      <c r="CN10" s="38">
        <f t="shared" si="6"/>
        <v>1007</v>
      </c>
      <c r="CO10" s="37">
        <f t="shared" si="7"/>
        <v>3</v>
      </c>
      <c r="CP10" s="40"/>
    </row>
    <row r="11" spans="1:94" s="41" customFormat="1" ht="20.100000000000001" customHeight="1">
      <c r="A11" s="40">
        <v>4</v>
      </c>
      <c r="B11" s="56">
        <v>5</v>
      </c>
      <c r="C11" s="95" t="s">
        <v>102</v>
      </c>
      <c r="D11" s="95" t="s">
        <v>103</v>
      </c>
      <c r="E11" s="95" t="s">
        <v>104</v>
      </c>
      <c r="F11" s="96" t="s">
        <v>105</v>
      </c>
      <c r="G11" s="113">
        <v>17</v>
      </c>
      <c r="H11" s="114">
        <v>40</v>
      </c>
      <c r="I11" s="115">
        <f t="shared" si="8"/>
        <v>57</v>
      </c>
      <c r="J11" s="114">
        <v>26</v>
      </c>
      <c r="K11" s="115">
        <f t="shared" si="38"/>
        <v>83</v>
      </c>
      <c r="L11" s="108">
        <v>19</v>
      </c>
      <c r="M11" s="116">
        <v>46</v>
      </c>
      <c r="N11" s="115">
        <f t="shared" si="9"/>
        <v>65</v>
      </c>
      <c r="O11" s="114">
        <v>27</v>
      </c>
      <c r="P11" s="74">
        <f t="shared" si="10"/>
        <v>92</v>
      </c>
      <c r="Q11" s="74">
        <f t="shared" si="11"/>
        <v>175</v>
      </c>
      <c r="R11" s="281"/>
      <c r="S11" s="73">
        <f t="shared" si="12"/>
        <v>5</v>
      </c>
      <c r="T11" s="108">
        <v>14</v>
      </c>
      <c r="U11" s="114">
        <v>55</v>
      </c>
      <c r="V11" s="115">
        <f t="shared" si="13"/>
        <v>69</v>
      </c>
      <c r="W11" s="108">
        <v>15</v>
      </c>
      <c r="X11" s="114">
        <v>65</v>
      </c>
      <c r="Y11" s="115">
        <f t="shared" si="14"/>
        <v>80</v>
      </c>
      <c r="Z11" s="74">
        <f t="shared" si="15"/>
        <v>149</v>
      </c>
      <c r="AA11" s="281"/>
      <c r="AB11" s="73">
        <f t="shared" si="0"/>
        <v>4</v>
      </c>
      <c r="AC11" s="108">
        <v>19</v>
      </c>
      <c r="AD11" s="114">
        <v>27</v>
      </c>
      <c r="AE11" s="115">
        <f t="shared" si="16"/>
        <v>46</v>
      </c>
      <c r="AF11" s="114">
        <v>29</v>
      </c>
      <c r="AG11" s="74">
        <f t="shared" si="17"/>
        <v>75</v>
      </c>
      <c r="AH11" s="281"/>
      <c r="AI11" s="73">
        <f t="shared" si="1"/>
        <v>4</v>
      </c>
      <c r="AJ11" s="108">
        <v>20</v>
      </c>
      <c r="AK11" s="114">
        <v>48</v>
      </c>
      <c r="AL11" s="115">
        <f t="shared" si="18"/>
        <v>68</v>
      </c>
      <c r="AM11" s="114">
        <v>30</v>
      </c>
      <c r="AN11" s="74">
        <f t="shared" si="19"/>
        <v>98</v>
      </c>
      <c r="AO11" s="281"/>
      <c r="AP11" s="73">
        <f t="shared" si="2"/>
        <v>5</v>
      </c>
      <c r="AQ11" s="116"/>
      <c r="AR11" s="114">
        <v>20</v>
      </c>
      <c r="AS11" s="114">
        <v>25</v>
      </c>
      <c r="AT11" s="73">
        <f t="shared" si="20"/>
        <v>45</v>
      </c>
      <c r="AU11" s="284"/>
      <c r="AV11" s="73">
        <f t="shared" si="21"/>
        <v>5</v>
      </c>
      <c r="AW11" s="108">
        <v>13</v>
      </c>
      <c r="AX11" s="114">
        <v>29</v>
      </c>
      <c r="AY11" s="115">
        <f t="shared" si="22"/>
        <v>42</v>
      </c>
      <c r="AZ11" s="114">
        <v>19</v>
      </c>
      <c r="BA11" s="74">
        <f t="shared" si="23"/>
        <v>61</v>
      </c>
      <c r="BB11" s="281"/>
      <c r="BC11" s="73">
        <f t="shared" si="24"/>
        <v>3.5</v>
      </c>
      <c r="BD11" s="108">
        <v>7</v>
      </c>
      <c r="BE11" s="114">
        <v>21</v>
      </c>
      <c r="BF11" s="115">
        <f t="shared" si="25"/>
        <v>28</v>
      </c>
      <c r="BG11" s="114">
        <v>12</v>
      </c>
      <c r="BH11" s="114">
        <v>25</v>
      </c>
      <c r="BI11" s="74">
        <f t="shared" si="26"/>
        <v>65</v>
      </c>
      <c r="BJ11" s="284"/>
      <c r="BK11" s="73">
        <f t="shared" si="3"/>
        <v>3.5</v>
      </c>
      <c r="BL11" s="108">
        <v>9</v>
      </c>
      <c r="BM11" s="114">
        <v>34</v>
      </c>
      <c r="BN11" s="115">
        <f t="shared" si="27"/>
        <v>43</v>
      </c>
      <c r="BO11" s="114">
        <v>16</v>
      </c>
      <c r="BP11" s="114">
        <v>25</v>
      </c>
      <c r="BQ11" s="74">
        <f t="shared" si="28"/>
        <v>84</v>
      </c>
      <c r="BR11" s="281"/>
      <c r="BS11" s="73">
        <f t="shared" si="29"/>
        <v>5</v>
      </c>
      <c r="BT11" s="108">
        <v>10</v>
      </c>
      <c r="BU11" s="114">
        <v>30</v>
      </c>
      <c r="BV11" s="115">
        <f t="shared" si="30"/>
        <v>40</v>
      </c>
      <c r="BW11" s="114">
        <v>18</v>
      </c>
      <c r="BX11" s="114">
        <v>23</v>
      </c>
      <c r="BY11" s="74">
        <f t="shared" si="31"/>
        <v>81</v>
      </c>
      <c r="BZ11" s="284"/>
      <c r="CA11" s="73">
        <f t="shared" si="32"/>
        <v>5</v>
      </c>
      <c r="CB11" s="108">
        <v>8</v>
      </c>
      <c r="CC11" s="114">
        <v>15</v>
      </c>
      <c r="CD11" s="115">
        <f t="shared" si="33"/>
        <v>23</v>
      </c>
      <c r="CE11" s="114">
        <v>16</v>
      </c>
      <c r="CF11" s="114">
        <v>23</v>
      </c>
      <c r="CG11" s="74">
        <f t="shared" si="34"/>
        <v>62</v>
      </c>
      <c r="CH11" s="281"/>
      <c r="CI11" s="75">
        <f t="shared" si="35"/>
        <v>3.5</v>
      </c>
      <c r="CJ11" s="73">
        <f t="shared" si="4"/>
        <v>41.5</v>
      </c>
      <c r="CK11" s="76">
        <f t="shared" si="36"/>
        <v>4.6111111111111107</v>
      </c>
      <c r="CL11" s="77" t="str">
        <f t="shared" si="37"/>
        <v>A</v>
      </c>
      <c r="CM11" s="39" t="str">
        <f t="shared" si="5"/>
        <v>BETTER</v>
      </c>
      <c r="CN11" s="38">
        <f t="shared" si="6"/>
        <v>895</v>
      </c>
      <c r="CO11" s="37">
        <f t="shared" si="7"/>
        <v>10</v>
      </c>
      <c r="CP11" s="40"/>
    </row>
    <row r="12" spans="1:94" s="41" customFormat="1" ht="20.100000000000001" customHeight="1">
      <c r="A12" s="40">
        <v>5</v>
      </c>
      <c r="B12" s="56">
        <v>6</v>
      </c>
      <c r="C12" s="69" t="s">
        <v>106</v>
      </c>
      <c r="D12" s="69" t="s">
        <v>107</v>
      </c>
      <c r="E12" s="69" t="s">
        <v>108</v>
      </c>
      <c r="F12" s="97" t="s">
        <v>109</v>
      </c>
      <c r="G12" s="113">
        <v>17</v>
      </c>
      <c r="H12" s="114">
        <v>31</v>
      </c>
      <c r="I12" s="115">
        <f t="shared" si="8"/>
        <v>48</v>
      </c>
      <c r="J12" s="114">
        <v>26</v>
      </c>
      <c r="K12" s="115">
        <f t="shared" si="38"/>
        <v>74</v>
      </c>
      <c r="L12" s="108">
        <v>19</v>
      </c>
      <c r="M12" s="116">
        <v>40</v>
      </c>
      <c r="N12" s="115">
        <f t="shared" si="9"/>
        <v>59</v>
      </c>
      <c r="O12" s="114">
        <v>18</v>
      </c>
      <c r="P12" s="80">
        <f t="shared" si="10"/>
        <v>77</v>
      </c>
      <c r="Q12" s="74">
        <f t="shared" si="11"/>
        <v>151</v>
      </c>
      <c r="R12" s="281"/>
      <c r="S12" s="73">
        <f t="shared" si="12"/>
        <v>4</v>
      </c>
      <c r="T12" s="108">
        <v>12</v>
      </c>
      <c r="U12" s="114">
        <v>58</v>
      </c>
      <c r="V12" s="115">
        <f t="shared" si="13"/>
        <v>70</v>
      </c>
      <c r="W12" s="108">
        <v>17</v>
      </c>
      <c r="X12" s="114">
        <v>61</v>
      </c>
      <c r="Y12" s="115">
        <f t="shared" si="14"/>
        <v>78</v>
      </c>
      <c r="Z12" s="80">
        <f t="shared" si="15"/>
        <v>148</v>
      </c>
      <c r="AA12" s="281"/>
      <c r="AB12" s="79">
        <f t="shared" si="0"/>
        <v>4</v>
      </c>
      <c r="AC12" s="108">
        <v>19</v>
      </c>
      <c r="AD12" s="114">
        <v>29</v>
      </c>
      <c r="AE12" s="115">
        <f t="shared" si="16"/>
        <v>48</v>
      </c>
      <c r="AF12" s="114">
        <v>26</v>
      </c>
      <c r="AG12" s="80">
        <f t="shared" si="17"/>
        <v>74</v>
      </c>
      <c r="AH12" s="281"/>
      <c r="AI12" s="79">
        <f t="shared" si="1"/>
        <v>4</v>
      </c>
      <c r="AJ12" s="108">
        <v>20</v>
      </c>
      <c r="AK12" s="114">
        <v>43</v>
      </c>
      <c r="AL12" s="115">
        <f t="shared" si="18"/>
        <v>63</v>
      </c>
      <c r="AM12" s="114">
        <v>25</v>
      </c>
      <c r="AN12" s="80">
        <f t="shared" si="19"/>
        <v>88</v>
      </c>
      <c r="AO12" s="281"/>
      <c r="AP12" s="79">
        <f t="shared" si="2"/>
        <v>5</v>
      </c>
      <c r="AQ12" s="116"/>
      <c r="AR12" s="114">
        <v>22</v>
      </c>
      <c r="AS12" s="114">
        <v>25</v>
      </c>
      <c r="AT12" s="79">
        <f t="shared" si="20"/>
        <v>47</v>
      </c>
      <c r="AU12" s="284"/>
      <c r="AV12" s="79">
        <f t="shared" si="21"/>
        <v>5</v>
      </c>
      <c r="AW12" s="108">
        <v>14</v>
      </c>
      <c r="AX12" s="114">
        <v>28</v>
      </c>
      <c r="AY12" s="115">
        <f t="shared" si="22"/>
        <v>42</v>
      </c>
      <c r="AZ12" s="114">
        <v>23</v>
      </c>
      <c r="BA12" s="80">
        <f t="shared" si="23"/>
        <v>65</v>
      </c>
      <c r="BB12" s="281"/>
      <c r="BC12" s="79">
        <f t="shared" si="24"/>
        <v>3.5</v>
      </c>
      <c r="BD12" s="108">
        <v>7</v>
      </c>
      <c r="BE12" s="114">
        <v>22</v>
      </c>
      <c r="BF12" s="115">
        <f t="shared" si="25"/>
        <v>29</v>
      </c>
      <c r="BG12" s="114">
        <v>14</v>
      </c>
      <c r="BH12" s="114">
        <v>25</v>
      </c>
      <c r="BI12" s="80">
        <f t="shared" si="26"/>
        <v>68</v>
      </c>
      <c r="BJ12" s="284"/>
      <c r="BK12" s="79">
        <f t="shared" si="3"/>
        <v>3.5</v>
      </c>
      <c r="BL12" s="108">
        <v>9</v>
      </c>
      <c r="BM12" s="114">
        <v>26</v>
      </c>
      <c r="BN12" s="115">
        <f t="shared" si="27"/>
        <v>35</v>
      </c>
      <c r="BO12" s="114">
        <v>19</v>
      </c>
      <c r="BP12" s="114">
        <v>25</v>
      </c>
      <c r="BQ12" s="80">
        <f t="shared" si="28"/>
        <v>79</v>
      </c>
      <c r="BR12" s="281"/>
      <c r="BS12" s="79">
        <f t="shared" si="29"/>
        <v>4</v>
      </c>
      <c r="BT12" s="108">
        <v>10</v>
      </c>
      <c r="BU12" s="114">
        <v>35</v>
      </c>
      <c r="BV12" s="115">
        <f t="shared" si="30"/>
        <v>45</v>
      </c>
      <c r="BW12" s="114">
        <v>14</v>
      </c>
      <c r="BX12" s="114">
        <v>23</v>
      </c>
      <c r="BY12" s="80">
        <f t="shared" si="31"/>
        <v>82</v>
      </c>
      <c r="BZ12" s="284"/>
      <c r="CA12" s="79">
        <f t="shared" si="32"/>
        <v>5</v>
      </c>
      <c r="CB12" s="108">
        <v>5</v>
      </c>
      <c r="CC12" s="114">
        <v>28</v>
      </c>
      <c r="CD12" s="115">
        <f t="shared" si="33"/>
        <v>33</v>
      </c>
      <c r="CE12" s="114">
        <v>14</v>
      </c>
      <c r="CF12" s="114">
        <v>23</v>
      </c>
      <c r="CG12" s="80">
        <f t="shared" si="34"/>
        <v>70</v>
      </c>
      <c r="CH12" s="281"/>
      <c r="CI12" s="81">
        <f t="shared" si="35"/>
        <v>4</v>
      </c>
      <c r="CJ12" s="79">
        <f t="shared" si="4"/>
        <v>40</v>
      </c>
      <c r="CK12" s="82">
        <f t="shared" si="36"/>
        <v>4.4444444444444446</v>
      </c>
      <c r="CL12" s="77" t="str">
        <f t="shared" si="37"/>
        <v>A</v>
      </c>
      <c r="CM12" s="83" t="str">
        <f t="shared" si="5"/>
        <v>BETTER</v>
      </c>
      <c r="CN12" s="71">
        <f t="shared" si="6"/>
        <v>872</v>
      </c>
      <c r="CO12" s="72">
        <f t="shared" si="7"/>
        <v>13</v>
      </c>
      <c r="CP12" s="84"/>
    </row>
    <row r="13" spans="1:94" s="41" customFormat="1" ht="20.100000000000001" customHeight="1">
      <c r="A13" s="40">
        <v>6</v>
      </c>
      <c r="B13" s="56">
        <v>7</v>
      </c>
      <c r="C13" s="95" t="s">
        <v>110</v>
      </c>
      <c r="D13" s="95" t="s">
        <v>111</v>
      </c>
      <c r="E13" s="95" t="s">
        <v>112</v>
      </c>
      <c r="F13" s="96" t="s">
        <v>113</v>
      </c>
      <c r="G13" s="113">
        <v>17</v>
      </c>
      <c r="H13" s="114">
        <v>40</v>
      </c>
      <c r="I13" s="115">
        <f t="shared" si="8"/>
        <v>57</v>
      </c>
      <c r="J13" s="114">
        <v>23</v>
      </c>
      <c r="K13" s="115">
        <f t="shared" si="38"/>
        <v>80</v>
      </c>
      <c r="L13" s="108">
        <v>19</v>
      </c>
      <c r="M13" s="116">
        <v>37</v>
      </c>
      <c r="N13" s="115">
        <f t="shared" si="9"/>
        <v>56</v>
      </c>
      <c r="O13" s="114">
        <v>20</v>
      </c>
      <c r="P13" s="74">
        <f t="shared" si="10"/>
        <v>76</v>
      </c>
      <c r="Q13" s="74">
        <f t="shared" si="11"/>
        <v>156</v>
      </c>
      <c r="R13" s="281"/>
      <c r="S13" s="73">
        <f t="shared" si="12"/>
        <v>4</v>
      </c>
      <c r="T13" s="108">
        <v>16</v>
      </c>
      <c r="U13" s="114">
        <v>62</v>
      </c>
      <c r="V13" s="115">
        <f t="shared" si="13"/>
        <v>78</v>
      </c>
      <c r="W13" s="108">
        <v>16</v>
      </c>
      <c r="X13" s="114">
        <v>54</v>
      </c>
      <c r="Y13" s="115">
        <f t="shared" si="14"/>
        <v>70</v>
      </c>
      <c r="Z13" s="74">
        <f t="shared" si="15"/>
        <v>148</v>
      </c>
      <c r="AA13" s="281"/>
      <c r="AB13" s="73">
        <f t="shared" si="0"/>
        <v>4</v>
      </c>
      <c r="AC13" s="108">
        <v>20</v>
      </c>
      <c r="AD13" s="114">
        <v>29</v>
      </c>
      <c r="AE13" s="115">
        <f t="shared" si="16"/>
        <v>49</v>
      </c>
      <c r="AF13" s="114">
        <v>23</v>
      </c>
      <c r="AG13" s="74">
        <f t="shared" si="17"/>
        <v>72</v>
      </c>
      <c r="AH13" s="281"/>
      <c r="AI13" s="73">
        <f t="shared" si="1"/>
        <v>4</v>
      </c>
      <c r="AJ13" s="108">
        <v>20</v>
      </c>
      <c r="AK13" s="114">
        <v>46</v>
      </c>
      <c r="AL13" s="115">
        <f t="shared" si="18"/>
        <v>66</v>
      </c>
      <c r="AM13" s="114">
        <v>25</v>
      </c>
      <c r="AN13" s="74">
        <f t="shared" si="19"/>
        <v>91</v>
      </c>
      <c r="AO13" s="281"/>
      <c r="AP13" s="73">
        <f t="shared" si="2"/>
        <v>5</v>
      </c>
      <c r="AQ13" s="116"/>
      <c r="AR13" s="114">
        <v>21</v>
      </c>
      <c r="AS13" s="114">
        <v>25</v>
      </c>
      <c r="AT13" s="73">
        <f t="shared" si="20"/>
        <v>46</v>
      </c>
      <c r="AU13" s="284"/>
      <c r="AV13" s="73">
        <f t="shared" si="21"/>
        <v>5</v>
      </c>
      <c r="AW13" s="108">
        <v>16</v>
      </c>
      <c r="AX13" s="114">
        <v>34</v>
      </c>
      <c r="AY13" s="115">
        <f t="shared" si="22"/>
        <v>50</v>
      </c>
      <c r="AZ13" s="114">
        <v>26</v>
      </c>
      <c r="BA13" s="74">
        <f t="shared" si="23"/>
        <v>76</v>
      </c>
      <c r="BB13" s="281"/>
      <c r="BC13" s="73">
        <f t="shared" si="24"/>
        <v>4</v>
      </c>
      <c r="BD13" s="108">
        <v>9</v>
      </c>
      <c r="BE13" s="114">
        <v>25</v>
      </c>
      <c r="BF13" s="115">
        <f t="shared" si="25"/>
        <v>34</v>
      </c>
      <c r="BG13" s="114">
        <v>11</v>
      </c>
      <c r="BH13" s="114">
        <v>25</v>
      </c>
      <c r="BI13" s="74">
        <f t="shared" si="26"/>
        <v>70</v>
      </c>
      <c r="BJ13" s="284"/>
      <c r="BK13" s="73">
        <f t="shared" si="3"/>
        <v>4</v>
      </c>
      <c r="BL13" s="108">
        <v>8</v>
      </c>
      <c r="BM13" s="114">
        <v>33</v>
      </c>
      <c r="BN13" s="115">
        <f t="shared" si="27"/>
        <v>41</v>
      </c>
      <c r="BO13" s="114">
        <v>16</v>
      </c>
      <c r="BP13" s="114">
        <v>25</v>
      </c>
      <c r="BQ13" s="74">
        <f t="shared" si="28"/>
        <v>82</v>
      </c>
      <c r="BR13" s="281"/>
      <c r="BS13" s="73">
        <f t="shared" si="29"/>
        <v>5</v>
      </c>
      <c r="BT13" s="108">
        <v>10</v>
      </c>
      <c r="BU13" s="114">
        <v>37</v>
      </c>
      <c r="BV13" s="115">
        <f t="shared" si="30"/>
        <v>47</v>
      </c>
      <c r="BW13" s="114">
        <v>14</v>
      </c>
      <c r="BX13" s="114">
        <v>23</v>
      </c>
      <c r="BY13" s="74">
        <f t="shared" si="31"/>
        <v>84</v>
      </c>
      <c r="BZ13" s="284"/>
      <c r="CA13" s="73">
        <f t="shared" si="32"/>
        <v>5</v>
      </c>
      <c r="CB13" s="108">
        <v>6</v>
      </c>
      <c r="CC13" s="114">
        <v>30</v>
      </c>
      <c r="CD13" s="115">
        <f t="shared" si="33"/>
        <v>36</v>
      </c>
      <c r="CE13" s="114">
        <v>16</v>
      </c>
      <c r="CF13" s="114">
        <v>23</v>
      </c>
      <c r="CG13" s="74">
        <f t="shared" si="34"/>
        <v>75</v>
      </c>
      <c r="CH13" s="281"/>
      <c r="CI13" s="75">
        <f t="shared" si="35"/>
        <v>4</v>
      </c>
      <c r="CJ13" s="73">
        <f t="shared" si="4"/>
        <v>42</v>
      </c>
      <c r="CK13" s="76">
        <f t="shared" si="36"/>
        <v>4.666666666666667</v>
      </c>
      <c r="CL13" s="77" t="str">
        <f t="shared" si="37"/>
        <v>A</v>
      </c>
      <c r="CM13" s="39" t="str">
        <f t="shared" si="5"/>
        <v>BETTER</v>
      </c>
      <c r="CN13" s="38">
        <f t="shared" si="6"/>
        <v>900</v>
      </c>
      <c r="CO13" s="37">
        <f t="shared" si="7"/>
        <v>8</v>
      </c>
      <c r="CP13" s="40"/>
    </row>
    <row r="14" spans="1:94" s="41" customFormat="1" ht="20.100000000000001" customHeight="1">
      <c r="A14" s="40">
        <v>7</v>
      </c>
      <c r="B14" s="56">
        <v>10</v>
      </c>
      <c r="C14" s="69" t="s">
        <v>114</v>
      </c>
      <c r="D14" s="69" t="s">
        <v>99</v>
      </c>
      <c r="E14" s="69" t="s">
        <v>115</v>
      </c>
      <c r="F14" s="70" t="s">
        <v>116</v>
      </c>
      <c r="G14" s="113">
        <v>18</v>
      </c>
      <c r="H14" s="114">
        <v>33</v>
      </c>
      <c r="I14" s="115">
        <f t="shared" si="8"/>
        <v>51</v>
      </c>
      <c r="J14" s="114">
        <v>26</v>
      </c>
      <c r="K14" s="115">
        <f t="shared" si="38"/>
        <v>77</v>
      </c>
      <c r="L14" s="108">
        <v>13</v>
      </c>
      <c r="M14" s="116">
        <v>39</v>
      </c>
      <c r="N14" s="115">
        <f t="shared" si="9"/>
        <v>52</v>
      </c>
      <c r="O14" s="114">
        <v>24</v>
      </c>
      <c r="P14" s="74">
        <f t="shared" si="10"/>
        <v>76</v>
      </c>
      <c r="Q14" s="74">
        <f t="shared" si="11"/>
        <v>153</v>
      </c>
      <c r="R14" s="281"/>
      <c r="S14" s="73">
        <f t="shared" si="12"/>
        <v>4</v>
      </c>
      <c r="T14" s="108">
        <v>12</v>
      </c>
      <c r="U14" s="114">
        <v>60</v>
      </c>
      <c r="V14" s="115">
        <f t="shared" si="13"/>
        <v>72</v>
      </c>
      <c r="W14" s="108">
        <v>15</v>
      </c>
      <c r="X14" s="114">
        <v>58</v>
      </c>
      <c r="Y14" s="115">
        <f t="shared" si="14"/>
        <v>73</v>
      </c>
      <c r="Z14" s="74">
        <f t="shared" si="15"/>
        <v>145</v>
      </c>
      <c r="AA14" s="281"/>
      <c r="AB14" s="73">
        <f t="shared" si="0"/>
        <v>4</v>
      </c>
      <c r="AC14" s="108">
        <v>17</v>
      </c>
      <c r="AD14" s="114">
        <v>24</v>
      </c>
      <c r="AE14" s="115">
        <f t="shared" si="16"/>
        <v>41</v>
      </c>
      <c r="AF14" s="114">
        <v>24</v>
      </c>
      <c r="AG14" s="74">
        <f t="shared" si="17"/>
        <v>65</v>
      </c>
      <c r="AH14" s="281"/>
      <c r="AI14" s="73">
        <f t="shared" si="1"/>
        <v>3.5</v>
      </c>
      <c r="AJ14" s="108">
        <v>20</v>
      </c>
      <c r="AK14" s="114">
        <v>43</v>
      </c>
      <c r="AL14" s="115">
        <f t="shared" si="18"/>
        <v>63</v>
      </c>
      <c r="AM14" s="114">
        <v>26</v>
      </c>
      <c r="AN14" s="74">
        <f t="shared" si="19"/>
        <v>89</v>
      </c>
      <c r="AO14" s="281"/>
      <c r="AP14" s="73">
        <f t="shared" si="2"/>
        <v>5</v>
      </c>
      <c r="AQ14" s="116"/>
      <c r="AR14" s="114">
        <v>21</v>
      </c>
      <c r="AS14" s="114">
        <v>25</v>
      </c>
      <c r="AT14" s="73">
        <f t="shared" si="20"/>
        <v>46</v>
      </c>
      <c r="AU14" s="284"/>
      <c r="AV14" s="73">
        <f t="shared" si="21"/>
        <v>5</v>
      </c>
      <c r="AW14" s="108">
        <v>17</v>
      </c>
      <c r="AX14" s="114">
        <v>32</v>
      </c>
      <c r="AY14" s="115">
        <f t="shared" si="22"/>
        <v>49</v>
      </c>
      <c r="AZ14" s="114">
        <v>23</v>
      </c>
      <c r="BA14" s="74">
        <f t="shared" si="23"/>
        <v>72</v>
      </c>
      <c r="BB14" s="281"/>
      <c r="BC14" s="73">
        <f t="shared" si="24"/>
        <v>4</v>
      </c>
      <c r="BD14" s="108">
        <v>7</v>
      </c>
      <c r="BE14" s="114">
        <v>26</v>
      </c>
      <c r="BF14" s="115">
        <f t="shared" si="25"/>
        <v>33</v>
      </c>
      <c r="BG14" s="114">
        <v>14</v>
      </c>
      <c r="BH14" s="114">
        <v>25</v>
      </c>
      <c r="BI14" s="74">
        <f t="shared" si="26"/>
        <v>72</v>
      </c>
      <c r="BJ14" s="284"/>
      <c r="BK14" s="73">
        <f t="shared" si="3"/>
        <v>4</v>
      </c>
      <c r="BL14" s="108">
        <v>10</v>
      </c>
      <c r="BM14" s="114">
        <v>33</v>
      </c>
      <c r="BN14" s="115">
        <f t="shared" si="27"/>
        <v>43</v>
      </c>
      <c r="BO14" s="114">
        <v>17</v>
      </c>
      <c r="BP14" s="114">
        <v>25</v>
      </c>
      <c r="BQ14" s="74">
        <f t="shared" si="28"/>
        <v>85</v>
      </c>
      <c r="BR14" s="281"/>
      <c r="BS14" s="73">
        <f t="shared" si="29"/>
        <v>5</v>
      </c>
      <c r="BT14" s="108">
        <v>10</v>
      </c>
      <c r="BU14" s="114">
        <v>33</v>
      </c>
      <c r="BV14" s="115">
        <f t="shared" si="30"/>
        <v>43</v>
      </c>
      <c r="BW14" s="114">
        <v>12</v>
      </c>
      <c r="BX14" s="114">
        <v>23</v>
      </c>
      <c r="BY14" s="74">
        <f t="shared" si="31"/>
        <v>78</v>
      </c>
      <c r="BZ14" s="284"/>
      <c r="CA14" s="73">
        <f t="shared" si="32"/>
        <v>4</v>
      </c>
      <c r="CB14" s="108">
        <v>6</v>
      </c>
      <c r="CC14" s="114">
        <v>14</v>
      </c>
      <c r="CD14" s="115">
        <f t="shared" si="33"/>
        <v>20</v>
      </c>
      <c r="CE14" s="114">
        <v>13</v>
      </c>
      <c r="CF14" s="114">
        <v>23</v>
      </c>
      <c r="CG14" s="74">
        <f t="shared" si="34"/>
        <v>56</v>
      </c>
      <c r="CH14" s="281"/>
      <c r="CI14" s="75">
        <f t="shared" si="35"/>
        <v>3</v>
      </c>
      <c r="CJ14" s="73">
        <f t="shared" si="4"/>
        <v>39.5</v>
      </c>
      <c r="CK14" s="76">
        <f t="shared" si="36"/>
        <v>4.3888888888888893</v>
      </c>
      <c r="CL14" s="77" t="str">
        <f t="shared" si="37"/>
        <v>A</v>
      </c>
      <c r="CM14" s="39" t="str">
        <f t="shared" si="5"/>
        <v>BETTER</v>
      </c>
      <c r="CN14" s="38">
        <f t="shared" si="6"/>
        <v>861</v>
      </c>
      <c r="CO14" s="37">
        <f t="shared" si="7"/>
        <v>16</v>
      </c>
      <c r="CP14" s="40"/>
    </row>
    <row r="15" spans="1:94" s="41" customFormat="1" ht="20.100000000000001" customHeight="1">
      <c r="A15" s="40">
        <v>8</v>
      </c>
      <c r="B15" s="56">
        <v>11</v>
      </c>
      <c r="C15" s="95" t="s">
        <v>117</v>
      </c>
      <c r="D15" s="95" t="s">
        <v>118</v>
      </c>
      <c r="E15" s="95" t="s">
        <v>119</v>
      </c>
      <c r="F15" s="96" t="s">
        <v>120</v>
      </c>
      <c r="G15" s="113">
        <v>16</v>
      </c>
      <c r="H15" s="114">
        <v>36</v>
      </c>
      <c r="I15" s="115">
        <f t="shared" si="8"/>
        <v>52</v>
      </c>
      <c r="J15" s="114">
        <v>26</v>
      </c>
      <c r="K15" s="115">
        <f t="shared" si="38"/>
        <v>78</v>
      </c>
      <c r="L15" s="108">
        <v>19</v>
      </c>
      <c r="M15" s="116">
        <v>42</v>
      </c>
      <c r="N15" s="115">
        <f t="shared" si="9"/>
        <v>61</v>
      </c>
      <c r="O15" s="114">
        <v>24</v>
      </c>
      <c r="P15" s="74">
        <f t="shared" si="10"/>
        <v>85</v>
      </c>
      <c r="Q15" s="74">
        <f t="shared" si="11"/>
        <v>163</v>
      </c>
      <c r="R15" s="281"/>
      <c r="S15" s="73">
        <f t="shared" si="12"/>
        <v>5</v>
      </c>
      <c r="T15" s="108">
        <v>14</v>
      </c>
      <c r="U15" s="114">
        <v>70</v>
      </c>
      <c r="V15" s="115">
        <f t="shared" si="13"/>
        <v>84</v>
      </c>
      <c r="W15" s="108">
        <v>20</v>
      </c>
      <c r="X15" s="114">
        <v>62</v>
      </c>
      <c r="Y15" s="115">
        <f t="shared" si="14"/>
        <v>82</v>
      </c>
      <c r="Z15" s="74">
        <f t="shared" si="15"/>
        <v>166</v>
      </c>
      <c r="AA15" s="281"/>
      <c r="AB15" s="73">
        <f t="shared" si="0"/>
        <v>5</v>
      </c>
      <c r="AC15" s="108">
        <v>17</v>
      </c>
      <c r="AD15" s="114">
        <v>29</v>
      </c>
      <c r="AE15" s="115">
        <f t="shared" si="16"/>
        <v>46</v>
      </c>
      <c r="AF15" s="114">
        <v>29</v>
      </c>
      <c r="AG15" s="74">
        <f t="shared" si="17"/>
        <v>75</v>
      </c>
      <c r="AH15" s="281"/>
      <c r="AI15" s="73">
        <f t="shared" si="1"/>
        <v>4</v>
      </c>
      <c r="AJ15" s="108">
        <v>19</v>
      </c>
      <c r="AK15" s="114">
        <v>46</v>
      </c>
      <c r="AL15" s="115">
        <f t="shared" si="18"/>
        <v>65</v>
      </c>
      <c r="AM15" s="114">
        <v>22</v>
      </c>
      <c r="AN15" s="74">
        <f t="shared" si="19"/>
        <v>87</v>
      </c>
      <c r="AO15" s="281"/>
      <c r="AP15" s="73">
        <f t="shared" si="2"/>
        <v>5</v>
      </c>
      <c r="AQ15" s="116"/>
      <c r="AR15" s="114">
        <v>22</v>
      </c>
      <c r="AS15" s="114">
        <v>25</v>
      </c>
      <c r="AT15" s="73">
        <f t="shared" si="20"/>
        <v>47</v>
      </c>
      <c r="AU15" s="284"/>
      <c r="AV15" s="73">
        <f t="shared" si="21"/>
        <v>5</v>
      </c>
      <c r="AW15" s="108">
        <v>13</v>
      </c>
      <c r="AX15" s="114">
        <v>27</v>
      </c>
      <c r="AY15" s="115">
        <f t="shared" si="22"/>
        <v>40</v>
      </c>
      <c r="AZ15" s="114">
        <v>22</v>
      </c>
      <c r="BA15" s="74">
        <f t="shared" si="23"/>
        <v>62</v>
      </c>
      <c r="BB15" s="281"/>
      <c r="BC15" s="73">
        <f t="shared" si="24"/>
        <v>3.5</v>
      </c>
      <c r="BD15" s="108">
        <v>8</v>
      </c>
      <c r="BE15" s="114">
        <v>20</v>
      </c>
      <c r="BF15" s="115">
        <f t="shared" si="25"/>
        <v>28</v>
      </c>
      <c r="BG15" s="114">
        <v>11</v>
      </c>
      <c r="BH15" s="114">
        <v>25</v>
      </c>
      <c r="BI15" s="74">
        <f t="shared" si="26"/>
        <v>64</v>
      </c>
      <c r="BJ15" s="284"/>
      <c r="BK15" s="73">
        <f t="shared" si="3"/>
        <v>3.5</v>
      </c>
      <c r="BL15" s="108">
        <v>9</v>
      </c>
      <c r="BM15" s="114">
        <v>38</v>
      </c>
      <c r="BN15" s="115">
        <f t="shared" si="27"/>
        <v>47</v>
      </c>
      <c r="BO15" s="114">
        <v>10</v>
      </c>
      <c r="BP15" s="114">
        <v>25</v>
      </c>
      <c r="BQ15" s="74">
        <f t="shared" si="28"/>
        <v>82</v>
      </c>
      <c r="BR15" s="281"/>
      <c r="BS15" s="73">
        <f t="shared" si="29"/>
        <v>5</v>
      </c>
      <c r="BT15" s="108">
        <v>9</v>
      </c>
      <c r="BU15" s="114">
        <v>38</v>
      </c>
      <c r="BV15" s="115">
        <f t="shared" si="30"/>
        <v>47</v>
      </c>
      <c r="BW15" s="114">
        <v>15</v>
      </c>
      <c r="BX15" s="114">
        <v>23</v>
      </c>
      <c r="BY15" s="74">
        <f t="shared" si="31"/>
        <v>85</v>
      </c>
      <c r="BZ15" s="284"/>
      <c r="CA15" s="73">
        <f t="shared" si="32"/>
        <v>5</v>
      </c>
      <c r="CB15" s="108">
        <v>7</v>
      </c>
      <c r="CC15" s="114">
        <v>32</v>
      </c>
      <c r="CD15" s="115">
        <f t="shared" si="33"/>
        <v>39</v>
      </c>
      <c r="CE15" s="114">
        <v>18</v>
      </c>
      <c r="CF15" s="114">
        <v>23</v>
      </c>
      <c r="CG15" s="74">
        <f t="shared" si="34"/>
        <v>80</v>
      </c>
      <c r="CH15" s="281"/>
      <c r="CI15" s="75">
        <f t="shared" si="35"/>
        <v>5</v>
      </c>
      <c r="CJ15" s="73">
        <f t="shared" si="4"/>
        <v>44</v>
      </c>
      <c r="CK15" s="76">
        <f t="shared" si="36"/>
        <v>4.8888888888888893</v>
      </c>
      <c r="CL15" s="77" t="str">
        <f t="shared" si="37"/>
        <v>A</v>
      </c>
      <c r="CM15" s="39" t="str">
        <f t="shared" si="5"/>
        <v>BETTER</v>
      </c>
      <c r="CN15" s="38">
        <f t="shared" si="6"/>
        <v>911</v>
      </c>
      <c r="CO15" s="37">
        <f t="shared" si="7"/>
        <v>7</v>
      </c>
      <c r="CP15" s="40"/>
    </row>
    <row r="16" spans="1:94" s="41" customFormat="1" ht="20.100000000000001" customHeight="1">
      <c r="A16" s="40">
        <v>9</v>
      </c>
      <c r="B16" s="56">
        <v>12</v>
      </c>
      <c r="C16" s="95" t="s">
        <v>121</v>
      </c>
      <c r="D16" s="95" t="s">
        <v>122</v>
      </c>
      <c r="E16" s="95" t="s">
        <v>123</v>
      </c>
      <c r="F16" s="96" t="s">
        <v>124</v>
      </c>
      <c r="G16" s="113">
        <v>17</v>
      </c>
      <c r="H16" s="114">
        <v>33</v>
      </c>
      <c r="I16" s="115">
        <f t="shared" si="8"/>
        <v>50</v>
      </c>
      <c r="J16" s="114">
        <v>20</v>
      </c>
      <c r="K16" s="115">
        <f t="shared" si="38"/>
        <v>70</v>
      </c>
      <c r="L16" s="108">
        <v>18</v>
      </c>
      <c r="M16" s="116">
        <v>40</v>
      </c>
      <c r="N16" s="115">
        <f t="shared" si="9"/>
        <v>58</v>
      </c>
      <c r="O16" s="114">
        <v>24</v>
      </c>
      <c r="P16" s="74">
        <f t="shared" si="10"/>
        <v>82</v>
      </c>
      <c r="Q16" s="74">
        <f t="shared" si="11"/>
        <v>152</v>
      </c>
      <c r="R16" s="281"/>
      <c r="S16" s="73">
        <f t="shared" si="12"/>
        <v>4</v>
      </c>
      <c r="T16" s="108">
        <v>12</v>
      </c>
      <c r="U16" s="114">
        <v>60</v>
      </c>
      <c r="V16" s="115">
        <f t="shared" si="13"/>
        <v>72</v>
      </c>
      <c r="W16" s="108">
        <v>14</v>
      </c>
      <c r="X16" s="114">
        <v>56</v>
      </c>
      <c r="Y16" s="115">
        <f t="shared" si="14"/>
        <v>70</v>
      </c>
      <c r="Z16" s="74">
        <f t="shared" si="15"/>
        <v>142</v>
      </c>
      <c r="AA16" s="281"/>
      <c r="AB16" s="73">
        <f t="shared" si="0"/>
        <v>4</v>
      </c>
      <c r="AC16" s="108">
        <v>10</v>
      </c>
      <c r="AD16" s="114">
        <v>20</v>
      </c>
      <c r="AE16" s="115">
        <f t="shared" si="16"/>
        <v>30</v>
      </c>
      <c r="AF16" s="114">
        <v>27</v>
      </c>
      <c r="AG16" s="74">
        <f t="shared" si="17"/>
        <v>57</v>
      </c>
      <c r="AH16" s="281"/>
      <c r="AI16" s="73">
        <f t="shared" si="1"/>
        <v>3</v>
      </c>
      <c r="AJ16" s="108">
        <v>19</v>
      </c>
      <c r="AK16" s="114">
        <v>45</v>
      </c>
      <c r="AL16" s="115">
        <f t="shared" si="18"/>
        <v>64</v>
      </c>
      <c r="AM16" s="114">
        <v>24</v>
      </c>
      <c r="AN16" s="74">
        <f t="shared" si="19"/>
        <v>88</v>
      </c>
      <c r="AO16" s="281"/>
      <c r="AP16" s="73">
        <f t="shared" si="2"/>
        <v>5</v>
      </c>
      <c r="AQ16" s="116"/>
      <c r="AR16" s="114">
        <v>19</v>
      </c>
      <c r="AS16" s="114">
        <v>25</v>
      </c>
      <c r="AT16" s="73">
        <f t="shared" si="20"/>
        <v>44</v>
      </c>
      <c r="AU16" s="284"/>
      <c r="AV16" s="73">
        <f t="shared" si="21"/>
        <v>5</v>
      </c>
      <c r="AW16" s="108">
        <v>15</v>
      </c>
      <c r="AX16" s="114">
        <v>25</v>
      </c>
      <c r="AY16" s="115">
        <f t="shared" si="22"/>
        <v>40</v>
      </c>
      <c r="AZ16" s="114">
        <v>21</v>
      </c>
      <c r="BA16" s="74">
        <f t="shared" si="23"/>
        <v>61</v>
      </c>
      <c r="BB16" s="281"/>
      <c r="BC16" s="73">
        <f t="shared" si="24"/>
        <v>3.5</v>
      </c>
      <c r="BD16" s="108">
        <v>7</v>
      </c>
      <c r="BE16" s="114">
        <v>16</v>
      </c>
      <c r="BF16" s="115">
        <f t="shared" si="25"/>
        <v>23</v>
      </c>
      <c r="BG16" s="114">
        <v>11</v>
      </c>
      <c r="BH16" s="114">
        <v>25</v>
      </c>
      <c r="BI16" s="74">
        <f t="shared" si="26"/>
        <v>59</v>
      </c>
      <c r="BJ16" s="284"/>
      <c r="BK16" s="73">
        <f t="shared" si="3"/>
        <v>3</v>
      </c>
      <c r="BL16" s="108">
        <v>7</v>
      </c>
      <c r="BM16" s="114">
        <v>32</v>
      </c>
      <c r="BN16" s="115">
        <f t="shared" si="27"/>
        <v>39</v>
      </c>
      <c r="BO16" s="114">
        <v>10</v>
      </c>
      <c r="BP16" s="114">
        <v>25</v>
      </c>
      <c r="BQ16" s="74">
        <f t="shared" si="28"/>
        <v>74</v>
      </c>
      <c r="BR16" s="281"/>
      <c r="BS16" s="73">
        <f t="shared" si="29"/>
        <v>4</v>
      </c>
      <c r="BT16" s="108">
        <v>10</v>
      </c>
      <c r="BU16" s="114">
        <v>40</v>
      </c>
      <c r="BV16" s="115">
        <f t="shared" si="30"/>
        <v>50</v>
      </c>
      <c r="BW16" s="114">
        <v>12</v>
      </c>
      <c r="BX16" s="114">
        <v>23</v>
      </c>
      <c r="BY16" s="74">
        <f t="shared" si="31"/>
        <v>85</v>
      </c>
      <c r="BZ16" s="284"/>
      <c r="CA16" s="73">
        <f t="shared" si="32"/>
        <v>5</v>
      </c>
      <c r="CB16" s="108">
        <v>5</v>
      </c>
      <c r="CC16" s="114">
        <v>21</v>
      </c>
      <c r="CD16" s="115">
        <f t="shared" si="33"/>
        <v>26</v>
      </c>
      <c r="CE16" s="114">
        <v>12</v>
      </c>
      <c r="CF16" s="114">
        <v>23</v>
      </c>
      <c r="CG16" s="74">
        <f t="shared" si="34"/>
        <v>61</v>
      </c>
      <c r="CH16" s="281"/>
      <c r="CI16" s="75">
        <f t="shared" si="35"/>
        <v>3.5</v>
      </c>
      <c r="CJ16" s="73">
        <f t="shared" si="4"/>
        <v>38</v>
      </c>
      <c r="CK16" s="76">
        <f t="shared" si="36"/>
        <v>4.2222222222222223</v>
      </c>
      <c r="CL16" s="77" t="str">
        <f t="shared" si="37"/>
        <v>A</v>
      </c>
      <c r="CM16" s="39" t="str">
        <f t="shared" si="5"/>
        <v>BETTER</v>
      </c>
      <c r="CN16" s="38">
        <f t="shared" si="6"/>
        <v>823</v>
      </c>
      <c r="CO16" s="37">
        <f t="shared" si="7"/>
        <v>27</v>
      </c>
      <c r="CP16" s="40"/>
    </row>
    <row r="17" spans="1:94" s="41" customFormat="1" ht="20.100000000000001" customHeight="1">
      <c r="A17" s="40">
        <v>10</v>
      </c>
      <c r="B17" s="56">
        <v>14</v>
      </c>
      <c r="C17" s="95" t="s">
        <v>125</v>
      </c>
      <c r="D17" s="95" t="s">
        <v>126</v>
      </c>
      <c r="E17" s="95" t="s">
        <v>127</v>
      </c>
      <c r="F17" s="96" t="s">
        <v>128</v>
      </c>
      <c r="G17" s="113">
        <v>18</v>
      </c>
      <c r="H17" s="114">
        <v>26</v>
      </c>
      <c r="I17" s="115">
        <f t="shared" si="8"/>
        <v>44</v>
      </c>
      <c r="J17" s="114">
        <v>24</v>
      </c>
      <c r="K17" s="115">
        <f t="shared" si="38"/>
        <v>68</v>
      </c>
      <c r="L17" s="108">
        <v>19</v>
      </c>
      <c r="M17" s="116">
        <v>35</v>
      </c>
      <c r="N17" s="115">
        <f t="shared" si="9"/>
        <v>54</v>
      </c>
      <c r="O17" s="114">
        <v>22</v>
      </c>
      <c r="P17" s="74">
        <f t="shared" si="10"/>
        <v>76</v>
      </c>
      <c r="Q17" s="74">
        <f t="shared" si="11"/>
        <v>144</v>
      </c>
      <c r="R17" s="281"/>
      <c r="S17" s="73">
        <f t="shared" si="12"/>
        <v>4</v>
      </c>
      <c r="T17" s="108">
        <v>15</v>
      </c>
      <c r="U17" s="114">
        <v>57</v>
      </c>
      <c r="V17" s="115">
        <f t="shared" si="13"/>
        <v>72</v>
      </c>
      <c r="W17" s="108">
        <v>20</v>
      </c>
      <c r="X17" s="114">
        <v>60</v>
      </c>
      <c r="Y17" s="115">
        <f t="shared" si="14"/>
        <v>80</v>
      </c>
      <c r="Z17" s="74">
        <f t="shared" si="15"/>
        <v>152</v>
      </c>
      <c r="AA17" s="281"/>
      <c r="AB17" s="73">
        <f t="shared" si="0"/>
        <v>4</v>
      </c>
      <c r="AC17" s="108">
        <v>19</v>
      </c>
      <c r="AD17" s="114">
        <v>24</v>
      </c>
      <c r="AE17" s="115">
        <f t="shared" si="16"/>
        <v>43</v>
      </c>
      <c r="AF17" s="114">
        <v>20</v>
      </c>
      <c r="AG17" s="74">
        <f t="shared" si="17"/>
        <v>63</v>
      </c>
      <c r="AH17" s="281"/>
      <c r="AI17" s="73">
        <f t="shared" si="1"/>
        <v>3.5</v>
      </c>
      <c r="AJ17" s="108">
        <v>19</v>
      </c>
      <c r="AK17" s="114">
        <v>35</v>
      </c>
      <c r="AL17" s="115">
        <f t="shared" si="18"/>
        <v>54</v>
      </c>
      <c r="AM17" s="114">
        <v>23</v>
      </c>
      <c r="AN17" s="74">
        <f t="shared" si="19"/>
        <v>77</v>
      </c>
      <c r="AO17" s="281"/>
      <c r="AP17" s="73">
        <f t="shared" si="2"/>
        <v>4</v>
      </c>
      <c r="AQ17" s="116"/>
      <c r="AR17" s="114">
        <v>22</v>
      </c>
      <c r="AS17" s="114">
        <v>25</v>
      </c>
      <c r="AT17" s="73">
        <f t="shared" si="20"/>
        <v>47</v>
      </c>
      <c r="AU17" s="284"/>
      <c r="AV17" s="73">
        <f t="shared" si="21"/>
        <v>5</v>
      </c>
      <c r="AW17" s="108">
        <v>14</v>
      </c>
      <c r="AX17" s="114">
        <v>25</v>
      </c>
      <c r="AY17" s="115">
        <f t="shared" si="22"/>
        <v>39</v>
      </c>
      <c r="AZ17" s="114">
        <v>20</v>
      </c>
      <c r="BA17" s="74">
        <f t="shared" si="23"/>
        <v>59</v>
      </c>
      <c r="BB17" s="281"/>
      <c r="BC17" s="73">
        <f t="shared" si="24"/>
        <v>3</v>
      </c>
      <c r="BD17" s="108">
        <v>8</v>
      </c>
      <c r="BE17" s="114">
        <v>26</v>
      </c>
      <c r="BF17" s="115">
        <f t="shared" si="25"/>
        <v>34</v>
      </c>
      <c r="BG17" s="114">
        <v>16</v>
      </c>
      <c r="BH17" s="114">
        <v>25</v>
      </c>
      <c r="BI17" s="74">
        <f t="shared" si="26"/>
        <v>75</v>
      </c>
      <c r="BJ17" s="284"/>
      <c r="BK17" s="73">
        <f t="shared" si="3"/>
        <v>4</v>
      </c>
      <c r="BL17" s="108">
        <v>9</v>
      </c>
      <c r="BM17" s="114">
        <v>33</v>
      </c>
      <c r="BN17" s="115">
        <f t="shared" si="27"/>
        <v>42</v>
      </c>
      <c r="BO17" s="114">
        <v>14</v>
      </c>
      <c r="BP17" s="114">
        <v>25</v>
      </c>
      <c r="BQ17" s="74">
        <f t="shared" si="28"/>
        <v>81</v>
      </c>
      <c r="BR17" s="281"/>
      <c r="BS17" s="73">
        <f t="shared" si="29"/>
        <v>5</v>
      </c>
      <c r="BT17" s="108">
        <v>10</v>
      </c>
      <c r="BU17" s="114">
        <v>37</v>
      </c>
      <c r="BV17" s="115">
        <f t="shared" si="30"/>
        <v>47</v>
      </c>
      <c r="BW17" s="114">
        <v>16</v>
      </c>
      <c r="BX17" s="114">
        <v>23</v>
      </c>
      <c r="BY17" s="74">
        <f t="shared" si="31"/>
        <v>86</v>
      </c>
      <c r="BZ17" s="284"/>
      <c r="CA17" s="73">
        <f t="shared" si="32"/>
        <v>5</v>
      </c>
      <c r="CB17" s="108">
        <v>9</v>
      </c>
      <c r="CC17" s="114">
        <v>22</v>
      </c>
      <c r="CD17" s="115">
        <f t="shared" si="33"/>
        <v>31</v>
      </c>
      <c r="CE17" s="114">
        <v>12</v>
      </c>
      <c r="CF17" s="114">
        <v>23</v>
      </c>
      <c r="CG17" s="74">
        <f t="shared" si="34"/>
        <v>66</v>
      </c>
      <c r="CH17" s="281"/>
      <c r="CI17" s="75">
        <f t="shared" si="35"/>
        <v>3.5</v>
      </c>
      <c r="CJ17" s="73">
        <f t="shared" si="4"/>
        <v>39</v>
      </c>
      <c r="CK17" s="76">
        <f t="shared" si="36"/>
        <v>4.333333333333333</v>
      </c>
      <c r="CL17" s="77" t="str">
        <f t="shared" si="37"/>
        <v>A</v>
      </c>
      <c r="CM17" s="39" t="str">
        <f t="shared" si="5"/>
        <v>BETTER</v>
      </c>
      <c r="CN17" s="38">
        <f t="shared" si="6"/>
        <v>850</v>
      </c>
      <c r="CO17" s="37">
        <f t="shared" si="7"/>
        <v>18</v>
      </c>
      <c r="CP17" s="40"/>
    </row>
    <row r="18" spans="1:94" s="41" customFormat="1" ht="20.100000000000001" customHeight="1">
      <c r="A18" s="40">
        <v>11</v>
      </c>
      <c r="B18" s="56">
        <v>15</v>
      </c>
      <c r="C18" s="95" t="s">
        <v>129</v>
      </c>
      <c r="D18" s="95" t="s">
        <v>130</v>
      </c>
      <c r="E18" s="95" t="s">
        <v>131</v>
      </c>
      <c r="F18" s="96" t="s">
        <v>132</v>
      </c>
      <c r="G18" s="113">
        <v>19</v>
      </c>
      <c r="H18" s="114">
        <v>39</v>
      </c>
      <c r="I18" s="115">
        <f t="shared" si="8"/>
        <v>58</v>
      </c>
      <c r="J18" s="114">
        <v>22</v>
      </c>
      <c r="K18" s="115">
        <f t="shared" si="38"/>
        <v>80</v>
      </c>
      <c r="L18" s="108">
        <v>17</v>
      </c>
      <c r="M18" s="116">
        <v>41</v>
      </c>
      <c r="N18" s="115">
        <f t="shared" si="9"/>
        <v>58</v>
      </c>
      <c r="O18" s="114">
        <v>28</v>
      </c>
      <c r="P18" s="74">
        <f t="shared" si="10"/>
        <v>86</v>
      </c>
      <c r="Q18" s="74">
        <f t="shared" si="11"/>
        <v>166</v>
      </c>
      <c r="R18" s="281"/>
      <c r="S18" s="73">
        <f t="shared" si="12"/>
        <v>5</v>
      </c>
      <c r="T18" s="108">
        <v>12</v>
      </c>
      <c r="U18" s="114">
        <v>40</v>
      </c>
      <c r="V18" s="115">
        <f t="shared" si="13"/>
        <v>52</v>
      </c>
      <c r="W18" s="108">
        <v>11</v>
      </c>
      <c r="X18" s="114">
        <v>56</v>
      </c>
      <c r="Y18" s="115">
        <f t="shared" si="14"/>
        <v>67</v>
      </c>
      <c r="Z18" s="74">
        <f t="shared" si="15"/>
        <v>119</v>
      </c>
      <c r="AA18" s="281"/>
      <c r="AB18" s="73">
        <f t="shared" si="0"/>
        <v>3</v>
      </c>
      <c r="AC18" s="108">
        <v>13</v>
      </c>
      <c r="AD18" s="114">
        <v>23</v>
      </c>
      <c r="AE18" s="115">
        <f t="shared" si="16"/>
        <v>36</v>
      </c>
      <c r="AF18" s="114">
        <v>28</v>
      </c>
      <c r="AG18" s="74">
        <f t="shared" si="17"/>
        <v>64</v>
      </c>
      <c r="AH18" s="281"/>
      <c r="AI18" s="73">
        <f t="shared" si="1"/>
        <v>3.5</v>
      </c>
      <c r="AJ18" s="108">
        <v>18</v>
      </c>
      <c r="AK18" s="114">
        <v>47</v>
      </c>
      <c r="AL18" s="115">
        <f t="shared" si="18"/>
        <v>65</v>
      </c>
      <c r="AM18" s="114">
        <v>25</v>
      </c>
      <c r="AN18" s="74">
        <f t="shared" si="19"/>
        <v>90</v>
      </c>
      <c r="AO18" s="281"/>
      <c r="AP18" s="73">
        <f t="shared" si="2"/>
        <v>5</v>
      </c>
      <c r="AQ18" s="116"/>
      <c r="AR18" s="114">
        <v>18</v>
      </c>
      <c r="AS18" s="114">
        <v>25</v>
      </c>
      <c r="AT18" s="73">
        <f t="shared" si="20"/>
        <v>43</v>
      </c>
      <c r="AU18" s="284"/>
      <c r="AV18" s="73">
        <f t="shared" si="21"/>
        <v>5</v>
      </c>
      <c r="AW18" s="108">
        <v>17</v>
      </c>
      <c r="AX18" s="114">
        <v>29</v>
      </c>
      <c r="AY18" s="115">
        <f t="shared" si="22"/>
        <v>46</v>
      </c>
      <c r="AZ18" s="114">
        <v>20</v>
      </c>
      <c r="BA18" s="74">
        <f t="shared" si="23"/>
        <v>66</v>
      </c>
      <c r="BB18" s="281"/>
      <c r="BC18" s="73">
        <f t="shared" si="24"/>
        <v>3.5</v>
      </c>
      <c r="BD18" s="108">
        <v>7</v>
      </c>
      <c r="BE18" s="114">
        <v>25</v>
      </c>
      <c r="BF18" s="115">
        <f t="shared" si="25"/>
        <v>32</v>
      </c>
      <c r="BG18" s="114">
        <v>14</v>
      </c>
      <c r="BH18" s="114">
        <v>25</v>
      </c>
      <c r="BI18" s="74">
        <f t="shared" si="26"/>
        <v>71</v>
      </c>
      <c r="BJ18" s="284"/>
      <c r="BK18" s="73">
        <f t="shared" si="3"/>
        <v>4</v>
      </c>
      <c r="BL18" s="108">
        <v>8</v>
      </c>
      <c r="BM18" s="114">
        <v>33</v>
      </c>
      <c r="BN18" s="115">
        <f t="shared" si="27"/>
        <v>41</v>
      </c>
      <c r="BO18" s="114">
        <v>13</v>
      </c>
      <c r="BP18" s="114">
        <v>25</v>
      </c>
      <c r="BQ18" s="74">
        <f t="shared" si="28"/>
        <v>79</v>
      </c>
      <c r="BR18" s="281"/>
      <c r="BS18" s="73">
        <f t="shared" si="29"/>
        <v>4</v>
      </c>
      <c r="BT18" s="108">
        <v>9</v>
      </c>
      <c r="BU18" s="114">
        <v>38</v>
      </c>
      <c r="BV18" s="115">
        <f t="shared" si="30"/>
        <v>47</v>
      </c>
      <c r="BW18" s="114">
        <v>14</v>
      </c>
      <c r="BX18" s="114">
        <v>23</v>
      </c>
      <c r="BY18" s="74">
        <f t="shared" si="31"/>
        <v>84</v>
      </c>
      <c r="BZ18" s="284"/>
      <c r="CA18" s="73">
        <f t="shared" si="32"/>
        <v>5</v>
      </c>
      <c r="CB18" s="108">
        <v>5</v>
      </c>
      <c r="CC18" s="114">
        <v>19</v>
      </c>
      <c r="CD18" s="115">
        <f t="shared" si="33"/>
        <v>24</v>
      </c>
      <c r="CE18" s="114">
        <v>16</v>
      </c>
      <c r="CF18" s="114">
        <v>23</v>
      </c>
      <c r="CG18" s="74">
        <f t="shared" si="34"/>
        <v>63</v>
      </c>
      <c r="CH18" s="281"/>
      <c r="CI18" s="75">
        <f t="shared" si="35"/>
        <v>3.5</v>
      </c>
      <c r="CJ18" s="73">
        <f t="shared" si="4"/>
        <v>39.5</v>
      </c>
      <c r="CK18" s="76">
        <f t="shared" si="36"/>
        <v>4.3888888888888893</v>
      </c>
      <c r="CL18" s="77" t="str">
        <f t="shared" si="37"/>
        <v>A</v>
      </c>
      <c r="CM18" s="39" t="str">
        <f t="shared" si="5"/>
        <v>BETTER</v>
      </c>
      <c r="CN18" s="38">
        <f t="shared" si="6"/>
        <v>845</v>
      </c>
      <c r="CO18" s="37">
        <f t="shared" si="7"/>
        <v>21</v>
      </c>
      <c r="CP18" s="40"/>
    </row>
    <row r="19" spans="1:94" s="41" customFormat="1" ht="20.100000000000001" customHeight="1">
      <c r="A19" s="40">
        <v>12</v>
      </c>
      <c r="B19" s="56">
        <v>16</v>
      </c>
      <c r="C19" s="95" t="s">
        <v>133</v>
      </c>
      <c r="D19" s="95" t="s">
        <v>134</v>
      </c>
      <c r="E19" s="95" t="s">
        <v>135</v>
      </c>
      <c r="F19" s="96" t="s">
        <v>136</v>
      </c>
      <c r="G19" s="113">
        <v>17</v>
      </c>
      <c r="H19" s="114">
        <v>30</v>
      </c>
      <c r="I19" s="115">
        <f t="shared" si="8"/>
        <v>47</v>
      </c>
      <c r="J19" s="114">
        <v>20</v>
      </c>
      <c r="K19" s="115">
        <f t="shared" si="38"/>
        <v>67</v>
      </c>
      <c r="L19" s="108">
        <v>19</v>
      </c>
      <c r="M19" s="116">
        <v>32</v>
      </c>
      <c r="N19" s="115">
        <f t="shared" si="9"/>
        <v>51</v>
      </c>
      <c r="O19" s="114">
        <v>21</v>
      </c>
      <c r="P19" s="74">
        <f t="shared" si="10"/>
        <v>72</v>
      </c>
      <c r="Q19" s="74">
        <f t="shared" si="11"/>
        <v>139</v>
      </c>
      <c r="R19" s="281"/>
      <c r="S19" s="73">
        <f t="shared" si="12"/>
        <v>3.5</v>
      </c>
      <c r="T19" s="108">
        <v>13</v>
      </c>
      <c r="U19" s="114">
        <v>57</v>
      </c>
      <c r="V19" s="115">
        <f t="shared" si="13"/>
        <v>70</v>
      </c>
      <c r="W19" s="108">
        <v>14</v>
      </c>
      <c r="X19" s="114">
        <v>64</v>
      </c>
      <c r="Y19" s="115">
        <f t="shared" si="14"/>
        <v>78</v>
      </c>
      <c r="Z19" s="74">
        <f t="shared" si="15"/>
        <v>148</v>
      </c>
      <c r="AA19" s="281"/>
      <c r="AB19" s="73">
        <f t="shared" si="0"/>
        <v>4</v>
      </c>
      <c r="AC19" s="108">
        <v>19</v>
      </c>
      <c r="AD19" s="114">
        <v>41</v>
      </c>
      <c r="AE19" s="115">
        <f t="shared" si="16"/>
        <v>60</v>
      </c>
      <c r="AF19" s="114">
        <v>28</v>
      </c>
      <c r="AG19" s="74">
        <f t="shared" si="17"/>
        <v>88</v>
      </c>
      <c r="AH19" s="281"/>
      <c r="AI19" s="73">
        <f t="shared" si="1"/>
        <v>5</v>
      </c>
      <c r="AJ19" s="108">
        <v>17</v>
      </c>
      <c r="AK19" s="114">
        <v>43</v>
      </c>
      <c r="AL19" s="115">
        <f t="shared" si="18"/>
        <v>60</v>
      </c>
      <c r="AM19" s="114">
        <v>22</v>
      </c>
      <c r="AN19" s="74">
        <f t="shared" si="19"/>
        <v>82</v>
      </c>
      <c r="AO19" s="281"/>
      <c r="AP19" s="73">
        <f t="shared" si="2"/>
        <v>5</v>
      </c>
      <c r="AQ19" s="116"/>
      <c r="AR19" s="114">
        <v>22</v>
      </c>
      <c r="AS19" s="114">
        <v>25</v>
      </c>
      <c r="AT19" s="73">
        <f t="shared" ref="AT19:AT82" si="39">SUM(AQ19:AS19)</f>
        <v>47</v>
      </c>
      <c r="AU19" s="284"/>
      <c r="AV19" s="73">
        <f t="shared" si="21"/>
        <v>5</v>
      </c>
      <c r="AW19" s="108">
        <v>15</v>
      </c>
      <c r="AX19" s="114">
        <v>36</v>
      </c>
      <c r="AY19" s="115">
        <f t="shared" si="22"/>
        <v>51</v>
      </c>
      <c r="AZ19" s="114">
        <v>25</v>
      </c>
      <c r="BA19" s="74">
        <f t="shared" si="23"/>
        <v>76</v>
      </c>
      <c r="BB19" s="281"/>
      <c r="BC19" s="73">
        <f t="shared" si="24"/>
        <v>4</v>
      </c>
      <c r="BD19" s="108">
        <v>7</v>
      </c>
      <c r="BE19" s="114">
        <v>34</v>
      </c>
      <c r="BF19" s="115">
        <f t="shared" si="25"/>
        <v>41</v>
      </c>
      <c r="BG19" s="114">
        <v>15</v>
      </c>
      <c r="BH19" s="114">
        <v>25</v>
      </c>
      <c r="BI19" s="74">
        <f t="shared" si="26"/>
        <v>81</v>
      </c>
      <c r="BJ19" s="284"/>
      <c r="BK19" s="73">
        <f t="shared" si="3"/>
        <v>5</v>
      </c>
      <c r="BL19" s="108">
        <v>9</v>
      </c>
      <c r="BM19" s="114">
        <v>34</v>
      </c>
      <c r="BN19" s="115">
        <f t="shared" si="27"/>
        <v>43</v>
      </c>
      <c r="BO19" s="114">
        <v>10</v>
      </c>
      <c r="BP19" s="114">
        <v>25</v>
      </c>
      <c r="BQ19" s="74">
        <f t="shared" si="28"/>
        <v>78</v>
      </c>
      <c r="BR19" s="281"/>
      <c r="BS19" s="73">
        <f t="shared" si="29"/>
        <v>4</v>
      </c>
      <c r="BT19" s="108">
        <v>10</v>
      </c>
      <c r="BU19" s="114">
        <v>36</v>
      </c>
      <c r="BV19" s="115">
        <f t="shared" si="30"/>
        <v>46</v>
      </c>
      <c r="BW19" s="114">
        <v>16</v>
      </c>
      <c r="BX19" s="114">
        <v>23</v>
      </c>
      <c r="BY19" s="74">
        <f t="shared" si="31"/>
        <v>85</v>
      </c>
      <c r="BZ19" s="284"/>
      <c r="CA19" s="73">
        <f t="shared" si="32"/>
        <v>5</v>
      </c>
      <c r="CB19" s="108">
        <v>7</v>
      </c>
      <c r="CC19" s="114">
        <v>28</v>
      </c>
      <c r="CD19" s="115">
        <f t="shared" si="33"/>
        <v>35</v>
      </c>
      <c r="CE19" s="114">
        <v>18</v>
      </c>
      <c r="CF19" s="114">
        <v>23</v>
      </c>
      <c r="CG19" s="74">
        <f t="shared" si="34"/>
        <v>76</v>
      </c>
      <c r="CH19" s="281"/>
      <c r="CI19" s="75">
        <f t="shared" si="35"/>
        <v>4</v>
      </c>
      <c r="CJ19" s="73">
        <f t="shared" si="4"/>
        <v>42.5</v>
      </c>
      <c r="CK19" s="76">
        <f t="shared" si="36"/>
        <v>4.7222222222222223</v>
      </c>
      <c r="CL19" s="77" t="str">
        <f t="shared" si="37"/>
        <v>A</v>
      </c>
      <c r="CM19" s="39" t="str">
        <f t="shared" si="5"/>
        <v>BETTER</v>
      </c>
      <c r="CN19" s="38">
        <f t="shared" si="6"/>
        <v>900</v>
      </c>
      <c r="CO19" s="37">
        <f t="shared" si="7"/>
        <v>8</v>
      </c>
      <c r="CP19" s="40"/>
    </row>
    <row r="20" spans="1:94" s="41" customFormat="1" ht="20.100000000000001" customHeight="1">
      <c r="A20" s="40">
        <v>13</v>
      </c>
      <c r="B20" s="56">
        <v>17</v>
      </c>
      <c r="C20" s="69" t="s">
        <v>137</v>
      </c>
      <c r="D20" s="69" t="s">
        <v>138</v>
      </c>
      <c r="E20" s="69" t="s">
        <v>139</v>
      </c>
      <c r="F20" s="98" t="s">
        <v>140</v>
      </c>
      <c r="G20" s="113">
        <v>13</v>
      </c>
      <c r="H20" s="114">
        <v>31</v>
      </c>
      <c r="I20" s="115">
        <f t="shared" si="8"/>
        <v>44</v>
      </c>
      <c r="J20" s="114">
        <v>21</v>
      </c>
      <c r="K20" s="115">
        <f t="shared" si="38"/>
        <v>65</v>
      </c>
      <c r="L20" s="108">
        <v>19</v>
      </c>
      <c r="M20" s="116">
        <v>38</v>
      </c>
      <c r="N20" s="115">
        <f t="shared" si="9"/>
        <v>57</v>
      </c>
      <c r="O20" s="114">
        <v>28</v>
      </c>
      <c r="P20" s="74">
        <f t="shared" si="10"/>
        <v>85</v>
      </c>
      <c r="Q20" s="74">
        <f t="shared" si="11"/>
        <v>150</v>
      </c>
      <c r="R20" s="281"/>
      <c r="S20" s="73">
        <f t="shared" si="12"/>
        <v>4</v>
      </c>
      <c r="T20" s="108">
        <v>13</v>
      </c>
      <c r="U20" s="114">
        <v>46</v>
      </c>
      <c r="V20" s="115">
        <f t="shared" si="13"/>
        <v>59</v>
      </c>
      <c r="W20" s="108">
        <v>12</v>
      </c>
      <c r="X20" s="114">
        <v>62</v>
      </c>
      <c r="Y20" s="115">
        <f t="shared" si="14"/>
        <v>74</v>
      </c>
      <c r="Z20" s="74">
        <f t="shared" si="15"/>
        <v>133</v>
      </c>
      <c r="AA20" s="281"/>
      <c r="AB20" s="73">
        <f t="shared" si="0"/>
        <v>3.5</v>
      </c>
      <c r="AC20" s="108">
        <v>14</v>
      </c>
      <c r="AD20" s="114">
        <v>14</v>
      </c>
      <c r="AE20" s="115">
        <f t="shared" si="16"/>
        <v>28</v>
      </c>
      <c r="AF20" s="114">
        <v>28</v>
      </c>
      <c r="AG20" s="74">
        <f t="shared" si="17"/>
        <v>56</v>
      </c>
      <c r="AH20" s="281"/>
      <c r="AI20" s="73">
        <f t="shared" si="1"/>
        <v>3</v>
      </c>
      <c r="AJ20" s="108">
        <v>20</v>
      </c>
      <c r="AK20" s="114">
        <v>44</v>
      </c>
      <c r="AL20" s="115">
        <f t="shared" si="18"/>
        <v>64</v>
      </c>
      <c r="AM20" s="114">
        <v>25</v>
      </c>
      <c r="AN20" s="74">
        <f t="shared" si="19"/>
        <v>89</v>
      </c>
      <c r="AO20" s="281"/>
      <c r="AP20" s="73">
        <f t="shared" si="2"/>
        <v>5</v>
      </c>
      <c r="AQ20" s="116"/>
      <c r="AR20" s="114">
        <v>20</v>
      </c>
      <c r="AS20" s="114">
        <v>25</v>
      </c>
      <c r="AT20" s="73">
        <f t="shared" si="39"/>
        <v>45</v>
      </c>
      <c r="AU20" s="284"/>
      <c r="AV20" s="73">
        <f t="shared" si="21"/>
        <v>5</v>
      </c>
      <c r="AW20" s="108">
        <v>15</v>
      </c>
      <c r="AX20" s="114">
        <v>27</v>
      </c>
      <c r="AY20" s="115">
        <f t="shared" si="22"/>
        <v>42</v>
      </c>
      <c r="AZ20" s="114">
        <v>23</v>
      </c>
      <c r="BA20" s="74">
        <f t="shared" si="23"/>
        <v>65</v>
      </c>
      <c r="BB20" s="281"/>
      <c r="BC20" s="73">
        <f t="shared" si="24"/>
        <v>3.5</v>
      </c>
      <c r="BD20" s="108">
        <v>8</v>
      </c>
      <c r="BE20" s="114">
        <v>16</v>
      </c>
      <c r="BF20" s="115">
        <f t="shared" si="25"/>
        <v>24</v>
      </c>
      <c r="BG20" s="114">
        <v>14</v>
      </c>
      <c r="BH20" s="114">
        <v>25</v>
      </c>
      <c r="BI20" s="74">
        <f t="shared" si="26"/>
        <v>63</v>
      </c>
      <c r="BJ20" s="284"/>
      <c r="BK20" s="73">
        <f t="shared" si="3"/>
        <v>3.5</v>
      </c>
      <c r="BL20" s="108">
        <v>8</v>
      </c>
      <c r="BM20" s="114">
        <v>33</v>
      </c>
      <c r="BN20" s="115">
        <f t="shared" si="27"/>
        <v>41</v>
      </c>
      <c r="BO20" s="114">
        <v>10</v>
      </c>
      <c r="BP20" s="114">
        <v>25</v>
      </c>
      <c r="BQ20" s="74">
        <f t="shared" si="28"/>
        <v>76</v>
      </c>
      <c r="BR20" s="281"/>
      <c r="BS20" s="73">
        <f t="shared" si="29"/>
        <v>4</v>
      </c>
      <c r="BT20" s="108">
        <v>10</v>
      </c>
      <c r="BU20" s="114">
        <v>35</v>
      </c>
      <c r="BV20" s="115">
        <f t="shared" si="30"/>
        <v>45</v>
      </c>
      <c r="BW20" s="114">
        <v>13</v>
      </c>
      <c r="BX20" s="114">
        <v>23</v>
      </c>
      <c r="BY20" s="74">
        <f t="shared" si="31"/>
        <v>81</v>
      </c>
      <c r="BZ20" s="284"/>
      <c r="CA20" s="73">
        <f t="shared" si="32"/>
        <v>5</v>
      </c>
      <c r="CB20" s="108">
        <v>10</v>
      </c>
      <c r="CC20" s="114">
        <v>37</v>
      </c>
      <c r="CD20" s="115">
        <f t="shared" si="33"/>
        <v>47</v>
      </c>
      <c r="CE20" s="114">
        <v>18</v>
      </c>
      <c r="CF20" s="114">
        <v>23</v>
      </c>
      <c r="CG20" s="74">
        <f t="shared" si="34"/>
        <v>88</v>
      </c>
      <c r="CH20" s="281"/>
      <c r="CI20" s="75">
        <f t="shared" si="35"/>
        <v>5</v>
      </c>
      <c r="CJ20" s="73">
        <f t="shared" si="4"/>
        <v>39.5</v>
      </c>
      <c r="CK20" s="76">
        <f t="shared" si="36"/>
        <v>4.3888888888888893</v>
      </c>
      <c r="CL20" s="77" t="str">
        <f t="shared" si="37"/>
        <v>A</v>
      </c>
      <c r="CM20" s="39" t="str">
        <f t="shared" si="5"/>
        <v>BETTER</v>
      </c>
      <c r="CN20" s="38">
        <f t="shared" si="6"/>
        <v>846</v>
      </c>
      <c r="CO20" s="37">
        <f t="shared" si="7"/>
        <v>20</v>
      </c>
      <c r="CP20" s="40"/>
    </row>
    <row r="21" spans="1:94" s="41" customFormat="1" ht="20.100000000000001" customHeight="1">
      <c r="A21" s="40">
        <v>14</v>
      </c>
      <c r="B21" s="56">
        <v>19</v>
      </c>
      <c r="C21" s="69" t="s">
        <v>141</v>
      </c>
      <c r="D21" s="69" t="s">
        <v>142</v>
      </c>
      <c r="E21" s="69" t="s">
        <v>143</v>
      </c>
      <c r="F21" s="70" t="s">
        <v>144</v>
      </c>
      <c r="G21" s="113">
        <v>19</v>
      </c>
      <c r="H21" s="114">
        <v>41</v>
      </c>
      <c r="I21" s="115">
        <f t="shared" si="8"/>
        <v>60</v>
      </c>
      <c r="J21" s="114">
        <v>22</v>
      </c>
      <c r="K21" s="115">
        <f t="shared" si="38"/>
        <v>82</v>
      </c>
      <c r="L21" s="108">
        <v>19</v>
      </c>
      <c r="M21" s="116">
        <v>41</v>
      </c>
      <c r="N21" s="115">
        <f t="shared" si="9"/>
        <v>60</v>
      </c>
      <c r="O21" s="114">
        <v>26</v>
      </c>
      <c r="P21" s="74">
        <f t="shared" si="10"/>
        <v>86</v>
      </c>
      <c r="Q21" s="74">
        <f t="shared" si="11"/>
        <v>168</v>
      </c>
      <c r="R21" s="281"/>
      <c r="S21" s="73">
        <f t="shared" si="12"/>
        <v>5</v>
      </c>
      <c r="T21" s="108">
        <v>14</v>
      </c>
      <c r="U21" s="114">
        <v>58</v>
      </c>
      <c r="V21" s="115">
        <f t="shared" si="13"/>
        <v>72</v>
      </c>
      <c r="W21" s="108">
        <v>18</v>
      </c>
      <c r="X21" s="114">
        <v>57</v>
      </c>
      <c r="Y21" s="115">
        <f t="shared" si="14"/>
        <v>75</v>
      </c>
      <c r="Z21" s="74">
        <f t="shared" si="15"/>
        <v>147</v>
      </c>
      <c r="AA21" s="281"/>
      <c r="AB21" s="73">
        <f t="shared" si="0"/>
        <v>4</v>
      </c>
      <c r="AC21" s="108">
        <v>19</v>
      </c>
      <c r="AD21" s="114">
        <v>37</v>
      </c>
      <c r="AE21" s="115">
        <f t="shared" si="16"/>
        <v>56</v>
      </c>
      <c r="AF21" s="114">
        <v>23</v>
      </c>
      <c r="AG21" s="74">
        <f t="shared" si="17"/>
        <v>79</v>
      </c>
      <c r="AH21" s="281"/>
      <c r="AI21" s="73">
        <f t="shared" si="1"/>
        <v>4</v>
      </c>
      <c r="AJ21" s="108">
        <v>18</v>
      </c>
      <c r="AK21" s="114">
        <v>44</v>
      </c>
      <c r="AL21" s="115">
        <f t="shared" si="18"/>
        <v>62</v>
      </c>
      <c r="AM21" s="114">
        <v>22</v>
      </c>
      <c r="AN21" s="74">
        <f t="shared" si="19"/>
        <v>84</v>
      </c>
      <c r="AO21" s="281"/>
      <c r="AP21" s="73">
        <f t="shared" si="2"/>
        <v>5</v>
      </c>
      <c r="AQ21" s="116"/>
      <c r="AR21" s="114">
        <v>21</v>
      </c>
      <c r="AS21" s="114">
        <v>25</v>
      </c>
      <c r="AT21" s="73">
        <f t="shared" si="39"/>
        <v>46</v>
      </c>
      <c r="AU21" s="284"/>
      <c r="AV21" s="73">
        <f t="shared" si="21"/>
        <v>5</v>
      </c>
      <c r="AW21" s="108">
        <v>14</v>
      </c>
      <c r="AX21" s="114">
        <v>26</v>
      </c>
      <c r="AY21" s="115">
        <f t="shared" si="22"/>
        <v>40</v>
      </c>
      <c r="AZ21" s="114">
        <v>18</v>
      </c>
      <c r="BA21" s="74">
        <f t="shared" si="23"/>
        <v>58</v>
      </c>
      <c r="BB21" s="281"/>
      <c r="BC21" s="73">
        <f t="shared" si="24"/>
        <v>3</v>
      </c>
      <c r="BD21" s="108">
        <v>7</v>
      </c>
      <c r="BE21" s="114">
        <v>19</v>
      </c>
      <c r="BF21" s="115">
        <f t="shared" si="25"/>
        <v>26</v>
      </c>
      <c r="BG21" s="114">
        <v>10</v>
      </c>
      <c r="BH21" s="114">
        <v>25</v>
      </c>
      <c r="BI21" s="74">
        <f t="shared" si="26"/>
        <v>61</v>
      </c>
      <c r="BJ21" s="284"/>
      <c r="BK21" s="73">
        <f t="shared" si="3"/>
        <v>3.5</v>
      </c>
      <c r="BL21" s="108">
        <v>8</v>
      </c>
      <c r="BM21" s="114">
        <v>20</v>
      </c>
      <c r="BN21" s="115">
        <f t="shared" si="27"/>
        <v>28</v>
      </c>
      <c r="BO21" s="114">
        <v>10</v>
      </c>
      <c r="BP21" s="114">
        <v>25</v>
      </c>
      <c r="BQ21" s="74">
        <f t="shared" si="28"/>
        <v>63</v>
      </c>
      <c r="BR21" s="281"/>
      <c r="BS21" s="73">
        <f t="shared" si="29"/>
        <v>3.5</v>
      </c>
      <c r="BT21" s="108">
        <v>9</v>
      </c>
      <c r="BU21" s="114">
        <v>33</v>
      </c>
      <c r="BV21" s="115">
        <f t="shared" si="30"/>
        <v>42</v>
      </c>
      <c r="BW21" s="114">
        <v>11</v>
      </c>
      <c r="BX21" s="114">
        <v>23</v>
      </c>
      <c r="BY21" s="74">
        <f t="shared" si="31"/>
        <v>76</v>
      </c>
      <c r="BZ21" s="284"/>
      <c r="CA21" s="73">
        <f t="shared" si="32"/>
        <v>4</v>
      </c>
      <c r="CB21" s="108">
        <v>5</v>
      </c>
      <c r="CC21" s="114">
        <v>22</v>
      </c>
      <c r="CD21" s="115">
        <f t="shared" si="33"/>
        <v>27</v>
      </c>
      <c r="CE21" s="114">
        <v>18</v>
      </c>
      <c r="CF21" s="114">
        <v>23</v>
      </c>
      <c r="CG21" s="74">
        <f t="shared" si="34"/>
        <v>68</v>
      </c>
      <c r="CH21" s="281"/>
      <c r="CI21" s="75">
        <f t="shared" si="35"/>
        <v>3.5</v>
      </c>
      <c r="CJ21" s="73">
        <f t="shared" si="4"/>
        <v>38.5</v>
      </c>
      <c r="CK21" s="76">
        <f t="shared" si="36"/>
        <v>4.2777777777777777</v>
      </c>
      <c r="CL21" s="77" t="str">
        <f t="shared" si="37"/>
        <v>A</v>
      </c>
      <c r="CM21" s="39" t="str">
        <f t="shared" si="5"/>
        <v>BETTER</v>
      </c>
      <c r="CN21" s="38">
        <f t="shared" si="6"/>
        <v>850</v>
      </c>
      <c r="CO21" s="37">
        <f t="shared" si="7"/>
        <v>18</v>
      </c>
      <c r="CP21" s="40"/>
    </row>
    <row r="22" spans="1:94" s="41" customFormat="1" ht="20.100000000000001" customHeight="1">
      <c r="A22" s="40">
        <v>15</v>
      </c>
      <c r="B22" s="56">
        <v>21</v>
      </c>
      <c r="C22" s="95" t="s">
        <v>145</v>
      </c>
      <c r="D22" s="95" t="s">
        <v>146</v>
      </c>
      <c r="E22" s="95" t="s">
        <v>147</v>
      </c>
      <c r="F22" s="96" t="s">
        <v>148</v>
      </c>
      <c r="G22" s="113">
        <v>17</v>
      </c>
      <c r="H22" s="114">
        <v>35</v>
      </c>
      <c r="I22" s="115">
        <f t="shared" si="8"/>
        <v>52</v>
      </c>
      <c r="J22" s="114">
        <v>19</v>
      </c>
      <c r="K22" s="115">
        <f t="shared" si="38"/>
        <v>71</v>
      </c>
      <c r="L22" s="108">
        <v>18</v>
      </c>
      <c r="M22" s="116">
        <v>37</v>
      </c>
      <c r="N22" s="115">
        <f t="shared" si="9"/>
        <v>55</v>
      </c>
      <c r="O22" s="114">
        <v>24</v>
      </c>
      <c r="P22" s="74">
        <f t="shared" si="10"/>
        <v>79</v>
      </c>
      <c r="Q22" s="74">
        <f t="shared" si="11"/>
        <v>150</v>
      </c>
      <c r="R22" s="281"/>
      <c r="S22" s="73">
        <f t="shared" si="12"/>
        <v>4</v>
      </c>
      <c r="T22" s="108">
        <v>11</v>
      </c>
      <c r="U22" s="114">
        <v>42</v>
      </c>
      <c r="V22" s="115">
        <f t="shared" si="13"/>
        <v>53</v>
      </c>
      <c r="W22" s="108">
        <v>11</v>
      </c>
      <c r="X22" s="114">
        <v>43</v>
      </c>
      <c r="Y22" s="115">
        <f t="shared" si="14"/>
        <v>54</v>
      </c>
      <c r="Z22" s="74">
        <f t="shared" si="15"/>
        <v>107</v>
      </c>
      <c r="AA22" s="281"/>
      <c r="AB22" s="73">
        <f t="shared" si="0"/>
        <v>3</v>
      </c>
      <c r="AC22" s="108">
        <v>19</v>
      </c>
      <c r="AD22" s="114">
        <v>27</v>
      </c>
      <c r="AE22" s="115">
        <f t="shared" si="16"/>
        <v>46</v>
      </c>
      <c r="AF22" s="114">
        <v>14</v>
      </c>
      <c r="AG22" s="74">
        <f t="shared" si="17"/>
        <v>60</v>
      </c>
      <c r="AH22" s="281"/>
      <c r="AI22" s="73">
        <f t="shared" si="1"/>
        <v>3.5</v>
      </c>
      <c r="AJ22" s="108">
        <v>18</v>
      </c>
      <c r="AK22" s="114">
        <v>43</v>
      </c>
      <c r="AL22" s="115">
        <f t="shared" si="18"/>
        <v>61</v>
      </c>
      <c r="AM22" s="114">
        <v>19</v>
      </c>
      <c r="AN22" s="74">
        <f t="shared" si="19"/>
        <v>80</v>
      </c>
      <c r="AO22" s="281"/>
      <c r="AP22" s="73">
        <f t="shared" si="2"/>
        <v>5</v>
      </c>
      <c r="AQ22" s="116"/>
      <c r="AR22" s="114">
        <v>20</v>
      </c>
      <c r="AS22" s="114">
        <v>25</v>
      </c>
      <c r="AT22" s="73">
        <f t="shared" si="39"/>
        <v>45</v>
      </c>
      <c r="AU22" s="284"/>
      <c r="AV22" s="73">
        <f t="shared" si="21"/>
        <v>5</v>
      </c>
      <c r="AW22" s="108">
        <v>14</v>
      </c>
      <c r="AX22" s="114">
        <v>28</v>
      </c>
      <c r="AY22" s="115">
        <f t="shared" si="22"/>
        <v>42</v>
      </c>
      <c r="AZ22" s="114">
        <v>14</v>
      </c>
      <c r="BA22" s="74">
        <f t="shared" si="23"/>
        <v>56</v>
      </c>
      <c r="BB22" s="281"/>
      <c r="BC22" s="73">
        <f t="shared" si="24"/>
        <v>3</v>
      </c>
      <c r="BD22" s="108">
        <v>7</v>
      </c>
      <c r="BE22" s="114">
        <v>29</v>
      </c>
      <c r="BF22" s="115">
        <f t="shared" si="25"/>
        <v>36</v>
      </c>
      <c r="BG22" s="114">
        <v>10</v>
      </c>
      <c r="BH22" s="114">
        <v>25</v>
      </c>
      <c r="BI22" s="74">
        <f t="shared" si="26"/>
        <v>71</v>
      </c>
      <c r="BJ22" s="284"/>
      <c r="BK22" s="73">
        <f t="shared" si="3"/>
        <v>4</v>
      </c>
      <c r="BL22" s="108">
        <v>8</v>
      </c>
      <c r="BM22" s="114">
        <v>20</v>
      </c>
      <c r="BN22" s="115">
        <f t="shared" si="27"/>
        <v>28</v>
      </c>
      <c r="BO22" s="114">
        <v>10</v>
      </c>
      <c r="BP22" s="114">
        <v>25</v>
      </c>
      <c r="BQ22" s="74">
        <f t="shared" si="28"/>
        <v>63</v>
      </c>
      <c r="BR22" s="281"/>
      <c r="BS22" s="73">
        <f t="shared" si="29"/>
        <v>3.5</v>
      </c>
      <c r="BT22" s="108">
        <v>9</v>
      </c>
      <c r="BU22" s="114">
        <v>33</v>
      </c>
      <c r="BV22" s="115">
        <f t="shared" si="30"/>
        <v>42</v>
      </c>
      <c r="BW22" s="114">
        <v>10</v>
      </c>
      <c r="BX22" s="114">
        <v>23</v>
      </c>
      <c r="BY22" s="74">
        <f t="shared" si="31"/>
        <v>75</v>
      </c>
      <c r="BZ22" s="284"/>
      <c r="CA22" s="73">
        <f t="shared" si="32"/>
        <v>4</v>
      </c>
      <c r="CB22" s="108">
        <v>6</v>
      </c>
      <c r="CC22" s="114">
        <v>24</v>
      </c>
      <c r="CD22" s="115">
        <f t="shared" si="33"/>
        <v>30</v>
      </c>
      <c r="CE22" s="114">
        <v>12</v>
      </c>
      <c r="CF22" s="114">
        <v>23</v>
      </c>
      <c r="CG22" s="74">
        <f t="shared" si="34"/>
        <v>65</v>
      </c>
      <c r="CH22" s="281"/>
      <c r="CI22" s="75">
        <f t="shared" si="35"/>
        <v>3.5</v>
      </c>
      <c r="CJ22" s="73">
        <f t="shared" si="4"/>
        <v>36.5</v>
      </c>
      <c r="CK22" s="76">
        <f t="shared" si="36"/>
        <v>4.0555555555555554</v>
      </c>
      <c r="CL22" s="77" t="str">
        <f t="shared" si="37"/>
        <v>A</v>
      </c>
      <c r="CM22" s="39" t="str">
        <f t="shared" si="5"/>
        <v>BETTER</v>
      </c>
      <c r="CN22" s="38">
        <f t="shared" si="6"/>
        <v>772</v>
      </c>
      <c r="CO22" s="37">
        <f t="shared" si="7"/>
        <v>35</v>
      </c>
      <c r="CP22" s="40"/>
    </row>
    <row r="23" spans="1:94" s="41" customFormat="1" ht="20.100000000000001" customHeight="1">
      <c r="A23" s="40">
        <v>16</v>
      </c>
      <c r="B23" s="56">
        <v>22</v>
      </c>
      <c r="C23" s="95" t="s">
        <v>149</v>
      </c>
      <c r="D23" s="95" t="s">
        <v>150</v>
      </c>
      <c r="E23" s="95" t="s">
        <v>151</v>
      </c>
      <c r="F23" s="96" t="s">
        <v>152</v>
      </c>
      <c r="G23" s="113">
        <v>16</v>
      </c>
      <c r="H23" s="114">
        <v>22</v>
      </c>
      <c r="I23" s="115">
        <f t="shared" si="8"/>
        <v>38</v>
      </c>
      <c r="J23" s="114">
        <v>21</v>
      </c>
      <c r="K23" s="115">
        <f t="shared" si="38"/>
        <v>59</v>
      </c>
      <c r="L23" s="108">
        <v>19</v>
      </c>
      <c r="M23" s="116">
        <v>39</v>
      </c>
      <c r="N23" s="115">
        <f t="shared" si="9"/>
        <v>58</v>
      </c>
      <c r="O23" s="114">
        <v>18</v>
      </c>
      <c r="P23" s="74">
        <f t="shared" si="10"/>
        <v>76</v>
      </c>
      <c r="Q23" s="74">
        <f t="shared" si="11"/>
        <v>135</v>
      </c>
      <c r="R23" s="281"/>
      <c r="S23" s="73">
        <f t="shared" si="12"/>
        <v>3.5</v>
      </c>
      <c r="T23" s="108">
        <v>17</v>
      </c>
      <c r="U23" s="114">
        <v>65</v>
      </c>
      <c r="V23" s="115">
        <f t="shared" si="13"/>
        <v>82</v>
      </c>
      <c r="W23" s="108">
        <v>16</v>
      </c>
      <c r="X23" s="114">
        <v>42</v>
      </c>
      <c r="Y23" s="115">
        <f t="shared" si="14"/>
        <v>58</v>
      </c>
      <c r="Z23" s="74">
        <f t="shared" si="15"/>
        <v>140</v>
      </c>
      <c r="AA23" s="281"/>
      <c r="AB23" s="73">
        <f t="shared" si="0"/>
        <v>4</v>
      </c>
      <c r="AC23" s="108">
        <v>11</v>
      </c>
      <c r="AD23" s="114">
        <v>29</v>
      </c>
      <c r="AE23" s="115">
        <f t="shared" si="16"/>
        <v>40</v>
      </c>
      <c r="AF23" s="114">
        <v>20</v>
      </c>
      <c r="AG23" s="74">
        <f t="shared" si="17"/>
        <v>60</v>
      </c>
      <c r="AH23" s="281"/>
      <c r="AI23" s="73">
        <f t="shared" si="1"/>
        <v>3.5</v>
      </c>
      <c r="AJ23" s="108">
        <v>19</v>
      </c>
      <c r="AK23" s="114">
        <v>42</v>
      </c>
      <c r="AL23" s="115">
        <f t="shared" si="18"/>
        <v>61</v>
      </c>
      <c r="AM23" s="114">
        <v>25</v>
      </c>
      <c r="AN23" s="74">
        <f t="shared" si="19"/>
        <v>86</v>
      </c>
      <c r="AO23" s="281"/>
      <c r="AP23" s="73">
        <f t="shared" si="2"/>
        <v>5</v>
      </c>
      <c r="AQ23" s="116"/>
      <c r="AR23" s="114">
        <v>22</v>
      </c>
      <c r="AS23" s="114">
        <v>25</v>
      </c>
      <c r="AT23" s="73">
        <f t="shared" si="39"/>
        <v>47</v>
      </c>
      <c r="AU23" s="284"/>
      <c r="AV23" s="73">
        <f t="shared" si="21"/>
        <v>5</v>
      </c>
      <c r="AW23" s="108">
        <v>16</v>
      </c>
      <c r="AX23" s="114">
        <v>35</v>
      </c>
      <c r="AY23" s="115">
        <f t="shared" si="22"/>
        <v>51</v>
      </c>
      <c r="AZ23" s="114">
        <v>27</v>
      </c>
      <c r="BA23" s="74">
        <f t="shared" si="23"/>
        <v>78</v>
      </c>
      <c r="BB23" s="281"/>
      <c r="BC23" s="73">
        <f t="shared" si="24"/>
        <v>4</v>
      </c>
      <c r="BD23" s="108">
        <v>7</v>
      </c>
      <c r="BE23" s="114">
        <v>24</v>
      </c>
      <c r="BF23" s="115">
        <f t="shared" si="25"/>
        <v>31</v>
      </c>
      <c r="BG23" s="114">
        <v>12</v>
      </c>
      <c r="BH23" s="114">
        <v>25</v>
      </c>
      <c r="BI23" s="74">
        <f t="shared" si="26"/>
        <v>68</v>
      </c>
      <c r="BJ23" s="284"/>
      <c r="BK23" s="73">
        <f t="shared" si="3"/>
        <v>3.5</v>
      </c>
      <c r="BL23" s="108">
        <v>7</v>
      </c>
      <c r="BM23" s="114">
        <v>30</v>
      </c>
      <c r="BN23" s="115">
        <f t="shared" si="27"/>
        <v>37</v>
      </c>
      <c r="BO23" s="114">
        <v>13</v>
      </c>
      <c r="BP23" s="114">
        <v>25</v>
      </c>
      <c r="BQ23" s="74">
        <f t="shared" si="28"/>
        <v>75</v>
      </c>
      <c r="BR23" s="281"/>
      <c r="BS23" s="73">
        <f t="shared" si="29"/>
        <v>4</v>
      </c>
      <c r="BT23" s="108">
        <v>9</v>
      </c>
      <c r="BU23" s="114">
        <v>38</v>
      </c>
      <c r="BV23" s="115">
        <f t="shared" si="30"/>
        <v>47</v>
      </c>
      <c r="BW23" s="114">
        <v>17</v>
      </c>
      <c r="BX23" s="114">
        <v>23</v>
      </c>
      <c r="BY23" s="74">
        <f t="shared" si="31"/>
        <v>87</v>
      </c>
      <c r="BZ23" s="284"/>
      <c r="CA23" s="73">
        <f t="shared" si="32"/>
        <v>5</v>
      </c>
      <c r="CB23" s="108">
        <v>6</v>
      </c>
      <c r="CC23" s="114">
        <v>16</v>
      </c>
      <c r="CD23" s="115">
        <f t="shared" si="33"/>
        <v>22</v>
      </c>
      <c r="CE23" s="114">
        <v>16</v>
      </c>
      <c r="CF23" s="114">
        <v>23</v>
      </c>
      <c r="CG23" s="74">
        <f t="shared" si="34"/>
        <v>61</v>
      </c>
      <c r="CH23" s="281"/>
      <c r="CI23" s="75">
        <f t="shared" si="35"/>
        <v>3.5</v>
      </c>
      <c r="CJ23" s="73">
        <f t="shared" si="4"/>
        <v>39</v>
      </c>
      <c r="CK23" s="76">
        <f t="shared" si="36"/>
        <v>4.333333333333333</v>
      </c>
      <c r="CL23" s="77" t="str">
        <f t="shared" si="37"/>
        <v>A</v>
      </c>
      <c r="CM23" s="39" t="str">
        <f t="shared" si="5"/>
        <v>BETTER</v>
      </c>
      <c r="CN23" s="38">
        <f t="shared" si="6"/>
        <v>837</v>
      </c>
      <c r="CO23" s="37">
        <f t="shared" si="7"/>
        <v>24</v>
      </c>
      <c r="CP23" s="40"/>
    </row>
    <row r="24" spans="1:94" s="41" customFormat="1" ht="20.100000000000001" customHeight="1">
      <c r="A24" s="40">
        <v>17</v>
      </c>
      <c r="B24" s="56">
        <v>27</v>
      </c>
      <c r="C24" s="99" t="s">
        <v>153</v>
      </c>
      <c r="D24" s="99" t="s">
        <v>154</v>
      </c>
      <c r="E24" s="99" t="s">
        <v>155</v>
      </c>
      <c r="F24" s="70" t="s">
        <v>156</v>
      </c>
      <c r="G24" s="113">
        <v>15</v>
      </c>
      <c r="H24" s="114">
        <v>24</v>
      </c>
      <c r="I24" s="115">
        <f t="shared" si="8"/>
        <v>39</v>
      </c>
      <c r="J24" s="114">
        <v>22</v>
      </c>
      <c r="K24" s="115">
        <f t="shared" si="38"/>
        <v>61</v>
      </c>
      <c r="L24" s="108">
        <v>19</v>
      </c>
      <c r="M24" s="116">
        <v>32</v>
      </c>
      <c r="N24" s="115">
        <f t="shared" si="9"/>
        <v>51</v>
      </c>
      <c r="O24" s="114">
        <v>15</v>
      </c>
      <c r="P24" s="74">
        <f t="shared" si="10"/>
        <v>66</v>
      </c>
      <c r="Q24" s="74">
        <f t="shared" si="11"/>
        <v>127</v>
      </c>
      <c r="R24" s="281"/>
      <c r="S24" s="73">
        <f t="shared" si="12"/>
        <v>3.5</v>
      </c>
      <c r="T24" s="108">
        <v>16</v>
      </c>
      <c r="U24" s="114">
        <v>65</v>
      </c>
      <c r="V24" s="115">
        <f t="shared" si="13"/>
        <v>81</v>
      </c>
      <c r="W24" s="108">
        <v>16</v>
      </c>
      <c r="X24" s="114">
        <v>60</v>
      </c>
      <c r="Y24" s="115">
        <f t="shared" si="14"/>
        <v>76</v>
      </c>
      <c r="Z24" s="74">
        <f t="shared" si="15"/>
        <v>157</v>
      </c>
      <c r="AA24" s="281"/>
      <c r="AB24" s="73">
        <f t="shared" si="0"/>
        <v>4</v>
      </c>
      <c r="AC24" s="108">
        <v>13</v>
      </c>
      <c r="AD24" s="114">
        <v>23</v>
      </c>
      <c r="AE24" s="115">
        <f t="shared" si="16"/>
        <v>36</v>
      </c>
      <c r="AF24" s="114">
        <v>17</v>
      </c>
      <c r="AG24" s="74">
        <f t="shared" si="17"/>
        <v>53</v>
      </c>
      <c r="AH24" s="281"/>
      <c r="AI24" s="73">
        <f t="shared" si="1"/>
        <v>3</v>
      </c>
      <c r="AJ24" s="108">
        <v>17</v>
      </c>
      <c r="AK24" s="114">
        <v>35</v>
      </c>
      <c r="AL24" s="115">
        <f t="shared" si="18"/>
        <v>52</v>
      </c>
      <c r="AM24" s="114">
        <v>15</v>
      </c>
      <c r="AN24" s="74">
        <f t="shared" si="19"/>
        <v>67</v>
      </c>
      <c r="AO24" s="281"/>
      <c r="AP24" s="73">
        <f t="shared" si="2"/>
        <v>3.5</v>
      </c>
      <c r="AQ24" s="116"/>
      <c r="AR24" s="114">
        <v>20</v>
      </c>
      <c r="AS24" s="114">
        <v>25</v>
      </c>
      <c r="AT24" s="73">
        <f t="shared" si="39"/>
        <v>45</v>
      </c>
      <c r="AU24" s="284"/>
      <c r="AV24" s="73">
        <f t="shared" si="21"/>
        <v>5</v>
      </c>
      <c r="AW24" s="108">
        <v>13</v>
      </c>
      <c r="AX24" s="114">
        <v>24</v>
      </c>
      <c r="AY24" s="115">
        <f t="shared" si="22"/>
        <v>37</v>
      </c>
      <c r="AZ24" s="114">
        <v>22</v>
      </c>
      <c r="BA24" s="74">
        <f t="shared" si="23"/>
        <v>59</v>
      </c>
      <c r="BB24" s="281"/>
      <c r="BC24" s="73">
        <f t="shared" si="24"/>
        <v>3</v>
      </c>
      <c r="BD24" s="108">
        <v>7</v>
      </c>
      <c r="BE24" s="114">
        <v>19</v>
      </c>
      <c r="BF24" s="115">
        <f t="shared" si="25"/>
        <v>26</v>
      </c>
      <c r="BG24" s="114">
        <v>11</v>
      </c>
      <c r="BH24" s="114">
        <v>25</v>
      </c>
      <c r="BI24" s="74">
        <f t="shared" si="26"/>
        <v>62</v>
      </c>
      <c r="BJ24" s="284"/>
      <c r="BK24" s="73">
        <f t="shared" si="3"/>
        <v>3.5</v>
      </c>
      <c r="BL24" s="108">
        <v>7</v>
      </c>
      <c r="BM24" s="114">
        <v>22</v>
      </c>
      <c r="BN24" s="115">
        <f t="shared" si="27"/>
        <v>29</v>
      </c>
      <c r="BO24" s="114">
        <v>10</v>
      </c>
      <c r="BP24" s="114">
        <v>25</v>
      </c>
      <c r="BQ24" s="74">
        <f t="shared" si="28"/>
        <v>64</v>
      </c>
      <c r="BR24" s="281"/>
      <c r="BS24" s="73">
        <f t="shared" si="29"/>
        <v>3.5</v>
      </c>
      <c r="BT24" s="108">
        <v>9</v>
      </c>
      <c r="BU24" s="114">
        <v>30</v>
      </c>
      <c r="BV24" s="115">
        <f t="shared" si="30"/>
        <v>39</v>
      </c>
      <c r="BW24" s="114">
        <v>15</v>
      </c>
      <c r="BX24" s="114">
        <v>23</v>
      </c>
      <c r="BY24" s="74">
        <f t="shared" si="31"/>
        <v>77</v>
      </c>
      <c r="BZ24" s="284"/>
      <c r="CA24" s="73">
        <f t="shared" si="32"/>
        <v>4</v>
      </c>
      <c r="CB24" s="108">
        <v>8</v>
      </c>
      <c r="CC24" s="114">
        <v>31</v>
      </c>
      <c r="CD24" s="115">
        <f t="shared" si="33"/>
        <v>39</v>
      </c>
      <c r="CE24" s="114">
        <v>12</v>
      </c>
      <c r="CF24" s="114">
        <v>23</v>
      </c>
      <c r="CG24" s="74">
        <f t="shared" si="34"/>
        <v>74</v>
      </c>
      <c r="CH24" s="281"/>
      <c r="CI24" s="75">
        <f t="shared" si="35"/>
        <v>4</v>
      </c>
      <c r="CJ24" s="73">
        <f t="shared" si="4"/>
        <v>35</v>
      </c>
      <c r="CK24" s="76">
        <f t="shared" si="36"/>
        <v>3.8888888888888888</v>
      </c>
      <c r="CL24" s="77" t="str">
        <f t="shared" si="37"/>
        <v>A-</v>
      </c>
      <c r="CM24" s="39" t="str">
        <f t="shared" si="5"/>
        <v>GOOD</v>
      </c>
      <c r="CN24" s="38">
        <f t="shared" si="6"/>
        <v>785</v>
      </c>
      <c r="CO24" s="37">
        <f t="shared" si="7"/>
        <v>33</v>
      </c>
      <c r="CP24" s="40"/>
    </row>
    <row r="25" spans="1:94" s="41" customFormat="1" ht="20.100000000000001" customHeight="1">
      <c r="A25" s="40">
        <v>18</v>
      </c>
      <c r="B25" s="56">
        <v>31</v>
      </c>
      <c r="C25" s="69" t="s">
        <v>157</v>
      </c>
      <c r="D25" s="69" t="s">
        <v>158</v>
      </c>
      <c r="E25" s="69" t="s">
        <v>159</v>
      </c>
      <c r="F25" s="70" t="s">
        <v>160</v>
      </c>
      <c r="G25" s="113">
        <v>15</v>
      </c>
      <c r="H25" s="114">
        <v>32</v>
      </c>
      <c r="I25" s="115">
        <f t="shared" si="8"/>
        <v>47</v>
      </c>
      <c r="J25" s="114">
        <v>26</v>
      </c>
      <c r="K25" s="115">
        <f t="shared" si="38"/>
        <v>73</v>
      </c>
      <c r="L25" s="108">
        <v>19</v>
      </c>
      <c r="M25" s="116">
        <v>34</v>
      </c>
      <c r="N25" s="115">
        <f t="shared" si="9"/>
        <v>53</v>
      </c>
      <c r="O25" s="114">
        <v>19</v>
      </c>
      <c r="P25" s="74">
        <f t="shared" si="10"/>
        <v>72</v>
      </c>
      <c r="Q25" s="74">
        <f t="shared" si="11"/>
        <v>145</v>
      </c>
      <c r="R25" s="281"/>
      <c r="S25" s="73">
        <f t="shared" si="12"/>
        <v>4</v>
      </c>
      <c r="T25" s="108">
        <v>15</v>
      </c>
      <c r="U25" s="114">
        <v>56</v>
      </c>
      <c r="V25" s="115">
        <f t="shared" si="13"/>
        <v>71</v>
      </c>
      <c r="W25" s="108">
        <v>14</v>
      </c>
      <c r="X25" s="114">
        <v>54</v>
      </c>
      <c r="Y25" s="115">
        <f t="shared" si="14"/>
        <v>68</v>
      </c>
      <c r="Z25" s="74">
        <f t="shared" si="15"/>
        <v>139</v>
      </c>
      <c r="AA25" s="281"/>
      <c r="AB25" s="73">
        <f t="shared" si="0"/>
        <v>3.5</v>
      </c>
      <c r="AC25" s="108">
        <v>18</v>
      </c>
      <c r="AD25" s="114">
        <v>30</v>
      </c>
      <c r="AE25" s="115">
        <f t="shared" si="16"/>
        <v>48</v>
      </c>
      <c r="AF25" s="114">
        <v>25</v>
      </c>
      <c r="AG25" s="74">
        <f t="shared" si="17"/>
        <v>73</v>
      </c>
      <c r="AH25" s="281"/>
      <c r="AI25" s="73">
        <f t="shared" si="1"/>
        <v>4</v>
      </c>
      <c r="AJ25" s="108">
        <v>20</v>
      </c>
      <c r="AK25" s="114">
        <v>43</v>
      </c>
      <c r="AL25" s="115">
        <f t="shared" si="18"/>
        <v>63</v>
      </c>
      <c r="AM25" s="114">
        <v>21</v>
      </c>
      <c r="AN25" s="74">
        <f t="shared" si="19"/>
        <v>84</v>
      </c>
      <c r="AO25" s="281"/>
      <c r="AP25" s="73">
        <f t="shared" si="2"/>
        <v>5</v>
      </c>
      <c r="AQ25" s="116"/>
      <c r="AR25" s="114">
        <v>21</v>
      </c>
      <c r="AS25" s="114">
        <v>25</v>
      </c>
      <c r="AT25" s="73">
        <f t="shared" si="39"/>
        <v>46</v>
      </c>
      <c r="AU25" s="284"/>
      <c r="AV25" s="73">
        <f t="shared" si="21"/>
        <v>5</v>
      </c>
      <c r="AW25" s="108">
        <v>16</v>
      </c>
      <c r="AX25" s="114">
        <v>29</v>
      </c>
      <c r="AY25" s="115">
        <f t="shared" si="22"/>
        <v>45</v>
      </c>
      <c r="AZ25" s="114">
        <v>22</v>
      </c>
      <c r="BA25" s="74">
        <f t="shared" si="23"/>
        <v>67</v>
      </c>
      <c r="BB25" s="281"/>
      <c r="BC25" s="73">
        <f t="shared" si="24"/>
        <v>3.5</v>
      </c>
      <c r="BD25" s="108">
        <v>9</v>
      </c>
      <c r="BE25" s="114">
        <v>27</v>
      </c>
      <c r="BF25" s="115">
        <f t="shared" si="25"/>
        <v>36</v>
      </c>
      <c r="BG25" s="114">
        <v>17</v>
      </c>
      <c r="BH25" s="114">
        <v>25</v>
      </c>
      <c r="BI25" s="74">
        <f t="shared" si="26"/>
        <v>78</v>
      </c>
      <c r="BJ25" s="284"/>
      <c r="BK25" s="73">
        <f t="shared" si="3"/>
        <v>4</v>
      </c>
      <c r="BL25" s="108">
        <v>8</v>
      </c>
      <c r="BM25" s="114">
        <v>34</v>
      </c>
      <c r="BN25" s="115">
        <f t="shared" si="27"/>
        <v>42</v>
      </c>
      <c r="BO25" s="114">
        <v>10</v>
      </c>
      <c r="BP25" s="114">
        <v>25</v>
      </c>
      <c r="BQ25" s="74">
        <f t="shared" si="28"/>
        <v>77</v>
      </c>
      <c r="BR25" s="281"/>
      <c r="BS25" s="73">
        <f t="shared" si="29"/>
        <v>4</v>
      </c>
      <c r="BT25" s="108">
        <v>9</v>
      </c>
      <c r="BU25" s="114">
        <v>28</v>
      </c>
      <c r="BV25" s="115">
        <f t="shared" si="30"/>
        <v>37</v>
      </c>
      <c r="BW25" s="114">
        <v>19</v>
      </c>
      <c r="BX25" s="114">
        <v>23</v>
      </c>
      <c r="BY25" s="74">
        <f t="shared" si="31"/>
        <v>79</v>
      </c>
      <c r="BZ25" s="284"/>
      <c r="CA25" s="73">
        <f t="shared" si="32"/>
        <v>4</v>
      </c>
      <c r="CB25" s="108">
        <v>9</v>
      </c>
      <c r="CC25" s="114">
        <v>26</v>
      </c>
      <c r="CD25" s="115">
        <f t="shared" si="33"/>
        <v>35</v>
      </c>
      <c r="CE25" s="114">
        <v>18</v>
      </c>
      <c r="CF25" s="114">
        <v>23</v>
      </c>
      <c r="CG25" s="74">
        <f t="shared" si="34"/>
        <v>76</v>
      </c>
      <c r="CH25" s="281"/>
      <c r="CI25" s="75">
        <f t="shared" si="35"/>
        <v>4</v>
      </c>
      <c r="CJ25" s="73">
        <f t="shared" si="4"/>
        <v>39</v>
      </c>
      <c r="CK25" s="76">
        <f t="shared" si="36"/>
        <v>4.333333333333333</v>
      </c>
      <c r="CL25" s="77" t="str">
        <f t="shared" si="37"/>
        <v>A</v>
      </c>
      <c r="CM25" s="39" t="str">
        <f t="shared" si="5"/>
        <v>BETTER</v>
      </c>
      <c r="CN25" s="38">
        <f t="shared" si="6"/>
        <v>864</v>
      </c>
      <c r="CO25" s="37">
        <f t="shared" si="7"/>
        <v>15</v>
      </c>
      <c r="CP25" s="40"/>
    </row>
    <row r="26" spans="1:94" s="41" customFormat="1" ht="20.100000000000001" customHeight="1">
      <c r="A26" s="40">
        <v>19</v>
      </c>
      <c r="B26" s="56">
        <v>32</v>
      </c>
      <c r="C26" s="95" t="s">
        <v>161</v>
      </c>
      <c r="D26" s="95" t="s">
        <v>162</v>
      </c>
      <c r="E26" s="95" t="s">
        <v>163</v>
      </c>
      <c r="F26" s="96" t="s">
        <v>164</v>
      </c>
      <c r="G26" s="113">
        <v>19</v>
      </c>
      <c r="H26" s="114">
        <v>34</v>
      </c>
      <c r="I26" s="115">
        <f t="shared" si="8"/>
        <v>53</v>
      </c>
      <c r="J26" s="114">
        <v>26</v>
      </c>
      <c r="K26" s="115">
        <f t="shared" si="38"/>
        <v>79</v>
      </c>
      <c r="L26" s="108">
        <v>18</v>
      </c>
      <c r="M26" s="116">
        <v>33</v>
      </c>
      <c r="N26" s="115">
        <f t="shared" si="9"/>
        <v>51</v>
      </c>
      <c r="O26" s="114">
        <v>20</v>
      </c>
      <c r="P26" s="74">
        <f t="shared" si="10"/>
        <v>71</v>
      </c>
      <c r="Q26" s="74">
        <f t="shared" si="11"/>
        <v>150</v>
      </c>
      <c r="R26" s="281"/>
      <c r="S26" s="73">
        <f t="shared" si="12"/>
        <v>4</v>
      </c>
      <c r="T26" s="108">
        <v>14</v>
      </c>
      <c r="U26" s="114">
        <v>46</v>
      </c>
      <c r="V26" s="115">
        <f t="shared" si="13"/>
        <v>60</v>
      </c>
      <c r="W26" s="108">
        <v>12</v>
      </c>
      <c r="X26" s="114">
        <v>57</v>
      </c>
      <c r="Y26" s="115">
        <f t="shared" si="14"/>
        <v>69</v>
      </c>
      <c r="Z26" s="74">
        <f t="shared" si="15"/>
        <v>129</v>
      </c>
      <c r="AA26" s="281"/>
      <c r="AB26" s="73">
        <f t="shared" si="0"/>
        <v>3.5</v>
      </c>
      <c r="AC26" s="108">
        <v>16</v>
      </c>
      <c r="AD26" s="114">
        <v>25</v>
      </c>
      <c r="AE26" s="115">
        <f t="shared" si="16"/>
        <v>41</v>
      </c>
      <c r="AF26" s="114">
        <v>26</v>
      </c>
      <c r="AG26" s="74">
        <f t="shared" si="17"/>
        <v>67</v>
      </c>
      <c r="AH26" s="281"/>
      <c r="AI26" s="73">
        <f t="shared" si="1"/>
        <v>3.5</v>
      </c>
      <c r="AJ26" s="108">
        <v>16</v>
      </c>
      <c r="AK26" s="114">
        <v>40</v>
      </c>
      <c r="AL26" s="115">
        <f t="shared" si="18"/>
        <v>56</v>
      </c>
      <c r="AM26" s="114">
        <v>25</v>
      </c>
      <c r="AN26" s="74">
        <f t="shared" si="19"/>
        <v>81</v>
      </c>
      <c r="AO26" s="281"/>
      <c r="AP26" s="73">
        <f t="shared" si="2"/>
        <v>5</v>
      </c>
      <c r="AQ26" s="116"/>
      <c r="AR26" s="114">
        <v>20</v>
      </c>
      <c r="AS26" s="114">
        <v>25</v>
      </c>
      <c r="AT26" s="73">
        <f t="shared" si="39"/>
        <v>45</v>
      </c>
      <c r="AU26" s="284"/>
      <c r="AV26" s="73">
        <f t="shared" si="21"/>
        <v>5</v>
      </c>
      <c r="AW26" s="108">
        <v>12</v>
      </c>
      <c r="AX26" s="114">
        <v>22</v>
      </c>
      <c r="AY26" s="115">
        <f t="shared" si="22"/>
        <v>34</v>
      </c>
      <c r="AZ26" s="114">
        <v>17</v>
      </c>
      <c r="BA26" s="74">
        <f t="shared" si="23"/>
        <v>51</v>
      </c>
      <c r="BB26" s="281"/>
      <c r="BC26" s="73">
        <f t="shared" si="24"/>
        <v>3</v>
      </c>
      <c r="BD26" s="108">
        <v>9</v>
      </c>
      <c r="BE26" s="114">
        <v>22</v>
      </c>
      <c r="BF26" s="115">
        <f t="shared" si="25"/>
        <v>31</v>
      </c>
      <c r="BG26" s="114">
        <v>11</v>
      </c>
      <c r="BH26" s="114">
        <v>25</v>
      </c>
      <c r="BI26" s="74">
        <f t="shared" si="26"/>
        <v>67</v>
      </c>
      <c r="BJ26" s="284"/>
      <c r="BK26" s="73">
        <f t="shared" si="3"/>
        <v>3.5</v>
      </c>
      <c r="BL26" s="108">
        <v>8</v>
      </c>
      <c r="BM26" s="114">
        <v>30</v>
      </c>
      <c r="BN26" s="115">
        <f t="shared" si="27"/>
        <v>38</v>
      </c>
      <c r="BO26" s="114">
        <v>13</v>
      </c>
      <c r="BP26" s="114">
        <v>25</v>
      </c>
      <c r="BQ26" s="74">
        <f t="shared" si="28"/>
        <v>76</v>
      </c>
      <c r="BR26" s="281"/>
      <c r="BS26" s="73">
        <f t="shared" si="29"/>
        <v>4</v>
      </c>
      <c r="BT26" s="108">
        <v>9</v>
      </c>
      <c r="BU26" s="114">
        <v>29</v>
      </c>
      <c r="BV26" s="115">
        <f t="shared" si="30"/>
        <v>38</v>
      </c>
      <c r="BW26" s="114">
        <v>17</v>
      </c>
      <c r="BX26" s="114">
        <v>23</v>
      </c>
      <c r="BY26" s="74">
        <f t="shared" si="31"/>
        <v>78</v>
      </c>
      <c r="BZ26" s="284"/>
      <c r="CA26" s="73">
        <f t="shared" si="32"/>
        <v>4</v>
      </c>
      <c r="CB26" s="108">
        <v>8</v>
      </c>
      <c r="CC26" s="114">
        <v>34</v>
      </c>
      <c r="CD26" s="115">
        <f t="shared" si="33"/>
        <v>42</v>
      </c>
      <c r="CE26" s="114">
        <v>19</v>
      </c>
      <c r="CF26" s="114">
        <v>23</v>
      </c>
      <c r="CG26" s="74">
        <f t="shared" si="34"/>
        <v>84</v>
      </c>
      <c r="CH26" s="281"/>
      <c r="CI26" s="75">
        <f t="shared" si="35"/>
        <v>5</v>
      </c>
      <c r="CJ26" s="73">
        <f t="shared" si="4"/>
        <v>38.5</v>
      </c>
      <c r="CK26" s="76">
        <f t="shared" si="36"/>
        <v>4.2777777777777777</v>
      </c>
      <c r="CL26" s="77" t="str">
        <f t="shared" si="37"/>
        <v>A</v>
      </c>
      <c r="CM26" s="39" t="str">
        <f t="shared" si="5"/>
        <v>BETTER</v>
      </c>
      <c r="CN26" s="38">
        <f t="shared" si="6"/>
        <v>828</v>
      </c>
      <c r="CO26" s="37">
        <f t="shared" si="7"/>
        <v>26</v>
      </c>
      <c r="CP26" s="40"/>
    </row>
    <row r="27" spans="1:94" s="41" customFormat="1" ht="20.100000000000001" customHeight="1">
      <c r="A27" s="40">
        <v>20</v>
      </c>
      <c r="B27" s="56">
        <v>37</v>
      </c>
      <c r="C27" s="69" t="s">
        <v>165</v>
      </c>
      <c r="D27" s="69" t="s">
        <v>166</v>
      </c>
      <c r="E27" s="69" t="s">
        <v>167</v>
      </c>
      <c r="F27" s="70" t="s">
        <v>168</v>
      </c>
      <c r="G27" s="113">
        <v>17</v>
      </c>
      <c r="H27" s="114">
        <v>20</v>
      </c>
      <c r="I27" s="115">
        <f t="shared" si="8"/>
        <v>37</v>
      </c>
      <c r="J27" s="114">
        <v>27</v>
      </c>
      <c r="K27" s="115">
        <f t="shared" si="38"/>
        <v>64</v>
      </c>
      <c r="L27" s="108">
        <v>17</v>
      </c>
      <c r="M27" s="116">
        <v>26</v>
      </c>
      <c r="N27" s="115">
        <f t="shared" si="9"/>
        <v>43</v>
      </c>
      <c r="O27" s="114">
        <v>22</v>
      </c>
      <c r="P27" s="74">
        <f t="shared" si="10"/>
        <v>65</v>
      </c>
      <c r="Q27" s="74">
        <f t="shared" si="11"/>
        <v>129</v>
      </c>
      <c r="R27" s="281"/>
      <c r="S27" s="73">
        <f t="shared" si="12"/>
        <v>3.5</v>
      </c>
      <c r="T27" s="108">
        <v>11</v>
      </c>
      <c r="U27" s="114">
        <v>38</v>
      </c>
      <c r="V27" s="115">
        <f t="shared" si="13"/>
        <v>49</v>
      </c>
      <c r="W27" s="108">
        <v>13</v>
      </c>
      <c r="X27" s="114">
        <v>46</v>
      </c>
      <c r="Y27" s="115">
        <f t="shared" si="14"/>
        <v>59</v>
      </c>
      <c r="Z27" s="74">
        <f t="shared" si="15"/>
        <v>108</v>
      </c>
      <c r="AA27" s="281"/>
      <c r="AB27" s="73">
        <f t="shared" si="0"/>
        <v>3</v>
      </c>
      <c r="AC27" s="108">
        <v>19</v>
      </c>
      <c r="AD27" s="114">
        <v>25</v>
      </c>
      <c r="AE27" s="115">
        <f t="shared" si="16"/>
        <v>44</v>
      </c>
      <c r="AF27" s="114">
        <v>27</v>
      </c>
      <c r="AG27" s="74">
        <f t="shared" si="17"/>
        <v>71</v>
      </c>
      <c r="AH27" s="281"/>
      <c r="AI27" s="73">
        <f t="shared" si="1"/>
        <v>4</v>
      </c>
      <c r="AJ27" s="108">
        <v>17</v>
      </c>
      <c r="AK27" s="114">
        <v>31</v>
      </c>
      <c r="AL27" s="115">
        <f t="shared" si="18"/>
        <v>48</v>
      </c>
      <c r="AM27" s="114">
        <v>28</v>
      </c>
      <c r="AN27" s="74">
        <f t="shared" si="19"/>
        <v>76</v>
      </c>
      <c r="AO27" s="281"/>
      <c r="AP27" s="73">
        <f t="shared" si="2"/>
        <v>4</v>
      </c>
      <c r="AQ27" s="116"/>
      <c r="AR27" s="114">
        <v>20</v>
      </c>
      <c r="AS27" s="114">
        <v>25</v>
      </c>
      <c r="AT27" s="73">
        <f t="shared" si="39"/>
        <v>45</v>
      </c>
      <c r="AU27" s="284"/>
      <c r="AV27" s="73">
        <f t="shared" si="21"/>
        <v>5</v>
      </c>
      <c r="AW27" s="108">
        <v>12</v>
      </c>
      <c r="AX27" s="114">
        <v>22</v>
      </c>
      <c r="AY27" s="115">
        <f t="shared" si="22"/>
        <v>34</v>
      </c>
      <c r="AZ27" s="114">
        <v>19</v>
      </c>
      <c r="BA27" s="74">
        <f t="shared" si="23"/>
        <v>53</v>
      </c>
      <c r="BB27" s="281"/>
      <c r="BC27" s="73">
        <f t="shared" si="24"/>
        <v>3</v>
      </c>
      <c r="BD27" s="108">
        <v>7</v>
      </c>
      <c r="BE27" s="114">
        <v>18</v>
      </c>
      <c r="BF27" s="115">
        <f t="shared" si="25"/>
        <v>25</v>
      </c>
      <c r="BG27" s="114">
        <v>13</v>
      </c>
      <c r="BH27" s="114">
        <v>25</v>
      </c>
      <c r="BI27" s="74">
        <f t="shared" si="26"/>
        <v>63</v>
      </c>
      <c r="BJ27" s="284"/>
      <c r="BK27" s="73">
        <f t="shared" si="3"/>
        <v>3.5</v>
      </c>
      <c r="BL27" s="108">
        <v>7</v>
      </c>
      <c r="BM27" s="114">
        <v>0</v>
      </c>
      <c r="BN27" s="115">
        <f t="shared" si="27"/>
        <v>7</v>
      </c>
      <c r="BO27" s="114">
        <v>0</v>
      </c>
      <c r="BP27" s="114">
        <v>0</v>
      </c>
      <c r="BQ27" s="74">
        <f t="shared" si="28"/>
        <v>7</v>
      </c>
      <c r="BR27" s="281"/>
      <c r="BS27" s="73" t="str">
        <f t="shared" si="29"/>
        <v>F</v>
      </c>
      <c r="BT27" s="108">
        <v>7</v>
      </c>
      <c r="BU27" s="114">
        <v>25</v>
      </c>
      <c r="BV27" s="115">
        <f t="shared" si="30"/>
        <v>32</v>
      </c>
      <c r="BW27" s="114">
        <v>18</v>
      </c>
      <c r="BX27" s="114">
        <v>23</v>
      </c>
      <c r="BY27" s="74">
        <f t="shared" si="31"/>
        <v>73</v>
      </c>
      <c r="BZ27" s="284"/>
      <c r="CA27" s="73">
        <f t="shared" si="32"/>
        <v>4</v>
      </c>
      <c r="CB27" s="108">
        <v>4</v>
      </c>
      <c r="CC27" s="114">
        <v>26</v>
      </c>
      <c r="CD27" s="115">
        <f t="shared" si="33"/>
        <v>30</v>
      </c>
      <c r="CE27" s="114">
        <v>18</v>
      </c>
      <c r="CF27" s="114">
        <v>23</v>
      </c>
      <c r="CG27" s="74">
        <f t="shared" si="34"/>
        <v>71</v>
      </c>
      <c r="CH27" s="281"/>
      <c r="CI27" s="75">
        <f t="shared" si="35"/>
        <v>4</v>
      </c>
      <c r="CJ27" s="73" t="str">
        <f t="shared" si="4"/>
        <v>F</v>
      </c>
      <c r="CK27" s="76" t="str">
        <f t="shared" si="36"/>
        <v>F</v>
      </c>
      <c r="CL27" s="77" t="str">
        <f t="shared" si="37"/>
        <v>F</v>
      </c>
      <c r="CM27" s="39" t="str">
        <f t="shared" si="5"/>
        <v>NEED TO PROGRESS</v>
      </c>
      <c r="CN27" s="38">
        <f t="shared" si="6"/>
        <v>696</v>
      </c>
      <c r="CO27" s="37" t="str">
        <f t="shared" si="7"/>
        <v>F</v>
      </c>
      <c r="CP27" s="40"/>
    </row>
    <row r="28" spans="1:94" s="41" customFormat="1" ht="20.100000000000001" customHeight="1">
      <c r="A28" s="40">
        <v>21</v>
      </c>
      <c r="B28" s="56">
        <v>38</v>
      </c>
      <c r="C28" s="69" t="s">
        <v>169</v>
      </c>
      <c r="D28" s="69" t="s">
        <v>170</v>
      </c>
      <c r="E28" s="69" t="s">
        <v>171</v>
      </c>
      <c r="F28" s="70" t="s">
        <v>172</v>
      </c>
      <c r="G28" s="113">
        <v>15</v>
      </c>
      <c r="H28" s="114">
        <v>24</v>
      </c>
      <c r="I28" s="115">
        <f t="shared" si="8"/>
        <v>39</v>
      </c>
      <c r="J28" s="114">
        <v>26</v>
      </c>
      <c r="K28" s="115">
        <f t="shared" si="38"/>
        <v>65</v>
      </c>
      <c r="L28" s="108">
        <v>19</v>
      </c>
      <c r="M28" s="116">
        <v>31</v>
      </c>
      <c r="N28" s="115">
        <f t="shared" si="9"/>
        <v>50</v>
      </c>
      <c r="O28" s="114">
        <v>23</v>
      </c>
      <c r="P28" s="74">
        <f t="shared" si="10"/>
        <v>73</v>
      </c>
      <c r="Q28" s="74">
        <f t="shared" si="11"/>
        <v>138</v>
      </c>
      <c r="R28" s="281"/>
      <c r="S28" s="73">
        <f t="shared" si="12"/>
        <v>3.5</v>
      </c>
      <c r="T28" s="108">
        <v>13</v>
      </c>
      <c r="U28" s="114">
        <v>49</v>
      </c>
      <c r="V28" s="115">
        <f t="shared" si="13"/>
        <v>62</v>
      </c>
      <c r="W28" s="108">
        <v>13</v>
      </c>
      <c r="X28" s="114">
        <v>52</v>
      </c>
      <c r="Y28" s="115">
        <f t="shared" si="14"/>
        <v>65</v>
      </c>
      <c r="Z28" s="74">
        <f t="shared" si="15"/>
        <v>127</v>
      </c>
      <c r="AA28" s="281"/>
      <c r="AB28" s="73">
        <f t="shared" si="0"/>
        <v>3.5</v>
      </c>
      <c r="AC28" s="108">
        <v>19</v>
      </c>
      <c r="AD28" s="114">
        <v>21</v>
      </c>
      <c r="AE28" s="115">
        <f t="shared" si="16"/>
        <v>40</v>
      </c>
      <c r="AF28" s="114">
        <v>28</v>
      </c>
      <c r="AG28" s="74">
        <f t="shared" si="17"/>
        <v>68</v>
      </c>
      <c r="AH28" s="281"/>
      <c r="AI28" s="73">
        <f t="shared" si="1"/>
        <v>3.5</v>
      </c>
      <c r="AJ28" s="108">
        <v>18</v>
      </c>
      <c r="AK28" s="114">
        <v>31</v>
      </c>
      <c r="AL28" s="115">
        <f t="shared" si="18"/>
        <v>49</v>
      </c>
      <c r="AM28" s="114">
        <v>25</v>
      </c>
      <c r="AN28" s="74">
        <f t="shared" si="19"/>
        <v>74</v>
      </c>
      <c r="AO28" s="281"/>
      <c r="AP28" s="73">
        <f t="shared" si="2"/>
        <v>4</v>
      </c>
      <c r="AQ28" s="116"/>
      <c r="AR28" s="114">
        <v>22</v>
      </c>
      <c r="AS28" s="114">
        <v>25</v>
      </c>
      <c r="AT28" s="73">
        <f t="shared" si="39"/>
        <v>47</v>
      </c>
      <c r="AU28" s="284"/>
      <c r="AV28" s="73">
        <f t="shared" si="21"/>
        <v>5</v>
      </c>
      <c r="AW28" s="108">
        <v>14</v>
      </c>
      <c r="AX28" s="114">
        <v>21</v>
      </c>
      <c r="AY28" s="115">
        <f t="shared" si="22"/>
        <v>35</v>
      </c>
      <c r="AZ28" s="114">
        <v>24</v>
      </c>
      <c r="BA28" s="74">
        <f t="shared" si="23"/>
        <v>59</v>
      </c>
      <c r="BB28" s="281"/>
      <c r="BC28" s="73">
        <f t="shared" si="24"/>
        <v>3</v>
      </c>
      <c r="BD28" s="108">
        <v>8</v>
      </c>
      <c r="BE28" s="114">
        <v>30</v>
      </c>
      <c r="BF28" s="115">
        <f t="shared" si="25"/>
        <v>38</v>
      </c>
      <c r="BG28" s="114">
        <v>15</v>
      </c>
      <c r="BH28" s="114">
        <v>25</v>
      </c>
      <c r="BI28" s="74">
        <f t="shared" si="26"/>
        <v>78</v>
      </c>
      <c r="BJ28" s="284"/>
      <c r="BK28" s="73">
        <f t="shared" si="3"/>
        <v>4</v>
      </c>
      <c r="BL28" s="108">
        <v>7</v>
      </c>
      <c r="BM28" s="114">
        <v>20</v>
      </c>
      <c r="BN28" s="115">
        <f t="shared" si="27"/>
        <v>27</v>
      </c>
      <c r="BO28" s="114">
        <v>13</v>
      </c>
      <c r="BP28" s="114">
        <v>25</v>
      </c>
      <c r="BQ28" s="74">
        <f t="shared" si="28"/>
        <v>65</v>
      </c>
      <c r="BR28" s="281"/>
      <c r="BS28" s="73">
        <f t="shared" si="29"/>
        <v>3.5</v>
      </c>
      <c r="BT28" s="108">
        <v>9</v>
      </c>
      <c r="BU28" s="114">
        <v>26</v>
      </c>
      <c r="BV28" s="115">
        <f t="shared" si="30"/>
        <v>35</v>
      </c>
      <c r="BW28" s="114">
        <v>18</v>
      </c>
      <c r="BX28" s="114">
        <v>23</v>
      </c>
      <c r="BY28" s="74">
        <f t="shared" si="31"/>
        <v>76</v>
      </c>
      <c r="BZ28" s="284"/>
      <c r="CA28" s="73">
        <f t="shared" si="32"/>
        <v>4</v>
      </c>
      <c r="CB28" s="108">
        <v>10</v>
      </c>
      <c r="CC28" s="114">
        <v>26</v>
      </c>
      <c r="CD28" s="115">
        <f t="shared" si="33"/>
        <v>36</v>
      </c>
      <c r="CE28" s="114">
        <v>18</v>
      </c>
      <c r="CF28" s="114">
        <v>23</v>
      </c>
      <c r="CG28" s="74">
        <f t="shared" si="34"/>
        <v>77</v>
      </c>
      <c r="CH28" s="281"/>
      <c r="CI28" s="75">
        <f t="shared" si="35"/>
        <v>4</v>
      </c>
      <c r="CJ28" s="73">
        <f t="shared" si="4"/>
        <v>36</v>
      </c>
      <c r="CK28" s="76">
        <f t="shared" si="36"/>
        <v>4</v>
      </c>
      <c r="CL28" s="77" t="str">
        <f t="shared" si="37"/>
        <v>A</v>
      </c>
      <c r="CM28" s="39" t="str">
        <f t="shared" si="5"/>
        <v>BETTER</v>
      </c>
      <c r="CN28" s="38">
        <f t="shared" si="6"/>
        <v>809</v>
      </c>
      <c r="CO28" s="37">
        <f t="shared" si="7"/>
        <v>29</v>
      </c>
      <c r="CP28" s="40"/>
    </row>
    <row r="29" spans="1:94" s="41" customFormat="1" ht="20.100000000000001" customHeight="1">
      <c r="A29" s="40">
        <v>22</v>
      </c>
      <c r="B29" s="56">
        <v>62</v>
      </c>
      <c r="C29" s="69" t="s">
        <v>173</v>
      </c>
      <c r="D29" s="100" t="s">
        <v>174</v>
      </c>
      <c r="E29" s="69" t="s">
        <v>175</v>
      </c>
      <c r="F29" s="70" t="s">
        <v>176</v>
      </c>
      <c r="G29" s="113">
        <v>12</v>
      </c>
      <c r="H29" s="114">
        <v>24</v>
      </c>
      <c r="I29" s="115">
        <f t="shared" si="8"/>
        <v>36</v>
      </c>
      <c r="J29" s="114">
        <v>26</v>
      </c>
      <c r="K29" s="115">
        <f t="shared" si="38"/>
        <v>62</v>
      </c>
      <c r="L29" s="108">
        <v>18</v>
      </c>
      <c r="M29" s="116">
        <v>35</v>
      </c>
      <c r="N29" s="115">
        <f t="shared" si="9"/>
        <v>53</v>
      </c>
      <c r="O29" s="114">
        <v>20</v>
      </c>
      <c r="P29" s="74">
        <f t="shared" si="10"/>
        <v>73</v>
      </c>
      <c r="Q29" s="74">
        <f t="shared" si="11"/>
        <v>135</v>
      </c>
      <c r="R29" s="281"/>
      <c r="S29" s="73">
        <f t="shared" si="12"/>
        <v>3.5</v>
      </c>
      <c r="T29" s="108">
        <v>13</v>
      </c>
      <c r="U29" s="114">
        <v>53</v>
      </c>
      <c r="V29" s="115">
        <f t="shared" si="13"/>
        <v>66</v>
      </c>
      <c r="W29" s="108">
        <v>20</v>
      </c>
      <c r="X29" s="114">
        <v>54</v>
      </c>
      <c r="Y29" s="115">
        <f t="shared" si="14"/>
        <v>74</v>
      </c>
      <c r="Z29" s="74">
        <f t="shared" si="15"/>
        <v>140</v>
      </c>
      <c r="AA29" s="281"/>
      <c r="AB29" s="73">
        <f t="shared" si="0"/>
        <v>4</v>
      </c>
      <c r="AC29" s="108">
        <v>19</v>
      </c>
      <c r="AD29" s="114">
        <v>22</v>
      </c>
      <c r="AE29" s="115">
        <f t="shared" si="16"/>
        <v>41</v>
      </c>
      <c r="AF29" s="114">
        <v>23</v>
      </c>
      <c r="AG29" s="74">
        <f t="shared" si="17"/>
        <v>64</v>
      </c>
      <c r="AH29" s="281"/>
      <c r="AI29" s="73">
        <f t="shared" si="1"/>
        <v>3.5</v>
      </c>
      <c r="AJ29" s="108">
        <v>19</v>
      </c>
      <c r="AK29" s="114">
        <v>37</v>
      </c>
      <c r="AL29" s="115">
        <f t="shared" si="18"/>
        <v>56</v>
      </c>
      <c r="AM29" s="114">
        <v>26</v>
      </c>
      <c r="AN29" s="74">
        <f t="shared" si="19"/>
        <v>82</v>
      </c>
      <c r="AO29" s="281"/>
      <c r="AP29" s="73">
        <f t="shared" si="2"/>
        <v>5</v>
      </c>
      <c r="AQ29" s="116"/>
      <c r="AR29" s="114">
        <v>22</v>
      </c>
      <c r="AS29" s="114">
        <v>25</v>
      </c>
      <c r="AT29" s="73">
        <f t="shared" si="39"/>
        <v>47</v>
      </c>
      <c r="AU29" s="284"/>
      <c r="AV29" s="73">
        <f t="shared" si="21"/>
        <v>5</v>
      </c>
      <c r="AW29" s="108">
        <v>14</v>
      </c>
      <c r="AX29" s="114">
        <v>23</v>
      </c>
      <c r="AY29" s="115">
        <f t="shared" si="22"/>
        <v>37</v>
      </c>
      <c r="AZ29" s="114">
        <v>26</v>
      </c>
      <c r="BA29" s="74">
        <f t="shared" si="23"/>
        <v>63</v>
      </c>
      <c r="BB29" s="281"/>
      <c r="BC29" s="73">
        <f t="shared" si="24"/>
        <v>3.5</v>
      </c>
      <c r="BD29" s="108">
        <v>9</v>
      </c>
      <c r="BE29" s="114">
        <v>27</v>
      </c>
      <c r="BF29" s="115">
        <f t="shared" si="25"/>
        <v>36</v>
      </c>
      <c r="BG29" s="114">
        <v>16</v>
      </c>
      <c r="BH29" s="114">
        <v>25</v>
      </c>
      <c r="BI29" s="74">
        <f t="shared" si="26"/>
        <v>77</v>
      </c>
      <c r="BJ29" s="284"/>
      <c r="BK29" s="73">
        <f t="shared" si="3"/>
        <v>4</v>
      </c>
      <c r="BL29" s="108">
        <v>7</v>
      </c>
      <c r="BM29" s="114">
        <v>20</v>
      </c>
      <c r="BN29" s="115">
        <f t="shared" si="27"/>
        <v>27</v>
      </c>
      <c r="BO29" s="114">
        <v>13</v>
      </c>
      <c r="BP29" s="114">
        <v>25</v>
      </c>
      <c r="BQ29" s="74">
        <f t="shared" si="28"/>
        <v>65</v>
      </c>
      <c r="BR29" s="281"/>
      <c r="BS29" s="73">
        <f t="shared" si="29"/>
        <v>3.5</v>
      </c>
      <c r="BT29" s="108">
        <v>7</v>
      </c>
      <c r="BU29" s="114">
        <v>30</v>
      </c>
      <c r="BV29" s="115">
        <f t="shared" si="30"/>
        <v>37</v>
      </c>
      <c r="BW29" s="114">
        <v>19</v>
      </c>
      <c r="BX29" s="114">
        <v>23</v>
      </c>
      <c r="BY29" s="74">
        <f t="shared" si="31"/>
        <v>79</v>
      </c>
      <c r="BZ29" s="284"/>
      <c r="CA29" s="73">
        <f t="shared" si="32"/>
        <v>4</v>
      </c>
      <c r="CB29" s="108">
        <v>9</v>
      </c>
      <c r="CC29" s="114">
        <v>31</v>
      </c>
      <c r="CD29" s="115">
        <f t="shared" si="33"/>
        <v>40</v>
      </c>
      <c r="CE29" s="114">
        <v>19</v>
      </c>
      <c r="CF29" s="114">
        <v>23</v>
      </c>
      <c r="CG29" s="74">
        <f t="shared" si="34"/>
        <v>82</v>
      </c>
      <c r="CH29" s="281"/>
      <c r="CI29" s="75">
        <f t="shared" si="35"/>
        <v>5</v>
      </c>
      <c r="CJ29" s="73">
        <f t="shared" si="4"/>
        <v>39</v>
      </c>
      <c r="CK29" s="76">
        <f t="shared" si="36"/>
        <v>4.333333333333333</v>
      </c>
      <c r="CL29" s="77" t="str">
        <f t="shared" si="37"/>
        <v>A</v>
      </c>
      <c r="CM29" s="39" t="str">
        <f t="shared" si="5"/>
        <v>BETTER</v>
      </c>
      <c r="CN29" s="38">
        <f t="shared" si="6"/>
        <v>834</v>
      </c>
      <c r="CO29" s="37">
        <f t="shared" si="7"/>
        <v>25</v>
      </c>
      <c r="CP29" s="40"/>
    </row>
    <row r="30" spans="1:94" s="41" customFormat="1" ht="20.100000000000001" customHeight="1">
      <c r="A30" s="40">
        <v>23</v>
      </c>
      <c r="B30" s="56">
        <v>93</v>
      </c>
      <c r="C30" s="99" t="s">
        <v>177</v>
      </c>
      <c r="D30" s="69" t="s">
        <v>178</v>
      </c>
      <c r="E30" s="69" t="s">
        <v>179</v>
      </c>
      <c r="F30" s="70" t="s">
        <v>180</v>
      </c>
      <c r="G30" s="113">
        <v>18</v>
      </c>
      <c r="H30" s="114">
        <v>42</v>
      </c>
      <c r="I30" s="115">
        <f t="shared" si="8"/>
        <v>60</v>
      </c>
      <c r="J30" s="114">
        <v>26</v>
      </c>
      <c r="K30" s="115">
        <f t="shared" si="38"/>
        <v>86</v>
      </c>
      <c r="L30" s="108">
        <v>19</v>
      </c>
      <c r="M30" s="116">
        <v>45</v>
      </c>
      <c r="N30" s="115">
        <f t="shared" si="9"/>
        <v>64</v>
      </c>
      <c r="O30" s="114">
        <v>30</v>
      </c>
      <c r="P30" s="74">
        <f t="shared" si="10"/>
        <v>94</v>
      </c>
      <c r="Q30" s="74">
        <f t="shared" si="11"/>
        <v>180</v>
      </c>
      <c r="R30" s="281"/>
      <c r="S30" s="73">
        <f t="shared" si="12"/>
        <v>5</v>
      </c>
      <c r="T30" s="108">
        <v>16</v>
      </c>
      <c r="U30" s="114">
        <v>73</v>
      </c>
      <c r="V30" s="115">
        <f t="shared" si="13"/>
        <v>89</v>
      </c>
      <c r="W30" s="108">
        <v>20</v>
      </c>
      <c r="X30" s="114">
        <v>71</v>
      </c>
      <c r="Y30" s="115">
        <f t="shared" si="14"/>
        <v>91</v>
      </c>
      <c r="Z30" s="74">
        <f t="shared" si="15"/>
        <v>180</v>
      </c>
      <c r="AA30" s="281"/>
      <c r="AB30" s="73">
        <f t="shared" si="0"/>
        <v>5</v>
      </c>
      <c r="AC30" s="108">
        <v>19</v>
      </c>
      <c r="AD30" s="114">
        <v>46</v>
      </c>
      <c r="AE30" s="115">
        <f t="shared" si="16"/>
        <v>65</v>
      </c>
      <c r="AF30" s="114">
        <v>29</v>
      </c>
      <c r="AG30" s="74">
        <f t="shared" si="17"/>
        <v>94</v>
      </c>
      <c r="AH30" s="281"/>
      <c r="AI30" s="73">
        <f t="shared" si="1"/>
        <v>5</v>
      </c>
      <c r="AJ30" s="108">
        <v>20</v>
      </c>
      <c r="AK30" s="114">
        <v>42</v>
      </c>
      <c r="AL30" s="115">
        <f t="shared" si="18"/>
        <v>62</v>
      </c>
      <c r="AM30" s="114">
        <v>24</v>
      </c>
      <c r="AN30" s="74">
        <f t="shared" si="19"/>
        <v>86</v>
      </c>
      <c r="AO30" s="281"/>
      <c r="AP30" s="73">
        <f t="shared" si="2"/>
        <v>5</v>
      </c>
      <c r="AQ30" s="116"/>
      <c r="AR30" s="114">
        <v>23</v>
      </c>
      <c r="AS30" s="114">
        <v>25</v>
      </c>
      <c r="AT30" s="73">
        <f t="shared" si="39"/>
        <v>48</v>
      </c>
      <c r="AU30" s="284"/>
      <c r="AV30" s="73">
        <f t="shared" si="21"/>
        <v>5</v>
      </c>
      <c r="AW30" s="108">
        <v>19</v>
      </c>
      <c r="AX30" s="114">
        <v>39</v>
      </c>
      <c r="AY30" s="115">
        <f t="shared" si="22"/>
        <v>58</v>
      </c>
      <c r="AZ30" s="114">
        <v>27</v>
      </c>
      <c r="BA30" s="74">
        <f t="shared" si="23"/>
        <v>85</v>
      </c>
      <c r="BB30" s="281"/>
      <c r="BC30" s="73">
        <f t="shared" si="24"/>
        <v>5</v>
      </c>
      <c r="BD30" s="108">
        <v>10</v>
      </c>
      <c r="BE30" s="114">
        <v>38</v>
      </c>
      <c r="BF30" s="115">
        <f t="shared" si="25"/>
        <v>48</v>
      </c>
      <c r="BG30" s="114">
        <v>20</v>
      </c>
      <c r="BH30" s="114">
        <v>25</v>
      </c>
      <c r="BI30" s="74">
        <f t="shared" si="26"/>
        <v>93</v>
      </c>
      <c r="BJ30" s="284"/>
      <c r="BK30" s="73">
        <f t="shared" si="3"/>
        <v>5</v>
      </c>
      <c r="BL30" s="108">
        <v>10</v>
      </c>
      <c r="BM30" s="114">
        <v>40</v>
      </c>
      <c r="BN30" s="115">
        <f t="shared" si="27"/>
        <v>50</v>
      </c>
      <c r="BO30" s="114">
        <v>17</v>
      </c>
      <c r="BP30" s="114">
        <v>25</v>
      </c>
      <c r="BQ30" s="74">
        <f t="shared" si="28"/>
        <v>92</v>
      </c>
      <c r="BR30" s="281"/>
      <c r="BS30" s="73">
        <f t="shared" si="29"/>
        <v>5</v>
      </c>
      <c r="BT30" s="108">
        <v>10</v>
      </c>
      <c r="BU30" s="114">
        <v>38</v>
      </c>
      <c r="BV30" s="115">
        <f t="shared" si="30"/>
        <v>48</v>
      </c>
      <c r="BW30" s="114">
        <v>20</v>
      </c>
      <c r="BX30" s="114">
        <v>23</v>
      </c>
      <c r="BY30" s="74">
        <f t="shared" si="31"/>
        <v>91</v>
      </c>
      <c r="BZ30" s="284"/>
      <c r="CA30" s="73">
        <f t="shared" si="32"/>
        <v>5</v>
      </c>
      <c r="CB30" s="108">
        <v>9</v>
      </c>
      <c r="CC30" s="114">
        <v>30</v>
      </c>
      <c r="CD30" s="115">
        <f t="shared" si="33"/>
        <v>39</v>
      </c>
      <c r="CE30" s="114">
        <v>14</v>
      </c>
      <c r="CF30" s="114">
        <v>23</v>
      </c>
      <c r="CG30" s="74">
        <f t="shared" si="34"/>
        <v>76</v>
      </c>
      <c r="CH30" s="281"/>
      <c r="CI30" s="75">
        <f t="shared" si="35"/>
        <v>4</v>
      </c>
      <c r="CJ30" s="73">
        <f t="shared" si="4"/>
        <v>47</v>
      </c>
      <c r="CK30" s="76">
        <f t="shared" si="36"/>
        <v>5</v>
      </c>
      <c r="CL30" s="77" t="str">
        <f t="shared" si="37"/>
        <v>A+</v>
      </c>
      <c r="CM30" s="39" t="str">
        <f t="shared" si="5"/>
        <v>BEST</v>
      </c>
      <c r="CN30" s="38">
        <f t="shared" si="6"/>
        <v>1025</v>
      </c>
      <c r="CO30" s="37">
        <f t="shared" si="7"/>
        <v>1</v>
      </c>
      <c r="CP30" s="40"/>
    </row>
    <row r="31" spans="1:94" s="41" customFormat="1" ht="20.100000000000001" customHeight="1" thickBot="1">
      <c r="A31" s="84">
        <v>24</v>
      </c>
      <c r="B31" s="78">
        <v>95</v>
      </c>
      <c r="C31" s="101" t="s">
        <v>181</v>
      </c>
      <c r="D31" s="101"/>
      <c r="E31" s="101"/>
      <c r="F31" s="102"/>
      <c r="G31" s="113"/>
      <c r="H31" s="114">
        <v>33</v>
      </c>
      <c r="I31" s="115">
        <f t="shared" si="8"/>
        <v>33</v>
      </c>
      <c r="J31" s="114">
        <v>27</v>
      </c>
      <c r="K31" s="115">
        <f t="shared" si="38"/>
        <v>60</v>
      </c>
      <c r="L31" s="108"/>
      <c r="M31" s="116">
        <v>37</v>
      </c>
      <c r="N31" s="146">
        <f t="shared" si="9"/>
        <v>37</v>
      </c>
      <c r="O31" s="114">
        <v>28</v>
      </c>
      <c r="P31" s="80">
        <f t="shared" si="10"/>
        <v>65</v>
      </c>
      <c r="Q31" s="74">
        <f t="shared" si="11"/>
        <v>125</v>
      </c>
      <c r="R31" s="281"/>
      <c r="S31" s="73">
        <f t="shared" si="12"/>
        <v>3.5</v>
      </c>
      <c r="T31" s="108"/>
      <c r="U31" s="114">
        <v>70</v>
      </c>
      <c r="V31" s="115">
        <f t="shared" si="13"/>
        <v>70</v>
      </c>
      <c r="W31" s="108"/>
      <c r="X31" s="114">
        <v>60</v>
      </c>
      <c r="Y31" s="115">
        <f t="shared" si="14"/>
        <v>60</v>
      </c>
      <c r="Z31" s="80">
        <f t="shared" si="15"/>
        <v>130</v>
      </c>
      <c r="AA31" s="281"/>
      <c r="AB31" s="79">
        <f t="shared" si="0"/>
        <v>3.5</v>
      </c>
      <c r="AC31" s="108"/>
      <c r="AD31" s="114">
        <v>43</v>
      </c>
      <c r="AE31" s="115">
        <f t="shared" si="16"/>
        <v>43</v>
      </c>
      <c r="AF31" s="114">
        <v>27</v>
      </c>
      <c r="AG31" s="80">
        <f t="shared" si="17"/>
        <v>70</v>
      </c>
      <c r="AH31" s="281"/>
      <c r="AI31" s="79">
        <f t="shared" si="1"/>
        <v>4</v>
      </c>
      <c r="AJ31" s="108">
        <v>0</v>
      </c>
      <c r="AK31" s="114">
        <v>39</v>
      </c>
      <c r="AL31" s="115">
        <f t="shared" si="18"/>
        <v>39</v>
      </c>
      <c r="AM31" s="114">
        <v>27</v>
      </c>
      <c r="AN31" s="80">
        <f t="shared" si="19"/>
        <v>66</v>
      </c>
      <c r="AO31" s="281"/>
      <c r="AP31" s="79">
        <f t="shared" si="2"/>
        <v>3.5</v>
      </c>
      <c r="AQ31" s="116"/>
      <c r="AR31" s="114">
        <v>25</v>
      </c>
      <c r="AS31" s="114">
        <v>25</v>
      </c>
      <c r="AT31" s="79">
        <f t="shared" si="39"/>
        <v>50</v>
      </c>
      <c r="AU31" s="284"/>
      <c r="AV31" s="79">
        <f t="shared" si="21"/>
        <v>5</v>
      </c>
      <c r="AW31" s="108">
        <v>0</v>
      </c>
      <c r="AX31" s="114">
        <v>33</v>
      </c>
      <c r="AY31" s="115">
        <f t="shared" si="22"/>
        <v>33</v>
      </c>
      <c r="AZ31" s="114">
        <v>25</v>
      </c>
      <c r="BA31" s="80">
        <f t="shared" si="23"/>
        <v>58</v>
      </c>
      <c r="BB31" s="281"/>
      <c r="BC31" s="79">
        <f t="shared" si="24"/>
        <v>3</v>
      </c>
      <c r="BD31" s="108">
        <v>0</v>
      </c>
      <c r="BE31" s="114">
        <v>38</v>
      </c>
      <c r="BF31" s="115">
        <f t="shared" si="25"/>
        <v>38</v>
      </c>
      <c r="BG31" s="114">
        <v>20</v>
      </c>
      <c r="BH31" s="114">
        <v>25</v>
      </c>
      <c r="BI31" s="80">
        <f t="shared" si="26"/>
        <v>83</v>
      </c>
      <c r="BJ31" s="284"/>
      <c r="BK31" s="79">
        <f t="shared" si="3"/>
        <v>5</v>
      </c>
      <c r="BL31" s="108">
        <v>0</v>
      </c>
      <c r="BM31" s="114">
        <v>38</v>
      </c>
      <c r="BN31" s="115">
        <f t="shared" si="27"/>
        <v>38</v>
      </c>
      <c r="BO31" s="114">
        <v>21</v>
      </c>
      <c r="BP31" s="114">
        <v>25</v>
      </c>
      <c r="BQ31" s="80">
        <f t="shared" si="28"/>
        <v>84</v>
      </c>
      <c r="BR31" s="281"/>
      <c r="BS31" s="79">
        <f t="shared" si="29"/>
        <v>5</v>
      </c>
      <c r="BT31" s="108">
        <v>0</v>
      </c>
      <c r="BU31" s="114">
        <v>30</v>
      </c>
      <c r="BV31" s="115">
        <f t="shared" si="30"/>
        <v>30</v>
      </c>
      <c r="BW31" s="114">
        <v>15</v>
      </c>
      <c r="BX31" s="114">
        <v>23</v>
      </c>
      <c r="BY31" s="80">
        <f t="shared" si="31"/>
        <v>68</v>
      </c>
      <c r="BZ31" s="284"/>
      <c r="CA31" s="79">
        <f t="shared" si="32"/>
        <v>3.5</v>
      </c>
      <c r="CB31" s="108">
        <v>0</v>
      </c>
      <c r="CC31" s="114">
        <v>25</v>
      </c>
      <c r="CD31" s="115">
        <f t="shared" si="33"/>
        <v>25</v>
      </c>
      <c r="CE31" s="114">
        <v>21</v>
      </c>
      <c r="CF31" s="114">
        <v>23</v>
      </c>
      <c r="CG31" s="80">
        <f t="shared" si="34"/>
        <v>69</v>
      </c>
      <c r="CH31" s="281"/>
      <c r="CI31" s="81">
        <f t="shared" si="35"/>
        <v>3.5</v>
      </c>
      <c r="CJ31" s="79">
        <f t="shared" si="4"/>
        <v>37.5</v>
      </c>
      <c r="CK31" s="82">
        <f t="shared" si="36"/>
        <v>4.166666666666667</v>
      </c>
      <c r="CL31" s="77" t="str">
        <f t="shared" si="37"/>
        <v>A</v>
      </c>
      <c r="CM31" s="83" t="str">
        <f t="shared" si="5"/>
        <v>BETTER</v>
      </c>
      <c r="CN31" s="71">
        <f t="shared" si="6"/>
        <v>803</v>
      </c>
      <c r="CO31" s="72">
        <f t="shared" si="7"/>
        <v>30</v>
      </c>
      <c r="CP31" s="84"/>
    </row>
    <row r="32" spans="1:94" s="105" customFormat="1" ht="20.100000000000001" customHeight="1" thickTop="1">
      <c r="A32" s="94">
        <v>25</v>
      </c>
      <c r="B32" s="85">
        <v>97</v>
      </c>
      <c r="C32" s="103" t="s">
        <v>182</v>
      </c>
      <c r="D32" s="103" t="s">
        <v>183</v>
      </c>
      <c r="E32" s="103" t="s">
        <v>184</v>
      </c>
      <c r="F32" s="104" t="s">
        <v>185</v>
      </c>
      <c r="G32" s="113">
        <v>15</v>
      </c>
      <c r="H32" s="114">
        <v>29</v>
      </c>
      <c r="I32" s="115">
        <f t="shared" si="8"/>
        <v>44</v>
      </c>
      <c r="J32" s="114">
        <v>23</v>
      </c>
      <c r="K32" s="115">
        <f t="shared" si="38"/>
        <v>67</v>
      </c>
      <c r="L32" s="108">
        <v>17</v>
      </c>
      <c r="M32" s="116">
        <v>35</v>
      </c>
      <c r="N32" s="146">
        <f t="shared" si="9"/>
        <v>52</v>
      </c>
      <c r="O32" s="114">
        <v>23</v>
      </c>
      <c r="P32" s="87">
        <f t="shared" si="10"/>
        <v>75</v>
      </c>
      <c r="Q32" s="74">
        <f t="shared" si="11"/>
        <v>142</v>
      </c>
      <c r="R32" s="281"/>
      <c r="S32" s="73">
        <f t="shared" si="12"/>
        <v>4</v>
      </c>
      <c r="T32" s="108">
        <v>13</v>
      </c>
      <c r="U32" s="114">
        <v>65</v>
      </c>
      <c r="V32" s="115">
        <f t="shared" si="13"/>
        <v>78</v>
      </c>
      <c r="W32" s="108">
        <v>17</v>
      </c>
      <c r="X32" s="114">
        <v>53</v>
      </c>
      <c r="Y32" s="115">
        <f t="shared" si="14"/>
        <v>70</v>
      </c>
      <c r="Z32" s="87">
        <f t="shared" si="15"/>
        <v>148</v>
      </c>
      <c r="AA32" s="281"/>
      <c r="AB32" s="86">
        <f t="shared" si="0"/>
        <v>4</v>
      </c>
      <c r="AC32" s="108">
        <v>18</v>
      </c>
      <c r="AD32" s="114">
        <v>27</v>
      </c>
      <c r="AE32" s="115">
        <f t="shared" si="16"/>
        <v>45</v>
      </c>
      <c r="AF32" s="114">
        <v>29</v>
      </c>
      <c r="AG32" s="87">
        <f t="shared" si="17"/>
        <v>74</v>
      </c>
      <c r="AH32" s="281"/>
      <c r="AI32" s="86">
        <f t="shared" si="1"/>
        <v>4</v>
      </c>
      <c r="AJ32" s="108">
        <v>20</v>
      </c>
      <c r="AK32" s="114">
        <v>41</v>
      </c>
      <c r="AL32" s="115">
        <f t="shared" si="18"/>
        <v>61</v>
      </c>
      <c r="AM32" s="114">
        <v>20</v>
      </c>
      <c r="AN32" s="87">
        <f t="shared" si="19"/>
        <v>81</v>
      </c>
      <c r="AO32" s="281"/>
      <c r="AP32" s="86">
        <f t="shared" si="2"/>
        <v>5</v>
      </c>
      <c r="AQ32" s="116"/>
      <c r="AR32" s="114">
        <v>20</v>
      </c>
      <c r="AS32" s="114">
        <v>25</v>
      </c>
      <c r="AT32" s="86">
        <f t="shared" si="39"/>
        <v>45</v>
      </c>
      <c r="AU32" s="284"/>
      <c r="AV32" s="86">
        <f t="shared" si="21"/>
        <v>5</v>
      </c>
      <c r="AW32" s="108">
        <v>13</v>
      </c>
      <c r="AX32" s="114">
        <v>21</v>
      </c>
      <c r="AY32" s="115">
        <f t="shared" si="22"/>
        <v>34</v>
      </c>
      <c r="AZ32" s="114">
        <v>26</v>
      </c>
      <c r="BA32" s="87">
        <f t="shared" si="23"/>
        <v>60</v>
      </c>
      <c r="BB32" s="281"/>
      <c r="BC32" s="86">
        <f t="shared" si="24"/>
        <v>3.5</v>
      </c>
      <c r="BD32" s="108">
        <v>10</v>
      </c>
      <c r="BE32" s="114">
        <v>35</v>
      </c>
      <c r="BF32" s="115">
        <f t="shared" si="25"/>
        <v>45</v>
      </c>
      <c r="BG32" s="114">
        <v>16</v>
      </c>
      <c r="BH32" s="114">
        <v>25</v>
      </c>
      <c r="BI32" s="87">
        <f t="shared" si="26"/>
        <v>86</v>
      </c>
      <c r="BJ32" s="284"/>
      <c r="BK32" s="86">
        <f t="shared" si="3"/>
        <v>5</v>
      </c>
      <c r="BL32" s="108">
        <v>8</v>
      </c>
      <c r="BM32" s="114">
        <v>31</v>
      </c>
      <c r="BN32" s="115">
        <f t="shared" si="27"/>
        <v>39</v>
      </c>
      <c r="BO32" s="114">
        <v>22</v>
      </c>
      <c r="BP32" s="114">
        <v>25</v>
      </c>
      <c r="BQ32" s="87">
        <f t="shared" si="28"/>
        <v>86</v>
      </c>
      <c r="BR32" s="281"/>
      <c r="BS32" s="86">
        <f t="shared" si="29"/>
        <v>5</v>
      </c>
      <c r="BT32" s="108">
        <v>9</v>
      </c>
      <c r="BU32" s="114">
        <v>30</v>
      </c>
      <c r="BV32" s="115">
        <f t="shared" si="30"/>
        <v>39</v>
      </c>
      <c r="BW32" s="114">
        <v>16</v>
      </c>
      <c r="BX32" s="114">
        <v>23</v>
      </c>
      <c r="BY32" s="87">
        <f t="shared" si="31"/>
        <v>78</v>
      </c>
      <c r="BZ32" s="284"/>
      <c r="CA32" s="86">
        <f t="shared" si="32"/>
        <v>4</v>
      </c>
      <c r="CB32" s="108">
        <v>9</v>
      </c>
      <c r="CC32" s="114">
        <v>30</v>
      </c>
      <c r="CD32" s="115">
        <f t="shared" si="33"/>
        <v>39</v>
      </c>
      <c r="CE32" s="114">
        <v>17</v>
      </c>
      <c r="CF32" s="114">
        <v>23</v>
      </c>
      <c r="CG32" s="87">
        <f t="shared" si="34"/>
        <v>79</v>
      </c>
      <c r="CH32" s="281"/>
      <c r="CI32" s="88">
        <f t="shared" si="35"/>
        <v>4</v>
      </c>
      <c r="CJ32" s="86">
        <f t="shared" si="4"/>
        <v>41.5</v>
      </c>
      <c r="CK32" s="89">
        <f t="shared" si="36"/>
        <v>4.6111111111111107</v>
      </c>
      <c r="CL32" s="90" t="str">
        <f t="shared" si="37"/>
        <v>A</v>
      </c>
      <c r="CM32" s="91" t="str">
        <f t="shared" si="5"/>
        <v>BETTER</v>
      </c>
      <c r="CN32" s="92">
        <f t="shared" si="6"/>
        <v>879</v>
      </c>
      <c r="CO32" s="93">
        <f t="shared" si="7"/>
        <v>11</v>
      </c>
      <c r="CP32" s="94"/>
    </row>
    <row r="33" spans="1:94" s="41" customFormat="1" ht="20.100000000000001" customHeight="1">
      <c r="A33" s="40">
        <v>26</v>
      </c>
      <c r="B33" s="56">
        <v>101</v>
      </c>
      <c r="C33" s="95" t="s">
        <v>186</v>
      </c>
      <c r="D33" s="95" t="s">
        <v>187</v>
      </c>
      <c r="E33" s="95" t="s">
        <v>188</v>
      </c>
      <c r="F33" s="96" t="s">
        <v>189</v>
      </c>
      <c r="G33" s="113">
        <v>16</v>
      </c>
      <c r="H33" s="114">
        <v>26</v>
      </c>
      <c r="I33" s="115">
        <f t="shared" si="8"/>
        <v>42</v>
      </c>
      <c r="J33" s="114">
        <v>23</v>
      </c>
      <c r="K33" s="115">
        <f t="shared" si="38"/>
        <v>65</v>
      </c>
      <c r="L33" s="108">
        <v>19</v>
      </c>
      <c r="M33" s="116">
        <v>33</v>
      </c>
      <c r="N33" s="146">
        <f t="shared" si="9"/>
        <v>52</v>
      </c>
      <c r="O33" s="114">
        <v>21</v>
      </c>
      <c r="P33" s="74">
        <f t="shared" si="10"/>
        <v>73</v>
      </c>
      <c r="Q33" s="74">
        <f t="shared" si="11"/>
        <v>138</v>
      </c>
      <c r="R33" s="281"/>
      <c r="S33" s="73">
        <f t="shared" si="12"/>
        <v>3.5</v>
      </c>
      <c r="T33" s="108">
        <v>14</v>
      </c>
      <c r="U33" s="114">
        <v>65</v>
      </c>
      <c r="V33" s="115">
        <f t="shared" si="13"/>
        <v>79</v>
      </c>
      <c r="W33" s="108">
        <v>16</v>
      </c>
      <c r="X33" s="114">
        <v>57</v>
      </c>
      <c r="Y33" s="115">
        <f t="shared" si="14"/>
        <v>73</v>
      </c>
      <c r="Z33" s="74">
        <f t="shared" si="15"/>
        <v>152</v>
      </c>
      <c r="AA33" s="281"/>
      <c r="AB33" s="73">
        <f t="shared" si="0"/>
        <v>4</v>
      </c>
      <c r="AC33" s="108">
        <v>19</v>
      </c>
      <c r="AD33" s="114">
        <v>32</v>
      </c>
      <c r="AE33" s="115">
        <f t="shared" si="16"/>
        <v>51</v>
      </c>
      <c r="AF33" s="114">
        <v>29</v>
      </c>
      <c r="AG33" s="74">
        <f t="shared" si="17"/>
        <v>80</v>
      </c>
      <c r="AH33" s="281"/>
      <c r="AI33" s="73">
        <f t="shared" si="1"/>
        <v>5</v>
      </c>
      <c r="AJ33" s="108">
        <v>17</v>
      </c>
      <c r="AK33" s="114">
        <v>42</v>
      </c>
      <c r="AL33" s="115">
        <f t="shared" si="18"/>
        <v>59</v>
      </c>
      <c r="AM33" s="114">
        <v>20</v>
      </c>
      <c r="AN33" s="74">
        <f t="shared" si="19"/>
        <v>79</v>
      </c>
      <c r="AO33" s="281"/>
      <c r="AP33" s="73">
        <f t="shared" si="2"/>
        <v>4</v>
      </c>
      <c r="AQ33" s="116"/>
      <c r="AR33" s="114">
        <v>20</v>
      </c>
      <c r="AS33" s="114">
        <v>25</v>
      </c>
      <c r="AT33" s="73">
        <f t="shared" si="39"/>
        <v>45</v>
      </c>
      <c r="AU33" s="284"/>
      <c r="AV33" s="73">
        <f t="shared" si="21"/>
        <v>5</v>
      </c>
      <c r="AW33" s="108">
        <v>17</v>
      </c>
      <c r="AX33" s="114">
        <v>27</v>
      </c>
      <c r="AY33" s="115">
        <f t="shared" si="22"/>
        <v>44</v>
      </c>
      <c r="AZ33" s="114">
        <v>25</v>
      </c>
      <c r="BA33" s="74">
        <f t="shared" si="23"/>
        <v>69</v>
      </c>
      <c r="BB33" s="281"/>
      <c r="BC33" s="73">
        <f t="shared" si="24"/>
        <v>3.5</v>
      </c>
      <c r="BD33" s="108">
        <v>9</v>
      </c>
      <c r="BE33" s="114">
        <v>35</v>
      </c>
      <c r="BF33" s="115">
        <f t="shared" si="25"/>
        <v>44</v>
      </c>
      <c r="BG33" s="114">
        <v>14</v>
      </c>
      <c r="BH33" s="114">
        <v>25</v>
      </c>
      <c r="BI33" s="74">
        <f t="shared" si="26"/>
        <v>83</v>
      </c>
      <c r="BJ33" s="284"/>
      <c r="BK33" s="73">
        <f t="shared" si="3"/>
        <v>5</v>
      </c>
      <c r="BL33" s="108">
        <v>9</v>
      </c>
      <c r="BM33" s="114">
        <v>32</v>
      </c>
      <c r="BN33" s="115">
        <f t="shared" si="27"/>
        <v>41</v>
      </c>
      <c r="BO33" s="114">
        <v>19</v>
      </c>
      <c r="BP33" s="114">
        <v>25</v>
      </c>
      <c r="BQ33" s="74">
        <f t="shared" si="28"/>
        <v>85</v>
      </c>
      <c r="BR33" s="281"/>
      <c r="BS33" s="73">
        <f t="shared" si="29"/>
        <v>5</v>
      </c>
      <c r="BT33" s="108">
        <v>9</v>
      </c>
      <c r="BU33" s="114">
        <v>35</v>
      </c>
      <c r="BV33" s="115">
        <f t="shared" si="30"/>
        <v>44</v>
      </c>
      <c r="BW33" s="114">
        <v>15</v>
      </c>
      <c r="BX33" s="114">
        <v>23</v>
      </c>
      <c r="BY33" s="74">
        <f t="shared" si="31"/>
        <v>82</v>
      </c>
      <c r="BZ33" s="284"/>
      <c r="CA33" s="73">
        <f t="shared" si="32"/>
        <v>5</v>
      </c>
      <c r="CB33" s="108">
        <v>7</v>
      </c>
      <c r="CC33" s="114">
        <v>20</v>
      </c>
      <c r="CD33" s="115">
        <f t="shared" si="33"/>
        <v>27</v>
      </c>
      <c r="CE33" s="114">
        <v>15</v>
      </c>
      <c r="CF33" s="114">
        <v>23</v>
      </c>
      <c r="CG33" s="74">
        <f t="shared" si="34"/>
        <v>65</v>
      </c>
      <c r="CH33" s="281"/>
      <c r="CI33" s="75">
        <f t="shared" si="35"/>
        <v>3.5</v>
      </c>
      <c r="CJ33" s="73">
        <f t="shared" si="4"/>
        <v>41.5</v>
      </c>
      <c r="CK33" s="76">
        <f t="shared" si="36"/>
        <v>4.6111111111111107</v>
      </c>
      <c r="CL33" s="77" t="str">
        <f t="shared" si="37"/>
        <v>A</v>
      </c>
      <c r="CM33" s="39" t="str">
        <f t="shared" si="5"/>
        <v>BETTER</v>
      </c>
      <c r="CN33" s="38">
        <f t="shared" si="6"/>
        <v>878</v>
      </c>
      <c r="CO33" s="37">
        <f t="shared" si="7"/>
        <v>12</v>
      </c>
      <c r="CP33" s="40"/>
    </row>
    <row r="34" spans="1:94" s="41" customFormat="1" ht="20.100000000000001" customHeight="1">
      <c r="A34" s="40">
        <v>27</v>
      </c>
      <c r="B34" s="56">
        <v>107</v>
      </c>
      <c r="C34" s="69" t="s">
        <v>190</v>
      </c>
      <c r="D34" s="69" t="s">
        <v>191</v>
      </c>
      <c r="E34" s="69" t="s">
        <v>192</v>
      </c>
      <c r="F34" s="70" t="s">
        <v>193</v>
      </c>
      <c r="G34" s="113">
        <v>13</v>
      </c>
      <c r="H34" s="114">
        <v>24</v>
      </c>
      <c r="I34" s="115">
        <f t="shared" si="8"/>
        <v>37</v>
      </c>
      <c r="J34" s="114">
        <v>22</v>
      </c>
      <c r="K34" s="115">
        <f t="shared" si="38"/>
        <v>59</v>
      </c>
      <c r="L34" s="108">
        <v>19</v>
      </c>
      <c r="M34" s="116">
        <v>35</v>
      </c>
      <c r="N34" s="115">
        <f t="shared" si="9"/>
        <v>54</v>
      </c>
      <c r="O34" s="114">
        <v>27</v>
      </c>
      <c r="P34" s="74">
        <f t="shared" si="10"/>
        <v>81</v>
      </c>
      <c r="Q34" s="74">
        <f t="shared" si="11"/>
        <v>140</v>
      </c>
      <c r="R34" s="281"/>
      <c r="S34" s="73">
        <f t="shared" si="12"/>
        <v>4</v>
      </c>
      <c r="T34" s="108">
        <v>16</v>
      </c>
      <c r="U34" s="114">
        <v>62</v>
      </c>
      <c r="V34" s="115">
        <f t="shared" si="13"/>
        <v>78</v>
      </c>
      <c r="W34" s="108">
        <v>15</v>
      </c>
      <c r="X34" s="114">
        <v>58</v>
      </c>
      <c r="Y34" s="115">
        <f t="shared" si="14"/>
        <v>73</v>
      </c>
      <c r="Z34" s="74">
        <f t="shared" si="15"/>
        <v>151</v>
      </c>
      <c r="AA34" s="281"/>
      <c r="AB34" s="73">
        <f t="shared" si="0"/>
        <v>4</v>
      </c>
      <c r="AC34" s="108">
        <v>20</v>
      </c>
      <c r="AD34" s="114">
        <v>30</v>
      </c>
      <c r="AE34" s="115">
        <f t="shared" si="16"/>
        <v>50</v>
      </c>
      <c r="AF34" s="114">
        <v>22</v>
      </c>
      <c r="AG34" s="74">
        <f t="shared" si="17"/>
        <v>72</v>
      </c>
      <c r="AH34" s="281"/>
      <c r="AI34" s="73">
        <f t="shared" si="1"/>
        <v>4</v>
      </c>
      <c r="AJ34" s="108">
        <v>19</v>
      </c>
      <c r="AK34" s="114">
        <v>36</v>
      </c>
      <c r="AL34" s="115">
        <f t="shared" si="18"/>
        <v>55</v>
      </c>
      <c r="AM34" s="114">
        <v>26</v>
      </c>
      <c r="AN34" s="74">
        <f t="shared" si="19"/>
        <v>81</v>
      </c>
      <c r="AO34" s="281"/>
      <c r="AP34" s="73">
        <f t="shared" si="2"/>
        <v>5</v>
      </c>
      <c r="AQ34" s="116"/>
      <c r="AR34" s="114">
        <v>20</v>
      </c>
      <c r="AS34" s="114">
        <v>25</v>
      </c>
      <c r="AT34" s="73">
        <f t="shared" si="39"/>
        <v>45</v>
      </c>
      <c r="AU34" s="284"/>
      <c r="AV34" s="73">
        <f t="shared" si="21"/>
        <v>5</v>
      </c>
      <c r="AW34" s="108">
        <v>12</v>
      </c>
      <c r="AX34" s="114">
        <v>27</v>
      </c>
      <c r="AY34" s="115">
        <f t="shared" si="22"/>
        <v>39</v>
      </c>
      <c r="AZ34" s="114">
        <v>20</v>
      </c>
      <c r="BA34" s="74">
        <f t="shared" si="23"/>
        <v>59</v>
      </c>
      <c r="BB34" s="281"/>
      <c r="BC34" s="73">
        <f t="shared" si="24"/>
        <v>3</v>
      </c>
      <c r="BD34" s="108">
        <v>7</v>
      </c>
      <c r="BE34" s="114">
        <v>21</v>
      </c>
      <c r="BF34" s="115">
        <f t="shared" si="25"/>
        <v>28</v>
      </c>
      <c r="BG34" s="114">
        <v>5</v>
      </c>
      <c r="BH34" s="114">
        <v>18</v>
      </c>
      <c r="BI34" s="74">
        <f t="shared" si="26"/>
        <v>51</v>
      </c>
      <c r="BJ34" s="284"/>
      <c r="BK34" s="73" t="str">
        <f t="shared" si="3"/>
        <v>F</v>
      </c>
      <c r="BL34" s="108">
        <v>8</v>
      </c>
      <c r="BM34" s="114">
        <v>26</v>
      </c>
      <c r="BN34" s="115">
        <f t="shared" si="27"/>
        <v>34</v>
      </c>
      <c r="BO34" s="114">
        <v>11</v>
      </c>
      <c r="BP34" s="114">
        <v>25</v>
      </c>
      <c r="BQ34" s="74">
        <f t="shared" si="28"/>
        <v>70</v>
      </c>
      <c r="BR34" s="281"/>
      <c r="BS34" s="73">
        <f t="shared" si="29"/>
        <v>4</v>
      </c>
      <c r="BT34" s="108">
        <v>9</v>
      </c>
      <c r="BU34" s="114">
        <v>31</v>
      </c>
      <c r="BV34" s="115">
        <f t="shared" si="30"/>
        <v>40</v>
      </c>
      <c r="BW34" s="114">
        <v>14</v>
      </c>
      <c r="BX34" s="114">
        <v>23</v>
      </c>
      <c r="BY34" s="74">
        <f t="shared" si="31"/>
        <v>77</v>
      </c>
      <c r="BZ34" s="284"/>
      <c r="CA34" s="73">
        <f t="shared" si="32"/>
        <v>4</v>
      </c>
      <c r="CB34" s="108">
        <v>9</v>
      </c>
      <c r="CC34" s="114">
        <v>24</v>
      </c>
      <c r="CD34" s="115">
        <f t="shared" si="33"/>
        <v>33</v>
      </c>
      <c r="CE34" s="114">
        <v>13</v>
      </c>
      <c r="CF34" s="114">
        <v>23</v>
      </c>
      <c r="CG34" s="74">
        <f t="shared" si="34"/>
        <v>69</v>
      </c>
      <c r="CH34" s="281"/>
      <c r="CI34" s="75">
        <f t="shared" si="35"/>
        <v>3.5</v>
      </c>
      <c r="CJ34" s="73" t="str">
        <f t="shared" si="4"/>
        <v>F</v>
      </c>
      <c r="CK34" s="76" t="str">
        <f t="shared" si="36"/>
        <v>F</v>
      </c>
      <c r="CL34" s="77" t="str">
        <f t="shared" si="37"/>
        <v>F</v>
      </c>
      <c r="CM34" s="39" t="str">
        <f t="shared" si="5"/>
        <v>NEED TO PROGRESS</v>
      </c>
      <c r="CN34" s="38">
        <f t="shared" si="6"/>
        <v>815</v>
      </c>
      <c r="CO34" s="37" t="str">
        <f t="shared" si="7"/>
        <v>F</v>
      </c>
      <c r="CP34" s="40"/>
    </row>
    <row r="35" spans="1:94" s="41" customFormat="1" ht="20.100000000000001" customHeight="1">
      <c r="A35" s="40">
        <v>28</v>
      </c>
      <c r="B35" s="56">
        <v>108</v>
      </c>
      <c r="C35" s="69" t="s">
        <v>194</v>
      </c>
      <c r="D35" s="69" t="s">
        <v>195</v>
      </c>
      <c r="E35" s="69" t="s">
        <v>196</v>
      </c>
      <c r="F35" s="70" t="s">
        <v>197</v>
      </c>
      <c r="G35" s="113">
        <v>13</v>
      </c>
      <c r="H35" s="114">
        <v>24</v>
      </c>
      <c r="I35" s="115">
        <f t="shared" si="8"/>
        <v>37</v>
      </c>
      <c r="J35" s="114">
        <v>22</v>
      </c>
      <c r="K35" s="115">
        <f t="shared" si="38"/>
        <v>59</v>
      </c>
      <c r="L35" s="108">
        <v>19</v>
      </c>
      <c r="M35" s="116">
        <v>35</v>
      </c>
      <c r="N35" s="115">
        <f t="shared" si="9"/>
        <v>54</v>
      </c>
      <c r="O35" s="114">
        <v>26</v>
      </c>
      <c r="P35" s="74">
        <f t="shared" si="10"/>
        <v>80</v>
      </c>
      <c r="Q35" s="74">
        <f t="shared" si="11"/>
        <v>139</v>
      </c>
      <c r="R35" s="281"/>
      <c r="S35" s="73">
        <f t="shared" si="12"/>
        <v>3.5</v>
      </c>
      <c r="T35" s="108">
        <v>14</v>
      </c>
      <c r="U35" s="114">
        <v>56</v>
      </c>
      <c r="V35" s="115">
        <f t="shared" si="13"/>
        <v>70</v>
      </c>
      <c r="W35" s="108">
        <v>16</v>
      </c>
      <c r="X35" s="114">
        <v>58</v>
      </c>
      <c r="Y35" s="115">
        <f t="shared" si="14"/>
        <v>74</v>
      </c>
      <c r="Z35" s="74">
        <f t="shared" si="15"/>
        <v>144</v>
      </c>
      <c r="AA35" s="281"/>
      <c r="AB35" s="73">
        <f t="shared" si="0"/>
        <v>4</v>
      </c>
      <c r="AC35" s="108">
        <v>18</v>
      </c>
      <c r="AD35" s="114">
        <v>29</v>
      </c>
      <c r="AE35" s="115">
        <f t="shared" si="16"/>
        <v>47</v>
      </c>
      <c r="AF35" s="114">
        <v>23</v>
      </c>
      <c r="AG35" s="74">
        <f t="shared" si="17"/>
        <v>70</v>
      </c>
      <c r="AH35" s="281"/>
      <c r="AI35" s="73">
        <f t="shared" si="1"/>
        <v>4</v>
      </c>
      <c r="AJ35" s="108">
        <v>18</v>
      </c>
      <c r="AK35" s="114">
        <v>35</v>
      </c>
      <c r="AL35" s="115">
        <f t="shared" si="18"/>
        <v>53</v>
      </c>
      <c r="AM35" s="114">
        <v>22</v>
      </c>
      <c r="AN35" s="74">
        <f t="shared" si="19"/>
        <v>75</v>
      </c>
      <c r="AO35" s="281"/>
      <c r="AP35" s="73">
        <f t="shared" si="2"/>
        <v>4</v>
      </c>
      <c r="AQ35" s="116"/>
      <c r="AR35" s="114">
        <v>22</v>
      </c>
      <c r="AS35" s="114">
        <v>25</v>
      </c>
      <c r="AT35" s="73">
        <f t="shared" si="39"/>
        <v>47</v>
      </c>
      <c r="AU35" s="284"/>
      <c r="AV35" s="73">
        <f t="shared" si="21"/>
        <v>5</v>
      </c>
      <c r="AW35" s="108">
        <v>9</v>
      </c>
      <c r="AX35" s="114">
        <v>21</v>
      </c>
      <c r="AY35" s="115">
        <f t="shared" si="22"/>
        <v>30</v>
      </c>
      <c r="AZ35" s="114">
        <v>16</v>
      </c>
      <c r="BA35" s="74">
        <f t="shared" si="23"/>
        <v>46</v>
      </c>
      <c r="BB35" s="281"/>
      <c r="BC35" s="73">
        <f t="shared" si="24"/>
        <v>2</v>
      </c>
      <c r="BD35" s="108">
        <v>7</v>
      </c>
      <c r="BE35" s="114">
        <v>10</v>
      </c>
      <c r="BF35" s="115">
        <f t="shared" si="25"/>
        <v>17</v>
      </c>
      <c r="BG35" s="114">
        <v>5</v>
      </c>
      <c r="BH35" s="114">
        <v>18</v>
      </c>
      <c r="BI35" s="74">
        <f t="shared" si="26"/>
        <v>40</v>
      </c>
      <c r="BJ35" s="284"/>
      <c r="BK35" s="73" t="str">
        <f t="shared" si="3"/>
        <v>F</v>
      </c>
      <c r="BL35" s="108">
        <v>5</v>
      </c>
      <c r="BM35" s="114">
        <v>17</v>
      </c>
      <c r="BN35" s="115">
        <f t="shared" si="27"/>
        <v>22</v>
      </c>
      <c r="BO35" s="114">
        <v>14</v>
      </c>
      <c r="BP35" s="114">
        <v>25</v>
      </c>
      <c r="BQ35" s="74">
        <f t="shared" si="28"/>
        <v>61</v>
      </c>
      <c r="BR35" s="281"/>
      <c r="BS35" s="73">
        <f t="shared" si="29"/>
        <v>3.5</v>
      </c>
      <c r="BT35" s="108">
        <v>7</v>
      </c>
      <c r="BU35" s="114">
        <v>22</v>
      </c>
      <c r="BV35" s="115">
        <f t="shared" si="30"/>
        <v>29</v>
      </c>
      <c r="BW35" s="114">
        <v>12</v>
      </c>
      <c r="BX35" s="114">
        <v>23</v>
      </c>
      <c r="BY35" s="74">
        <f t="shared" si="31"/>
        <v>64</v>
      </c>
      <c r="BZ35" s="284"/>
      <c r="CA35" s="73">
        <f t="shared" si="32"/>
        <v>3.5</v>
      </c>
      <c r="CB35" s="108">
        <v>6</v>
      </c>
      <c r="CC35" s="114">
        <v>26</v>
      </c>
      <c r="CD35" s="115">
        <f t="shared" si="33"/>
        <v>32</v>
      </c>
      <c r="CE35" s="114">
        <v>15</v>
      </c>
      <c r="CF35" s="114">
        <v>23</v>
      </c>
      <c r="CG35" s="74">
        <f t="shared" si="34"/>
        <v>70</v>
      </c>
      <c r="CH35" s="281"/>
      <c r="CI35" s="75">
        <f t="shared" si="35"/>
        <v>4</v>
      </c>
      <c r="CJ35" s="73" t="str">
        <f t="shared" si="4"/>
        <v>F</v>
      </c>
      <c r="CK35" s="76" t="str">
        <f t="shared" si="36"/>
        <v>F</v>
      </c>
      <c r="CL35" s="77" t="str">
        <f t="shared" si="37"/>
        <v>F</v>
      </c>
      <c r="CM35" s="39" t="str">
        <f t="shared" si="5"/>
        <v>NEED TO PROGRESS</v>
      </c>
      <c r="CN35" s="38">
        <f t="shared" si="6"/>
        <v>756</v>
      </c>
      <c r="CO35" s="37" t="str">
        <f t="shared" si="7"/>
        <v>F</v>
      </c>
      <c r="CP35" s="40"/>
    </row>
    <row r="36" spans="1:94" s="41" customFormat="1" ht="20.100000000000001" customHeight="1">
      <c r="A36" s="40">
        <v>29</v>
      </c>
      <c r="B36" s="56">
        <v>112</v>
      </c>
      <c r="C36" s="69" t="s">
        <v>198</v>
      </c>
      <c r="D36" s="69" t="s">
        <v>199</v>
      </c>
      <c r="E36" s="69" t="s">
        <v>200</v>
      </c>
      <c r="F36" s="70" t="s">
        <v>201</v>
      </c>
      <c r="G36" s="113">
        <v>16</v>
      </c>
      <c r="H36" s="114">
        <v>38</v>
      </c>
      <c r="I36" s="115">
        <f t="shared" si="8"/>
        <v>54</v>
      </c>
      <c r="J36" s="114">
        <v>25</v>
      </c>
      <c r="K36" s="115">
        <f t="shared" si="38"/>
        <v>79</v>
      </c>
      <c r="L36" s="108">
        <v>19</v>
      </c>
      <c r="M36" s="116">
        <v>34</v>
      </c>
      <c r="N36" s="115">
        <f t="shared" si="9"/>
        <v>53</v>
      </c>
      <c r="O36" s="114">
        <v>23</v>
      </c>
      <c r="P36" s="74">
        <f t="shared" si="10"/>
        <v>76</v>
      </c>
      <c r="Q36" s="74">
        <f t="shared" si="11"/>
        <v>155</v>
      </c>
      <c r="R36" s="281"/>
      <c r="S36" s="73">
        <f t="shared" si="12"/>
        <v>4</v>
      </c>
      <c r="T36" s="108">
        <v>12</v>
      </c>
      <c r="U36" s="114">
        <v>58</v>
      </c>
      <c r="V36" s="115">
        <f t="shared" si="13"/>
        <v>70</v>
      </c>
      <c r="W36" s="108">
        <v>13</v>
      </c>
      <c r="X36" s="114">
        <v>55</v>
      </c>
      <c r="Y36" s="115">
        <f t="shared" si="14"/>
        <v>68</v>
      </c>
      <c r="Z36" s="74">
        <f t="shared" si="15"/>
        <v>138</v>
      </c>
      <c r="AA36" s="281"/>
      <c r="AB36" s="73">
        <f t="shared" si="0"/>
        <v>3.5</v>
      </c>
      <c r="AC36" s="108">
        <v>19</v>
      </c>
      <c r="AD36" s="114">
        <v>38</v>
      </c>
      <c r="AE36" s="115">
        <f t="shared" si="16"/>
        <v>57</v>
      </c>
      <c r="AF36" s="114">
        <v>25</v>
      </c>
      <c r="AG36" s="74">
        <f t="shared" si="17"/>
        <v>82</v>
      </c>
      <c r="AH36" s="281"/>
      <c r="AI36" s="73">
        <f t="shared" si="1"/>
        <v>5</v>
      </c>
      <c r="AJ36" s="108">
        <v>18</v>
      </c>
      <c r="AK36" s="114">
        <v>41</v>
      </c>
      <c r="AL36" s="115">
        <f t="shared" si="18"/>
        <v>59</v>
      </c>
      <c r="AM36" s="114">
        <v>24</v>
      </c>
      <c r="AN36" s="74">
        <f t="shared" si="19"/>
        <v>83</v>
      </c>
      <c r="AO36" s="281"/>
      <c r="AP36" s="73">
        <f t="shared" si="2"/>
        <v>5</v>
      </c>
      <c r="AQ36" s="116"/>
      <c r="AR36" s="114">
        <v>19</v>
      </c>
      <c r="AS36" s="114">
        <v>25</v>
      </c>
      <c r="AT36" s="73">
        <f t="shared" si="39"/>
        <v>44</v>
      </c>
      <c r="AU36" s="284"/>
      <c r="AV36" s="73">
        <f t="shared" si="21"/>
        <v>5</v>
      </c>
      <c r="AW36" s="108">
        <v>12</v>
      </c>
      <c r="AX36" s="114">
        <v>29</v>
      </c>
      <c r="AY36" s="115">
        <f t="shared" si="22"/>
        <v>41</v>
      </c>
      <c r="AZ36" s="114">
        <v>24</v>
      </c>
      <c r="BA36" s="74">
        <f t="shared" si="23"/>
        <v>65</v>
      </c>
      <c r="BB36" s="281"/>
      <c r="BC36" s="73">
        <f t="shared" si="24"/>
        <v>3.5</v>
      </c>
      <c r="BD36" s="108">
        <v>8</v>
      </c>
      <c r="BE36" s="114">
        <v>23</v>
      </c>
      <c r="BF36" s="115">
        <f t="shared" si="25"/>
        <v>31</v>
      </c>
      <c r="BG36" s="114">
        <v>20</v>
      </c>
      <c r="BH36" s="114">
        <v>25</v>
      </c>
      <c r="BI36" s="74">
        <f t="shared" si="26"/>
        <v>76</v>
      </c>
      <c r="BJ36" s="284"/>
      <c r="BK36" s="73">
        <f t="shared" si="3"/>
        <v>4</v>
      </c>
      <c r="BL36" s="108">
        <v>8</v>
      </c>
      <c r="BM36" s="114">
        <v>26</v>
      </c>
      <c r="BN36" s="115">
        <f t="shared" si="27"/>
        <v>34</v>
      </c>
      <c r="BO36" s="114">
        <v>11</v>
      </c>
      <c r="BP36" s="114">
        <v>25</v>
      </c>
      <c r="BQ36" s="74">
        <f t="shared" si="28"/>
        <v>70</v>
      </c>
      <c r="BR36" s="281"/>
      <c r="BS36" s="73">
        <f t="shared" si="29"/>
        <v>4</v>
      </c>
      <c r="BT36" s="108">
        <v>9</v>
      </c>
      <c r="BU36" s="114">
        <v>32</v>
      </c>
      <c r="BV36" s="115">
        <f t="shared" si="30"/>
        <v>41</v>
      </c>
      <c r="BW36" s="114">
        <v>20</v>
      </c>
      <c r="BX36" s="114">
        <v>23</v>
      </c>
      <c r="BY36" s="74">
        <f t="shared" si="31"/>
        <v>84</v>
      </c>
      <c r="BZ36" s="284"/>
      <c r="CA36" s="73">
        <f t="shared" si="32"/>
        <v>5</v>
      </c>
      <c r="CB36" s="108">
        <v>9</v>
      </c>
      <c r="CC36" s="114">
        <v>22</v>
      </c>
      <c r="CD36" s="115">
        <f t="shared" si="33"/>
        <v>31</v>
      </c>
      <c r="CE36" s="114">
        <v>15</v>
      </c>
      <c r="CF36" s="114">
        <v>23</v>
      </c>
      <c r="CG36" s="74">
        <f t="shared" si="34"/>
        <v>69</v>
      </c>
      <c r="CH36" s="281"/>
      <c r="CI36" s="75">
        <f t="shared" si="35"/>
        <v>3.5</v>
      </c>
      <c r="CJ36" s="73">
        <f t="shared" si="4"/>
        <v>40.5</v>
      </c>
      <c r="CK36" s="76">
        <f t="shared" si="36"/>
        <v>4.5</v>
      </c>
      <c r="CL36" s="77" t="str">
        <f t="shared" si="37"/>
        <v>A</v>
      </c>
      <c r="CM36" s="39" t="str">
        <f t="shared" si="5"/>
        <v>BETTER</v>
      </c>
      <c r="CN36" s="38">
        <f t="shared" si="6"/>
        <v>866</v>
      </c>
      <c r="CO36" s="37">
        <f t="shared" si="7"/>
        <v>14</v>
      </c>
      <c r="CP36" s="40"/>
    </row>
    <row r="37" spans="1:94" s="41" customFormat="1" ht="20.100000000000001" customHeight="1">
      <c r="A37" s="40">
        <v>30</v>
      </c>
      <c r="B37" s="56">
        <v>115</v>
      </c>
      <c r="C37" s="69" t="s">
        <v>202</v>
      </c>
      <c r="D37" s="69" t="s">
        <v>203</v>
      </c>
      <c r="E37" s="69" t="s">
        <v>204</v>
      </c>
      <c r="F37" s="70" t="s">
        <v>205</v>
      </c>
      <c r="G37" s="113">
        <v>17</v>
      </c>
      <c r="H37" s="114">
        <v>31</v>
      </c>
      <c r="I37" s="115">
        <f t="shared" si="8"/>
        <v>48</v>
      </c>
      <c r="J37" s="114">
        <v>26</v>
      </c>
      <c r="K37" s="115">
        <f t="shared" si="38"/>
        <v>74</v>
      </c>
      <c r="L37" s="108">
        <v>19</v>
      </c>
      <c r="M37" s="116">
        <v>34</v>
      </c>
      <c r="N37" s="115">
        <f t="shared" si="9"/>
        <v>53</v>
      </c>
      <c r="O37" s="114">
        <v>26</v>
      </c>
      <c r="P37" s="74">
        <f t="shared" si="10"/>
        <v>79</v>
      </c>
      <c r="Q37" s="74">
        <f t="shared" si="11"/>
        <v>153</v>
      </c>
      <c r="R37" s="281"/>
      <c r="S37" s="73">
        <f t="shared" si="12"/>
        <v>4</v>
      </c>
      <c r="T37" s="108">
        <v>15</v>
      </c>
      <c r="U37" s="114">
        <v>61</v>
      </c>
      <c r="V37" s="115">
        <f t="shared" si="13"/>
        <v>76</v>
      </c>
      <c r="W37" s="108">
        <v>19</v>
      </c>
      <c r="X37" s="114">
        <v>62</v>
      </c>
      <c r="Y37" s="115">
        <f t="shared" si="14"/>
        <v>81</v>
      </c>
      <c r="Z37" s="74">
        <f t="shared" si="15"/>
        <v>157</v>
      </c>
      <c r="AA37" s="281"/>
      <c r="AB37" s="73">
        <f t="shared" si="0"/>
        <v>4</v>
      </c>
      <c r="AC37" s="108">
        <v>19</v>
      </c>
      <c r="AD37" s="114">
        <v>39</v>
      </c>
      <c r="AE37" s="115">
        <f t="shared" si="16"/>
        <v>58</v>
      </c>
      <c r="AF37" s="114">
        <v>27</v>
      </c>
      <c r="AG37" s="74">
        <f t="shared" si="17"/>
        <v>85</v>
      </c>
      <c r="AH37" s="281"/>
      <c r="AI37" s="73">
        <f t="shared" si="1"/>
        <v>5</v>
      </c>
      <c r="AJ37" s="108">
        <v>18</v>
      </c>
      <c r="AK37" s="114">
        <v>42</v>
      </c>
      <c r="AL37" s="115">
        <f t="shared" si="18"/>
        <v>60</v>
      </c>
      <c r="AM37" s="114">
        <v>23</v>
      </c>
      <c r="AN37" s="74">
        <f t="shared" si="19"/>
        <v>83</v>
      </c>
      <c r="AO37" s="281"/>
      <c r="AP37" s="73">
        <f t="shared" si="2"/>
        <v>5</v>
      </c>
      <c r="AQ37" s="116"/>
      <c r="AR37" s="114">
        <v>20</v>
      </c>
      <c r="AS37" s="114">
        <v>25</v>
      </c>
      <c r="AT37" s="73">
        <f t="shared" si="39"/>
        <v>45</v>
      </c>
      <c r="AU37" s="284"/>
      <c r="AV37" s="73">
        <f t="shared" si="21"/>
        <v>5</v>
      </c>
      <c r="AW37" s="108">
        <v>14</v>
      </c>
      <c r="AX37" s="114">
        <v>34</v>
      </c>
      <c r="AY37" s="115">
        <f t="shared" si="22"/>
        <v>48</v>
      </c>
      <c r="AZ37" s="114">
        <v>26</v>
      </c>
      <c r="BA37" s="74">
        <f t="shared" si="23"/>
        <v>74</v>
      </c>
      <c r="BB37" s="281"/>
      <c r="BC37" s="73">
        <f t="shared" si="24"/>
        <v>4</v>
      </c>
      <c r="BD37" s="108">
        <v>9</v>
      </c>
      <c r="BE37" s="114">
        <v>35</v>
      </c>
      <c r="BF37" s="115">
        <f t="shared" si="25"/>
        <v>44</v>
      </c>
      <c r="BG37" s="114">
        <v>22</v>
      </c>
      <c r="BH37" s="114">
        <v>25</v>
      </c>
      <c r="BI37" s="74">
        <f t="shared" si="26"/>
        <v>91</v>
      </c>
      <c r="BJ37" s="284"/>
      <c r="BK37" s="73">
        <f t="shared" si="3"/>
        <v>5</v>
      </c>
      <c r="BL37" s="108">
        <v>8</v>
      </c>
      <c r="BM37" s="114">
        <v>36</v>
      </c>
      <c r="BN37" s="115">
        <f t="shared" si="27"/>
        <v>44</v>
      </c>
      <c r="BO37" s="114">
        <v>22</v>
      </c>
      <c r="BP37" s="114">
        <v>25</v>
      </c>
      <c r="BQ37" s="74">
        <f t="shared" si="28"/>
        <v>91</v>
      </c>
      <c r="BR37" s="281"/>
      <c r="BS37" s="73">
        <f t="shared" si="29"/>
        <v>5</v>
      </c>
      <c r="BT37" s="108">
        <v>10</v>
      </c>
      <c r="BU37" s="114">
        <v>38</v>
      </c>
      <c r="BV37" s="115">
        <f t="shared" si="30"/>
        <v>48</v>
      </c>
      <c r="BW37" s="114">
        <v>20</v>
      </c>
      <c r="BX37" s="114">
        <v>23</v>
      </c>
      <c r="BY37" s="74">
        <f t="shared" si="31"/>
        <v>91</v>
      </c>
      <c r="BZ37" s="284"/>
      <c r="CA37" s="73">
        <f t="shared" si="32"/>
        <v>5</v>
      </c>
      <c r="CB37" s="108">
        <v>7</v>
      </c>
      <c r="CC37" s="114">
        <v>36</v>
      </c>
      <c r="CD37" s="115">
        <f t="shared" si="33"/>
        <v>43</v>
      </c>
      <c r="CE37" s="114">
        <v>18</v>
      </c>
      <c r="CF37" s="114">
        <v>23</v>
      </c>
      <c r="CG37" s="74">
        <f t="shared" si="34"/>
        <v>84</v>
      </c>
      <c r="CH37" s="281"/>
      <c r="CI37" s="75">
        <f t="shared" si="35"/>
        <v>5</v>
      </c>
      <c r="CJ37" s="73">
        <f t="shared" si="4"/>
        <v>45</v>
      </c>
      <c r="CK37" s="76">
        <f t="shared" si="36"/>
        <v>5</v>
      </c>
      <c r="CL37" s="77" t="str">
        <f t="shared" si="37"/>
        <v>A+</v>
      </c>
      <c r="CM37" s="39" t="str">
        <f t="shared" si="5"/>
        <v>BEST</v>
      </c>
      <c r="CN37" s="38">
        <f t="shared" si="6"/>
        <v>954</v>
      </c>
      <c r="CO37" s="37">
        <f t="shared" si="7"/>
        <v>6</v>
      </c>
      <c r="CP37" s="40"/>
    </row>
    <row r="38" spans="1:94" s="41" customFormat="1" ht="20.100000000000001" customHeight="1">
      <c r="A38" s="40">
        <v>31</v>
      </c>
      <c r="B38" s="56">
        <v>119</v>
      </c>
      <c r="C38" s="69" t="s">
        <v>206</v>
      </c>
      <c r="D38" s="69" t="s">
        <v>207</v>
      </c>
      <c r="E38" s="69" t="s">
        <v>208</v>
      </c>
      <c r="F38" s="70" t="s">
        <v>209</v>
      </c>
      <c r="G38" s="113">
        <v>14</v>
      </c>
      <c r="H38" s="114">
        <v>27</v>
      </c>
      <c r="I38" s="115">
        <f t="shared" si="8"/>
        <v>41</v>
      </c>
      <c r="J38" s="114">
        <v>22</v>
      </c>
      <c r="K38" s="115">
        <f t="shared" si="38"/>
        <v>63</v>
      </c>
      <c r="L38" s="108">
        <v>19</v>
      </c>
      <c r="M38" s="116">
        <v>39</v>
      </c>
      <c r="N38" s="115">
        <f t="shared" si="9"/>
        <v>58</v>
      </c>
      <c r="O38" s="114">
        <v>27</v>
      </c>
      <c r="P38" s="74">
        <f t="shared" si="10"/>
        <v>85</v>
      </c>
      <c r="Q38" s="74">
        <f t="shared" si="11"/>
        <v>148</v>
      </c>
      <c r="R38" s="281"/>
      <c r="S38" s="73">
        <f t="shared" si="12"/>
        <v>4</v>
      </c>
      <c r="T38" s="108">
        <v>13</v>
      </c>
      <c r="U38" s="114">
        <v>58</v>
      </c>
      <c r="V38" s="115">
        <f t="shared" si="13"/>
        <v>71</v>
      </c>
      <c r="W38" s="108">
        <v>14</v>
      </c>
      <c r="X38" s="114">
        <v>64</v>
      </c>
      <c r="Y38" s="115">
        <f t="shared" si="14"/>
        <v>78</v>
      </c>
      <c r="Z38" s="74">
        <f t="shared" si="15"/>
        <v>149</v>
      </c>
      <c r="AA38" s="281"/>
      <c r="AB38" s="73">
        <f t="shared" si="0"/>
        <v>4</v>
      </c>
      <c r="AC38" s="108">
        <v>16</v>
      </c>
      <c r="AD38" s="114">
        <v>29</v>
      </c>
      <c r="AE38" s="115">
        <f t="shared" si="16"/>
        <v>45</v>
      </c>
      <c r="AF38" s="114">
        <v>21</v>
      </c>
      <c r="AG38" s="74">
        <f t="shared" si="17"/>
        <v>66</v>
      </c>
      <c r="AH38" s="281"/>
      <c r="AI38" s="73">
        <f t="shared" si="1"/>
        <v>3.5</v>
      </c>
      <c r="AJ38" s="108">
        <v>18</v>
      </c>
      <c r="AK38" s="114">
        <v>35</v>
      </c>
      <c r="AL38" s="115">
        <f t="shared" si="18"/>
        <v>53</v>
      </c>
      <c r="AM38" s="114">
        <v>21</v>
      </c>
      <c r="AN38" s="74">
        <f t="shared" si="19"/>
        <v>74</v>
      </c>
      <c r="AO38" s="281"/>
      <c r="AP38" s="73">
        <f t="shared" si="2"/>
        <v>4</v>
      </c>
      <c r="AQ38" s="116"/>
      <c r="AR38" s="114">
        <v>22</v>
      </c>
      <c r="AS38" s="114">
        <v>25</v>
      </c>
      <c r="AT38" s="73">
        <f t="shared" si="39"/>
        <v>47</v>
      </c>
      <c r="AU38" s="284"/>
      <c r="AV38" s="73">
        <f t="shared" si="21"/>
        <v>5</v>
      </c>
      <c r="AW38" s="108">
        <v>15</v>
      </c>
      <c r="AX38" s="114">
        <v>25</v>
      </c>
      <c r="AY38" s="115">
        <f t="shared" si="22"/>
        <v>40</v>
      </c>
      <c r="AZ38" s="114">
        <v>16</v>
      </c>
      <c r="BA38" s="74">
        <f t="shared" si="23"/>
        <v>56</v>
      </c>
      <c r="BB38" s="281"/>
      <c r="BC38" s="73">
        <f t="shared" si="24"/>
        <v>3</v>
      </c>
      <c r="BD38" s="108">
        <v>6</v>
      </c>
      <c r="BE38" s="114">
        <v>20</v>
      </c>
      <c r="BF38" s="115">
        <f t="shared" si="25"/>
        <v>26</v>
      </c>
      <c r="BG38" s="114">
        <v>10</v>
      </c>
      <c r="BH38" s="114">
        <v>25</v>
      </c>
      <c r="BI38" s="74">
        <f t="shared" si="26"/>
        <v>61</v>
      </c>
      <c r="BJ38" s="284"/>
      <c r="BK38" s="73">
        <f t="shared" si="3"/>
        <v>3.5</v>
      </c>
      <c r="BL38" s="108">
        <v>7</v>
      </c>
      <c r="BM38" s="114">
        <v>22</v>
      </c>
      <c r="BN38" s="115">
        <f t="shared" si="27"/>
        <v>29</v>
      </c>
      <c r="BO38" s="114">
        <v>13</v>
      </c>
      <c r="BP38" s="114">
        <v>25</v>
      </c>
      <c r="BQ38" s="74">
        <f t="shared" si="28"/>
        <v>67</v>
      </c>
      <c r="BR38" s="281"/>
      <c r="BS38" s="73">
        <f t="shared" si="29"/>
        <v>3.5</v>
      </c>
      <c r="BT38" s="108">
        <v>10</v>
      </c>
      <c r="BU38" s="114">
        <v>33</v>
      </c>
      <c r="BV38" s="115">
        <f t="shared" si="30"/>
        <v>43</v>
      </c>
      <c r="BW38" s="114">
        <v>19</v>
      </c>
      <c r="BX38" s="114">
        <v>23</v>
      </c>
      <c r="BY38" s="74">
        <f t="shared" si="31"/>
        <v>85</v>
      </c>
      <c r="BZ38" s="284"/>
      <c r="CA38" s="73">
        <f t="shared" si="32"/>
        <v>5</v>
      </c>
      <c r="CB38" s="108">
        <v>10</v>
      </c>
      <c r="CC38" s="114">
        <v>34</v>
      </c>
      <c r="CD38" s="115">
        <f t="shared" si="33"/>
        <v>44</v>
      </c>
      <c r="CE38" s="114">
        <v>19</v>
      </c>
      <c r="CF38" s="114">
        <v>23</v>
      </c>
      <c r="CG38" s="74">
        <f t="shared" si="34"/>
        <v>86</v>
      </c>
      <c r="CH38" s="281"/>
      <c r="CI38" s="75">
        <f t="shared" si="35"/>
        <v>5</v>
      </c>
      <c r="CJ38" s="73">
        <f t="shared" si="4"/>
        <v>38.5</v>
      </c>
      <c r="CK38" s="76">
        <f t="shared" si="36"/>
        <v>4.2777777777777777</v>
      </c>
      <c r="CL38" s="77" t="str">
        <f t="shared" si="37"/>
        <v>A</v>
      </c>
      <c r="CM38" s="39" t="str">
        <f t="shared" si="5"/>
        <v>BETTER</v>
      </c>
      <c r="CN38" s="38">
        <f t="shared" si="6"/>
        <v>839</v>
      </c>
      <c r="CO38" s="37">
        <f t="shared" si="7"/>
        <v>22</v>
      </c>
      <c r="CP38" s="40"/>
    </row>
    <row r="39" spans="1:94" s="41" customFormat="1" ht="20.100000000000001" customHeight="1">
      <c r="A39" s="40">
        <v>32</v>
      </c>
      <c r="B39" s="56">
        <v>125</v>
      </c>
      <c r="C39" s="69" t="s">
        <v>210</v>
      </c>
      <c r="D39" s="69" t="s">
        <v>211</v>
      </c>
      <c r="E39" s="69" t="s">
        <v>212</v>
      </c>
      <c r="F39" s="70" t="s">
        <v>213</v>
      </c>
      <c r="G39" s="113">
        <v>15</v>
      </c>
      <c r="H39" s="114">
        <v>41</v>
      </c>
      <c r="I39" s="115">
        <f t="shared" si="8"/>
        <v>56</v>
      </c>
      <c r="J39" s="114">
        <v>26</v>
      </c>
      <c r="K39" s="115">
        <f t="shared" si="38"/>
        <v>82</v>
      </c>
      <c r="L39" s="108">
        <v>19</v>
      </c>
      <c r="M39" s="116">
        <v>44</v>
      </c>
      <c r="N39" s="115">
        <f t="shared" si="9"/>
        <v>63</v>
      </c>
      <c r="O39" s="114">
        <v>27</v>
      </c>
      <c r="P39" s="74">
        <f t="shared" si="10"/>
        <v>90</v>
      </c>
      <c r="Q39" s="74">
        <f t="shared" si="11"/>
        <v>172</v>
      </c>
      <c r="R39" s="281"/>
      <c r="S39" s="73">
        <f t="shared" si="12"/>
        <v>5</v>
      </c>
      <c r="T39" s="108">
        <v>13</v>
      </c>
      <c r="U39" s="114">
        <v>45</v>
      </c>
      <c r="V39" s="115">
        <f t="shared" si="13"/>
        <v>58</v>
      </c>
      <c r="W39" s="108">
        <v>12</v>
      </c>
      <c r="X39" s="114">
        <v>42</v>
      </c>
      <c r="Y39" s="115">
        <f t="shared" si="14"/>
        <v>54</v>
      </c>
      <c r="Z39" s="74">
        <f t="shared" si="15"/>
        <v>112</v>
      </c>
      <c r="AA39" s="281"/>
      <c r="AB39" s="73">
        <f t="shared" si="0"/>
        <v>3</v>
      </c>
      <c r="AC39" s="108">
        <v>17</v>
      </c>
      <c r="AD39" s="114">
        <v>20</v>
      </c>
      <c r="AE39" s="115">
        <f t="shared" si="16"/>
        <v>37</v>
      </c>
      <c r="AF39" s="114">
        <v>19</v>
      </c>
      <c r="AG39" s="74">
        <f t="shared" si="17"/>
        <v>56</v>
      </c>
      <c r="AH39" s="281"/>
      <c r="AI39" s="73">
        <f t="shared" si="1"/>
        <v>3</v>
      </c>
      <c r="AJ39" s="108">
        <v>20</v>
      </c>
      <c r="AK39" s="114">
        <v>44</v>
      </c>
      <c r="AL39" s="115">
        <f t="shared" si="18"/>
        <v>64</v>
      </c>
      <c r="AM39" s="114">
        <v>20</v>
      </c>
      <c r="AN39" s="74">
        <f t="shared" si="19"/>
        <v>84</v>
      </c>
      <c r="AO39" s="281"/>
      <c r="AP39" s="73">
        <f t="shared" si="2"/>
        <v>5</v>
      </c>
      <c r="AQ39" s="116"/>
      <c r="AR39" s="114">
        <v>20</v>
      </c>
      <c r="AS39" s="114">
        <v>25</v>
      </c>
      <c r="AT39" s="73">
        <f t="shared" si="39"/>
        <v>45</v>
      </c>
      <c r="AU39" s="284"/>
      <c r="AV39" s="73">
        <f t="shared" si="21"/>
        <v>5</v>
      </c>
      <c r="AW39" s="108">
        <v>17</v>
      </c>
      <c r="AX39" s="114">
        <v>24</v>
      </c>
      <c r="AY39" s="115">
        <f t="shared" si="22"/>
        <v>41</v>
      </c>
      <c r="AZ39" s="114">
        <v>17</v>
      </c>
      <c r="BA39" s="74">
        <f t="shared" si="23"/>
        <v>58</v>
      </c>
      <c r="BB39" s="281"/>
      <c r="BC39" s="73">
        <f t="shared" si="24"/>
        <v>3</v>
      </c>
      <c r="BD39" s="108">
        <v>7</v>
      </c>
      <c r="BE39" s="114">
        <v>18</v>
      </c>
      <c r="BF39" s="115">
        <f t="shared" si="25"/>
        <v>25</v>
      </c>
      <c r="BG39" s="114">
        <v>10</v>
      </c>
      <c r="BH39" s="114">
        <v>25</v>
      </c>
      <c r="BI39" s="74">
        <f t="shared" si="26"/>
        <v>60</v>
      </c>
      <c r="BJ39" s="284"/>
      <c r="BK39" s="73">
        <f t="shared" si="3"/>
        <v>3.5</v>
      </c>
      <c r="BL39" s="108">
        <v>6</v>
      </c>
      <c r="BM39" s="114">
        <v>20</v>
      </c>
      <c r="BN39" s="115">
        <f t="shared" si="27"/>
        <v>26</v>
      </c>
      <c r="BO39" s="114">
        <v>11</v>
      </c>
      <c r="BP39" s="114">
        <v>25</v>
      </c>
      <c r="BQ39" s="74">
        <f t="shared" si="28"/>
        <v>62</v>
      </c>
      <c r="BR39" s="281"/>
      <c r="BS39" s="73">
        <f t="shared" si="29"/>
        <v>3.5</v>
      </c>
      <c r="BT39" s="108">
        <v>9</v>
      </c>
      <c r="BU39" s="114">
        <v>36</v>
      </c>
      <c r="BV39" s="115">
        <f t="shared" si="30"/>
        <v>45</v>
      </c>
      <c r="BW39" s="114">
        <v>13</v>
      </c>
      <c r="BX39" s="114">
        <v>23</v>
      </c>
      <c r="BY39" s="74">
        <f t="shared" si="31"/>
        <v>81</v>
      </c>
      <c r="BZ39" s="284"/>
      <c r="CA39" s="73">
        <f t="shared" si="32"/>
        <v>5</v>
      </c>
      <c r="CB39" s="108">
        <v>5</v>
      </c>
      <c r="CC39" s="114">
        <v>15</v>
      </c>
      <c r="CD39" s="115">
        <f t="shared" si="33"/>
        <v>20</v>
      </c>
      <c r="CE39" s="114">
        <v>13</v>
      </c>
      <c r="CF39" s="114">
        <v>23</v>
      </c>
      <c r="CG39" s="74">
        <f t="shared" si="34"/>
        <v>56</v>
      </c>
      <c r="CH39" s="281"/>
      <c r="CI39" s="75">
        <f t="shared" si="35"/>
        <v>3</v>
      </c>
      <c r="CJ39" s="73">
        <f t="shared" si="4"/>
        <v>37</v>
      </c>
      <c r="CK39" s="76">
        <f t="shared" si="36"/>
        <v>4.1111111111111107</v>
      </c>
      <c r="CL39" s="77" t="str">
        <f t="shared" si="37"/>
        <v>A</v>
      </c>
      <c r="CM39" s="39" t="str">
        <f t="shared" si="5"/>
        <v>BETTER</v>
      </c>
      <c r="CN39" s="38">
        <f t="shared" si="6"/>
        <v>786</v>
      </c>
      <c r="CO39" s="37">
        <f t="shared" si="7"/>
        <v>32</v>
      </c>
      <c r="CP39" s="40"/>
    </row>
    <row r="40" spans="1:94" s="41" customFormat="1" ht="20.100000000000001" customHeight="1">
      <c r="A40" s="40">
        <v>33</v>
      </c>
      <c r="B40" s="56">
        <v>129</v>
      </c>
      <c r="C40" s="69" t="s">
        <v>214</v>
      </c>
      <c r="D40" s="69" t="s">
        <v>215</v>
      </c>
      <c r="E40" s="69" t="s">
        <v>216</v>
      </c>
      <c r="F40" s="70" t="s">
        <v>217</v>
      </c>
      <c r="G40" s="113">
        <v>14</v>
      </c>
      <c r="H40" s="114">
        <v>29</v>
      </c>
      <c r="I40" s="115">
        <f t="shared" si="8"/>
        <v>43</v>
      </c>
      <c r="J40" s="114">
        <v>23</v>
      </c>
      <c r="K40" s="115">
        <f t="shared" si="38"/>
        <v>66</v>
      </c>
      <c r="L40" s="108">
        <v>19</v>
      </c>
      <c r="M40" s="116">
        <v>35</v>
      </c>
      <c r="N40" s="115">
        <f t="shared" si="9"/>
        <v>54</v>
      </c>
      <c r="O40" s="114">
        <v>19</v>
      </c>
      <c r="P40" s="74">
        <f t="shared" si="10"/>
        <v>73</v>
      </c>
      <c r="Q40" s="74">
        <f t="shared" si="11"/>
        <v>139</v>
      </c>
      <c r="R40" s="281"/>
      <c r="S40" s="73">
        <f t="shared" si="12"/>
        <v>3.5</v>
      </c>
      <c r="T40" s="108">
        <v>16</v>
      </c>
      <c r="U40" s="114">
        <v>55</v>
      </c>
      <c r="V40" s="115">
        <f t="shared" si="13"/>
        <v>71</v>
      </c>
      <c r="W40" s="108">
        <v>14</v>
      </c>
      <c r="X40" s="114">
        <v>54</v>
      </c>
      <c r="Y40" s="115">
        <f t="shared" si="14"/>
        <v>68</v>
      </c>
      <c r="Z40" s="74">
        <f t="shared" si="15"/>
        <v>139</v>
      </c>
      <c r="AA40" s="281"/>
      <c r="AB40" s="73">
        <f t="shared" si="0"/>
        <v>3.5</v>
      </c>
      <c r="AC40" s="108">
        <v>19</v>
      </c>
      <c r="AD40" s="114">
        <v>30</v>
      </c>
      <c r="AE40" s="115">
        <f t="shared" si="16"/>
        <v>49</v>
      </c>
      <c r="AF40" s="114">
        <v>24</v>
      </c>
      <c r="AG40" s="74">
        <f t="shared" si="17"/>
        <v>73</v>
      </c>
      <c r="AH40" s="281"/>
      <c r="AI40" s="73">
        <f t="shared" si="1"/>
        <v>4</v>
      </c>
      <c r="AJ40" s="108">
        <v>15</v>
      </c>
      <c r="AK40" s="114">
        <v>40</v>
      </c>
      <c r="AL40" s="115">
        <f t="shared" si="18"/>
        <v>55</v>
      </c>
      <c r="AM40" s="114">
        <v>20</v>
      </c>
      <c r="AN40" s="74">
        <f t="shared" si="19"/>
        <v>75</v>
      </c>
      <c r="AO40" s="281"/>
      <c r="AP40" s="73">
        <f t="shared" si="2"/>
        <v>4</v>
      </c>
      <c r="AQ40" s="116"/>
      <c r="AR40" s="114">
        <v>20</v>
      </c>
      <c r="AS40" s="114">
        <v>25</v>
      </c>
      <c r="AT40" s="73">
        <f t="shared" si="39"/>
        <v>45</v>
      </c>
      <c r="AU40" s="284"/>
      <c r="AV40" s="73">
        <f t="shared" si="21"/>
        <v>5</v>
      </c>
      <c r="AW40" s="108">
        <v>11</v>
      </c>
      <c r="AX40" s="114">
        <v>24</v>
      </c>
      <c r="AY40" s="115">
        <f t="shared" si="22"/>
        <v>35</v>
      </c>
      <c r="AZ40" s="114">
        <v>26</v>
      </c>
      <c r="BA40" s="74">
        <f t="shared" si="23"/>
        <v>61</v>
      </c>
      <c r="BB40" s="281"/>
      <c r="BC40" s="73">
        <f t="shared" si="24"/>
        <v>3.5</v>
      </c>
      <c r="BD40" s="108">
        <v>8</v>
      </c>
      <c r="BE40" s="114">
        <v>23</v>
      </c>
      <c r="BF40" s="115">
        <f t="shared" si="25"/>
        <v>31</v>
      </c>
      <c r="BG40" s="114">
        <v>16</v>
      </c>
      <c r="BH40" s="114">
        <v>25</v>
      </c>
      <c r="BI40" s="74">
        <f t="shared" si="26"/>
        <v>72</v>
      </c>
      <c r="BJ40" s="284"/>
      <c r="BK40" s="73">
        <f t="shared" si="3"/>
        <v>4</v>
      </c>
      <c r="BL40" s="108">
        <v>9</v>
      </c>
      <c r="BM40" s="114">
        <v>32</v>
      </c>
      <c r="BN40" s="115">
        <f t="shared" si="27"/>
        <v>41</v>
      </c>
      <c r="BO40" s="114">
        <v>16</v>
      </c>
      <c r="BP40" s="114">
        <v>25</v>
      </c>
      <c r="BQ40" s="74">
        <f t="shared" si="28"/>
        <v>82</v>
      </c>
      <c r="BR40" s="281"/>
      <c r="BS40" s="73">
        <f t="shared" si="29"/>
        <v>5</v>
      </c>
      <c r="BT40" s="108">
        <v>10</v>
      </c>
      <c r="BU40" s="114">
        <v>31</v>
      </c>
      <c r="BV40" s="115">
        <f t="shared" si="30"/>
        <v>41</v>
      </c>
      <c r="BW40" s="114">
        <v>15</v>
      </c>
      <c r="BX40" s="114">
        <v>23</v>
      </c>
      <c r="BY40" s="74">
        <f t="shared" si="31"/>
        <v>79</v>
      </c>
      <c r="BZ40" s="284"/>
      <c r="CA40" s="73">
        <f t="shared" si="32"/>
        <v>4</v>
      </c>
      <c r="CB40" s="108">
        <v>8</v>
      </c>
      <c r="CC40" s="114">
        <v>27</v>
      </c>
      <c r="CD40" s="115">
        <f t="shared" si="33"/>
        <v>35</v>
      </c>
      <c r="CE40" s="114">
        <v>16</v>
      </c>
      <c r="CF40" s="114">
        <v>23</v>
      </c>
      <c r="CG40" s="74">
        <f t="shared" si="34"/>
        <v>74</v>
      </c>
      <c r="CH40" s="281"/>
      <c r="CI40" s="75">
        <f t="shared" si="35"/>
        <v>4</v>
      </c>
      <c r="CJ40" s="73">
        <f t="shared" si="4"/>
        <v>38.5</v>
      </c>
      <c r="CK40" s="76">
        <f t="shared" si="36"/>
        <v>4.2777777777777777</v>
      </c>
      <c r="CL40" s="77" t="str">
        <f t="shared" si="37"/>
        <v>A</v>
      </c>
      <c r="CM40" s="39" t="str">
        <f t="shared" si="5"/>
        <v>BETTER</v>
      </c>
      <c r="CN40" s="38">
        <f t="shared" si="6"/>
        <v>839</v>
      </c>
      <c r="CO40" s="37">
        <f t="shared" si="7"/>
        <v>22</v>
      </c>
      <c r="CP40" s="40"/>
    </row>
    <row r="41" spans="1:94" s="41" customFormat="1" ht="20.100000000000001" customHeight="1">
      <c r="A41" s="40">
        <v>34</v>
      </c>
      <c r="B41" s="56">
        <v>132</v>
      </c>
      <c r="C41" s="69" t="s">
        <v>218</v>
      </c>
      <c r="D41" s="69" t="s">
        <v>219</v>
      </c>
      <c r="E41" s="69" t="s">
        <v>220</v>
      </c>
      <c r="F41" s="70" t="s">
        <v>221</v>
      </c>
      <c r="G41" s="113">
        <v>16</v>
      </c>
      <c r="H41" s="114">
        <v>39</v>
      </c>
      <c r="I41" s="115">
        <f t="shared" si="8"/>
        <v>55</v>
      </c>
      <c r="J41" s="114">
        <v>20</v>
      </c>
      <c r="K41" s="115">
        <f t="shared" si="38"/>
        <v>75</v>
      </c>
      <c r="L41" s="108">
        <v>19</v>
      </c>
      <c r="M41" s="116">
        <v>41</v>
      </c>
      <c r="N41" s="115">
        <f t="shared" si="9"/>
        <v>60</v>
      </c>
      <c r="O41" s="114">
        <v>26</v>
      </c>
      <c r="P41" s="74">
        <f t="shared" si="10"/>
        <v>86</v>
      </c>
      <c r="Q41" s="74">
        <f t="shared" si="11"/>
        <v>161</v>
      </c>
      <c r="R41" s="281"/>
      <c r="S41" s="73">
        <f t="shared" si="12"/>
        <v>5</v>
      </c>
      <c r="T41" s="108">
        <v>15</v>
      </c>
      <c r="U41" s="114">
        <v>56</v>
      </c>
      <c r="V41" s="115">
        <f t="shared" si="13"/>
        <v>71</v>
      </c>
      <c r="W41" s="108">
        <v>14</v>
      </c>
      <c r="X41" s="114">
        <v>51</v>
      </c>
      <c r="Y41" s="115">
        <f t="shared" si="14"/>
        <v>65</v>
      </c>
      <c r="Z41" s="74">
        <f t="shared" si="15"/>
        <v>136</v>
      </c>
      <c r="AA41" s="281"/>
      <c r="AB41" s="73">
        <f t="shared" si="0"/>
        <v>3.5</v>
      </c>
      <c r="AC41" s="108">
        <v>19</v>
      </c>
      <c r="AD41" s="114">
        <v>32</v>
      </c>
      <c r="AE41" s="115">
        <f t="shared" si="16"/>
        <v>51</v>
      </c>
      <c r="AF41" s="114">
        <v>24</v>
      </c>
      <c r="AG41" s="74">
        <f t="shared" si="17"/>
        <v>75</v>
      </c>
      <c r="AH41" s="281"/>
      <c r="AI41" s="73">
        <f t="shared" si="1"/>
        <v>4</v>
      </c>
      <c r="AJ41" s="108">
        <v>20</v>
      </c>
      <c r="AK41" s="114">
        <v>40</v>
      </c>
      <c r="AL41" s="115">
        <f t="shared" si="18"/>
        <v>60</v>
      </c>
      <c r="AM41" s="114">
        <v>24</v>
      </c>
      <c r="AN41" s="74">
        <f t="shared" si="19"/>
        <v>84</v>
      </c>
      <c r="AO41" s="281"/>
      <c r="AP41" s="73">
        <f t="shared" si="2"/>
        <v>5</v>
      </c>
      <c r="AQ41" s="116"/>
      <c r="AR41" s="114">
        <v>20</v>
      </c>
      <c r="AS41" s="114">
        <v>25</v>
      </c>
      <c r="AT41" s="73">
        <f t="shared" si="39"/>
        <v>45</v>
      </c>
      <c r="AU41" s="284"/>
      <c r="AV41" s="73">
        <f t="shared" si="21"/>
        <v>5</v>
      </c>
      <c r="AW41" s="108">
        <v>17</v>
      </c>
      <c r="AX41" s="114">
        <v>28</v>
      </c>
      <c r="AY41" s="115">
        <f t="shared" si="22"/>
        <v>45</v>
      </c>
      <c r="AZ41" s="114">
        <v>17</v>
      </c>
      <c r="BA41" s="74">
        <f t="shared" si="23"/>
        <v>62</v>
      </c>
      <c r="BB41" s="281"/>
      <c r="BC41" s="73">
        <f t="shared" si="24"/>
        <v>3.5</v>
      </c>
      <c r="BD41" s="108">
        <v>9</v>
      </c>
      <c r="BE41" s="114">
        <v>26</v>
      </c>
      <c r="BF41" s="115">
        <f t="shared" si="25"/>
        <v>35</v>
      </c>
      <c r="BG41" s="114">
        <v>10</v>
      </c>
      <c r="BH41" s="114">
        <v>25</v>
      </c>
      <c r="BI41" s="74">
        <f t="shared" si="26"/>
        <v>70</v>
      </c>
      <c r="BJ41" s="284"/>
      <c r="BK41" s="73">
        <f t="shared" si="3"/>
        <v>4</v>
      </c>
      <c r="BL41" s="108">
        <v>9</v>
      </c>
      <c r="BM41" s="114">
        <v>36</v>
      </c>
      <c r="BN41" s="115">
        <f t="shared" si="27"/>
        <v>45</v>
      </c>
      <c r="BO41" s="114">
        <v>14</v>
      </c>
      <c r="BP41" s="114">
        <v>25</v>
      </c>
      <c r="BQ41" s="74">
        <f t="shared" si="28"/>
        <v>84</v>
      </c>
      <c r="BR41" s="281"/>
      <c r="BS41" s="73">
        <f t="shared" si="29"/>
        <v>5</v>
      </c>
      <c r="BT41" s="108">
        <v>10</v>
      </c>
      <c r="BU41" s="114">
        <v>33</v>
      </c>
      <c r="BV41" s="115">
        <f t="shared" si="30"/>
        <v>43</v>
      </c>
      <c r="BW41" s="114">
        <v>16</v>
      </c>
      <c r="BX41" s="114">
        <v>23</v>
      </c>
      <c r="BY41" s="74">
        <f t="shared" si="31"/>
        <v>82</v>
      </c>
      <c r="BZ41" s="284"/>
      <c r="CA41" s="73">
        <f t="shared" si="32"/>
        <v>5</v>
      </c>
      <c r="CB41" s="108">
        <v>8</v>
      </c>
      <c r="CC41" s="114">
        <v>17</v>
      </c>
      <c r="CD41" s="115">
        <f t="shared" si="33"/>
        <v>25</v>
      </c>
      <c r="CE41" s="114">
        <v>14</v>
      </c>
      <c r="CF41" s="114">
        <v>23</v>
      </c>
      <c r="CG41" s="74">
        <f t="shared" si="34"/>
        <v>62</v>
      </c>
      <c r="CH41" s="281"/>
      <c r="CI41" s="75">
        <f t="shared" si="35"/>
        <v>3.5</v>
      </c>
      <c r="CJ41" s="73">
        <f t="shared" si="4"/>
        <v>41.5</v>
      </c>
      <c r="CK41" s="76">
        <f t="shared" si="36"/>
        <v>4.6111111111111107</v>
      </c>
      <c r="CL41" s="77" t="str">
        <f t="shared" si="37"/>
        <v>A</v>
      </c>
      <c r="CM41" s="39" t="str">
        <f t="shared" si="5"/>
        <v>BETTER</v>
      </c>
      <c r="CN41" s="38">
        <f t="shared" si="6"/>
        <v>861</v>
      </c>
      <c r="CO41" s="37">
        <f t="shared" si="7"/>
        <v>16</v>
      </c>
      <c r="CP41" s="40"/>
    </row>
    <row r="42" spans="1:94" s="41" customFormat="1" ht="20.100000000000001" customHeight="1">
      <c r="A42" s="40">
        <v>35</v>
      </c>
      <c r="B42" s="56">
        <v>133</v>
      </c>
      <c r="C42" s="69" t="s">
        <v>222</v>
      </c>
      <c r="D42" s="69" t="s">
        <v>223</v>
      </c>
      <c r="E42" s="69" t="s">
        <v>224</v>
      </c>
      <c r="F42" s="70" t="s">
        <v>225</v>
      </c>
      <c r="G42" s="113">
        <v>13</v>
      </c>
      <c r="H42" s="114">
        <v>17</v>
      </c>
      <c r="I42" s="115">
        <f t="shared" si="8"/>
        <v>30</v>
      </c>
      <c r="J42" s="114">
        <v>26</v>
      </c>
      <c r="K42" s="115">
        <f t="shared" si="38"/>
        <v>56</v>
      </c>
      <c r="L42" s="108">
        <v>19</v>
      </c>
      <c r="M42" s="116">
        <v>28</v>
      </c>
      <c r="N42" s="115">
        <f t="shared" si="9"/>
        <v>47</v>
      </c>
      <c r="O42" s="114">
        <v>26</v>
      </c>
      <c r="P42" s="74">
        <f t="shared" si="10"/>
        <v>73</v>
      </c>
      <c r="Q42" s="74">
        <f t="shared" si="11"/>
        <v>129</v>
      </c>
      <c r="R42" s="281"/>
      <c r="S42" s="73">
        <f t="shared" si="12"/>
        <v>3.5</v>
      </c>
      <c r="T42" s="108">
        <v>18</v>
      </c>
      <c r="U42" s="114">
        <v>52</v>
      </c>
      <c r="V42" s="115">
        <f t="shared" si="13"/>
        <v>70</v>
      </c>
      <c r="W42" s="108">
        <v>16</v>
      </c>
      <c r="X42" s="114">
        <v>61</v>
      </c>
      <c r="Y42" s="115">
        <f t="shared" si="14"/>
        <v>77</v>
      </c>
      <c r="Z42" s="74">
        <f t="shared" si="15"/>
        <v>147</v>
      </c>
      <c r="AA42" s="281"/>
      <c r="AB42" s="73">
        <f t="shared" si="0"/>
        <v>4</v>
      </c>
      <c r="AC42" s="108">
        <v>19</v>
      </c>
      <c r="AD42" s="114">
        <v>25</v>
      </c>
      <c r="AE42" s="115">
        <f t="shared" si="16"/>
        <v>44</v>
      </c>
      <c r="AF42" s="114">
        <v>23</v>
      </c>
      <c r="AG42" s="74">
        <f t="shared" si="17"/>
        <v>67</v>
      </c>
      <c r="AH42" s="281"/>
      <c r="AI42" s="73">
        <f t="shared" si="1"/>
        <v>3.5</v>
      </c>
      <c r="AJ42" s="108">
        <v>15</v>
      </c>
      <c r="AK42" s="114">
        <v>25</v>
      </c>
      <c r="AL42" s="115">
        <f t="shared" si="18"/>
        <v>40</v>
      </c>
      <c r="AM42" s="114">
        <v>24</v>
      </c>
      <c r="AN42" s="74">
        <f t="shared" si="19"/>
        <v>64</v>
      </c>
      <c r="AO42" s="281"/>
      <c r="AP42" s="73">
        <f t="shared" si="2"/>
        <v>3.5</v>
      </c>
      <c r="AQ42" s="116"/>
      <c r="AR42" s="114">
        <v>23</v>
      </c>
      <c r="AS42" s="114">
        <v>25</v>
      </c>
      <c r="AT42" s="73">
        <f t="shared" si="39"/>
        <v>48</v>
      </c>
      <c r="AU42" s="284"/>
      <c r="AV42" s="73">
        <f t="shared" si="21"/>
        <v>5</v>
      </c>
      <c r="AW42" s="108">
        <v>8</v>
      </c>
      <c r="AX42" s="114">
        <v>24</v>
      </c>
      <c r="AY42" s="115">
        <f t="shared" si="22"/>
        <v>32</v>
      </c>
      <c r="AZ42" s="114">
        <v>25</v>
      </c>
      <c r="BA42" s="74">
        <f t="shared" si="23"/>
        <v>57</v>
      </c>
      <c r="BB42" s="281"/>
      <c r="BC42" s="73">
        <f t="shared" si="24"/>
        <v>3</v>
      </c>
      <c r="BD42" s="108">
        <v>6</v>
      </c>
      <c r="BE42" s="114">
        <v>16</v>
      </c>
      <c r="BF42" s="115">
        <f t="shared" si="25"/>
        <v>22</v>
      </c>
      <c r="BG42" s="114">
        <v>18</v>
      </c>
      <c r="BH42" s="114">
        <v>25</v>
      </c>
      <c r="BI42" s="74">
        <f t="shared" si="26"/>
        <v>65</v>
      </c>
      <c r="BJ42" s="284"/>
      <c r="BK42" s="73">
        <f t="shared" si="3"/>
        <v>3.5</v>
      </c>
      <c r="BL42" s="108">
        <v>8</v>
      </c>
      <c r="BM42" s="114">
        <v>25</v>
      </c>
      <c r="BN42" s="115">
        <f t="shared" si="27"/>
        <v>33</v>
      </c>
      <c r="BO42" s="114">
        <v>16</v>
      </c>
      <c r="BP42" s="114">
        <v>25</v>
      </c>
      <c r="BQ42" s="74">
        <f t="shared" si="28"/>
        <v>74</v>
      </c>
      <c r="BR42" s="281"/>
      <c r="BS42" s="73">
        <f t="shared" si="29"/>
        <v>4</v>
      </c>
      <c r="BT42" s="108">
        <v>7</v>
      </c>
      <c r="BU42" s="114">
        <v>22</v>
      </c>
      <c r="BV42" s="115">
        <f t="shared" si="30"/>
        <v>29</v>
      </c>
      <c r="BW42" s="114">
        <v>20</v>
      </c>
      <c r="BX42" s="114">
        <v>23</v>
      </c>
      <c r="BY42" s="74">
        <f t="shared" si="31"/>
        <v>72</v>
      </c>
      <c r="BZ42" s="284"/>
      <c r="CA42" s="73">
        <f t="shared" si="32"/>
        <v>4</v>
      </c>
      <c r="CB42" s="108">
        <v>6</v>
      </c>
      <c r="CC42" s="114">
        <v>21</v>
      </c>
      <c r="CD42" s="115">
        <f t="shared" si="33"/>
        <v>27</v>
      </c>
      <c r="CE42" s="114">
        <v>12</v>
      </c>
      <c r="CF42" s="114">
        <v>23</v>
      </c>
      <c r="CG42" s="74">
        <f t="shared" si="34"/>
        <v>62</v>
      </c>
      <c r="CH42" s="281"/>
      <c r="CI42" s="75">
        <f t="shared" si="35"/>
        <v>3.5</v>
      </c>
      <c r="CJ42" s="73">
        <f t="shared" si="4"/>
        <v>35.5</v>
      </c>
      <c r="CK42" s="76">
        <f t="shared" si="36"/>
        <v>3.9444444444444446</v>
      </c>
      <c r="CL42" s="77" t="str">
        <f t="shared" si="37"/>
        <v>A-</v>
      </c>
      <c r="CM42" s="39" t="str">
        <f t="shared" si="5"/>
        <v>GOOD</v>
      </c>
      <c r="CN42" s="38">
        <f t="shared" si="6"/>
        <v>785</v>
      </c>
      <c r="CO42" s="37">
        <f t="shared" si="7"/>
        <v>33</v>
      </c>
      <c r="CP42" s="40"/>
    </row>
    <row r="43" spans="1:94" s="41" customFormat="1" ht="20.100000000000001" customHeight="1">
      <c r="A43" s="40">
        <v>36</v>
      </c>
      <c r="B43" s="56">
        <v>134</v>
      </c>
      <c r="C43" s="69" t="s">
        <v>226</v>
      </c>
      <c r="D43" s="69" t="s">
        <v>219</v>
      </c>
      <c r="E43" s="69" t="s">
        <v>220</v>
      </c>
      <c r="F43" s="70" t="s">
        <v>227</v>
      </c>
      <c r="G43" s="113">
        <v>16</v>
      </c>
      <c r="H43" s="114">
        <v>0</v>
      </c>
      <c r="I43" s="115">
        <f t="shared" si="8"/>
        <v>16</v>
      </c>
      <c r="J43" s="114">
        <v>0</v>
      </c>
      <c r="K43" s="115">
        <f t="shared" si="38"/>
        <v>16</v>
      </c>
      <c r="L43" s="108">
        <v>18</v>
      </c>
      <c r="M43" s="116">
        <v>0</v>
      </c>
      <c r="N43" s="115">
        <f t="shared" si="9"/>
        <v>18</v>
      </c>
      <c r="O43" s="114">
        <v>0</v>
      </c>
      <c r="P43" s="74">
        <f t="shared" si="10"/>
        <v>18</v>
      </c>
      <c r="Q43" s="74">
        <f t="shared" si="11"/>
        <v>34</v>
      </c>
      <c r="R43" s="281"/>
      <c r="S43" s="73" t="str">
        <f t="shared" si="12"/>
        <v>F</v>
      </c>
      <c r="T43" s="108">
        <v>15</v>
      </c>
      <c r="U43" s="114">
        <v>0</v>
      </c>
      <c r="V43" s="115">
        <f t="shared" si="13"/>
        <v>15</v>
      </c>
      <c r="W43" s="108">
        <v>18</v>
      </c>
      <c r="X43" s="114">
        <v>0</v>
      </c>
      <c r="Y43" s="115">
        <f t="shared" si="14"/>
        <v>18</v>
      </c>
      <c r="Z43" s="74">
        <f t="shared" si="15"/>
        <v>33</v>
      </c>
      <c r="AA43" s="281"/>
      <c r="AB43" s="73" t="str">
        <f t="shared" si="0"/>
        <v>F</v>
      </c>
      <c r="AC43" s="108">
        <v>19</v>
      </c>
      <c r="AD43" s="114">
        <v>0</v>
      </c>
      <c r="AE43" s="115">
        <f t="shared" si="16"/>
        <v>19</v>
      </c>
      <c r="AF43" s="114">
        <v>0</v>
      </c>
      <c r="AG43" s="74">
        <f t="shared" si="17"/>
        <v>19</v>
      </c>
      <c r="AH43" s="281"/>
      <c r="AI43" s="73" t="str">
        <f t="shared" si="1"/>
        <v>F</v>
      </c>
      <c r="AJ43" s="108">
        <v>20</v>
      </c>
      <c r="AK43" s="114">
        <v>0</v>
      </c>
      <c r="AL43" s="115">
        <f t="shared" si="18"/>
        <v>20</v>
      </c>
      <c r="AM43" s="114">
        <v>0</v>
      </c>
      <c r="AN43" s="74">
        <f t="shared" si="19"/>
        <v>20</v>
      </c>
      <c r="AO43" s="281"/>
      <c r="AP43" s="73" t="str">
        <f t="shared" si="2"/>
        <v>F</v>
      </c>
      <c r="AQ43" s="116"/>
      <c r="AR43" s="114">
        <v>0</v>
      </c>
      <c r="AS43" s="114">
        <v>25</v>
      </c>
      <c r="AT43" s="73">
        <f t="shared" si="39"/>
        <v>25</v>
      </c>
      <c r="AU43" s="284"/>
      <c r="AV43" s="73" t="str">
        <f t="shared" si="21"/>
        <v>F</v>
      </c>
      <c r="AW43" s="108">
        <v>17</v>
      </c>
      <c r="AX43" s="114">
        <v>0</v>
      </c>
      <c r="AY43" s="115">
        <f t="shared" si="22"/>
        <v>17</v>
      </c>
      <c r="AZ43" s="114">
        <v>0</v>
      </c>
      <c r="BA43" s="74">
        <f t="shared" si="23"/>
        <v>17</v>
      </c>
      <c r="BB43" s="281"/>
      <c r="BC43" s="73" t="str">
        <f t="shared" si="24"/>
        <v>F</v>
      </c>
      <c r="BD43" s="108">
        <v>8</v>
      </c>
      <c r="BE43" s="114">
        <v>0</v>
      </c>
      <c r="BF43" s="115">
        <f t="shared" si="25"/>
        <v>8</v>
      </c>
      <c r="BG43" s="114">
        <v>0</v>
      </c>
      <c r="BH43" s="114">
        <v>0</v>
      </c>
      <c r="BI43" s="74">
        <f t="shared" si="26"/>
        <v>8</v>
      </c>
      <c r="BJ43" s="284"/>
      <c r="BK43" s="73" t="str">
        <f t="shared" si="3"/>
        <v>F</v>
      </c>
      <c r="BL43" s="108">
        <v>10</v>
      </c>
      <c r="BM43" s="114">
        <v>0</v>
      </c>
      <c r="BN43" s="115">
        <f t="shared" si="27"/>
        <v>10</v>
      </c>
      <c r="BO43" s="114">
        <v>0</v>
      </c>
      <c r="BP43" s="114">
        <v>0</v>
      </c>
      <c r="BQ43" s="74">
        <f t="shared" si="28"/>
        <v>10</v>
      </c>
      <c r="BR43" s="281"/>
      <c r="BS43" s="73" t="str">
        <f t="shared" si="29"/>
        <v>F</v>
      </c>
      <c r="BT43" s="108">
        <v>9</v>
      </c>
      <c r="BU43" s="114">
        <v>0</v>
      </c>
      <c r="BV43" s="115">
        <f t="shared" si="30"/>
        <v>9</v>
      </c>
      <c r="BW43" s="114">
        <v>0</v>
      </c>
      <c r="BX43" s="114">
        <v>0</v>
      </c>
      <c r="BY43" s="74">
        <f t="shared" si="31"/>
        <v>9</v>
      </c>
      <c r="BZ43" s="284"/>
      <c r="CA43" s="73" t="str">
        <f t="shared" si="32"/>
        <v>F</v>
      </c>
      <c r="CB43" s="108">
        <v>9</v>
      </c>
      <c r="CC43" s="114">
        <v>0</v>
      </c>
      <c r="CD43" s="115">
        <f t="shared" si="33"/>
        <v>9</v>
      </c>
      <c r="CE43" s="114">
        <v>0</v>
      </c>
      <c r="CF43" s="114">
        <v>23</v>
      </c>
      <c r="CG43" s="74">
        <f t="shared" si="34"/>
        <v>32</v>
      </c>
      <c r="CH43" s="281"/>
      <c r="CI43" s="75" t="str">
        <f t="shared" si="35"/>
        <v>0</v>
      </c>
      <c r="CJ43" s="73" t="str">
        <f t="shared" si="4"/>
        <v>F</v>
      </c>
      <c r="CK43" s="76" t="str">
        <f t="shared" si="36"/>
        <v>F</v>
      </c>
      <c r="CL43" s="77" t="str">
        <f t="shared" si="37"/>
        <v>F</v>
      </c>
      <c r="CM43" s="39" t="str">
        <f t="shared" si="5"/>
        <v>NEED TO PROGRESS</v>
      </c>
      <c r="CN43" s="38">
        <f t="shared" si="6"/>
        <v>207</v>
      </c>
      <c r="CO43" s="37" t="str">
        <f t="shared" si="7"/>
        <v>F</v>
      </c>
      <c r="CP43" s="40"/>
    </row>
    <row r="44" spans="1:94" s="41" customFormat="1" ht="20.100000000000001" customHeight="1">
      <c r="A44" s="40">
        <v>37</v>
      </c>
      <c r="B44" s="56">
        <v>136</v>
      </c>
      <c r="C44" s="69" t="s">
        <v>228</v>
      </c>
      <c r="D44" s="69" t="s">
        <v>229</v>
      </c>
      <c r="E44" s="69" t="s">
        <v>230</v>
      </c>
      <c r="F44" s="70" t="s">
        <v>231</v>
      </c>
      <c r="G44" s="113">
        <v>19</v>
      </c>
      <c r="H44" s="114">
        <v>41</v>
      </c>
      <c r="I44" s="115">
        <f t="shared" si="8"/>
        <v>60</v>
      </c>
      <c r="J44" s="114">
        <v>25</v>
      </c>
      <c r="K44" s="115">
        <f t="shared" si="38"/>
        <v>85</v>
      </c>
      <c r="L44" s="108">
        <v>19</v>
      </c>
      <c r="M44" s="116">
        <v>41</v>
      </c>
      <c r="N44" s="115">
        <f t="shared" si="9"/>
        <v>60</v>
      </c>
      <c r="O44" s="114">
        <v>27</v>
      </c>
      <c r="P44" s="74">
        <f t="shared" si="10"/>
        <v>87</v>
      </c>
      <c r="Q44" s="74">
        <f t="shared" si="11"/>
        <v>172</v>
      </c>
      <c r="R44" s="281"/>
      <c r="S44" s="73">
        <f t="shared" si="12"/>
        <v>5</v>
      </c>
      <c r="T44" s="108">
        <v>13</v>
      </c>
      <c r="U44" s="114">
        <v>65</v>
      </c>
      <c r="V44" s="115">
        <f t="shared" si="13"/>
        <v>78</v>
      </c>
      <c r="W44" s="108">
        <v>20</v>
      </c>
      <c r="X44" s="114">
        <v>70</v>
      </c>
      <c r="Y44" s="115">
        <f t="shared" si="14"/>
        <v>90</v>
      </c>
      <c r="Z44" s="74">
        <f t="shared" si="15"/>
        <v>168</v>
      </c>
      <c r="AA44" s="281"/>
      <c r="AB44" s="73">
        <f t="shared" si="0"/>
        <v>5</v>
      </c>
      <c r="AC44" s="108">
        <v>19</v>
      </c>
      <c r="AD44" s="114">
        <v>44</v>
      </c>
      <c r="AE44" s="115">
        <f t="shared" si="16"/>
        <v>63</v>
      </c>
      <c r="AF44" s="114">
        <v>28</v>
      </c>
      <c r="AG44" s="74">
        <f t="shared" si="17"/>
        <v>91</v>
      </c>
      <c r="AH44" s="281"/>
      <c r="AI44" s="73">
        <f t="shared" si="1"/>
        <v>5</v>
      </c>
      <c r="AJ44" s="108">
        <v>20</v>
      </c>
      <c r="AK44" s="114">
        <v>44</v>
      </c>
      <c r="AL44" s="115">
        <f t="shared" si="18"/>
        <v>64</v>
      </c>
      <c r="AM44" s="114">
        <v>24</v>
      </c>
      <c r="AN44" s="74">
        <f t="shared" si="19"/>
        <v>88</v>
      </c>
      <c r="AO44" s="281"/>
      <c r="AP44" s="73">
        <f t="shared" si="2"/>
        <v>5</v>
      </c>
      <c r="AQ44" s="116"/>
      <c r="AR44" s="114">
        <v>20</v>
      </c>
      <c r="AS44" s="114">
        <v>25</v>
      </c>
      <c r="AT44" s="73">
        <f t="shared" si="39"/>
        <v>45</v>
      </c>
      <c r="AU44" s="284"/>
      <c r="AV44" s="73">
        <f t="shared" si="21"/>
        <v>5</v>
      </c>
      <c r="AW44" s="108">
        <v>17</v>
      </c>
      <c r="AX44" s="114">
        <v>38</v>
      </c>
      <c r="AY44" s="115">
        <f t="shared" si="22"/>
        <v>55</v>
      </c>
      <c r="AZ44" s="114">
        <v>19</v>
      </c>
      <c r="BA44" s="74">
        <f t="shared" si="23"/>
        <v>74</v>
      </c>
      <c r="BB44" s="281"/>
      <c r="BC44" s="73">
        <f t="shared" si="24"/>
        <v>4</v>
      </c>
      <c r="BD44" s="108">
        <v>10</v>
      </c>
      <c r="BE44" s="114">
        <v>30</v>
      </c>
      <c r="BF44" s="115">
        <f t="shared" si="25"/>
        <v>40</v>
      </c>
      <c r="BG44" s="114">
        <v>14</v>
      </c>
      <c r="BH44" s="114">
        <v>25</v>
      </c>
      <c r="BI44" s="74">
        <f t="shared" si="26"/>
        <v>79</v>
      </c>
      <c r="BJ44" s="284"/>
      <c r="BK44" s="73">
        <f t="shared" si="3"/>
        <v>4</v>
      </c>
      <c r="BL44" s="108">
        <v>9</v>
      </c>
      <c r="BM44" s="114">
        <v>38</v>
      </c>
      <c r="BN44" s="115">
        <f t="shared" si="27"/>
        <v>47</v>
      </c>
      <c r="BO44" s="114">
        <v>14</v>
      </c>
      <c r="BP44" s="114">
        <v>25</v>
      </c>
      <c r="BQ44" s="74">
        <f t="shared" si="28"/>
        <v>86</v>
      </c>
      <c r="BR44" s="281"/>
      <c r="BS44" s="73">
        <f t="shared" si="29"/>
        <v>5</v>
      </c>
      <c r="BT44" s="108">
        <v>10</v>
      </c>
      <c r="BU44" s="114">
        <v>38</v>
      </c>
      <c r="BV44" s="115">
        <f t="shared" si="30"/>
        <v>48</v>
      </c>
      <c r="BW44" s="114">
        <v>21</v>
      </c>
      <c r="BX44" s="114">
        <v>23</v>
      </c>
      <c r="BY44" s="74">
        <f t="shared" si="31"/>
        <v>92</v>
      </c>
      <c r="BZ44" s="284"/>
      <c r="CA44" s="73">
        <f t="shared" si="32"/>
        <v>5</v>
      </c>
      <c r="CB44" s="108">
        <v>9</v>
      </c>
      <c r="CC44" s="114">
        <v>37</v>
      </c>
      <c r="CD44" s="115">
        <f t="shared" si="33"/>
        <v>46</v>
      </c>
      <c r="CE44" s="114">
        <v>18</v>
      </c>
      <c r="CF44" s="114">
        <v>23</v>
      </c>
      <c r="CG44" s="74">
        <f t="shared" si="34"/>
        <v>87</v>
      </c>
      <c r="CH44" s="281"/>
      <c r="CI44" s="75">
        <f t="shared" si="35"/>
        <v>5</v>
      </c>
      <c r="CJ44" s="73">
        <f t="shared" si="4"/>
        <v>46</v>
      </c>
      <c r="CK44" s="76">
        <f t="shared" si="36"/>
        <v>5</v>
      </c>
      <c r="CL44" s="77" t="str">
        <f t="shared" si="37"/>
        <v>A+</v>
      </c>
      <c r="CM44" s="39" t="str">
        <f t="shared" si="5"/>
        <v>BEST</v>
      </c>
      <c r="CN44" s="38">
        <f t="shared" si="6"/>
        <v>982</v>
      </c>
      <c r="CO44" s="37">
        <f t="shared" si="7"/>
        <v>5</v>
      </c>
      <c r="CP44" s="40"/>
    </row>
    <row r="45" spans="1:94" s="41" customFormat="1" ht="20.100000000000001" customHeight="1" thickBot="1">
      <c r="A45" s="84">
        <v>38</v>
      </c>
      <c r="B45" s="78">
        <v>142</v>
      </c>
      <c r="C45" s="106" t="s">
        <v>232</v>
      </c>
      <c r="D45" s="106" t="s">
        <v>233</v>
      </c>
      <c r="E45" s="106" t="s">
        <v>234</v>
      </c>
      <c r="F45" s="107" t="s">
        <v>235</v>
      </c>
      <c r="G45" s="113">
        <v>16</v>
      </c>
      <c r="H45" s="114">
        <v>36</v>
      </c>
      <c r="I45" s="115">
        <f t="shared" si="8"/>
        <v>52</v>
      </c>
      <c r="J45" s="114">
        <v>23</v>
      </c>
      <c r="K45" s="115">
        <f t="shared" si="38"/>
        <v>75</v>
      </c>
      <c r="L45" s="108">
        <v>19</v>
      </c>
      <c r="M45" s="116">
        <v>42</v>
      </c>
      <c r="N45" s="115">
        <f t="shared" si="9"/>
        <v>61</v>
      </c>
      <c r="O45" s="114">
        <v>26</v>
      </c>
      <c r="P45" s="80">
        <f t="shared" si="10"/>
        <v>87</v>
      </c>
      <c r="Q45" s="74">
        <f t="shared" si="11"/>
        <v>162</v>
      </c>
      <c r="R45" s="281"/>
      <c r="S45" s="73">
        <f t="shared" si="12"/>
        <v>5</v>
      </c>
      <c r="T45" s="108">
        <v>15</v>
      </c>
      <c r="U45" s="114">
        <v>51</v>
      </c>
      <c r="V45" s="115">
        <f t="shared" si="13"/>
        <v>66</v>
      </c>
      <c r="W45" s="108">
        <v>14</v>
      </c>
      <c r="X45" s="114">
        <v>30</v>
      </c>
      <c r="Y45" s="115">
        <f t="shared" si="14"/>
        <v>44</v>
      </c>
      <c r="Z45" s="80">
        <f t="shared" si="15"/>
        <v>110</v>
      </c>
      <c r="AA45" s="281"/>
      <c r="AB45" s="79">
        <f t="shared" si="0"/>
        <v>3</v>
      </c>
      <c r="AC45" s="108">
        <v>16</v>
      </c>
      <c r="AD45" s="114">
        <v>34</v>
      </c>
      <c r="AE45" s="115">
        <f t="shared" si="16"/>
        <v>50</v>
      </c>
      <c r="AF45" s="114">
        <v>18</v>
      </c>
      <c r="AG45" s="80">
        <f t="shared" si="17"/>
        <v>68</v>
      </c>
      <c r="AH45" s="281"/>
      <c r="AI45" s="79">
        <f t="shared" si="1"/>
        <v>3.5</v>
      </c>
      <c r="AJ45" s="108">
        <v>20</v>
      </c>
      <c r="AK45" s="114">
        <v>37</v>
      </c>
      <c r="AL45" s="115">
        <f t="shared" si="18"/>
        <v>57</v>
      </c>
      <c r="AM45" s="114">
        <v>21</v>
      </c>
      <c r="AN45" s="80">
        <f t="shared" si="19"/>
        <v>78</v>
      </c>
      <c r="AO45" s="281"/>
      <c r="AP45" s="79">
        <f t="shared" si="2"/>
        <v>4</v>
      </c>
      <c r="AQ45" s="116"/>
      <c r="AR45" s="114">
        <v>18</v>
      </c>
      <c r="AS45" s="114">
        <v>25</v>
      </c>
      <c r="AT45" s="79">
        <f t="shared" si="39"/>
        <v>43</v>
      </c>
      <c r="AU45" s="284"/>
      <c r="AV45" s="79">
        <f t="shared" si="21"/>
        <v>5</v>
      </c>
      <c r="AW45" s="108">
        <v>15</v>
      </c>
      <c r="AX45" s="114">
        <v>28</v>
      </c>
      <c r="AY45" s="115">
        <f t="shared" si="22"/>
        <v>43</v>
      </c>
      <c r="AZ45" s="114">
        <v>18</v>
      </c>
      <c r="BA45" s="80">
        <f t="shared" si="23"/>
        <v>61</v>
      </c>
      <c r="BB45" s="281"/>
      <c r="BC45" s="79">
        <f t="shared" si="24"/>
        <v>3.5</v>
      </c>
      <c r="BD45" s="108">
        <v>7</v>
      </c>
      <c r="BE45" s="114">
        <v>16</v>
      </c>
      <c r="BF45" s="115">
        <f t="shared" si="25"/>
        <v>23</v>
      </c>
      <c r="BG45" s="114">
        <v>11</v>
      </c>
      <c r="BH45" s="114">
        <v>25</v>
      </c>
      <c r="BI45" s="80">
        <f t="shared" si="26"/>
        <v>59</v>
      </c>
      <c r="BJ45" s="284"/>
      <c r="BK45" s="79">
        <f t="shared" si="3"/>
        <v>3</v>
      </c>
      <c r="BL45" s="108">
        <v>8</v>
      </c>
      <c r="BM45" s="114">
        <v>20</v>
      </c>
      <c r="BN45" s="115">
        <f t="shared" si="27"/>
        <v>28</v>
      </c>
      <c r="BO45" s="114">
        <v>10</v>
      </c>
      <c r="BP45" s="114">
        <v>25</v>
      </c>
      <c r="BQ45" s="80">
        <f t="shared" si="28"/>
        <v>63</v>
      </c>
      <c r="BR45" s="281"/>
      <c r="BS45" s="79">
        <f t="shared" si="29"/>
        <v>3.5</v>
      </c>
      <c r="BT45" s="108">
        <v>9</v>
      </c>
      <c r="BU45" s="114">
        <v>38</v>
      </c>
      <c r="BV45" s="115">
        <f t="shared" si="30"/>
        <v>47</v>
      </c>
      <c r="BW45" s="114">
        <v>18</v>
      </c>
      <c r="BX45" s="114">
        <v>23</v>
      </c>
      <c r="BY45" s="80">
        <f t="shared" si="31"/>
        <v>88</v>
      </c>
      <c r="BZ45" s="284"/>
      <c r="CA45" s="79">
        <f t="shared" si="32"/>
        <v>5</v>
      </c>
      <c r="CB45" s="108">
        <v>7</v>
      </c>
      <c r="CC45" s="114">
        <v>22</v>
      </c>
      <c r="CD45" s="115">
        <f t="shared" si="33"/>
        <v>29</v>
      </c>
      <c r="CE45" s="114">
        <v>14</v>
      </c>
      <c r="CF45" s="114">
        <v>23</v>
      </c>
      <c r="CG45" s="80">
        <f t="shared" si="34"/>
        <v>66</v>
      </c>
      <c r="CH45" s="281"/>
      <c r="CI45" s="81">
        <f t="shared" si="35"/>
        <v>3.5</v>
      </c>
      <c r="CJ45" s="79">
        <f t="shared" si="4"/>
        <v>37</v>
      </c>
      <c r="CK45" s="82">
        <f t="shared" si="36"/>
        <v>4.1111111111111107</v>
      </c>
      <c r="CL45" s="77" t="str">
        <f t="shared" si="37"/>
        <v>A</v>
      </c>
      <c r="CM45" s="83" t="str">
        <f t="shared" si="5"/>
        <v>BETTER</v>
      </c>
      <c r="CN45" s="71">
        <f t="shared" si="6"/>
        <v>798</v>
      </c>
      <c r="CO45" s="72">
        <f t="shared" si="7"/>
        <v>31</v>
      </c>
      <c r="CP45" s="84"/>
    </row>
    <row r="46" spans="1:94" s="105" customFormat="1" ht="20.100000000000001" customHeight="1" thickTop="1">
      <c r="A46" s="94">
        <v>39</v>
      </c>
      <c r="B46" s="85">
        <v>18</v>
      </c>
      <c r="C46" s="103" t="s">
        <v>236</v>
      </c>
      <c r="D46" s="103" t="s">
        <v>237</v>
      </c>
      <c r="E46" s="103" t="s">
        <v>238</v>
      </c>
      <c r="F46" s="104" t="s">
        <v>239</v>
      </c>
      <c r="G46" s="113">
        <v>13</v>
      </c>
      <c r="H46" s="114">
        <v>19</v>
      </c>
      <c r="I46" s="115">
        <f>H46+G46</f>
        <v>32</v>
      </c>
      <c r="J46" s="114">
        <v>18</v>
      </c>
      <c r="K46" s="115">
        <f>I46+J46</f>
        <v>50</v>
      </c>
      <c r="L46" s="108">
        <v>19</v>
      </c>
      <c r="M46" s="114">
        <v>36</v>
      </c>
      <c r="N46" s="115">
        <f t="shared" ref="N46:N94" si="40">M46*0.714+L46</f>
        <v>44.704000000000001</v>
      </c>
      <c r="O46" s="114">
        <v>16</v>
      </c>
      <c r="P46" s="87">
        <f t="shared" si="10"/>
        <v>60.704000000000001</v>
      </c>
      <c r="Q46" s="74">
        <f t="shared" si="11"/>
        <v>110.70400000000001</v>
      </c>
      <c r="R46" s="281"/>
      <c r="S46" s="73">
        <f t="shared" si="12"/>
        <v>3</v>
      </c>
      <c r="T46" s="108">
        <v>19</v>
      </c>
      <c r="U46" s="114">
        <v>55</v>
      </c>
      <c r="V46" s="115">
        <f>U46+T46</f>
        <v>74</v>
      </c>
      <c r="W46" s="108">
        <v>13</v>
      </c>
      <c r="X46" s="114">
        <v>42</v>
      </c>
      <c r="Y46" s="115">
        <f>X46+W46</f>
        <v>55</v>
      </c>
      <c r="Z46" s="87">
        <f t="shared" si="15"/>
        <v>129</v>
      </c>
      <c r="AA46" s="281"/>
      <c r="AB46" s="86">
        <f t="shared" si="0"/>
        <v>3.5</v>
      </c>
      <c r="AC46" s="108">
        <v>20</v>
      </c>
      <c r="AD46" s="114">
        <v>29</v>
      </c>
      <c r="AE46" s="115">
        <f>AD46+AC46</f>
        <v>49</v>
      </c>
      <c r="AF46" s="114">
        <v>21</v>
      </c>
      <c r="AG46" s="87">
        <f t="shared" si="17"/>
        <v>70</v>
      </c>
      <c r="AH46" s="281"/>
      <c r="AI46" s="86">
        <f t="shared" si="1"/>
        <v>4</v>
      </c>
      <c r="AJ46" s="108">
        <v>16</v>
      </c>
      <c r="AK46" s="114">
        <v>33</v>
      </c>
      <c r="AL46" s="115">
        <f>AK46+AJ46</f>
        <v>49</v>
      </c>
      <c r="AM46" s="114">
        <v>18</v>
      </c>
      <c r="AN46" s="87">
        <f t="shared" si="19"/>
        <v>67</v>
      </c>
      <c r="AO46" s="281"/>
      <c r="AP46" s="86">
        <f t="shared" si="2"/>
        <v>3.5</v>
      </c>
      <c r="AQ46" s="116"/>
      <c r="AR46" s="116">
        <v>20</v>
      </c>
      <c r="AS46" s="114">
        <v>23</v>
      </c>
      <c r="AT46" s="86">
        <f t="shared" si="39"/>
        <v>43</v>
      </c>
      <c r="AU46" s="284"/>
      <c r="AV46" s="86">
        <f t="shared" si="21"/>
        <v>5</v>
      </c>
      <c r="AW46" s="108">
        <v>12</v>
      </c>
      <c r="AX46" s="114">
        <v>24</v>
      </c>
      <c r="AY46" s="115">
        <f t="shared" si="22"/>
        <v>36</v>
      </c>
      <c r="AZ46" s="114">
        <v>18</v>
      </c>
      <c r="BA46" s="87">
        <f t="shared" si="23"/>
        <v>54</v>
      </c>
      <c r="BB46" s="281"/>
      <c r="BC46" s="86">
        <f t="shared" si="24"/>
        <v>3</v>
      </c>
      <c r="BD46" s="108">
        <v>7</v>
      </c>
      <c r="BE46" s="114">
        <v>22</v>
      </c>
      <c r="BF46" s="115">
        <f>BE46+BD46</f>
        <v>29</v>
      </c>
      <c r="BG46" s="114">
        <v>10</v>
      </c>
      <c r="BH46" s="114">
        <v>22</v>
      </c>
      <c r="BI46" s="87">
        <f t="shared" si="26"/>
        <v>61</v>
      </c>
      <c r="BJ46" s="284"/>
      <c r="BK46" s="86">
        <f t="shared" si="3"/>
        <v>3.5</v>
      </c>
      <c r="BL46" s="108">
        <v>8</v>
      </c>
      <c r="BM46" s="114">
        <v>16</v>
      </c>
      <c r="BN46" s="115">
        <f>BM46+BL46</f>
        <v>24</v>
      </c>
      <c r="BO46" s="114">
        <v>10</v>
      </c>
      <c r="BP46" s="114">
        <v>22</v>
      </c>
      <c r="BQ46" s="87">
        <f t="shared" si="28"/>
        <v>56</v>
      </c>
      <c r="BR46" s="281"/>
      <c r="BS46" s="86">
        <f t="shared" si="29"/>
        <v>3</v>
      </c>
      <c r="BT46" s="108">
        <v>8</v>
      </c>
      <c r="BU46" s="114">
        <v>26</v>
      </c>
      <c r="BV46" s="115">
        <f>BU46+BT46</f>
        <v>34</v>
      </c>
      <c r="BW46" s="114">
        <v>13</v>
      </c>
      <c r="BX46" s="114">
        <v>22</v>
      </c>
      <c r="BY46" s="87">
        <f t="shared" si="31"/>
        <v>69</v>
      </c>
      <c r="BZ46" s="284"/>
      <c r="CA46" s="86">
        <f t="shared" si="32"/>
        <v>3.5</v>
      </c>
      <c r="CB46" s="108">
        <v>7</v>
      </c>
      <c r="CC46" s="114">
        <v>21</v>
      </c>
      <c r="CD46" s="115">
        <f>CC46+CB46</f>
        <v>28</v>
      </c>
      <c r="CE46" s="114">
        <v>12</v>
      </c>
      <c r="CF46" s="114">
        <v>22</v>
      </c>
      <c r="CG46" s="87">
        <f t="shared" si="34"/>
        <v>62</v>
      </c>
      <c r="CH46" s="281"/>
      <c r="CI46" s="88">
        <f t="shared" si="35"/>
        <v>3.5</v>
      </c>
      <c r="CJ46" s="86">
        <f t="shared" si="4"/>
        <v>33.5</v>
      </c>
      <c r="CK46" s="89">
        <f t="shared" si="36"/>
        <v>3.7222222222222223</v>
      </c>
      <c r="CL46" s="90" t="str">
        <f t="shared" si="37"/>
        <v>A-</v>
      </c>
      <c r="CM46" s="91" t="str">
        <f t="shared" si="5"/>
        <v>GOOD</v>
      </c>
      <c r="CN46" s="92">
        <f t="shared" si="6"/>
        <v>721.70399999999995</v>
      </c>
      <c r="CO46" s="93">
        <f t="shared" si="7"/>
        <v>43</v>
      </c>
      <c r="CP46" s="94"/>
    </row>
    <row r="47" spans="1:94" s="41" customFormat="1" ht="20.100000000000001" customHeight="1">
      <c r="A47" s="40">
        <v>40</v>
      </c>
      <c r="B47" s="56">
        <v>20</v>
      </c>
      <c r="C47" s="69" t="s">
        <v>240</v>
      </c>
      <c r="D47" s="69" t="s">
        <v>241</v>
      </c>
      <c r="E47" s="69" t="s">
        <v>242</v>
      </c>
      <c r="F47" s="97" t="s">
        <v>243</v>
      </c>
      <c r="G47" s="113">
        <v>13</v>
      </c>
      <c r="H47" s="114">
        <v>24</v>
      </c>
      <c r="I47" s="115">
        <f t="shared" ref="I47:I94" si="41">H47+G47</f>
        <v>37</v>
      </c>
      <c r="J47" s="114">
        <v>11</v>
      </c>
      <c r="K47" s="115">
        <f t="shared" ref="K47:K94" si="42">I47+J47</f>
        <v>48</v>
      </c>
      <c r="L47" s="108">
        <v>18</v>
      </c>
      <c r="M47" s="114">
        <v>34</v>
      </c>
      <c r="N47" s="115">
        <f t="shared" si="40"/>
        <v>42.275999999999996</v>
      </c>
      <c r="O47" s="114">
        <v>12</v>
      </c>
      <c r="P47" s="74">
        <f t="shared" si="10"/>
        <v>54.275999999999996</v>
      </c>
      <c r="Q47" s="74">
        <f t="shared" si="11"/>
        <v>102.276</v>
      </c>
      <c r="R47" s="281"/>
      <c r="S47" s="73">
        <f t="shared" si="12"/>
        <v>3</v>
      </c>
      <c r="T47" s="108">
        <v>16</v>
      </c>
      <c r="U47" s="114">
        <v>26</v>
      </c>
      <c r="V47" s="115">
        <f t="shared" ref="V47:V94" si="43">U47+T47</f>
        <v>42</v>
      </c>
      <c r="W47" s="108">
        <v>8</v>
      </c>
      <c r="X47" s="114">
        <v>12</v>
      </c>
      <c r="Y47" s="115">
        <f t="shared" ref="Y47:Y88" si="44">X47+W47</f>
        <v>20</v>
      </c>
      <c r="Z47" s="74">
        <f t="shared" si="15"/>
        <v>62</v>
      </c>
      <c r="AA47" s="281"/>
      <c r="AB47" s="73" t="str">
        <f t="shared" si="0"/>
        <v>F</v>
      </c>
      <c r="AC47" s="108">
        <v>13</v>
      </c>
      <c r="AD47" s="114">
        <v>16</v>
      </c>
      <c r="AE47" s="115">
        <f t="shared" ref="AE47:AE94" si="45">AD47+AC47</f>
        <v>29</v>
      </c>
      <c r="AF47" s="114">
        <v>13</v>
      </c>
      <c r="AG47" s="74">
        <f t="shared" si="17"/>
        <v>42</v>
      </c>
      <c r="AH47" s="281"/>
      <c r="AI47" s="73">
        <f t="shared" si="1"/>
        <v>2</v>
      </c>
      <c r="AJ47" s="108">
        <v>18</v>
      </c>
      <c r="AK47" s="114">
        <v>34</v>
      </c>
      <c r="AL47" s="115">
        <f t="shared" ref="AL47:AL94" si="46">AK47+AJ47</f>
        <v>52</v>
      </c>
      <c r="AM47" s="114">
        <v>17</v>
      </c>
      <c r="AN47" s="74">
        <f t="shared" si="19"/>
        <v>69</v>
      </c>
      <c r="AO47" s="281"/>
      <c r="AP47" s="73">
        <f t="shared" si="2"/>
        <v>3.5</v>
      </c>
      <c r="AQ47" s="116"/>
      <c r="AR47" s="116">
        <v>18</v>
      </c>
      <c r="AS47" s="114">
        <v>23</v>
      </c>
      <c r="AT47" s="73">
        <f t="shared" si="39"/>
        <v>41</v>
      </c>
      <c r="AU47" s="284"/>
      <c r="AV47" s="73">
        <f t="shared" si="21"/>
        <v>5</v>
      </c>
      <c r="AW47" s="108">
        <v>13</v>
      </c>
      <c r="AX47" s="114">
        <v>22</v>
      </c>
      <c r="AY47" s="115">
        <f t="shared" si="22"/>
        <v>35</v>
      </c>
      <c r="AZ47" s="114">
        <v>12</v>
      </c>
      <c r="BA47" s="74">
        <f t="shared" si="23"/>
        <v>47</v>
      </c>
      <c r="BB47" s="281"/>
      <c r="BC47" s="73">
        <f t="shared" si="24"/>
        <v>2</v>
      </c>
      <c r="BD47" s="108">
        <v>7</v>
      </c>
      <c r="BE47" s="114">
        <v>0</v>
      </c>
      <c r="BF47" s="115">
        <f t="shared" ref="BF47:BF94" si="47">BE47+BD47</f>
        <v>7</v>
      </c>
      <c r="BG47" s="114">
        <v>10</v>
      </c>
      <c r="BH47" s="114">
        <v>22</v>
      </c>
      <c r="BI47" s="74">
        <f t="shared" si="26"/>
        <v>39</v>
      </c>
      <c r="BJ47" s="284"/>
      <c r="BK47" s="73" t="str">
        <f t="shared" si="3"/>
        <v>F</v>
      </c>
      <c r="BL47" s="108">
        <v>7</v>
      </c>
      <c r="BM47" s="114">
        <v>1</v>
      </c>
      <c r="BN47" s="115">
        <f t="shared" ref="BN47:BN94" si="48">BM47+BL47</f>
        <v>8</v>
      </c>
      <c r="BO47" s="114">
        <v>6</v>
      </c>
      <c r="BP47" s="114">
        <v>22</v>
      </c>
      <c r="BQ47" s="74">
        <f t="shared" si="28"/>
        <v>36</v>
      </c>
      <c r="BR47" s="281"/>
      <c r="BS47" s="73" t="str">
        <f t="shared" si="29"/>
        <v>F</v>
      </c>
      <c r="BT47" s="108">
        <v>8</v>
      </c>
      <c r="BU47" s="114">
        <v>28</v>
      </c>
      <c r="BV47" s="115">
        <f t="shared" ref="BV47:BV94" si="49">BU47+BT47</f>
        <v>36</v>
      </c>
      <c r="BW47" s="114">
        <v>10</v>
      </c>
      <c r="BX47" s="114">
        <v>22</v>
      </c>
      <c r="BY47" s="74">
        <f t="shared" si="31"/>
        <v>68</v>
      </c>
      <c r="BZ47" s="284"/>
      <c r="CA47" s="73">
        <f t="shared" si="32"/>
        <v>3.5</v>
      </c>
      <c r="CB47" s="108">
        <v>7</v>
      </c>
      <c r="CC47" s="114">
        <v>14</v>
      </c>
      <c r="CD47" s="115">
        <f t="shared" ref="CD47:CD94" si="50">CC47+CB47</f>
        <v>21</v>
      </c>
      <c r="CE47" s="114">
        <v>9</v>
      </c>
      <c r="CF47" s="114">
        <v>22</v>
      </c>
      <c r="CG47" s="74">
        <f t="shared" si="34"/>
        <v>52</v>
      </c>
      <c r="CH47" s="281"/>
      <c r="CI47" s="75" t="str">
        <f t="shared" si="35"/>
        <v>0</v>
      </c>
      <c r="CJ47" s="73" t="str">
        <f t="shared" si="4"/>
        <v>F</v>
      </c>
      <c r="CK47" s="76" t="str">
        <f t="shared" si="36"/>
        <v>F</v>
      </c>
      <c r="CL47" s="77" t="str">
        <f t="shared" si="37"/>
        <v>F</v>
      </c>
      <c r="CM47" s="39" t="str">
        <f t="shared" si="5"/>
        <v>NEED TO PROGRESS</v>
      </c>
      <c r="CN47" s="38">
        <f t="shared" si="6"/>
        <v>558.27600000000007</v>
      </c>
      <c r="CO47" s="37" t="str">
        <f t="shared" si="7"/>
        <v>F</v>
      </c>
      <c r="CP47" s="40"/>
    </row>
    <row r="48" spans="1:94" s="41" customFormat="1" ht="20.100000000000001" customHeight="1">
      <c r="A48" s="40">
        <v>41</v>
      </c>
      <c r="B48" s="56">
        <v>23</v>
      </c>
      <c r="C48" s="69" t="s">
        <v>244</v>
      </c>
      <c r="D48" s="69" t="s">
        <v>245</v>
      </c>
      <c r="E48" s="69" t="s">
        <v>246</v>
      </c>
      <c r="F48" s="70" t="s">
        <v>247</v>
      </c>
      <c r="G48" s="113">
        <v>17</v>
      </c>
      <c r="H48" s="114">
        <v>26</v>
      </c>
      <c r="I48" s="115">
        <f t="shared" si="41"/>
        <v>43</v>
      </c>
      <c r="J48" s="114">
        <v>12</v>
      </c>
      <c r="K48" s="115">
        <f t="shared" si="42"/>
        <v>55</v>
      </c>
      <c r="L48" s="108">
        <v>18</v>
      </c>
      <c r="M48" s="114">
        <v>33</v>
      </c>
      <c r="N48" s="115">
        <f t="shared" si="40"/>
        <v>41.561999999999998</v>
      </c>
      <c r="O48" s="114">
        <v>15</v>
      </c>
      <c r="P48" s="74">
        <f t="shared" si="10"/>
        <v>56.561999999999998</v>
      </c>
      <c r="Q48" s="74">
        <f t="shared" si="11"/>
        <v>111.562</v>
      </c>
      <c r="R48" s="281"/>
      <c r="S48" s="73">
        <f t="shared" si="12"/>
        <v>3</v>
      </c>
      <c r="T48" s="108">
        <v>19</v>
      </c>
      <c r="U48" s="114">
        <v>46</v>
      </c>
      <c r="V48" s="115">
        <f t="shared" si="43"/>
        <v>65</v>
      </c>
      <c r="W48" s="108">
        <v>12</v>
      </c>
      <c r="X48" s="114">
        <v>35</v>
      </c>
      <c r="Y48" s="115">
        <f t="shared" si="44"/>
        <v>47</v>
      </c>
      <c r="Z48" s="74">
        <f t="shared" si="15"/>
        <v>112</v>
      </c>
      <c r="AA48" s="281"/>
      <c r="AB48" s="73">
        <f t="shared" si="0"/>
        <v>3</v>
      </c>
      <c r="AC48" s="108">
        <v>14</v>
      </c>
      <c r="AD48" s="114">
        <v>23</v>
      </c>
      <c r="AE48" s="115">
        <f t="shared" si="45"/>
        <v>37</v>
      </c>
      <c r="AF48" s="114">
        <v>19</v>
      </c>
      <c r="AG48" s="74">
        <f t="shared" si="17"/>
        <v>56</v>
      </c>
      <c r="AH48" s="281"/>
      <c r="AI48" s="73">
        <f t="shared" si="1"/>
        <v>3</v>
      </c>
      <c r="AJ48" s="108">
        <v>15</v>
      </c>
      <c r="AK48" s="114">
        <v>30</v>
      </c>
      <c r="AL48" s="115">
        <f t="shared" si="46"/>
        <v>45</v>
      </c>
      <c r="AM48" s="114">
        <v>18</v>
      </c>
      <c r="AN48" s="74">
        <f t="shared" si="19"/>
        <v>63</v>
      </c>
      <c r="AO48" s="281"/>
      <c r="AP48" s="73">
        <f t="shared" si="2"/>
        <v>3.5</v>
      </c>
      <c r="AQ48" s="116"/>
      <c r="AR48" s="116">
        <v>20</v>
      </c>
      <c r="AS48" s="114">
        <v>23</v>
      </c>
      <c r="AT48" s="73">
        <f t="shared" si="39"/>
        <v>43</v>
      </c>
      <c r="AU48" s="284"/>
      <c r="AV48" s="73">
        <f t="shared" si="21"/>
        <v>5</v>
      </c>
      <c r="AW48" s="108">
        <v>12</v>
      </c>
      <c r="AX48" s="114">
        <v>20</v>
      </c>
      <c r="AY48" s="115">
        <f t="shared" si="22"/>
        <v>32</v>
      </c>
      <c r="AZ48" s="114">
        <v>17</v>
      </c>
      <c r="BA48" s="74">
        <f t="shared" si="23"/>
        <v>49</v>
      </c>
      <c r="BB48" s="281"/>
      <c r="BC48" s="73">
        <f t="shared" si="24"/>
        <v>2</v>
      </c>
      <c r="BD48" s="108">
        <v>9</v>
      </c>
      <c r="BE48" s="114">
        <v>16</v>
      </c>
      <c r="BF48" s="115">
        <f t="shared" si="47"/>
        <v>25</v>
      </c>
      <c r="BG48" s="114">
        <v>16</v>
      </c>
      <c r="BH48" s="114">
        <v>22</v>
      </c>
      <c r="BI48" s="74">
        <f t="shared" si="26"/>
        <v>63</v>
      </c>
      <c r="BJ48" s="284"/>
      <c r="BK48" s="73">
        <f t="shared" si="3"/>
        <v>3.5</v>
      </c>
      <c r="BL48" s="108">
        <v>8</v>
      </c>
      <c r="BM48" s="114">
        <v>16</v>
      </c>
      <c r="BN48" s="115">
        <f t="shared" si="48"/>
        <v>24</v>
      </c>
      <c r="BO48" s="114">
        <v>10</v>
      </c>
      <c r="BP48" s="114">
        <v>22</v>
      </c>
      <c r="BQ48" s="74">
        <f t="shared" si="28"/>
        <v>56</v>
      </c>
      <c r="BR48" s="281"/>
      <c r="BS48" s="73">
        <f t="shared" si="29"/>
        <v>3</v>
      </c>
      <c r="BT48" s="108">
        <v>9</v>
      </c>
      <c r="BU48" s="114">
        <v>18</v>
      </c>
      <c r="BV48" s="115">
        <f t="shared" si="49"/>
        <v>27</v>
      </c>
      <c r="BW48" s="114">
        <v>10</v>
      </c>
      <c r="BX48" s="114">
        <v>22</v>
      </c>
      <c r="BY48" s="74">
        <f t="shared" si="31"/>
        <v>59</v>
      </c>
      <c r="BZ48" s="284"/>
      <c r="CA48" s="73">
        <f t="shared" si="32"/>
        <v>3</v>
      </c>
      <c r="CB48" s="108">
        <v>6</v>
      </c>
      <c r="CC48" s="114">
        <v>7</v>
      </c>
      <c r="CD48" s="115">
        <f t="shared" si="50"/>
        <v>13</v>
      </c>
      <c r="CE48" s="114">
        <v>14</v>
      </c>
      <c r="CF48" s="114">
        <v>22</v>
      </c>
      <c r="CG48" s="74">
        <f t="shared" si="34"/>
        <v>49</v>
      </c>
      <c r="CH48" s="281"/>
      <c r="CI48" s="75" t="str">
        <f t="shared" si="35"/>
        <v>0</v>
      </c>
      <c r="CJ48" s="73">
        <f t="shared" si="4"/>
        <v>27</v>
      </c>
      <c r="CK48" s="76">
        <f t="shared" si="36"/>
        <v>3</v>
      </c>
      <c r="CL48" s="77" t="str">
        <f t="shared" si="37"/>
        <v>B</v>
      </c>
      <c r="CM48" s="39" t="str">
        <f t="shared" si="5"/>
        <v>GOOD</v>
      </c>
      <c r="CN48" s="38">
        <f t="shared" si="6"/>
        <v>661.56200000000001</v>
      </c>
      <c r="CO48" s="37">
        <f t="shared" si="7"/>
        <v>60</v>
      </c>
      <c r="CP48" s="40"/>
    </row>
    <row r="49" spans="1:94" s="41" customFormat="1" ht="20.100000000000001" customHeight="1">
      <c r="A49" s="40">
        <v>42</v>
      </c>
      <c r="B49" s="56">
        <v>24</v>
      </c>
      <c r="C49" s="69" t="s">
        <v>248</v>
      </c>
      <c r="D49" s="69" t="s">
        <v>249</v>
      </c>
      <c r="E49" s="69" t="s">
        <v>250</v>
      </c>
      <c r="F49" s="70" t="s">
        <v>251</v>
      </c>
      <c r="G49" s="113">
        <v>15</v>
      </c>
      <c r="H49" s="114">
        <v>34</v>
      </c>
      <c r="I49" s="115">
        <f t="shared" si="41"/>
        <v>49</v>
      </c>
      <c r="J49" s="114">
        <v>11</v>
      </c>
      <c r="K49" s="115">
        <f t="shared" si="42"/>
        <v>60</v>
      </c>
      <c r="L49" s="108">
        <v>17</v>
      </c>
      <c r="M49" s="114">
        <v>34</v>
      </c>
      <c r="N49" s="115">
        <f t="shared" si="40"/>
        <v>41.275999999999996</v>
      </c>
      <c r="O49" s="114">
        <v>16</v>
      </c>
      <c r="P49" s="74">
        <f t="shared" si="10"/>
        <v>57.275999999999996</v>
      </c>
      <c r="Q49" s="74">
        <f t="shared" si="11"/>
        <v>117.276</v>
      </c>
      <c r="R49" s="281"/>
      <c r="S49" s="73">
        <f t="shared" si="12"/>
        <v>3</v>
      </c>
      <c r="T49" s="108">
        <v>19</v>
      </c>
      <c r="U49" s="114">
        <v>60</v>
      </c>
      <c r="V49" s="115">
        <f t="shared" si="43"/>
        <v>79</v>
      </c>
      <c r="W49" s="108">
        <v>13</v>
      </c>
      <c r="X49" s="114">
        <v>27</v>
      </c>
      <c r="Y49" s="115">
        <f t="shared" si="44"/>
        <v>40</v>
      </c>
      <c r="Z49" s="74">
        <f t="shared" si="15"/>
        <v>119</v>
      </c>
      <c r="AA49" s="281"/>
      <c r="AB49" s="73">
        <f t="shared" si="0"/>
        <v>3</v>
      </c>
      <c r="AC49" s="108">
        <v>18</v>
      </c>
      <c r="AD49" s="114">
        <v>25</v>
      </c>
      <c r="AE49" s="115">
        <f t="shared" si="45"/>
        <v>43</v>
      </c>
      <c r="AF49" s="114">
        <v>17</v>
      </c>
      <c r="AG49" s="74">
        <f t="shared" si="17"/>
        <v>60</v>
      </c>
      <c r="AH49" s="281"/>
      <c r="AI49" s="73">
        <f t="shared" si="1"/>
        <v>3.5</v>
      </c>
      <c r="AJ49" s="108">
        <v>17</v>
      </c>
      <c r="AK49" s="114">
        <v>41</v>
      </c>
      <c r="AL49" s="115">
        <f t="shared" si="46"/>
        <v>58</v>
      </c>
      <c r="AM49" s="114">
        <v>20</v>
      </c>
      <c r="AN49" s="74">
        <f t="shared" si="19"/>
        <v>78</v>
      </c>
      <c r="AO49" s="281"/>
      <c r="AP49" s="73">
        <f t="shared" si="2"/>
        <v>4</v>
      </c>
      <c r="AQ49" s="116"/>
      <c r="AR49" s="116">
        <v>17</v>
      </c>
      <c r="AS49" s="114">
        <v>23</v>
      </c>
      <c r="AT49" s="73">
        <f t="shared" si="39"/>
        <v>40</v>
      </c>
      <c r="AU49" s="284"/>
      <c r="AV49" s="73">
        <f t="shared" si="21"/>
        <v>5</v>
      </c>
      <c r="AW49" s="108">
        <v>14</v>
      </c>
      <c r="AX49" s="114">
        <v>29</v>
      </c>
      <c r="AY49" s="115">
        <f t="shared" si="22"/>
        <v>43</v>
      </c>
      <c r="AZ49" s="114">
        <v>20</v>
      </c>
      <c r="BA49" s="74">
        <f t="shared" si="23"/>
        <v>63</v>
      </c>
      <c r="BB49" s="281"/>
      <c r="BC49" s="73">
        <f t="shared" si="24"/>
        <v>3.5</v>
      </c>
      <c r="BD49" s="108">
        <v>6</v>
      </c>
      <c r="BE49" s="114">
        <v>21</v>
      </c>
      <c r="BF49" s="115">
        <f t="shared" si="47"/>
        <v>27</v>
      </c>
      <c r="BG49" s="114">
        <v>10</v>
      </c>
      <c r="BH49" s="114">
        <v>22</v>
      </c>
      <c r="BI49" s="74">
        <f t="shared" si="26"/>
        <v>59</v>
      </c>
      <c r="BJ49" s="284"/>
      <c r="BK49" s="73">
        <f t="shared" si="3"/>
        <v>3</v>
      </c>
      <c r="BL49" s="108">
        <v>7</v>
      </c>
      <c r="BM49" s="114">
        <v>25</v>
      </c>
      <c r="BN49" s="115">
        <f t="shared" si="48"/>
        <v>32</v>
      </c>
      <c r="BO49" s="114">
        <v>10</v>
      </c>
      <c r="BP49" s="114">
        <v>22</v>
      </c>
      <c r="BQ49" s="74">
        <f t="shared" si="28"/>
        <v>64</v>
      </c>
      <c r="BR49" s="281"/>
      <c r="BS49" s="73">
        <f t="shared" si="29"/>
        <v>3.5</v>
      </c>
      <c r="BT49" s="108">
        <v>9</v>
      </c>
      <c r="BU49" s="114">
        <v>36</v>
      </c>
      <c r="BV49" s="115">
        <f t="shared" si="49"/>
        <v>45</v>
      </c>
      <c r="BW49" s="114">
        <v>11</v>
      </c>
      <c r="BX49" s="114">
        <v>22</v>
      </c>
      <c r="BY49" s="74">
        <f t="shared" si="31"/>
        <v>78</v>
      </c>
      <c r="BZ49" s="284"/>
      <c r="CA49" s="73">
        <f t="shared" si="32"/>
        <v>4</v>
      </c>
      <c r="CB49" s="108">
        <v>10</v>
      </c>
      <c r="CC49" s="114">
        <v>36</v>
      </c>
      <c r="CD49" s="115">
        <f t="shared" si="50"/>
        <v>46</v>
      </c>
      <c r="CE49" s="114">
        <v>13</v>
      </c>
      <c r="CF49" s="114">
        <v>22</v>
      </c>
      <c r="CG49" s="74">
        <f t="shared" si="34"/>
        <v>81</v>
      </c>
      <c r="CH49" s="281"/>
      <c r="CI49" s="75">
        <f t="shared" si="35"/>
        <v>5</v>
      </c>
      <c r="CJ49" s="73">
        <f t="shared" si="4"/>
        <v>35.5</v>
      </c>
      <c r="CK49" s="76">
        <f t="shared" si="36"/>
        <v>3.9444444444444446</v>
      </c>
      <c r="CL49" s="77" t="str">
        <f t="shared" si="37"/>
        <v>A-</v>
      </c>
      <c r="CM49" s="39" t="str">
        <f t="shared" si="5"/>
        <v>GOOD</v>
      </c>
      <c r="CN49" s="38">
        <f t="shared" si="6"/>
        <v>759.27600000000007</v>
      </c>
      <c r="CO49" s="37">
        <f t="shared" si="7"/>
        <v>37</v>
      </c>
      <c r="CP49" s="40"/>
    </row>
    <row r="50" spans="1:94" s="41" customFormat="1" ht="20.100000000000001" customHeight="1">
      <c r="A50" s="40">
        <v>43</v>
      </c>
      <c r="B50" s="56">
        <v>25</v>
      </c>
      <c r="C50" s="95" t="s">
        <v>252</v>
      </c>
      <c r="D50" s="95" t="s">
        <v>253</v>
      </c>
      <c r="E50" s="95" t="s">
        <v>254</v>
      </c>
      <c r="F50" s="96" t="s">
        <v>255</v>
      </c>
      <c r="G50" s="113">
        <v>15</v>
      </c>
      <c r="H50" s="114">
        <v>27</v>
      </c>
      <c r="I50" s="115">
        <f t="shared" si="41"/>
        <v>42</v>
      </c>
      <c r="J50" s="114">
        <v>11</v>
      </c>
      <c r="K50" s="115">
        <f t="shared" si="42"/>
        <v>53</v>
      </c>
      <c r="L50" s="108">
        <v>18</v>
      </c>
      <c r="M50" s="114">
        <v>33</v>
      </c>
      <c r="N50" s="115">
        <f t="shared" si="40"/>
        <v>41.561999999999998</v>
      </c>
      <c r="O50" s="114">
        <v>14</v>
      </c>
      <c r="P50" s="74">
        <f t="shared" si="10"/>
        <v>55.561999999999998</v>
      </c>
      <c r="Q50" s="74">
        <f t="shared" si="11"/>
        <v>108.562</v>
      </c>
      <c r="R50" s="281"/>
      <c r="S50" s="73">
        <f t="shared" si="12"/>
        <v>3</v>
      </c>
      <c r="T50" s="108">
        <v>19</v>
      </c>
      <c r="U50" s="114">
        <v>34</v>
      </c>
      <c r="V50" s="115">
        <f t="shared" si="43"/>
        <v>53</v>
      </c>
      <c r="W50" s="108">
        <v>12</v>
      </c>
      <c r="X50" s="114">
        <v>31</v>
      </c>
      <c r="Y50" s="115">
        <f t="shared" si="44"/>
        <v>43</v>
      </c>
      <c r="Z50" s="74">
        <f t="shared" si="15"/>
        <v>96</v>
      </c>
      <c r="AA50" s="281"/>
      <c r="AB50" s="73">
        <f t="shared" si="0"/>
        <v>2</v>
      </c>
      <c r="AC50" s="108">
        <v>12</v>
      </c>
      <c r="AD50" s="114">
        <v>20</v>
      </c>
      <c r="AE50" s="115">
        <f t="shared" si="45"/>
        <v>32</v>
      </c>
      <c r="AF50" s="114">
        <v>20</v>
      </c>
      <c r="AG50" s="74">
        <f t="shared" si="17"/>
        <v>52</v>
      </c>
      <c r="AH50" s="281"/>
      <c r="AI50" s="73">
        <f t="shared" si="1"/>
        <v>3</v>
      </c>
      <c r="AJ50" s="108">
        <v>16</v>
      </c>
      <c r="AK50" s="114">
        <v>30</v>
      </c>
      <c r="AL50" s="115">
        <f t="shared" si="46"/>
        <v>46</v>
      </c>
      <c r="AM50" s="114">
        <v>17</v>
      </c>
      <c r="AN50" s="74">
        <f t="shared" si="19"/>
        <v>63</v>
      </c>
      <c r="AO50" s="281"/>
      <c r="AP50" s="73">
        <f t="shared" si="2"/>
        <v>3.5</v>
      </c>
      <c r="AQ50" s="116"/>
      <c r="AR50" s="116">
        <v>16</v>
      </c>
      <c r="AS50" s="114">
        <v>23</v>
      </c>
      <c r="AT50" s="73">
        <f t="shared" si="39"/>
        <v>39</v>
      </c>
      <c r="AU50" s="284"/>
      <c r="AV50" s="73">
        <f t="shared" si="21"/>
        <v>4</v>
      </c>
      <c r="AW50" s="108">
        <v>9</v>
      </c>
      <c r="AX50" s="114">
        <v>20</v>
      </c>
      <c r="AY50" s="115">
        <f t="shared" si="22"/>
        <v>29</v>
      </c>
      <c r="AZ50" s="114">
        <v>16</v>
      </c>
      <c r="BA50" s="74">
        <f t="shared" si="23"/>
        <v>45</v>
      </c>
      <c r="BB50" s="281"/>
      <c r="BC50" s="73">
        <f t="shared" si="24"/>
        <v>2</v>
      </c>
      <c r="BD50" s="108">
        <v>7</v>
      </c>
      <c r="BE50" s="114">
        <v>3</v>
      </c>
      <c r="BF50" s="115">
        <f t="shared" si="47"/>
        <v>10</v>
      </c>
      <c r="BG50" s="114">
        <v>15</v>
      </c>
      <c r="BH50" s="114">
        <v>22</v>
      </c>
      <c r="BI50" s="74">
        <f t="shared" si="26"/>
        <v>47</v>
      </c>
      <c r="BJ50" s="284"/>
      <c r="BK50" s="73" t="str">
        <f t="shared" si="3"/>
        <v>F</v>
      </c>
      <c r="BL50" s="108">
        <v>6</v>
      </c>
      <c r="BM50" s="114">
        <v>5</v>
      </c>
      <c r="BN50" s="115">
        <f t="shared" si="48"/>
        <v>11</v>
      </c>
      <c r="BO50" s="114">
        <v>6</v>
      </c>
      <c r="BP50" s="114">
        <v>22</v>
      </c>
      <c r="BQ50" s="74">
        <f t="shared" si="28"/>
        <v>39</v>
      </c>
      <c r="BR50" s="281"/>
      <c r="BS50" s="73" t="str">
        <f t="shared" si="29"/>
        <v>F</v>
      </c>
      <c r="BT50" s="108">
        <v>7</v>
      </c>
      <c r="BU50" s="114">
        <v>26</v>
      </c>
      <c r="BV50" s="115">
        <f t="shared" si="49"/>
        <v>33</v>
      </c>
      <c r="BW50" s="114">
        <v>12</v>
      </c>
      <c r="BX50" s="114">
        <v>22</v>
      </c>
      <c r="BY50" s="74">
        <f t="shared" si="31"/>
        <v>67</v>
      </c>
      <c r="BZ50" s="284"/>
      <c r="CA50" s="73">
        <f t="shared" si="32"/>
        <v>3.5</v>
      </c>
      <c r="CB50" s="108">
        <v>5</v>
      </c>
      <c r="CC50" s="114">
        <v>16</v>
      </c>
      <c r="CD50" s="115">
        <f t="shared" si="50"/>
        <v>21</v>
      </c>
      <c r="CE50" s="114">
        <v>12</v>
      </c>
      <c r="CF50" s="114">
        <v>22</v>
      </c>
      <c r="CG50" s="74">
        <f t="shared" si="34"/>
        <v>55</v>
      </c>
      <c r="CH50" s="281"/>
      <c r="CI50" s="75">
        <f t="shared" si="35"/>
        <v>3</v>
      </c>
      <c r="CJ50" s="73" t="str">
        <f t="shared" si="4"/>
        <v>F</v>
      </c>
      <c r="CK50" s="76" t="str">
        <f t="shared" si="36"/>
        <v>F</v>
      </c>
      <c r="CL50" s="77" t="str">
        <f t="shared" si="37"/>
        <v>F</v>
      </c>
      <c r="CM50" s="39" t="str">
        <f t="shared" si="5"/>
        <v>NEED TO PROGRESS</v>
      </c>
      <c r="CN50" s="38">
        <f t="shared" si="6"/>
        <v>611.56200000000001</v>
      </c>
      <c r="CO50" s="37" t="str">
        <f t="shared" si="7"/>
        <v>F</v>
      </c>
      <c r="CP50" s="40"/>
    </row>
    <row r="51" spans="1:94" s="41" customFormat="1" ht="20.100000000000001" customHeight="1">
      <c r="A51" s="40">
        <v>44</v>
      </c>
      <c r="B51" s="56">
        <v>26</v>
      </c>
      <c r="C51" s="95" t="s">
        <v>256</v>
      </c>
      <c r="D51" s="95" t="s">
        <v>257</v>
      </c>
      <c r="E51" s="95" t="s">
        <v>258</v>
      </c>
      <c r="F51" s="96" t="s">
        <v>259</v>
      </c>
      <c r="G51" s="113">
        <v>13</v>
      </c>
      <c r="H51" s="114">
        <v>0</v>
      </c>
      <c r="I51" s="115">
        <f t="shared" si="41"/>
        <v>13</v>
      </c>
      <c r="J51" s="114">
        <v>0</v>
      </c>
      <c r="K51" s="115">
        <f t="shared" si="42"/>
        <v>13</v>
      </c>
      <c r="L51" s="108">
        <v>17</v>
      </c>
      <c r="M51" s="114">
        <v>0</v>
      </c>
      <c r="N51" s="115">
        <f t="shared" si="40"/>
        <v>17</v>
      </c>
      <c r="O51" s="114">
        <v>0</v>
      </c>
      <c r="P51" s="74">
        <f t="shared" si="10"/>
        <v>17</v>
      </c>
      <c r="Q51" s="74">
        <f t="shared" si="11"/>
        <v>30</v>
      </c>
      <c r="R51" s="281"/>
      <c r="S51" s="73" t="str">
        <f t="shared" si="12"/>
        <v>F</v>
      </c>
      <c r="T51" s="108">
        <v>18</v>
      </c>
      <c r="U51" s="114">
        <v>0</v>
      </c>
      <c r="V51" s="115">
        <f t="shared" si="43"/>
        <v>18</v>
      </c>
      <c r="W51" s="108">
        <v>14</v>
      </c>
      <c r="X51" s="114">
        <v>0</v>
      </c>
      <c r="Y51" s="115">
        <f t="shared" si="44"/>
        <v>14</v>
      </c>
      <c r="Z51" s="74">
        <f t="shared" si="15"/>
        <v>32</v>
      </c>
      <c r="AA51" s="281"/>
      <c r="AB51" s="73" t="str">
        <f t="shared" si="0"/>
        <v>F</v>
      </c>
      <c r="AC51" s="108">
        <v>16</v>
      </c>
      <c r="AD51" s="114">
        <v>0</v>
      </c>
      <c r="AE51" s="115">
        <f t="shared" si="45"/>
        <v>16</v>
      </c>
      <c r="AF51" s="114">
        <v>0</v>
      </c>
      <c r="AG51" s="74">
        <f t="shared" si="17"/>
        <v>16</v>
      </c>
      <c r="AH51" s="281"/>
      <c r="AI51" s="73" t="str">
        <f t="shared" si="1"/>
        <v>F</v>
      </c>
      <c r="AJ51" s="108">
        <v>17</v>
      </c>
      <c r="AK51" s="114">
        <v>0</v>
      </c>
      <c r="AL51" s="115">
        <f t="shared" si="46"/>
        <v>17</v>
      </c>
      <c r="AM51" s="114">
        <v>0</v>
      </c>
      <c r="AN51" s="74">
        <f t="shared" si="19"/>
        <v>17</v>
      </c>
      <c r="AO51" s="281"/>
      <c r="AP51" s="73" t="str">
        <f t="shared" si="2"/>
        <v>F</v>
      </c>
      <c r="AQ51" s="116"/>
      <c r="AR51" s="116">
        <v>0</v>
      </c>
      <c r="AS51" s="114"/>
      <c r="AT51" s="73">
        <f t="shared" si="39"/>
        <v>0</v>
      </c>
      <c r="AU51" s="284"/>
      <c r="AV51" s="73" t="str">
        <f t="shared" si="21"/>
        <v>F</v>
      </c>
      <c r="AW51" s="108">
        <v>10</v>
      </c>
      <c r="AX51" s="114">
        <v>0</v>
      </c>
      <c r="AY51" s="115">
        <f t="shared" si="22"/>
        <v>10</v>
      </c>
      <c r="AZ51" s="114">
        <v>0</v>
      </c>
      <c r="BA51" s="74">
        <f t="shared" si="23"/>
        <v>10</v>
      </c>
      <c r="BB51" s="281"/>
      <c r="BC51" s="73" t="str">
        <f t="shared" si="24"/>
        <v>F</v>
      </c>
      <c r="BD51" s="108">
        <v>6</v>
      </c>
      <c r="BE51" s="114">
        <v>0</v>
      </c>
      <c r="BF51" s="115">
        <f t="shared" si="47"/>
        <v>6</v>
      </c>
      <c r="BG51" s="114">
        <v>0</v>
      </c>
      <c r="BH51" s="114">
        <v>22</v>
      </c>
      <c r="BI51" s="74">
        <f t="shared" si="26"/>
        <v>28</v>
      </c>
      <c r="BJ51" s="284"/>
      <c r="BK51" s="73" t="str">
        <f t="shared" si="3"/>
        <v>F</v>
      </c>
      <c r="BL51" s="108">
        <v>7</v>
      </c>
      <c r="BM51" s="114">
        <v>0</v>
      </c>
      <c r="BN51" s="115">
        <f t="shared" si="48"/>
        <v>7</v>
      </c>
      <c r="BO51" s="114">
        <v>0</v>
      </c>
      <c r="BP51" s="114">
        <v>22</v>
      </c>
      <c r="BQ51" s="74">
        <f t="shared" si="28"/>
        <v>29</v>
      </c>
      <c r="BR51" s="281"/>
      <c r="BS51" s="73" t="str">
        <f t="shared" si="29"/>
        <v>F</v>
      </c>
      <c r="BT51" s="108">
        <v>8</v>
      </c>
      <c r="BU51" s="114">
        <v>0</v>
      </c>
      <c r="BV51" s="115">
        <f t="shared" si="49"/>
        <v>8</v>
      </c>
      <c r="BW51" s="114">
        <v>0</v>
      </c>
      <c r="BX51" s="114">
        <v>22</v>
      </c>
      <c r="BY51" s="74">
        <f t="shared" si="31"/>
        <v>30</v>
      </c>
      <c r="BZ51" s="284"/>
      <c r="CA51" s="73" t="str">
        <f t="shared" si="32"/>
        <v>F</v>
      </c>
      <c r="CB51" s="108">
        <v>9</v>
      </c>
      <c r="CC51" s="114">
        <v>0</v>
      </c>
      <c r="CD51" s="115">
        <f t="shared" si="50"/>
        <v>9</v>
      </c>
      <c r="CE51" s="114">
        <v>0</v>
      </c>
      <c r="CF51" s="114">
        <v>22</v>
      </c>
      <c r="CG51" s="74">
        <f t="shared" si="34"/>
        <v>31</v>
      </c>
      <c r="CH51" s="281"/>
      <c r="CI51" s="75" t="str">
        <f t="shared" si="35"/>
        <v>0</v>
      </c>
      <c r="CJ51" s="73" t="str">
        <f t="shared" si="4"/>
        <v>F</v>
      </c>
      <c r="CK51" s="76" t="str">
        <f t="shared" si="36"/>
        <v>F</v>
      </c>
      <c r="CL51" s="77" t="str">
        <f t="shared" si="37"/>
        <v>F</v>
      </c>
      <c r="CM51" s="39" t="str">
        <f t="shared" si="5"/>
        <v>NEED TO PROGRESS</v>
      </c>
      <c r="CN51" s="38">
        <f t="shared" si="6"/>
        <v>223</v>
      </c>
      <c r="CO51" s="37" t="str">
        <f t="shared" si="7"/>
        <v>F</v>
      </c>
      <c r="CP51" s="40"/>
    </row>
    <row r="52" spans="1:94" s="41" customFormat="1" ht="20.100000000000001" customHeight="1">
      <c r="A52" s="40">
        <v>45</v>
      </c>
      <c r="B52" s="56">
        <v>28</v>
      </c>
      <c r="C52" s="69" t="s">
        <v>260</v>
      </c>
      <c r="D52" s="69" t="s">
        <v>261</v>
      </c>
      <c r="E52" s="69" t="s">
        <v>262</v>
      </c>
      <c r="F52" s="70" t="s">
        <v>263</v>
      </c>
      <c r="G52" s="113">
        <v>12</v>
      </c>
      <c r="H52" s="114">
        <v>17</v>
      </c>
      <c r="I52" s="115">
        <f t="shared" si="41"/>
        <v>29</v>
      </c>
      <c r="J52" s="114">
        <v>11</v>
      </c>
      <c r="K52" s="115">
        <f t="shared" si="42"/>
        <v>40</v>
      </c>
      <c r="L52" s="108">
        <v>18</v>
      </c>
      <c r="M52" s="114">
        <v>19</v>
      </c>
      <c r="N52" s="115">
        <f t="shared" si="40"/>
        <v>31.565999999999999</v>
      </c>
      <c r="O52" s="114">
        <v>11</v>
      </c>
      <c r="P52" s="74">
        <f t="shared" si="10"/>
        <v>42.566000000000003</v>
      </c>
      <c r="Q52" s="74">
        <f t="shared" si="11"/>
        <v>82.566000000000003</v>
      </c>
      <c r="R52" s="281"/>
      <c r="S52" s="73">
        <f t="shared" si="12"/>
        <v>2</v>
      </c>
      <c r="T52" s="108">
        <v>18</v>
      </c>
      <c r="U52" s="114">
        <v>55</v>
      </c>
      <c r="V52" s="115">
        <f t="shared" si="43"/>
        <v>73</v>
      </c>
      <c r="W52" s="108">
        <v>15</v>
      </c>
      <c r="X52" s="114">
        <v>56</v>
      </c>
      <c r="Y52" s="115">
        <f t="shared" si="44"/>
        <v>71</v>
      </c>
      <c r="Z52" s="74">
        <f t="shared" si="15"/>
        <v>144</v>
      </c>
      <c r="AA52" s="281"/>
      <c r="AB52" s="73">
        <f t="shared" si="0"/>
        <v>4</v>
      </c>
      <c r="AC52" s="108">
        <v>14</v>
      </c>
      <c r="AD52" s="114">
        <v>14</v>
      </c>
      <c r="AE52" s="115">
        <f t="shared" si="45"/>
        <v>28</v>
      </c>
      <c r="AF52" s="114">
        <v>22</v>
      </c>
      <c r="AG52" s="74">
        <f t="shared" si="17"/>
        <v>50</v>
      </c>
      <c r="AH52" s="281"/>
      <c r="AI52" s="73">
        <f t="shared" si="1"/>
        <v>3</v>
      </c>
      <c r="AJ52" s="108">
        <v>14</v>
      </c>
      <c r="AK52" s="114">
        <v>25</v>
      </c>
      <c r="AL52" s="115">
        <f t="shared" si="46"/>
        <v>39</v>
      </c>
      <c r="AM52" s="114">
        <v>19</v>
      </c>
      <c r="AN52" s="74">
        <f t="shared" si="19"/>
        <v>58</v>
      </c>
      <c r="AO52" s="281"/>
      <c r="AP52" s="73">
        <f t="shared" si="2"/>
        <v>3</v>
      </c>
      <c r="AQ52" s="116"/>
      <c r="AR52" s="116">
        <v>18</v>
      </c>
      <c r="AS52" s="114">
        <v>23</v>
      </c>
      <c r="AT52" s="73">
        <f t="shared" si="39"/>
        <v>41</v>
      </c>
      <c r="AU52" s="284"/>
      <c r="AV52" s="73">
        <f t="shared" si="21"/>
        <v>5</v>
      </c>
      <c r="AW52" s="108">
        <v>9</v>
      </c>
      <c r="AX52" s="114">
        <v>20</v>
      </c>
      <c r="AY52" s="115">
        <f t="shared" si="22"/>
        <v>29</v>
      </c>
      <c r="AZ52" s="114">
        <v>13</v>
      </c>
      <c r="BA52" s="74">
        <f t="shared" si="23"/>
        <v>42</v>
      </c>
      <c r="BB52" s="281"/>
      <c r="BC52" s="73">
        <f t="shared" si="24"/>
        <v>2</v>
      </c>
      <c r="BD52" s="108">
        <v>7</v>
      </c>
      <c r="BE52" s="114">
        <v>5</v>
      </c>
      <c r="BF52" s="115">
        <f t="shared" si="47"/>
        <v>12</v>
      </c>
      <c r="BG52" s="114">
        <v>10</v>
      </c>
      <c r="BH52" s="114">
        <v>22</v>
      </c>
      <c r="BI52" s="74">
        <f t="shared" si="26"/>
        <v>44</v>
      </c>
      <c r="BJ52" s="284"/>
      <c r="BK52" s="73" t="str">
        <f t="shared" si="3"/>
        <v>F</v>
      </c>
      <c r="BL52" s="108">
        <v>5</v>
      </c>
      <c r="BM52" s="114">
        <v>11</v>
      </c>
      <c r="BN52" s="115">
        <f t="shared" si="48"/>
        <v>16</v>
      </c>
      <c r="BO52" s="114">
        <v>4</v>
      </c>
      <c r="BP52" s="114">
        <v>22</v>
      </c>
      <c r="BQ52" s="74">
        <f t="shared" si="28"/>
        <v>42</v>
      </c>
      <c r="BR52" s="281"/>
      <c r="BS52" s="73" t="str">
        <f t="shared" si="29"/>
        <v>F</v>
      </c>
      <c r="BT52" s="108">
        <v>7</v>
      </c>
      <c r="BU52" s="114">
        <v>17</v>
      </c>
      <c r="BV52" s="115">
        <f t="shared" si="49"/>
        <v>24</v>
      </c>
      <c r="BW52" s="114">
        <v>10</v>
      </c>
      <c r="BX52" s="114">
        <v>22</v>
      </c>
      <c r="BY52" s="74">
        <f t="shared" si="31"/>
        <v>56</v>
      </c>
      <c r="BZ52" s="284"/>
      <c r="CA52" s="73">
        <f t="shared" si="32"/>
        <v>3</v>
      </c>
      <c r="CB52" s="108">
        <v>5</v>
      </c>
      <c r="CC52" s="114">
        <v>12</v>
      </c>
      <c r="CD52" s="115">
        <f t="shared" si="50"/>
        <v>17</v>
      </c>
      <c r="CE52" s="114">
        <v>10</v>
      </c>
      <c r="CF52" s="114">
        <v>22</v>
      </c>
      <c r="CG52" s="74">
        <f t="shared" si="34"/>
        <v>49</v>
      </c>
      <c r="CH52" s="281"/>
      <c r="CI52" s="75" t="str">
        <f t="shared" si="35"/>
        <v>0</v>
      </c>
      <c r="CJ52" s="73" t="str">
        <f t="shared" si="4"/>
        <v>F</v>
      </c>
      <c r="CK52" s="76" t="str">
        <f t="shared" si="36"/>
        <v>F</v>
      </c>
      <c r="CL52" s="77" t="str">
        <f t="shared" si="37"/>
        <v>F</v>
      </c>
      <c r="CM52" s="39" t="str">
        <f t="shared" si="5"/>
        <v>NEED TO PROGRESS</v>
      </c>
      <c r="CN52" s="38">
        <f t="shared" si="6"/>
        <v>608.56600000000003</v>
      </c>
      <c r="CO52" s="37" t="str">
        <f t="shared" si="7"/>
        <v>F</v>
      </c>
      <c r="CP52" s="40"/>
    </row>
    <row r="53" spans="1:94" s="41" customFormat="1" ht="20.100000000000001" customHeight="1">
      <c r="A53" s="40">
        <v>46</v>
      </c>
      <c r="B53" s="56">
        <v>29</v>
      </c>
      <c r="C53" s="69" t="s">
        <v>264</v>
      </c>
      <c r="D53" s="69" t="s">
        <v>265</v>
      </c>
      <c r="E53" s="69" t="s">
        <v>266</v>
      </c>
      <c r="F53" s="70" t="s">
        <v>267</v>
      </c>
      <c r="G53" s="113">
        <v>12</v>
      </c>
      <c r="H53" s="114">
        <v>26</v>
      </c>
      <c r="I53" s="115">
        <f t="shared" si="41"/>
        <v>38</v>
      </c>
      <c r="J53" s="114">
        <v>12</v>
      </c>
      <c r="K53" s="115">
        <f t="shared" si="42"/>
        <v>50</v>
      </c>
      <c r="L53" s="108">
        <v>18</v>
      </c>
      <c r="M53" s="114">
        <v>21</v>
      </c>
      <c r="N53" s="115">
        <f t="shared" si="40"/>
        <v>32.994</v>
      </c>
      <c r="O53" s="114">
        <v>11</v>
      </c>
      <c r="P53" s="74">
        <f t="shared" si="10"/>
        <v>43.994</v>
      </c>
      <c r="Q53" s="74">
        <f t="shared" si="11"/>
        <v>93.994</v>
      </c>
      <c r="R53" s="281"/>
      <c r="S53" s="73">
        <f t="shared" si="12"/>
        <v>2</v>
      </c>
      <c r="T53" s="108">
        <v>16</v>
      </c>
      <c r="U53" s="114">
        <v>56</v>
      </c>
      <c r="V53" s="115">
        <f t="shared" si="43"/>
        <v>72</v>
      </c>
      <c r="W53" s="108">
        <v>11</v>
      </c>
      <c r="X53" s="114">
        <v>48</v>
      </c>
      <c r="Y53" s="115">
        <f t="shared" si="44"/>
        <v>59</v>
      </c>
      <c r="Z53" s="74">
        <f t="shared" si="15"/>
        <v>131</v>
      </c>
      <c r="AA53" s="281"/>
      <c r="AB53" s="73">
        <f t="shared" si="0"/>
        <v>3.5</v>
      </c>
      <c r="AC53" s="108">
        <v>7</v>
      </c>
      <c r="AD53" s="114">
        <v>2</v>
      </c>
      <c r="AE53" s="115">
        <f t="shared" si="45"/>
        <v>9</v>
      </c>
      <c r="AF53" s="114">
        <v>21</v>
      </c>
      <c r="AG53" s="74">
        <f t="shared" si="17"/>
        <v>30</v>
      </c>
      <c r="AH53" s="281"/>
      <c r="AI53" s="73" t="str">
        <f t="shared" si="1"/>
        <v>F</v>
      </c>
      <c r="AJ53" s="108">
        <v>12</v>
      </c>
      <c r="AK53" s="114">
        <v>32</v>
      </c>
      <c r="AL53" s="115">
        <f t="shared" si="46"/>
        <v>44</v>
      </c>
      <c r="AM53" s="114">
        <v>17</v>
      </c>
      <c r="AN53" s="74">
        <f t="shared" si="19"/>
        <v>61</v>
      </c>
      <c r="AO53" s="281"/>
      <c r="AP53" s="73">
        <f t="shared" si="2"/>
        <v>3.5</v>
      </c>
      <c r="AQ53" s="116"/>
      <c r="AR53" s="116">
        <v>20</v>
      </c>
      <c r="AS53" s="114">
        <v>23</v>
      </c>
      <c r="AT53" s="73">
        <f t="shared" si="39"/>
        <v>43</v>
      </c>
      <c r="AU53" s="284"/>
      <c r="AV53" s="73">
        <f t="shared" si="21"/>
        <v>5</v>
      </c>
      <c r="AW53" s="108">
        <v>13</v>
      </c>
      <c r="AX53" s="114">
        <v>24</v>
      </c>
      <c r="AY53" s="115">
        <f t="shared" si="22"/>
        <v>37</v>
      </c>
      <c r="AZ53" s="114">
        <v>15</v>
      </c>
      <c r="BA53" s="74">
        <f t="shared" si="23"/>
        <v>52</v>
      </c>
      <c r="BB53" s="281"/>
      <c r="BC53" s="73">
        <f t="shared" si="24"/>
        <v>3</v>
      </c>
      <c r="BD53" s="108">
        <v>6</v>
      </c>
      <c r="BE53" s="114">
        <v>4</v>
      </c>
      <c r="BF53" s="115">
        <f t="shared" si="47"/>
        <v>10</v>
      </c>
      <c r="BG53" s="114">
        <v>10</v>
      </c>
      <c r="BH53" s="114">
        <v>22</v>
      </c>
      <c r="BI53" s="74">
        <f t="shared" si="26"/>
        <v>42</v>
      </c>
      <c r="BJ53" s="284"/>
      <c r="BK53" s="73" t="str">
        <f t="shared" si="3"/>
        <v>F</v>
      </c>
      <c r="BL53" s="108">
        <v>6</v>
      </c>
      <c r="BM53" s="114">
        <v>6</v>
      </c>
      <c r="BN53" s="115">
        <f t="shared" si="48"/>
        <v>12</v>
      </c>
      <c r="BO53" s="114">
        <v>4</v>
      </c>
      <c r="BP53" s="114">
        <v>22</v>
      </c>
      <c r="BQ53" s="74">
        <f t="shared" si="28"/>
        <v>38</v>
      </c>
      <c r="BR53" s="281"/>
      <c r="BS53" s="73" t="str">
        <f t="shared" si="29"/>
        <v>F</v>
      </c>
      <c r="BT53" s="108">
        <v>8</v>
      </c>
      <c r="BU53" s="114">
        <v>20</v>
      </c>
      <c r="BV53" s="115">
        <f t="shared" si="49"/>
        <v>28</v>
      </c>
      <c r="BW53" s="114">
        <v>14</v>
      </c>
      <c r="BX53" s="114">
        <v>22</v>
      </c>
      <c r="BY53" s="74">
        <f t="shared" si="31"/>
        <v>64</v>
      </c>
      <c r="BZ53" s="284"/>
      <c r="CA53" s="73">
        <f t="shared" si="32"/>
        <v>3.5</v>
      </c>
      <c r="CB53" s="108">
        <v>2</v>
      </c>
      <c r="CC53" s="114">
        <v>1</v>
      </c>
      <c r="CD53" s="115">
        <f t="shared" si="50"/>
        <v>3</v>
      </c>
      <c r="CE53" s="114">
        <v>10</v>
      </c>
      <c r="CF53" s="114">
        <v>22</v>
      </c>
      <c r="CG53" s="74">
        <f t="shared" si="34"/>
        <v>35</v>
      </c>
      <c r="CH53" s="281"/>
      <c r="CI53" s="75" t="str">
        <f t="shared" si="35"/>
        <v>0</v>
      </c>
      <c r="CJ53" s="73" t="str">
        <f t="shared" si="4"/>
        <v>F</v>
      </c>
      <c r="CK53" s="76" t="str">
        <f t="shared" si="36"/>
        <v>F</v>
      </c>
      <c r="CL53" s="77" t="str">
        <f t="shared" si="37"/>
        <v>F</v>
      </c>
      <c r="CM53" s="39" t="str">
        <f t="shared" si="5"/>
        <v>NEED TO PROGRESS</v>
      </c>
      <c r="CN53" s="38">
        <f t="shared" si="6"/>
        <v>589.99400000000003</v>
      </c>
      <c r="CO53" s="37" t="str">
        <f t="shared" si="7"/>
        <v>F</v>
      </c>
      <c r="CP53" s="40"/>
    </row>
    <row r="54" spans="1:94" s="41" customFormat="1" ht="20.100000000000001" customHeight="1">
      <c r="A54" s="40">
        <v>47</v>
      </c>
      <c r="B54" s="56">
        <v>30</v>
      </c>
      <c r="C54" s="69" t="s">
        <v>268</v>
      </c>
      <c r="D54" s="69" t="s">
        <v>269</v>
      </c>
      <c r="E54" s="69" t="s">
        <v>270</v>
      </c>
      <c r="F54" s="70" t="s">
        <v>271</v>
      </c>
      <c r="G54" s="113">
        <v>13</v>
      </c>
      <c r="H54" s="114">
        <v>25</v>
      </c>
      <c r="I54" s="115">
        <f t="shared" si="41"/>
        <v>38</v>
      </c>
      <c r="J54" s="114">
        <v>15</v>
      </c>
      <c r="K54" s="115">
        <f t="shared" si="42"/>
        <v>53</v>
      </c>
      <c r="L54" s="108">
        <v>18</v>
      </c>
      <c r="M54" s="114">
        <v>35</v>
      </c>
      <c r="N54" s="115">
        <f t="shared" si="40"/>
        <v>42.989999999999995</v>
      </c>
      <c r="O54" s="114">
        <v>16</v>
      </c>
      <c r="P54" s="74">
        <f t="shared" si="10"/>
        <v>58.989999999999995</v>
      </c>
      <c r="Q54" s="74">
        <f t="shared" si="11"/>
        <v>111.99</v>
      </c>
      <c r="R54" s="281"/>
      <c r="S54" s="73">
        <f t="shared" si="12"/>
        <v>3</v>
      </c>
      <c r="T54" s="108">
        <v>19</v>
      </c>
      <c r="U54" s="114">
        <v>28</v>
      </c>
      <c r="V54" s="115">
        <f t="shared" si="43"/>
        <v>47</v>
      </c>
      <c r="W54" s="108">
        <v>12</v>
      </c>
      <c r="X54" s="114">
        <v>28</v>
      </c>
      <c r="Y54" s="115">
        <f t="shared" si="44"/>
        <v>40</v>
      </c>
      <c r="Z54" s="74">
        <f t="shared" si="15"/>
        <v>87</v>
      </c>
      <c r="AA54" s="281"/>
      <c r="AB54" s="73">
        <f t="shared" si="0"/>
        <v>2</v>
      </c>
      <c r="AC54" s="108">
        <v>19</v>
      </c>
      <c r="AD54" s="114">
        <v>27</v>
      </c>
      <c r="AE54" s="115">
        <f t="shared" si="45"/>
        <v>46</v>
      </c>
      <c r="AF54" s="114">
        <v>17</v>
      </c>
      <c r="AG54" s="74">
        <f t="shared" si="17"/>
        <v>63</v>
      </c>
      <c r="AH54" s="281"/>
      <c r="AI54" s="73">
        <f t="shared" si="1"/>
        <v>3.5</v>
      </c>
      <c r="AJ54" s="108">
        <v>18</v>
      </c>
      <c r="AK54" s="114">
        <v>34</v>
      </c>
      <c r="AL54" s="115">
        <f t="shared" si="46"/>
        <v>52</v>
      </c>
      <c r="AM54" s="114">
        <v>18</v>
      </c>
      <c r="AN54" s="74">
        <f t="shared" si="19"/>
        <v>70</v>
      </c>
      <c r="AO54" s="281"/>
      <c r="AP54" s="73">
        <f t="shared" si="2"/>
        <v>4</v>
      </c>
      <c r="AQ54" s="116"/>
      <c r="AR54" s="116">
        <v>16</v>
      </c>
      <c r="AS54" s="114">
        <v>23</v>
      </c>
      <c r="AT54" s="73">
        <f t="shared" si="39"/>
        <v>39</v>
      </c>
      <c r="AU54" s="284"/>
      <c r="AV54" s="73">
        <f t="shared" si="21"/>
        <v>4</v>
      </c>
      <c r="AW54" s="108">
        <v>14</v>
      </c>
      <c r="AX54" s="114">
        <v>27</v>
      </c>
      <c r="AY54" s="115">
        <f t="shared" si="22"/>
        <v>41</v>
      </c>
      <c r="AZ54" s="114">
        <v>21</v>
      </c>
      <c r="BA54" s="74">
        <f t="shared" si="23"/>
        <v>62</v>
      </c>
      <c r="BB54" s="281"/>
      <c r="BC54" s="73">
        <f t="shared" si="24"/>
        <v>3.5</v>
      </c>
      <c r="BD54" s="108">
        <v>9</v>
      </c>
      <c r="BE54" s="114">
        <v>16</v>
      </c>
      <c r="BF54" s="115">
        <f t="shared" si="47"/>
        <v>25</v>
      </c>
      <c r="BG54" s="114">
        <v>11</v>
      </c>
      <c r="BH54" s="114">
        <v>22</v>
      </c>
      <c r="BI54" s="74">
        <f t="shared" si="26"/>
        <v>58</v>
      </c>
      <c r="BJ54" s="284"/>
      <c r="BK54" s="73">
        <f t="shared" si="3"/>
        <v>3</v>
      </c>
      <c r="BL54" s="108">
        <v>5</v>
      </c>
      <c r="BM54" s="114">
        <v>18</v>
      </c>
      <c r="BN54" s="115">
        <f t="shared" si="48"/>
        <v>23</v>
      </c>
      <c r="BO54" s="114">
        <v>10</v>
      </c>
      <c r="BP54" s="114">
        <v>22</v>
      </c>
      <c r="BQ54" s="74">
        <f t="shared" si="28"/>
        <v>55</v>
      </c>
      <c r="BR54" s="281"/>
      <c r="BS54" s="73">
        <f t="shared" si="29"/>
        <v>3</v>
      </c>
      <c r="BT54" s="108">
        <v>8</v>
      </c>
      <c r="BU54" s="114">
        <v>22</v>
      </c>
      <c r="BV54" s="115">
        <f t="shared" si="49"/>
        <v>30</v>
      </c>
      <c r="BW54" s="114">
        <v>13</v>
      </c>
      <c r="BX54" s="114">
        <v>22</v>
      </c>
      <c r="BY54" s="74">
        <f t="shared" si="31"/>
        <v>65</v>
      </c>
      <c r="BZ54" s="284"/>
      <c r="CA54" s="73">
        <f t="shared" si="32"/>
        <v>3.5</v>
      </c>
      <c r="CB54" s="108">
        <v>5</v>
      </c>
      <c r="CC54" s="114">
        <v>3</v>
      </c>
      <c r="CD54" s="115">
        <f t="shared" si="50"/>
        <v>8</v>
      </c>
      <c r="CE54" s="114">
        <v>16</v>
      </c>
      <c r="CF54" s="114">
        <v>22</v>
      </c>
      <c r="CG54" s="74">
        <f t="shared" si="34"/>
        <v>46</v>
      </c>
      <c r="CH54" s="281"/>
      <c r="CI54" s="75" t="str">
        <f t="shared" si="35"/>
        <v>0</v>
      </c>
      <c r="CJ54" s="73">
        <f t="shared" si="4"/>
        <v>27.5</v>
      </c>
      <c r="CK54" s="76">
        <f t="shared" si="36"/>
        <v>3.0555555555555554</v>
      </c>
      <c r="CL54" s="77" t="str">
        <f t="shared" si="37"/>
        <v>B</v>
      </c>
      <c r="CM54" s="39" t="str">
        <f t="shared" si="5"/>
        <v>GOOD</v>
      </c>
      <c r="CN54" s="38">
        <f t="shared" si="6"/>
        <v>656.99</v>
      </c>
      <c r="CO54" s="37">
        <f t="shared" si="7"/>
        <v>62</v>
      </c>
      <c r="CP54" s="40"/>
    </row>
    <row r="55" spans="1:94" s="41" customFormat="1" ht="20.100000000000001" customHeight="1">
      <c r="A55" s="40">
        <v>48</v>
      </c>
      <c r="B55" s="56">
        <v>33</v>
      </c>
      <c r="C55" s="69" t="s">
        <v>272</v>
      </c>
      <c r="D55" s="69" t="s">
        <v>273</v>
      </c>
      <c r="E55" s="69" t="s">
        <v>274</v>
      </c>
      <c r="F55" s="70" t="s">
        <v>275</v>
      </c>
      <c r="G55" s="113">
        <v>14</v>
      </c>
      <c r="H55" s="114">
        <v>23</v>
      </c>
      <c r="I55" s="115">
        <f t="shared" si="41"/>
        <v>37</v>
      </c>
      <c r="J55" s="114">
        <v>14</v>
      </c>
      <c r="K55" s="115">
        <f t="shared" si="42"/>
        <v>51</v>
      </c>
      <c r="L55" s="108">
        <v>16</v>
      </c>
      <c r="M55" s="114">
        <v>34</v>
      </c>
      <c r="N55" s="115">
        <f t="shared" si="40"/>
        <v>40.275999999999996</v>
      </c>
      <c r="O55" s="114">
        <v>16</v>
      </c>
      <c r="P55" s="74">
        <f t="shared" si="10"/>
        <v>56.275999999999996</v>
      </c>
      <c r="Q55" s="74">
        <f t="shared" si="11"/>
        <v>107.276</v>
      </c>
      <c r="R55" s="281"/>
      <c r="S55" s="73">
        <f t="shared" si="12"/>
        <v>3</v>
      </c>
      <c r="T55" s="108">
        <v>16</v>
      </c>
      <c r="U55" s="114">
        <v>43</v>
      </c>
      <c r="V55" s="115">
        <f t="shared" si="43"/>
        <v>59</v>
      </c>
      <c r="W55" s="108">
        <v>9</v>
      </c>
      <c r="X55" s="114">
        <v>22</v>
      </c>
      <c r="Y55" s="115">
        <f t="shared" si="44"/>
        <v>31</v>
      </c>
      <c r="Z55" s="74">
        <f t="shared" si="15"/>
        <v>90</v>
      </c>
      <c r="AA55" s="281"/>
      <c r="AB55" s="73">
        <f t="shared" si="0"/>
        <v>2</v>
      </c>
      <c r="AC55" s="108">
        <v>12</v>
      </c>
      <c r="AD55" s="114">
        <v>21</v>
      </c>
      <c r="AE55" s="115">
        <f t="shared" si="45"/>
        <v>33</v>
      </c>
      <c r="AF55" s="114">
        <v>13</v>
      </c>
      <c r="AG55" s="74">
        <f t="shared" si="17"/>
        <v>46</v>
      </c>
      <c r="AH55" s="281"/>
      <c r="AI55" s="73">
        <f t="shared" si="1"/>
        <v>2</v>
      </c>
      <c r="AJ55" s="108">
        <v>16</v>
      </c>
      <c r="AK55" s="114">
        <v>26</v>
      </c>
      <c r="AL55" s="115">
        <f t="shared" si="46"/>
        <v>42</v>
      </c>
      <c r="AM55" s="114">
        <v>19</v>
      </c>
      <c r="AN55" s="74">
        <f t="shared" si="19"/>
        <v>61</v>
      </c>
      <c r="AO55" s="281"/>
      <c r="AP55" s="73">
        <f t="shared" si="2"/>
        <v>3.5</v>
      </c>
      <c r="AQ55" s="116"/>
      <c r="AR55" s="116">
        <v>19</v>
      </c>
      <c r="AS55" s="114">
        <v>23</v>
      </c>
      <c r="AT55" s="73">
        <f t="shared" si="39"/>
        <v>42</v>
      </c>
      <c r="AU55" s="284"/>
      <c r="AV55" s="73">
        <f t="shared" si="21"/>
        <v>5</v>
      </c>
      <c r="AW55" s="108">
        <v>11</v>
      </c>
      <c r="AX55" s="114">
        <v>20</v>
      </c>
      <c r="AY55" s="115">
        <f t="shared" si="22"/>
        <v>31</v>
      </c>
      <c r="AZ55" s="114">
        <v>20</v>
      </c>
      <c r="BA55" s="74">
        <f t="shared" si="23"/>
        <v>51</v>
      </c>
      <c r="BB55" s="281"/>
      <c r="BC55" s="73">
        <f t="shared" si="24"/>
        <v>3</v>
      </c>
      <c r="BD55" s="108">
        <v>6</v>
      </c>
      <c r="BE55" s="114">
        <v>16</v>
      </c>
      <c r="BF55" s="115">
        <f t="shared" si="47"/>
        <v>22</v>
      </c>
      <c r="BG55" s="114">
        <v>11</v>
      </c>
      <c r="BH55" s="114">
        <v>22</v>
      </c>
      <c r="BI55" s="74">
        <f t="shared" si="26"/>
        <v>55</v>
      </c>
      <c r="BJ55" s="284"/>
      <c r="BK55" s="73">
        <f t="shared" si="3"/>
        <v>3</v>
      </c>
      <c r="BL55" s="108">
        <v>6</v>
      </c>
      <c r="BM55" s="114">
        <v>0</v>
      </c>
      <c r="BN55" s="115">
        <f t="shared" si="48"/>
        <v>6</v>
      </c>
      <c r="BO55" s="114">
        <v>13</v>
      </c>
      <c r="BP55" s="114">
        <v>22</v>
      </c>
      <c r="BQ55" s="74">
        <f t="shared" si="28"/>
        <v>41</v>
      </c>
      <c r="BR55" s="281"/>
      <c r="BS55" s="73" t="str">
        <f t="shared" si="29"/>
        <v>F</v>
      </c>
      <c r="BT55" s="108">
        <v>8</v>
      </c>
      <c r="BU55" s="114">
        <v>14</v>
      </c>
      <c r="BV55" s="115">
        <f t="shared" si="49"/>
        <v>22</v>
      </c>
      <c r="BW55" s="114">
        <v>12</v>
      </c>
      <c r="BX55" s="114">
        <v>22</v>
      </c>
      <c r="BY55" s="74">
        <f t="shared" si="31"/>
        <v>56</v>
      </c>
      <c r="BZ55" s="284"/>
      <c r="CA55" s="73">
        <f t="shared" si="32"/>
        <v>3</v>
      </c>
      <c r="CB55" s="108">
        <v>5</v>
      </c>
      <c r="CC55" s="114">
        <v>1</v>
      </c>
      <c r="CD55" s="115">
        <f t="shared" si="50"/>
        <v>6</v>
      </c>
      <c r="CE55" s="114">
        <v>15</v>
      </c>
      <c r="CF55" s="114">
        <v>22</v>
      </c>
      <c r="CG55" s="74">
        <f t="shared" si="34"/>
        <v>43</v>
      </c>
      <c r="CH55" s="281"/>
      <c r="CI55" s="75" t="str">
        <f t="shared" si="35"/>
        <v>0</v>
      </c>
      <c r="CJ55" s="73" t="str">
        <f t="shared" si="4"/>
        <v>F</v>
      </c>
      <c r="CK55" s="76" t="str">
        <f t="shared" si="36"/>
        <v>F</v>
      </c>
      <c r="CL55" s="77" t="str">
        <f t="shared" si="37"/>
        <v>F</v>
      </c>
      <c r="CM55" s="39" t="str">
        <f t="shared" si="5"/>
        <v>NEED TO PROGRESS</v>
      </c>
      <c r="CN55" s="38">
        <f t="shared" si="6"/>
        <v>592.27600000000007</v>
      </c>
      <c r="CO55" s="37" t="str">
        <f t="shared" si="7"/>
        <v>F</v>
      </c>
      <c r="CP55" s="40"/>
    </row>
    <row r="56" spans="1:94" s="41" customFormat="1" ht="20.100000000000001" customHeight="1">
      <c r="A56" s="40">
        <v>49</v>
      </c>
      <c r="B56" s="56">
        <v>34</v>
      </c>
      <c r="C56" s="69" t="s">
        <v>276</v>
      </c>
      <c r="D56" s="69" t="s">
        <v>277</v>
      </c>
      <c r="E56" s="69" t="s">
        <v>278</v>
      </c>
      <c r="F56" s="98" t="s">
        <v>279</v>
      </c>
      <c r="G56" s="113">
        <v>12</v>
      </c>
      <c r="H56" s="114">
        <v>21</v>
      </c>
      <c r="I56" s="115">
        <f t="shared" si="41"/>
        <v>33</v>
      </c>
      <c r="J56" s="114">
        <v>12</v>
      </c>
      <c r="K56" s="115">
        <f t="shared" si="42"/>
        <v>45</v>
      </c>
      <c r="L56" s="108">
        <v>19</v>
      </c>
      <c r="M56" s="114">
        <v>29</v>
      </c>
      <c r="N56" s="115">
        <f t="shared" si="40"/>
        <v>39.706000000000003</v>
      </c>
      <c r="O56" s="114">
        <v>11</v>
      </c>
      <c r="P56" s="74">
        <f t="shared" si="10"/>
        <v>50.706000000000003</v>
      </c>
      <c r="Q56" s="74">
        <f t="shared" si="11"/>
        <v>95.706000000000003</v>
      </c>
      <c r="R56" s="281"/>
      <c r="S56" s="73">
        <f t="shared" si="12"/>
        <v>2</v>
      </c>
      <c r="T56" s="108">
        <v>17</v>
      </c>
      <c r="U56" s="114">
        <v>45</v>
      </c>
      <c r="V56" s="115">
        <f t="shared" si="43"/>
        <v>62</v>
      </c>
      <c r="W56" s="108">
        <v>11</v>
      </c>
      <c r="X56" s="114">
        <v>38</v>
      </c>
      <c r="Y56" s="115">
        <f t="shared" si="44"/>
        <v>49</v>
      </c>
      <c r="Z56" s="74">
        <f t="shared" si="15"/>
        <v>111</v>
      </c>
      <c r="AA56" s="281"/>
      <c r="AB56" s="73">
        <f t="shared" si="0"/>
        <v>3</v>
      </c>
      <c r="AC56" s="108">
        <v>12</v>
      </c>
      <c r="AD56" s="114">
        <v>11</v>
      </c>
      <c r="AE56" s="115">
        <f t="shared" si="45"/>
        <v>23</v>
      </c>
      <c r="AF56" s="114">
        <v>24</v>
      </c>
      <c r="AG56" s="74">
        <f t="shared" si="17"/>
        <v>47</v>
      </c>
      <c r="AH56" s="281"/>
      <c r="AI56" s="73" t="str">
        <f t="shared" si="1"/>
        <v>F</v>
      </c>
      <c r="AJ56" s="108">
        <v>15</v>
      </c>
      <c r="AK56" s="114">
        <v>33</v>
      </c>
      <c r="AL56" s="115">
        <f t="shared" si="46"/>
        <v>48</v>
      </c>
      <c r="AM56" s="114">
        <v>12</v>
      </c>
      <c r="AN56" s="74">
        <f t="shared" si="19"/>
        <v>60</v>
      </c>
      <c r="AO56" s="281"/>
      <c r="AP56" s="73">
        <f t="shared" si="2"/>
        <v>3.5</v>
      </c>
      <c r="AQ56" s="116"/>
      <c r="AR56" s="116">
        <v>19</v>
      </c>
      <c r="AS56" s="114">
        <v>23</v>
      </c>
      <c r="AT56" s="73">
        <f t="shared" si="39"/>
        <v>42</v>
      </c>
      <c r="AU56" s="284"/>
      <c r="AV56" s="73">
        <f t="shared" si="21"/>
        <v>5</v>
      </c>
      <c r="AW56" s="108">
        <v>9</v>
      </c>
      <c r="AX56" s="114">
        <v>20</v>
      </c>
      <c r="AY56" s="115">
        <f t="shared" si="22"/>
        <v>29</v>
      </c>
      <c r="AZ56" s="114">
        <v>14</v>
      </c>
      <c r="BA56" s="74">
        <f t="shared" si="23"/>
        <v>43</v>
      </c>
      <c r="BB56" s="281"/>
      <c r="BC56" s="73">
        <f t="shared" si="24"/>
        <v>2</v>
      </c>
      <c r="BD56" s="108">
        <v>6</v>
      </c>
      <c r="BE56" s="114">
        <v>5</v>
      </c>
      <c r="BF56" s="115">
        <f t="shared" si="47"/>
        <v>11</v>
      </c>
      <c r="BG56" s="114">
        <v>10</v>
      </c>
      <c r="BH56" s="114">
        <v>22</v>
      </c>
      <c r="BI56" s="74">
        <f t="shared" si="26"/>
        <v>43</v>
      </c>
      <c r="BJ56" s="284"/>
      <c r="BK56" s="73" t="str">
        <f t="shared" si="3"/>
        <v>F</v>
      </c>
      <c r="BL56" s="108">
        <v>5</v>
      </c>
      <c r="BM56" s="114">
        <v>6</v>
      </c>
      <c r="BN56" s="115">
        <f t="shared" si="48"/>
        <v>11</v>
      </c>
      <c r="BO56" s="114">
        <v>5</v>
      </c>
      <c r="BP56" s="114">
        <v>22</v>
      </c>
      <c r="BQ56" s="74">
        <f t="shared" si="28"/>
        <v>38</v>
      </c>
      <c r="BR56" s="281"/>
      <c r="BS56" s="73" t="str">
        <f t="shared" si="29"/>
        <v>F</v>
      </c>
      <c r="BT56" s="108">
        <v>6</v>
      </c>
      <c r="BU56" s="114">
        <v>19</v>
      </c>
      <c r="BV56" s="115">
        <f t="shared" si="49"/>
        <v>25</v>
      </c>
      <c r="BW56" s="114">
        <v>11</v>
      </c>
      <c r="BX56" s="114">
        <v>22</v>
      </c>
      <c r="BY56" s="74">
        <f t="shared" si="31"/>
        <v>58</v>
      </c>
      <c r="BZ56" s="284"/>
      <c r="CA56" s="73">
        <f t="shared" si="32"/>
        <v>3</v>
      </c>
      <c r="CB56" s="108">
        <v>9</v>
      </c>
      <c r="CC56" s="114">
        <v>23</v>
      </c>
      <c r="CD56" s="115">
        <f t="shared" si="50"/>
        <v>32</v>
      </c>
      <c r="CE56" s="114">
        <v>17</v>
      </c>
      <c r="CF56" s="114">
        <v>22</v>
      </c>
      <c r="CG56" s="74">
        <f t="shared" si="34"/>
        <v>71</v>
      </c>
      <c r="CH56" s="281"/>
      <c r="CI56" s="75">
        <f t="shared" si="35"/>
        <v>4</v>
      </c>
      <c r="CJ56" s="73" t="str">
        <f t="shared" si="4"/>
        <v>F</v>
      </c>
      <c r="CK56" s="76" t="str">
        <f t="shared" si="36"/>
        <v>F</v>
      </c>
      <c r="CL56" s="77" t="str">
        <f t="shared" si="37"/>
        <v>F</v>
      </c>
      <c r="CM56" s="39" t="str">
        <f t="shared" si="5"/>
        <v>NEED TO PROGRESS</v>
      </c>
      <c r="CN56" s="38">
        <f t="shared" si="6"/>
        <v>608.70600000000002</v>
      </c>
      <c r="CO56" s="37" t="str">
        <f t="shared" si="7"/>
        <v>F</v>
      </c>
      <c r="CP56" s="40"/>
    </row>
    <row r="57" spans="1:94" s="41" customFormat="1" ht="20.100000000000001" customHeight="1">
      <c r="A57" s="40">
        <v>50</v>
      </c>
      <c r="B57" s="56">
        <v>35</v>
      </c>
      <c r="C57" s="69" t="s">
        <v>280</v>
      </c>
      <c r="D57" s="69" t="s">
        <v>281</v>
      </c>
      <c r="E57" s="69" t="s">
        <v>282</v>
      </c>
      <c r="F57" s="70" t="s">
        <v>283</v>
      </c>
      <c r="G57" s="113">
        <v>10</v>
      </c>
      <c r="H57" s="114">
        <v>24</v>
      </c>
      <c r="I57" s="115">
        <f t="shared" si="41"/>
        <v>34</v>
      </c>
      <c r="J57" s="114">
        <v>12</v>
      </c>
      <c r="K57" s="115">
        <f t="shared" si="42"/>
        <v>46</v>
      </c>
      <c r="L57" s="108">
        <v>16</v>
      </c>
      <c r="M57" s="114">
        <v>24</v>
      </c>
      <c r="N57" s="115">
        <f t="shared" si="40"/>
        <v>33.135999999999996</v>
      </c>
      <c r="O57" s="114">
        <v>19</v>
      </c>
      <c r="P57" s="74">
        <f t="shared" si="10"/>
        <v>52.135999999999996</v>
      </c>
      <c r="Q57" s="74">
        <f t="shared" si="11"/>
        <v>98.135999999999996</v>
      </c>
      <c r="R57" s="281"/>
      <c r="S57" s="73">
        <f t="shared" si="12"/>
        <v>2</v>
      </c>
      <c r="T57" s="108">
        <v>17</v>
      </c>
      <c r="U57" s="114">
        <v>62</v>
      </c>
      <c r="V57" s="115">
        <f t="shared" si="43"/>
        <v>79</v>
      </c>
      <c r="W57" s="108">
        <v>11</v>
      </c>
      <c r="X57" s="114">
        <v>33</v>
      </c>
      <c r="Y57" s="115">
        <f t="shared" si="44"/>
        <v>44</v>
      </c>
      <c r="Z57" s="74">
        <f t="shared" si="15"/>
        <v>123</v>
      </c>
      <c r="AA57" s="281"/>
      <c r="AB57" s="73">
        <f t="shared" si="0"/>
        <v>3.5</v>
      </c>
      <c r="AC57" s="108">
        <v>15</v>
      </c>
      <c r="AD57" s="114">
        <v>21</v>
      </c>
      <c r="AE57" s="115">
        <f t="shared" si="45"/>
        <v>36</v>
      </c>
      <c r="AF57" s="114">
        <v>19</v>
      </c>
      <c r="AG57" s="74">
        <f t="shared" si="17"/>
        <v>55</v>
      </c>
      <c r="AH57" s="281"/>
      <c r="AI57" s="73">
        <f t="shared" si="1"/>
        <v>3</v>
      </c>
      <c r="AJ57" s="108">
        <v>15</v>
      </c>
      <c r="AK57" s="114">
        <v>36</v>
      </c>
      <c r="AL57" s="115">
        <f t="shared" si="46"/>
        <v>51</v>
      </c>
      <c r="AM57" s="114">
        <v>21</v>
      </c>
      <c r="AN57" s="74">
        <f t="shared" si="19"/>
        <v>72</v>
      </c>
      <c r="AO57" s="281"/>
      <c r="AP57" s="73">
        <f t="shared" si="2"/>
        <v>4</v>
      </c>
      <c r="AQ57" s="116"/>
      <c r="AR57" s="116">
        <v>16</v>
      </c>
      <c r="AS57" s="114">
        <v>23</v>
      </c>
      <c r="AT57" s="73">
        <f t="shared" si="39"/>
        <v>39</v>
      </c>
      <c r="AU57" s="284"/>
      <c r="AV57" s="73">
        <f t="shared" si="21"/>
        <v>4</v>
      </c>
      <c r="AW57" s="108">
        <v>8</v>
      </c>
      <c r="AX57" s="114">
        <v>20</v>
      </c>
      <c r="AY57" s="115">
        <f t="shared" si="22"/>
        <v>28</v>
      </c>
      <c r="AZ57" s="114">
        <v>21</v>
      </c>
      <c r="BA57" s="74">
        <f t="shared" si="23"/>
        <v>49</v>
      </c>
      <c r="BB57" s="281"/>
      <c r="BC57" s="73">
        <f t="shared" si="24"/>
        <v>2</v>
      </c>
      <c r="BD57" s="108">
        <v>6</v>
      </c>
      <c r="BE57" s="114">
        <v>18</v>
      </c>
      <c r="BF57" s="115">
        <f t="shared" si="47"/>
        <v>24</v>
      </c>
      <c r="BG57" s="114">
        <v>14</v>
      </c>
      <c r="BH57" s="114">
        <v>22</v>
      </c>
      <c r="BI57" s="74">
        <f t="shared" si="26"/>
        <v>60</v>
      </c>
      <c r="BJ57" s="284"/>
      <c r="BK57" s="73">
        <f t="shared" si="3"/>
        <v>3.5</v>
      </c>
      <c r="BL57" s="108">
        <v>5</v>
      </c>
      <c r="BM57" s="114">
        <v>25</v>
      </c>
      <c r="BN57" s="115">
        <f t="shared" si="48"/>
        <v>30</v>
      </c>
      <c r="BO57" s="114">
        <v>15</v>
      </c>
      <c r="BP57" s="114">
        <v>22</v>
      </c>
      <c r="BQ57" s="74">
        <f t="shared" si="28"/>
        <v>67</v>
      </c>
      <c r="BR57" s="281"/>
      <c r="BS57" s="73">
        <f t="shared" si="29"/>
        <v>3.5</v>
      </c>
      <c r="BT57" s="108">
        <v>9</v>
      </c>
      <c r="BU57" s="114">
        <v>23</v>
      </c>
      <c r="BV57" s="115">
        <f t="shared" si="49"/>
        <v>32</v>
      </c>
      <c r="BW57" s="114">
        <v>10</v>
      </c>
      <c r="BX57" s="114">
        <v>22</v>
      </c>
      <c r="BY57" s="74">
        <f t="shared" si="31"/>
        <v>64</v>
      </c>
      <c r="BZ57" s="284"/>
      <c r="CA57" s="73">
        <f t="shared" si="32"/>
        <v>3.5</v>
      </c>
      <c r="CB57" s="108">
        <v>8</v>
      </c>
      <c r="CC57" s="114">
        <v>1</v>
      </c>
      <c r="CD57" s="115">
        <f t="shared" si="50"/>
        <v>9</v>
      </c>
      <c r="CE57" s="114">
        <v>12</v>
      </c>
      <c r="CF57" s="114">
        <v>22</v>
      </c>
      <c r="CG57" s="74">
        <f t="shared" si="34"/>
        <v>43</v>
      </c>
      <c r="CH57" s="281"/>
      <c r="CI57" s="75" t="str">
        <f t="shared" si="35"/>
        <v>0</v>
      </c>
      <c r="CJ57" s="73">
        <f t="shared" si="4"/>
        <v>27</v>
      </c>
      <c r="CK57" s="76">
        <f t="shared" si="36"/>
        <v>3</v>
      </c>
      <c r="CL57" s="77" t="str">
        <f t="shared" si="37"/>
        <v>B</v>
      </c>
      <c r="CM57" s="39" t="str">
        <f t="shared" si="5"/>
        <v>GOOD</v>
      </c>
      <c r="CN57" s="38">
        <f t="shared" si="6"/>
        <v>670.13599999999997</v>
      </c>
      <c r="CO57" s="37">
        <f t="shared" si="7"/>
        <v>56</v>
      </c>
      <c r="CP57" s="40"/>
    </row>
    <row r="58" spans="1:94" s="41" customFormat="1" ht="20.100000000000001" customHeight="1">
      <c r="A58" s="40">
        <v>51</v>
      </c>
      <c r="B58" s="56">
        <v>40</v>
      </c>
      <c r="C58" s="69" t="s">
        <v>284</v>
      </c>
      <c r="D58" s="69" t="s">
        <v>285</v>
      </c>
      <c r="E58" s="69" t="s">
        <v>286</v>
      </c>
      <c r="F58" s="70" t="s">
        <v>287</v>
      </c>
      <c r="G58" s="113">
        <v>16</v>
      </c>
      <c r="H58" s="114">
        <v>24</v>
      </c>
      <c r="I58" s="115">
        <f t="shared" si="41"/>
        <v>40</v>
      </c>
      <c r="J58" s="114">
        <v>12</v>
      </c>
      <c r="K58" s="115">
        <f t="shared" si="42"/>
        <v>52</v>
      </c>
      <c r="L58" s="108">
        <v>19</v>
      </c>
      <c r="M58" s="114">
        <v>33</v>
      </c>
      <c r="N58" s="115">
        <f t="shared" si="40"/>
        <v>42.561999999999998</v>
      </c>
      <c r="O58" s="114">
        <v>11</v>
      </c>
      <c r="P58" s="74">
        <f t="shared" si="10"/>
        <v>53.561999999999998</v>
      </c>
      <c r="Q58" s="74">
        <f t="shared" si="11"/>
        <v>105.562</v>
      </c>
      <c r="R58" s="281"/>
      <c r="S58" s="73">
        <f t="shared" si="12"/>
        <v>3</v>
      </c>
      <c r="T58" s="108">
        <v>18</v>
      </c>
      <c r="U58" s="114">
        <v>62</v>
      </c>
      <c r="V58" s="115">
        <f t="shared" si="43"/>
        <v>80</v>
      </c>
      <c r="W58" s="108">
        <v>11</v>
      </c>
      <c r="X58" s="114">
        <v>42</v>
      </c>
      <c r="Y58" s="115">
        <f t="shared" si="44"/>
        <v>53</v>
      </c>
      <c r="Z58" s="74">
        <f t="shared" si="15"/>
        <v>133</v>
      </c>
      <c r="AA58" s="281"/>
      <c r="AB58" s="73">
        <f t="shared" si="0"/>
        <v>3.5</v>
      </c>
      <c r="AC58" s="108">
        <v>12</v>
      </c>
      <c r="AD58" s="114">
        <v>16</v>
      </c>
      <c r="AE58" s="115">
        <f t="shared" si="45"/>
        <v>28</v>
      </c>
      <c r="AF58" s="114">
        <v>26</v>
      </c>
      <c r="AG58" s="74">
        <f t="shared" si="17"/>
        <v>54</v>
      </c>
      <c r="AH58" s="281"/>
      <c r="AI58" s="73">
        <f t="shared" si="1"/>
        <v>3</v>
      </c>
      <c r="AJ58" s="108">
        <v>13</v>
      </c>
      <c r="AK58" s="114">
        <v>36</v>
      </c>
      <c r="AL58" s="115">
        <f t="shared" si="46"/>
        <v>49</v>
      </c>
      <c r="AM58" s="114">
        <v>14</v>
      </c>
      <c r="AN58" s="74">
        <f t="shared" si="19"/>
        <v>63</v>
      </c>
      <c r="AO58" s="281"/>
      <c r="AP58" s="73">
        <f t="shared" si="2"/>
        <v>3.5</v>
      </c>
      <c r="AQ58" s="116"/>
      <c r="AR58" s="116">
        <v>18</v>
      </c>
      <c r="AS58" s="114">
        <v>23</v>
      </c>
      <c r="AT58" s="73">
        <f t="shared" si="39"/>
        <v>41</v>
      </c>
      <c r="AU58" s="284"/>
      <c r="AV58" s="73">
        <f t="shared" si="21"/>
        <v>5</v>
      </c>
      <c r="AW58" s="108">
        <v>10</v>
      </c>
      <c r="AX58" s="114">
        <v>20</v>
      </c>
      <c r="AY58" s="115">
        <f t="shared" si="22"/>
        <v>30</v>
      </c>
      <c r="AZ58" s="114">
        <v>16</v>
      </c>
      <c r="BA58" s="74">
        <f t="shared" si="23"/>
        <v>46</v>
      </c>
      <c r="BB58" s="281"/>
      <c r="BC58" s="73">
        <f t="shared" si="24"/>
        <v>2</v>
      </c>
      <c r="BD58" s="108">
        <v>7</v>
      </c>
      <c r="BE58" s="114">
        <v>16</v>
      </c>
      <c r="BF58" s="115">
        <f t="shared" si="47"/>
        <v>23</v>
      </c>
      <c r="BG58" s="114">
        <v>11</v>
      </c>
      <c r="BH58" s="114">
        <v>22</v>
      </c>
      <c r="BI58" s="74">
        <f t="shared" si="26"/>
        <v>56</v>
      </c>
      <c r="BJ58" s="284"/>
      <c r="BK58" s="73">
        <f t="shared" si="3"/>
        <v>3</v>
      </c>
      <c r="BL58" s="108">
        <v>5</v>
      </c>
      <c r="BM58" s="114">
        <v>16</v>
      </c>
      <c r="BN58" s="115">
        <f t="shared" si="48"/>
        <v>21</v>
      </c>
      <c r="BO58" s="114">
        <v>10</v>
      </c>
      <c r="BP58" s="114">
        <v>22</v>
      </c>
      <c r="BQ58" s="74">
        <f t="shared" si="28"/>
        <v>53</v>
      </c>
      <c r="BR58" s="281"/>
      <c r="BS58" s="73">
        <f t="shared" si="29"/>
        <v>3</v>
      </c>
      <c r="BT58" s="108">
        <v>8</v>
      </c>
      <c r="BU58" s="114">
        <v>23</v>
      </c>
      <c r="BV58" s="115">
        <f t="shared" si="49"/>
        <v>31</v>
      </c>
      <c r="BW58" s="114">
        <v>11</v>
      </c>
      <c r="BX58" s="114">
        <v>22</v>
      </c>
      <c r="BY58" s="74">
        <f t="shared" si="31"/>
        <v>64</v>
      </c>
      <c r="BZ58" s="284"/>
      <c r="CA58" s="73">
        <f t="shared" si="32"/>
        <v>3.5</v>
      </c>
      <c r="CB58" s="108">
        <v>8</v>
      </c>
      <c r="CC58" s="114">
        <v>12</v>
      </c>
      <c r="CD58" s="115">
        <f t="shared" si="50"/>
        <v>20</v>
      </c>
      <c r="CE58" s="114">
        <v>15</v>
      </c>
      <c r="CF58" s="114">
        <v>22</v>
      </c>
      <c r="CG58" s="74">
        <f t="shared" si="34"/>
        <v>57</v>
      </c>
      <c r="CH58" s="281"/>
      <c r="CI58" s="75">
        <f t="shared" si="35"/>
        <v>3</v>
      </c>
      <c r="CJ58" s="73">
        <f t="shared" si="4"/>
        <v>30.5</v>
      </c>
      <c r="CK58" s="76">
        <f t="shared" si="36"/>
        <v>3.3888888888888888</v>
      </c>
      <c r="CL58" s="77" t="str">
        <f t="shared" si="37"/>
        <v>B</v>
      </c>
      <c r="CM58" s="39" t="str">
        <f t="shared" si="5"/>
        <v>GOOD</v>
      </c>
      <c r="CN58" s="38">
        <f t="shared" si="6"/>
        <v>672.56200000000001</v>
      </c>
      <c r="CO58" s="37">
        <f t="shared" si="7"/>
        <v>54</v>
      </c>
      <c r="CP58" s="40"/>
    </row>
    <row r="59" spans="1:94" s="41" customFormat="1" ht="20.100000000000001" customHeight="1">
      <c r="A59" s="40">
        <v>52</v>
      </c>
      <c r="B59" s="56">
        <v>43</v>
      </c>
      <c r="C59" s="69" t="s">
        <v>288</v>
      </c>
      <c r="D59" s="69" t="s">
        <v>289</v>
      </c>
      <c r="E59" s="69" t="s">
        <v>290</v>
      </c>
      <c r="F59" s="70" t="s">
        <v>291</v>
      </c>
      <c r="G59" s="113">
        <v>18</v>
      </c>
      <c r="H59" s="114">
        <v>34</v>
      </c>
      <c r="I59" s="115">
        <f t="shared" si="41"/>
        <v>52</v>
      </c>
      <c r="J59" s="114">
        <v>15</v>
      </c>
      <c r="K59" s="115">
        <f t="shared" si="42"/>
        <v>67</v>
      </c>
      <c r="L59" s="108">
        <v>19</v>
      </c>
      <c r="M59" s="114">
        <v>29</v>
      </c>
      <c r="N59" s="115">
        <f t="shared" si="40"/>
        <v>39.706000000000003</v>
      </c>
      <c r="O59" s="114">
        <v>17</v>
      </c>
      <c r="P59" s="74">
        <f t="shared" si="10"/>
        <v>56.706000000000003</v>
      </c>
      <c r="Q59" s="74">
        <f t="shared" si="11"/>
        <v>123.706</v>
      </c>
      <c r="R59" s="281"/>
      <c r="S59" s="73">
        <f t="shared" si="12"/>
        <v>3.5</v>
      </c>
      <c r="T59" s="108">
        <v>18</v>
      </c>
      <c r="U59" s="114">
        <v>58</v>
      </c>
      <c r="V59" s="115">
        <f t="shared" si="43"/>
        <v>76</v>
      </c>
      <c r="W59" s="108">
        <v>14</v>
      </c>
      <c r="X59" s="114">
        <v>47</v>
      </c>
      <c r="Y59" s="115">
        <f t="shared" si="44"/>
        <v>61</v>
      </c>
      <c r="Z59" s="74">
        <f t="shared" si="15"/>
        <v>137</v>
      </c>
      <c r="AA59" s="281"/>
      <c r="AB59" s="73">
        <f t="shared" si="0"/>
        <v>3.5</v>
      </c>
      <c r="AC59" s="108">
        <v>18</v>
      </c>
      <c r="AD59" s="114">
        <v>27</v>
      </c>
      <c r="AE59" s="115">
        <f t="shared" si="45"/>
        <v>45</v>
      </c>
      <c r="AF59" s="114">
        <v>23</v>
      </c>
      <c r="AG59" s="74">
        <f t="shared" si="17"/>
        <v>68</v>
      </c>
      <c r="AH59" s="281"/>
      <c r="AI59" s="73">
        <f t="shared" si="1"/>
        <v>3.5</v>
      </c>
      <c r="AJ59" s="108">
        <v>20</v>
      </c>
      <c r="AK59" s="114">
        <v>44</v>
      </c>
      <c r="AL59" s="115">
        <f t="shared" si="46"/>
        <v>64</v>
      </c>
      <c r="AM59" s="114">
        <v>19</v>
      </c>
      <c r="AN59" s="74">
        <f t="shared" si="19"/>
        <v>83</v>
      </c>
      <c r="AO59" s="281"/>
      <c r="AP59" s="73">
        <f t="shared" si="2"/>
        <v>5</v>
      </c>
      <c r="AQ59" s="116"/>
      <c r="AR59" s="116">
        <v>18</v>
      </c>
      <c r="AS59" s="114">
        <v>23</v>
      </c>
      <c r="AT59" s="73">
        <f t="shared" si="39"/>
        <v>41</v>
      </c>
      <c r="AU59" s="284"/>
      <c r="AV59" s="73">
        <f t="shared" si="21"/>
        <v>5</v>
      </c>
      <c r="AW59" s="108">
        <v>12</v>
      </c>
      <c r="AX59" s="114">
        <v>21</v>
      </c>
      <c r="AY59" s="115">
        <f t="shared" si="22"/>
        <v>33</v>
      </c>
      <c r="AZ59" s="114">
        <v>12</v>
      </c>
      <c r="BA59" s="74">
        <f t="shared" si="23"/>
        <v>45</v>
      </c>
      <c r="BB59" s="281"/>
      <c r="BC59" s="73">
        <f t="shared" si="24"/>
        <v>2</v>
      </c>
      <c r="BD59" s="108">
        <v>9</v>
      </c>
      <c r="BE59" s="114">
        <v>30</v>
      </c>
      <c r="BF59" s="115">
        <f t="shared" si="47"/>
        <v>39</v>
      </c>
      <c r="BG59" s="114">
        <v>12</v>
      </c>
      <c r="BH59" s="114">
        <v>22</v>
      </c>
      <c r="BI59" s="74">
        <f t="shared" si="26"/>
        <v>73</v>
      </c>
      <c r="BJ59" s="284"/>
      <c r="BK59" s="73">
        <f t="shared" si="3"/>
        <v>4</v>
      </c>
      <c r="BL59" s="108">
        <v>6</v>
      </c>
      <c r="BM59" s="114">
        <v>28</v>
      </c>
      <c r="BN59" s="115">
        <f t="shared" si="48"/>
        <v>34</v>
      </c>
      <c r="BO59" s="114">
        <v>10</v>
      </c>
      <c r="BP59" s="114">
        <v>22</v>
      </c>
      <c r="BQ59" s="74">
        <f t="shared" si="28"/>
        <v>66</v>
      </c>
      <c r="BR59" s="281"/>
      <c r="BS59" s="73">
        <f t="shared" si="29"/>
        <v>3.5</v>
      </c>
      <c r="BT59" s="108">
        <v>9</v>
      </c>
      <c r="BU59" s="114">
        <v>26</v>
      </c>
      <c r="BV59" s="115">
        <f t="shared" si="49"/>
        <v>35</v>
      </c>
      <c r="BW59" s="114">
        <v>13</v>
      </c>
      <c r="BX59" s="114">
        <v>22</v>
      </c>
      <c r="BY59" s="74">
        <f t="shared" si="31"/>
        <v>70</v>
      </c>
      <c r="BZ59" s="284"/>
      <c r="CA59" s="73">
        <f t="shared" si="32"/>
        <v>4</v>
      </c>
      <c r="CB59" s="108">
        <v>8</v>
      </c>
      <c r="CC59" s="114">
        <v>13</v>
      </c>
      <c r="CD59" s="115">
        <f t="shared" si="50"/>
        <v>21</v>
      </c>
      <c r="CE59" s="114">
        <v>10</v>
      </c>
      <c r="CF59" s="114">
        <v>22</v>
      </c>
      <c r="CG59" s="74">
        <f t="shared" si="34"/>
        <v>53</v>
      </c>
      <c r="CH59" s="281"/>
      <c r="CI59" s="75">
        <f t="shared" si="35"/>
        <v>3</v>
      </c>
      <c r="CJ59" s="73">
        <f t="shared" si="4"/>
        <v>35</v>
      </c>
      <c r="CK59" s="76">
        <f t="shared" si="36"/>
        <v>3.8888888888888888</v>
      </c>
      <c r="CL59" s="77" t="str">
        <f t="shared" si="37"/>
        <v>A-</v>
      </c>
      <c r="CM59" s="39" t="str">
        <f t="shared" si="5"/>
        <v>GOOD</v>
      </c>
      <c r="CN59" s="38">
        <f t="shared" si="6"/>
        <v>759.70600000000002</v>
      </c>
      <c r="CO59" s="37">
        <f t="shared" si="7"/>
        <v>36</v>
      </c>
      <c r="CP59" s="40"/>
    </row>
    <row r="60" spans="1:94" s="41" customFormat="1" ht="20.100000000000001" customHeight="1">
      <c r="A60" s="40">
        <v>53</v>
      </c>
      <c r="B60" s="56">
        <v>45</v>
      </c>
      <c r="C60" s="69" t="s">
        <v>292</v>
      </c>
      <c r="D60" s="69" t="s">
        <v>293</v>
      </c>
      <c r="E60" s="69" t="s">
        <v>294</v>
      </c>
      <c r="F60" s="70" t="s">
        <v>295</v>
      </c>
      <c r="G60" s="113">
        <v>11</v>
      </c>
      <c r="H60" s="114">
        <v>21</v>
      </c>
      <c r="I60" s="115">
        <f t="shared" si="41"/>
        <v>32</v>
      </c>
      <c r="J60" s="114">
        <v>13</v>
      </c>
      <c r="K60" s="115">
        <f t="shared" si="42"/>
        <v>45</v>
      </c>
      <c r="L60" s="108">
        <v>17</v>
      </c>
      <c r="M60" s="114">
        <v>23</v>
      </c>
      <c r="N60" s="115">
        <f t="shared" si="40"/>
        <v>33.421999999999997</v>
      </c>
      <c r="O60" s="114">
        <v>14</v>
      </c>
      <c r="P60" s="74">
        <f t="shared" si="10"/>
        <v>47.421999999999997</v>
      </c>
      <c r="Q60" s="74">
        <f t="shared" si="11"/>
        <v>92.421999999999997</v>
      </c>
      <c r="R60" s="281"/>
      <c r="S60" s="73">
        <f t="shared" si="12"/>
        <v>2</v>
      </c>
      <c r="T60" s="108">
        <v>17</v>
      </c>
      <c r="U60" s="114">
        <v>57</v>
      </c>
      <c r="V60" s="115">
        <f t="shared" si="43"/>
        <v>74</v>
      </c>
      <c r="W60" s="108">
        <v>12</v>
      </c>
      <c r="X60" s="114">
        <v>33</v>
      </c>
      <c r="Y60" s="115">
        <f t="shared" si="44"/>
        <v>45</v>
      </c>
      <c r="Z60" s="74">
        <f t="shared" si="15"/>
        <v>119</v>
      </c>
      <c r="AA60" s="281"/>
      <c r="AB60" s="73">
        <f t="shared" si="0"/>
        <v>3</v>
      </c>
      <c r="AC60" s="108">
        <v>18</v>
      </c>
      <c r="AD60" s="114">
        <v>20</v>
      </c>
      <c r="AE60" s="115">
        <f t="shared" si="45"/>
        <v>38</v>
      </c>
      <c r="AF60" s="114">
        <v>17</v>
      </c>
      <c r="AG60" s="74">
        <f t="shared" si="17"/>
        <v>55</v>
      </c>
      <c r="AH60" s="281"/>
      <c r="AI60" s="73">
        <f t="shared" si="1"/>
        <v>3</v>
      </c>
      <c r="AJ60" s="108">
        <v>19</v>
      </c>
      <c r="AK60" s="114">
        <v>36</v>
      </c>
      <c r="AL60" s="115">
        <f t="shared" si="46"/>
        <v>55</v>
      </c>
      <c r="AM60" s="114">
        <v>23</v>
      </c>
      <c r="AN60" s="74">
        <f t="shared" si="19"/>
        <v>78</v>
      </c>
      <c r="AO60" s="281"/>
      <c r="AP60" s="73">
        <f t="shared" si="2"/>
        <v>4</v>
      </c>
      <c r="AQ60" s="116"/>
      <c r="AR60" s="116">
        <v>16</v>
      </c>
      <c r="AS60" s="114">
        <v>23</v>
      </c>
      <c r="AT60" s="73">
        <f t="shared" si="39"/>
        <v>39</v>
      </c>
      <c r="AU60" s="284"/>
      <c r="AV60" s="73">
        <f t="shared" si="21"/>
        <v>4</v>
      </c>
      <c r="AW60" s="108">
        <v>9</v>
      </c>
      <c r="AX60" s="114">
        <v>23</v>
      </c>
      <c r="AY60" s="115">
        <f t="shared" si="22"/>
        <v>32</v>
      </c>
      <c r="AZ60" s="114">
        <v>22</v>
      </c>
      <c r="BA60" s="74">
        <f t="shared" si="23"/>
        <v>54</v>
      </c>
      <c r="BB60" s="281"/>
      <c r="BC60" s="73">
        <f t="shared" si="24"/>
        <v>3</v>
      </c>
      <c r="BD60" s="108">
        <v>6</v>
      </c>
      <c r="BE60" s="114">
        <v>23</v>
      </c>
      <c r="BF60" s="115">
        <f t="shared" si="47"/>
        <v>29</v>
      </c>
      <c r="BG60" s="114">
        <v>10</v>
      </c>
      <c r="BH60" s="114">
        <v>22</v>
      </c>
      <c r="BI60" s="74">
        <f t="shared" si="26"/>
        <v>61</v>
      </c>
      <c r="BJ60" s="284"/>
      <c r="BK60" s="73">
        <f t="shared" si="3"/>
        <v>3.5</v>
      </c>
      <c r="BL60" s="108">
        <v>6</v>
      </c>
      <c r="BM60" s="114">
        <v>17</v>
      </c>
      <c r="BN60" s="115">
        <f t="shared" si="48"/>
        <v>23</v>
      </c>
      <c r="BO60" s="114">
        <v>13</v>
      </c>
      <c r="BP60" s="114">
        <v>22</v>
      </c>
      <c r="BQ60" s="74">
        <f t="shared" si="28"/>
        <v>58</v>
      </c>
      <c r="BR60" s="281"/>
      <c r="BS60" s="73">
        <f t="shared" si="29"/>
        <v>3</v>
      </c>
      <c r="BT60" s="108">
        <v>8</v>
      </c>
      <c r="BU60" s="114">
        <v>27</v>
      </c>
      <c r="BV60" s="115">
        <f t="shared" si="49"/>
        <v>35</v>
      </c>
      <c r="BW60" s="114">
        <v>11</v>
      </c>
      <c r="BX60" s="114">
        <v>22</v>
      </c>
      <c r="BY60" s="74">
        <f t="shared" si="31"/>
        <v>68</v>
      </c>
      <c r="BZ60" s="284"/>
      <c r="CA60" s="73">
        <f t="shared" si="32"/>
        <v>3.5</v>
      </c>
      <c r="CB60" s="108">
        <v>6</v>
      </c>
      <c r="CC60" s="114">
        <v>14</v>
      </c>
      <c r="CD60" s="115">
        <f t="shared" si="50"/>
        <v>20</v>
      </c>
      <c r="CE60" s="114">
        <v>14</v>
      </c>
      <c r="CF60" s="114">
        <v>22</v>
      </c>
      <c r="CG60" s="74">
        <f t="shared" si="34"/>
        <v>56</v>
      </c>
      <c r="CH60" s="281"/>
      <c r="CI60" s="75">
        <f t="shared" si="35"/>
        <v>3</v>
      </c>
      <c r="CJ60" s="73">
        <f t="shared" si="4"/>
        <v>30</v>
      </c>
      <c r="CK60" s="76">
        <f t="shared" si="36"/>
        <v>3.3333333333333335</v>
      </c>
      <c r="CL60" s="77" t="str">
        <f t="shared" si="37"/>
        <v>B</v>
      </c>
      <c r="CM60" s="39" t="str">
        <f t="shared" si="5"/>
        <v>GOOD</v>
      </c>
      <c r="CN60" s="38">
        <f t="shared" si="6"/>
        <v>680.42200000000003</v>
      </c>
      <c r="CO60" s="37">
        <f t="shared" si="7"/>
        <v>50</v>
      </c>
      <c r="CP60" s="40"/>
    </row>
    <row r="61" spans="1:94" s="41" customFormat="1" ht="20.100000000000001" customHeight="1">
      <c r="A61" s="40">
        <v>54</v>
      </c>
      <c r="B61" s="56">
        <v>48</v>
      </c>
      <c r="C61" s="95" t="s">
        <v>296</v>
      </c>
      <c r="D61" s="69" t="s">
        <v>297</v>
      </c>
      <c r="E61" s="69" t="s">
        <v>298</v>
      </c>
      <c r="F61" s="70" t="s">
        <v>299</v>
      </c>
      <c r="G61" s="113">
        <v>11</v>
      </c>
      <c r="H61" s="114">
        <v>24</v>
      </c>
      <c r="I61" s="115">
        <f t="shared" si="41"/>
        <v>35</v>
      </c>
      <c r="J61" s="114">
        <v>14</v>
      </c>
      <c r="K61" s="115">
        <f t="shared" si="42"/>
        <v>49</v>
      </c>
      <c r="L61" s="108">
        <v>16</v>
      </c>
      <c r="M61" s="114">
        <v>26</v>
      </c>
      <c r="N61" s="115">
        <f t="shared" si="40"/>
        <v>34.564</v>
      </c>
      <c r="O61" s="114">
        <v>15</v>
      </c>
      <c r="P61" s="74">
        <f t="shared" si="10"/>
        <v>49.564</v>
      </c>
      <c r="Q61" s="74">
        <f t="shared" si="11"/>
        <v>98.563999999999993</v>
      </c>
      <c r="R61" s="281"/>
      <c r="S61" s="73">
        <f t="shared" si="12"/>
        <v>2</v>
      </c>
      <c r="T61" s="108">
        <v>14</v>
      </c>
      <c r="U61" s="114">
        <v>50</v>
      </c>
      <c r="V61" s="115">
        <f t="shared" si="43"/>
        <v>64</v>
      </c>
      <c r="W61" s="108">
        <v>11</v>
      </c>
      <c r="X61" s="114">
        <v>40</v>
      </c>
      <c r="Y61" s="115">
        <f t="shared" si="44"/>
        <v>51</v>
      </c>
      <c r="Z61" s="74">
        <f t="shared" si="15"/>
        <v>115</v>
      </c>
      <c r="AA61" s="281"/>
      <c r="AB61" s="73">
        <f t="shared" si="0"/>
        <v>3</v>
      </c>
      <c r="AC61" s="108">
        <v>20</v>
      </c>
      <c r="AD61" s="114">
        <v>31</v>
      </c>
      <c r="AE61" s="115">
        <f t="shared" si="45"/>
        <v>51</v>
      </c>
      <c r="AF61" s="114">
        <v>13</v>
      </c>
      <c r="AG61" s="74">
        <f t="shared" si="17"/>
        <v>64</v>
      </c>
      <c r="AH61" s="281"/>
      <c r="AI61" s="73">
        <f t="shared" si="1"/>
        <v>3.5</v>
      </c>
      <c r="AJ61" s="108">
        <v>16</v>
      </c>
      <c r="AK61" s="114">
        <v>31</v>
      </c>
      <c r="AL61" s="115">
        <f t="shared" si="46"/>
        <v>47</v>
      </c>
      <c r="AM61" s="114">
        <v>23</v>
      </c>
      <c r="AN61" s="74">
        <f t="shared" si="19"/>
        <v>70</v>
      </c>
      <c r="AO61" s="281"/>
      <c r="AP61" s="73">
        <f t="shared" si="2"/>
        <v>4</v>
      </c>
      <c r="AQ61" s="116"/>
      <c r="AR61" s="116">
        <v>20</v>
      </c>
      <c r="AS61" s="114">
        <v>23</v>
      </c>
      <c r="AT61" s="73">
        <f t="shared" si="39"/>
        <v>43</v>
      </c>
      <c r="AU61" s="284"/>
      <c r="AV61" s="73">
        <f t="shared" si="21"/>
        <v>5</v>
      </c>
      <c r="AW61" s="108">
        <v>11</v>
      </c>
      <c r="AX61" s="114">
        <v>27</v>
      </c>
      <c r="AY61" s="115">
        <f t="shared" si="22"/>
        <v>38</v>
      </c>
      <c r="AZ61" s="114">
        <v>23</v>
      </c>
      <c r="BA61" s="74">
        <f t="shared" si="23"/>
        <v>61</v>
      </c>
      <c r="BB61" s="281"/>
      <c r="BC61" s="73">
        <f t="shared" si="24"/>
        <v>3.5</v>
      </c>
      <c r="BD61" s="108">
        <v>6</v>
      </c>
      <c r="BE61" s="114">
        <v>22</v>
      </c>
      <c r="BF61" s="115">
        <f t="shared" si="47"/>
        <v>28</v>
      </c>
      <c r="BG61" s="114">
        <v>10</v>
      </c>
      <c r="BH61" s="114">
        <v>22</v>
      </c>
      <c r="BI61" s="74">
        <f t="shared" si="26"/>
        <v>60</v>
      </c>
      <c r="BJ61" s="284"/>
      <c r="BK61" s="73">
        <f t="shared" si="3"/>
        <v>3.5</v>
      </c>
      <c r="BL61" s="108">
        <v>7</v>
      </c>
      <c r="BM61" s="114">
        <v>19</v>
      </c>
      <c r="BN61" s="115">
        <f t="shared" si="48"/>
        <v>26</v>
      </c>
      <c r="BO61" s="114">
        <v>10</v>
      </c>
      <c r="BP61" s="114">
        <v>22</v>
      </c>
      <c r="BQ61" s="74">
        <f t="shared" si="28"/>
        <v>58</v>
      </c>
      <c r="BR61" s="281"/>
      <c r="BS61" s="73">
        <f t="shared" si="29"/>
        <v>3</v>
      </c>
      <c r="BT61" s="108">
        <v>8</v>
      </c>
      <c r="BU61" s="114">
        <v>20</v>
      </c>
      <c r="BV61" s="115">
        <f t="shared" si="49"/>
        <v>28</v>
      </c>
      <c r="BW61" s="114">
        <v>19</v>
      </c>
      <c r="BX61" s="114">
        <v>22</v>
      </c>
      <c r="BY61" s="74">
        <f t="shared" si="31"/>
        <v>69</v>
      </c>
      <c r="BZ61" s="284"/>
      <c r="CA61" s="73">
        <f t="shared" si="32"/>
        <v>3.5</v>
      </c>
      <c r="CB61" s="108">
        <v>9</v>
      </c>
      <c r="CC61" s="114">
        <v>20</v>
      </c>
      <c r="CD61" s="115">
        <f t="shared" si="50"/>
        <v>29</v>
      </c>
      <c r="CE61" s="114">
        <v>10</v>
      </c>
      <c r="CF61" s="114">
        <v>22</v>
      </c>
      <c r="CG61" s="74">
        <f t="shared" si="34"/>
        <v>61</v>
      </c>
      <c r="CH61" s="281"/>
      <c r="CI61" s="75">
        <f t="shared" si="35"/>
        <v>3.5</v>
      </c>
      <c r="CJ61" s="73">
        <f t="shared" si="4"/>
        <v>32.5</v>
      </c>
      <c r="CK61" s="76">
        <f t="shared" si="36"/>
        <v>3.6111111111111112</v>
      </c>
      <c r="CL61" s="77" t="str">
        <f t="shared" si="37"/>
        <v>A-</v>
      </c>
      <c r="CM61" s="39" t="str">
        <f t="shared" si="5"/>
        <v>GOOD</v>
      </c>
      <c r="CN61" s="38">
        <f t="shared" si="6"/>
        <v>699.56399999999996</v>
      </c>
      <c r="CO61" s="37">
        <f t="shared" si="7"/>
        <v>46</v>
      </c>
      <c r="CP61" s="40"/>
    </row>
    <row r="62" spans="1:94" s="41" customFormat="1" ht="20.100000000000001" customHeight="1">
      <c r="A62" s="40">
        <v>55</v>
      </c>
      <c r="B62" s="56">
        <v>50</v>
      </c>
      <c r="C62" s="69" t="s">
        <v>300</v>
      </c>
      <c r="D62" s="69" t="s">
        <v>301</v>
      </c>
      <c r="E62" s="69" t="s">
        <v>302</v>
      </c>
      <c r="F62" s="70" t="s">
        <v>303</v>
      </c>
      <c r="G62" s="113">
        <v>16</v>
      </c>
      <c r="H62" s="114">
        <v>26</v>
      </c>
      <c r="I62" s="115">
        <f t="shared" si="41"/>
        <v>42</v>
      </c>
      <c r="J62" s="114">
        <v>17</v>
      </c>
      <c r="K62" s="115">
        <f t="shared" si="42"/>
        <v>59</v>
      </c>
      <c r="L62" s="108">
        <v>16</v>
      </c>
      <c r="M62" s="114">
        <v>25</v>
      </c>
      <c r="N62" s="115">
        <f t="shared" si="40"/>
        <v>33.849999999999994</v>
      </c>
      <c r="O62" s="114">
        <v>23</v>
      </c>
      <c r="P62" s="74">
        <f t="shared" si="10"/>
        <v>56.849999999999994</v>
      </c>
      <c r="Q62" s="74">
        <f t="shared" si="11"/>
        <v>115.85</v>
      </c>
      <c r="R62" s="281"/>
      <c r="S62" s="73">
        <f t="shared" si="12"/>
        <v>3</v>
      </c>
      <c r="T62" s="108">
        <v>15</v>
      </c>
      <c r="U62" s="114">
        <v>50</v>
      </c>
      <c r="V62" s="115">
        <f t="shared" si="43"/>
        <v>65</v>
      </c>
      <c r="W62" s="108">
        <v>8</v>
      </c>
      <c r="X62" s="114">
        <v>37</v>
      </c>
      <c r="Y62" s="115">
        <f t="shared" si="44"/>
        <v>45</v>
      </c>
      <c r="Z62" s="74">
        <f t="shared" si="15"/>
        <v>110</v>
      </c>
      <c r="AA62" s="281"/>
      <c r="AB62" s="73">
        <f t="shared" si="0"/>
        <v>3</v>
      </c>
      <c r="AC62" s="108">
        <v>15</v>
      </c>
      <c r="AD62" s="114">
        <v>18</v>
      </c>
      <c r="AE62" s="115">
        <f t="shared" si="45"/>
        <v>33</v>
      </c>
      <c r="AF62" s="114">
        <v>23</v>
      </c>
      <c r="AG62" s="74">
        <f t="shared" si="17"/>
        <v>56</v>
      </c>
      <c r="AH62" s="281"/>
      <c r="AI62" s="73">
        <f t="shared" si="1"/>
        <v>3</v>
      </c>
      <c r="AJ62" s="108">
        <v>14</v>
      </c>
      <c r="AK62" s="114">
        <v>36</v>
      </c>
      <c r="AL62" s="115">
        <f t="shared" si="46"/>
        <v>50</v>
      </c>
      <c r="AM62" s="114">
        <v>21</v>
      </c>
      <c r="AN62" s="74">
        <f t="shared" si="19"/>
        <v>71</v>
      </c>
      <c r="AO62" s="281"/>
      <c r="AP62" s="73">
        <f t="shared" si="2"/>
        <v>4</v>
      </c>
      <c r="AQ62" s="116"/>
      <c r="AR62" s="116">
        <v>19</v>
      </c>
      <c r="AS62" s="114">
        <v>23</v>
      </c>
      <c r="AT62" s="73">
        <f t="shared" si="39"/>
        <v>42</v>
      </c>
      <c r="AU62" s="284"/>
      <c r="AV62" s="73">
        <f t="shared" si="21"/>
        <v>5</v>
      </c>
      <c r="AW62" s="108">
        <v>9</v>
      </c>
      <c r="AX62" s="114">
        <v>27</v>
      </c>
      <c r="AY62" s="115">
        <f t="shared" si="22"/>
        <v>36</v>
      </c>
      <c r="AZ62" s="114">
        <v>18</v>
      </c>
      <c r="BA62" s="74">
        <f t="shared" si="23"/>
        <v>54</v>
      </c>
      <c r="BB62" s="281"/>
      <c r="BC62" s="73">
        <f t="shared" si="24"/>
        <v>3</v>
      </c>
      <c r="BD62" s="108">
        <v>8</v>
      </c>
      <c r="BE62" s="114">
        <v>1</v>
      </c>
      <c r="BF62" s="115">
        <f t="shared" si="47"/>
        <v>9</v>
      </c>
      <c r="BG62" s="114">
        <v>7</v>
      </c>
      <c r="BH62" s="114">
        <v>22</v>
      </c>
      <c r="BI62" s="74">
        <f t="shared" si="26"/>
        <v>38</v>
      </c>
      <c r="BJ62" s="284"/>
      <c r="BK62" s="73" t="str">
        <f t="shared" si="3"/>
        <v>F</v>
      </c>
      <c r="BL62" s="108">
        <v>5</v>
      </c>
      <c r="BM62" s="114">
        <v>16</v>
      </c>
      <c r="BN62" s="115">
        <f t="shared" si="48"/>
        <v>21</v>
      </c>
      <c r="BO62" s="114">
        <v>10</v>
      </c>
      <c r="BP62" s="114">
        <v>22</v>
      </c>
      <c r="BQ62" s="74">
        <f t="shared" si="28"/>
        <v>53</v>
      </c>
      <c r="BR62" s="281"/>
      <c r="BS62" s="73">
        <f t="shared" si="29"/>
        <v>3</v>
      </c>
      <c r="BT62" s="108">
        <v>6</v>
      </c>
      <c r="BU62" s="114">
        <v>14</v>
      </c>
      <c r="BV62" s="115">
        <f t="shared" si="49"/>
        <v>20</v>
      </c>
      <c r="BW62" s="114">
        <v>10</v>
      </c>
      <c r="BX62" s="114">
        <v>22</v>
      </c>
      <c r="BY62" s="74">
        <f t="shared" si="31"/>
        <v>52</v>
      </c>
      <c r="BZ62" s="284"/>
      <c r="CA62" s="73">
        <f t="shared" si="32"/>
        <v>3</v>
      </c>
      <c r="CB62" s="108">
        <v>6</v>
      </c>
      <c r="CC62" s="114">
        <v>6</v>
      </c>
      <c r="CD62" s="115">
        <f t="shared" si="50"/>
        <v>12</v>
      </c>
      <c r="CE62" s="114">
        <v>18</v>
      </c>
      <c r="CF62" s="114">
        <v>22</v>
      </c>
      <c r="CG62" s="74">
        <f t="shared" si="34"/>
        <v>52</v>
      </c>
      <c r="CH62" s="281"/>
      <c r="CI62" s="75" t="str">
        <f t="shared" si="35"/>
        <v>0</v>
      </c>
      <c r="CJ62" s="73" t="str">
        <f t="shared" si="4"/>
        <v>F</v>
      </c>
      <c r="CK62" s="76" t="str">
        <f t="shared" si="36"/>
        <v>F</v>
      </c>
      <c r="CL62" s="77" t="str">
        <f t="shared" si="37"/>
        <v>F</v>
      </c>
      <c r="CM62" s="39" t="str">
        <f t="shared" si="5"/>
        <v>NEED TO PROGRESS</v>
      </c>
      <c r="CN62" s="38">
        <f t="shared" si="6"/>
        <v>643.85</v>
      </c>
      <c r="CO62" s="37" t="str">
        <f t="shared" si="7"/>
        <v>F</v>
      </c>
      <c r="CP62" s="40"/>
    </row>
    <row r="63" spans="1:94" s="41" customFormat="1" ht="20.100000000000001" customHeight="1">
      <c r="A63" s="40">
        <v>56</v>
      </c>
      <c r="B63" s="56">
        <v>54</v>
      </c>
      <c r="C63" s="69" t="s">
        <v>304</v>
      </c>
      <c r="D63" s="69" t="s">
        <v>305</v>
      </c>
      <c r="E63" s="69" t="s">
        <v>306</v>
      </c>
      <c r="F63" s="70" t="s">
        <v>307</v>
      </c>
      <c r="G63" s="113">
        <v>17</v>
      </c>
      <c r="H63" s="114">
        <v>32</v>
      </c>
      <c r="I63" s="115">
        <f t="shared" si="41"/>
        <v>49</v>
      </c>
      <c r="J63" s="114">
        <v>15</v>
      </c>
      <c r="K63" s="115">
        <f t="shared" si="42"/>
        <v>64</v>
      </c>
      <c r="L63" s="108">
        <v>16</v>
      </c>
      <c r="M63" s="114">
        <v>35</v>
      </c>
      <c r="N63" s="115">
        <f t="shared" si="40"/>
        <v>40.989999999999995</v>
      </c>
      <c r="O63" s="114">
        <v>15</v>
      </c>
      <c r="P63" s="74">
        <f t="shared" si="10"/>
        <v>55.989999999999995</v>
      </c>
      <c r="Q63" s="74">
        <f t="shared" si="11"/>
        <v>119.99</v>
      </c>
      <c r="R63" s="281"/>
      <c r="S63" s="73">
        <f t="shared" si="12"/>
        <v>3</v>
      </c>
      <c r="T63" s="108">
        <v>0</v>
      </c>
      <c r="U63" s="114">
        <v>54</v>
      </c>
      <c r="V63" s="115">
        <f t="shared" si="43"/>
        <v>54</v>
      </c>
      <c r="W63" s="108">
        <v>11</v>
      </c>
      <c r="X63" s="114">
        <v>34</v>
      </c>
      <c r="Y63" s="115">
        <f t="shared" si="44"/>
        <v>45</v>
      </c>
      <c r="Z63" s="74">
        <f t="shared" si="15"/>
        <v>99</v>
      </c>
      <c r="AA63" s="281"/>
      <c r="AB63" s="73">
        <f t="shared" si="0"/>
        <v>2</v>
      </c>
      <c r="AC63" s="108">
        <v>19</v>
      </c>
      <c r="AD63" s="114">
        <v>34</v>
      </c>
      <c r="AE63" s="115">
        <f t="shared" si="45"/>
        <v>53</v>
      </c>
      <c r="AF63" s="114">
        <v>18</v>
      </c>
      <c r="AG63" s="74">
        <f t="shared" si="17"/>
        <v>71</v>
      </c>
      <c r="AH63" s="281"/>
      <c r="AI63" s="73">
        <f t="shared" si="1"/>
        <v>4</v>
      </c>
      <c r="AJ63" s="108">
        <v>20</v>
      </c>
      <c r="AK63" s="114">
        <v>38</v>
      </c>
      <c r="AL63" s="115">
        <f t="shared" si="46"/>
        <v>58</v>
      </c>
      <c r="AM63" s="114">
        <v>25</v>
      </c>
      <c r="AN63" s="74">
        <f t="shared" si="19"/>
        <v>83</v>
      </c>
      <c r="AO63" s="281"/>
      <c r="AP63" s="73">
        <f t="shared" si="2"/>
        <v>5</v>
      </c>
      <c r="AQ63" s="116"/>
      <c r="AR63" s="116">
        <v>20</v>
      </c>
      <c r="AS63" s="114">
        <v>23</v>
      </c>
      <c r="AT63" s="73">
        <f t="shared" si="39"/>
        <v>43</v>
      </c>
      <c r="AU63" s="284"/>
      <c r="AV63" s="73">
        <f t="shared" si="21"/>
        <v>5</v>
      </c>
      <c r="AW63" s="108">
        <v>16</v>
      </c>
      <c r="AX63" s="114">
        <v>25</v>
      </c>
      <c r="AY63" s="115">
        <f t="shared" si="22"/>
        <v>41</v>
      </c>
      <c r="AZ63" s="114">
        <v>24</v>
      </c>
      <c r="BA63" s="74">
        <f t="shared" si="23"/>
        <v>65</v>
      </c>
      <c r="BB63" s="281"/>
      <c r="BC63" s="73">
        <f t="shared" si="24"/>
        <v>3.5</v>
      </c>
      <c r="BD63" s="108">
        <v>10</v>
      </c>
      <c r="BE63" s="114">
        <v>19</v>
      </c>
      <c r="BF63" s="115">
        <f t="shared" si="47"/>
        <v>29</v>
      </c>
      <c r="BG63" s="114">
        <v>10</v>
      </c>
      <c r="BH63" s="114">
        <v>22</v>
      </c>
      <c r="BI63" s="74">
        <f t="shared" si="26"/>
        <v>61</v>
      </c>
      <c r="BJ63" s="284"/>
      <c r="BK63" s="73">
        <f t="shared" si="3"/>
        <v>3.5</v>
      </c>
      <c r="BL63" s="108">
        <v>7</v>
      </c>
      <c r="BM63" s="114">
        <v>18</v>
      </c>
      <c r="BN63" s="115">
        <f t="shared" si="48"/>
        <v>25</v>
      </c>
      <c r="BO63" s="114">
        <v>10</v>
      </c>
      <c r="BP63" s="114">
        <v>22</v>
      </c>
      <c r="BQ63" s="74">
        <f t="shared" si="28"/>
        <v>57</v>
      </c>
      <c r="BR63" s="281"/>
      <c r="BS63" s="73">
        <f t="shared" si="29"/>
        <v>3</v>
      </c>
      <c r="BT63" s="108">
        <v>8</v>
      </c>
      <c r="BU63" s="114">
        <v>24</v>
      </c>
      <c r="BV63" s="115">
        <f t="shared" si="49"/>
        <v>32</v>
      </c>
      <c r="BW63" s="114">
        <v>17</v>
      </c>
      <c r="BX63" s="114">
        <v>22</v>
      </c>
      <c r="BY63" s="74">
        <f t="shared" si="31"/>
        <v>71</v>
      </c>
      <c r="BZ63" s="284"/>
      <c r="CA63" s="73">
        <f t="shared" si="32"/>
        <v>4</v>
      </c>
      <c r="CB63" s="108">
        <v>10</v>
      </c>
      <c r="CC63" s="114">
        <v>34</v>
      </c>
      <c r="CD63" s="115">
        <f t="shared" si="50"/>
        <v>44</v>
      </c>
      <c r="CE63" s="114">
        <v>18</v>
      </c>
      <c r="CF63" s="114">
        <v>22</v>
      </c>
      <c r="CG63" s="74">
        <f t="shared" si="34"/>
        <v>84</v>
      </c>
      <c r="CH63" s="281"/>
      <c r="CI63" s="75">
        <f t="shared" si="35"/>
        <v>5</v>
      </c>
      <c r="CJ63" s="73">
        <f t="shared" si="4"/>
        <v>36</v>
      </c>
      <c r="CK63" s="76">
        <f t="shared" si="36"/>
        <v>4</v>
      </c>
      <c r="CL63" s="77" t="str">
        <f t="shared" si="37"/>
        <v>A</v>
      </c>
      <c r="CM63" s="39" t="str">
        <f t="shared" si="5"/>
        <v>BETTER</v>
      </c>
      <c r="CN63" s="38">
        <f t="shared" si="6"/>
        <v>753.99</v>
      </c>
      <c r="CO63" s="37">
        <f t="shared" si="7"/>
        <v>39</v>
      </c>
      <c r="CP63" s="40"/>
    </row>
    <row r="64" spans="1:94" s="41" customFormat="1" ht="20.100000000000001" customHeight="1">
      <c r="A64" s="40">
        <v>57</v>
      </c>
      <c r="B64" s="56">
        <v>63</v>
      </c>
      <c r="C64" s="69" t="s">
        <v>308</v>
      </c>
      <c r="D64" s="69" t="s">
        <v>309</v>
      </c>
      <c r="E64" s="69" t="s">
        <v>310</v>
      </c>
      <c r="F64" s="70" t="s">
        <v>311</v>
      </c>
      <c r="G64" s="113">
        <v>16</v>
      </c>
      <c r="H64" s="114">
        <v>24</v>
      </c>
      <c r="I64" s="115">
        <f t="shared" si="41"/>
        <v>40</v>
      </c>
      <c r="J64" s="114">
        <v>16</v>
      </c>
      <c r="K64" s="115">
        <f t="shared" si="42"/>
        <v>56</v>
      </c>
      <c r="L64" s="108">
        <v>16</v>
      </c>
      <c r="M64" s="114">
        <v>28</v>
      </c>
      <c r="N64" s="115">
        <f t="shared" si="40"/>
        <v>35.991999999999997</v>
      </c>
      <c r="O64" s="114">
        <v>15</v>
      </c>
      <c r="P64" s="74">
        <f t="shared" si="10"/>
        <v>50.991999999999997</v>
      </c>
      <c r="Q64" s="74">
        <f t="shared" si="11"/>
        <v>106.99199999999999</v>
      </c>
      <c r="R64" s="281"/>
      <c r="S64" s="73">
        <f t="shared" si="12"/>
        <v>3</v>
      </c>
      <c r="T64" s="108">
        <v>18</v>
      </c>
      <c r="U64" s="114">
        <v>53</v>
      </c>
      <c r="V64" s="115">
        <f t="shared" si="43"/>
        <v>71</v>
      </c>
      <c r="W64" s="108">
        <v>9</v>
      </c>
      <c r="X64" s="114">
        <v>25</v>
      </c>
      <c r="Y64" s="115">
        <f t="shared" si="44"/>
        <v>34</v>
      </c>
      <c r="Z64" s="74">
        <f t="shared" si="15"/>
        <v>105</v>
      </c>
      <c r="AA64" s="281"/>
      <c r="AB64" s="73">
        <f t="shared" si="0"/>
        <v>3</v>
      </c>
      <c r="AC64" s="108">
        <v>16</v>
      </c>
      <c r="AD64" s="114">
        <v>18</v>
      </c>
      <c r="AE64" s="115">
        <f t="shared" si="45"/>
        <v>34</v>
      </c>
      <c r="AF64" s="114">
        <v>24</v>
      </c>
      <c r="AG64" s="74">
        <f t="shared" si="17"/>
        <v>58</v>
      </c>
      <c r="AH64" s="281"/>
      <c r="AI64" s="73">
        <f t="shared" si="1"/>
        <v>3</v>
      </c>
      <c r="AJ64" s="108">
        <v>18</v>
      </c>
      <c r="AK64" s="114">
        <v>33</v>
      </c>
      <c r="AL64" s="115">
        <f t="shared" si="46"/>
        <v>51</v>
      </c>
      <c r="AM64" s="114">
        <v>20</v>
      </c>
      <c r="AN64" s="74">
        <f t="shared" si="19"/>
        <v>71</v>
      </c>
      <c r="AO64" s="281"/>
      <c r="AP64" s="73">
        <f t="shared" si="2"/>
        <v>4</v>
      </c>
      <c r="AQ64" s="116"/>
      <c r="AR64" s="116">
        <v>18</v>
      </c>
      <c r="AS64" s="114">
        <v>23</v>
      </c>
      <c r="AT64" s="73">
        <f t="shared" si="39"/>
        <v>41</v>
      </c>
      <c r="AU64" s="284"/>
      <c r="AV64" s="73">
        <f t="shared" si="21"/>
        <v>5</v>
      </c>
      <c r="AW64" s="108">
        <v>13</v>
      </c>
      <c r="AX64" s="114">
        <v>22</v>
      </c>
      <c r="AY64" s="115">
        <f t="shared" si="22"/>
        <v>35</v>
      </c>
      <c r="AZ64" s="114">
        <v>19</v>
      </c>
      <c r="BA64" s="74">
        <f t="shared" si="23"/>
        <v>54</v>
      </c>
      <c r="BB64" s="281"/>
      <c r="BC64" s="73">
        <f t="shared" si="24"/>
        <v>3</v>
      </c>
      <c r="BD64" s="108">
        <v>9</v>
      </c>
      <c r="BE64" s="114">
        <v>21</v>
      </c>
      <c r="BF64" s="115">
        <f t="shared" si="47"/>
        <v>30</v>
      </c>
      <c r="BG64" s="114">
        <v>10</v>
      </c>
      <c r="BH64" s="114">
        <v>22</v>
      </c>
      <c r="BI64" s="74">
        <f t="shared" si="26"/>
        <v>62</v>
      </c>
      <c r="BJ64" s="284"/>
      <c r="BK64" s="73">
        <f t="shared" si="3"/>
        <v>3.5</v>
      </c>
      <c r="BL64" s="108">
        <v>5</v>
      </c>
      <c r="BM64" s="114">
        <v>16</v>
      </c>
      <c r="BN64" s="115">
        <f t="shared" si="48"/>
        <v>21</v>
      </c>
      <c r="BO64" s="114">
        <v>10</v>
      </c>
      <c r="BP64" s="114">
        <v>22</v>
      </c>
      <c r="BQ64" s="74">
        <f t="shared" si="28"/>
        <v>53</v>
      </c>
      <c r="BR64" s="281"/>
      <c r="BS64" s="73">
        <f t="shared" si="29"/>
        <v>3</v>
      </c>
      <c r="BT64" s="108">
        <v>8</v>
      </c>
      <c r="BU64" s="114">
        <v>22</v>
      </c>
      <c r="BV64" s="115">
        <f t="shared" si="49"/>
        <v>30</v>
      </c>
      <c r="BW64" s="114">
        <v>19</v>
      </c>
      <c r="BX64" s="114">
        <v>22</v>
      </c>
      <c r="BY64" s="74">
        <f t="shared" si="31"/>
        <v>71</v>
      </c>
      <c r="BZ64" s="284"/>
      <c r="CA64" s="73">
        <f t="shared" si="32"/>
        <v>4</v>
      </c>
      <c r="CB64" s="108">
        <v>10</v>
      </c>
      <c r="CC64" s="114">
        <v>31</v>
      </c>
      <c r="CD64" s="115">
        <f t="shared" si="50"/>
        <v>41</v>
      </c>
      <c r="CE64" s="114">
        <v>17</v>
      </c>
      <c r="CF64" s="114">
        <v>22</v>
      </c>
      <c r="CG64" s="74">
        <f t="shared" si="34"/>
        <v>80</v>
      </c>
      <c r="CH64" s="281"/>
      <c r="CI64" s="75">
        <f t="shared" si="35"/>
        <v>5</v>
      </c>
      <c r="CJ64" s="73">
        <f t="shared" si="4"/>
        <v>34.5</v>
      </c>
      <c r="CK64" s="76">
        <f t="shared" si="36"/>
        <v>3.8333333333333335</v>
      </c>
      <c r="CL64" s="77" t="str">
        <f t="shared" si="37"/>
        <v>A-</v>
      </c>
      <c r="CM64" s="39" t="str">
        <f t="shared" si="5"/>
        <v>GOOD</v>
      </c>
      <c r="CN64" s="38">
        <f t="shared" si="6"/>
        <v>701.99199999999996</v>
      </c>
      <c r="CO64" s="37">
        <f t="shared" si="7"/>
        <v>45</v>
      </c>
      <c r="CP64" s="40"/>
    </row>
    <row r="65" spans="1:94" s="41" customFormat="1" ht="20.100000000000001" customHeight="1">
      <c r="A65" s="40">
        <v>58</v>
      </c>
      <c r="B65" s="56">
        <v>65</v>
      </c>
      <c r="C65" s="95" t="s">
        <v>312</v>
      </c>
      <c r="D65" s="95" t="s">
        <v>313</v>
      </c>
      <c r="E65" s="95" t="s">
        <v>314</v>
      </c>
      <c r="F65" s="96" t="s">
        <v>315</v>
      </c>
      <c r="G65" s="113">
        <v>13</v>
      </c>
      <c r="H65" s="114">
        <v>21</v>
      </c>
      <c r="I65" s="115">
        <f t="shared" si="41"/>
        <v>34</v>
      </c>
      <c r="J65" s="114">
        <v>13</v>
      </c>
      <c r="K65" s="115">
        <f t="shared" si="42"/>
        <v>47</v>
      </c>
      <c r="L65" s="108">
        <v>17</v>
      </c>
      <c r="M65" s="114">
        <v>24</v>
      </c>
      <c r="N65" s="115">
        <f t="shared" si="40"/>
        <v>34.135999999999996</v>
      </c>
      <c r="O65" s="114">
        <v>18</v>
      </c>
      <c r="P65" s="74">
        <f t="shared" si="10"/>
        <v>52.135999999999996</v>
      </c>
      <c r="Q65" s="74">
        <f t="shared" si="11"/>
        <v>99.135999999999996</v>
      </c>
      <c r="R65" s="281"/>
      <c r="S65" s="73">
        <f t="shared" si="12"/>
        <v>2</v>
      </c>
      <c r="T65" s="108">
        <v>19</v>
      </c>
      <c r="U65" s="114">
        <v>50</v>
      </c>
      <c r="V65" s="115">
        <f t="shared" si="43"/>
        <v>69</v>
      </c>
      <c r="W65" s="108">
        <v>11</v>
      </c>
      <c r="X65" s="114">
        <v>32</v>
      </c>
      <c r="Y65" s="115">
        <f t="shared" si="44"/>
        <v>43</v>
      </c>
      <c r="Z65" s="74">
        <f t="shared" si="15"/>
        <v>112</v>
      </c>
      <c r="AA65" s="281"/>
      <c r="AB65" s="73">
        <f t="shared" si="0"/>
        <v>3</v>
      </c>
      <c r="AC65" s="108">
        <v>18</v>
      </c>
      <c r="AD65" s="114">
        <v>20</v>
      </c>
      <c r="AE65" s="115">
        <f t="shared" si="45"/>
        <v>38</v>
      </c>
      <c r="AF65" s="114">
        <v>25</v>
      </c>
      <c r="AG65" s="74">
        <f t="shared" si="17"/>
        <v>63</v>
      </c>
      <c r="AH65" s="281"/>
      <c r="AI65" s="73">
        <f t="shared" si="1"/>
        <v>3.5</v>
      </c>
      <c r="AJ65" s="108">
        <v>16</v>
      </c>
      <c r="AK65" s="114">
        <v>30</v>
      </c>
      <c r="AL65" s="115">
        <f t="shared" si="46"/>
        <v>46</v>
      </c>
      <c r="AM65" s="114">
        <v>20</v>
      </c>
      <c r="AN65" s="74">
        <f t="shared" si="19"/>
        <v>66</v>
      </c>
      <c r="AO65" s="281"/>
      <c r="AP65" s="73">
        <f t="shared" si="2"/>
        <v>3.5</v>
      </c>
      <c r="AQ65" s="116"/>
      <c r="AR65" s="116">
        <v>19</v>
      </c>
      <c r="AS65" s="114">
        <v>23</v>
      </c>
      <c r="AT65" s="73">
        <f t="shared" si="39"/>
        <v>42</v>
      </c>
      <c r="AU65" s="284"/>
      <c r="AV65" s="73">
        <f t="shared" si="21"/>
        <v>5</v>
      </c>
      <c r="AW65" s="108">
        <v>8</v>
      </c>
      <c r="AX65" s="114">
        <v>20</v>
      </c>
      <c r="AY65" s="115">
        <f t="shared" si="22"/>
        <v>28</v>
      </c>
      <c r="AZ65" s="114">
        <v>20</v>
      </c>
      <c r="BA65" s="74">
        <f t="shared" si="23"/>
        <v>48</v>
      </c>
      <c r="BB65" s="281"/>
      <c r="BC65" s="73">
        <f t="shared" si="24"/>
        <v>2</v>
      </c>
      <c r="BD65" s="108">
        <v>7</v>
      </c>
      <c r="BE65" s="114">
        <v>18</v>
      </c>
      <c r="BF65" s="115">
        <f t="shared" si="47"/>
        <v>25</v>
      </c>
      <c r="BG65" s="114">
        <v>10</v>
      </c>
      <c r="BH65" s="114">
        <v>22</v>
      </c>
      <c r="BI65" s="74">
        <f t="shared" si="26"/>
        <v>57</v>
      </c>
      <c r="BJ65" s="284"/>
      <c r="BK65" s="73">
        <f t="shared" si="3"/>
        <v>3</v>
      </c>
      <c r="BL65" s="108">
        <v>7</v>
      </c>
      <c r="BM65" s="114">
        <v>18</v>
      </c>
      <c r="BN65" s="115">
        <f t="shared" si="48"/>
        <v>25</v>
      </c>
      <c r="BO65" s="114">
        <v>10</v>
      </c>
      <c r="BP65" s="114">
        <v>22</v>
      </c>
      <c r="BQ65" s="74">
        <f t="shared" si="28"/>
        <v>57</v>
      </c>
      <c r="BR65" s="281"/>
      <c r="BS65" s="73">
        <f t="shared" si="29"/>
        <v>3</v>
      </c>
      <c r="BT65" s="108">
        <v>8</v>
      </c>
      <c r="BU65" s="114">
        <v>22</v>
      </c>
      <c r="BV65" s="115">
        <f t="shared" si="49"/>
        <v>30</v>
      </c>
      <c r="BW65" s="114">
        <v>15</v>
      </c>
      <c r="BX65" s="114">
        <v>22</v>
      </c>
      <c r="BY65" s="74">
        <f t="shared" si="31"/>
        <v>67</v>
      </c>
      <c r="BZ65" s="284"/>
      <c r="CA65" s="73">
        <f t="shared" si="32"/>
        <v>3.5</v>
      </c>
      <c r="CB65" s="108">
        <v>6</v>
      </c>
      <c r="CC65" s="114">
        <v>20</v>
      </c>
      <c r="CD65" s="115">
        <f t="shared" si="50"/>
        <v>26</v>
      </c>
      <c r="CE65" s="114">
        <v>18</v>
      </c>
      <c r="CF65" s="114">
        <v>22</v>
      </c>
      <c r="CG65" s="74">
        <f t="shared" si="34"/>
        <v>66</v>
      </c>
      <c r="CH65" s="281"/>
      <c r="CI65" s="75">
        <f t="shared" si="35"/>
        <v>3.5</v>
      </c>
      <c r="CJ65" s="73">
        <f t="shared" si="4"/>
        <v>30</v>
      </c>
      <c r="CK65" s="76">
        <f t="shared" si="36"/>
        <v>3.3333333333333335</v>
      </c>
      <c r="CL65" s="77" t="str">
        <f t="shared" si="37"/>
        <v>B</v>
      </c>
      <c r="CM65" s="39" t="str">
        <f t="shared" si="5"/>
        <v>GOOD</v>
      </c>
      <c r="CN65" s="38">
        <f t="shared" si="6"/>
        <v>677.13599999999997</v>
      </c>
      <c r="CO65" s="37">
        <f t="shared" si="7"/>
        <v>52</v>
      </c>
      <c r="CP65" s="40"/>
    </row>
    <row r="66" spans="1:94" s="41" customFormat="1" ht="20.100000000000001" customHeight="1">
      <c r="A66" s="40">
        <v>59</v>
      </c>
      <c r="B66" s="56">
        <v>66</v>
      </c>
      <c r="C66" s="95" t="s">
        <v>316</v>
      </c>
      <c r="D66" s="95" t="s">
        <v>317</v>
      </c>
      <c r="E66" s="95" t="s">
        <v>318</v>
      </c>
      <c r="F66" s="96" t="s">
        <v>319</v>
      </c>
      <c r="G66" s="113">
        <v>13</v>
      </c>
      <c r="H66" s="114">
        <v>23</v>
      </c>
      <c r="I66" s="115">
        <f t="shared" si="41"/>
        <v>36</v>
      </c>
      <c r="J66" s="114">
        <v>14</v>
      </c>
      <c r="K66" s="115">
        <f t="shared" si="42"/>
        <v>50</v>
      </c>
      <c r="L66" s="108">
        <v>16</v>
      </c>
      <c r="M66" s="114">
        <v>31</v>
      </c>
      <c r="N66" s="115">
        <f t="shared" si="40"/>
        <v>38.134</v>
      </c>
      <c r="O66" s="114">
        <v>19</v>
      </c>
      <c r="P66" s="74">
        <f t="shared" si="10"/>
        <v>57.134</v>
      </c>
      <c r="Q66" s="74">
        <f t="shared" si="11"/>
        <v>107.134</v>
      </c>
      <c r="R66" s="281"/>
      <c r="S66" s="73">
        <f t="shared" si="12"/>
        <v>3</v>
      </c>
      <c r="T66" s="108">
        <v>19</v>
      </c>
      <c r="U66" s="114">
        <v>59</v>
      </c>
      <c r="V66" s="115">
        <f t="shared" si="43"/>
        <v>78</v>
      </c>
      <c r="W66" s="108">
        <v>12</v>
      </c>
      <c r="X66" s="114">
        <v>32</v>
      </c>
      <c r="Y66" s="115">
        <f t="shared" si="44"/>
        <v>44</v>
      </c>
      <c r="Z66" s="74">
        <f t="shared" si="15"/>
        <v>122</v>
      </c>
      <c r="AA66" s="281"/>
      <c r="AB66" s="73">
        <f t="shared" si="0"/>
        <v>3.5</v>
      </c>
      <c r="AC66" s="108">
        <v>19</v>
      </c>
      <c r="AD66" s="114">
        <v>20</v>
      </c>
      <c r="AE66" s="115">
        <f t="shared" si="45"/>
        <v>39</v>
      </c>
      <c r="AF66" s="114">
        <v>26</v>
      </c>
      <c r="AG66" s="74">
        <f t="shared" si="17"/>
        <v>65</v>
      </c>
      <c r="AH66" s="281"/>
      <c r="AI66" s="73">
        <f t="shared" si="1"/>
        <v>3.5</v>
      </c>
      <c r="AJ66" s="108">
        <v>16</v>
      </c>
      <c r="AK66" s="114">
        <v>33</v>
      </c>
      <c r="AL66" s="115">
        <f t="shared" si="46"/>
        <v>49</v>
      </c>
      <c r="AM66" s="114">
        <v>16</v>
      </c>
      <c r="AN66" s="74">
        <f t="shared" si="19"/>
        <v>65</v>
      </c>
      <c r="AO66" s="281"/>
      <c r="AP66" s="73">
        <f t="shared" si="2"/>
        <v>3.5</v>
      </c>
      <c r="AQ66" s="116"/>
      <c r="AR66" s="116">
        <v>22</v>
      </c>
      <c r="AS66" s="114">
        <v>23</v>
      </c>
      <c r="AT66" s="73">
        <f t="shared" si="39"/>
        <v>45</v>
      </c>
      <c r="AU66" s="284"/>
      <c r="AV66" s="73">
        <f t="shared" si="21"/>
        <v>5</v>
      </c>
      <c r="AW66" s="108">
        <v>12</v>
      </c>
      <c r="AX66" s="114">
        <v>20</v>
      </c>
      <c r="AY66" s="115">
        <f t="shared" si="22"/>
        <v>32</v>
      </c>
      <c r="AZ66" s="114">
        <v>19</v>
      </c>
      <c r="BA66" s="74">
        <f t="shared" si="23"/>
        <v>51</v>
      </c>
      <c r="BB66" s="281"/>
      <c r="BC66" s="73">
        <f t="shared" si="24"/>
        <v>3</v>
      </c>
      <c r="BD66" s="108">
        <v>6</v>
      </c>
      <c r="BE66" s="114">
        <v>24</v>
      </c>
      <c r="BF66" s="115">
        <f t="shared" si="47"/>
        <v>30</v>
      </c>
      <c r="BG66" s="114">
        <v>10</v>
      </c>
      <c r="BH66" s="114">
        <v>22</v>
      </c>
      <c r="BI66" s="74">
        <f t="shared" si="26"/>
        <v>62</v>
      </c>
      <c r="BJ66" s="284"/>
      <c r="BK66" s="73">
        <f t="shared" si="3"/>
        <v>3.5</v>
      </c>
      <c r="BL66" s="108">
        <v>6</v>
      </c>
      <c r="BM66" s="114">
        <v>11</v>
      </c>
      <c r="BN66" s="115">
        <f t="shared" si="48"/>
        <v>17</v>
      </c>
      <c r="BO66" s="114">
        <v>5</v>
      </c>
      <c r="BP66" s="114">
        <v>22</v>
      </c>
      <c r="BQ66" s="74">
        <f t="shared" si="28"/>
        <v>44</v>
      </c>
      <c r="BR66" s="281"/>
      <c r="BS66" s="73" t="str">
        <f t="shared" si="29"/>
        <v>F</v>
      </c>
      <c r="BT66" s="108">
        <v>8</v>
      </c>
      <c r="BU66" s="114">
        <v>22</v>
      </c>
      <c r="BV66" s="115">
        <f t="shared" si="49"/>
        <v>30</v>
      </c>
      <c r="BW66" s="114">
        <v>12</v>
      </c>
      <c r="BX66" s="114">
        <v>22</v>
      </c>
      <c r="BY66" s="74">
        <f t="shared" si="31"/>
        <v>64</v>
      </c>
      <c r="BZ66" s="284"/>
      <c r="CA66" s="73">
        <f t="shared" si="32"/>
        <v>3.5</v>
      </c>
      <c r="CB66" s="108">
        <v>7</v>
      </c>
      <c r="CC66" s="114">
        <v>1</v>
      </c>
      <c r="CD66" s="115">
        <f t="shared" si="50"/>
        <v>8</v>
      </c>
      <c r="CE66" s="114">
        <v>17</v>
      </c>
      <c r="CF66" s="114">
        <v>22</v>
      </c>
      <c r="CG66" s="74">
        <f t="shared" si="34"/>
        <v>47</v>
      </c>
      <c r="CH66" s="281"/>
      <c r="CI66" s="75" t="str">
        <f t="shared" si="35"/>
        <v>0</v>
      </c>
      <c r="CJ66" s="73" t="str">
        <f t="shared" si="4"/>
        <v>F</v>
      </c>
      <c r="CK66" s="76" t="str">
        <f t="shared" si="36"/>
        <v>F</v>
      </c>
      <c r="CL66" s="77" t="str">
        <f t="shared" si="37"/>
        <v>F</v>
      </c>
      <c r="CM66" s="39" t="str">
        <f t="shared" si="5"/>
        <v>NEED TO PROGRESS</v>
      </c>
      <c r="CN66" s="38">
        <f t="shared" si="6"/>
        <v>672.13400000000001</v>
      </c>
      <c r="CO66" s="37" t="str">
        <f t="shared" si="7"/>
        <v>F</v>
      </c>
      <c r="CP66" s="40"/>
    </row>
    <row r="67" spans="1:94" s="41" customFormat="1" ht="20.100000000000001" customHeight="1">
      <c r="A67" s="40">
        <v>60</v>
      </c>
      <c r="B67" s="56">
        <v>70</v>
      </c>
      <c r="C67" s="69" t="s">
        <v>320</v>
      </c>
      <c r="D67" s="69" t="s">
        <v>321</v>
      </c>
      <c r="E67" s="69" t="s">
        <v>322</v>
      </c>
      <c r="F67" s="70" t="s">
        <v>323</v>
      </c>
      <c r="G67" s="113">
        <v>12</v>
      </c>
      <c r="H67" s="114">
        <v>21</v>
      </c>
      <c r="I67" s="115">
        <f t="shared" si="41"/>
        <v>33</v>
      </c>
      <c r="J67" s="114">
        <v>11</v>
      </c>
      <c r="K67" s="115">
        <f t="shared" si="42"/>
        <v>44</v>
      </c>
      <c r="L67" s="108">
        <v>18</v>
      </c>
      <c r="M67" s="114">
        <v>26</v>
      </c>
      <c r="N67" s="115">
        <f t="shared" si="40"/>
        <v>36.564</v>
      </c>
      <c r="O67" s="114">
        <v>11</v>
      </c>
      <c r="P67" s="74">
        <f t="shared" si="10"/>
        <v>47.564</v>
      </c>
      <c r="Q67" s="74">
        <f t="shared" si="11"/>
        <v>91.563999999999993</v>
      </c>
      <c r="R67" s="281"/>
      <c r="S67" s="73">
        <f t="shared" si="12"/>
        <v>2</v>
      </c>
      <c r="T67" s="108">
        <v>17</v>
      </c>
      <c r="U67" s="114">
        <v>44</v>
      </c>
      <c r="V67" s="115">
        <f t="shared" si="43"/>
        <v>61</v>
      </c>
      <c r="W67" s="108">
        <v>8</v>
      </c>
      <c r="X67" s="114">
        <v>15</v>
      </c>
      <c r="Y67" s="115">
        <f t="shared" si="44"/>
        <v>23</v>
      </c>
      <c r="Z67" s="74">
        <f t="shared" si="15"/>
        <v>84</v>
      </c>
      <c r="AA67" s="281"/>
      <c r="AB67" s="73">
        <f t="shared" si="0"/>
        <v>2</v>
      </c>
      <c r="AC67" s="108">
        <v>13</v>
      </c>
      <c r="AD67" s="114">
        <v>16</v>
      </c>
      <c r="AE67" s="115">
        <f t="shared" si="45"/>
        <v>29</v>
      </c>
      <c r="AF67" s="114">
        <v>15</v>
      </c>
      <c r="AG67" s="74">
        <f t="shared" si="17"/>
        <v>44</v>
      </c>
      <c r="AH67" s="281"/>
      <c r="AI67" s="73">
        <f t="shared" si="1"/>
        <v>2</v>
      </c>
      <c r="AJ67" s="108">
        <v>17</v>
      </c>
      <c r="AK67" s="114">
        <v>31</v>
      </c>
      <c r="AL67" s="115">
        <f t="shared" si="46"/>
        <v>48</v>
      </c>
      <c r="AM67" s="114">
        <v>16</v>
      </c>
      <c r="AN67" s="74">
        <f t="shared" si="19"/>
        <v>64</v>
      </c>
      <c r="AO67" s="281"/>
      <c r="AP67" s="73">
        <f t="shared" si="2"/>
        <v>3.5</v>
      </c>
      <c r="AQ67" s="116"/>
      <c r="AR67" s="116">
        <v>18</v>
      </c>
      <c r="AS67" s="114">
        <v>23</v>
      </c>
      <c r="AT67" s="73">
        <f t="shared" si="39"/>
        <v>41</v>
      </c>
      <c r="AU67" s="284"/>
      <c r="AV67" s="73">
        <f t="shared" si="21"/>
        <v>5</v>
      </c>
      <c r="AW67" s="108">
        <v>8</v>
      </c>
      <c r="AX67" s="114">
        <v>20</v>
      </c>
      <c r="AY67" s="115">
        <f t="shared" si="22"/>
        <v>28</v>
      </c>
      <c r="AZ67" s="114">
        <v>17</v>
      </c>
      <c r="BA67" s="74">
        <f t="shared" si="23"/>
        <v>45</v>
      </c>
      <c r="BB67" s="281"/>
      <c r="BC67" s="73">
        <f t="shared" si="24"/>
        <v>2</v>
      </c>
      <c r="BD67" s="108">
        <v>6</v>
      </c>
      <c r="BE67" s="114">
        <v>16</v>
      </c>
      <c r="BF67" s="115">
        <f t="shared" si="47"/>
        <v>22</v>
      </c>
      <c r="BG67" s="114">
        <v>10</v>
      </c>
      <c r="BH67" s="114">
        <v>22</v>
      </c>
      <c r="BI67" s="74">
        <f t="shared" si="26"/>
        <v>54</v>
      </c>
      <c r="BJ67" s="284"/>
      <c r="BK67" s="73">
        <f t="shared" si="3"/>
        <v>3</v>
      </c>
      <c r="BL67" s="108">
        <v>5</v>
      </c>
      <c r="BM67" s="114">
        <v>16</v>
      </c>
      <c r="BN67" s="115">
        <f t="shared" si="48"/>
        <v>21</v>
      </c>
      <c r="BO67" s="114">
        <v>10</v>
      </c>
      <c r="BP67" s="114">
        <v>22</v>
      </c>
      <c r="BQ67" s="74">
        <f t="shared" si="28"/>
        <v>53</v>
      </c>
      <c r="BR67" s="281"/>
      <c r="BS67" s="73">
        <f t="shared" si="29"/>
        <v>3</v>
      </c>
      <c r="BT67" s="108">
        <v>6</v>
      </c>
      <c r="BU67" s="114">
        <v>16</v>
      </c>
      <c r="BV67" s="115">
        <f t="shared" si="49"/>
        <v>22</v>
      </c>
      <c r="BW67" s="114">
        <v>12</v>
      </c>
      <c r="BX67" s="114">
        <v>22</v>
      </c>
      <c r="BY67" s="74">
        <f t="shared" si="31"/>
        <v>56</v>
      </c>
      <c r="BZ67" s="284"/>
      <c r="CA67" s="73">
        <f t="shared" si="32"/>
        <v>3</v>
      </c>
      <c r="CB67" s="108">
        <v>8</v>
      </c>
      <c r="CC67" s="114">
        <v>26</v>
      </c>
      <c r="CD67" s="115">
        <f t="shared" si="50"/>
        <v>34</v>
      </c>
      <c r="CE67" s="114">
        <v>17</v>
      </c>
      <c r="CF67" s="114">
        <v>22</v>
      </c>
      <c r="CG67" s="74">
        <f t="shared" si="34"/>
        <v>73</v>
      </c>
      <c r="CH67" s="281"/>
      <c r="CI67" s="75">
        <f t="shared" si="35"/>
        <v>4</v>
      </c>
      <c r="CJ67" s="73">
        <f t="shared" si="4"/>
        <v>27.5</v>
      </c>
      <c r="CK67" s="76">
        <f t="shared" si="36"/>
        <v>3.0555555555555554</v>
      </c>
      <c r="CL67" s="77" t="str">
        <f t="shared" si="37"/>
        <v>B</v>
      </c>
      <c r="CM67" s="39" t="str">
        <f t="shared" si="5"/>
        <v>GOOD</v>
      </c>
      <c r="CN67" s="38">
        <f t="shared" si="6"/>
        <v>605.56399999999996</v>
      </c>
      <c r="CO67" s="37">
        <f t="shared" si="7"/>
        <v>69</v>
      </c>
      <c r="CP67" s="40"/>
    </row>
    <row r="68" spans="1:94" s="41" customFormat="1" ht="20.100000000000001" customHeight="1">
      <c r="A68" s="40">
        <v>61</v>
      </c>
      <c r="B68" s="56">
        <v>71</v>
      </c>
      <c r="C68" s="69" t="s">
        <v>324</v>
      </c>
      <c r="D68" s="69" t="s">
        <v>325</v>
      </c>
      <c r="E68" s="69" t="s">
        <v>326</v>
      </c>
      <c r="F68" s="70" t="s">
        <v>327</v>
      </c>
      <c r="G68" s="113">
        <v>5</v>
      </c>
      <c r="H68" s="114">
        <v>17</v>
      </c>
      <c r="I68" s="115">
        <f t="shared" si="41"/>
        <v>22</v>
      </c>
      <c r="J68" s="114">
        <v>12</v>
      </c>
      <c r="K68" s="115">
        <f t="shared" si="42"/>
        <v>34</v>
      </c>
      <c r="L68" s="108">
        <v>14</v>
      </c>
      <c r="M68" s="114">
        <v>29</v>
      </c>
      <c r="N68" s="115">
        <f t="shared" si="40"/>
        <v>34.706000000000003</v>
      </c>
      <c r="O68" s="114">
        <v>12</v>
      </c>
      <c r="P68" s="74">
        <f t="shared" si="10"/>
        <v>46.706000000000003</v>
      </c>
      <c r="Q68" s="74">
        <f t="shared" si="11"/>
        <v>80.706000000000003</v>
      </c>
      <c r="R68" s="281"/>
      <c r="S68" s="73">
        <f t="shared" si="12"/>
        <v>2</v>
      </c>
      <c r="T68" s="108">
        <v>11</v>
      </c>
      <c r="U68" s="114">
        <v>37</v>
      </c>
      <c r="V68" s="115">
        <f t="shared" si="43"/>
        <v>48</v>
      </c>
      <c r="W68" s="108">
        <v>10</v>
      </c>
      <c r="X68" s="114">
        <v>19</v>
      </c>
      <c r="Y68" s="115">
        <f t="shared" si="44"/>
        <v>29</v>
      </c>
      <c r="Z68" s="74">
        <f t="shared" si="15"/>
        <v>77</v>
      </c>
      <c r="AA68" s="281"/>
      <c r="AB68" s="73" t="str">
        <f t="shared" si="0"/>
        <v>F</v>
      </c>
      <c r="AC68" s="108">
        <v>5</v>
      </c>
      <c r="AD68" s="114">
        <v>4</v>
      </c>
      <c r="AE68" s="115">
        <f t="shared" si="45"/>
        <v>9</v>
      </c>
      <c r="AF68" s="114">
        <v>8</v>
      </c>
      <c r="AG68" s="74">
        <f t="shared" si="17"/>
        <v>17</v>
      </c>
      <c r="AH68" s="281"/>
      <c r="AI68" s="73" t="str">
        <f t="shared" si="1"/>
        <v>F</v>
      </c>
      <c r="AJ68" s="108">
        <v>12</v>
      </c>
      <c r="AK68" s="114">
        <v>23</v>
      </c>
      <c r="AL68" s="115">
        <f t="shared" si="46"/>
        <v>35</v>
      </c>
      <c r="AM68" s="114">
        <v>12</v>
      </c>
      <c r="AN68" s="74">
        <f t="shared" si="19"/>
        <v>47</v>
      </c>
      <c r="AO68" s="281"/>
      <c r="AP68" s="73">
        <f t="shared" si="2"/>
        <v>2</v>
      </c>
      <c r="AQ68" s="116"/>
      <c r="AR68" s="116">
        <v>14</v>
      </c>
      <c r="AS68" s="114">
        <v>23</v>
      </c>
      <c r="AT68" s="73">
        <f t="shared" si="39"/>
        <v>37</v>
      </c>
      <c r="AU68" s="284"/>
      <c r="AV68" s="73">
        <f t="shared" si="21"/>
        <v>4</v>
      </c>
      <c r="AW68" s="108">
        <v>8</v>
      </c>
      <c r="AX68" s="114">
        <v>20</v>
      </c>
      <c r="AY68" s="115">
        <f t="shared" si="22"/>
        <v>28</v>
      </c>
      <c r="AZ68" s="114">
        <v>14</v>
      </c>
      <c r="BA68" s="74">
        <f t="shared" si="23"/>
        <v>42</v>
      </c>
      <c r="BB68" s="281"/>
      <c r="BC68" s="73">
        <f t="shared" si="24"/>
        <v>2</v>
      </c>
      <c r="BD68" s="108">
        <v>9</v>
      </c>
      <c r="BE68" s="114">
        <v>4</v>
      </c>
      <c r="BF68" s="115">
        <f t="shared" si="47"/>
        <v>13</v>
      </c>
      <c r="BG68" s="114">
        <v>7</v>
      </c>
      <c r="BH68" s="114">
        <v>22</v>
      </c>
      <c r="BI68" s="74">
        <f t="shared" si="26"/>
        <v>42</v>
      </c>
      <c r="BJ68" s="284"/>
      <c r="BK68" s="73" t="str">
        <f t="shared" si="3"/>
        <v>F</v>
      </c>
      <c r="BL68" s="108">
        <v>4</v>
      </c>
      <c r="BM68" s="114">
        <v>0</v>
      </c>
      <c r="BN68" s="115">
        <f t="shared" si="48"/>
        <v>4</v>
      </c>
      <c r="BO68" s="114">
        <v>7</v>
      </c>
      <c r="BP68" s="114">
        <v>22</v>
      </c>
      <c r="BQ68" s="74">
        <f t="shared" si="28"/>
        <v>33</v>
      </c>
      <c r="BR68" s="281"/>
      <c r="BS68" s="73" t="str">
        <f t="shared" si="29"/>
        <v>F</v>
      </c>
      <c r="BT68" s="108">
        <v>7</v>
      </c>
      <c r="BU68" s="114">
        <v>6</v>
      </c>
      <c r="BV68" s="115">
        <f t="shared" si="49"/>
        <v>13</v>
      </c>
      <c r="BW68" s="114">
        <v>13</v>
      </c>
      <c r="BX68" s="114">
        <v>22</v>
      </c>
      <c r="BY68" s="74">
        <f t="shared" si="31"/>
        <v>48</v>
      </c>
      <c r="BZ68" s="284"/>
      <c r="CA68" s="73" t="str">
        <f t="shared" si="32"/>
        <v>F</v>
      </c>
      <c r="CB68" s="108">
        <v>3</v>
      </c>
      <c r="CC68" s="114">
        <v>1</v>
      </c>
      <c r="CD68" s="115">
        <f t="shared" si="50"/>
        <v>4</v>
      </c>
      <c r="CE68" s="114">
        <v>12</v>
      </c>
      <c r="CF68" s="114">
        <v>22</v>
      </c>
      <c r="CG68" s="74">
        <f t="shared" si="34"/>
        <v>38</v>
      </c>
      <c r="CH68" s="281"/>
      <c r="CI68" s="75" t="str">
        <f t="shared" si="35"/>
        <v>0</v>
      </c>
      <c r="CJ68" s="73" t="str">
        <f t="shared" si="4"/>
        <v>F</v>
      </c>
      <c r="CK68" s="76" t="str">
        <f t="shared" si="36"/>
        <v>F</v>
      </c>
      <c r="CL68" s="77" t="str">
        <f t="shared" si="37"/>
        <v>F</v>
      </c>
      <c r="CM68" s="39" t="str">
        <f t="shared" si="5"/>
        <v>NEED TO PROGRESS</v>
      </c>
      <c r="CN68" s="38">
        <f t="shared" si="6"/>
        <v>461.70600000000002</v>
      </c>
      <c r="CO68" s="37" t="str">
        <f t="shared" si="7"/>
        <v>F</v>
      </c>
      <c r="CP68" s="40"/>
    </row>
    <row r="69" spans="1:94" s="41" customFormat="1" ht="20.100000000000001" customHeight="1">
      <c r="A69" s="40">
        <v>62</v>
      </c>
      <c r="B69" s="56">
        <v>72</v>
      </c>
      <c r="C69" s="95" t="s">
        <v>328</v>
      </c>
      <c r="D69" s="95" t="s">
        <v>329</v>
      </c>
      <c r="E69" s="95" t="s">
        <v>330</v>
      </c>
      <c r="F69" s="96" t="s">
        <v>331</v>
      </c>
      <c r="G69" s="113">
        <v>12</v>
      </c>
      <c r="H69" s="114">
        <v>31</v>
      </c>
      <c r="I69" s="115">
        <f t="shared" si="41"/>
        <v>43</v>
      </c>
      <c r="J69" s="114">
        <v>11</v>
      </c>
      <c r="K69" s="115">
        <f t="shared" si="42"/>
        <v>54</v>
      </c>
      <c r="L69" s="108">
        <v>17</v>
      </c>
      <c r="M69" s="114">
        <v>34</v>
      </c>
      <c r="N69" s="115">
        <f t="shared" si="40"/>
        <v>41.275999999999996</v>
      </c>
      <c r="O69" s="114">
        <v>11</v>
      </c>
      <c r="P69" s="74">
        <f t="shared" si="10"/>
        <v>52.275999999999996</v>
      </c>
      <c r="Q69" s="74">
        <f t="shared" si="11"/>
        <v>106.276</v>
      </c>
      <c r="R69" s="281"/>
      <c r="S69" s="73">
        <f t="shared" si="12"/>
        <v>3</v>
      </c>
      <c r="T69" s="108">
        <v>17</v>
      </c>
      <c r="U69" s="114">
        <v>44</v>
      </c>
      <c r="V69" s="115">
        <f t="shared" si="43"/>
        <v>61</v>
      </c>
      <c r="W69" s="108">
        <v>12</v>
      </c>
      <c r="X69" s="114">
        <v>15</v>
      </c>
      <c r="Y69" s="115">
        <f t="shared" si="44"/>
        <v>27</v>
      </c>
      <c r="Z69" s="74">
        <f t="shared" si="15"/>
        <v>88</v>
      </c>
      <c r="AA69" s="281"/>
      <c r="AB69" s="73">
        <f t="shared" si="0"/>
        <v>2</v>
      </c>
      <c r="AC69" s="108">
        <v>13</v>
      </c>
      <c r="AD69" s="114">
        <v>18</v>
      </c>
      <c r="AE69" s="115">
        <f t="shared" si="45"/>
        <v>31</v>
      </c>
      <c r="AF69" s="114">
        <v>17</v>
      </c>
      <c r="AG69" s="74">
        <f t="shared" si="17"/>
        <v>48</v>
      </c>
      <c r="AH69" s="281"/>
      <c r="AI69" s="73">
        <f t="shared" si="1"/>
        <v>2</v>
      </c>
      <c r="AJ69" s="108">
        <v>13</v>
      </c>
      <c r="AK69" s="114">
        <v>39</v>
      </c>
      <c r="AL69" s="115">
        <f t="shared" si="46"/>
        <v>52</v>
      </c>
      <c r="AM69" s="114">
        <v>16</v>
      </c>
      <c r="AN69" s="74">
        <f t="shared" si="19"/>
        <v>68</v>
      </c>
      <c r="AO69" s="281"/>
      <c r="AP69" s="73">
        <f t="shared" si="2"/>
        <v>3.5</v>
      </c>
      <c r="AQ69" s="116"/>
      <c r="AR69" s="116">
        <v>17</v>
      </c>
      <c r="AS69" s="114">
        <v>23</v>
      </c>
      <c r="AT69" s="73">
        <f t="shared" si="39"/>
        <v>40</v>
      </c>
      <c r="AU69" s="284"/>
      <c r="AV69" s="73">
        <f t="shared" si="21"/>
        <v>5</v>
      </c>
      <c r="AW69" s="108">
        <v>8</v>
      </c>
      <c r="AX69" s="114">
        <v>22</v>
      </c>
      <c r="AY69" s="115">
        <f t="shared" si="22"/>
        <v>30</v>
      </c>
      <c r="AZ69" s="114">
        <v>13</v>
      </c>
      <c r="BA69" s="74">
        <f t="shared" si="23"/>
        <v>43</v>
      </c>
      <c r="BB69" s="281"/>
      <c r="BC69" s="73">
        <f t="shared" si="24"/>
        <v>2</v>
      </c>
      <c r="BD69" s="108">
        <v>6</v>
      </c>
      <c r="BE69" s="114">
        <v>16</v>
      </c>
      <c r="BF69" s="115">
        <f t="shared" si="47"/>
        <v>22</v>
      </c>
      <c r="BG69" s="114">
        <v>15</v>
      </c>
      <c r="BH69" s="114">
        <v>22</v>
      </c>
      <c r="BI69" s="74">
        <f t="shared" si="26"/>
        <v>59</v>
      </c>
      <c r="BJ69" s="284"/>
      <c r="BK69" s="73">
        <f t="shared" si="3"/>
        <v>3</v>
      </c>
      <c r="BL69" s="108">
        <v>5</v>
      </c>
      <c r="BM69" s="114">
        <v>0</v>
      </c>
      <c r="BN69" s="115">
        <f t="shared" si="48"/>
        <v>5</v>
      </c>
      <c r="BO69" s="114">
        <v>8</v>
      </c>
      <c r="BP69" s="114">
        <v>22</v>
      </c>
      <c r="BQ69" s="74">
        <f t="shared" si="28"/>
        <v>35</v>
      </c>
      <c r="BR69" s="281"/>
      <c r="BS69" s="73" t="str">
        <f t="shared" si="29"/>
        <v>F</v>
      </c>
      <c r="BT69" s="108">
        <v>8</v>
      </c>
      <c r="BU69" s="114">
        <v>26</v>
      </c>
      <c r="BV69" s="115">
        <f t="shared" si="49"/>
        <v>34</v>
      </c>
      <c r="BW69" s="114">
        <v>16</v>
      </c>
      <c r="BX69" s="114">
        <v>22</v>
      </c>
      <c r="BY69" s="74">
        <f t="shared" si="31"/>
        <v>72</v>
      </c>
      <c r="BZ69" s="284"/>
      <c r="CA69" s="73">
        <f t="shared" si="32"/>
        <v>4</v>
      </c>
      <c r="CB69" s="108">
        <v>7</v>
      </c>
      <c r="CC69" s="114">
        <v>16</v>
      </c>
      <c r="CD69" s="115">
        <f t="shared" si="50"/>
        <v>23</v>
      </c>
      <c r="CE69" s="114">
        <v>13</v>
      </c>
      <c r="CF69" s="114">
        <v>22</v>
      </c>
      <c r="CG69" s="74">
        <f t="shared" si="34"/>
        <v>58</v>
      </c>
      <c r="CH69" s="281"/>
      <c r="CI69" s="75">
        <f t="shared" si="35"/>
        <v>3</v>
      </c>
      <c r="CJ69" s="73" t="str">
        <f t="shared" si="4"/>
        <v>F</v>
      </c>
      <c r="CK69" s="76" t="str">
        <f t="shared" si="36"/>
        <v>F</v>
      </c>
      <c r="CL69" s="77" t="str">
        <f t="shared" si="37"/>
        <v>F</v>
      </c>
      <c r="CM69" s="39" t="str">
        <f t="shared" si="5"/>
        <v>NEED TO PROGRESS</v>
      </c>
      <c r="CN69" s="38">
        <f t="shared" si="6"/>
        <v>617.27600000000007</v>
      </c>
      <c r="CO69" s="37" t="str">
        <f t="shared" si="7"/>
        <v>F</v>
      </c>
      <c r="CP69" s="40"/>
    </row>
    <row r="70" spans="1:94" s="41" customFormat="1" ht="20.100000000000001" customHeight="1">
      <c r="A70" s="40">
        <v>63</v>
      </c>
      <c r="B70" s="56">
        <v>75</v>
      </c>
      <c r="C70" s="69" t="s">
        <v>332</v>
      </c>
      <c r="D70" s="69" t="s">
        <v>321</v>
      </c>
      <c r="E70" s="69" t="s">
        <v>333</v>
      </c>
      <c r="F70" s="70" t="s">
        <v>334</v>
      </c>
      <c r="G70" s="113">
        <v>10</v>
      </c>
      <c r="H70" s="114">
        <v>0</v>
      </c>
      <c r="I70" s="115">
        <f t="shared" si="41"/>
        <v>10</v>
      </c>
      <c r="J70" s="114">
        <v>0</v>
      </c>
      <c r="K70" s="115">
        <f t="shared" si="42"/>
        <v>10</v>
      </c>
      <c r="L70" s="108">
        <v>17</v>
      </c>
      <c r="M70" s="114">
        <v>0</v>
      </c>
      <c r="N70" s="115">
        <f t="shared" si="40"/>
        <v>17</v>
      </c>
      <c r="O70" s="114">
        <v>0</v>
      </c>
      <c r="P70" s="74">
        <f t="shared" si="10"/>
        <v>17</v>
      </c>
      <c r="Q70" s="74">
        <f t="shared" si="11"/>
        <v>27</v>
      </c>
      <c r="R70" s="281"/>
      <c r="S70" s="73" t="str">
        <f t="shared" si="12"/>
        <v>F</v>
      </c>
      <c r="T70" s="108">
        <v>17</v>
      </c>
      <c r="U70" s="114">
        <v>0</v>
      </c>
      <c r="V70" s="115">
        <f t="shared" si="43"/>
        <v>17</v>
      </c>
      <c r="W70" s="108">
        <v>8</v>
      </c>
      <c r="X70" s="114">
        <v>0</v>
      </c>
      <c r="Y70" s="115">
        <f t="shared" si="44"/>
        <v>8</v>
      </c>
      <c r="Z70" s="74">
        <f t="shared" si="15"/>
        <v>25</v>
      </c>
      <c r="AA70" s="281"/>
      <c r="AB70" s="73" t="str">
        <f t="shared" si="0"/>
        <v>F</v>
      </c>
      <c r="AC70" s="108">
        <v>19</v>
      </c>
      <c r="AD70" s="114">
        <v>0</v>
      </c>
      <c r="AE70" s="115">
        <f t="shared" si="45"/>
        <v>19</v>
      </c>
      <c r="AF70" s="114">
        <v>0</v>
      </c>
      <c r="AG70" s="74">
        <f t="shared" si="17"/>
        <v>19</v>
      </c>
      <c r="AH70" s="281"/>
      <c r="AI70" s="73" t="str">
        <f t="shared" si="1"/>
        <v>F</v>
      </c>
      <c r="AJ70" s="108">
        <v>15</v>
      </c>
      <c r="AK70" s="114">
        <v>0</v>
      </c>
      <c r="AL70" s="115">
        <f t="shared" si="46"/>
        <v>15</v>
      </c>
      <c r="AM70" s="114">
        <v>0</v>
      </c>
      <c r="AN70" s="74">
        <f t="shared" si="19"/>
        <v>15</v>
      </c>
      <c r="AO70" s="281"/>
      <c r="AP70" s="73" t="str">
        <f t="shared" si="2"/>
        <v>F</v>
      </c>
      <c r="AQ70" s="116"/>
      <c r="AR70" s="116">
        <v>0</v>
      </c>
      <c r="AS70" s="114"/>
      <c r="AT70" s="73">
        <f t="shared" si="39"/>
        <v>0</v>
      </c>
      <c r="AU70" s="284"/>
      <c r="AV70" s="73" t="str">
        <f t="shared" si="21"/>
        <v>F</v>
      </c>
      <c r="AW70" s="108">
        <v>10</v>
      </c>
      <c r="AX70" s="114">
        <v>0</v>
      </c>
      <c r="AY70" s="115">
        <f t="shared" si="22"/>
        <v>10</v>
      </c>
      <c r="AZ70" s="114">
        <v>0</v>
      </c>
      <c r="BA70" s="74">
        <f t="shared" si="23"/>
        <v>10</v>
      </c>
      <c r="BB70" s="281"/>
      <c r="BC70" s="73" t="str">
        <f t="shared" si="24"/>
        <v>F</v>
      </c>
      <c r="BD70" s="108">
        <v>9</v>
      </c>
      <c r="BE70" s="114">
        <v>0</v>
      </c>
      <c r="BF70" s="115">
        <f t="shared" si="47"/>
        <v>9</v>
      </c>
      <c r="BG70" s="114">
        <v>0</v>
      </c>
      <c r="BH70" s="114">
        <v>22</v>
      </c>
      <c r="BI70" s="74">
        <f t="shared" si="26"/>
        <v>31</v>
      </c>
      <c r="BJ70" s="284"/>
      <c r="BK70" s="73" t="str">
        <f t="shared" si="3"/>
        <v>F</v>
      </c>
      <c r="BL70" s="108">
        <v>4</v>
      </c>
      <c r="BM70" s="114">
        <v>0</v>
      </c>
      <c r="BN70" s="115">
        <f t="shared" si="48"/>
        <v>4</v>
      </c>
      <c r="BO70" s="114">
        <v>8</v>
      </c>
      <c r="BP70" s="114">
        <v>22</v>
      </c>
      <c r="BQ70" s="74">
        <f t="shared" si="28"/>
        <v>34</v>
      </c>
      <c r="BR70" s="281"/>
      <c r="BS70" s="73" t="str">
        <f t="shared" si="29"/>
        <v>F</v>
      </c>
      <c r="BT70" s="108">
        <v>6</v>
      </c>
      <c r="BU70" s="114">
        <v>0</v>
      </c>
      <c r="BV70" s="115">
        <f t="shared" si="49"/>
        <v>6</v>
      </c>
      <c r="BW70" s="114">
        <v>0</v>
      </c>
      <c r="BX70" s="114">
        <v>22</v>
      </c>
      <c r="BY70" s="74">
        <f t="shared" si="31"/>
        <v>28</v>
      </c>
      <c r="BZ70" s="284"/>
      <c r="CA70" s="73" t="str">
        <f t="shared" si="32"/>
        <v>F</v>
      </c>
      <c r="CB70" s="108">
        <v>7</v>
      </c>
      <c r="CC70" s="114">
        <v>0</v>
      </c>
      <c r="CD70" s="115">
        <f t="shared" si="50"/>
        <v>7</v>
      </c>
      <c r="CE70" s="114">
        <v>0</v>
      </c>
      <c r="CF70" s="114">
        <v>22</v>
      </c>
      <c r="CG70" s="74">
        <f t="shared" si="34"/>
        <v>29</v>
      </c>
      <c r="CH70" s="281"/>
      <c r="CI70" s="75" t="str">
        <f t="shared" si="35"/>
        <v>0</v>
      </c>
      <c r="CJ70" s="73" t="str">
        <f t="shared" si="4"/>
        <v>F</v>
      </c>
      <c r="CK70" s="76" t="str">
        <f t="shared" si="36"/>
        <v>F</v>
      </c>
      <c r="CL70" s="77" t="str">
        <f t="shared" si="37"/>
        <v>F</v>
      </c>
      <c r="CM70" s="39" t="str">
        <f t="shared" si="5"/>
        <v>NEED TO PROGRESS</v>
      </c>
      <c r="CN70" s="38">
        <f t="shared" si="6"/>
        <v>218</v>
      </c>
      <c r="CO70" s="37" t="str">
        <f t="shared" si="7"/>
        <v>F</v>
      </c>
      <c r="CP70" s="40"/>
    </row>
    <row r="71" spans="1:94" s="41" customFormat="1" ht="20.100000000000001" customHeight="1">
      <c r="A71" s="40">
        <v>64</v>
      </c>
      <c r="B71" s="56">
        <v>79</v>
      </c>
      <c r="C71" s="69" t="s">
        <v>335</v>
      </c>
      <c r="D71" s="69"/>
      <c r="E71" s="69"/>
      <c r="F71" s="70"/>
      <c r="G71" s="113">
        <v>0</v>
      </c>
      <c r="H71" s="114">
        <v>17</v>
      </c>
      <c r="I71" s="115">
        <f t="shared" si="41"/>
        <v>17</v>
      </c>
      <c r="J71" s="114">
        <v>12</v>
      </c>
      <c r="K71" s="115">
        <f t="shared" si="42"/>
        <v>29</v>
      </c>
      <c r="L71" s="108">
        <v>0</v>
      </c>
      <c r="M71" s="114">
        <v>17</v>
      </c>
      <c r="N71" s="115">
        <f t="shared" si="40"/>
        <v>12.138</v>
      </c>
      <c r="O71" s="114">
        <v>11</v>
      </c>
      <c r="P71" s="74">
        <f t="shared" si="10"/>
        <v>23.137999999999998</v>
      </c>
      <c r="Q71" s="74">
        <f t="shared" si="11"/>
        <v>52.137999999999998</v>
      </c>
      <c r="R71" s="281"/>
      <c r="S71" s="73" t="str">
        <f t="shared" si="12"/>
        <v>F</v>
      </c>
      <c r="T71" s="108">
        <v>0</v>
      </c>
      <c r="U71" s="114">
        <v>27</v>
      </c>
      <c r="V71" s="115">
        <f t="shared" si="43"/>
        <v>27</v>
      </c>
      <c r="W71" s="108">
        <v>0</v>
      </c>
      <c r="X71" s="114">
        <v>2</v>
      </c>
      <c r="Y71" s="115">
        <f t="shared" si="44"/>
        <v>2</v>
      </c>
      <c r="Z71" s="74">
        <f t="shared" si="15"/>
        <v>29</v>
      </c>
      <c r="AA71" s="281"/>
      <c r="AB71" s="73" t="str">
        <f t="shared" si="0"/>
        <v>F</v>
      </c>
      <c r="AC71" s="108">
        <v>0</v>
      </c>
      <c r="AD71" s="114">
        <v>8</v>
      </c>
      <c r="AE71" s="115">
        <f t="shared" si="45"/>
        <v>8</v>
      </c>
      <c r="AF71" s="114">
        <v>17</v>
      </c>
      <c r="AG71" s="74">
        <f t="shared" si="17"/>
        <v>25</v>
      </c>
      <c r="AH71" s="281"/>
      <c r="AI71" s="73" t="str">
        <f t="shared" si="1"/>
        <v>F</v>
      </c>
      <c r="AJ71" s="108">
        <v>0</v>
      </c>
      <c r="AK71" s="114">
        <v>15</v>
      </c>
      <c r="AL71" s="115">
        <f t="shared" si="46"/>
        <v>15</v>
      </c>
      <c r="AM71" s="114">
        <v>17</v>
      </c>
      <c r="AN71" s="74">
        <f t="shared" si="19"/>
        <v>32</v>
      </c>
      <c r="AO71" s="281"/>
      <c r="AP71" s="73" t="str">
        <f t="shared" si="2"/>
        <v>F</v>
      </c>
      <c r="AQ71" s="116"/>
      <c r="AR71" s="116">
        <v>15</v>
      </c>
      <c r="AS71" s="114">
        <v>23</v>
      </c>
      <c r="AT71" s="73">
        <f t="shared" si="39"/>
        <v>38</v>
      </c>
      <c r="AU71" s="284"/>
      <c r="AV71" s="73">
        <f t="shared" si="21"/>
        <v>4</v>
      </c>
      <c r="AW71" s="108"/>
      <c r="AX71" s="114">
        <v>7</v>
      </c>
      <c r="AY71" s="115">
        <f t="shared" si="22"/>
        <v>7</v>
      </c>
      <c r="AZ71" s="114">
        <v>12</v>
      </c>
      <c r="BA71" s="74">
        <f t="shared" si="23"/>
        <v>19</v>
      </c>
      <c r="BB71" s="281"/>
      <c r="BC71" s="73" t="str">
        <f t="shared" si="24"/>
        <v>F</v>
      </c>
      <c r="BD71" s="108"/>
      <c r="BE71" s="114">
        <v>5</v>
      </c>
      <c r="BF71" s="115">
        <f t="shared" si="47"/>
        <v>5</v>
      </c>
      <c r="BG71" s="114">
        <v>10</v>
      </c>
      <c r="BH71" s="114">
        <v>22</v>
      </c>
      <c r="BI71" s="74">
        <f t="shared" si="26"/>
        <v>37</v>
      </c>
      <c r="BJ71" s="284"/>
      <c r="BK71" s="73" t="str">
        <f t="shared" si="3"/>
        <v>F</v>
      </c>
      <c r="BL71" s="108">
        <v>0</v>
      </c>
      <c r="BM71" s="114">
        <v>5</v>
      </c>
      <c r="BN71" s="115">
        <f t="shared" si="48"/>
        <v>5</v>
      </c>
      <c r="BO71" s="114">
        <v>10</v>
      </c>
      <c r="BP71" s="114">
        <v>22</v>
      </c>
      <c r="BQ71" s="74">
        <f t="shared" si="28"/>
        <v>37</v>
      </c>
      <c r="BR71" s="281"/>
      <c r="BS71" s="73" t="str">
        <f t="shared" si="29"/>
        <v>F</v>
      </c>
      <c r="BT71" s="108">
        <v>0</v>
      </c>
      <c r="BU71" s="114">
        <v>5</v>
      </c>
      <c r="BV71" s="115">
        <f t="shared" si="49"/>
        <v>5</v>
      </c>
      <c r="BW71" s="114">
        <v>17</v>
      </c>
      <c r="BX71" s="114">
        <v>22</v>
      </c>
      <c r="BY71" s="74">
        <f t="shared" si="31"/>
        <v>44</v>
      </c>
      <c r="BZ71" s="284"/>
      <c r="CA71" s="73" t="str">
        <f t="shared" si="32"/>
        <v>F</v>
      </c>
      <c r="CB71" s="108">
        <v>0</v>
      </c>
      <c r="CC71" s="114">
        <v>31</v>
      </c>
      <c r="CD71" s="115">
        <f t="shared" si="50"/>
        <v>31</v>
      </c>
      <c r="CE71" s="114">
        <v>20</v>
      </c>
      <c r="CF71" s="114">
        <v>22</v>
      </c>
      <c r="CG71" s="74">
        <f t="shared" si="34"/>
        <v>73</v>
      </c>
      <c r="CH71" s="281"/>
      <c r="CI71" s="75">
        <f t="shared" si="35"/>
        <v>4</v>
      </c>
      <c r="CJ71" s="73" t="str">
        <f t="shared" si="4"/>
        <v>F</v>
      </c>
      <c r="CK71" s="76" t="str">
        <f t="shared" si="36"/>
        <v>F</v>
      </c>
      <c r="CL71" s="77" t="str">
        <f t="shared" si="37"/>
        <v>F</v>
      </c>
      <c r="CM71" s="39" t="str">
        <f t="shared" si="5"/>
        <v>NEED TO PROGRESS</v>
      </c>
      <c r="CN71" s="38">
        <f t="shared" si="6"/>
        <v>386.13800000000003</v>
      </c>
      <c r="CO71" s="37" t="str">
        <f t="shared" si="7"/>
        <v>F</v>
      </c>
      <c r="CP71" s="40"/>
    </row>
    <row r="72" spans="1:94" s="41" customFormat="1" ht="20.100000000000001" customHeight="1">
      <c r="A72" s="40">
        <v>65</v>
      </c>
      <c r="B72" s="56">
        <v>87</v>
      </c>
      <c r="C72" s="69" t="s">
        <v>336</v>
      </c>
      <c r="D72" s="69" t="s">
        <v>337</v>
      </c>
      <c r="E72" s="69" t="s">
        <v>338</v>
      </c>
      <c r="F72" s="70" t="s">
        <v>339</v>
      </c>
      <c r="G72" s="113">
        <v>16</v>
      </c>
      <c r="H72" s="114">
        <v>29</v>
      </c>
      <c r="I72" s="115">
        <f t="shared" si="41"/>
        <v>45</v>
      </c>
      <c r="J72" s="114">
        <v>12</v>
      </c>
      <c r="K72" s="115">
        <f t="shared" si="42"/>
        <v>57</v>
      </c>
      <c r="L72" s="108">
        <v>16</v>
      </c>
      <c r="M72" s="114">
        <v>26</v>
      </c>
      <c r="N72" s="115">
        <f t="shared" si="40"/>
        <v>34.564</v>
      </c>
      <c r="O72" s="114">
        <v>14</v>
      </c>
      <c r="P72" s="74">
        <f t="shared" si="10"/>
        <v>48.564</v>
      </c>
      <c r="Q72" s="74">
        <f t="shared" si="11"/>
        <v>105.56399999999999</v>
      </c>
      <c r="R72" s="281"/>
      <c r="S72" s="73">
        <f t="shared" si="12"/>
        <v>3</v>
      </c>
      <c r="T72" s="108">
        <v>17</v>
      </c>
      <c r="U72" s="114">
        <v>44</v>
      </c>
      <c r="V72" s="115">
        <f t="shared" si="43"/>
        <v>61</v>
      </c>
      <c r="W72" s="108">
        <v>11</v>
      </c>
      <c r="X72" s="114">
        <v>21</v>
      </c>
      <c r="Y72" s="115">
        <f t="shared" si="44"/>
        <v>32</v>
      </c>
      <c r="Z72" s="74">
        <f t="shared" si="15"/>
        <v>93</v>
      </c>
      <c r="AA72" s="281"/>
      <c r="AB72" s="73">
        <f t="shared" si="0"/>
        <v>2</v>
      </c>
      <c r="AC72" s="108">
        <v>18</v>
      </c>
      <c r="AD72" s="114">
        <v>19</v>
      </c>
      <c r="AE72" s="115">
        <f t="shared" si="45"/>
        <v>37</v>
      </c>
      <c r="AF72" s="114">
        <v>20</v>
      </c>
      <c r="AG72" s="74">
        <f t="shared" si="17"/>
        <v>57</v>
      </c>
      <c r="AH72" s="281"/>
      <c r="AI72" s="73">
        <f t="shared" ref="AI72:AI94" si="51">IF(AE72&lt;28,"F",IF(AF72&lt;12,"F",IF(AG72&lt;40,"F",IF(AG72&lt;50,2,IF(AG72&lt;60,3,IF(AG72&lt;70,3.5,IF(AG72&lt;80,4,5)))))))</f>
        <v>3</v>
      </c>
      <c r="AJ72" s="108">
        <v>16</v>
      </c>
      <c r="AK72" s="114">
        <v>26</v>
      </c>
      <c r="AL72" s="115">
        <f t="shared" si="46"/>
        <v>42</v>
      </c>
      <c r="AM72" s="114">
        <v>17</v>
      </c>
      <c r="AN72" s="74">
        <f t="shared" si="19"/>
        <v>59</v>
      </c>
      <c r="AO72" s="281"/>
      <c r="AP72" s="73">
        <f t="shared" ref="AP72:AP94" si="52">IF(AL72&lt;28,"F",IF(AM72&lt;12,"F",IF(AN72&lt;40,"F",IF(AN72&lt;50,2,IF(AN72&lt;60,3,IF(AN72&lt;70,3.5,IF(AN72&lt;80,4,5)))))))</f>
        <v>3</v>
      </c>
      <c r="AQ72" s="116"/>
      <c r="AR72" s="116">
        <v>17</v>
      </c>
      <c r="AS72" s="114">
        <v>23</v>
      </c>
      <c r="AT72" s="73">
        <f t="shared" si="39"/>
        <v>40</v>
      </c>
      <c r="AU72" s="284"/>
      <c r="AV72" s="73">
        <f t="shared" si="21"/>
        <v>5</v>
      </c>
      <c r="AW72" s="108">
        <v>11</v>
      </c>
      <c r="AX72" s="114">
        <v>20</v>
      </c>
      <c r="AY72" s="115">
        <f t="shared" si="22"/>
        <v>31</v>
      </c>
      <c r="AZ72" s="114">
        <v>15</v>
      </c>
      <c r="BA72" s="74">
        <f t="shared" si="23"/>
        <v>46</v>
      </c>
      <c r="BB72" s="281"/>
      <c r="BC72" s="73">
        <f t="shared" si="24"/>
        <v>2</v>
      </c>
      <c r="BD72" s="108">
        <v>9</v>
      </c>
      <c r="BE72" s="114">
        <v>16</v>
      </c>
      <c r="BF72" s="115">
        <f t="shared" si="47"/>
        <v>25</v>
      </c>
      <c r="BG72" s="114">
        <v>11</v>
      </c>
      <c r="BH72" s="114">
        <v>22</v>
      </c>
      <c r="BI72" s="74">
        <f t="shared" si="26"/>
        <v>58</v>
      </c>
      <c r="BJ72" s="284"/>
      <c r="BK72" s="73">
        <f t="shared" si="3"/>
        <v>3</v>
      </c>
      <c r="BL72" s="108">
        <v>6</v>
      </c>
      <c r="BM72" s="114">
        <v>16</v>
      </c>
      <c r="BN72" s="115">
        <f t="shared" si="48"/>
        <v>22</v>
      </c>
      <c r="BO72" s="114">
        <v>10</v>
      </c>
      <c r="BP72" s="114">
        <v>22</v>
      </c>
      <c r="BQ72" s="74">
        <f t="shared" si="28"/>
        <v>54</v>
      </c>
      <c r="BR72" s="281"/>
      <c r="BS72" s="73">
        <f t="shared" si="29"/>
        <v>3</v>
      </c>
      <c r="BT72" s="108">
        <v>8</v>
      </c>
      <c r="BU72" s="114">
        <v>25</v>
      </c>
      <c r="BV72" s="115">
        <f t="shared" si="49"/>
        <v>33</v>
      </c>
      <c r="BW72" s="114">
        <v>14</v>
      </c>
      <c r="BX72" s="114">
        <v>22</v>
      </c>
      <c r="BY72" s="74">
        <f t="shared" si="31"/>
        <v>69</v>
      </c>
      <c r="BZ72" s="284"/>
      <c r="CA72" s="73">
        <f t="shared" si="32"/>
        <v>3.5</v>
      </c>
      <c r="CB72" s="108">
        <v>8</v>
      </c>
      <c r="CC72" s="114">
        <v>37</v>
      </c>
      <c r="CD72" s="115">
        <f t="shared" si="50"/>
        <v>45</v>
      </c>
      <c r="CE72" s="114">
        <v>15</v>
      </c>
      <c r="CF72" s="114">
        <v>22</v>
      </c>
      <c r="CG72" s="74">
        <f t="shared" si="34"/>
        <v>82</v>
      </c>
      <c r="CH72" s="281"/>
      <c r="CI72" s="75">
        <f t="shared" si="35"/>
        <v>5</v>
      </c>
      <c r="CJ72" s="73">
        <f t="shared" ref="CJ72:CJ95" si="53">IF(S72="F","F",IF(AB72="F","F",IF(AI72="F","F",IF(AP72="F","F",IF(BC72="F","F",IF(BK72="F","F",IF(BS72="F","F",IF(CA72="F","F",IF(CI72="F","F",IF(AV72="F","F", IF(CI72&lt;=2,SUM(S72,AB72,AI72,AP72,AV72,BC72,BK72,BS72,CA72,CI72),IF(CI72&gt;=2,SUM(S72,AB72,AI72,AP72,BC72,BK72,AV72,BS72,CA72,CI72-2)))))))))))))</f>
        <v>30.5</v>
      </c>
      <c r="CK72" s="76">
        <f t="shared" si="36"/>
        <v>3.3888888888888888</v>
      </c>
      <c r="CL72" s="77" t="str">
        <f t="shared" si="37"/>
        <v>B</v>
      </c>
      <c r="CM72" s="39" t="str">
        <f t="shared" ref="CM72:CM95" si="54">IF(CK72="F","NEED TO PROGRESS",IF(CK72&gt;=5,"BEST",IF(CK72&gt;=4,"BETTER",IF(CK72&gt;=2,"GOOD"))))</f>
        <v>GOOD</v>
      </c>
      <c r="CN72" s="38">
        <f t="shared" ref="CN72:CN95" si="55">Q72+Z72+AG72+AN72+AT72+BA72+BI72+BQ72+BY72+CG72</f>
        <v>663.56399999999996</v>
      </c>
      <c r="CO72" s="37">
        <f t="shared" ref="CO72:CO95" si="56">IF(CK72="F","F",RANK(CN72,CN$8:CN$95))</f>
        <v>58</v>
      </c>
      <c r="CP72" s="40"/>
    </row>
    <row r="73" spans="1:94" s="41" customFormat="1" ht="20.100000000000001" customHeight="1">
      <c r="A73" s="40">
        <v>66</v>
      </c>
      <c r="B73" s="56">
        <v>99</v>
      </c>
      <c r="C73" s="95" t="s">
        <v>340</v>
      </c>
      <c r="D73" s="95" t="s">
        <v>341</v>
      </c>
      <c r="E73" s="95" t="s">
        <v>342</v>
      </c>
      <c r="F73" s="96" t="s">
        <v>343</v>
      </c>
      <c r="G73" s="113">
        <v>12</v>
      </c>
      <c r="H73" s="114">
        <v>19</v>
      </c>
      <c r="I73" s="115">
        <f t="shared" si="41"/>
        <v>31</v>
      </c>
      <c r="J73" s="114">
        <v>11</v>
      </c>
      <c r="K73" s="115">
        <f t="shared" si="42"/>
        <v>42</v>
      </c>
      <c r="L73" s="108">
        <v>16</v>
      </c>
      <c r="M73" s="114">
        <v>31</v>
      </c>
      <c r="N73" s="115">
        <f t="shared" si="40"/>
        <v>38.134</v>
      </c>
      <c r="O73" s="114">
        <v>11</v>
      </c>
      <c r="P73" s="74">
        <f t="shared" ref="P73:P95" si="57">N73+O73</f>
        <v>49.134</v>
      </c>
      <c r="Q73" s="74">
        <f t="shared" ref="Q73:Q95" si="58">K73+P73</f>
        <v>91.134</v>
      </c>
      <c r="R73" s="281"/>
      <c r="S73" s="73">
        <f t="shared" ref="S73:S95" si="59">IF(I73+N73&lt;=56,"F",IF(I73+N73&lt;=24,"F",IF(Q73&lt;80,"F",IF(Q73&lt;100,2,IF(Q73&lt;120,3,IF(Q73&lt;140,3.5,IF(Q73&lt;160,4,5)))))))</f>
        <v>2</v>
      </c>
      <c r="T73" s="108">
        <v>18</v>
      </c>
      <c r="U73" s="114">
        <v>39</v>
      </c>
      <c r="V73" s="115">
        <f t="shared" si="43"/>
        <v>57</v>
      </c>
      <c r="W73" s="108">
        <v>12</v>
      </c>
      <c r="X73" s="114">
        <v>33</v>
      </c>
      <c r="Y73" s="115">
        <f t="shared" si="44"/>
        <v>45</v>
      </c>
      <c r="Z73" s="74">
        <f t="shared" ref="Z73:Z95" si="60">V73+Y73</f>
        <v>102</v>
      </c>
      <c r="AA73" s="281"/>
      <c r="AB73" s="73">
        <f t="shared" si="0"/>
        <v>3</v>
      </c>
      <c r="AC73" s="108">
        <v>20</v>
      </c>
      <c r="AD73" s="114">
        <v>35</v>
      </c>
      <c r="AE73" s="115">
        <f t="shared" si="45"/>
        <v>55</v>
      </c>
      <c r="AF73" s="114">
        <v>27</v>
      </c>
      <c r="AG73" s="74">
        <f t="shared" ref="AG73:AG95" si="61">AF73+AE73</f>
        <v>82</v>
      </c>
      <c r="AH73" s="281"/>
      <c r="AI73" s="73">
        <f t="shared" si="51"/>
        <v>5</v>
      </c>
      <c r="AJ73" s="108">
        <v>16</v>
      </c>
      <c r="AK73" s="114">
        <v>29</v>
      </c>
      <c r="AL73" s="115">
        <f t="shared" si="46"/>
        <v>45</v>
      </c>
      <c r="AM73" s="114">
        <v>23</v>
      </c>
      <c r="AN73" s="74">
        <f t="shared" ref="AN73:AN95" si="62">AL73+AM73</f>
        <v>68</v>
      </c>
      <c r="AO73" s="281"/>
      <c r="AP73" s="73">
        <f t="shared" si="52"/>
        <v>3.5</v>
      </c>
      <c r="AQ73" s="116"/>
      <c r="AR73" s="116">
        <v>20</v>
      </c>
      <c r="AS73" s="114">
        <v>23</v>
      </c>
      <c r="AT73" s="73">
        <f t="shared" si="39"/>
        <v>43</v>
      </c>
      <c r="AU73" s="284"/>
      <c r="AV73" s="73">
        <f t="shared" si="21"/>
        <v>5</v>
      </c>
      <c r="AW73" s="108">
        <v>11</v>
      </c>
      <c r="AX73" s="114">
        <v>24</v>
      </c>
      <c r="AY73" s="115">
        <f t="shared" ref="AY73:AY94" si="63">AX73+AW73</f>
        <v>35</v>
      </c>
      <c r="AZ73" s="114">
        <v>19</v>
      </c>
      <c r="BA73" s="74">
        <f t="shared" ref="BA73:BA95" si="64">AY73+AZ73</f>
        <v>54</v>
      </c>
      <c r="BB73" s="281"/>
      <c r="BC73" s="73">
        <f t="shared" si="24"/>
        <v>3</v>
      </c>
      <c r="BD73" s="108">
        <v>9</v>
      </c>
      <c r="BE73" s="114">
        <v>30</v>
      </c>
      <c r="BF73" s="115">
        <f t="shared" si="47"/>
        <v>39</v>
      </c>
      <c r="BG73" s="114">
        <v>16</v>
      </c>
      <c r="BH73" s="114">
        <v>22</v>
      </c>
      <c r="BI73" s="74">
        <f t="shared" ref="BI73:BI95" si="65">BF73+BG73+BH73</f>
        <v>77</v>
      </c>
      <c r="BJ73" s="284"/>
      <c r="BK73" s="73">
        <f t="shared" si="3"/>
        <v>4</v>
      </c>
      <c r="BL73" s="108">
        <v>8</v>
      </c>
      <c r="BM73" s="114">
        <v>28</v>
      </c>
      <c r="BN73" s="115">
        <f t="shared" si="48"/>
        <v>36</v>
      </c>
      <c r="BO73" s="114">
        <v>13</v>
      </c>
      <c r="BP73" s="114">
        <v>22</v>
      </c>
      <c r="BQ73" s="74">
        <f t="shared" ref="BQ73:BQ95" si="66">BN73+BO73+BP73</f>
        <v>71</v>
      </c>
      <c r="BR73" s="281"/>
      <c r="BS73" s="73">
        <f t="shared" ref="BS73:BS95" si="67">IF(BN73&lt;20,"F",IF(BO73&lt;10,"F",IF(BP73&lt;10,"F",IF(BQ73&lt;40,"F",IF(BQ73&lt;50,2,IF(BQ73&lt;60,3,IF(BQ73&lt;70,3.5,IF(BQ73&lt;80,4,5))))))))</f>
        <v>4</v>
      </c>
      <c r="BT73" s="108">
        <v>9</v>
      </c>
      <c r="BU73" s="114">
        <v>27</v>
      </c>
      <c r="BV73" s="115">
        <f t="shared" si="49"/>
        <v>36</v>
      </c>
      <c r="BW73" s="114">
        <v>14</v>
      </c>
      <c r="BX73" s="114">
        <v>22</v>
      </c>
      <c r="BY73" s="74">
        <f t="shared" ref="BY73:BY95" si="68">BV73+BW73+BX73</f>
        <v>72</v>
      </c>
      <c r="BZ73" s="284"/>
      <c r="CA73" s="73">
        <f t="shared" ref="CA73:CA95" si="69">IF(BV73&lt;20,"F",IF(BW73&lt;10,"F",IF(BX73&lt;10,"F",IF(BY73&lt;40,"F",IF(BY73&lt;50,2,IF(BY73&lt;60,3,IF(BY73&lt;70,3.5,IF(BY73&lt;80,4,5))))))))</f>
        <v>4</v>
      </c>
      <c r="CB73" s="108">
        <v>9</v>
      </c>
      <c r="CC73" s="114">
        <v>21</v>
      </c>
      <c r="CD73" s="115">
        <f t="shared" si="50"/>
        <v>30</v>
      </c>
      <c r="CE73" s="114">
        <v>11</v>
      </c>
      <c r="CF73" s="114">
        <v>22</v>
      </c>
      <c r="CG73" s="74">
        <f t="shared" ref="CG73:CG95" si="70">CD73+CE73+CF73</f>
        <v>63</v>
      </c>
      <c r="CH73" s="281"/>
      <c r="CI73" s="75">
        <f t="shared" ref="CI73:CI95" si="71">IF(CD73&lt;20,"0",IF(CE73&lt;10,"0",IF(CF73&lt;10,"0",IF(CG73&lt;40,"0",IF(CG73&lt;50,2,IF(CG73&lt;60,3,IF(CG73&lt;70,3.5,IF(CG73&lt;80,4,5))))))))</f>
        <v>3.5</v>
      </c>
      <c r="CJ73" s="73">
        <f t="shared" si="53"/>
        <v>35</v>
      </c>
      <c r="CK73" s="76">
        <f t="shared" ref="CK73:CK95" si="72">IF(CJ73="F","F",IF(CJ73&gt;=45,5,IF(CJ73&lt;45,CJ73/9)))</f>
        <v>3.8888888888888888</v>
      </c>
      <c r="CL73" s="77" t="str">
        <f t="shared" ref="CL73:CL95" si="73">IF(CK73="F","F",IF(CK73&lt;2.5,"D",IF(CK73&lt;3,"C",IF(CK73&lt;3.5,"B",IF(CK73&lt;4,"A-",IF(CK73&lt;5,"A","A+"))))))</f>
        <v>A-</v>
      </c>
      <c r="CM73" s="39" t="str">
        <f t="shared" si="54"/>
        <v>GOOD</v>
      </c>
      <c r="CN73" s="38">
        <f t="shared" si="55"/>
        <v>723.13400000000001</v>
      </c>
      <c r="CO73" s="37">
        <f t="shared" si="56"/>
        <v>42</v>
      </c>
      <c r="CP73" s="40"/>
    </row>
    <row r="74" spans="1:94" s="41" customFormat="1" ht="20.100000000000001" customHeight="1">
      <c r="A74" s="40">
        <v>67</v>
      </c>
      <c r="B74" s="56">
        <v>109</v>
      </c>
      <c r="C74" s="69" t="s">
        <v>344</v>
      </c>
      <c r="D74" s="69" t="s">
        <v>345</v>
      </c>
      <c r="E74" s="69" t="s">
        <v>346</v>
      </c>
      <c r="F74" s="70" t="s">
        <v>347</v>
      </c>
      <c r="G74" s="113">
        <v>10</v>
      </c>
      <c r="H74" s="114">
        <v>17</v>
      </c>
      <c r="I74" s="115">
        <f t="shared" si="41"/>
        <v>27</v>
      </c>
      <c r="J74" s="114">
        <v>11</v>
      </c>
      <c r="K74" s="115">
        <f t="shared" si="42"/>
        <v>38</v>
      </c>
      <c r="L74" s="108">
        <v>16</v>
      </c>
      <c r="M74" s="114">
        <v>26</v>
      </c>
      <c r="N74" s="115">
        <f t="shared" si="40"/>
        <v>34.564</v>
      </c>
      <c r="O74" s="114">
        <v>11</v>
      </c>
      <c r="P74" s="74">
        <f t="shared" si="57"/>
        <v>45.564</v>
      </c>
      <c r="Q74" s="74">
        <f t="shared" si="58"/>
        <v>83.563999999999993</v>
      </c>
      <c r="R74" s="281"/>
      <c r="S74" s="73">
        <f t="shared" si="59"/>
        <v>2</v>
      </c>
      <c r="T74" s="108">
        <v>14</v>
      </c>
      <c r="U74" s="114">
        <v>41</v>
      </c>
      <c r="V74" s="115">
        <f t="shared" si="43"/>
        <v>55</v>
      </c>
      <c r="W74" s="108">
        <v>11</v>
      </c>
      <c r="X74" s="114">
        <v>34</v>
      </c>
      <c r="Y74" s="115">
        <f t="shared" si="44"/>
        <v>45</v>
      </c>
      <c r="Z74" s="74">
        <f t="shared" si="60"/>
        <v>100</v>
      </c>
      <c r="AA74" s="281"/>
      <c r="AB74" s="73">
        <f t="shared" si="0"/>
        <v>3</v>
      </c>
      <c r="AC74" s="108">
        <v>18</v>
      </c>
      <c r="AD74" s="114">
        <v>30</v>
      </c>
      <c r="AE74" s="115">
        <f t="shared" si="45"/>
        <v>48</v>
      </c>
      <c r="AF74" s="114">
        <v>18</v>
      </c>
      <c r="AG74" s="74">
        <f t="shared" si="61"/>
        <v>66</v>
      </c>
      <c r="AH74" s="281"/>
      <c r="AI74" s="73">
        <f t="shared" si="51"/>
        <v>3.5</v>
      </c>
      <c r="AJ74" s="108">
        <v>16</v>
      </c>
      <c r="AK74" s="114">
        <v>34</v>
      </c>
      <c r="AL74" s="115">
        <f t="shared" si="46"/>
        <v>50</v>
      </c>
      <c r="AM74" s="114">
        <v>20</v>
      </c>
      <c r="AN74" s="74">
        <f t="shared" si="62"/>
        <v>70</v>
      </c>
      <c r="AO74" s="281"/>
      <c r="AP74" s="73">
        <f t="shared" si="52"/>
        <v>4</v>
      </c>
      <c r="AQ74" s="116"/>
      <c r="AR74" s="116">
        <v>19</v>
      </c>
      <c r="AS74" s="114">
        <v>23</v>
      </c>
      <c r="AT74" s="73">
        <f t="shared" si="39"/>
        <v>42</v>
      </c>
      <c r="AU74" s="284"/>
      <c r="AV74" s="73">
        <f t="shared" si="21"/>
        <v>5</v>
      </c>
      <c r="AW74" s="108">
        <v>12</v>
      </c>
      <c r="AX74" s="114">
        <v>27</v>
      </c>
      <c r="AY74" s="115">
        <f t="shared" si="63"/>
        <v>39</v>
      </c>
      <c r="AZ74" s="114">
        <v>18</v>
      </c>
      <c r="BA74" s="74">
        <f t="shared" si="64"/>
        <v>57</v>
      </c>
      <c r="BB74" s="281"/>
      <c r="BC74" s="73">
        <f t="shared" si="24"/>
        <v>3</v>
      </c>
      <c r="BD74" s="108">
        <v>7</v>
      </c>
      <c r="BE74" s="114">
        <v>16</v>
      </c>
      <c r="BF74" s="115">
        <f t="shared" si="47"/>
        <v>23</v>
      </c>
      <c r="BG74" s="114">
        <v>16</v>
      </c>
      <c r="BH74" s="114">
        <v>22</v>
      </c>
      <c r="BI74" s="74">
        <f t="shared" si="65"/>
        <v>61</v>
      </c>
      <c r="BJ74" s="284"/>
      <c r="BK74" s="73">
        <f t="shared" si="3"/>
        <v>3.5</v>
      </c>
      <c r="BL74" s="108">
        <v>7</v>
      </c>
      <c r="BM74" s="114">
        <v>16</v>
      </c>
      <c r="BN74" s="115">
        <f t="shared" si="48"/>
        <v>23</v>
      </c>
      <c r="BO74" s="114">
        <v>10</v>
      </c>
      <c r="BP74" s="114">
        <v>22</v>
      </c>
      <c r="BQ74" s="74">
        <f t="shared" si="66"/>
        <v>55</v>
      </c>
      <c r="BR74" s="281"/>
      <c r="BS74" s="73">
        <f t="shared" si="67"/>
        <v>3</v>
      </c>
      <c r="BT74" s="108">
        <v>8</v>
      </c>
      <c r="BU74" s="114">
        <v>21</v>
      </c>
      <c r="BV74" s="115">
        <f t="shared" si="49"/>
        <v>29</v>
      </c>
      <c r="BW74" s="114">
        <v>12</v>
      </c>
      <c r="BX74" s="114">
        <v>22</v>
      </c>
      <c r="BY74" s="74">
        <f t="shared" si="68"/>
        <v>63</v>
      </c>
      <c r="BZ74" s="284"/>
      <c r="CA74" s="73">
        <f t="shared" si="69"/>
        <v>3.5</v>
      </c>
      <c r="CB74" s="108">
        <v>8</v>
      </c>
      <c r="CC74" s="114">
        <v>0</v>
      </c>
      <c r="CD74" s="115">
        <f t="shared" si="50"/>
        <v>8</v>
      </c>
      <c r="CE74" s="114">
        <v>0</v>
      </c>
      <c r="CF74" s="114">
        <v>22</v>
      </c>
      <c r="CG74" s="74">
        <f t="shared" si="70"/>
        <v>30</v>
      </c>
      <c r="CH74" s="281"/>
      <c r="CI74" s="75" t="str">
        <f t="shared" si="71"/>
        <v>0</v>
      </c>
      <c r="CJ74" s="73">
        <f t="shared" si="53"/>
        <v>28.5</v>
      </c>
      <c r="CK74" s="76">
        <f t="shared" si="72"/>
        <v>3.1666666666666665</v>
      </c>
      <c r="CL74" s="77" t="str">
        <f t="shared" si="73"/>
        <v>B</v>
      </c>
      <c r="CM74" s="39" t="str">
        <f t="shared" si="54"/>
        <v>GOOD</v>
      </c>
      <c r="CN74" s="38">
        <f t="shared" si="55"/>
        <v>627.56399999999996</v>
      </c>
      <c r="CO74" s="37">
        <f t="shared" si="56"/>
        <v>64</v>
      </c>
      <c r="CP74" s="40"/>
    </row>
    <row r="75" spans="1:94" s="41" customFormat="1" ht="20.100000000000001" customHeight="1">
      <c r="A75" s="40">
        <v>68</v>
      </c>
      <c r="B75" s="56">
        <v>113</v>
      </c>
      <c r="C75" s="69" t="s">
        <v>348</v>
      </c>
      <c r="D75" s="69" t="s">
        <v>349</v>
      </c>
      <c r="E75" s="69" t="s">
        <v>350</v>
      </c>
      <c r="F75" s="70" t="s">
        <v>351</v>
      </c>
      <c r="G75" s="113">
        <v>12</v>
      </c>
      <c r="H75" s="114">
        <v>26</v>
      </c>
      <c r="I75" s="115">
        <f t="shared" si="41"/>
        <v>38</v>
      </c>
      <c r="J75" s="114">
        <v>13</v>
      </c>
      <c r="K75" s="115">
        <f t="shared" si="42"/>
        <v>51</v>
      </c>
      <c r="L75" s="108">
        <v>16</v>
      </c>
      <c r="M75" s="114">
        <v>24</v>
      </c>
      <c r="N75" s="115">
        <f t="shared" si="40"/>
        <v>33.135999999999996</v>
      </c>
      <c r="O75" s="114">
        <v>11</v>
      </c>
      <c r="P75" s="74">
        <f t="shared" si="57"/>
        <v>44.135999999999996</v>
      </c>
      <c r="Q75" s="74">
        <f t="shared" si="58"/>
        <v>95.135999999999996</v>
      </c>
      <c r="R75" s="281"/>
      <c r="S75" s="73">
        <f t="shared" si="59"/>
        <v>2</v>
      </c>
      <c r="T75" s="108">
        <v>8</v>
      </c>
      <c r="U75" s="114">
        <v>39</v>
      </c>
      <c r="V75" s="115">
        <f t="shared" si="43"/>
        <v>47</v>
      </c>
      <c r="W75" s="108">
        <v>8</v>
      </c>
      <c r="X75" s="114">
        <v>13</v>
      </c>
      <c r="Y75" s="115">
        <f t="shared" si="44"/>
        <v>21</v>
      </c>
      <c r="Z75" s="74">
        <f t="shared" si="60"/>
        <v>68</v>
      </c>
      <c r="AA75" s="281"/>
      <c r="AB75" s="73" t="str">
        <f t="shared" si="0"/>
        <v>F</v>
      </c>
      <c r="AC75" s="108">
        <v>11</v>
      </c>
      <c r="AD75" s="114">
        <v>3</v>
      </c>
      <c r="AE75" s="115">
        <f t="shared" si="45"/>
        <v>14</v>
      </c>
      <c r="AF75" s="114">
        <v>6</v>
      </c>
      <c r="AG75" s="74">
        <f t="shared" si="61"/>
        <v>20</v>
      </c>
      <c r="AH75" s="281"/>
      <c r="AI75" s="73" t="str">
        <f t="shared" si="51"/>
        <v>F</v>
      </c>
      <c r="AJ75" s="108">
        <v>12</v>
      </c>
      <c r="AK75" s="114">
        <v>27</v>
      </c>
      <c r="AL75" s="115">
        <f t="shared" si="46"/>
        <v>39</v>
      </c>
      <c r="AM75" s="114">
        <v>17</v>
      </c>
      <c r="AN75" s="74">
        <f t="shared" si="62"/>
        <v>56</v>
      </c>
      <c r="AO75" s="281"/>
      <c r="AP75" s="73">
        <f t="shared" si="52"/>
        <v>3</v>
      </c>
      <c r="AQ75" s="116"/>
      <c r="AR75" s="116">
        <v>18</v>
      </c>
      <c r="AS75" s="114">
        <v>23</v>
      </c>
      <c r="AT75" s="73">
        <f t="shared" si="39"/>
        <v>41</v>
      </c>
      <c r="AU75" s="284"/>
      <c r="AV75" s="73">
        <f t="shared" si="21"/>
        <v>5</v>
      </c>
      <c r="AW75" s="108">
        <v>8</v>
      </c>
      <c r="AX75" s="114">
        <v>20</v>
      </c>
      <c r="AY75" s="115">
        <f t="shared" si="63"/>
        <v>28</v>
      </c>
      <c r="AZ75" s="114">
        <v>12</v>
      </c>
      <c r="BA75" s="74">
        <f t="shared" si="64"/>
        <v>40</v>
      </c>
      <c r="BB75" s="281"/>
      <c r="BC75" s="73">
        <f t="shared" si="24"/>
        <v>2</v>
      </c>
      <c r="BD75" s="108">
        <v>6</v>
      </c>
      <c r="BE75" s="114">
        <v>16</v>
      </c>
      <c r="BF75" s="115">
        <f t="shared" si="47"/>
        <v>22</v>
      </c>
      <c r="BG75" s="114">
        <v>10</v>
      </c>
      <c r="BH75" s="114">
        <v>22</v>
      </c>
      <c r="BI75" s="74">
        <f t="shared" si="65"/>
        <v>54</v>
      </c>
      <c r="BJ75" s="284"/>
      <c r="BK75" s="73">
        <f t="shared" si="3"/>
        <v>3</v>
      </c>
      <c r="BL75" s="108">
        <v>5</v>
      </c>
      <c r="BM75" s="114">
        <v>0</v>
      </c>
      <c r="BN75" s="115">
        <f t="shared" si="48"/>
        <v>5</v>
      </c>
      <c r="BO75" s="114">
        <v>6</v>
      </c>
      <c r="BP75" s="114">
        <v>22</v>
      </c>
      <c r="BQ75" s="74">
        <f t="shared" si="66"/>
        <v>33</v>
      </c>
      <c r="BR75" s="281"/>
      <c r="BS75" s="73" t="str">
        <f t="shared" si="67"/>
        <v>F</v>
      </c>
      <c r="BT75" s="108">
        <v>7</v>
      </c>
      <c r="BU75" s="114">
        <v>21</v>
      </c>
      <c r="BV75" s="115">
        <f t="shared" si="49"/>
        <v>28</v>
      </c>
      <c r="BW75" s="114">
        <v>10</v>
      </c>
      <c r="BX75" s="114">
        <v>22</v>
      </c>
      <c r="BY75" s="74">
        <f t="shared" si="68"/>
        <v>60</v>
      </c>
      <c r="BZ75" s="284"/>
      <c r="CA75" s="73">
        <f t="shared" si="69"/>
        <v>3.5</v>
      </c>
      <c r="CB75" s="108">
        <v>8</v>
      </c>
      <c r="CC75" s="114">
        <v>11</v>
      </c>
      <c r="CD75" s="115">
        <f t="shared" si="50"/>
        <v>19</v>
      </c>
      <c r="CE75" s="114">
        <v>9</v>
      </c>
      <c r="CF75" s="114">
        <v>22</v>
      </c>
      <c r="CG75" s="74">
        <f t="shared" si="70"/>
        <v>50</v>
      </c>
      <c r="CH75" s="281"/>
      <c r="CI75" s="75" t="str">
        <f t="shared" si="71"/>
        <v>0</v>
      </c>
      <c r="CJ75" s="73" t="str">
        <f t="shared" si="53"/>
        <v>F</v>
      </c>
      <c r="CK75" s="76" t="str">
        <f t="shared" si="72"/>
        <v>F</v>
      </c>
      <c r="CL75" s="77" t="str">
        <f t="shared" si="73"/>
        <v>F</v>
      </c>
      <c r="CM75" s="39" t="str">
        <f t="shared" si="54"/>
        <v>NEED TO PROGRESS</v>
      </c>
      <c r="CN75" s="38">
        <f t="shared" si="55"/>
        <v>517.13599999999997</v>
      </c>
      <c r="CO75" s="37" t="str">
        <f t="shared" si="56"/>
        <v>F</v>
      </c>
      <c r="CP75" s="40"/>
    </row>
    <row r="76" spans="1:94" s="41" customFormat="1" ht="20.100000000000001" customHeight="1">
      <c r="A76" s="40">
        <v>69</v>
      </c>
      <c r="B76" s="56">
        <v>114</v>
      </c>
      <c r="C76" s="69" t="s">
        <v>352</v>
      </c>
      <c r="D76" s="69" t="s">
        <v>353</v>
      </c>
      <c r="E76" s="69" t="s">
        <v>354</v>
      </c>
      <c r="F76" s="70" t="s">
        <v>355</v>
      </c>
      <c r="G76" s="108">
        <v>0</v>
      </c>
      <c r="H76" s="114">
        <v>17</v>
      </c>
      <c r="I76" s="115">
        <f t="shared" si="41"/>
        <v>17</v>
      </c>
      <c r="J76" s="114">
        <v>11</v>
      </c>
      <c r="K76" s="115">
        <f t="shared" si="42"/>
        <v>28</v>
      </c>
      <c r="L76" s="108">
        <v>0</v>
      </c>
      <c r="M76" s="114">
        <v>17</v>
      </c>
      <c r="N76" s="115">
        <f t="shared" si="40"/>
        <v>12.138</v>
      </c>
      <c r="O76" s="114">
        <v>14</v>
      </c>
      <c r="P76" s="74">
        <f t="shared" si="57"/>
        <v>26.137999999999998</v>
      </c>
      <c r="Q76" s="74">
        <f t="shared" si="58"/>
        <v>54.137999999999998</v>
      </c>
      <c r="R76" s="281"/>
      <c r="S76" s="73" t="str">
        <f t="shared" si="59"/>
        <v>F</v>
      </c>
      <c r="T76" s="108">
        <v>10</v>
      </c>
      <c r="U76" s="114">
        <v>26</v>
      </c>
      <c r="V76" s="115">
        <f t="shared" si="43"/>
        <v>36</v>
      </c>
      <c r="W76" s="108">
        <v>9</v>
      </c>
      <c r="X76" s="114">
        <v>10</v>
      </c>
      <c r="Y76" s="115">
        <f t="shared" si="44"/>
        <v>19</v>
      </c>
      <c r="Z76" s="74">
        <f t="shared" si="60"/>
        <v>55</v>
      </c>
      <c r="AA76" s="281"/>
      <c r="AB76" s="73" t="str">
        <f t="shared" si="0"/>
        <v>F</v>
      </c>
      <c r="AC76" s="108">
        <v>0</v>
      </c>
      <c r="AD76" s="114">
        <v>12</v>
      </c>
      <c r="AE76" s="115">
        <f t="shared" si="45"/>
        <v>12</v>
      </c>
      <c r="AF76" s="114">
        <v>14</v>
      </c>
      <c r="AG76" s="74">
        <f t="shared" si="61"/>
        <v>26</v>
      </c>
      <c r="AH76" s="281"/>
      <c r="AI76" s="73" t="str">
        <f t="shared" si="51"/>
        <v>F</v>
      </c>
      <c r="AJ76" s="108">
        <v>0</v>
      </c>
      <c r="AK76" s="114">
        <v>18</v>
      </c>
      <c r="AL76" s="115">
        <f t="shared" si="46"/>
        <v>18</v>
      </c>
      <c r="AM76" s="114">
        <v>13</v>
      </c>
      <c r="AN76" s="74">
        <f t="shared" si="62"/>
        <v>31</v>
      </c>
      <c r="AO76" s="281"/>
      <c r="AP76" s="73" t="str">
        <f t="shared" si="52"/>
        <v>F</v>
      </c>
      <c r="AQ76" s="116"/>
      <c r="AR76" s="116">
        <v>16</v>
      </c>
      <c r="AS76" s="114">
        <v>23</v>
      </c>
      <c r="AT76" s="73">
        <f t="shared" si="39"/>
        <v>39</v>
      </c>
      <c r="AU76" s="284"/>
      <c r="AV76" s="73">
        <f t="shared" si="21"/>
        <v>4</v>
      </c>
      <c r="AW76" s="108">
        <v>0</v>
      </c>
      <c r="AX76" s="114">
        <v>20</v>
      </c>
      <c r="AY76" s="115">
        <f t="shared" si="63"/>
        <v>20</v>
      </c>
      <c r="AZ76" s="114">
        <v>12</v>
      </c>
      <c r="BA76" s="74">
        <f t="shared" si="64"/>
        <v>32</v>
      </c>
      <c r="BB76" s="281"/>
      <c r="BC76" s="73" t="str">
        <f t="shared" si="24"/>
        <v>F</v>
      </c>
      <c r="BD76" s="108">
        <v>0</v>
      </c>
      <c r="BE76" s="114">
        <v>0</v>
      </c>
      <c r="BF76" s="115">
        <f t="shared" si="47"/>
        <v>0</v>
      </c>
      <c r="BG76" s="114">
        <v>4</v>
      </c>
      <c r="BH76" s="114">
        <v>22</v>
      </c>
      <c r="BI76" s="74">
        <f t="shared" si="65"/>
        <v>26</v>
      </c>
      <c r="BJ76" s="284"/>
      <c r="BK76" s="73" t="str">
        <f t="shared" si="3"/>
        <v>F</v>
      </c>
      <c r="BL76" s="108">
        <v>0</v>
      </c>
      <c r="BM76" s="114">
        <v>0</v>
      </c>
      <c r="BN76" s="115">
        <f t="shared" si="48"/>
        <v>0</v>
      </c>
      <c r="BO76" s="114">
        <v>10</v>
      </c>
      <c r="BP76" s="114">
        <v>22</v>
      </c>
      <c r="BQ76" s="74">
        <f t="shared" si="66"/>
        <v>32</v>
      </c>
      <c r="BR76" s="281"/>
      <c r="BS76" s="73" t="str">
        <f t="shared" si="67"/>
        <v>F</v>
      </c>
      <c r="BT76" s="108">
        <v>3</v>
      </c>
      <c r="BU76" s="114">
        <v>17</v>
      </c>
      <c r="BV76" s="115">
        <f t="shared" si="49"/>
        <v>20</v>
      </c>
      <c r="BW76" s="114">
        <v>12</v>
      </c>
      <c r="BX76" s="114">
        <v>22</v>
      </c>
      <c r="BY76" s="74">
        <f t="shared" si="68"/>
        <v>54</v>
      </c>
      <c r="BZ76" s="284"/>
      <c r="CA76" s="73">
        <f t="shared" si="69"/>
        <v>3</v>
      </c>
      <c r="CB76" s="108">
        <v>0</v>
      </c>
      <c r="CC76" s="114">
        <v>18</v>
      </c>
      <c r="CD76" s="115">
        <f t="shared" si="50"/>
        <v>18</v>
      </c>
      <c r="CE76" s="114">
        <v>13</v>
      </c>
      <c r="CF76" s="114">
        <v>22</v>
      </c>
      <c r="CG76" s="74">
        <f t="shared" si="70"/>
        <v>53</v>
      </c>
      <c r="CH76" s="281"/>
      <c r="CI76" s="75" t="str">
        <f t="shared" si="71"/>
        <v>0</v>
      </c>
      <c r="CJ76" s="73" t="str">
        <f t="shared" si="53"/>
        <v>F</v>
      </c>
      <c r="CK76" s="76" t="str">
        <f t="shared" si="72"/>
        <v>F</v>
      </c>
      <c r="CL76" s="77" t="str">
        <f t="shared" si="73"/>
        <v>F</v>
      </c>
      <c r="CM76" s="39" t="str">
        <f t="shared" si="54"/>
        <v>NEED TO PROGRESS</v>
      </c>
      <c r="CN76" s="38">
        <f t="shared" si="55"/>
        <v>402.13800000000003</v>
      </c>
      <c r="CO76" s="37" t="str">
        <f t="shared" si="56"/>
        <v>F</v>
      </c>
      <c r="CP76" s="40"/>
    </row>
    <row r="77" spans="1:94" s="41" customFormat="1" ht="20.100000000000001" customHeight="1">
      <c r="A77" s="40">
        <v>70</v>
      </c>
      <c r="B77" s="56">
        <v>117</v>
      </c>
      <c r="C77" s="69" t="s">
        <v>356</v>
      </c>
      <c r="D77" s="69" t="s">
        <v>357</v>
      </c>
      <c r="E77" s="69" t="s">
        <v>358</v>
      </c>
      <c r="F77" s="70" t="s">
        <v>359</v>
      </c>
      <c r="G77" s="113">
        <v>11</v>
      </c>
      <c r="H77" s="114">
        <v>26</v>
      </c>
      <c r="I77" s="115">
        <f t="shared" si="41"/>
        <v>37</v>
      </c>
      <c r="J77" s="114">
        <v>11</v>
      </c>
      <c r="K77" s="115">
        <f t="shared" si="42"/>
        <v>48</v>
      </c>
      <c r="L77" s="108">
        <v>17</v>
      </c>
      <c r="M77" s="114">
        <v>39</v>
      </c>
      <c r="N77" s="115">
        <f t="shared" si="40"/>
        <v>44.846000000000004</v>
      </c>
      <c r="O77" s="114">
        <v>13</v>
      </c>
      <c r="P77" s="74">
        <f t="shared" si="57"/>
        <v>57.846000000000004</v>
      </c>
      <c r="Q77" s="74">
        <f t="shared" si="58"/>
        <v>105.846</v>
      </c>
      <c r="R77" s="281"/>
      <c r="S77" s="73">
        <f t="shared" si="59"/>
        <v>3</v>
      </c>
      <c r="T77" s="108">
        <v>16</v>
      </c>
      <c r="U77" s="114">
        <v>38</v>
      </c>
      <c r="V77" s="115">
        <f t="shared" si="43"/>
        <v>54</v>
      </c>
      <c r="W77" s="108">
        <v>8</v>
      </c>
      <c r="X77" s="114">
        <v>12</v>
      </c>
      <c r="Y77" s="115">
        <f t="shared" si="44"/>
        <v>20</v>
      </c>
      <c r="Z77" s="74">
        <f t="shared" si="60"/>
        <v>74</v>
      </c>
      <c r="AA77" s="281"/>
      <c r="AB77" s="73" t="str">
        <f t="shared" si="0"/>
        <v>F</v>
      </c>
      <c r="AC77" s="108">
        <v>17</v>
      </c>
      <c r="AD77" s="114">
        <v>25</v>
      </c>
      <c r="AE77" s="115">
        <f t="shared" si="45"/>
        <v>42</v>
      </c>
      <c r="AF77" s="114">
        <v>25</v>
      </c>
      <c r="AG77" s="74">
        <f t="shared" si="61"/>
        <v>67</v>
      </c>
      <c r="AH77" s="281"/>
      <c r="AI77" s="73">
        <f t="shared" si="51"/>
        <v>3.5</v>
      </c>
      <c r="AJ77" s="108">
        <v>16</v>
      </c>
      <c r="AK77" s="114">
        <v>42</v>
      </c>
      <c r="AL77" s="115">
        <f t="shared" si="46"/>
        <v>58</v>
      </c>
      <c r="AM77" s="114">
        <v>17</v>
      </c>
      <c r="AN77" s="74">
        <f t="shared" si="62"/>
        <v>75</v>
      </c>
      <c r="AO77" s="281"/>
      <c r="AP77" s="73">
        <f t="shared" si="52"/>
        <v>4</v>
      </c>
      <c r="AQ77" s="116"/>
      <c r="AR77" s="116">
        <v>18</v>
      </c>
      <c r="AS77" s="114">
        <v>23</v>
      </c>
      <c r="AT77" s="73">
        <f t="shared" si="39"/>
        <v>41</v>
      </c>
      <c r="AU77" s="284"/>
      <c r="AV77" s="73">
        <f t="shared" si="21"/>
        <v>5</v>
      </c>
      <c r="AW77" s="108">
        <v>10</v>
      </c>
      <c r="AX77" s="114">
        <v>21</v>
      </c>
      <c r="AY77" s="115">
        <f t="shared" si="63"/>
        <v>31</v>
      </c>
      <c r="AZ77" s="114">
        <v>19</v>
      </c>
      <c r="BA77" s="74">
        <f t="shared" si="64"/>
        <v>50</v>
      </c>
      <c r="BB77" s="281"/>
      <c r="BC77" s="73">
        <f t="shared" si="24"/>
        <v>3</v>
      </c>
      <c r="BD77" s="108">
        <v>6</v>
      </c>
      <c r="BE77" s="114">
        <v>22</v>
      </c>
      <c r="BF77" s="115">
        <f t="shared" si="47"/>
        <v>28</v>
      </c>
      <c r="BG77" s="114">
        <v>11</v>
      </c>
      <c r="BH77" s="114">
        <v>22</v>
      </c>
      <c r="BI77" s="74">
        <f t="shared" si="65"/>
        <v>61</v>
      </c>
      <c r="BJ77" s="284"/>
      <c r="BK77" s="73">
        <f t="shared" si="3"/>
        <v>3.5</v>
      </c>
      <c r="BL77" s="108">
        <v>7</v>
      </c>
      <c r="BM77" s="114">
        <v>17</v>
      </c>
      <c r="BN77" s="115">
        <f t="shared" si="48"/>
        <v>24</v>
      </c>
      <c r="BO77" s="114">
        <v>12</v>
      </c>
      <c r="BP77" s="114">
        <v>22</v>
      </c>
      <c r="BQ77" s="74">
        <f t="shared" si="66"/>
        <v>58</v>
      </c>
      <c r="BR77" s="281"/>
      <c r="BS77" s="73">
        <f t="shared" si="67"/>
        <v>3</v>
      </c>
      <c r="BT77" s="108">
        <v>7</v>
      </c>
      <c r="BU77" s="114">
        <v>26</v>
      </c>
      <c r="BV77" s="115">
        <f t="shared" si="49"/>
        <v>33</v>
      </c>
      <c r="BW77" s="114">
        <v>14</v>
      </c>
      <c r="BX77" s="114">
        <v>22</v>
      </c>
      <c r="BY77" s="74">
        <f t="shared" si="68"/>
        <v>69</v>
      </c>
      <c r="BZ77" s="284"/>
      <c r="CA77" s="73">
        <f t="shared" si="69"/>
        <v>3.5</v>
      </c>
      <c r="CB77" s="108">
        <v>9</v>
      </c>
      <c r="CC77" s="114">
        <v>35</v>
      </c>
      <c r="CD77" s="115">
        <f t="shared" si="50"/>
        <v>44</v>
      </c>
      <c r="CE77" s="114">
        <v>15</v>
      </c>
      <c r="CF77" s="114">
        <v>22</v>
      </c>
      <c r="CG77" s="74">
        <f t="shared" si="70"/>
        <v>81</v>
      </c>
      <c r="CH77" s="281"/>
      <c r="CI77" s="75">
        <f t="shared" si="71"/>
        <v>5</v>
      </c>
      <c r="CJ77" s="73" t="str">
        <f t="shared" si="53"/>
        <v>F</v>
      </c>
      <c r="CK77" s="76" t="str">
        <f t="shared" si="72"/>
        <v>F</v>
      </c>
      <c r="CL77" s="77" t="str">
        <f t="shared" si="73"/>
        <v>F</v>
      </c>
      <c r="CM77" s="39" t="str">
        <f t="shared" si="54"/>
        <v>NEED TO PROGRESS</v>
      </c>
      <c r="CN77" s="38">
        <f t="shared" si="55"/>
        <v>681.846</v>
      </c>
      <c r="CO77" s="37" t="str">
        <f t="shared" si="56"/>
        <v>F</v>
      </c>
      <c r="CP77" s="40"/>
    </row>
    <row r="78" spans="1:94" s="41" customFormat="1" ht="20.100000000000001" customHeight="1">
      <c r="A78" s="40">
        <v>71</v>
      </c>
      <c r="B78" s="56">
        <v>118</v>
      </c>
      <c r="C78" s="69" t="s">
        <v>360</v>
      </c>
      <c r="D78" s="69" t="s">
        <v>361</v>
      </c>
      <c r="E78" s="69" t="s">
        <v>362</v>
      </c>
      <c r="F78" s="70" t="s">
        <v>363</v>
      </c>
      <c r="G78" s="113">
        <v>11</v>
      </c>
      <c r="H78" s="114">
        <v>19</v>
      </c>
      <c r="I78" s="115">
        <f t="shared" si="41"/>
        <v>30</v>
      </c>
      <c r="J78" s="114">
        <v>12</v>
      </c>
      <c r="K78" s="115">
        <f t="shared" si="42"/>
        <v>42</v>
      </c>
      <c r="L78" s="108">
        <v>17</v>
      </c>
      <c r="M78" s="114">
        <v>33</v>
      </c>
      <c r="N78" s="115">
        <f t="shared" si="40"/>
        <v>40.561999999999998</v>
      </c>
      <c r="O78" s="114">
        <v>18</v>
      </c>
      <c r="P78" s="74">
        <f t="shared" si="57"/>
        <v>58.561999999999998</v>
      </c>
      <c r="Q78" s="74">
        <f t="shared" si="58"/>
        <v>100.562</v>
      </c>
      <c r="R78" s="281"/>
      <c r="S78" s="73">
        <f t="shared" si="59"/>
        <v>3</v>
      </c>
      <c r="T78" s="108">
        <v>16</v>
      </c>
      <c r="U78" s="114">
        <v>50</v>
      </c>
      <c r="V78" s="115">
        <f t="shared" si="43"/>
        <v>66</v>
      </c>
      <c r="W78" s="108">
        <v>8</v>
      </c>
      <c r="X78" s="114">
        <v>33</v>
      </c>
      <c r="Y78" s="115">
        <f t="shared" si="44"/>
        <v>41</v>
      </c>
      <c r="Z78" s="74">
        <f t="shared" si="60"/>
        <v>107</v>
      </c>
      <c r="AA78" s="281"/>
      <c r="AB78" s="73">
        <f t="shared" si="0"/>
        <v>3</v>
      </c>
      <c r="AC78" s="108">
        <v>20</v>
      </c>
      <c r="AD78" s="114">
        <v>39</v>
      </c>
      <c r="AE78" s="115">
        <f t="shared" si="45"/>
        <v>59</v>
      </c>
      <c r="AF78" s="114">
        <v>24</v>
      </c>
      <c r="AG78" s="74">
        <f t="shared" si="61"/>
        <v>83</v>
      </c>
      <c r="AH78" s="281"/>
      <c r="AI78" s="73">
        <f t="shared" si="51"/>
        <v>5</v>
      </c>
      <c r="AJ78" s="108">
        <v>16</v>
      </c>
      <c r="AK78" s="114">
        <v>34</v>
      </c>
      <c r="AL78" s="115">
        <f t="shared" si="46"/>
        <v>50</v>
      </c>
      <c r="AM78" s="114">
        <v>25</v>
      </c>
      <c r="AN78" s="74">
        <f t="shared" si="62"/>
        <v>75</v>
      </c>
      <c r="AO78" s="281"/>
      <c r="AP78" s="73">
        <f t="shared" si="52"/>
        <v>4</v>
      </c>
      <c r="AQ78" s="116"/>
      <c r="AR78" s="116">
        <v>23</v>
      </c>
      <c r="AS78" s="114">
        <v>23</v>
      </c>
      <c r="AT78" s="73">
        <f t="shared" si="39"/>
        <v>46</v>
      </c>
      <c r="AU78" s="284"/>
      <c r="AV78" s="73">
        <f t="shared" si="21"/>
        <v>5</v>
      </c>
      <c r="AW78" s="108">
        <v>10</v>
      </c>
      <c r="AX78" s="114">
        <v>21</v>
      </c>
      <c r="AY78" s="115">
        <f t="shared" si="63"/>
        <v>31</v>
      </c>
      <c r="AZ78" s="114">
        <v>22</v>
      </c>
      <c r="BA78" s="74">
        <f t="shared" si="64"/>
        <v>53</v>
      </c>
      <c r="BB78" s="281"/>
      <c r="BC78" s="73">
        <f t="shared" si="24"/>
        <v>3</v>
      </c>
      <c r="BD78" s="108">
        <v>6</v>
      </c>
      <c r="BE78" s="114">
        <v>31</v>
      </c>
      <c r="BF78" s="115">
        <f t="shared" si="47"/>
        <v>37</v>
      </c>
      <c r="BG78" s="114">
        <v>13</v>
      </c>
      <c r="BH78" s="114">
        <v>22</v>
      </c>
      <c r="BI78" s="74">
        <f t="shared" si="65"/>
        <v>72</v>
      </c>
      <c r="BJ78" s="284"/>
      <c r="BK78" s="73">
        <f t="shared" si="3"/>
        <v>4</v>
      </c>
      <c r="BL78" s="108">
        <v>9</v>
      </c>
      <c r="BM78" s="114">
        <v>32</v>
      </c>
      <c r="BN78" s="115">
        <f t="shared" si="48"/>
        <v>41</v>
      </c>
      <c r="BO78" s="114">
        <v>15</v>
      </c>
      <c r="BP78" s="114">
        <v>22</v>
      </c>
      <c r="BQ78" s="74">
        <f t="shared" si="66"/>
        <v>78</v>
      </c>
      <c r="BR78" s="281"/>
      <c r="BS78" s="73">
        <f t="shared" si="67"/>
        <v>4</v>
      </c>
      <c r="BT78" s="108">
        <v>7</v>
      </c>
      <c r="BU78" s="114">
        <v>26</v>
      </c>
      <c r="BV78" s="115">
        <f t="shared" si="49"/>
        <v>33</v>
      </c>
      <c r="BW78" s="114">
        <v>16</v>
      </c>
      <c r="BX78" s="114">
        <v>22</v>
      </c>
      <c r="BY78" s="74">
        <f t="shared" si="68"/>
        <v>71</v>
      </c>
      <c r="BZ78" s="284"/>
      <c r="CA78" s="73">
        <f t="shared" si="69"/>
        <v>4</v>
      </c>
      <c r="CB78" s="108">
        <v>9</v>
      </c>
      <c r="CC78" s="114">
        <v>18</v>
      </c>
      <c r="CD78" s="115">
        <f t="shared" si="50"/>
        <v>27</v>
      </c>
      <c r="CE78" s="114">
        <v>15</v>
      </c>
      <c r="CF78" s="114">
        <v>22</v>
      </c>
      <c r="CG78" s="74">
        <f t="shared" si="70"/>
        <v>64</v>
      </c>
      <c r="CH78" s="281"/>
      <c r="CI78" s="75">
        <f t="shared" si="71"/>
        <v>3.5</v>
      </c>
      <c r="CJ78" s="73">
        <f t="shared" si="53"/>
        <v>36.5</v>
      </c>
      <c r="CK78" s="76">
        <f t="shared" si="72"/>
        <v>4.0555555555555554</v>
      </c>
      <c r="CL78" s="77" t="str">
        <f t="shared" si="73"/>
        <v>A</v>
      </c>
      <c r="CM78" s="39" t="str">
        <f t="shared" si="54"/>
        <v>BETTER</v>
      </c>
      <c r="CN78" s="38">
        <f t="shared" si="55"/>
        <v>749.56200000000001</v>
      </c>
      <c r="CO78" s="37">
        <f t="shared" si="56"/>
        <v>40</v>
      </c>
      <c r="CP78" s="40"/>
    </row>
    <row r="79" spans="1:94" s="41" customFormat="1" ht="20.100000000000001" customHeight="1">
      <c r="A79" s="40">
        <v>72</v>
      </c>
      <c r="B79" s="56">
        <v>122</v>
      </c>
      <c r="C79" s="69" t="s">
        <v>364</v>
      </c>
      <c r="D79" s="69" t="s">
        <v>365</v>
      </c>
      <c r="E79" s="69" t="s">
        <v>366</v>
      </c>
      <c r="F79" s="70" t="s">
        <v>367</v>
      </c>
      <c r="G79" s="113">
        <v>11</v>
      </c>
      <c r="H79" s="114">
        <v>18</v>
      </c>
      <c r="I79" s="115">
        <f t="shared" si="41"/>
        <v>29</v>
      </c>
      <c r="J79" s="114">
        <v>12</v>
      </c>
      <c r="K79" s="115">
        <f t="shared" si="42"/>
        <v>41</v>
      </c>
      <c r="L79" s="108">
        <v>17</v>
      </c>
      <c r="M79" s="114">
        <v>32</v>
      </c>
      <c r="N79" s="115">
        <f t="shared" si="40"/>
        <v>39.847999999999999</v>
      </c>
      <c r="O79" s="114">
        <v>19</v>
      </c>
      <c r="P79" s="74">
        <f t="shared" si="57"/>
        <v>58.847999999999999</v>
      </c>
      <c r="Q79" s="74">
        <f t="shared" si="58"/>
        <v>99.847999999999999</v>
      </c>
      <c r="R79" s="281"/>
      <c r="S79" s="73">
        <f t="shared" si="59"/>
        <v>2</v>
      </c>
      <c r="T79" s="108">
        <v>19</v>
      </c>
      <c r="U79" s="114">
        <v>47</v>
      </c>
      <c r="V79" s="115">
        <f t="shared" si="43"/>
        <v>66</v>
      </c>
      <c r="W79" s="108">
        <v>14</v>
      </c>
      <c r="X79" s="114">
        <v>42</v>
      </c>
      <c r="Y79" s="115">
        <f t="shared" si="44"/>
        <v>56</v>
      </c>
      <c r="Z79" s="74">
        <f t="shared" si="60"/>
        <v>122</v>
      </c>
      <c r="AA79" s="281"/>
      <c r="AB79" s="73">
        <f t="shared" si="0"/>
        <v>3.5</v>
      </c>
      <c r="AC79" s="108">
        <v>20</v>
      </c>
      <c r="AD79" s="114">
        <v>32</v>
      </c>
      <c r="AE79" s="115">
        <f t="shared" si="45"/>
        <v>52</v>
      </c>
      <c r="AF79" s="114">
        <v>19</v>
      </c>
      <c r="AG79" s="74">
        <f t="shared" si="61"/>
        <v>71</v>
      </c>
      <c r="AH79" s="281"/>
      <c r="AI79" s="73">
        <f t="shared" si="51"/>
        <v>4</v>
      </c>
      <c r="AJ79" s="108">
        <v>18</v>
      </c>
      <c r="AK79" s="114">
        <v>32</v>
      </c>
      <c r="AL79" s="115">
        <f t="shared" si="46"/>
        <v>50</v>
      </c>
      <c r="AM79" s="114">
        <v>21</v>
      </c>
      <c r="AN79" s="74">
        <f t="shared" si="62"/>
        <v>71</v>
      </c>
      <c r="AO79" s="281"/>
      <c r="AP79" s="73">
        <f t="shared" si="52"/>
        <v>4</v>
      </c>
      <c r="AQ79" s="116"/>
      <c r="AR79" s="116">
        <v>18</v>
      </c>
      <c r="AS79" s="114">
        <v>23</v>
      </c>
      <c r="AT79" s="73">
        <f t="shared" si="39"/>
        <v>41</v>
      </c>
      <c r="AU79" s="284"/>
      <c r="AV79" s="73">
        <f t="shared" si="21"/>
        <v>5</v>
      </c>
      <c r="AW79" s="108">
        <v>11</v>
      </c>
      <c r="AX79" s="114">
        <v>24</v>
      </c>
      <c r="AY79" s="115">
        <f t="shared" si="63"/>
        <v>35</v>
      </c>
      <c r="AZ79" s="114">
        <v>16</v>
      </c>
      <c r="BA79" s="74">
        <f t="shared" si="64"/>
        <v>51</v>
      </c>
      <c r="BB79" s="281"/>
      <c r="BC79" s="73">
        <f t="shared" si="24"/>
        <v>3</v>
      </c>
      <c r="BD79" s="108">
        <v>8</v>
      </c>
      <c r="BE79" s="114">
        <v>22</v>
      </c>
      <c r="BF79" s="115">
        <f t="shared" si="47"/>
        <v>30</v>
      </c>
      <c r="BG79" s="114">
        <v>10</v>
      </c>
      <c r="BH79" s="114">
        <v>22</v>
      </c>
      <c r="BI79" s="74">
        <f t="shared" si="65"/>
        <v>62</v>
      </c>
      <c r="BJ79" s="284"/>
      <c r="BK79" s="73">
        <f t="shared" si="3"/>
        <v>3.5</v>
      </c>
      <c r="BL79" s="108">
        <v>8</v>
      </c>
      <c r="BM79" s="114">
        <v>24</v>
      </c>
      <c r="BN79" s="115">
        <f t="shared" si="48"/>
        <v>32</v>
      </c>
      <c r="BO79" s="114">
        <v>11</v>
      </c>
      <c r="BP79" s="114">
        <v>22</v>
      </c>
      <c r="BQ79" s="74">
        <f t="shared" si="66"/>
        <v>65</v>
      </c>
      <c r="BR79" s="281"/>
      <c r="BS79" s="73">
        <f t="shared" si="67"/>
        <v>3.5</v>
      </c>
      <c r="BT79" s="108">
        <v>9</v>
      </c>
      <c r="BU79" s="114">
        <v>23</v>
      </c>
      <c r="BV79" s="115">
        <f t="shared" si="49"/>
        <v>32</v>
      </c>
      <c r="BW79" s="114">
        <v>17</v>
      </c>
      <c r="BX79" s="114">
        <v>22</v>
      </c>
      <c r="BY79" s="74">
        <f t="shared" si="68"/>
        <v>71</v>
      </c>
      <c r="BZ79" s="284"/>
      <c r="CA79" s="73">
        <f t="shared" si="69"/>
        <v>4</v>
      </c>
      <c r="CB79" s="108">
        <v>9</v>
      </c>
      <c r="CC79" s="114">
        <v>26</v>
      </c>
      <c r="CD79" s="115">
        <f t="shared" si="50"/>
        <v>35</v>
      </c>
      <c r="CE79" s="114">
        <v>17</v>
      </c>
      <c r="CF79" s="114">
        <v>22</v>
      </c>
      <c r="CG79" s="74">
        <f t="shared" si="70"/>
        <v>74</v>
      </c>
      <c r="CH79" s="281"/>
      <c r="CI79" s="75">
        <f t="shared" si="71"/>
        <v>4</v>
      </c>
      <c r="CJ79" s="73">
        <f t="shared" si="53"/>
        <v>34.5</v>
      </c>
      <c r="CK79" s="76">
        <f t="shared" si="72"/>
        <v>3.8333333333333335</v>
      </c>
      <c r="CL79" s="77" t="str">
        <f t="shared" si="73"/>
        <v>A-</v>
      </c>
      <c r="CM79" s="39" t="str">
        <f t="shared" si="54"/>
        <v>GOOD</v>
      </c>
      <c r="CN79" s="38">
        <f t="shared" si="55"/>
        <v>727.84799999999996</v>
      </c>
      <c r="CO79" s="37">
        <f t="shared" si="56"/>
        <v>41</v>
      </c>
      <c r="CP79" s="40"/>
    </row>
    <row r="80" spans="1:94" s="41" customFormat="1" ht="20.100000000000001" customHeight="1">
      <c r="A80" s="40">
        <v>73</v>
      </c>
      <c r="B80" s="56">
        <v>131</v>
      </c>
      <c r="C80" s="69" t="s">
        <v>368</v>
      </c>
      <c r="D80" s="69" t="s">
        <v>369</v>
      </c>
      <c r="E80" s="69" t="s">
        <v>370</v>
      </c>
      <c r="F80" s="70" t="s">
        <v>371</v>
      </c>
      <c r="G80" s="113">
        <v>12</v>
      </c>
      <c r="H80" s="114">
        <v>0</v>
      </c>
      <c r="I80" s="115">
        <f t="shared" si="41"/>
        <v>12</v>
      </c>
      <c r="J80" s="114">
        <v>0</v>
      </c>
      <c r="K80" s="115">
        <f t="shared" si="42"/>
        <v>12</v>
      </c>
      <c r="L80" s="108">
        <v>16</v>
      </c>
      <c r="M80" s="114">
        <v>0</v>
      </c>
      <c r="N80" s="115">
        <f t="shared" si="40"/>
        <v>16</v>
      </c>
      <c r="O80" s="114">
        <v>0</v>
      </c>
      <c r="P80" s="74">
        <f t="shared" si="57"/>
        <v>16</v>
      </c>
      <c r="Q80" s="74">
        <f t="shared" si="58"/>
        <v>28</v>
      </c>
      <c r="R80" s="281"/>
      <c r="S80" s="73" t="str">
        <f t="shared" si="59"/>
        <v>F</v>
      </c>
      <c r="T80" s="108">
        <v>19</v>
      </c>
      <c r="U80" s="114">
        <v>0</v>
      </c>
      <c r="V80" s="115">
        <f t="shared" si="43"/>
        <v>19</v>
      </c>
      <c r="W80" s="108">
        <v>11</v>
      </c>
      <c r="X80" s="114">
        <v>0</v>
      </c>
      <c r="Y80" s="115">
        <f t="shared" si="44"/>
        <v>11</v>
      </c>
      <c r="Z80" s="74">
        <f t="shared" si="60"/>
        <v>30</v>
      </c>
      <c r="AA80" s="281"/>
      <c r="AB80" s="73" t="str">
        <f t="shared" si="0"/>
        <v>F</v>
      </c>
      <c r="AC80" s="108">
        <v>17</v>
      </c>
      <c r="AD80" s="114">
        <v>0</v>
      </c>
      <c r="AE80" s="115">
        <f t="shared" si="45"/>
        <v>17</v>
      </c>
      <c r="AF80" s="114">
        <v>0</v>
      </c>
      <c r="AG80" s="74">
        <f t="shared" si="61"/>
        <v>17</v>
      </c>
      <c r="AH80" s="281"/>
      <c r="AI80" s="73" t="str">
        <f t="shared" si="51"/>
        <v>F</v>
      </c>
      <c r="AJ80" s="108">
        <v>14</v>
      </c>
      <c r="AK80" s="114">
        <v>0</v>
      </c>
      <c r="AL80" s="115">
        <f t="shared" si="46"/>
        <v>14</v>
      </c>
      <c r="AM80" s="114">
        <v>0</v>
      </c>
      <c r="AN80" s="74">
        <f t="shared" si="62"/>
        <v>14</v>
      </c>
      <c r="AO80" s="281"/>
      <c r="AP80" s="73" t="str">
        <f t="shared" si="52"/>
        <v>F</v>
      </c>
      <c r="AQ80" s="116"/>
      <c r="AR80" s="116">
        <v>0</v>
      </c>
      <c r="AS80" s="114"/>
      <c r="AT80" s="73">
        <f t="shared" si="39"/>
        <v>0</v>
      </c>
      <c r="AU80" s="284"/>
      <c r="AV80" s="73" t="str">
        <f t="shared" si="21"/>
        <v>F</v>
      </c>
      <c r="AW80" s="108">
        <v>12</v>
      </c>
      <c r="AX80" s="114">
        <v>0</v>
      </c>
      <c r="AY80" s="115">
        <f t="shared" si="63"/>
        <v>12</v>
      </c>
      <c r="AZ80" s="114">
        <v>0</v>
      </c>
      <c r="BA80" s="74">
        <f t="shared" si="64"/>
        <v>12</v>
      </c>
      <c r="BB80" s="281"/>
      <c r="BC80" s="73" t="str">
        <f t="shared" si="24"/>
        <v>F</v>
      </c>
      <c r="BD80" s="108">
        <v>8</v>
      </c>
      <c r="BE80" s="114">
        <v>0</v>
      </c>
      <c r="BF80" s="115">
        <f t="shared" si="47"/>
        <v>8</v>
      </c>
      <c r="BG80" s="114">
        <v>0</v>
      </c>
      <c r="BH80" s="114">
        <v>22</v>
      </c>
      <c r="BI80" s="74">
        <f t="shared" si="65"/>
        <v>30</v>
      </c>
      <c r="BJ80" s="284"/>
      <c r="BK80" s="73" t="str">
        <f t="shared" si="3"/>
        <v>F</v>
      </c>
      <c r="BL80" s="108">
        <v>6</v>
      </c>
      <c r="BM80" s="114">
        <v>0</v>
      </c>
      <c r="BN80" s="115">
        <f t="shared" si="48"/>
        <v>6</v>
      </c>
      <c r="BO80" s="114">
        <v>0</v>
      </c>
      <c r="BP80" s="114">
        <v>22</v>
      </c>
      <c r="BQ80" s="74">
        <f t="shared" si="66"/>
        <v>28</v>
      </c>
      <c r="BR80" s="281"/>
      <c r="BS80" s="73" t="str">
        <f t="shared" si="67"/>
        <v>F</v>
      </c>
      <c r="BT80" s="108">
        <v>7</v>
      </c>
      <c r="BU80" s="114">
        <v>0</v>
      </c>
      <c r="BV80" s="115">
        <f t="shared" si="49"/>
        <v>7</v>
      </c>
      <c r="BW80" s="114">
        <v>0</v>
      </c>
      <c r="BX80" s="114">
        <v>22</v>
      </c>
      <c r="BY80" s="74">
        <f t="shared" si="68"/>
        <v>29</v>
      </c>
      <c r="BZ80" s="284"/>
      <c r="CA80" s="73" t="str">
        <f t="shared" si="69"/>
        <v>F</v>
      </c>
      <c r="CB80" s="108">
        <v>8</v>
      </c>
      <c r="CC80" s="114">
        <v>0</v>
      </c>
      <c r="CD80" s="115">
        <f t="shared" si="50"/>
        <v>8</v>
      </c>
      <c r="CE80" s="114">
        <v>0</v>
      </c>
      <c r="CF80" s="114">
        <v>22</v>
      </c>
      <c r="CG80" s="74">
        <f t="shared" si="70"/>
        <v>30</v>
      </c>
      <c r="CH80" s="281"/>
      <c r="CI80" s="75" t="str">
        <f t="shared" si="71"/>
        <v>0</v>
      </c>
      <c r="CJ80" s="73" t="str">
        <f t="shared" si="53"/>
        <v>F</v>
      </c>
      <c r="CK80" s="76" t="str">
        <f t="shared" si="72"/>
        <v>F</v>
      </c>
      <c r="CL80" s="77" t="str">
        <f t="shared" si="73"/>
        <v>F</v>
      </c>
      <c r="CM80" s="39" t="str">
        <f t="shared" si="54"/>
        <v>NEED TO PROGRESS</v>
      </c>
      <c r="CN80" s="38">
        <f t="shared" si="55"/>
        <v>218</v>
      </c>
      <c r="CO80" s="37" t="str">
        <f t="shared" si="56"/>
        <v>F</v>
      </c>
      <c r="CP80" s="40"/>
    </row>
    <row r="81" spans="1:94" s="41" customFormat="1" ht="20.100000000000001" customHeight="1">
      <c r="A81" s="40">
        <v>74</v>
      </c>
      <c r="B81" s="56">
        <v>137</v>
      </c>
      <c r="C81" s="69" t="s">
        <v>372</v>
      </c>
      <c r="D81" s="69" t="s">
        <v>373</v>
      </c>
      <c r="E81" s="69" t="s">
        <v>374</v>
      </c>
      <c r="F81" s="70" t="s">
        <v>375</v>
      </c>
      <c r="G81" s="113">
        <v>13</v>
      </c>
      <c r="H81" s="114">
        <v>20</v>
      </c>
      <c r="I81" s="115">
        <f t="shared" si="41"/>
        <v>33</v>
      </c>
      <c r="J81" s="114">
        <v>12</v>
      </c>
      <c r="K81" s="115">
        <f t="shared" si="42"/>
        <v>45</v>
      </c>
      <c r="L81" s="108">
        <v>16</v>
      </c>
      <c r="M81" s="114">
        <v>24</v>
      </c>
      <c r="N81" s="115">
        <f t="shared" si="40"/>
        <v>33.135999999999996</v>
      </c>
      <c r="O81" s="114">
        <v>16</v>
      </c>
      <c r="P81" s="74">
        <f t="shared" si="57"/>
        <v>49.135999999999996</v>
      </c>
      <c r="Q81" s="74">
        <f t="shared" si="58"/>
        <v>94.135999999999996</v>
      </c>
      <c r="R81" s="281"/>
      <c r="S81" s="73">
        <f t="shared" si="59"/>
        <v>2</v>
      </c>
      <c r="T81" s="108">
        <v>19</v>
      </c>
      <c r="U81" s="114">
        <v>38</v>
      </c>
      <c r="V81" s="115">
        <f t="shared" si="43"/>
        <v>57</v>
      </c>
      <c r="W81" s="108">
        <v>12</v>
      </c>
      <c r="X81" s="114">
        <v>28</v>
      </c>
      <c r="Y81" s="115">
        <f t="shared" si="44"/>
        <v>40</v>
      </c>
      <c r="Z81" s="74">
        <f t="shared" si="60"/>
        <v>97</v>
      </c>
      <c r="AA81" s="281"/>
      <c r="AB81" s="73">
        <f t="shared" si="0"/>
        <v>2</v>
      </c>
      <c r="AC81" s="108">
        <v>18</v>
      </c>
      <c r="AD81" s="114">
        <v>31</v>
      </c>
      <c r="AE81" s="115">
        <f t="shared" si="45"/>
        <v>49</v>
      </c>
      <c r="AF81" s="114">
        <v>23</v>
      </c>
      <c r="AG81" s="74">
        <f t="shared" si="61"/>
        <v>72</v>
      </c>
      <c r="AH81" s="281"/>
      <c r="AI81" s="73">
        <f t="shared" si="51"/>
        <v>4</v>
      </c>
      <c r="AJ81" s="108">
        <v>17</v>
      </c>
      <c r="AK81" s="114">
        <v>33</v>
      </c>
      <c r="AL81" s="115">
        <f t="shared" si="46"/>
        <v>50</v>
      </c>
      <c r="AM81" s="114">
        <v>21</v>
      </c>
      <c r="AN81" s="74">
        <f t="shared" si="62"/>
        <v>71</v>
      </c>
      <c r="AO81" s="281"/>
      <c r="AP81" s="73">
        <f t="shared" si="52"/>
        <v>4</v>
      </c>
      <c r="AQ81" s="116"/>
      <c r="AR81" s="116">
        <v>17</v>
      </c>
      <c r="AS81" s="114">
        <v>23</v>
      </c>
      <c r="AT81" s="73">
        <f t="shared" si="39"/>
        <v>40</v>
      </c>
      <c r="AU81" s="284"/>
      <c r="AV81" s="73">
        <f t="shared" si="21"/>
        <v>5</v>
      </c>
      <c r="AW81" s="108">
        <v>12</v>
      </c>
      <c r="AX81" s="114">
        <v>24</v>
      </c>
      <c r="AY81" s="115">
        <f t="shared" si="63"/>
        <v>36</v>
      </c>
      <c r="AZ81" s="114">
        <v>19</v>
      </c>
      <c r="BA81" s="74">
        <f t="shared" si="64"/>
        <v>55</v>
      </c>
      <c r="BB81" s="281"/>
      <c r="BC81" s="73">
        <f t="shared" si="24"/>
        <v>3</v>
      </c>
      <c r="BD81" s="108">
        <v>6</v>
      </c>
      <c r="BE81" s="114">
        <v>18</v>
      </c>
      <c r="BF81" s="115">
        <f t="shared" si="47"/>
        <v>24</v>
      </c>
      <c r="BG81" s="114">
        <v>10</v>
      </c>
      <c r="BH81" s="114">
        <v>22</v>
      </c>
      <c r="BI81" s="74">
        <f t="shared" si="65"/>
        <v>56</v>
      </c>
      <c r="BJ81" s="284"/>
      <c r="BK81" s="73">
        <f t="shared" si="3"/>
        <v>3</v>
      </c>
      <c r="BL81" s="108">
        <v>10</v>
      </c>
      <c r="BM81" s="114">
        <v>35</v>
      </c>
      <c r="BN81" s="115">
        <f t="shared" si="48"/>
        <v>45</v>
      </c>
      <c r="BO81" s="114">
        <v>10</v>
      </c>
      <c r="BP81" s="114">
        <v>22</v>
      </c>
      <c r="BQ81" s="74">
        <f t="shared" si="66"/>
        <v>77</v>
      </c>
      <c r="BR81" s="281"/>
      <c r="BS81" s="73">
        <f t="shared" si="67"/>
        <v>4</v>
      </c>
      <c r="BT81" s="108">
        <v>8</v>
      </c>
      <c r="BU81" s="114">
        <v>28</v>
      </c>
      <c r="BV81" s="115">
        <f t="shared" si="49"/>
        <v>36</v>
      </c>
      <c r="BW81" s="114">
        <v>14</v>
      </c>
      <c r="BX81" s="114">
        <v>22</v>
      </c>
      <c r="BY81" s="74">
        <f t="shared" si="68"/>
        <v>72</v>
      </c>
      <c r="BZ81" s="284"/>
      <c r="CA81" s="73">
        <f t="shared" si="69"/>
        <v>4</v>
      </c>
      <c r="CB81" s="108">
        <v>7</v>
      </c>
      <c r="CC81" s="114">
        <v>23</v>
      </c>
      <c r="CD81" s="115">
        <f t="shared" si="50"/>
        <v>30</v>
      </c>
      <c r="CE81" s="114">
        <v>17</v>
      </c>
      <c r="CF81" s="114">
        <v>22</v>
      </c>
      <c r="CG81" s="74">
        <f t="shared" si="70"/>
        <v>69</v>
      </c>
      <c r="CH81" s="281"/>
      <c r="CI81" s="75">
        <f t="shared" si="71"/>
        <v>3.5</v>
      </c>
      <c r="CJ81" s="73">
        <f t="shared" si="53"/>
        <v>32.5</v>
      </c>
      <c r="CK81" s="76">
        <f t="shared" si="72"/>
        <v>3.6111111111111112</v>
      </c>
      <c r="CL81" s="77" t="str">
        <f t="shared" si="73"/>
        <v>A-</v>
      </c>
      <c r="CM81" s="39" t="str">
        <f t="shared" si="54"/>
        <v>GOOD</v>
      </c>
      <c r="CN81" s="38">
        <f t="shared" si="55"/>
        <v>703.13599999999997</v>
      </c>
      <c r="CO81" s="37">
        <f t="shared" si="56"/>
        <v>44</v>
      </c>
      <c r="CP81" s="40"/>
    </row>
    <row r="82" spans="1:94" s="41" customFormat="1" ht="20.100000000000001" customHeight="1">
      <c r="A82" s="40">
        <v>75</v>
      </c>
      <c r="B82" s="56">
        <v>140</v>
      </c>
      <c r="C82" s="69" t="s">
        <v>376</v>
      </c>
      <c r="D82" s="69" t="s">
        <v>377</v>
      </c>
      <c r="E82" s="69" t="s">
        <v>378</v>
      </c>
      <c r="F82" s="70" t="s">
        <v>379</v>
      </c>
      <c r="G82" s="108">
        <v>0</v>
      </c>
      <c r="H82" s="114">
        <v>0</v>
      </c>
      <c r="I82" s="115">
        <f t="shared" si="41"/>
        <v>0</v>
      </c>
      <c r="J82" s="114">
        <v>0</v>
      </c>
      <c r="K82" s="115">
        <f t="shared" si="42"/>
        <v>0</v>
      </c>
      <c r="L82" s="108">
        <v>0</v>
      </c>
      <c r="M82" s="114">
        <v>0</v>
      </c>
      <c r="N82" s="115">
        <f t="shared" si="40"/>
        <v>0</v>
      </c>
      <c r="O82" s="114">
        <v>0</v>
      </c>
      <c r="P82" s="74">
        <f t="shared" si="57"/>
        <v>0</v>
      </c>
      <c r="Q82" s="74">
        <f t="shared" si="58"/>
        <v>0</v>
      </c>
      <c r="R82" s="281"/>
      <c r="S82" s="73" t="str">
        <f t="shared" si="59"/>
        <v>F</v>
      </c>
      <c r="T82" s="108">
        <v>0</v>
      </c>
      <c r="U82" s="114">
        <v>0</v>
      </c>
      <c r="V82" s="115">
        <f t="shared" si="43"/>
        <v>0</v>
      </c>
      <c r="W82" s="108">
        <v>0</v>
      </c>
      <c r="X82" s="114">
        <v>0</v>
      </c>
      <c r="Y82" s="115">
        <f t="shared" si="44"/>
        <v>0</v>
      </c>
      <c r="Z82" s="74">
        <f t="shared" si="60"/>
        <v>0</v>
      </c>
      <c r="AA82" s="281"/>
      <c r="AB82" s="73" t="str">
        <f t="shared" si="0"/>
        <v>F</v>
      </c>
      <c r="AC82" s="108">
        <v>0</v>
      </c>
      <c r="AD82" s="114">
        <v>0</v>
      </c>
      <c r="AE82" s="115">
        <f t="shared" si="45"/>
        <v>0</v>
      </c>
      <c r="AF82" s="114">
        <v>0</v>
      </c>
      <c r="AG82" s="74">
        <f t="shared" si="61"/>
        <v>0</v>
      </c>
      <c r="AH82" s="281"/>
      <c r="AI82" s="73" t="str">
        <f t="shared" si="51"/>
        <v>F</v>
      </c>
      <c r="AJ82" s="108">
        <v>0</v>
      </c>
      <c r="AK82" s="114">
        <v>0</v>
      </c>
      <c r="AL82" s="115">
        <f t="shared" si="46"/>
        <v>0</v>
      </c>
      <c r="AM82" s="114">
        <v>0</v>
      </c>
      <c r="AN82" s="74">
        <f t="shared" si="62"/>
        <v>0</v>
      </c>
      <c r="AO82" s="281"/>
      <c r="AP82" s="73" t="str">
        <f t="shared" si="52"/>
        <v>F</v>
      </c>
      <c r="AQ82" s="116"/>
      <c r="AR82" s="116">
        <v>0</v>
      </c>
      <c r="AS82" s="114"/>
      <c r="AT82" s="73">
        <f t="shared" si="39"/>
        <v>0</v>
      </c>
      <c r="AU82" s="284"/>
      <c r="AV82" s="73" t="str">
        <f t="shared" si="21"/>
        <v>F</v>
      </c>
      <c r="AW82" s="108">
        <v>0</v>
      </c>
      <c r="AX82" s="114">
        <v>0</v>
      </c>
      <c r="AY82" s="115">
        <f t="shared" si="63"/>
        <v>0</v>
      </c>
      <c r="AZ82" s="114">
        <v>0</v>
      </c>
      <c r="BA82" s="74">
        <f t="shared" si="64"/>
        <v>0</v>
      </c>
      <c r="BB82" s="281"/>
      <c r="BC82" s="73" t="str">
        <f t="shared" si="24"/>
        <v>F</v>
      </c>
      <c r="BD82" s="108">
        <v>0</v>
      </c>
      <c r="BE82" s="114">
        <v>0</v>
      </c>
      <c r="BF82" s="115">
        <f t="shared" si="47"/>
        <v>0</v>
      </c>
      <c r="BG82" s="114">
        <v>0</v>
      </c>
      <c r="BH82" s="114">
        <v>22</v>
      </c>
      <c r="BI82" s="74">
        <f t="shared" si="65"/>
        <v>22</v>
      </c>
      <c r="BJ82" s="284"/>
      <c r="BK82" s="73" t="str">
        <f t="shared" si="3"/>
        <v>F</v>
      </c>
      <c r="BL82" s="108">
        <v>0</v>
      </c>
      <c r="BM82" s="114">
        <v>0</v>
      </c>
      <c r="BN82" s="115">
        <f t="shared" si="48"/>
        <v>0</v>
      </c>
      <c r="BO82" s="114">
        <v>0</v>
      </c>
      <c r="BP82" s="114">
        <v>22</v>
      </c>
      <c r="BQ82" s="74">
        <f t="shared" si="66"/>
        <v>22</v>
      </c>
      <c r="BR82" s="281"/>
      <c r="BS82" s="73" t="str">
        <f t="shared" si="67"/>
        <v>F</v>
      </c>
      <c r="BT82" s="108">
        <v>0</v>
      </c>
      <c r="BU82" s="114">
        <v>0</v>
      </c>
      <c r="BV82" s="115">
        <f t="shared" si="49"/>
        <v>0</v>
      </c>
      <c r="BW82" s="114">
        <v>0</v>
      </c>
      <c r="BX82" s="114">
        <v>22</v>
      </c>
      <c r="BY82" s="74">
        <f t="shared" si="68"/>
        <v>22</v>
      </c>
      <c r="BZ82" s="284"/>
      <c r="CA82" s="73" t="str">
        <f t="shared" si="69"/>
        <v>F</v>
      </c>
      <c r="CB82" s="108">
        <v>0</v>
      </c>
      <c r="CC82" s="114">
        <v>0</v>
      </c>
      <c r="CD82" s="115">
        <f t="shared" si="50"/>
        <v>0</v>
      </c>
      <c r="CE82" s="114">
        <v>0</v>
      </c>
      <c r="CF82" s="114">
        <v>22</v>
      </c>
      <c r="CG82" s="74">
        <f t="shared" si="70"/>
        <v>22</v>
      </c>
      <c r="CH82" s="281"/>
      <c r="CI82" s="75" t="str">
        <f t="shared" si="71"/>
        <v>0</v>
      </c>
      <c r="CJ82" s="73" t="str">
        <f t="shared" si="53"/>
        <v>F</v>
      </c>
      <c r="CK82" s="76" t="str">
        <f t="shared" si="72"/>
        <v>F</v>
      </c>
      <c r="CL82" s="77" t="str">
        <f t="shared" si="73"/>
        <v>F</v>
      </c>
      <c r="CM82" s="39" t="str">
        <f t="shared" si="54"/>
        <v>NEED TO PROGRESS</v>
      </c>
      <c r="CN82" s="38">
        <f t="shared" si="55"/>
        <v>88</v>
      </c>
      <c r="CO82" s="37" t="str">
        <f t="shared" si="56"/>
        <v>F</v>
      </c>
      <c r="CP82" s="40"/>
    </row>
    <row r="83" spans="1:94" s="41" customFormat="1" ht="20.100000000000001" customHeight="1">
      <c r="A83" s="40">
        <v>76</v>
      </c>
      <c r="B83" s="56">
        <v>141</v>
      </c>
      <c r="C83" s="69" t="s">
        <v>380</v>
      </c>
      <c r="D83" s="69" t="s">
        <v>381</v>
      </c>
      <c r="E83" s="69" t="s">
        <v>382</v>
      </c>
      <c r="F83" s="70" t="s">
        <v>383</v>
      </c>
      <c r="G83" s="108">
        <v>0</v>
      </c>
      <c r="H83" s="114">
        <v>0</v>
      </c>
      <c r="I83" s="115">
        <f t="shared" si="41"/>
        <v>0</v>
      </c>
      <c r="J83" s="114">
        <v>0</v>
      </c>
      <c r="K83" s="115">
        <f t="shared" si="42"/>
        <v>0</v>
      </c>
      <c r="L83" s="108">
        <v>0</v>
      </c>
      <c r="M83" s="114">
        <v>0</v>
      </c>
      <c r="N83" s="115">
        <f t="shared" si="40"/>
        <v>0</v>
      </c>
      <c r="O83" s="114">
        <v>0</v>
      </c>
      <c r="P83" s="74">
        <f t="shared" si="57"/>
        <v>0</v>
      </c>
      <c r="Q83" s="74">
        <f t="shared" si="58"/>
        <v>0</v>
      </c>
      <c r="R83" s="281"/>
      <c r="S83" s="73" t="str">
        <f t="shared" si="59"/>
        <v>F</v>
      </c>
      <c r="T83" s="108">
        <v>0</v>
      </c>
      <c r="U83" s="114">
        <v>0</v>
      </c>
      <c r="V83" s="115">
        <f t="shared" si="43"/>
        <v>0</v>
      </c>
      <c r="W83" s="108">
        <v>0</v>
      </c>
      <c r="X83" s="114">
        <v>0</v>
      </c>
      <c r="Y83" s="115">
        <f t="shared" si="44"/>
        <v>0</v>
      </c>
      <c r="Z83" s="74">
        <f t="shared" si="60"/>
        <v>0</v>
      </c>
      <c r="AA83" s="281"/>
      <c r="AB83" s="73" t="str">
        <f t="shared" si="0"/>
        <v>F</v>
      </c>
      <c r="AC83" s="108">
        <v>0</v>
      </c>
      <c r="AD83" s="114">
        <v>0</v>
      </c>
      <c r="AE83" s="115">
        <f t="shared" si="45"/>
        <v>0</v>
      </c>
      <c r="AF83" s="114">
        <v>0</v>
      </c>
      <c r="AG83" s="74">
        <f t="shared" si="61"/>
        <v>0</v>
      </c>
      <c r="AH83" s="281"/>
      <c r="AI83" s="73" t="str">
        <f t="shared" si="51"/>
        <v>F</v>
      </c>
      <c r="AJ83" s="108">
        <v>0</v>
      </c>
      <c r="AK83" s="114">
        <v>0</v>
      </c>
      <c r="AL83" s="115">
        <f t="shared" si="46"/>
        <v>0</v>
      </c>
      <c r="AM83" s="114">
        <v>0</v>
      </c>
      <c r="AN83" s="74">
        <f t="shared" si="62"/>
        <v>0</v>
      </c>
      <c r="AO83" s="281"/>
      <c r="AP83" s="73" t="str">
        <f t="shared" si="52"/>
        <v>F</v>
      </c>
      <c r="AQ83" s="116"/>
      <c r="AR83" s="116">
        <v>0</v>
      </c>
      <c r="AS83" s="114"/>
      <c r="AT83" s="73">
        <f t="shared" ref="AT83:AT95" si="74">SUM(AQ83:AS83)</f>
        <v>0</v>
      </c>
      <c r="AU83" s="284"/>
      <c r="AV83" s="73" t="str">
        <f t="shared" si="21"/>
        <v>F</v>
      </c>
      <c r="AW83" s="108">
        <v>0</v>
      </c>
      <c r="AX83" s="114">
        <v>0</v>
      </c>
      <c r="AY83" s="115">
        <f t="shared" si="63"/>
        <v>0</v>
      </c>
      <c r="AZ83" s="114">
        <v>0</v>
      </c>
      <c r="BA83" s="74">
        <f t="shared" si="64"/>
        <v>0</v>
      </c>
      <c r="BB83" s="281"/>
      <c r="BC83" s="73" t="str">
        <f t="shared" si="24"/>
        <v>F</v>
      </c>
      <c r="BD83" s="108">
        <v>0</v>
      </c>
      <c r="BE83" s="114">
        <v>0</v>
      </c>
      <c r="BF83" s="115">
        <f t="shared" si="47"/>
        <v>0</v>
      </c>
      <c r="BG83" s="114">
        <v>0</v>
      </c>
      <c r="BH83" s="114">
        <v>22</v>
      </c>
      <c r="BI83" s="74">
        <f t="shared" si="65"/>
        <v>22</v>
      </c>
      <c r="BJ83" s="284"/>
      <c r="BK83" s="73" t="str">
        <f t="shared" si="3"/>
        <v>F</v>
      </c>
      <c r="BL83" s="108">
        <v>0</v>
      </c>
      <c r="BM83" s="114">
        <v>0</v>
      </c>
      <c r="BN83" s="115">
        <f t="shared" si="48"/>
        <v>0</v>
      </c>
      <c r="BO83" s="114">
        <v>0</v>
      </c>
      <c r="BP83" s="114">
        <v>22</v>
      </c>
      <c r="BQ83" s="74">
        <f t="shared" si="66"/>
        <v>22</v>
      </c>
      <c r="BR83" s="281"/>
      <c r="BS83" s="73" t="str">
        <f t="shared" si="67"/>
        <v>F</v>
      </c>
      <c r="BT83" s="108">
        <v>0</v>
      </c>
      <c r="BU83" s="114">
        <v>0</v>
      </c>
      <c r="BV83" s="115">
        <f t="shared" si="49"/>
        <v>0</v>
      </c>
      <c r="BW83" s="114">
        <v>0</v>
      </c>
      <c r="BX83" s="114">
        <v>22</v>
      </c>
      <c r="BY83" s="74">
        <f t="shared" si="68"/>
        <v>22</v>
      </c>
      <c r="BZ83" s="284"/>
      <c r="CA83" s="73" t="str">
        <f t="shared" si="69"/>
        <v>F</v>
      </c>
      <c r="CB83" s="108">
        <v>0</v>
      </c>
      <c r="CC83" s="114">
        <v>0</v>
      </c>
      <c r="CD83" s="115">
        <f t="shared" si="50"/>
        <v>0</v>
      </c>
      <c r="CE83" s="114">
        <v>0</v>
      </c>
      <c r="CF83" s="114">
        <v>22</v>
      </c>
      <c r="CG83" s="74">
        <f t="shared" si="70"/>
        <v>22</v>
      </c>
      <c r="CH83" s="281"/>
      <c r="CI83" s="75" t="str">
        <f t="shared" si="71"/>
        <v>0</v>
      </c>
      <c r="CJ83" s="73" t="str">
        <f t="shared" si="53"/>
        <v>F</v>
      </c>
      <c r="CK83" s="76" t="str">
        <f t="shared" si="72"/>
        <v>F</v>
      </c>
      <c r="CL83" s="77" t="str">
        <f t="shared" si="73"/>
        <v>F</v>
      </c>
      <c r="CM83" s="39" t="str">
        <f t="shared" si="54"/>
        <v>NEED TO PROGRESS</v>
      </c>
      <c r="CN83" s="38">
        <f t="shared" si="55"/>
        <v>88</v>
      </c>
      <c r="CO83" s="37" t="str">
        <f t="shared" si="56"/>
        <v>F</v>
      </c>
      <c r="CP83" s="40"/>
    </row>
    <row r="84" spans="1:94" s="41" customFormat="1" ht="20.100000000000001" customHeight="1">
      <c r="A84" s="40">
        <v>77</v>
      </c>
      <c r="B84" s="56">
        <v>143</v>
      </c>
      <c r="C84" s="69" t="s">
        <v>384</v>
      </c>
      <c r="D84" s="69" t="s">
        <v>385</v>
      </c>
      <c r="E84" s="69" t="s">
        <v>386</v>
      </c>
      <c r="F84" s="70" t="s">
        <v>387</v>
      </c>
      <c r="G84" s="113">
        <v>16</v>
      </c>
      <c r="H84" s="114">
        <v>32</v>
      </c>
      <c r="I84" s="115">
        <f t="shared" si="41"/>
        <v>48</v>
      </c>
      <c r="J84" s="114">
        <v>12</v>
      </c>
      <c r="K84" s="115">
        <f t="shared" si="42"/>
        <v>60</v>
      </c>
      <c r="L84" s="108">
        <v>16</v>
      </c>
      <c r="M84" s="114">
        <v>34</v>
      </c>
      <c r="N84" s="115">
        <f t="shared" si="40"/>
        <v>40.275999999999996</v>
      </c>
      <c r="O84" s="114">
        <v>14</v>
      </c>
      <c r="P84" s="74">
        <f t="shared" si="57"/>
        <v>54.275999999999996</v>
      </c>
      <c r="Q84" s="74">
        <f t="shared" si="58"/>
        <v>114.276</v>
      </c>
      <c r="R84" s="281"/>
      <c r="S84" s="73">
        <f t="shared" si="59"/>
        <v>3</v>
      </c>
      <c r="T84" s="108">
        <v>17</v>
      </c>
      <c r="U84" s="114">
        <v>52</v>
      </c>
      <c r="V84" s="115">
        <f t="shared" si="43"/>
        <v>69</v>
      </c>
      <c r="W84" s="108">
        <v>8</v>
      </c>
      <c r="X84" s="114">
        <v>28</v>
      </c>
      <c r="Y84" s="115">
        <f t="shared" si="44"/>
        <v>36</v>
      </c>
      <c r="Z84" s="74">
        <f t="shared" si="60"/>
        <v>105</v>
      </c>
      <c r="AA84" s="281"/>
      <c r="AB84" s="73">
        <f t="shared" si="0"/>
        <v>3</v>
      </c>
      <c r="AC84" s="108">
        <v>10</v>
      </c>
      <c r="AD84" s="114">
        <v>20</v>
      </c>
      <c r="AE84" s="115">
        <f t="shared" si="45"/>
        <v>30</v>
      </c>
      <c r="AF84" s="114">
        <v>23</v>
      </c>
      <c r="AG84" s="74">
        <f t="shared" si="61"/>
        <v>53</v>
      </c>
      <c r="AH84" s="281"/>
      <c r="AI84" s="73">
        <f t="shared" si="51"/>
        <v>3</v>
      </c>
      <c r="AJ84" s="108">
        <v>17</v>
      </c>
      <c r="AK84" s="114">
        <v>38</v>
      </c>
      <c r="AL84" s="115">
        <f t="shared" si="46"/>
        <v>55</v>
      </c>
      <c r="AM84" s="114">
        <v>20</v>
      </c>
      <c r="AN84" s="74">
        <f t="shared" si="62"/>
        <v>75</v>
      </c>
      <c r="AO84" s="281"/>
      <c r="AP84" s="73">
        <f t="shared" si="52"/>
        <v>4</v>
      </c>
      <c r="AQ84" s="116"/>
      <c r="AR84" s="116">
        <v>16</v>
      </c>
      <c r="AS84" s="114">
        <v>23</v>
      </c>
      <c r="AT84" s="73">
        <f t="shared" si="74"/>
        <v>39</v>
      </c>
      <c r="AU84" s="284"/>
      <c r="AV84" s="73">
        <f t="shared" si="21"/>
        <v>4</v>
      </c>
      <c r="AW84" s="108">
        <v>13</v>
      </c>
      <c r="AX84" s="114">
        <v>24</v>
      </c>
      <c r="AY84" s="115">
        <f t="shared" si="63"/>
        <v>37</v>
      </c>
      <c r="AZ84" s="114">
        <v>18</v>
      </c>
      <c r="BA84" s="74">
        <f t="shared" si="64"/>
        <v>55</v>
      </c>
      <c r="BB84" s="281"/>
      <c r="BC84" s="73">
        <f t="shared" si="24"/>
        <v>3</v>
      </c>
      <c r="BD84" s="108">
        <v>10</v>
      </c>
      <c r="BE84" s="114">
        <v>18</v>
      </c>
      <c r="BF84" s="115">
        <f t="shared" si="47"/>
        <v>28</v>
      </c>
      <c r="BG84" s="114">
        <v>10</v>
      </c>
      <c r="BH84" s="114">
        <v>22</v>
      </c>
      <c r="BI84" s="74">
        <f t="shared" si="65"/>
        <v>60</v>
      </c>
      <c r="BJ84" s="284"/>
      <c r="BK84" s="73">
        <f t="shared" si="3"/>
        <v>3.5</v>
      </c>
      <c r="BL84" s="108">
        <v>7</v>
      </c>
      <c r="BM84" s="114">
        <v>19</v>
      </c>
      <c r="BN84" s="115">
        <f t="shared" si="48"/>
        <v>26</v>
      </c>
      <c r="BO84" s="114">
        <v>12</v>
      </c>
      <c r="BP84" s="114">
        <v>22</v>
      </c>
      <c r="BQ84" s="74">
        <f t="shared" si="66"/>
        <v>60</v>
      </c>
      <c r="BR84" s="281"/>
      <c r="BS84" s="73">
        <f t="shared" si="67"/>
        <v>3.5</v>
      </c>
      <c r="BT84" s="108">
        <v>9</v>
      </c>
      <c r="BU84" s="114">
        <v>20</v>
      </c>
      <c r="BV84" s="115">
        <f t="shared" si="49"/>
        <v>29</v>
      </c>
      <c r="BW84" s="114">
        <v>11</v>
      </c>
      <c r="BX84" s="114">
        <v>22</v>
      </c>
      <c r="BY84" s="74">
        <f t="shared" si="68"/>
        <v>62</v>
      </c>
      <c r="BZ84" s="284"/>
      <c r="CA84" s="73">
        <f t="shared" si="69"/>
        <v>3.5</v>
      </c>
      <c r="CB84" s="108">
        <v>6</v>
      </c>
      <c r="CC84" s="114">
        <v>14</v>
      </c>
      <c r="CD84" s="115">
        <f t="shared" si="50"/>
        <v>20</v>
      </c>
      <c r="CE84" s="114">
        <v>10</v>
      </c>
      <c r="CF84" s="114">
        <v>22</v>
      </c>
      <c r="CG84" s="74">
        <f t="shared" si="70"/>
        <v>52</v>
      </c>
      <c r="CH84" s="281"/>
      <c r="CI84" s="75">
        <f t="shared" si="71"/>
        <v>3</v>
      </c>
      <c r="CJ84" s="73">
        <f t="shared" si="53"/>
        <v>31.5</v>
      </c>
      <c r="CK84" s="76">
        <f t="shared" si="72"/>
        <v>3.5</v>
      </c>
      <c r="CL84" s="77" t="str">
        <f t="shared" si="73"/>
        <v>A-</v>
      </c>
      <c r="CM84" s="39" t="str">
        <f t="shared" si="54"/>
        <v>GOOD</v>
      </c>
      <c r="CN84" s="38">
        <f t="shared" si="55"/>
        <v>675.27600000000007</v>
      </c>
      <c r="CO84" s="37">
        <f t="shared" si="56"/>
        <v>53</v>
      </c>
      <c r="CP84" s="40"/>
    </row>
    <row r="85" spans="1:94" s="41" customFormat="1" ht="20.100000000000001" customHeight="1">
      <c r="A85" s="40">
        <v>78</v>
      </c>
      <c r="B85" s="56">
        <v>147</v>
      </c>
      <c r="C85" s="69" t="s">
        <v>388</v>
      </c>
      <c r="D85" s="69" t="s">
        <v>389</v>
      </c>
      <c r="E85" s="69" t="s">
        <v>390</v>
      </c>
      <c r="F85" s="98" t="s">
        <v>391</v>
      </c>
      <c r="G85" s="113">
        <v>13</v>
      </c>
      <c r="H85" s="114">
        <v>29</v>
      </c>
      <c r="I85" s="115">
        <f t="shared" si="41"/>
        <v>42</v>
      </c>
      <c r="J85" s="114">
        <v>14</v>
      </c>
      <c r="K85" s="115">
        <f t="shared" si="42"/>
        <v>56</v>
      </c>
      <c r="L85" s="108">
        <v>17</v>
      </c>
      <c r="M85" s="114">
        <v>30</v>
      </c>
      <c r="N85" s="115">
        <f t="shared" si="40"/>
        <v>38.42</v>
      </c>
      <c r="O85" s="114">
        <v>14</v>
      </c>
      <c r="P85" s="74">
        <f t="shared" si="57"/>
        <v>52.42</v>
      </c>
      <c r="Q85" s="74">
        <f t="shared" si="58"/>
        <v>108.42</v>
      </c>
      <c r="R85" s="281"/>
      <c r="S85" s="73">
        <f t="shared" si="59"/>
        <v>3</v>
      </c>
      <c r="T85" s="108">
        <v>17</v>
      </c>
      <c r="U85" s="114">
        <v>46</v>
      </c>
      <c r="V85" s="115">
        <f t="shared" si="43"/>
        <v>63</v>
      </c>
      <c r="W85" s="108">
        <v>12</v>
      </c>
      <c r="X85" s="114">
        <v>33</v>
      </c>
      <c r="Y85" s="115">
        <f t="shared" si="44"/>
        <v>45</v>
      </c>
      <c r="Z85" s="74">
        <f t="shared" si="60"/>
        <v>108</v>
      </c>
      <c r="AA85" s="281"/>
      <c r="AB85" s="73">
        <f t="shared" si="0"/>
        <v>3</v>
      </c>
      <c r="AC85" s="108">
        <v>18</v>
      </c>
      <c r="AD85" s="114">
        <v>25</v>
      </c>
      <c r="AE85" s="115">
        <f t="shared" si="45"/>
        <v>43</v>
      </c>
      <c r="AF85" s="114">
        <v>20</v>
      </c>
      <c r="AG85" s="74">
        <f t="shared" si="61"/>
        <v>63</v>
      </c>
      <c r="AH85" s="281"/>
      <c r="AI85" s="73">
        <f t="shared" si="51"/>
        <v>3.5</v>
      </c>
      <c r="AJ85" s="108">
        <v>19</v>
      </c>
      <c r="AK85" s="114">
        <v>40</v>
      </c>
      <c r="AL85" s="115">
        <f t="shared" si="46"/>
        <v>59</v>
      </c>
      <c r="AM85" s="114">
        <v>21</v>
      </c>
      <c r="AN85" s="74">
        <f t="shared" si="62"/>
        <v>80</v>
      </c>
      <c r="AO85" s="281"/>
      <c r="AP85" s="73">
        <f t="shared" si="52"/>
        <v>5</v>
      </c>
      <c r="AQ85" s="116"/>
      <c r="AR85" s="116">
        <v>14</v>
      </c>
      <c r="AS85" s="114">
        <v>23</v>
      </c>
      <c r="AT85" s="73">
        <f t="shared" si="74"/>
        <v>37</v>
      </c>
      <c r="AU85" s="284"/>
      <c r="AV85" s="73">
        <f t="shared" si="21"/>
        <v>4</v>
      </c>
      <c r="AW85" s="108">
        <v>8</v>
      </c>
      <c r="AX85" s="114">
        <v>20</v>
      </c>
      <c r="AY85" s="115">
        <f t="shared" si="63"/>
        <v>28</v>
      </c>
      <c r="AZ85" s="114">
        <v>20</v>
      </c>
      <c r="BA85" s="74">
        <f t="shared" si="64"/>
        <v>48</v>
      </c>
      <c r="BB85" s="281"/>
      <c r="BC85" s="73">
        <f t="shared" si="24"/>
        <v>2</v>
      </c>
      <c r="BD85" s="108">
        <v>8</v>
      </c>
      <c r="BE85" s="114">
        <v>6</v>
      </c>
      <c r="BF85" s="115">
        <f t="shared" si="47"/>
        <v>14</v>
      </c>
      <c r="BG85" s="114">
        <v>10</v>
      </c>
      <c r="BH85" s="114">
        <v>22</v>
      </c>
      <c r="BI85" s="74">
        <f t="shared" si="65"/>
        <v>46</v>
      </c>
      <c r="BJ85" s="284"/>
      <c r="BK85" s="73" t="str">
        <f t="shared" si="3"/>
        <v>F</v>
      </c>
      <c r="BL85" s="108">
        <v>5</v>
      </c>
      <c r="BM85" s="114">
        <v>16</v>
      </c>
      <c r="BN85" s="115">
        <f t="shared" si="48"/>
        <v>21</v>
      </c>
      <c r="BO85" s="114">
        <v>12</v>
      </c>
      <c r="BP85" s="114">
        <v>22</v>
      </c>
      <c r="BQ85" s="74">
        <f t="shared" si="66"/>
        <v>55</v>
      </c>
      <c r="BR85" s="281"/>
      <c r="BS85" s="73">
        <f t="shared" si="67"/>
        <v>3</v>
      </c>
      <c r="BT85" s="108">
        <v>8</v>
      </c>
      <c r="BU85" s="114">
        <v>22</v>
      </c>
      <c r="BV85" s="115">
        <f t="shared" si="49"/>
        <v>30</v>
      </c>
      <c r="BW85" s="114">
        <v>12</v>
      </c>
      <c r="BX85" s="114">
        <v>22</v>
      </c>
      <c r="BY85" s="74">
        <f t="shared" si="68"/>
        <v>64</v>
      </c>
      <c r="BZ85" s="284"/>
      <c r="CA85" s="73">
        <f t="shared" si="69"/>
        <v>3.5</v>
      </c>
      <c r="CB85" s="108">
        <v>5</v>
      </c>
      <c r="CC85" s="114">
        <v>15</v>
      </c>
      <c r="CD85" s="115">
        <f t="shared" si="50"/>
        <v>20</v>
      </c>
      <c r="CE85" s="114">
        <v>9</v>
      </c>
      <c r="CF85" s="114">
        <v>22</v>
      </c>
      <c r="CG85" s="74">
        <f t="shared" si="70"/>
        <v>51</v>
      </c>
      <c r="CH85" s="281"/>
      <c r="CI85" s="75" t="str">
        <f t="shared" si="71"/>
        <v>0</v>
      </c>
      <c r="CJ85" s="73" t="str">
        <f t="shared" si="53"/>
        <v>F</v>
      </c>
      <c r="CK85" s="76" t="str">
        <f t="shared" si="72"/>
        <v>F</v>
      </c>
      <c r="CL85" s="77" t="str">
        <f t="shared" si="73"/>
        <v>F</v>
      </c>
      <c r="CM85" s="39" t="str">
        <f t="shared" si="54"/>
        <v>NEED TO PROGRESS</v>
      </c>
      <c r="CN85" s="38">
        <f t="shared" si="55"/>
        <v>660.42000000000007</v>
      </c>
      <c r="CO85" s="37" t="str">
        <f t="shared" si="56"/>
        <v>F</v>
      </c>
      <c r="CP85" s="40"/>
    </row>
    <row r="86" spans="1:94" s="41" customFormat="1" ht="20.100000000000001" customHeight="1">
      <c r="A86" s="40">
        <v>79</v>
      </c>
      <c r="B86" s="56">
        <v>148</v>
      </c>
      <c r="C86" s="95" t="s">
        <v>392</v>
      </c>
      <c r="D86" s="95" t="s">
        <v>393</v>
      </c>
      <c r="E86" s="95" t="s">
        <v>394</v>
      </c>
      <c r="F86" s="109" t="s">
        <v>395</v>
      </c>
      <c r="G86" s="113">
        <v>13</v>
      </c>
      <c r="H86" s="114">
        <v>23</v>
      </c>
      <c r="I86" s="115">
        <f t="shared" si="41"/>
        <v>36</v>
      </c>
      <c r="J86" s="114">
        <v>11</v>
      </c>
      <c r="K86" s="115">
        <f t="shared" si="42"/>
        <v>47</v>
      </c>
      <c r="L86" s="108">
        <v>17</v>
      </c>
      <c r="M86" s="114">
        <v>29</v>
      </c>
      <c r="N86" s="115">
        <f t="shared" si="40"/>
        <v>37.706000000000003</v>
      </c>
      <c r="O86" s="114">
        <v>11</v>
      </c>
      <c r="P86" s="74">
        <f t="shared" si="57"/>
        <v>48.706000000000003</v>
      </c>
      <c r="Q86" s="74">
        <f t="shared" si="58"/>
        <v>95.706000000000003</v>
      </c>
      <c r="R86" s="281"/>
      <c r="S86" s="73">
        <f t="shared" si="59"/>
        <v>2</v>
      </c>
      <c r="T86" s="108">
        <v>14</v>
      </c>
      <c r="U86" s="114">
        <v>43</v>
      </c>
      <c r="V86" s="115">
        <f t="shared" si="43"/>
        <v>57</v>
      </c>
      <c r="W86" s="108">
        <v>13</v>
      </c>
      <c r="X86" s="114">
        <v>28</v>
      </c>
      <c r="Y86" s="115">
        <f t="shared" si="44"/>
        <v>41</v>
      </c>
      <c r="Z86" s="74">
        <f t="shared" si="60"/>
        <v>98</v>
      </c>
      <c r="AA86" s="281"/>
      <c r="AB86" s="73">
        <f t="shared" si="0"/>
        <v>2</v>
      </c>
      <c r="AC86" s="108">
        <v>19</v>
      </c>
      <c r="AD86" s="114">
        <v>21</v>
      </c>
      <c r="AE86" s="115">
        <f t="shared" si="45"/>
        <v>40</v>
      </c>
      <c r="AF86" s="114">
        <v>17</v>
      </c>
      <c r="AG86" s="74">
        <f t="shared" si="61"/>
        <v>57</v>
      </c>
      <c r="AH86" s="281"/>
      <c r="AI86" s="73">
        <f t="shared" si="51"/>
        <v>3</v>
      </c>
      <c r="AJ86" s="108">
        <v>18</v>
      </c>
      <c r="AK86" s="114">
        <v>41</v>
      </c>
      <c r="AL86" s="115">
        <f t="shared" si="46"/>
        <v>59</v>
      </c>
      <c r="AM86" s="114">
        <v>15</v>
      </c>
      <c r="AN86" s="74">
        <f t="shared" si="62"/>
        <v>74</v>
      </c>
      <c r="AO86" s="281"/>
      <c r="AP86" s="73">
        <f t="shared" si="52"/>
        <v>4</v>
      </c>
      <c r="AQ86" s="116"/>
      <c r="AR86" s="116">
        <v>17</v>
      </c>
      <c r="AS86" s="114">
        <v>23</v>
      </c>
      <c r="AT86" s="73">
        <f t="shared" si="74"/>
        <v>40</v>
      </c>
      <c r="AU86" s="284"/>
      <c r="AV86" s="73">
        <f t="shared" si="21"/>
        <v>5</v>
      </c>
      <c r="AW86" s="108">
        <v>14</v>
      </c>
      <c r="AX86" s="114">
        <v>25</v>
      </c>
      <c r="AY86" s="115">
        <f t="shared" si="63"/>
        <v>39</v>
      </c>
      <c r="AZ86" s="114">
        <v>20</v>
      </c>
      <c r="BA86" s="74">
        <f t="shared" si="64"/>
        <v>59</v>
      </c>
      <c r="BB86" s="281"/>
      <c r="BC86" s="73">
        <f t="shared" si="24"/>
        <v>3</v>
      </c>
      <c r="BD86" s="108">
        <v>7</v>
      </c>
      <c r="BE86" s="114">
        <v>20</v>
      </c>
      <c r="BF86" s="115">
        <f t="shared" si="47"/>
        <v>27</v>
      </c>
      <c r="BG86" s="114">
        <v>10</v>
      </c>
      <c r="BH86" s="114">
        <v>22</v>
      </c>
      <c r="BI86" s="74">
        <f t="shared" si="65"/>
        <v>59</v>
      </c>
      <c r="BJ86" s="284"/>
      <c r="BK86" s="73">
        <f t="shared" si="3"/>
        <v>3</v>
      </c>
      <c r="BL86" s="108">
        <v>5</v>
      </c>
      <c r="BM86" s="114">
        <v>21</v>
      </c>
      <c r="BN86" s="115">
        <f t="shared" si="48"/>
        <v>26</v>
      </c>
      <c r="BO86" s="114">
        <v>10</v>
      </c>
      <c r="BP86" s="114">
        <v>22</v>
      </c>
      <c r="BQ86" s="74">
        <f t="shared" si="66"/>
        <v>58</v>
      </c>
      <c r="BR86" s="281"/>
      <c r="BS86" s="73">
        <f t="shared" si="67"/>
        <v>3</v>
      </c>
      <c r="BT86" s="108">
        <v>8</v>
      </c>
      <c r="BU86" s="114">
        <v>25</v>
      </c>
      <c r="BV86" s="115">
        <f t="shared" si="49"/>
        <v>33</v>
      </c>
      <c r="BW86" s="114">
        <v>14</v>
      </c>
      <c r="BX86" s="114">
        <v>22</v>
      </c>
      <c r="BY86" s="74">
        <f t="shared" si="68"/>
        <v>69</v>
      </c>
      <c r="BZ86" s="284"/>
      <c r="CA86" s="73">
        <f t="shared" si="69"/>
        <v>3.5</v>
      </c>
      <c r="CB86" s="108">
        <v>8</v>
      </c>
      <c r="CC86" s="114">
        <v>26</v>
      </c>
      <c r="CD86" s="115">
        <f t="shared" si="50"/>
        <v>34</v>
      </c>
      <c r="CE86" s="114">
        <v>12</v>
      </c>
      <c r="CF86" s="114">
        <v>22</v>
      </c>
      <c r="CG86" s="74">
        <f t="shared" si="70"/>
        <v>68</v>
      </c>
      <c r="CH86" s="281"/>
      <c r="CI86" s="75">
        <f t="shared" si="71"/>
        <v>3.5</v>
      </c>
      <c r="CJ86" s="73">
        <f t="shared" si="53"/>
        <v>30</v>
      </c>
      <c r="CK86" s="76">
        <f t="shared" si="72"/>
        <v>3.3333333333333335</v>
      </c>
      <c r="CL86" s="77" t="str">
        <f t="shared" si="73"/>
        <v>B</v>
      </c>
      <c r="CM86" s="39" t="str">
        <f t="shared" si="54"/>
        <v>GOOD</v>
      </c>
      <c r="CN86" s="38">
        <f t="shared" si="55"/>
        <v>677.70600000000002</v>
      </c>
      <c r="CO86" s="37">
        <f t="shared" si="56"/>
        <v>51</v>
      </c>
      <c r="CP86" s="40"/>
    </row>
    <row r="87" spans="1:94" s="41" customFormat="1" ht="20.100000000000001" customHeight="1">
      <c r="A87" s="40">
        <v>80</v>
      </c>
      <c r="B87" s="56">
        <v>149</v>
      </c>
      <c r="C87" s="69" t="s">
        <v>396</v>
      </c>
      <c r="D87" s="69" t="s">
        <v>397</v>
      </c>
      <c r="E87" s="69" t="s">
        <v>398</v>
      </c>
      <c r="F87" s="98" t="s">
        <v>399</v>
      </c>
      <c r="G87" s="113">
        <v>16</v>
      </c>
      <c r="H87" s="114">
        <v>31</v>
      </c>
      <c r="I87" s="115">
        <f t="shared" si="41"/>
        <v>47</v>
      </c>
      <c r="J87" s="114">
        <v>11</v>
      </c>
      <c r="K87" s="115">
        <f t="shared" si="42"/>
        <v>58</v>
      </c>
      <c r="L87" s="108">
        <v>17</v>
      </c>
      <c r="M87" s="114">
        <v>36</v>
      </c>
      <c r="N87" s="115">
        <f t="shared" si="40"/>
        <v>42.704000000000001</v>
      </c>
      <c r="O87" s="114">
        <v>12</v>
      </c>
      <c r="P87" s="74">
        <f t="shared" si="57"/>
        <v>54.704000000000001</v>
      </c>
      <c r="Q87" s="74">
        <f t="shared" si="58"/>
        <v>112.70400000000001</v>
      </c>
      <c r="R87" s="281"/>
      <c r="S87" s="73">
        <f t="shared" si="59"/>
        <v>3</v>
      </c>
      <c r="T87" s="108">
        <v>20</v>
      </c>
      <c r="U87" s="114">
        <v>60</v>
      </c>
      <c r="V87" s="115">
        <f t="shared" si="43"/>
        <v>80</v>
      </c>
      <c r="W87" s="108">
        <v>14</v>
      </c>
      <c r="X87" s="114">
        <v>34</v>
      </c>
      <c r="Y87" s="115">
        <f t="shared" si="44"/>
        <v>48</v>
      </c>
      <c r="Z87" s="74">
        <f t="shared" si="60"/>
        <v>128</v>
      </c>
      <c r="AA87" s="281"/>
      <c r="AB87" s="73">
        <f t="shared" si="0"/>
        <v>3.5</v>
      </c>
      <c r="AC87" s="108">
        <v>20</v>
      </c>
      <c r="AD87" s="114">
        <v>0</v>
      </c>
      <c r="AE87" s="115">
        <f t="shared" si="45"/>
        <v>20</v>
      </c>
      <c r="AF87" s="114">
        <v>0</v>
      </c>
      <c r="AG87" s="74">
        <f t="shared" si="61"/>
        <v>20</v>
      </c>
      <c r="AH87" s="281"/>
      <c r="AI87" s="73" t="str">
        <f t="shared" si="51"/>
        <v>F</v>
      </c>
      <c r="AJ87" s="108">
        <v>17</v>
      </c>
      <c r="AK87" s="114">
        <v>41</v>
      </c>
      <c r="AL87" s="115">
        <f t="shared" si="46"/>
        <v>58</v>
      </c>
      <c r="AM87" s="114">
        <v>13</v>
      </c>
      <c r="AN87" s="74">
        <f t="shared" si="62"/>
        <v>71</v>
      </c>
      <c r="AO87" s="281"/>
      <c r="AP87" s="73">
        <f t="shared" si="52"/>
        <v>4</v>
      </c>
      <c r="AQ87" s="116"/>
      <c r="AR87" s="116">
        <v>18</v>
      </c>
      <c r="AS87" s="114">
        <v>23</v>
      </c>
      <c r="AT87" s="73">
        <f t="shared" si="74"/>
        <v>41</v>
      </c>
      <c r="AU87" s="284"/>
      <c r="AV87" s="73">
        <f t="shared" si="21"/>
        <v>5</v>
      </c>
      <c r="AW87" s="108">
        <v>14</v>
      </c>
      <c r="AX87" s="114">
        <v>34</v>
      </c>
      <c r="AY87" s="115">
        <f t="shared" si="63"/>
        <v>48</v>
      </c>
      <c r="AZ87" s="114">
        <v>16</v>
      </c>
      <c r="BA87" s="74">
        <f t="shared" si="64"/>
        <v>64</v>
      </c>
      <c r="BB87" s="281"/>
      <c r="BC87" s="73">
        <f t="shared" si="24"/>
        <v>3.5</v>
      </c>
      <c r="BD87" s="108">
        <v>7</v>
      </c>
      <c r="BE87" s="114">
        <v>18</v>
      </c>
      <c r="BF87" s="115">
        <f t="shared" si="47"/>
        <v>25</v>
      </c>
      <c r="BG87" s="114">
        <v>10</v>
      </c>
      <c r="BH87" s="114">
        <v>22</v>
      </c>
      <c r="BI87" s="74">
        <f t="shared" si="65"/>
        <v>57</v>
      </c>
      <c r="BJ87" s="284"/>
      <c r="BK87" s="73">
        <f t="shared" si="3"/>
        <v>3</v>
      </c>
      <c r="BL87" s="108">
        <v>6</v>
      </c>
      <c r="BM87" s="114">
        <v>6</v>
      </c>
      <c r="BN87" s="115">
        <f t="shared" si="48"/>
        <v>12</v>
      </c>
      <c r="BO87" s="114">
        <v>10</v>
      </c>
      <c r="BP87" s="114">
        <v>22</v>
      </c>
      <c r="BQ87" s="74">
        <f t="shared" si="66"/>
        <v>44</v>
      </c>
      <c r="BR87" s="281"/>
      <c r="BS87" s="73" t="str">
        <f t="shared" si="67"/>
        <v>F</v>
      </c>
      <c r="BT87" s="108">
        <v>9</v>
      </c>
      <c r="BU87" s="114">
        <v>28</v>
      </c>
      <c r="BV87" s="115">
        <f t="shared" si="49"/>
        <v>37</v>
      </c>
      <c r="BW87" s="114">
        <v>10</v>
      </c>
      <c r="BX87" s="114">
        <v>22</v>
      </c>
      <c r="BY87" s="74">
        <f t="shared" si="68"/>
        <v>69</v>
      </c>
      <c r="BZ87" s="284"/>
      <c r="CA87" s="73">
        <f t="shared" si="69"/>
        <v>3.5</v>
      </c>
      <c r="CB87" s="108">
        <v>5</v>
      </c>
      <c r="CC87" s="114">
        <v>17</v>
      </c>
      <c r="CD87" s="115">
        <f t="shared" si="50"/>
        <v>22</v>
      </c>
      <c r="CE87" s="114">
        <v>14</v>
      </c>
      <c r="CF87" s="114">
        <v>22</v>
      </c>
      <c r="CG87" s="74">
        <f t="shared" si="70"/>
        <v>58</v>
      </c>
      <c r="CH87" s="281"/>
      <c r="CI87" s="75">
        <f t="shared" si="71"/>
        <v>3</v>
      </c>
      <c r="CJ87" s="73" t="str">
        <f t="shared" si="53"/>
        <v>F</v>
      </c>
      <c r="CK87" s="76" t="str">
        <f t="shared" si="72"/>
        <v>F</v>
      </c>
      <c r="CL87" s="77" t="str">
        <f t="shared" si="73"/>
        <v>F</v>
      </c>
      <c r="CM87" s="39" t="str">
        <f t="shared" si="54"/>
        <v>NEED TO PROGRESS</v>
      </c>
      <c r="CN87" s="38">
        <f t="shared" si="55"/>
        <v>664.70399999999995</v>
      </c>
      <c r="CO87" s="37" t="str">
        <f t="shared" si="56"/>
        <v>F</v>
      </c>
      <c r="CP87" s="40"/>
    </row>
    <row r="88" spans="1:94" s="41" customFormat="1" ht="20.100000000000001" customHeight="1">
      <c r="A88" s="40">
        <v>81</v>
      </c>
      <c r="B88" s="56">
        <v>150</v>
      </c>
      <c r="C88" s="69" t="s">
        <v>63</v>
      </c>
      <c r="D88" s="69" t="s">
        <v>400</v>
      </c>
      <c r="E88" s="69" t="s">
        <v>401</v>
      </c>
      <c r="F88" s="98" t="s">
        <v>402</v>
      </c>
      <c r="G88" s="113">
        <v>18</v>
      </c>
      <c r="H88" s="114">
        <v>26</v>
      </c>
      <c r="I88" s="115">
        <f t="shared" si="41"/>
        <v>44</v>
      </c>
      <c r="J88" s="114">
        <v>13</v>
      </c>
      <c r="K88" s="115">
        <f t="shared" si="42"/>
        <v>57</v>
      </c>
      <c r="L88" s="108">
        <v>18</v>
      </c>
      <c r="M88" s="114">
        <v>34</v>
      </c>
      <c r="N88" s="115">
        <f t="shared" si="40"/>
        <v>42.275999999999996</v>
      </c>
      <c r="O88" s="114">
        <v>12</v>
      </c>
      <c r="P88" s="74">
        <f t="shared" si="57"/>
        <v>54.275999999999996</v>
      </c>
      <c r="Q88" s="74">
        <f t="shared" si="58"/>
        <v>111.276</v>
      </c>
      <c r="R88" s="281"/>
      <c r="S88" s="73">
        <f t="shared" si="59"/>
        <v>3</v>
      </c>
      <c r="T88" s="108">
        <v>17</v>
      </c>
      <c r="U88" s="114">
        <v>37</v>
      </c>
      <c r="V88" s="115">
        <f t="shared" si="43"/>
        <v>54</v>
      </c>
      <c r="W88" s="108">
        <v>9</v>
      </c>
      <c r="X88" s="114">
        <v>24</v>
      </c>
      <c r="Y88" s="115">
        <f t="shared" si="44"/>
        <v>33</v>
      </c>
      <c r="Z88" s="74">
        <f t="shared" si="60"/>
        <v>87</v>
      </c>
      <c r="AA88" s="281"/>
      <c r="AB88" s="73">
        <f t="shared" si="0"/>
        <v>2</v>
      </c>
      <c r="AC88" s="108">
        <v>19</v>
      </c>
      <c r="AD88" s="114">
        <v>21</v>
      </c>
      <c r="AE88" s="115">
        <f t="shared" si="45"/>
        <v>40</v>
      </c>
      <c r="AF88" s="114">
        <v>24</v>
      </c>
      <c r="AG88" s="74">
        <f t="shared" si="61"/>
        <v>64</v>
      </c>
      <c r="AH88" s="281"/>
      <c r="AI88" s="73">
        <f t="shared" si="51"/>
        <v>3.5</v>
      </c>
      <c r="AJ88" s="108">
        <v>18</v>
      </c>
      <c r="AK88" s="114">
        <v>38</v>
      </c>
      <c r="AL88" s="115">
        <f t="shared" si="46"/>
        <v>56</v>
      </c>
      <c r="AM88" s="114">
        <v>19</v>
      </c>
      <c r="AN88" s="74">
        <f t="shared" si="62"/>
        <v>75</v>
      </c>
      <c r="AO88" s="281"/>
      <c r="AP88" s="73">
        <f t="shared" si="52"/>
        <v>4</v>
      </c>
      <c r="AQ88" s="116"/>
      <c r="AR88" s="116">
        <v>19</v>
      </c>
      <c r="AS88" s="114">
        <v>23</v>
      </c>
      <c r="AT88" s="73">
        <f t="shared" si="74"/>
        <v>42</v>
      </c>
      <c r="AU88" s="284"/>
      <c r="AV88" s="73">
        <f t="shared" si="21"/>
        <v>5</v>
      </c>
      <c r="AW88" s="108">
        <v>13</v>
      </c>
      <c r="AX88" s="114">
        <v>22</v>
      </c>
      <c r="AY88" s="115">
        <f t="shared" si="63"/>
        <v>35</v>
      </c>
      <c r="AZ88" s="114">
        <v>17</v>
      </c>
      <c r="BA88" s="74">
        <f t="shared" si="64"/>
        <v>52</v>
      </c>
      <c r="BB88" s="281"/>
      <c r="BC88" s="73">
        <f t="shared" si="24"/>
        <v>3</v>
      </c>
      <c r="BD88" s="108">
        <v>7</v>
      </c>
      <c r="BE88" s="114">
        <v>16</v>
      </c>
      <c r="BF88" s="115">
        <f t="shared" si="47"/>
        <v>23</v>
      </c>
      <c r="BG88" s="114">
        <v>10</v>
      </c>
      <c r="BH88" s="114">
        <v>22</v>
      </c>
      <c r="BI88" s="74">
        <f t="shared" si="65"/>
        <v>55</v>
      </c>
      <c r="BJ88" s="284"/>
      <c r="BK88" s="73">
        <f t="shared" si="3"/>
        <v>3</v>
      </c>
      <c r="BL88" s="108">
        <v>8</v>
      </c>
      <c r="BM88" s="114">
        <v>16</v>
      </c>
      <c r="BN88" s="115">
        <f t="shared" si="48"/>
        <v>24</v>
      </c>
      <c r="BO88" s="114">
        <v>10</v>
      </c>
      <c r="BP88" s="114">
        <v>22</v>
      </c>
      <c r="BQ88" s="74">
        <f t="shared" si="66"/>
        <v>56</v>
      </c>
      <c r="BR88" s="281"/>
      <c r="BS88" s="73">
        <f t="shared" si="67"/>
        <v>3</v>
      </c>
      <c r="BT88" s="108">
        <v>10</v>
      </c>
      <c r="BU88" s="114">
        <v>25</v>
      </c>
      <c r="BV88" s="115">
        <f t="shared" si="49"/>
        <v>35</v>
      </c>
      <c r="BW88" s="114">
        <v>13</v>
      </c>
      <c r="BX88" s="114">
        <v>22</v>
      </c>
      <c r="BY88" s="74">
        <f t="shared" si="68"/>
        <v>70</v>
      </c>
      <c r="BZ88" s="284"/>
      <c r="CA88" s="73">
        <f t="shared" si="69"/>
        <v>4</v>
      </c>
      <c r="CB88" s="108">
        <v>3</v>
      </c>
      <c r="CC88" s="114">
        <v>12</v>
      </c>
      <c r="CD88" s="115">
        <f t="shared" si="50"/>
        <v>15</v>
      </c>
      <c r="CE88" s="114">
        <v>13</v>
      </c>
      <c r="CF88" s="114">
        <v>22</v>
      </c>
      <c r="CG88" s="74">
        <f t="shared" si="70"/>
        <v>50</v>
      </c>
      <c r="CH88" s="281"/>
      <c r="CI88" s="75" t="str">
        <f t="shared" si="71"/>
        <v>0</v>
      </c>
      <c r="CJ88" s="73">
        <f t="shared" si="53"/>
        <v>28.5</v>
      </c>
      <c r="CK88" s="76">
        <f t="shared" si="72"/>
        <v>3.1666666666666665</v>
      </c>
      <c r="CL88" s="77" t="str">
        <f t="shared" si="73"/>
        <v>B</v>
      </c>
      <c r="CM88" s="39" t="str">
        <f t="shared" si="54"/>
        <v>GOOD</v>
      </c>
      <c r="CN88" s="38">
        <f t="shared" si="55"/>
        <v>662.27600000000007</v>
      </c>
      <c r="CO88" s="37">
        <f t="shared" si="56"/>
        <v>59</v>
      </c>
      <c r="CP88" s="40"/>
    </row>
    <row r="89" spans="1:94" s="41" customFormat="1" ht="20.100000000000001" customHeight="1">
      <c r="A89" s="40">
        <v>82</v>
      </c>
      <c r="B89" s="56">
        <v>151</v>
      </c>
      <c r="C89" s="69" t="s">
        <v>403</v>
      </c>
      <c r="D89" s="69" t="s">
        <v>404</v>
      </c>
      <c r="E89" s="69" t="s">
        <v>405</v>
      </c>
      <c r="F89" s="98" t="s">
        <v>406</v>
      </c>
      <c r="G89" s="108">
        <v>0</v>
      </c>
      <c r="H89" s="114">
        <v>25</v>
      </c>
      <c r="I89" s="115">
        <f t="shared" si="41"/>
        <v>25</v>
      </c>
      <c r="J89" s="114">
        <v>16</v>
      </c>
      <c r="K89" s="115">
        <f t="shared" si="42"/>
        <v>41</v>
      </c>
      <c r="L89" s="108">
        <v>0</v>
      </c>
      <c r="M89" s="114">
        <v>32</v>
      </c>
      <c r="N89" s="115">
        <f t="shared" si="40"/>
        <v>22.847999999999999</v>
      </c>
      <c r="O89" s="114">
        <v>11</v>
      </c>
      <c r="P89" s="74">
        <f t="shared" si="57"/>
        <v>33.847999999999999</v>
      </c>
      <c r="Q89" s="74">
        <f t="shared" si="58"/>
        <v>74.847999999999999</v>
      </c>
      <c r="R89" s="281"/>
      <c r="S89" s="73" t="str">
        <f t="shared" si="59"/>
        <v>F</v>
      </c>
      <c r="T89" s="108">
        <v>0</v>
      </c>
      <c r="U89" s="114">
        <v>34</v>
      </c>
      <c r="V89" s="115">
        <f t="shared" si="43"/>
        <v>34</v>
      </c>
      <c r="W89" s="108">
        <v>0</v>
      </c>
      <c r="X89" s="114">
        <v>32</v>
      </c>
      <c r="Y89" s="115">
        <f>X89+W89</f>
        <v>32</v>
      </c>
      <c r="Z89" s="74">
        <f t="shared" si="60"/>
        <v>66</v>
      </c>
      <c r="AA89" s="281"/>
      <c r="AB89" s="73" t="str">
        <f t="shared" si="0"/>
        <v>F</v>
      </c>
      <c r="AC89" s="108">
        <v>0</v>
      </c>
      <c r="AD89" s="114">
        <v>10</v>
      </c>
      <c r="AE89" s="115">
        <f t="shared" si="45"/>
        <v>10</v>
      </c>
      <c r="AF89" s="114">
        <v>18</v>
      </c>
      <c r="AG89" s="74">
        <f t="shared" si="61"/>
        <v>28</v>
      </c>
      <c r="AH89" s="281"/>
      <c r="AI89" s="73" t="str">
        <f t="shared" si="51"/>
        <v>F</v>
      </c>
      <c r="AJ89" s="108">
        <v>0</v>
      </c>
      <c r="AK89" s="114">
        <v>39</v>
      </c>
      <c r="AL89" s="115">
        <f t="shared" si="46"/>
        <v>39</v>
      </c>
      <c r="AM89" s="114">
        <v>13</v>
      </c>
      <c r="AN89" s="74">
        <f t="shared" si="62"/>
        <v>52</v>
      </c>
      <c r="AO89" s="281"/>
      <c r="AP89" s="73">
        <f t="shared" si="52"/>
        <v>3</v>
      </c>
      <c r="AQ89" s="116"/>
      <c r="AR89" s="116">
        <v>18</v>
      </c>
      <c r="AS89" s="114">
        <v>23</v>
      </c>
      <c r="AT89" s="73">
        <f t="shared" si="74"/>
        <v>41</v>
      </c>
      <c r="AU89" s="284"/>
      <c r="AV89" s="73">
        <f t="shared" si="21"/>
        <v>5</v>
      </c>
      <c r="AW89" s="108">
        <v>0</v>
      </c>
      <c r="AX89" s="114">
        <v>25</v>
      </c>
      <c r="AY89" s="115">
        <f t="shared" si="63"/>
        <v>25</v>
      </c>
      <c r="AZ89" s="114">
        <v>18</v>
      </c>
      <c r="BA89" s="74">
        <f t="shared" si="64"/>
        <v>43</v>
      </c>
      <c r="BB89" s="281"/>
      <c r="BC89" s="73" t="str">
        <f t="shared" si="24"/>
        <v>F</v>
      </c>
      <c r="BD89" s="108">
        <v>0</v>
      </c>
      <c r="BE89" s="114">
        <v>6</v>
      </c>
      <c r="BF89" s="115">
        <f t="shared" si="47"/>
        <v>6</v>
      </c>
      <c r="BG89" s="114">
        <v>10</v>
      </c>
      <c r="BH89" s="114">
        <v>22</v>
      </c>
      <c r="BI89" s="74">
        <f t="shared" si="65"/>
        <v>38</v>
      </c>
      <c r="BJ89" s="284"/>
      <c r="BK89" s="73" t="str">
        <f t="shared" si="3"/>
        <v>F</v>
      </c>
      <c r="BL89" s="108">
        <v>0</v>
      </c>
      <c r="BM89" s="114">
        <v>10</v>
      </c>
      <c r="BN89" s="115">
        <f t="shared" si="48"/>
        <v>10</v>
      </c>
      <c r="BO89" s="114">
        <v>10</v>
      </c>
      <c r="BP89" s="114">
        <v>22</v>
      </c>
      <c r="BQ89" s="74">
        <f t="shared" si="66"/>
        <v>42</v>
      </c>
      <c r="BR89" s="281"/>
      <c r="BS89" s="73" t="str">
        <f t="shared" si="67"/>
        <v>F</v>
      </c>
      <c r="BT89" s="108">
        <v>3</v>
      </c>
      <c r="BU89" s="114">
        <v>24</v>
      </c>
      <c r="BV89" s="115">
        <f t="shared" si="49"/>
        <v>27</v>
      </c>
      <c r="BW89" s="114">
        <v>12</v>
      </c>
      <c r="BX89" s="114">
        <v>22</v>
      </c>
      <c r="BY89" s="74">
        <f t="shared" si="68"/>
        <v>61</v>
      </c>
      <c r="BZ89" s="284"/>
      <c r="CA89" s="73">
        <f t="shared" si="69"/>
        <v>3.5</v>
      </c>
      <c r="CB89" s="108">
        <v>0</v>
      </c>
      <c r="CC89" s="114">
        <v>10</v>
      </c>
      <c r="CD89" s="115">
        <f t="shared" si="50"/>
        <v>10</v>
      </c>
      <c r="CE89" s="114">
        <v>12</v>
      </c>
      <c r="CF89" s="114">
        <v>22</v>
      </c>
      <c r="CG89" s="74">
        <f t="shared" si="70"/>
        <v>44</v>
      </c>
      <c r="CH89" s="281"/>
      <c r="CI89" s="75" t="str">
        <f t="shared" si="71"/>
        <v>0</v>
      </c>
      <c r="CJ89" s="73" t="str">
        <f t="shared" si="53"/>
        <v>F</v>
      </c>
      <c r="CK89" s="76" t="str">
        <f t="shared" si="72"/>
        <v>F</v>
      </c>
      <c r="CL89" s="77" t="str">
        <f t="shared" si="73"/>
        <v>F</v>
      </c>
      <c r="CM89" s="39" t="str">
        <f t="shared" si="54"/>
        <v>NEED TO PROGRESS</v>
      </c>
      <c r="CN89" s="38">
        <f t="shared" si="55"/>
        <v>489.84800000000001</v>
      </c>
      <c r="CO89" s="37" t="str">
        <f t="shared" si="56"/>
        <v>F</v>
      </c>
      <c r="CP89" s="40"/>
    </row>
    <row r="90" spans="1:94" s="41" customFormat="1" ht="20.100000000000001" customHeight="1">
      <c r="A90" s="40">
        <v>83</v>
      </c>
      <c r="B90" s="56">
        <v>153</v>
      </c>
      <c r="C90" s="69" t="s">
        <v>407</v>
      </c>
      <c r="D90" s="69"/>
      <c r="E90" s="69"/>
      <c r="F90" s="98"/>
      <c r="G90" s="108">
        <v>0</v>
      </c>
      <c r="H90" s="114">
        <v>36</v>
      </c>
      <c r="I90" s="115">
        <f t="shared" si="41"/>
        <v>36</v>
      </c>
      <c r="J90" s="114">
        <v>11</v>
      </c>
      <c r="K90" s="115">
        <f t="shared" si="42"/>
        <v>47</v>
      </c>
      <c r="L90" s="108">
        <v>0</v>
      </c>
      <c r="M90" s="114">
        <v>33</v>
      </c>
      <c r="N90" s="115">
        <f t="shared" si="40"/>
        <v>23.561999999999998</v>
      </c>
      <c r="O90" s="114">
        <v>18</v>
      </c>
      <c r="P90" s="74">
        <f t="shared" si="57"/>
        <v>41.561999999999998</v>
      </c>
      <c r="Q90" s="74">
        <f t="shared" si="58"/>
        <v>88.561999999999998</v>
      </c>
      <c r="R90" s="281"/>
      <c r="S90" s="73">
        <f t="shared" si="59"/>
        <v>2</v>
      </c>
      <c r="T90" s="108">
        <v>0</v>
      </c>
      <c r="U90" s="114">
        <v>70</v>
      </c>
      <c r="V90" s="115">
        <f t="shared" si="43"/>
        <v>70</v>
      </c>
      <c r="W90" s="108">
        <v>0</v>
      </c>
      <c r="X90" s="114">
        <v>53</v>
      </c>
      <c r="Y90" s="115">
        <f t="shared" ref="Y90:Y94" si="75">X90+W90</f>
        <v>53</v>
      </c>
      <c r="Z90" s="74">
        <f t="shared" si="60"/>
        <v>123</v>
      </c>
      <c r="AA90" s="281"/>
      <c r="AB90" s="73">
        <f t="shared" si="0"/>
        <v>3.5</v>
      </c>
      <c r="AC90" s="108">
        <v>0</v>
      </c>
      <c r="AD90" s="114">
        <v>41</v>
      </c>
      <c r="AE90" s="115">
        <f t="shared" si="45"/>
        <v>41</v>
      </c>
      <c r="AF90" s="114">
        <v>21</v>
      </c>
      <c r="AG90" s="74">
        <f t="shared" si="61"/>
        <v>62</v>
      </c>
      <c r="AH90" s="281"/>
      <c r="AI90" s="73">
        <f t="shared" si="51"/>
        <v>3.5</v>
      </c>
      <c r="AJ90" s="108">
        <v>0</v>
      </c>
      <c r="AK90" s="114">
        <v>39</v>
      </c>
      <c r="AL90" s="115">
        <f t="shared" si="46"/>
        <v>39</v>
      </c>
      <c r="AM90" s="114">
        <v>23</v>
      </c>
      <c r="AN90" s="74">
        <f t="shared" si="62"/>
        <v>62</v>
      </c>
      <c r="AO90" s="281"/>
      <c r="AP90" s="73">
        <f t="shared" si="52"/>
        <v>3.5</v>
      </c>
      <c r="AQ90" s="116"/>
      <c r="AR90" s="116">
        <v>18</v>
      </c>
      <c r="AS90" s="114">
        <v>23</v>
      </c>
      <c r="AT90" s="73">
        <f t="shared" si="74"/>
        <v>41</v>
      </c>
      <c r="AU90" s="284"/>
      <c r="AV90" s="73">
        <f t="shared" si="21"/>
        <v>5</v>
      </c>
      <c r="AW90" s="108">
        <v>0</v>
      </c>
      <c r="AX90" s="114">
        <v>27</v>
      </c>
      <c r="AY90" s="115">
        <f t="shared" si="63"/>
        <v>27</v>
      </c>
      <c r="AZ90" s="114">
        <v>22</v>
      </c>
      <c r="BA90" s="74">
        <f t="shared" si="64"/>
        <v>49</v>
      </c>
      <c r="BB90" s="281"/>
      <c r="BC90" s="73" t="str">
        <f t="shared" si="24"/>
        <v>F</v>
      </c>
      <c r="BD90" s="108">
        <v>0</v>
      </c>
      <c r="BE90" s="114">
        <v>25</v>
      </c>
      <c r="BF90" s="115">
        <f t="shared" si="47"/>
        <v>25</v>
      </c>
      <c r="BG90" s="114">
        <v>10</v>
      </c>
      <c r="BH90" s="114">
        <v>22</v>
      </c>
      <c r="BI90" s="74">
        <f t="shared" si="65"/>
        <v>57</v>
      </c>
      <c r="BJ90" s="284"/>
      <c r="BK90" s="73">
        <f t="shared" si="3"/>
        <v>3</v>
      </c>
      <c r="BL90" s="108">
        <v>0</v>
      </c>
      <c r="BM90" s="114">
        <v>30</v>
      </c>
      <c r="BN90" s="115">
        <f t="shared" si="48"/>
        <v>30</v>
      </c>
      <c r="BO90" s="114">
        <v>16</v>
      </c>
      <c r="BP90" s="114">
        <v>22</v>
      </c>
      <c r="BQ90" s="74">
        <f t="shared" si="66"/>
        <v>68</v>
      </c>
      <c r="BR90" s="281"/>
      <c r="BS90" s="73">
        <f t="shared" si="67"/>
        <v>3.5</v>
      </c>
      <c r="BT90" s="108">
        <v>0</v>
      </c>
      <c r="BU90" s="114">
        <v>36</v>
      </c>
      <c r="BV90" s="115">
        <f t="shared" si="49"/>
        <v>36</v>
      </c>
      <c r="BW90" s="114">
        <v>20</v>
      </c>
      <c r="BX90" s="114">
        <v>22</v>
      </c>
      <c r="BY90" s="74">
        <f t="shared" si="68"/>
        <v>78</v>
      </c>
      <c r="BZ90" s="284"/>
      <c r="CA90" s="73">
        <f t="shared" si="69"/>
        <v>4</v>
      </c>
      <c r="CB90" s="108">
        <v>0</v>
      </c>
      <c r="CC90" s="114">
        <v>20</v>
      </c>
      <c r="CD90" s="115">
        <f t="shared" si="50"/>
        <v>20</v>
      </c>
      <c r="CE90" s="114">
        <v>18</v>
      </c>
      <c r="CF90" s="114">
        <v>22</v>
      </c>
      <c r="CG90" s="74">
        <f t="shared" si="70"/>
        <v>60</v>
      </c>
      <c r="CH90" s="281"/>
      <c r="CI90" s="75">
        <f t="shared" si="71"/>
        <v>3.5</v>
      </c>
      <c r="CJ90" s="73" t="str">
        <f t="shared" si="53"/>
        <v>F</v>
      </c>
      <c r="CK90" s="76" t="str">
        <f t="shared" si="72"/>
        <v>F</v>
      </c>
      <c r="CL90" s="77" t="str">
        <f t="shared" si="73"/>
        <v>F</v>
      </c>
      <c r="CM90" s="39" t="str">
        <f t="shared" si="54"/>
        <v>NEED TO PROGRESS</v>
      </c>
      <c r="CN90" s="38">
        <f t="shared" si="55"/>
        <v>688.56200000000001</v>
      </c>
      <c r="CO90" s="37" t="str">
        <f t="shared" si="56"/>
        <v>F</v>
      </c>
      <c r="CP90" s="40"/>
    </row>
    <row r="91" spans="1:94" s="41" customFormat="1" ht="20.100000000000001" customHeight="1">
      <c r="A91" s="40">
        <v>84</v>
      </c>
      <c r="B91" s="56">
        <v>154</v>
      </c>
      <c r="C91" s="69" t="s">
        <v>408</v>
      </c>
      <c r="D91" s="69"/>
      <c r="E91" s="69"/>
      <c r="F91" s="98"/>
      <c r="G91" s="108">
        <v>0</v>
      </c>
      <c r="H91" s="114">
        <v>27</v>
      </c>
      <c r="I91" s="115">
        <f t="shared" si="41"/>
        <v>27</v>
      </c>
      <c r="J91" s="114">
        <v>14</v>
      </c>
      <c r="K91" s="115">
        <f t="shared" si="42"/>
        <v>41</v>
      </c>
      <c r="L91" s="108">
        <v>0</v>
      </c>
      <c r="M91" s="114">
        <v>39</v>
      </c>
      <c r="N91" s="115">
        <f t="shared" si="40"/>
        <v>27.846</v>
      </c>
      <c r="O91" s="114">
        <v>14</v>
      </c>
      <c r="P91" s="74">
        <f t="shared" si="57"/>
        <v>41.846000000000004</v>
      </c>
      <c r="Q91" s="74">
        <f t="shared" si="58"/>
        <v>82.846000000000004</v>
      </c>
      <c r="R91" s="281"/>
      <c r="S91" s="73" t="str">
        <f t="shared" si="59"/>
        <v>F</v>
      </c>
      <c r="T91" s="108">
        <v>0</v>
      </c>
      <c r="U91" s="114">
        <v>58</v>
      </c>
      <c r="V91" s="115">
        <f t="shared" si="43"/>
        <v>58</v>
      </c>
      <c r="W91" s="108">
        <v>0</v>
      </c>
      <c r="X91" s="114">
        <v>41</v>
      </c>
      <c r="Y91" s="115">
        <f t="shared" si="75"/>
        <v>41</v>
      </c>
      <c r="Z91" s="74">
        <f t="shared" si="60"/>
        <v>99</v>
      </c>
      <c r="AA91" s="281"/>
      <c r="AB91" s="73">
        <f t="shared" si="0"/>
        <v>2</v>
      </c>
      <c r="AC91" s="108">
        <v>0</v>
      </c>
      <c r="AD91" s="114">
        <v>20</v>
      </c>
      <c r="AE91" s="115">
        <f t="shared" si="45"/>
        <v>20</v>
      </c>
      <c r="AF91" s="114">
        <v>13</v>
      </c>
      <c r="AG91" s="74">
        <f t="shared" si="61"/>
        <v>33</v>
      </c>
      <c r="AH91" s="281"/>
      <c r="AI91" s="73" t="str">
        <f t="shared" si="51"/>
        <v>F</v>
      </c>
      <c r="AJ91" s="108">
        <v>0</v>
      </c>
      <c r="AK91" s="114">
        <v>49</v>
      </c>
      <c r="AL91" s="115">
        <f t="shared" si="46"/>
        <v>49</v>
      </c>
      <c r="AM91" s="114">
        <v>12</v>
      </c>
      <c r="AN91" s="74">
        <f t="shared" si="62"/>
        <v>61</v>
      </c>
      <c r="AO91" s="281"/>
      <c r="AP91" s="73">
        <f t="shared" si="52"/>
        <v>3.5</v>
      </c>
      <c r="AQ91" s="116"/>
      <c r="AR91" s="116">
        <v>20</v>
      </c>
      <c r="AS91" s="114">
        <v>23</v>
      </c>
      <c r="AT91" s="73">
        <f t="shared" si="74"/>
        <v>43</v>
      </c>
      <c r="AU91" s="284"/>
      <c r="AV91" s="73">
        <f t="shared" si="21"/>
        <v>5</v>
      </c>
      <c r="AW91" s="108">
        <v>0</v>
      </c>
      <c r="AX91" s="114">
        <v>25</v>
      </c>
      <c r="AY91" s="115">
        <f t="shared" si="63"/>
        <v>25</v>
      </c>
      <c r="AZ91" s="114">
        <v>15</v>
      </c>
      <c r="BA91" s="74">
        <f t="shared" si="64"/>
        <v>40</v>
      </c>
      <c r="BB91" s="281"/>
      <c r="BC91" s="73" t="str">
        <f t="shared" si="24"/>
        <v>F</v>
      </c>
      <c r="BD91" s="108">
        <v>0</v>
      </c>
      <c r="BE91" s="114">
        <v>6</v>
      </c>
      <c r="BF91" s="115">
        <f t="shared" si="47"/>
        <v>6</v>
      </c>
      <c r="BG91" s="114">
        <v>10</v>
      </c>
      <c r="BH91" s="114">
        <v>22</v>
      </c>
      <c r="BI91" s="74">
        <f t="shared" si="65"/>
        <v>38</v>
      </c>
      <c r="BJ91" s="284"/>
      <c r="BK91" s="73" t="str">
        <f t="shared" si="3"/>
        <v>F</v>
      </c>
      <c r="BL91" s="108">
        <v>0</v>
      </c>
      <c r="BM91" s="114">
        <v>20</v>
      </c>
      <c r="BN91" s="115">
        <f t="shared" si="48"/>
        <v>20</v>
      </c>
      <c r="BO91" s="114">
        <v>10</v>
      </c>
      <c r="BP91" s="114">
        <v>22</v>
      </c>
      <c r="BQ91" s="74">
        <f t="shared" si="66"/>
        <v>52</v>
      </c>
      <c r="BR91" s="281"/>
      <c r="BS91" s="73">
        <f t="shared" si="67"/>
        <v>3</v>
      </c>
      <c r="BT91" s="108">
        <v>0</v>
      </c>
      <c r="BU91" s="114">
        <v>34</v>
      </c>
      <c r="BV91" s="115">
        <f t="shared" si="49"/>
        <v>34</v>
      </c>
      <c r="BW91" s="114">
        <v>14</v>
      </c>
      <c r="BX91" s="114">
        <v>22</v>
      </c>
      <c r="BY91" s="74">
        <f t="shared" si="68"/>
        <v>70</v>
      </c>
      <c r="BZ91" s="284"/>
      <c r="CA91" s="73">
        <f t="shared" si="69"/>
        <v>4</v>
      </c>
      <c r="CB91" s="108">
        <v>0</v>
      </c>
      <c r="CC91" s="114">
        <v>12</v>
      </c>
      <c r="CD91" s="115">
        <f t="shared" si="50"/>
        <v>12</v>
      </c>
      <c r="CE91" s="114">
        <v>5</v>
      </c>
      <c r="CF91" s="114">
        <v>22</v>
      </c>
      <c r="CG91" s="74">
        <f t="shared" si="70"/>
        <v>39</v>
      </c>
      <c r="CH91" s="281"/>
      <c r="CI91" s="75" t="str">
        <f t="shared" si="71"/>
        <v>0</v>
      </c>
      <c r="CJ91" s="73" t="str">
        <f t="shared" si="53"/>
        <v>F</v>
      </c>
      <c r="CK91" s="76" t="str">
        <f t="shared" si="72"/>
        <v>F</v>
      </c>
      <c r="CL91" s="77" t="str">
        <f t="shared" si="73"/>
        <v>F</v>
      </c>
      <c r="CM91" s="39" t="str">
        <f t="shared" si="54"/>
        <v>NEED TO PROGRESS</v>
      </c>
      <c r="CN91" s="38">
        <f t="shared" si="55"/>
        <v>557.846</v>
      </c>
      <c r="CO91" s="37" t="str">
        <f t="shared" si="56"/>
        <v>F</v>
      </c>
      <c r="CP91" s="40"/>
    </row>
    <row r="92" spans="1:94" s="41" customFormat="1" ht="20.100000000000001" customHeight="1">
      <c r="A92" s="40">
        <v>85</v>
      </c>
      <c r="B92" s="56">
        <v>156</v>
      </c>
      <c r="C92" s="69" t="s">
        <v>409</v>
      </c>
      <c r="D92" s="69"/>
      <c r="E92" s="69"/>
      <c r="F92" s="98"/>
      <c r="G92" s="108">
        <v>0</v>
      </c>
      <c r="H92" s="114">
        <v>5</v>
      </c>
      <c r="I92" s="115">
        <f t="shared" si="41"/>
        <v>5</v>
      </c>
      <c r="J92" s="114">
        <v>13</v>
      </c>
      <c r="K92" s="115">
        <f t="shared" si="42"/>
        <v>18</v>
      </c>
      <c r="L92" s="108">
        <v>0</v>
      </c>
      <c r="M92" s="114">
        <v>17</v>
      </c>
      <c r="N92" s="115">
        <f t="shared" si="40"/>
        <v>12.138</v>
      </c>
      <c r="O92" s="114">
        <v>18</v>
      </c>
      <c r="P92" s="74">
        <f t="shared" si="57"/>
        <v>30.137999999999998</v>
      </c>
      <c r="Q92" s="74">
        <f t="shared" si="58"/>
        <v>48.137999999999998</v>
      </c>
      <c r="R92" s="281"/>
      <c r="S92" s="73" t="str">
        <f t="shared" si="59"/>
        <v>F</v>
      </c>
      <c r="T92" s="108">
        <v>0</v>
      </c>
      <c r="U92" s="114">
        <v>7</v>
      </c>
      <c r="V92" s="115">
        <f t="shared" si="43"/>
        <v>7</v>
      </c>
      <c r="W92" s="108">
        <v>0</v>
      </c>
      <c r="X92" s="114">
        <v>13</v>
      </c>
      <c r="Y92" s="115">
        <f t="shared" si="75"/>
        <v>13</v>
      </c>
      <c r="Z92" s="74">
        <f t="shared" si="60"/>
        <v>20</v>
      </c>
      <c r="AA92" s="281"/>
      <c r="AB92" s="73" t="str">
        <f t="shared" si="0"/>
        <v>F</v>
      </c>
      <c r="AC92" s="108">
        <v>0</v>
      </c>
      <c r="AD92" s="114">
        <v>4</v>
      </c>
      <c r="AE92" s="115">
        <f t="shared" si="45"/>
        <v>4</v>
      </c>
      <c r="AF92" s="114">
        <v>21</v>
      </c>
      <c r="AG92" s="74">
        <f t="shared" si="61"/>
        <v>25</v>
      </c>
      <c r="AH92" s="281"/>
      <c r="AI92" s="73" t="str">
        <f t="shared" si="51"/>
        <v>F</v>
      </c>
      <c r="AJ92" s="108">
        <v>0</v>
      </c>
      <c r="AK92" s="114">
        <v>7</v>
      </c>
      <c r="AL92" s="115">
        <f t="shared" si="46"/>
        <v>7</v>
      </c>
      <c r="AM92" s="114">
        <v>24</v>
      </c>
      <c r="AN92" s="74">
        <f t="shared" si="62"/>
        <v>31</v>
      </c>
      <c r="AO92" s="281"/>
      <c r="AP92" s="73" t="str">
        <f t="shared" si="52"/>
        <v>F</v>
      </c>
      <c r="AQ92" s="116"/>
      <c r="AR92" s="116">
        <v>14</v>
      </c>
      <c r="AS92" s="114">
        <v>23</v>
      </c>
      <c r="AT92" s="73">
        <f t="shared" si="74"/>
        <v>37</v>
      </c>
      <c r="AU92" s="284"/>
      <c r="AV92" s="73">
        <f t="shared" si="21"/>
        <v>4</v>
      </c>
      <c r="AW92" s="108">
        <v>0</v>
      </c>
      <c r="AX92" s="114">
        <v>4</v>
      </c>
      <c r="AY92" s="115">
        <f t="shared" si="63"/>
        <v>4</v>
      </c>
      <c r="AZ92" s="114">
        <v>15</v>
      </c>
      <c r="BA92" s="74">
        <f t="shared" si="64"/>
        <v>19</v>
      </c>
      <c r="BB92" s="281"/>
      <c r="BC92" s="73" t="str">
        <f t="shared" si="24"/>
        <v>F</v>
      </c>
      <c r="BD92" s="108">
        <v>0</v>
      </c>
      <c r="BE92" s="114">
        <v>2</v>
      </c>
      <c r="BF92" s="115">
        <f t="shared" si="47"/>
        <v>2</v>
      </c>
      <c r="BG92" s="114">
        <v>10</v>
      </c>
      <c r="BH92" s="114">
        <v>22</v>
      </c>
      <c r="BI92" s="74">
        <f t="shared" si="65"/>
        <v>34</v>
      </c>
      <c r="BJ92" s="284"/>
      <c r="BK92" s="73" t="str">
        <f t="shared" si="3"/>
        <v>F</v>
      </c>
      <c r="BL92" s="108">
        <v>0</v>
      </c>
      <c r="BM92" s="114">
        <v>1</v>
      </c>
      <c r="BN92" s="115">
        <f t="shared" si="48"/>
        <v>1</v>
      </c>
      <c r="BO92" s="114">
        <v>16</v>
      </c>
      <c r="BP92" s="114">
        <v>22</v>
      </c>
      <c r="BQ92" s="74">
        <f t="shared" si="66"/>
        <v>39</v>
      </c>
      <c r="BR92" s="281"/>
      <c r="BS92" s="73" t="str">
        <f t="shared" si="67"/>
        <v>F</v>
      </c>
      <c r="BT92" s="108">
        <v>0</v>
      </c>
      <c r="BU92" s="114">
        <v>1</v>
      </c>
      <c r="BV92" s="115">
        <f t="shared" si="49"/>
        <v>1</v>
      </c>
      <c r="BW92" s="114">
        <v>13</v>
      </c>
      <c r="BX92" s="114">
        <v>22</v>
      </c>
      <c r="BY92" s="74">
        <f t="shared" si="68"/>
        <v>36</v>
      </c>
      <c r="BZ92" s="284"/>
      <c r="CA92" s="73" t="str">
        <f t="shared" si="69"/>
        <v>F</v>
      </c>
      <c r="CB92" s="108">
        <v>0</v>
      </c>
      <c r="CC92" s="114">
        <v>1</v>
      </c>
      <c r="CD92" s="115">
        <f t="shared" si="50"/>
        <v>1</v>
      </c>
      <c r="CE92" s="114">
        <v>12</v>
      </c>
      <c r="CF92" s="114">
        <v>22</v>
      </c>
      <c r="CG92" s="74">
        <f t="shared" si="70"/>
        <v>35</v>
      </c>
      <c r="CH92" s="281"/>
      <c r="CI92" s="75" t="str">
        <f t="shared" si="71"/>
        <v>0</v>
      </c>
      <c r="CJ92" s="73" t="str">
        <f t="shared" si="53"/>
        <v>F</v>
      </c>
      <c r="CK92" s="76" t="str">
        <f t="shared" si="72"/>
        <v>F</v>
      </c>
      <c r="CL92" s="77" t="str">
        <f t="shared" si="73"/>
        <v>F</v>
      </c>
      <c r="CM92" s="39" t="str">
        <f t="shared" si="54"/>
        <v>NEED TO PROGRESS</v>
      </c>
      <c r="CN92" s="38">
        <f t="shared" si="55"/>
        <v>324.13800000000003</v>
      </c>
      <c r="CO92" s="37" t="str">
        <f t="shared" si="56"/>
        <v>F</v>
      </c>
      <c r="CP92" s="40"/>
    </row>
    <row r="93" spans="1:94" s="41" customFormat="1" ht="20.100000000000001" customHeight="1">
      <c r="A93" s="40">
        <v>86</v>
      </c>
      <c r="B93" s="56">
        <v>157</v>
      </c>
      <c r="C93" s="69" t="s">
        <v>410</v>
      </c>
      <c r="D93" s="69"/>
      <c r="E93" s="69"/>
      <c r="F93" s="98"/>
      <c r="G93" s="108">
        <v>0</v>
      </c>
      <c r="H93" s="114">
        <v>23</v>
      </c>
      <c r="I93" s="115">
        <f t="shared" si="41"/>
        <v>23</v>
      </c>
      <c r="J93" s="114">
        <v>11</v>
      </c>
      <c r="K93" s="115">
        <f t="shared" si="42"/>
        <v>34</v>
      </c>
      <c r="L93" s="108">
        <v>0</v>
      </c>
      <c r="M93" s="114">
        <v>34</v>
      </c>
      <c r="N93" s="115">
        <f t="shared" si="40"/>
        <v>24.276</v>
      </c>
      <c r="O93" s="114">
        <v>20</v>
      </c>
      <c r="P93" s="74">
        <f t="shared" si="57"/>
        <v>44.275999999999996</v>
      </c>
      <c r="Q93" s="74">
        <f t="shared" si="58"/>
        <v>78.275999999999996</v>
      </c>
      <c r="R93" s="281"/>
      <c r="S93" s="73" t="str">
        <f t="shared" si="59"/>
        <v>F</v>
      </c>
      <c r="T93" s="108">
        <v>0</v>
      </c>
      <c r="U93" s="114">
        <v>16</v>
      </c>
      <c r="V93" s="115">
        <f t="shared" si="43"/>
        <v>16</v>
      </c>
      <c r="W93" s="108">
        <v>0</v>
      </c>
      <c r="X93" s="114">
        <v>14</v>
      </c>
      <c r="Y93" s="115">
        <f t="shared" si="75"/>
        <v>14</v>
      </c>
      <c r="Z93" s="74">
        <f t="shared" si="60"/>
        <v>30</v>
      </c>
      <c r="AA93" s="281"/>
      <c r="AB93" s="73" t="str">
        <f t="shared" si="0"/>
        <v>F</v>
      </c>
      <c r="AC93" s="108">
        <v>0</v>
      </c>
      <c r="AD93" s="114">
        <v>20</v>
      </c>
      <c r="AE93" s="115">
        <f t="shared" si="45"/>
        <v>20</v>
      </c>
      <c r="AF93" s="114">
        <v>22</v>
      </c>
      <c r="AG93" s="74">
        <f t="shared" si="61"/>
        <v>42</v>
      </c>
      <c r="AH93" s="281"/>
      <c r="AI93" s="73" t="str">
        <f t="shared" si="51"/>
        <v>F</v>
      </c>
      <c r="AJ93" s="108">
        <v>0</v>
      </c>
      <c r="AK93" s="114">
        <v>34</v>
      </c>
      <c r="AL93" s="115">
        <f t="shared" si="46"/>
        <v>34</v>
      </c>
      <c r="AM93" s="114">
        <v>24</v>
      </c>
      <c r="AN93" s="74">
        <f t="shared" si="62"/>
        <v>58</v>
      </c>
      <c r="AO93" s="281"/>
      <c r="AP93" s="73">
        <f t="shared" si="52"/>
        <v>3</v>
      </c>
      <c r="AQ93" s="116"/>
      <c r="AR93" s="116">
        <v>18</v>
      </c>
      <c r="AS93" s="114">
        <v>23</v>
      </c>
      <c r="AT93" s="73">
        <f t="shared" si="74"/>
        <v>41</v>
      </c>
      <c r="AU93" s="284"/>
      <c r="AV93" s="73">
        <f t="shared" si="21"/>
        <v>5</v>
      </c>
      <c r="AW93" s="108">
        <v>0</v>
      </c>
      <c r="AX93" s="114">
        <v>20</v>
      </c>
      <c r="AY93" s="115">
        <f t="shared" si="63"/>
        <v>20</v>
      </c>
      <c r="AZ93" s="114">
        <v>15</v>
      </c>
      <c r="BA93" s="74">
        <f t="shared" si="64"/>
        <v>35</v>
      </c>
      <c r="BB93" s="281"/>
      <c r="BC93" s="73" t="str">
        <f t="shared" si="24"/>
        <v>F</v>
      </c>
      <c r="BD93" s="108">
        <v>0</v>
      </c>
      <c r="BE93" s="114">
        <v>8</v>
      </c>
      <c r="BF93" s="115">
        <f t="shared" si="47"/>
        <v>8</v>
      </c>
      <c r="BG93" s="114">
        <v>10</v>
      </c>
      <c r="BH93" s="114">
        <v>22</v>
      </c>
      <c r="BI93" s="74">
        <f t="shared" si="65"/>
        <v>40</v>
      </c>
      <c r="BJ93" s="284"/>
      <c r="BK93" s="73" t="str">
        <f t="shared" si="3"/>
        <v>F</v>
      </c>
      <c r="BL93" s="108">
        <v>0</v>
      </c>
      <c r="BM93" s="114">
        <v>4</v>
      </c>
      <c r="BN93" s="115">
        <f t="shared" si="48"/>
        <v>4</v>
      </c>
      <c r="BO93" s="114">
        <v>17</v>
      </c>
      <c r="BP93" s="114">
        <v>22</v>
      </c>
      <c r="BQ93" s="74">
        <f t="shared" si="66"/>
        <v>43</v>
      </c>
      <c r="BR93" s="281"/>
      <c r="BS93" s="73" t="str">
        <f t="shared" si="67"/>
        <v>F</v>
      </c>
      <c r="BT93" s="108">
        <v>0</v>
      </c>
      <c r="BU93" s="114">
        <v>9</v>
      </c>
      <c r="BV93" s="115">
        <f t="shared" si="49"/>
        <v>9</v>
      </c>
      <c r="BW93" s="114">
        <v>14</v>
      </c>
      <c r="BX93" s="114">
        <v>22</v>
      </c>
      <c r="BY93" s="74">
        <f t="shared" si="68"/>
        <v>45</v>
      </c>
      <c r="BZ93" s="284"/>
      <c r="CA93" s="73" t="str">
        <f t="shared" si="69"/>
        <v>F</v>
      </c>
      <c r="CB93" s="108">
        <v>0</v>
      </c>
      <c r="CC93" s="114">
        <v>0</v>
      </c>
      <c r="CD93" s="115">
        <f t="shared" si="50"/>
        <v>0</v>
      </c>
      <c r="CE93" s="114">
        <v>16</v>
      </c>
      <c r="CF93" s="114">
        <v>22</v>
      </c>
      <c r="CG93" s="74">
        <f t="shared" si="70"/>
        <v>38</v>
      </c>
      <c r="CH93" s="281"/>
      <c r="CI93" s="75" t="str">
        <f t="shared" si="71"/>
        <v>0</v>
      </c>
      <c r="CJ93" s="73" t="str">
        <f t="shared" si="53"/>
        <v>F</v>
      </c>
      <c r="CK93" s="76" t="str">
        <f t="shared" si="72"/>
        <v>F</v>
      </c>
      <c r="CL93" s="77" t="str">
        <f t="shared" si="73"/>
        <v>F</v>
      </c>
      <c r="CM93" s="39" t="str">
        <f t="shared" si="54"/>
        <v>NEED TO PROGRESS</v>
      </c>
      <c r="CN93" s="38">
        <f t="shared" si="55"/>
        <v>450.27600000000001</v>
      </c>
      <c r="CO93" s="37" t="str">
        <f t="shared" si="56"/>
        <v>F</v>
      </c>
      <c r="CP93" s="40"/>
    </row>
    <row r="94" spans="1:94" s="41" customFormat="1" ht="20.100000000000001" customHeight="1" thickBot="1">
      <c r="A94" s="84">
        <v>87</v>
      </c>
      <c r="B94" s="78">
        <v>158</v>
      </c>
      <c r="C94" s="106" t="s">
        <v>411</v>
      </c>
      <c r="D94" s="106"/>
      <c r="E94" s="106"/>
      <c r="F94" s="110"/>
      <c r="G94" s="108">
        <v>0</v>
      </c>
      <c r="H94" s="114">
        <v>17</v>
      </c>
      <c r="I94" s="115">
        <f t="shared" si="41"/>
        <v>17</v>
      </c>
      <c r="J94" s="114">
        <v>12</v>
      </c>
      <c r="K94" s="115">
        <f t="shared" si="42"/>
        <v>29</v>
      </c>
      <c r="L94" s="108">
        <v>0</v>
      </c>
      <c r="M94" s="114">
        <v>27</v>
      </c>
      <c r="N94" s="115">
        <f t="shared" si="40"/>
        <v>19.277999999999999</v>
      </c>
      <c r="O94" s="114">
        <v>16</v>
      </c>
      <c r="P94" s="80">
        <f t="shared" si="57"/>
        <v>35.277999999999999</v>
      </c>
      <c r="Q94" s="74">
        <f t="shared" si="58"/>
        <v>64.277999999999992</v>
      </c>
      <c r="R94" s="281"/>
      <c r="S94" s="73" t="str">
        <f t="shared" si="59"/>
        <v>F</v>
      </c>
      <c r="T94" s="108">
        <v>0</v>
      </c>
      <c r="U94" s="114">
        <v>41</v>
      </c>
      <c r="V94" s="115">
        <f t="shared" si="43"/>
        <v>41</v>
      </c>
      <c r="W94" s="108">
        <v>0</v>
      </c>
      <c r="X94" s="114">
        <v>32</v>
      </c>
      <c r="Y94" s="115">
        <f t="shared" si="75"/>
        <v>32</v>
      </c>
      <c r="Z94" s="80">
        <f t="shared" si="60"/>
        <v>73</v>
      </c>
      <c r="AA94" s="281"/>
      <c r="AB94" s="79" t="str">
        <f t="shared" si="0"/>
        <v>F</v>
      </c>
      <c r="AC94" s="108">
        <v>0</v>
      </c>
      <c r="AD94" s="114">
        <v>24</v>
      </c>
      <c r="AE94" s="115">
        <f t="shared" si="45"/>
        <v>24</v>
      </c>
      <c r="AF94" s="114">
        <v>21</v>
      </c>
      <c r="AG94" s="80">
        <f t="shared" si="61"/>
        <v>45</v>
      </c>
      <c r="AH94" s="281"/>
      <c r="AI94" s="79" t="str">
        <f t="shared" si="51"/>
        <v>F</v>
      </c>
      <c r="AJ94" s="108">
        <v>0</v>
      </c>
      <c r="AK94" s="114">
        <v>20</v>
      </c>
      <c r="AL94" s="115">
        <f t="shared" si="46"/>
        <v>20</v>
      </c>
      <c r="AM94" s="114">
        <v>19</v>
      </c>
      <c r="AN94" s="80">
        <f t="shared" si="62"/>
        <v>39</v>
      </c>
      <c r="AO94" s="281"/>
      <c r="AP94" s="79" t="str">
        <f t="shared" si="52"/>
        <v>F</v>
      </c>
      <c r="AQ94" s="116"/>
      <c r="AR94" s="116">
        <v>15</v>
      </c>
      <c r="AS94" s="114">
        <v>23</v>
      </c>
      <c r="AT94" s="79">
        <f t="shared" si="74"/>
        <v>38</v>
      </c>
      <c r="AU94" s="284"/>
      <c r="AV94" s="79">
        <f t="shared" si="21"/>
        <v>4</v>
      </c>
      <c r="AW94" s="108">
        <v>0</v>
      </c>
      <c r="AX94" s="114">
        <v>9</v>
      </c>
      <c r="AY94" s="115">
        <f t="shared" si="63"/>
        <v>9</v>
      </c>
      <c r="AZ94" s="114">
        <v>15</v>
      </c>
      <c r="BA94" s="80">
        <f t="shared" si="64"/>
        <v>24</v>
      </c>
      <c r="BB94" s="281"/>
      <c r="BC94" s="79" t="str">
        <f t="shared" si="24"/>
        <v>F</v>
      </c>
      <c r="BD94" s="108">
        <v>0</v>
      </c>
      <c r="BE94" s="114">
        <v>16</v>
      </c>
      <c r="BF94" s="115">
        <f t="shared" si="47"/>
        <v>16</v>
      </c>
      <c r="BG94" s="114">
        <v>10</v>
      </c>
      <c r="BH94" s="114">
        <v>22</v>
      </c>
      <c r="BI94" s="80">
        <f t="shared" si="65"/>
        <v>48</v>
      </c>
      <c r="BJ94" s="284"/>
      <c r="BK94" s="79" t="str">
        <f t="shared" si="3"/>
        <v>F</v>
      </c>
      <c r="BL94" s="108">
        <v>0</v>
      </c>
      <c r="BM94" s="114">
        <v>10</v>
      </c>
      <c r="BN94" s="115">
        <f t="shared" si="48"/>
        <v>10</v>
      </c>
      <c r="BO94" s="114">
        <v>7</v>
      </c>
      <c r="BP94" s="114">
        <v>22</v>
      </c>
      <c r="BQ94" s="80">
        <f t="shared" si="66"/>
        <v>39</v>
      </c>
      <c r="BR94" s="281"/>
      <c r="BS94" s="79" t="str">
        <f t="shared" si="67"/>
        <v>F</v>
      </c>
      <c r="BT94" s="108">
        <v>0</v>
      </c>
      <c r="BU94" s="114">
        <v>16</v>
      </c>
      <c r="BV94" s="115">
        <f t="shared" si="49"/>
        <v>16</v>
      </c>
      <c r="BW94" s="114">
        <v>14</v>
      </c>
      <c r="BX94" s="114">
        <v>22</v>
      </c>
      <c r="BY94" s="80">
        <f t="shared" si="68"/>
        <v>52</v>
      </c>
      <c r="BZ94" s="284"/>
      <c r="CA94" s="79" t="str">
        <f t="shared" si="69"/>
        <v>F</v>
      </c>
      <c r="CB94" s="108">
        <v>0</v>
      </c>
      <c r="CC94" s="114">
        <v>20</v>
      </c>
      <c r="CD94" s="115">
        <f t="shared" si="50"/>
        <v>20</v>
      </c>
      <c r="CE94" s="114">
        <v>14</v>
      </c>
      <c r="CF94" s="114">
        <v>22</v>
      </c>
      <c r="CG94" s="80">
        <f t="shared" si="70"/>
        <v>56</v>
      </c>
      <c r="CH94" s="281"/>
      <c r="CI94" s="81">
        <f t="shared" si="71"/>
        <v>3</v>
      </c>
      <c r="CJ94" s="79" t="str">
        <f t="shared" si="53"/>
        <v>F</v>
      </c>
      <c r="CK94" s="82" t="str">
        <f t="shared" si="72"/>
        <v>F</v>
      </c>
      <c r="CL94" s="77" t="str">
        <f t="shared" si="73"/>
        <v>F</v>
      </c>
      <c r="CM94" s="83" t="str">
        <f t="shared" si="54"/>
        <v>NEED TO PROGRESS</v>
      </c>
      <c r="CN94" s="71">
        <f t="shared" si="55"/>
        <v>478.27800000000002</v>
      </c>
      <c r="CO94" s="72" t="str">
        <f t="shared" si="56"/>
        <v>F</v>
      </c>
      <c r="CP94" s="84"/>
    </row>
    <row r="95" spans="1:94" s="105" customFormat="1" ht="20.100000000000001" customHeight="1" thickTop="1">
      <c r="A95" s="94">
        <v>88</v>
      </c>
      <c r="B95" s="85">
        <v>56</v>
      </c>
      <c r="C95" s="103" t="s">
        <v>415</v>
      </c>
      <c r="D95" s="103"/>
      <c r="E95" s="103"/>
      <c r="F95" s="111"/>
      <c r="G95" s="112">
        <v>0</v>
      </c>
      <c r="H95" s="86">
        <v>0</v>
      </c>
      <c r="I95" s="87">
        <f t="shared" ref="I95" si="76">G95+H95</f>
        <v>0</v>
      </c>
      <c r="J95" s="112"/>
      <c r="K95" s="87">
        <f t="shared" ref="K95" si="77">I95+J95</f>
        <v>0</v>
      </c>
      <c r="L95" s="112"/>
      <c r="M95" s="86"/>
      <c r="N95" s="87">
        <f t="shared" ref="N95" si="78">M95+L95</f>
        <v>0</v>
      </c>
      <c r="O95" s="86"/>
      <c r="P95" s="87">
        <f t="shared" si="57"/>
        <v>0</v>
      </c>
      <c r="Q95" s="74">
        <f t="shared" si="58"/>
        <v>0</v>
      </c>
      <c r="R95" s="282"/>
      <c r="S95" s="73" t="str">
        <f t="shared" si="59"/>
        <v>F</v>
      </c>
      <c r="T95" s="112"/>
      <c r="U95" s="87"/>
      <c r="V95" s="87">
        <f t="shared" ref="V95" si="79">T95+U95</f>
        <v>0</v>
      </c>
      <c r="W95" s="112"/>
      <c r="X95" s="87"/>
      <c r="Y95" s="87">
        <f t="shared" ref="Y95" si="80">W95+X95</f>
        <v>0</v>
      </c>
      <c r="Z95" s="87">
        <f t="shared" si="60"/>
        <v>0</v>
      </c>
      <c r="AA95" s="282"/>
      <c r="AB95" s="86" t="str">
        <f t="shared" si="0"/>
        <v>F</v>
      </c>
      <c r="AC95" s="112"/>
      <c r="AD95" s="86"/>
      <c r="AE95" s="87">
        <f t="shared" ref="AE95" si="81">AD95+AC95</f>
        <v>0</v>
      </c>
      <c r="AF95" s="86"/>
      <c r="AG95" s="87">
        <f t="shared" si="61"/>
        <v>0</v>
      </c>
      <c r="AH95" s="282"/>
      <c r="AI95" s="86" t="str">
        <f>IF(AE95&lt;28,"F",IF(AF95&lt;12,"F",IF(AG95&lt;40,"F",IF(AG95&lt;50,2,IF(AG95&lt;60,3,IF(AG95&lt;70,3.5,IF(AG95&lt;80,4,5)))))))</f>
        <v>F</v>
      </c>
      <c r="AJ95" s="112"/>
      <c r="AK95" s="86"/>
      <c r="AL95" s="87">
        <f t="shared" ref="AL95" si="82">AK95+AJ95</f>
        <v>0</v>
      </c>
      <c r="AM95" s="86"/>
      <c r="AN95" s="87">
        <f t="shared" si="62"/>
        <v>0</v>
      </c>
      <c r="AO95" s="282"/>
      <c r="AP95" s="86" t="str">
        <f>IF(AL95&lt;28,"F",IF(AM95&lt;12,"F",IF(AN95&lt;40,"F",IF(AN95&lt;50,2,IF(AN95&lt;60,3,IF(AN95&lt;70,3.5,IF(AN95&lt;80,4,5)))))))</f>
        <v>F</v>
      </c>
      <c r="AQ95" s="112"/>
      <c r="AR95" s="86"/>
      <c r="AS95" s="86"/>
      <c r="AT95" s="86">
        <f t="shared" si="74"/>
        <v>0</v>
      </c>
      <c r="AU95" s="285"/>
      <c r="AV95" s="86" t="str">
        <f t="shared" si="21"/>
        <v>F</v>
      </c>
      <c r="AW95" s="112"/>
      <c r="AX95" s="86"/>
      <c r="AY95" s="87">
        <f t="shared" ref="AY95" si="83">AX95+AW95</f>
        <v>0</v>
      </c>
      <c r="AZ95" s="86"/>
      <c r="BA95" s="87">
        <f t="shared" si="64"/>
        <v>0</v>
      </c>
      <c r="BB95" s="282"/>
      <c r="BC95" s="86" t="str">
        <f t="shared" si="24"/>
        <v>F</v>
      </c>
      <c r="BD95" s="112"/>
      <c r="BE95" s="86"/>
      <c r="BF95" s="87">
        <f t="shared" ref="BF95" si="84">BE95+BD95</f>
        <v>0</v>
      </c>
      <c r="BG95" s="86"/>
      <c r="BH95" s="86"/>
      <c r="BI95" s="87">
        <f t="shared" si="65"/>
        <v>0</v>
      </c>
      <c r="BJ95" s="285"/>
      <c r="BK95" s="86" t="str">
        <f t="shared" si="3"/>
        <v>F</v>
      </c>
      <c r="BL95" s="112"/>
      <c r="BM95" s="86"/>
      <c r="BN95" s="87">
        <f t="shared" ref="BN95" si="85">BM95+BL95</f>
        <v>0</v>
      </c>
      <c r="BO95" s="86"/>
      <c r="BP95" s="86"/>
      <c r="BQ95" s="87">
        <f t="shared" si="66"/>
        <v>0</v>
      </c>
      <c r="BR95" s="282"/>
      <c r="BS95" s="86" t="str">
        <f t="shared" si="67"/>
        <v>F</v>
      </c>
      <c r="BT95" s="112"/>
      <c r="BU95" s="86"/>
      <c r="BV95" s="87">
        <f t="shared" ref="BV95" si="86">BU95+BT95</f>
        <v>0</v>
      </c>
      <c r="BW95" s="86"/>
      <c r="BX95" s="86"/>
      <c r="BY95" s="87">
        <f t="shared" si="68"/>
        <v>0</v>
      </c>
      <c r="BZ95" s="285"/>
      <c r="CA95" s="86" t="str">
        <f t="shared" si="69"/>
        <v>F</v>
      </c>
      <c r="CB95" s="112"/>
      <c r="CC95" s="86"/>
      <c r="CD95" s="87">
        <f t="shared" ref="CD95" si="87">CC95+CB95</f>
        <v>0</v>
      </c>
      <c r="CE95" s="86"/>
      <c r="CF95" s="86"/>
      <c r="CG95" s="87">
        <f t="shared" si="70"/>
        <v>0</v>
      </c>
      <c r="CH95" s="282"/>
      <c r="CI95" s="88" t="str">
        <f t="shared" si="71"/>
        <v>0</v>
      </c>
      <c r="CJ95" s="86" t="str">
        <f t="shared" si="53"/>
        <v>F</v>
      </c>
      <c r="CK95" s="89" t="str">
        <f t="shared" si="72"/>
        <v>F</v>
      </c>
      <c r="CL95" s="90" t="str">
        <f t="shared" si="73"/>
        <v>F</v>
      </c>
      <c r="CM95" s="91" t="str">
        <f t="shared" si="54"/>
        <v>NEED TO PROGRESS</v>
      </c>
      <c r="CN95" s="92">
        <f t="shared" si="55"/>
        <v>0</v>
      </c>
      <c r="CO95" s="93" t="str">
        <f t="shared" si="56"/>
        <v>F</v>
      </c>
      <c r="CP95" s="94"/>
    </row>
    <row r="96" spans="1:94" s="41" customFormat="1" ht="20.100000000000001" customHeight="1">
      <c r="A96" s="50"/>
      <c r="B96" s="43"/>
      <c r="C96" s="54"/>
      <c r="D96" s="54"/>
      <c r="E96" s="54"/>
      <c r="F96" s="54"/>
      <c r="G96" s="63"/>
      <c r="H96" s="62"/>
      <c r="I96" s="64"/>
      <c r="J96" s="63"/>
      <c r="K96" s="64"/>
      <c r="L96" s="63"/>
      <c r="M96" s="62"/>
      <c r="N96" s="64"/>
      <c r="O96" s="62"/>
      <c r="P96" s="64"/>
      <c r="Q96" s="64"/>
      <c r="R96" s="64"/>
      <c r="S96" s="62"/>
      <c r="T96" s="63"/>
      <c r="U96" s="64"/>
      <c r="V96" s="64"/>
      <c r="W96" s="63"/>
      <c r="X96" s="64"/>
      <c r="Y96" s="64"/>
      <c r="Z96" s="64"/>
      <c r="AA96" s="64"/>
      <c r="AB96" s="62"/>
      <c r="AC96" s="63"/>
      <c r="AD96" s="62"/>
      <c r="AE96" s="64"/>
      <c r="AF96" s="62"/>
      <c r="AG96" s="64"/>
      <c r="AH96" s="64"/>
      <c r="AI96" s="62"/>
      <c r="AJ96" s="63"/>
      <c r="AK96" s="62"/>
      <c r="AL96" s="64"/>
      <c r="AM96" s="62"/>
      <c r="AN96" s="64"/>
      <c r="AO96" s="64"/>
      <c r="AP96" s="62"/>
      <c r="AQ96" s="63"/>
      <c r="AR96" s="62"/>
      <c r="AS96" s="62"/>
      <c r="AT96" s="62"/>
      <c r="AU96" s="62"/>
      <c r="AV96" s="62"/>
      <c r="AW96" s="63"/>
      <c r="AX96" s="62"/>
      <c r="AY96" s="64"/>
      <c r="AZ96" s="62"/>
      <c r="BA96" s="64"/>
      <c r="BB96" s="64"/>
      <c r="BC96" s="62"/>
      <c r="BD96" s="63"/>
      <c r="BE96" s="62"/>
      <c r="BF96" s="64"/>
      <c r="BG96" s="62"/>
      <c r="BH96" s="62"/>
      <c r="BI96" s="64"/>
      <c r="BJ96" s="62"/>
      <c r="BK96" s="62"/>
      <c r="BL96" s="63"/>
      <c r="BM96" s="62"/>
      <c r="BN96" s="64"/>
      <c r="BO96" s="62"/>
      <c r="BP96" s="62"/>
      <c r="BQ96" s="64"/>
      <c r="BR96" s="64"/>
      <c r="BS96" s="62"/>
      <c r="BT96" s="63"/>
      <c r="BU96" s="62"/>
      <c r="BV96" s="64"/>
      <c r="BW96" s="62"/>
      <c r="BX96" s="62"/>
      <c r="BY96" s="64"/>
      <c r="BZ96" s="62"/>
      <c r="CA96" s="62"/>
      <c r="CB96" s="63"/>
      <c r="CC96" s="62"/>
      <c r="CD96" s="64"/>
      <c r="CE96" s="62"/>
      <c r="CF96" s="62"/>
      <c r="CG96" s="64"/>
      <c r="CH96" s="64"/>
      <c r="CI96" s="65"/>
      <c r="CJ96" s="62"/>
      <c r="CK96" s="66"/>
      <c r="CL96" s="66"/>
      <c r="CM96" s="62"/>
      <c r="CN96" s="64"/>
      <c r="CO96" s="62"/>
      <c r="CP96" s="67"/>
    </row>
    <row r="97" spans="1:94" s="41" customFormat="1" ht="20.100000000000001" customHeight="1">
      <c r="A97" s="50"/>
      <c r="B97" s="43"/>
      <c r="C97" s="54"/>
      <c r="D97" s="54"/>
      <c r="E97" s="54"/>
      <c r="F97" s="54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  <c r="CJ97" s="50"/>
      <c r="CK97" s="50"/>
      <c r="CL97" s="50"/>
      <c r="CM97" s="43"/>
      <c r="CN97" s="43"/>
      <c r="CO97" s="52"/>
      <c r="CP97" s="43"/>
    </row>
    <row r="98" spans="1:94" s="41" customFormat="1" ht="20.100000000000001" customHeight="1">
      <c r="A98" s="50">
        <v>0</v>
      </c>
      <c r="B98" s="43">
        <v>1</v>
      </c>
      <c r="C98" s="54">
        <v>2</v>
      </c>
      <c r="D98" s="54">
        <v>3</v>
      </c>
      <c r="E98" s="54">
        <v>4</v>
      </c>
      <c r="F98" s="54">
        <v>5</v>
      </c>
      <c r="G98" s="50">
        <v>6</v>
      </c>
      <c r="H98" s="50">
        <v>7</v>
      </c>
      <c r="I98" s="50">
        <v>8</v>
      </c>
      <c r="J98" s="50">
        <v>9</v>
      </c>
      <c r="K98" s="50">
        <v>10</v>
      </c>
      <c r="L98" s="50">
        <v>11</v>
      </c>
      <c r="M98" s="50">
        <v>12</v>
      </c>
      <c r="N98" s="50">
        <v>13</v>
      </c>
      <c r="O98" s="50">
        <v>14</v>
      </c>
      <c r="P98" s="50">
        <v>15</v>
      </c>
      <c r="Q98" s="50">
        <v>16</v>
      </c>
      <c r="R98" s="50">
        <v>17</v>
      </c>
      <c r="S98" s="50">
        <v>18</v>
      </c>
      <c r="T98" s="50">
        <v>19</v>
      </c>
      <c r="U98" s="50">
        <v>20</v>
      </c>
      <c r="V98" s="50">
        <v>21</v>
      </c>
      <c r="W98" s="50">
        <v>22</v>
      </c>
      <c r="X98" s="50">
        <v>23</v>
      </c>
      <c r="Y98" s="50">
        <v>24</v>
      </c>
      <c r="Z98" s="50">
        <v>25</v>
      </c>
      <c r="AA98" s="50">
        <v>26</v>
      </c>
      <c r="AB98" s="50">
        <v>27</v>
      </c>
      <c r="AC98" s="50">
        <v>28</v>
      </c>
      <c r="AD98" s="50">
        <v>29</v>
      </c>
      <c r="AE98" s="50">
        <v>30</v>
      </c>
      <c r="AF98" s="50">
        <v>31</v>
      </c>
      <c r="AG98" s="50">
        <v>32</v>
      </c>
      <c r="AH98" s="50">
        <v>33</v>
      </c>
      <c r="AI98" s="50">
        <v>34</v>
      </c>
      <c r="AJ98" s="50">
        <v>35</v>
      </c>
      <c r="AK98" s="50">
        <v>36</v>
      </c>
      <c r="AL98" s="50">
        <v>37</v>
      </c>
      <c r="AM98" s="50">
        <v>38</v>
      </c>
      <c r="AN98" s="50">
        <v>39</v>
      </c>
      <c r="AO98" s="50">
        <v>40</v>
      </c>
      <c r="AP98" s="50">
        <v>41</v>
      </c>
      <c r="AQ98" s="50">
        <v>42</v>
      </c>
      <c r="AR98" s="50">
        <v>43</v>
      </c>
      <c r="AS98" s="50">
        <v>44</v>
      </c>
      <c r="AT98" s="50">
        <v>45</v>
      </c>
      <c r="AU98" s="50">
        <v>46</v>
      </c>
      <c r="AV98" s="50">
        <v>47</v>
      </c>
      <c r="AW98" s="50">
        <v>48</v>
      </c>
      <c r="AX98" s="50">
        <v>49</v>
      </c>
      <c r="AY98" s="50">
        <v>50</v>
      </c>
      <c r="AZ98" s="50">
        <v>51</v>
      </c>
      <c r="BA98" s="50">
        <v>52</v>
      </c>
      <c r="BB98" s="50">
        <v>53</v>
      </c>
      <c r="BC98" s="50">
        <v>54</v>
      </c>
      <c r="BD98" s="50">
        <v>55</v>
      </c>
      <c r="BE98" s="50">
        <v>56</v>
      </c>
      <c r="BF98" s="50">
        <v>57</v>
      </c>
      <c r="BG98" s="50">
        <v>58</v>
      </c>
      <c r="BH98" s="50">
        <v>59</v>
      </c>
      <c r="BI98" s="50">
        <v>60</v>
      </c>
      <c r="BJ98" s="50">
        <v>61</v>
      </c>
      <c r="BK98" s="50">
        <v>62</v>
      </c>
      <c r="BL98" s="50">
        <v>63</v>
      </c>
      <c r="BM98" s="50">
        <v>64</v>
      </c>
      <c r="BN98" s="50">
        <v>65</v>
      </c>
      <c r="BO98" s="50">
        <v>66</v>
      </c>
      <c r="BP98" s="50">
        <v>67</v>
      </c>
      <c r="BQ98" s="50">
        <v>68</v>
      </c>
      <c r="BR98" s="50">
        <v>69</v>
      </c>
      <c r="BS98" s="50">
        <v>70</v>
      </c>
      <c r="BT98" s="50">
        <v>71</v>
      </c>
      <c r="BU98" s="50">
        <v>72</v>
      </c>
      <c r="BV98" s="50">
        <v>73</v>
      </c>
      <c r="BW98" s="50">
        <v>74</v>
      </c>
      <c r="BX98" s="50">
        <v>75</v>
      </c>
      <c r="BY98" s="50">
        <v>76</v>
      </c>
      <c r="BZ98" s="50">
        <v>77</v>
      </c>
      <c r="CA98" s="50">
        <v>78</v>
      </c>
      <c r="CB98" s="50">
        <v>79</v>
      </c>
      <c r="CC98" s="50">
        <v>80</v>
      </c>
      <c r="CD98" s="50">
        <v>81</v>
      </c>
      <c r="CE98" s="50">
        <v>82</v>
      </c>
      <c r="CF98" s="50">
        <v>83</v>
      </c>
      <c r="CG98" s="50">
        <v>84</v>
      </c>
      <c r="CH98" s="50">
        <v>85</v>
      </c>
      <c r="CI98" s="50">
        <v>86</v>
      </c>
      <c r="CJ98" s="50">
        <v>87</v>
      </c>
      <c r="CK98" s="50">
        <v>88</v>
      </c>
      <c r="CL98" s="50">
        <v>89</v>
      </c>
      <c r="CM98" s="50">
        <v>90</v>
      </c>
      <c r="CN98" s="50">
        <v>91</v>
      </c>
      <c r="CO98" s="50">
        <v>92</v>
      </c>
      <c r="CP98" s="50">
        <v>93</v>
      </c>
    </row>
    <row r="99" spans="1:94">
      <c r="CP99" s="13"/>
    </row>
    <row r="100" spans="1:94">
      <c r="CP100" s="13"/>
    </row>
    <row r="101" spans="1:94">
      <c r="CP101" s="13"/>
    </row>
    <row r="102" spans="1:94">
      <c r="CP102" s="13"/>
    </row>
    <row r="103" spans="1:94">
      <c r="CP103" s="13"/>
    </row>
    <row r="104" spans="1:94">
      <c r="CP104" s="13"/>
    </row>
    <row r="105" spans="1:94">
      <c r="CP105" s="13"/>
    </row>
    <row r="106" spans="1:94">
      <c r="CP106" s="13"/>
    </row>
    <row r="107" spans="1:94">
      <c r="CP107" s="13"/>
    </row>
    <row r="108" spans="1:94">
      <c r="CP108" s="13"/>
    </row>
    <row r="109" spans="1:94">
      <c r="CP109" s="13"/>
    </row>
    <row r="110" spans="1:94">
      <c r="CP110" s="13"/>
    </row>
    <row r="111" spans="1:94">
      <c r="CP111" s="13"/>
    </row>
    <row r="112" spans="1:94">
      <c r="CP112" s="13"/>
    </row>
    <row r="113" spans="94:94">
      <c r="CP113" s="13"/>
    </row>
    <row r="114" spans="94:94">
      <c r="CP114" s="13"/>
    </row>
    <row r="115" spans="94:94">
      <c r="CP115" s="13"/>
    </row>
    <row r="116" spans="94:94">
      <c r="CP116" s="13"/>
    </row>
    <row r="117" spans="94:94">
      <c r="CP117" s="13"/>
    </row>
    <row r="118" spans="94:94">
      <c r="CP118" s="13"/>
    </row>
    <row r="119" spans="94:94">
      <c r="CP119" s="13"/>
    </row>
    <row r="120" spans="94:94">
      <c r="CP120" s="13"/>
    </row>
    <row r="121" spans="94:94">
      <c r="CP121" s="13"/>
    </row>
    <row r="122" spans="94:94">
      <c r="CP122" s="13"/>
    </row>
    <row r="123" spans="94:94">
      <c r="CP123" s="13"/>
    </row>
    <row r="124" spans="94:94">
      <c r="CP124" s="13"/>
    </row>
    <row r="125" spans="94:94">
      <c r="CP125" s="13"/>
    </row>
    <row r="126" spans="94:94">
      <c r="CP126" s="13"/>
    </row>
    <row r="127" spans="94:94">
      <c r="CP127" s="13"/>
    </row>
    <row r="128" spans="94:94">
      <c r="CP128" s="13"/>
    </row>
    <row r="129" spans="94:94">
      <c r="CP129" s="13"/>
    </row>
    <row r="130" spans="94:94">
      <c r="CP130" s="13"/>
    </row>
    <row r="131" spans="94:94">
      <c r="CP131" s="13"/>
    </row>
    <row r="132" spans="94:94">
      <c r="CP132" s="13"/>
    </row>
    <row r="133" spans="94:94">
      <c r="CP133" s="13"/>
    </row>
    <row r="134" spans="94:94">
      <c r="CP134" s="13"/>
    </row>
    <row r="135" spans="94:94">
      <c r="CP135" s="13"/>
    </row>
    <row r="136" spans="94:94">
      <c r="CP136" s="13"/>
    </row>
    <row r="137" spans="94:94">
      <c r="CP137" s="13"/>
    </row>
    <row r="138" spans="94:94">
      <c r="CP138" s="13"/>
    </row>
    <row r="139" spans="94:94">
      <c r="CP139" s="13"/>
    </row>
    <row r="140" spans="94:94">
      <c r="CP140" s="13"/>
    </row>
    <row r="141" spans="94:94">
      <c r="CP141" s="13"/>
    </row>
    <row r="142" spans="94:94">
      <c r="CP142" s="13"/>
    </row>
    <row r="143" spans="94:94">
      <c r="CP143" s="13"/>
    </row>
    <row r="144" spans="94:94">
      <c r="CP144" s="13"/>
    </row>
    <row r="145" spans="94:94">
      <c r="CP145" s="13"/>
    </row>
    <row r="146" spans="94:94">
      <c r="CP146" s="13"/>
    </row>
    <row r="147" spans="94:94">
      <c r="CP147" s="13"/>
    </row>
    <row r="148" spans="94:94">
      <c r="CP148" s="13"/>
    </row>
    <row r="149" spans="94:94">
      <c r="CP149" s="13"/>
    </row>
    <row r="150" spans="94:94">
      <c r="CP150" s="13"/>
    </row>
    <row r="151" spans="94:94">
      <c r="CP151" s="13"/>
    </row>
    <row r="152" spans="94:94">
      <c r="CP152" s="13"/>
    </row>
    <row r="153" spans="94:94">
      <c r="CP153" s="13"/>
    </row>
    <row r="154" spans="94:94">
      <c r="CP154" s="13"/>
    </row>
    <row r="155" spans="94:94">
      <c r="CP155" s="13"/>
    </row>
    <row r="156" spans="94:94">
      <c r="CP156" s="13"/>
    </row>
    <row r="157" spans="94:94">
      <c r="CP157" s="13"/>
    </row>
    <row r="158" spans="94:94">
      <c r="CP158" s="13"/>
    </row>
    <row r="159" spans="94:94">
      <c r="CP159" s="13"/>
    </row>
    <row r="160" spans="94:94">
      <c r="CP160" s="13"/>
    </row>
    <row r="161" spans="94:94">
      <c r="CP161" s="13"/>
    </row>
    <row r="162" spans="94:94">
      <c r="CP162" s="13"/>
    </row>
    <row r="163" spans="94:94">
      <c r="CP163" s="13"/>
    </row>
    <row r="164" spans="94:94">
      <c r="CP164" s="13"/>
    </row>
    <row r="165" spans="94:94">
      <c r="CP165" s="13"/>
    </row>
    <row r="166" spans="94:94">
      <c r="CP166" s="13"/>
    </row>
    <row r="167" spans="94:94">
      <c r="CP167" s="13"/>
    </row>
    <row r="168" spans="94:94">
      <c r="CP168" s="13"/>
    </row>
    <row r="169" spans="94:94">
      <c r="CP169" s="13"/>
    </row>
    <row r="170" spans="94:94">
      <c r="CP170" s="13"/>
    </row>
    <row r="171" spans="94:94">
      <c r="CP171" s="13"/>
    </row>
    <row r="172" spans="94:94">
      <c r="CP172" s="13"/>
    </row>
    <row r="173" spans="94:94">
      <c r="CP173" s="13"/>
    </row>
    <row r="174" spans="94:94">
      <c r="CP174" s="13"/>
    </row>
    <row r="175" spans="94:94">
      <c r="CP175" s="13"/>
    </row>
    <row r="176" spans="94:94">
      <c r="CP176" s="13"/>
    </row>
    <row r="177" spans="94:94">
      <c r="CP177" s="13"/>
    </row>
    <row r="178" spans="94:94">
      <c r="CP178" s="13"/>
    </row>
    <row r="179" spans="94:94">
      <c r="CP179" s="13"/>
    </row>
    <row r="180" spans="94:94">
      <c r="CP180" s="13"/>
    </row>
    <row r="181" spans="94:94">
      <c r="CP181" s="13"/>
    </row>
    <row r="182" spans="94:94">
      <c r="CP182" s="13"/>
    </row>
    <row r="183" spans="94:94">
      <c r="CP183" s="13"/>
    </row>
    <row r="184" spans="94:94">
      <c r="CP184" s="13"/>
    </row>
    <row r="185" spans="94:94">
      <c r="CP185" s="13"/>
    </row>
    <row r="186" spans="94:94">
      <c r="CP186" s="13"/>
    </row>
    <row r="187" spans="94:94">
      <c r="CP187" s="13"/>
    </row>
    <row r="188" spans="94:94">
      <c r="CP188" s="13"/>
    </row>
    <row r="189" spans="94:94">
      <c r="CP189" s="13"/>
    </row>
    <row r="190" spans="94:94">
      <c r="CP190" s="13"/>
    </row>
    <row r="191" spans="94:94">
      <c r="CP191" s="13"/>
    </row>
    <row r="192" spans="94:94">
      <c r="CP192" s="13"/>
    </row>
    <row r="193" spans="94:94">
      <c r="CP193" s="13"/>
    </row>
    <row r="194" spans="94:94">
      <c r="CP194" s="13"/>
    </row>
    <row r="195" spans="94:94">
      <c r="CP195" s="13"/>
    </row>
    <row r="196" spans="94:94">
      <c r="CP196" s="13"/>
    </row>
    <row r="197" spans="94:94">
      <c r="CP197" s="13"/>
    </row>
    <row r="198" spans="94:94">
      <c r="CP198" s="13"/>
    </row>
    <row r="199" spans="94:94">
      <c r="CP199" s="13"/>
    </row>
    <row r="200" spans="94:94">
      <c r="CP200" s="13"/>
    </row>
    <row r="201" spans="94:94">
      <c r="CP201" s="13"/>
    </row>
    <row r="202" spans="94:94">
      <c r="CP202" s="13"/>
    </row>
    <row r="203" spans="94:94">
      <c r="CP203" s="13"/>
    </row>
    <row r="204" spans="94:94">
      <c r="CP204" s="13"/>
    </row>
    <row r="205" spans="94:94">
      <c r="CP205" s="13"/>
    </row>
    <row r="206" spans="94:94">
      <c r="CP206" s="13"/>
    </row>
    <row r="207" spans="94:94">
      <c r="CP207" s="13"/>
    </row>
    <row r="208" spans="94:94">
      <c r="CP208" s="13"/>
    </row>
    <row r="209" spans="94:94">
      <c r="CP209" s="13"/>
    </row>
    <row r="210" spans="94:94">
      <c r="CP210" s="13"/>
    </row>
    <row r="211" spans="94:94">
      <c r="CP211" s="13"/>
    </row>
    <row r="212" spans="94:94">
      <c r="CP212" s="13"/>
    </row>
    <row r="213" spans="94:94">
      <c r="CP213" s="13"/>
    </row>
    <row r="214" spans="94:94">
      <c r="CP214" s="13"/>
    </row>
    <row r="215" spans="94:94">
      <c r="CP215" s="13"/>
    </row>
    <row r="216" spans="94:94">
      <c r="CP216" s="13"/>
    </row>
    <row r="217" spans="94:94">
      <c r="CP217" s="13"/>
    </row>
    <row r="218" spans="94:94">
      <c r="CP218" s="13"/>
    </row>
    <row r="219" spans="94:94">
      <c r="CP219" s="13"/>
    </row>
    <row r="220" spans="94:94">
      <c r="CP220" s="13"/>
    </row>
    <row r="221" spans="94:94">
      <c r="CP221" s="13"/>
    </row>
    <row r="222" spans="94:94">
      <c r="CP222" s="13"/>
    </row>
    <row r="223" spans="94:94">
      <c r="CP223" s="13"/>
    </row>
    <row r="224" spans="94:94">
      <c r="CP224" s="13"/>
    </row>
    <row r="225" spans="94:94">
      <c r="CP225" s="13"/>
    </row>
    <row r="226" spans="94:94">
      <c r="CP226" s="13"/>
    </row>
    <row r="227" spans="94:94">
      <c r="CP227" s="13"/>
    </row>
    <row r="228" spans="94:94">
      <c r="CP228" s="13"/>
    </row>
    <row r="229" spans="94:94">
      <c r="CP229" s="13"/>
    </row>
    <row r="230" spans="94:94">
      <c r="CP230" s="13"/>
    </row>
    <row r="231" spans="94:94">
      <c r="CP231" s="13"/>
    </row>
    <row r="232" spans="94:94">
      <c r="CP232" s="13"/>
    </row>
    <row r="233" spans="94:94">
      <c r="CP233" s="13"/>
    </row>
    <row r="234" spans="94:94">
      <c r="CP234" s="13"/>
    </row>
    <row r="235" spans="94:94">
      <c r="CP235" s="13"/>
    </row>
    <row r="236" spans="94:94">
      <c r="CP236" s="13"/>
    </row>
    <row r="237" spans="94:94">
      <c r="CP237" s="13"/>
    </row>
    <row r="238" spans="94:94">
      <c r="CP238" s="13"/>
    </row>
    <row r="239" spans="94:94">
      <c r="CP239" s="13"/>
    </row>
    <row r="240" spans="94:94">
      <c r="CP240" s="13"/>
    </row>
    <row r="241" spans="94:94">
      <c r="CP241" s="13"/>
    </row>
    <row r="242" spans="94:94">
      <c r="CP242" s="13"/>
    </row>
    <row r="243" spans="94:94">
      <c r="CP243" s="13"/>
    </row>
    <row r="244" spans="94:94">
      <c r="CP244" s="13"/>
    </row>
    <row r="245" spans="94:94">
      <c r="CP245" s="13"/>
    </row>
    <row r="246" spans="94:94">
      <c r="CP246" s="13"/>
    </row>
    <row r="247" spans="94:94">
      <c r="CP247" s="13"/>
    </row>
    <row r="248" spans="94:94">
      <c r="CP248" s="13"/>
    </row>
    <row r="249" spans="94:94">
      <c r="CP249" s="13"/>
    </row>
    <row r="250" spans="94:94">
      <c r="CP250" s="13"/>
    </row>
    <row r="251" spans="94:94">
      <c r="CP251" s="13"/>
    </row>
    <row r="252" spans="94:94">
      <c r="CP252" s="13"/>
    </row>
    <row r="253" spans="94:94">
      <c r="CP253" s="13"/>
    </row>
    <row r="254" spans="94:94">
      <c r="CP254" s="13"/>
    </row>
    <row r="255" spans="94:94">
      <c r="CP255" s="13"/>
    </row>
    <row r="256" spans="94:94">
      <c r="CP256" s="13"/>
    </row>
    <row r="257" spans="94:94">
      <c r="CP257" s="13"/>
    </row>
    <row r="258" spans="94:94">
      <c r="CP258" s="13"/>
    </row>
    <row r="259" spans="94:94">
      <c r="CP259" s="13"/>
    </row>
    <row r="260" spans="94:94">
      <c r="CP260" s="13"/>
    </row>
    <row r="261" spans="94:94">
      <c r="CP261" s="13"/>
    </row>
    <row r="262" spans="94:94">
      <c r="CP262" s="13"/>
    </row>
    <row r="263" spans="94:94">
      <c r="CP263" s="13"/>
    </row>
    <row r="264" spans="94:94">
      <c r="CP264" s="13"/>
    </row>
    <row r="265" spans="94:94">
      <c r="CP265" s="13"/>
    </row>
    <row r="266" spans="94:94">
      <c r="CP266" s="13"/>
    </row>
    <row r="267" spans="94:94">
      <c r="CP267" s="13"/>
    </row>
    <row r="268" spans="94:94">
      <c r="CP268" s="13"/>
    </row>
    <row r="269" spans="94:94">
      <c r="CP269" s="13"/>
    </row>
    <row r="270" spans="94:94">
      <c r="CP270" s="13"/>
    </row>
    <row r="271" spans="94:94">
      <c r="CP271" s="13"/>
    </row>
    <row r="272" spans="94:94">
      <c r="CP272" s="13"/>
    </row>
    <row r="273" spans="94:94">
      <c r="CP273" s="13"/>
    </row>
    <row r="274" spans="94:94">
      <c r="CP274" s="13"/>
    </row>
    <row r="275" spans="94:94">
      <c r="CP275" s="13"/>
    </row>
    <row r="276" spans="94:94">
      <c r="CP276" s="13"/>
    </row>
    <row r="277" spans="94:94">
      <c r="CP277" s="13"/>
    </row>
    <row r="278" spans="94:94">
      <c r="CP278" s="13"/>
    </row>
    <row r="279" spans="94:94">
      <c r="CP279" s="13"/>
    </row>
    <row r="280" spans="94:94">
      <c r="CP280" s="13"/>
    </row>
    <row r="281" spans="94:94">
      <c r="CP281" s="13"/>
    </row>
    <row r="282" spans="94:94">
      <c r="CP282" s="13"/>
    </row>
    <row r="283" spans="94:94">
      <c r="CP283" s="13"/>
    </row>
    <row r="284" spans="94:94">
      <c r="CP284" s="13"/>
    </row>
    <row r="285" spans="94:94">
      <c r="CP285" s="13"/>
    </row>
    <row r="286" spans="94:94">
      <c r="CP286" s="13"/>
    </row>
    <row r="287" spans="94:94">
      <c r="CP287" s="13"/>
    </row>
    <row r="288" spans="94:94">
      <c r="CP288" s="13"/>
    </row>
    <row r="289" spans="94:94">
      <c r="CP289" s="13"/>
    </row>
    <row r="290" spans="94:94">
      <c r="CP290" s="13"/>
    </row>
    <row r="291" spans="94:94">
      <c r="CP291" s="13"/>
    </row>
    <row r="292" spans="94:94">
      <c r="CP292" s="13"/>
    </row>
    <row r="293" spans="94:94">
      <c r="CP293" s="13"/>
    </row>
    <row r="294" spans="94:94">
      <c r="CP294" s="13"/>
    </row>
    <row r="295" spans="94:94">
      <c r="CP295" s="13"/>
    </row>
    <row r="296" spans="94:94">
      <c r="CP296" s="13"/>
    </row>
    <row r="297" spans="94:94">
      <c r="CP297" s="13"/>
    </row>
    <row r="298" spans="94:94">
      <c r="CP298" s="13"/>
    </row>
    <row r="299" spans="94:94">
      <c r="CP299" s="13"/>
    </row>
    <row r="300" spans="94:94">
      <c r="CP300" s="13"/>
    </row>
    <row r="301" spans="94:94">
      <c r="CP301" s="13"/>
    </row>
    <row r="302" spans="94:94">
      <c r="CP302" s="13"/>
    </row>
    <row r="303" spans="94:94">
      <c r="CP303" s="13"/>
    </row>
    <row r="304" spans="94:94">
      <c r="CP304" s="13"/>
    </row>
    <row r="305" spans="94:94">
      <c r="CP305" s="13"/>
    </row>
    <row r="306" spans="94:94">
      <c r="CP306" s="13"/>
    </row>
    <row r="307" spans="94:94">
      <c r="CP307" s="13"/>
    </row>
    <row r="308" spans="94:94">
      <c r="CP308" s="13"/>
    </row>
    <row r="309" spans="94:94">
      <c r="CP309" s="13"/>
    </row>
    <row r="310" spans="94:94">
      <c r="CP310" s="13"/>
    </row>
    <row r="311" spans="94:94">
      <c r="CP311" s="13"/>
    </row>
    <row r="312" spans="94:94">
      <c r="CP312" s="13"/>
    </row>
    <row r="313" spans="94:94">
      <c r="CP313" s="13"/>
    </row>
    <row r="314" spans="94:94">
      <c r="CP314" s="13"/>
    </row>
    <row r="315" spans="94:94">
      <c r="CP315" s="13"/>
    </row>
    <row r="316" spans="94:94">
      <c r="CP316" s="13"/>
    </row>
    <row r="317" spans="94:94">
      <c r="CP317" s="13"/>
    </row>
    <row r="318" spans="94:94">
      <c r="CP318" s="13"/>
    </row>
    <row r="319" spans="94:94">
      <c r="CP319" s="13"/>
    </row>
    <row r="320" spans="94:94">
      <c r="CP320" s="13"/>
    </row>
    <row r="321" spans="94:94">
      <c r="CP321" s="13"/>
    </row>
    <row r="322" spans="94:94">
      <c r="CP322" s="13"/>
    </row>
    <row r="323" spans="94:94">
      <c r="CP323" s="13"/>
    </row>
    <row r="324" spans="94:94">
      <c r="CP324" s="13"/>
    </row>
    <row r="325" spans="94:94">
      <c r="CP325" s="13"/>
    </row>
    <row r="326" spans="94:94">
      <c r="CP326" s="13"/>
    </row>
    <row r="327" spans="94:94">
      <c r="CP327" s="13"/>
    </row>
    <row r="328" spans="94:94">
      <c r="CP328" s="13"/>
    </row>
    <row r="329" spans="94:94">
      <c r="CP329" s="13"/>
    </row>
    <row r="330" spans="94:94">
      <c r="CP330" s="13"/>
    </row>
    <row r="331" spans="94:94">
      <c r="CP331" s="13"/>
    </row>
    <row r="332" spans="94:94">
      <c r="CP332" s="13"/>
    </row>
    <row r="333" spans="94:94">
      <c r="CP333" s="13"/>
    </row>
    <row r="334" spans="94:94">
      <c r="CP334" s="13"/>
    </row>
    <row r="335" spans="94:94">
      <c r="CP335" s="13"/>
    </row>
    <row r="336" spans="94:94">
      <c r="CP336" s="13"/>
    </row>
    <row r="337" spans="94:94">
      <c r="CP337" s="13"/>
    </row>
    <row r="338" spans="94:94">
      <c r="CP338" s="13"/>
    </row>
    <row r="339" spans="94:94">
      <c r="CP339" s="13"/>
    </row>
    <row r="340" spans="94:94">
      <c r="CP340" s="13"/>
    </row>
    <row r="341" spans="94:94">
      <c r="CP341" s="13"/>
    </row>
    <row r="342" spans="94:94">
      <c r="CP342" s="13"/>
    </row>
    <row r="343" spans="94:94">
      <c r="CP343" s="13"/>
    </row>
    <row r="344" spans="94:94">
      <c r="CP344" s="13"/>
    </row>
    <row r="345" spans="94:94">
      <c r="CP345" s="13"/>
    </row>
    <row r="346" spans="94:94">
      <c r="CP346" s="13"/>
    </row>
    <row r="347" spans="94:94">
      <c r="CP347" s="13"/>
    </row>
    <row r="348" spans="94:94">
      <c r="CP348" s="13"/>
    </row>
    <row r="349" spans="94:94">
      <c r="CP349" s="13"/>
    </row>
    <row r="350" spans="94:94">
      <c r="CP350" s="13"/>
    </row>
    <row r="351" spans="94:94">
      <c r="CP351" s="13"/>
    </row>
    <row r="352" spans="94:94">
      <c r="CP352" s="13"/>
    </row>
    <row r="353" spans="94:94">
      <c r="CP353" s="13"/>
    </row>
    <row r="354" spans="94:94">
      <c r="CP354" s="13"/>
    </row>
    <row r="355" spans="94:94">
      <c r="CP355" s="13"/>
    </row>
    <row r="356" spans="94:94">
      <c r="CP356" s="13"/>
    </row>
    <row r="357" spans="94:94">
      <c r="CP357" s="13"/>
    </row>
    <row r="358" spans="94:94">
      <c r="CP358" s="13"/>
    </row>
    <row r="359" spans="94:94">
      <c r="CP359" s="13"/>
    </row>
    <row r="360" spans="94:94">
      <c r="CP360" s="13"/>
    </row>
    <row r="361" spans="94:94">
      <c r="CP361" s="13"/>
    </row>
    <row r="362" spans="94:94">
      <c r="CP362" s="13"/>
    </row>
    <row r="363" spans="94:94">
      <c r="CP363" s="13"/>
    </row>
    <row r="364" spans="94:94">
      <c r="CP364" s="13"/>
    </row>
    <row r="365" spans="94:94">
      <c r="CP365" s="13"/>
    </row>
    <row r="366" spans="94:94">
      <c r="CP366" s="13"/>
    </row>
    <row r="367" spans="94:94">
      <c r="CP367" s="13"/>
    </row>
    <row r="368" spans="94:94">
      <c r="CP368" s="13"/>
    </row>
    <row r="369" spans="94:94">
      <c r="CP369" s="13"/>
    </row>
    <row r="370" spans="94:94">
      <c r="CP370" s="13"/>
    </row>
    <row r="371" spans="94:94">
      <c r="CP371" s="13"/>
    </row>
    <row r="372" spans="94:94">
      <c r="CP372" s="13"/>
    </row>
    <row r="373" spans="94:94">
      <c r="CP373" s="13"/>
    </row>
    <row r="374" spans="94:94">
      <c r="CP374" s="13"/>
    </row>
    <row r="375" spans="94:94">
      <c r="CP375" s="13"/>
    </row>
    <row r="376" spans="94:94">
      <c r="CP376" s="13"/>
    </row>
    <row r="377" spans="94:94">
      <c r="CP377" s="13"/>
    </row>
    <row r="378" spans="94:94">
      <c r="CP378" s="13"/>
    </row>
    <row r="379" spans="94:94">
      <c r="CP379" s="13"/>
    </row>
    <row r="380" spans="94:94">
      <c r="CP380" s="13"/>
    </row>
    <row r="381" spans="94:94">
      <c r="CP381" s="13"/>
    </row>
    <row r="382" spans="94:94">
      <c r="CP382" s="13"/>
    </row>
    <row r="383" spans="94:94">
      <c r="CP383" s="13"/>
    </row>
    <row r="384" spans="94:94">
      <c r="CP384" s="13"/>
    </row>
    <row r="385" spans="94:94">
      <c r="CP385" s="13"/>
    </row>
    <row r="386" spans="94:94">
      <c r="CP386" s="13"/>
    </row>
    <row r="387" spans="94:94">
      <c r="CP387" s="13"/>
    </row>
    <row r="388" spans="94:94">
      <c r="CP388" s="13"/>
    </row>
    <row r="389" spans="94:94">
      <c r="CP389" s="13"/>
    </row>
    <row r="390" spans="94:94">
      <c r="CP390" s="13"/>
    </row>
    <row r="391" spans="94:94">
      <c r="CP391" s="13"/>
    </row>
    <row r="392" spans="94:94">
      <c r="CP392" s="13"/>
    </row>
    <row r="393" spans="94:94">
      <c r="CP393" s="13"/>
    </row>
    <row r="394" spans="94:94">
      <c r="CP394" s="13"/>
    </row>
    <row r="395" spans="94:94">
      <c r="CP395" s="13"/>
    </row>
    <row r="396" spans="94:94">
      <c r="CP396" s="13"/>
    </row>
    <row r="397" spans="94:94">
      <c r="CP397" s="13"/>
    </row>
    <row r="398" spans="94:94">
      <c r="CP398" s="13"/>
    </row>
    <row r="399" spans="94:94">
      <c r="CP399" s="13"/>
    </row>
    <row r="400" spans="94:94">
      <c r="CP400" s="13"/>
    </row>
    <row r="401" spans="94:94">
      <c r="CP401" s="13"/>
    </row>
    <row r="402" spans="94:94">
      <c r="CP402" s="13"/>
    </row>
    <row r="403" spans="94:94">
      <c r="CP403" s="13"/>
    </row>
    <row r="404" spans="94:94">
      <c r="CP404" s="13"/>
    </row>
    <row r="405" spans="94:94">
      <c r="CP405" s="13"/>
    </row>
    <row r="406" spans="94:94">
      <c r="CP406" s="13"/>
    </row>
    <row r="407" spans="94:94">
      <c r="CP407" s="13"/>
    </row>
    <row r="408" spans="94:94">
      <c r="CP408" s="13"/>
    </row>
    <row r="409" spans="94:94">
      <c r="CP409" s="13"/>
    </row>
    <row r="410" spans="94:94">
      <c r="CP410" s="13"/>
    </row>
    <row r="411" spans="94:94">
      <c r="CP411" s="13"/>
    </row>
    <row r="412" spans="94:94">
      <c r="CP412" s="13"/>
    </row>
    <row r="413" spans="94:94">
      <c r="CP413" s="13"/>
    </row>
    <row r="414" spans="94:94">
      <c r="CP414" s="13"/>
    </row>
    <row r="415" spans="94:94">
      <c r="CP415" s="13"/>
    </row>
    <row r="416" spans="94:94">
      <c r="CP416" s="13"/>
    </row>
    <row r="417" spans="94:94">
      <c r="CP417" s="13"/>
    </row>
    <row r="418" spans="94:94">
      <c r="CP418" s="13"/>
    </row>
    <row r="419" spans="94:94">
      <c r="CP419" s="13"/>
    </row>
    <row r="420" spans="94:94">
      <c r="CP420" s="13"/>
    </row>
    <row r="421" spans="94:94">
      <c r="CP421" s="13"/>
    </row>
    <row r="422" spans="94:94">
      <c r="CP422" s="13"/>
    </row>
    <row r="423" spans="94:94">
      <c r="CP423" s="13"/>
    </row>
    <row r="424" spans="94:94">
      <c r="CP424" s="13"/>
    </row>
    <row r="425" spans="94:94">
      <c r="CP425" s="13"/>
    </row>
    <row r="426" spans="94:94">
      <c r="CP426" s="13"/>
    </row>
    <row r="427" spans="94:94">
      <c r="CP427" s="13"/>
    </row>
    <row r="428" spans="94:94">
      <c r="CP428" s="13"/>
    </row>
    <row r="429" spans="94:94">
      <c r="CP429" s="13"/>
    </row>
    <row r="430" spans="94:94">
      <c r="CP430" s="13"/>
    </row>
    <row r="431" spans="94:94">
      <c r="CP431" s="13"/>
    </row>
    <row r="432" spans="94:94">
      <c r="CP432" s="13"/>
    </row>
    <row r="433" spans="94:94">
      <c r="CP433" s="13"/>
    </row>
    <row r="434" spans="94:94">
      <c r="CP434" s="13"/>
    </row>
    <row r="435" spans="94:94">
      <c r="CP435" s="13"/>
    </row>
    <row r="436" spans="94:94">
      <c r="CP436" s="13"/>
    </row>
    <row r="437" spans="94:94">
      <c r="CP437" s="13"/>
    </row>
    <row r="438" spans="94:94">
      <c r="CP438" s="13"/>
    </row>
    <row r="439" spans="94:94">
      <c r="CP439" s="13"/>
    </row>
    <row r="440" spans="94:94">
      <c r="CP440" s="13"/>
    </row>
    <row r="441" spans="94:94">
      <c r="CP441" s="13"/>
    </row>
    <row r="442" spans="94:94">
      <c r="CP442" s="13"/>
    </row>
    <row r="443" spans="94:94">
      <c r="CP443" s="13"/>
    </row>
    <row r="444" spans="94:94">
      <c r="CP444" s="13"/>
    </row>
    <row r="445" spans="94:94">
      <c r="CP445" s="13"/>
    </row>
    <row r="446" spans="94:94">
      <c r="CP446" s="13"/>
    </row>
    <row r="447" spans="94:94">
      <c r="CP447" s="13"/>
    </row>
    <row r="448" spans="94:94">
      <c r="CP448" s="13"/>
    </row>
    <row r="449" spans="94:94">
      <c r="CP449" s="13"/>
    </row>
    <row r="450" spans="94:94">
      <c r="CP450" s="13"/>
    </row>
    <row r="451" spans="94:94">
      <c r="CP451" s="13"/>
    </row>
    <row r="452" spans="94:94">
      <c r="CP452" s="13"/>
    </row>
    <row r="453" spans="94:94">
      <c r="CP453" s="13"/>
    </row>
    <row r="454" spans="94:94">
      <c r="CP454" s="13"/>
    </row>
    <row r="455" spans="94:94">
      <c r="CP455" s="13"/>
    </row>
    <row r="456" spans="94:94">
      <c r="CP456" s="13"/>
    </row>
    <row r="457" spans="94:94">
      <c r="CP457" s="13"/>
    </row>
    <row r="458" spans="94:94">
      <c r="CP458" s="13"/>
    </row>
    <row r="459" spans="94:94">
      <c r="CP459" s="13"/>
    </row>
    <row r="460" spans="94:94">
      <c r="CP460" s="13"/>
    </row>
    <row r="461" spans="94:94">
      <c r="CP461" s="13"/>
    </row>
    <row r="462" spans="94:94">
      <c r="CP462" s="13"/>
    </row>
    <row r="463" spans="94:94">
      <c r="CP463" s="13"/>
    </row>
    <row r="464" spans="94:94">
      <c r="CP464" s="13"/>
    </row>
    <row r="465" spans="94:94">
      <c r="CP465" s="13"/>
    </row>
    <row r="466" spans="94:94">
      <c r="CP466" s="13"/>
    </row>
    <row r="467" spans="94:94">
      <c r="CP467" s="13"/>
    </row>
    <row r="468" spans="94:94">
      <c r="CP468" s="13"/>
    </row>
    <row r="469" spans="94:94">
      <c r="CP469" s="13"/>
    </row>
    <row r="470" spans="94:94">
      <c r="CP470" s="13"/>
    </row>
    <row r="471" spans="94:94">
      <c r="CP471" s="13"/>
    </row>
    <row r="472" spans="94:94">
      <c r="CP472" s="13"/>
    </row>
    <row r="473" spans="94:94">
      <c r="CP473" s="13"/>
    </row>
    <row r="474" spans="94:94">
      <c r="CP474" s="13"/>
    </row>
    <row r="475" spans="94:94">
      <c r="CP475" s="13"/>
    </row>
    <row r="476" spans="94:94">
      <c r="CP476" s="13"/>
    </row>
    <row r="477" spans="94:94">
      <c r="CP477" s="13"/>
    </row>
    <row r="478" spans="94:94">
      <c r="CP478" s="13"/>
    </row>
    <row r="479" spans="94:94">
      <c r="CP479" s="13"/>
    </row>
    <row r="480" spans="94:94">
      <c r="CP480" s="13"/>
    </row>
    <row r="481" spans="94:94">
      <c r="CP481" s="13"/>
    </row>
    <row r="482" spans="94:94">
      <c r="CP482" s="13"/>
    </row>
    <row r="483" spans="94:94">
      <c r="CP483" s="13"/>
    </row>
    <row r="484" spans="94:94">
      <c r="CP484" s="13"/>
    </row>
    <row r="485" spans="94:94">
      <c r="CP485" s="13"/>
    </row>
    <row r="486" spans="94:94">
      <c r="CP486" s="13"/>
    </row>
    <row r="487" spans="94:94">
      <c r="CP487" s="13"/>
    </row>
    <row r="488" spans="94:94">
      <c r="CP488" s="13"/>
    </row>
    <row r="489" spans="94:94">
      <c r="CP489" s="13"/>
    </row>
    <row r="490" spans="94:94">
      <c r="CP490" s="13"/>
    </row>
    <row r="491" spans="94:94">
      <c r="CP491" s="13"/>
    </row>
    <row r="492" spans="94:94">
      <c r="CP492" s="13"/>
    </row>
    <row r="493" spans="94:94">
      <c r="CP493" s="13"/>
    </row>
    <row r="494" spans="94:94">
      <c r="CP494" s="13"/>
    </row>
    <row r="495" spans="94:94">
      <c r="CP495" s="13"/>
    </row>
    <row r="496" spans="94:94">
      <c r="CP496" s="13"/>
    </row>
    <row r="497" spans="94:94">
      <c r="CP497" s="13"/>
    </row>
    <row r="498" spans="94:94">
      <c r="CP498" s="13"/>
    </row>
    <row r="499" spans="94:94">
      <c r="CP499" s="13"/>
    </row>
    <row r="500" spans="94:94">
      <c r="CP500" s="13"/>
    </row>
    <row r="501" spans="94:94">
      <c r="CP501" s="13"/>
    </row>
    <row r="502" spans="94:94">
      <c r="CP502" s="13"/>
    </row>
    <row r="503" spans="94:94">
      <c r="CP503" s="13"/>
    </row>
    <row r="504" spans="94:94">
      <c r="CP504" s="13"/>
    </row>
    <row r="505" spans="94:94">
      <c r="CP505" s="13"/>
    </row>
    <row r="506" spans="94:94">
      <c r="CP506" s="13"/>
    </row>
    <row r="507" spans="94:94">
      <c r="CP507" s="13"/>
    </row>
    <row r="508" spans="94:94">
      <c r="CP508" s="13"/>
    </row>
    <row r="509" spans="94:94">
      <c r="CP509" s="13"/>
    </row>
    <row r="510" spans="94:94">
      <c r="CP510" s="13"/>
    </row>
    <row r="511" spans="94:94">
      <c r="CP511" s="13"/>
    </row>
    <row r="512" spans="94:94">
      <c r="CP512" s="13"/>
    </row>
    <row r="513" spans="94:94">
      <c r="CP513" s="13"/>
    </row>
    <row r="514" spans="94:94">
      <c r="CP514" s="13"/>
    </row>
    <row r="515" spans="94:94">
      <c r="CP515" s="13"/>
    </row>
    <row r="516" spans="94:94">
      <c r="CP516" s="13"/>
    </row>
    <row r="517" spans="94:94">
      <c r="CP517" s="13"/>
    </row>
    <row r="518" spans="94:94">
      <c r="CP518" s="13"/>
    </row>
    <row r="519" spans="94:94">
      <c r="CP519" s="13"/>
    </row>
    <row r="520" spans="94:94">
      <c r="CP520" s="13"/>
    </row>
    <row r="521" spans="94:94">
      <c r="CP521" s="13"/>
    </row>
    <row r="522" spans="94:94">
      <c r="CP522" s="13"/>
    </row>
    <row r="523" spans="94:94">
      <c r="CP523" s="13"/>
    </row>
    <row r="524" spans="94:94">
      <c r="CP524" s="13"/>
    </row>
    <row r="525" spans="94:94">
      <c r="CP525" s="13"/>
    </row>
    <row r="526" spans="94:94">
      <c r="CP526" s="13"/>
    </row>
    <row r="527" spans="94:94">
      <c r="CP527" s="13"/>
    </row>
    <row r="528" spans="94:94">
      <c r="CP528" s="13"/>
    </row>
    <row r="529" spans="94:94">
      <c r="CP529" s="13"/>
    </row>
    <row r="530" spans="94:94">
      <c r="CP530" s="13"/>
    </row>
    <row r="531" spans="94:94">
      <c r="CP531" s="13"/>
    </row>
    <row r="532" spans="94:94">
      <c r="CP532" s="13"/>
    </row>
    <row r="533" spans="94:94">
      <c r="CP533" s="13"/>
    </row>
    <row r="534" spans="94:94">
      <c r="CP534" s="13"/>
    </row>
    <row r="535" spans="94:94">
      <c r="CP535" s="13"/>
    </row>
    <row r="536" spans="94:94">
      <c r="CP536" s="13"/>
    </row>
    <row r="537" spans="94:94">
      <c r="CP537" s="13"/>
    </row>
    <row r="538" spans="94:94">
      <c r="CP538" s="13"/>
    </row>
    <row r="539" spans="94:94">
      <c r="CP539" s="13"/>
    </row>
    <row r="540" spans="94:94">
      <c r="CP540" s="13"/>
    </row>
    <row r="541" spans="94:94">
      <c r="CP541" s="13"/>
    </row>
    <row r="542" spans="94:94">
      <c r="CP542" s="13"/>
    </row>
    <row r="543" spans="94:94">
      <c r="CP543" s="13"/>
    </row>
    <row r="544" spans="94:94">
      <c r="CP544" s="13"/>
    </row>
    <row r="545" spans="94:94">
      <c r="CP545" s="13"/>
    </row>
    <row r="546" spans="94:94">
      <c r="CP546" s="13"/>
    </row>
    <row r="547" spans="94:94">
      <c r="CP547" s="13"/>
    </row>
    <row r="548" spans="94:94">
      <c r="CP548" s="13"/>
    </row>
    <row r="549" spans="94:94">
      <c r="CP549" s="13"/>
    </row>
    <row r="550" spans="94:94">
      <c r="CP550" s="13"/>
    </row>
    <row r="551" spans="94:94">
      <c r="CP551" s="13"/>
    </row>
    <row r="552" spans="94:94">
      <c r="CP552" s="13"/>
    </row>
    <row r="553" spans="94:94">
      <c r="CP553" s="13"/>
    </row>
    <row r="554" spans="94:94">
      <c r="CP554" s="13"/>
    </row>
    <row r="555" spans="94:94">
      <c r="CP555" s="13"/>
    </row>
    <row r="556" spans="94:94">
      <c r="CP556" s="13"/>
    </row>
    <row r="557" spans="94:94">
      <c r="CP557" s="13"/>
    </row>
    <row r="558" spans="94:94">
      <c r="CP558" s="13"/>
    </row>
    <row r="559" spans="94:94">
      <c r="CP559" s="13"/>
    </row>
    <row r="560" spans="94:94">
      <c r="CP560" s="13"/>
    </row>
    <row r="561" spans="94:94">
      <c r="CP561" s="13"/>
    </row>
    <row r="562" spans="94:94">
      <c r="CP562" s="13"/>
    </row>
    <row r="563" spans="94:94">
      <c r="CP563" s="13"/>
    </row>
    <row r="564" spans="94:94">
      <c r="CP564" s="13"/>
    </row>
    <row r="565" spans="94:94">
      <c r="CP565" s="13"/>
    </row>
    <row r="566" spans="94:94">
      <c r="CP566" s="13"/>
    </row>
    <row r="567" spans="94:94">
      <c r="CP567" s="13"/>
    </row>
    <row r="568" spans="94:94">
      <c r="CP568" s="13"/>
    </row>
    <row r="569" spans="94:94">
      <c r="CP569" s="13"/>
    </row>
    <row r="570" spans="94:94">
      <c r="CP570" s="13"/>
    </row>
    <row r="571" spans="94:94">
      <c r="CP571" s="13"/>
    </row>
    <row r="572" spans="94:94">
      <c r="CP572" s="13"/>
    </row>
    <row r="573" spans="94:94">
      <c r="CP573" s="13"/>
    </row>
    <row r="574" spans="94:94">
      <c r="CP574" s="13"/>
    </row>
    <row r="575" spans="94:94">
      <c r="CP575" s="13"/>
    </row>
    <row r="576" spans="94:94">
      <c r="CP576" s="13"/>
    </row>
    <row r="577" spans="94:94">
      <c r="CP577" s="13"/>
    </row>
    <row r="578" spans="94:94">
      <c r="CP578" s="13"/>
    </row>
    <row r="579" spans="94:94">
      <c r="CP579" s="13"/>
    </row>
    <row r="580" spans="94:94">
      <c r="CP580" s="13"/>
    </row>
    <row r="581" spans="94:94">
      <c r="CP581" s="13"/>
    </row>
    <row r="582" spans="94:94">
      <c r="CP582" s="13"/>
    </row>
    <row r="583" spans="94:94">
      <c r="CP583" s="13"/>
    </row>
    <row r="584" spans="94:94">
      <c r="CP584" s="13"/>
    </row>
    <row r="585" spans="94:94">
      <c r="CP585" s="13"/>
    </row>
    <row r="586" spans="94:94">
      <c r="CP586" s="13"/>
    </row>
    <row r="587" spans="94:94">
      <c r="CP587" s="13"/>
    </row>
    <row r="588" spans="94:94">
      <c r="CP588" s="13"/>
    </row>
    <row r="589" spans="94:94">
      <c r="CP589" s="13"/>
    </row>
    <row r="590" spans="94:94">
      <c r="CP590" s="13"/>
    </row>
    <row r="591" spans="94:94">
      <c r="CP591" s="13"/>
    </row>
    <row r="592" spans="94:94">
      <c r="CP592" s="13"/>
    </row>
    <row r="593" spans="94:94">
      <c r="CP593" s="13"/>
    </row>
    <row r="594" spans="94:94">
      <c r="CP594" s="13"/>
    </row>
    <row r="595" spans="94:94">
      <c r="CP595" s="13"/>
    </row>
    <row r="596" spans="94:94">
      <c r="CP596" s="13"/>
    </row>
    <row r="597" spans="94:94">
      <c r="CP597" s="13"/>
    </row>
    <row r="598" spans="94:94">
      <c r="CP598" s="13"/>
    </row>
    <row r="599" spans="94:94">
      <c r="CP599" s="13"/>
    </row>
    <row r="600" spans="94:94">
      <c r="CP600" s="13"/>
    </row>
    <row r="601" spans="94:94">
      <c r="CP601" s="13"/>
    </row>
    <row r="602" spans="94:94">
      <c r="CP602" s="13"/>
    </row>
    <row r="603" spans="94:94">
      <c r="CP603" s="13"/>
    </row>
    <row r="604" spans="94:94">
      <c r="CP604" s="13"/>
    </row>
    <row r="605" spans="94:94">
      <c r="CP605" s="13"/>
    </row>
    <row r="606" spans="94:94">
      <c r="CP606" s="13"/>
    </row>
    <row r="607" spans="94:94">
      <c r="CP607" s="13"/>
    </row>
    <row r="608" spans="94:94">
      <c r="CP608" s="13"/>
    </row>
    <row r="609" spans="94:94">
      <c r="CP609" s="13"/>
    </row>
    <row r="610" spans="94:94">
      <c r="CP610" s="13"/>
    </row>
    <row r="611" spans="94:94">
      <c r="CP611" s="13"/>
    </row>
    <row r="612" spans="94:94">
      <c r="CP612" s="13"/>
    </row>
    <row r="613" spans="94:94">
      <c r="CP613" s="13"/>
    </row>
    <row r="614" spans="94:94">
      <c r="CP614" s="13"/>
    </row>
    <row r="615" spans="94:94">
      <c r="CP615" s="13"/>
    </row>
    <row r="616" spans="94:94">
      <c r="CP616" s="13"/>
    </row>
    <row r="617" spans="94:94">
      <c r="CP617" s="13"/>
    </row>
    <row r="618" spans="94:94">
      <c r="CP618" s="13"/>
    </row>
    <row r="619" spans="94:94">
      <c r="CP619" s="13"/>
    </row>
    <row r="620" spans="94:94">
      <c r="CP620" s="13"/>
    </row>
    <row r="621" spans="94:94">
      <c r="CP621" s="13"/>
    </row>
    <row r="622" spans="94:94">
      <c r="CP622" s="13"/>
    </row>
    <row r="623" spans="94:94">
      <c r="CP623" s="13"/>
    </row>
    <row r="624" spans="94:94">
      <c r="CP624" s="13"/>
    </row>
    <row r="625" spans="94:94">
      <c r="CP625" s="13"/>
    </row>
    <row r="626" spans="94:94">
      <c r="CP626" s="13"/>
    </row>
    <row r="627" spans="94:94">
      <c r="CP627" s="13"/>
    </row>
    <row r="628" spans="94:94">
      <c r="CP628" s="13"/>
    </row>
    <row r="629" spans="94:94">
      <c r="CP629" s="13"/>
    </row>
    <row r="630" spans="94:94">
      <c r="CP630" s="13"/>
    </row>
    <row r="631" spans="94:94">
      <c r="CP631" s="13"/>
    </row>
    <row r="632" spans="94:94">
      <c r="CP632" s="13"/>
    </row>
    <row r="633" spans="94:94">
      <c r="CP633" s="13"/>
    </row>
    <row r="634" spans="94:94">
      <c r="CP634" s="13"/>
    </row>
    <row r="635" spans="94:94">
      <c r="CP635" s="13"/>
    </row>
    <row r="636" spans="94:94">
      <c r="CP636" s="13"/>
    </row>
    <row r="637" spans="94:94">
      <c r="CP637" s="13"/>
    </row>
    <row r="638" spans="94:94">
      <c r="CP638" s="13"/>
    </row>
    <row r="639" spans="94:94">
      <c r="CP639" s="13"/>
    </row>
    <row r="640" spans="94:94">
      <c r="CP640" s="13"/>
    </row>
    <row r="641" spans="94:94">
      <c r="CP641" s="13"/>
    </row>
    <row r="642" spans="94:94">
      <c r="CP642" s="13"/>
    </row>
    <row r="643" spans="94:94">
      <c r="CP643" s="13"/>
    </row>
    <row r="644" spans="94:94">
      <c r="CP644" s="13"/>
    </row>
    <row r="645" spans="94:94">
      <c r="CP645" s="13"/>
    </row>
    <row r="646" spans="94:94">
      <c r="CP646" s="13"/>
    </row>
    <row r="647" spans="94:94">
      <c r="CP647" s="13"/>
    </row>
    <row r="648" spans="94:94">
      <c r="CP648" s="13"/>
    </row>
    <row r="649" spans="94:94">
      <c r="CP649" s="13"/>
    </row>
    <row r="650" spans="94:94">
      <c r="CP650" s="13"/>
    </row>
    <row r="651" spans="94:94">
      <c r="CP651" s="13"/>
    </row>
    <row r="652" spans="94:94">
      <c r="CP652" s="13"/>
    </row>
    <row r="653" spans="94:94">
      <c r="CP653" s="13"/>
    </row>
    <row r="654" spans="94:94">
      <c r="CP654" s="13"/>
    </row>
    <row r="655" spans="94:94">
      <c r="CP655" s="13"/>
    </row>
    <row r="656" spans="94:94">
      <c r="CP656" s="13"/>
    </row>
    <row r="657" spans="94:94">
      <c r="CP657" s="13"/>
    </row>
    <row r="658" spans="94:94">
      <c r="CP658" s="13"/>
    </row>
    <row r="659" spans="94:94">
      <c r="CP659" s="13"/>
    </row>
    <row r="660" spans="94:94">
      <c r="CP660" s="13"/>
    </row>
    <row r="661" spans="94:94">
      <c r="CP661" s="13"/>
    </row>
    <row r="662" spans="94:94">
      <c r="CP662" s="13"/>
    </row>
    <row r="663" spans="94:94">
      <c r="CP663" s="13"/>
    </row>
    <row r="664" spans="94:94">
      <c r="CP664" s="13"/>
    </row>
    <row r="665" spans="94:94">
      <c r="CP665" s="13"/>
    </row>
    <row r="666" spans="94:94">
      <c r="CP666" s="13"/>
    </row>
    <row r="667" spans="94:94">
      <c r="CP667" s="13"/>
    </row>
    <row r="668" spans="94:94">
      <c r="CP668" s="13"/>
    </row>
    <row r="669" spans="94:94">
      <c r="CP669" s="13"/>
    </row>
    <row r="670" spans="94:94">
      <c r="CP670" s="13"/>
    </row>
    <row r="671" spans="94:94">
      <c r="CP671" s="13"/>
    </row>
    <row r="672" spans="94:94">
      <c r="CP672" s="13"/>
    </row>
    <row r="673" spans="94:94">
      <c r="CP673" s="13"/>
    </row>
    <row r="674" spans="94:94">
      <c r="CP674" s="13"/>
    </row>
    <row r="675" spans="94:94">
      <c r="CP675" s="13"/>
    </row>
    <row r="676" spans="94:94">
      <c r="CP676" s="13"/>
    </row>
    <row r="677" spans="94:94">
      <c r="CP677" s="13"/>
    </row>
    <row r="678" spans="94:94">
      <c r="CP678" s="13"/>
    </row>
    <row r="679" spans="94:94">
      <c r="CP679" s="13"/>
    </row>
    <row r="680" spans="94:94">
      <c r="CP680" s="13"/>
    </row>
    <row r="681" spans="94:94">
      <c r="CP681" s="13"/>
    </row>
    <row r="682" spans="94:94">
      <c r="CP682" s="13"/>
    </row>
    <row r="683" spans="94:94">
      <c r="CP683" s="13"/>
    </row>
    <row r="684" spans="94:94">
      <c r="CP684" s="13"/>
    </row>
    <row r="685" spans="94:94">
      <c r="CP685" s="13"/>
    </row>
    <row r="686" spans="94:94">
      <c r="CP686" s="13"/>
    </row>
    <row r="687" spans="94:94">
      <c r="CP687" s="13"/>
    </row>
    <row r="688" spans="94:94">
      <c r="CP688" s="13"/>
    </row>
    <row r="689" spans="94:94">
      <c r="CP689" s="13"/>
    </row>
    <row r="690" spans="94:94">
      <c r="CP690" s="13"/>
    </row>
    <row r="691" spans="94:94">
      <c r="CP691" s="13"/>
    </row>
    <row r="692" spans="94:94">
      <c r="CP692" s="13"/>
    </row>
    <row r="693" spans="94:94">
      <c r="CP693" s="13"/>
    </row>
    <row r="694" spans="94:94">
      <c r="CP694" s="13"/>
    </row>
    <row r="695" spans="94:94">
      <c r="CP695" s="13"/>
    </row>
    <row r="696" spans="94:94">
      <c r="CP696" s="13"/>
    </row>
    <row r="697" spans="94:94">
      <c r="CP697" s="13"/>
    </row>
    <row r="698" spans="94:94">
      <c r="CP698" s="13"/>
    </row>
    <row r="699" spans="94:94">
      <c r="CP699" s="13"/>
    </row>
    <row r="700" spans="94:94">
      <c r="CP700" s="13"/>
    </row>
    <row r="701" spans="94:94">
      <c r="CP701" s="13"/>
    </row>
    <row r="702" spans="94:94">
      <c r="CP702" s="13"/>
    </row>
    <row r="703" spans="94:94">
      <c r="CP703" s="13"/>
    </row>
    <row r="704" spans="94:94">
      <c r="CP704" s="13"/>
    </row>
    <row r="705" spans="94:94">
      <c r="CP705" s="13"/>
    </row>
    <row r="706" spans="94:94">
      <c r="CP706" s="13"/>
    </row>
    <row r="707" spans="94:94">
      <c r="CP707" s="13"/>
    </row>
    <row r="708" spans="94:94">
      <c r="CP708" s="13"/>
    </row>
    <row r="709" spans="94:94">
      <c r="CP709" s="13"/>
    </row>
    <row r="710" spans="94:94">
      <c r="CP710" s="13"/>
    </row>
    <row r="711" spans="94:94">
      <c r="CP711" s="13"/>
    </row>
    <row r="712" spans="94:94">
      <c r="CP712" s="13"/>
    </row>
    <row r="713" spans="94:94">
      <c r="CP713" s="13"/>
    </row>
    <row r="714" spans="94:94">
      <c r="CP714" s="13"/>
    </row>
    <row r="715" spans="94:94">
      <c r="CP715" s="13"/>
    </row>
    <row r="716" spans="94:94">
      <c r="CP716" s="13"/>
    </row>
    <row r="717" spans="94:94">
      <c r="CP717" s="13"/>
    </row>
    <row r="718" spans="94:94">
      <c r="CP718" s="13"/>
    </row>
    <row r="719" spans="94:94">
      <c r="CP719" s="13"/>
    </row>
    <row r="720" spans="94:94">
      <c r="CP720" s="13"/>
    </row>
    <row r="721" spans="94:94">
      <c r="CP721" s="13"/>
    </row>
    <row r="722" spans="94:94">
      <c r="CP722" s="13"/>
    </row>
    <row r="723" spans="94:94">
      <c r="CP723" s="13"/>
    </row>
    <row r="724" spans="94:94">
      <c r="CP724" s="13"/>
    </row>
    <row r="725" spans="94:94">
      <c r="CP725" s="13"/>
    </row>
    <row r="726" spans="94:94">
      <c r="CP726" s="13"/>
    </row>
    <row r="727" spans="94:94">
      <c r="CP727" s="13"/>
    </row>
    <row r="728" spans="94:94">
      <c r="CP728" s="13"/>
    </row>
    <row r="729" spans="94:94">
      <c r="CP729" s="13"/>
    </row>
    <row r="730" spans="94:94">
      <c r="CP730" s="13"/>
    </row>
    <row r="731" spans="94:94">
      <c r="CP731" s="13"/>
    </row>
    <row r="732" spans="94:94">
      <c r="CP732" s="13"/>
    </row>
    <row r="733" spans="94:94">
      <c r="CP733" s="13"/>
    </row>
    <row r="734" spans="94:94">
      <c r="CP734" s="13"/>
    </row>
    <row r="735" spans="94:94">
      <c r="CP735" s="13"/>
    </row>
    <row r="736" spans="94:94">
      <c r="CP736" s="13"/>
    </row>
    <row r="737" spans="94:94">
      <c r="CP737" s="13"/>
    </row>
    <row r="738" spans="94:94">
      <c r="CP738" s="13"/>
    </row>
    <row r="739" spans="94:94">
      <c r="CP739" s="13"/>
    </row>
    <row r="740" spans="94:94">
      <c r="CP740" s="13"/>
    </row>
    <row r="741" spans="94:94">
      <c r="CP741" s="13"/>
    </row>
    <row r="742" spans="94:94">
      <c r="CP742" s="13"/>
    </row>
    <row r="743" spans="94:94">
      <c r="CP743" s="13"/>
    </row>
    <row r="744" spans="94:94">
      <c r="CP744" s="13"/>
    </row>
    <row r="745" spans="94:94">
      <c r="CP745" s="13"/>
    </row>
    <row r="746" spans="94:94">
      <c r="CP746" s="13"/>
    </row>
    <row r="747" spans="94:94">
      <c r="CP747" s="13"/>
    </row>
    <row r="748" spans="94:94">
      <c r="CP748" s="13"/>
    </row>
    <row r="749" spans="94:94">
      <c r="CP749" s="13"/>
    </row>
    <row r="750" spans="94:94">
      <c r="CP750" s="13"/>
    </row>
    <row r="751" spans="94:94">
      <c r="CP751" s="13"/>
    </row>
    <row r="752" spans="94:94">
      <c r="CP752" s="13"/>
    </row>
    <row r="753" spans="94:94">
      <c r="CP753" s="13"/>
    </row>
    <row r="754" spans="94:94">
      <c r="CP754" s="13"/>
    </row>
    <row r="755" spans="94:94">
      <c r="CP755" s="13"/>
    </row>
    <row r="756" spans="94:94">
      <c r="CP756" s="13"/>
    </row>
    <row r="757" spans="94:94">
      <c r="CP757" s="13"/>
    </row>
    <row r="758" spans="94:94">
      <c r="CP758" s="13"/>
    </row>
    <row r="759" spans="94:94">
      <c r="CP759" s="13"/>
    </row>
    <row r="760" spans="94:94">
      <c r="CP760" s="13"/>
    </row>
    <row r="761" spans="94:94">
      <c r="CP761" s="13"/>
    </row>
    <row r="762" spans="94:94">
      <c r="CP762" s="13"/>
    </row>
    <row r="763" spans="94:94">
      <c r="CP763" s="13"/>
    </row>
    <row r="764" spans="94:94">
      <c r="CP764" s="13"/>
    </row>
    <row r="765" spans="94:94">
      <c r="CP765" s="13"/>
    </row>
    <row r="766" spans="94:94">
      <c r="CP766" s="13"/>
    </row>
    <row r="767" spans="94:94">
      <c r="CP767" s="13"/>
    </row>
    <row r="768" spans="94:94">
      <c r="CP768" s="13"/>
    </row>
    <row r="769" spans="94:94">
      <c r="CP769" s="13"/>
    </row>
    <row r="770" spans="94:94">
      <c r="CP770" s="13"/>
    </row>
    <row r="771" spans="94:94">
      <c r="CP771" s="13"/>
    </row>
    <row r="772" spans="94:94">
      <c r="CP772" s="13"/>
    </row>
    <row r="773" spans="94:94">
      <c r="CP773" s="13"/>
    </row>
    <row r="774" spans="94:94">
      <c r="CP774" s="13"/>
    </row>
    <row r="775" spans="94:94">
      <c r="CP775" s="13"/>
    </row>
    <row r="776" spans="94:94">
      <c r="CP776" s="13"/>
    </row>
    <row r="777" spans="94:94">
      <c r="CP777" s="13"/>
    </row>
    <row r="778" spans="94:94">
      <c r="CP778" s="13"/>
    </row>
    <row r="779" spans="94:94">
      <c r="CP779" s="13"/>
    </row>
    <row r="780" spans="94:94">
      <c r="CP780" s="13"/>
    </row>
    <row r="781" spans="94:94">
      <c r="CP781" s="13"/>
    </row>
    <row r="782" spans="94:94">
      <c r="CP782" s="13"/>
    </row>
    <row r="783" spans="94:94">
      <c r="CP783" s="13"/>
    </row>
    <row r="784" spans="94:94">
      <c r="CP784" s="13"/>
    </row>
    <row r="785" spans="94:94">
      <c r="CP785" s="13"/>
    </row>
    <row r="786" spans="94:94">
      <c r="CP786" s="13"/>
    </row>
    <row r="787" spans="94:94">
      <c r="CP787" s="13"/>
    </row>
    <row r="788" spans="94:94">
      <c r="CP788" s="13"/>
    </row>
    <row r="789" spans="94:94">
      <c r="CP789" s="13"/>
    </row>
    <row r="790" spans="94:94">
      <c r="CP790" s="13"/>
    </row>
    <row r="791" spans="94:94">
      <c r="CP791" s="13"/>
    </row>
    <row r="792" spans="94:94">
      <c r="CP792" s="13"/>
    </row>
    <row r="793" spans="94:94">
      <c r="CP793" s="13"/>
    </row>
    <row r="794" spans="94:94">
      <c r="CP794" s="13"/>
    </row>
    <row r="795" spans="94:94">
      <c r="CP795" s="13"/>
    </row>
    <row r="796" spans="94:94">
      <c r="CP796" s="13"/>
    </row>
    <row r="797" spans="94:94">
      <c r="CP797" s="13"/>
    </row>
    <row r="798" spans="94:94">
      <c r="CP798" s="13"/>
    </row>
    <row r="799" spans="94:94">
      <c r="CP799" s="13"/>
    </row>
    <row r="800" spans="94:94">
      <c r="CP800" s="13"/>
    </row>
    <row r="801" spans="94:94">
      <c r="CP801" s="13"/>
    </row>
    <row r="802" spans="94:94">
      <c r="CP802" s="13"/>
    </row>
    <row r="803" spans="94:94">
      <c r="CP803" s="13"/>
    </row>
    <row r="804" spans="94:94">
      <c r="CP804" s="13"/>
    </row>
    <row r="805" spans="94:94">
      <c r="CP805" s="13"/>
    </row>
    <row r="806" spans="94:94">
      <c r="CP806" s="13"/>
    </row>
    <row r="807" spans="94:94">
      <c r="CP807" s="13"/>
    </row>
    <row r="808" spans="94:94">
      <c r="CP808" s="13"/>
    </row>
    <row r="809" spans="94:94">
      <c r="CP809" s="13"/>
    </row>
    <row r="810" spans="94:94">
      <c r="CP810" s="13"/>
    </row>
    <row r="811" spans="94:94">
      <c r="CP811" s="13"/>
    </row>
    <row r="812" spans="94:94">
      <c r="CP812" s="13"/>
    </row>
    <row r="813" spans="94:94">
      <c r="CP813" s="13"/>
    </row>
    <row r="814" spans="94:94">
      <c r="CP814" s="13"/>
    </row>
    <row r="815" spans="94:94">
      <c r="CP815" s="13"/>
    </row>
    <row r="816" spans="94:94">
      <c r="CP816" s="13"/>
    </row>
    <row r="817" spans="94:94">
      <c r="CP817" s="13"/>
    </row>
    <row r="818" spans="94:94">
      <c r="CP818" s="13"/>
    </row>
    <row r="819" spans="94:94">
      <c r="CP819" s="13"/>
    </row>
    <row r="820" spans="94:94">
      <c r="CP820" s="13"/>
    </row>
    <row r="821" spans="94:94">
      <c r="CP821" s="13"/>
    </row>
    <row r="822" spans="94:94">
      <c r="CP822" s="13"/>
    </row>
    <row r="823" spans="94:94">
      <c r="CP823" s="13"/>
    </row>
    <row r="824" spans="94:94">
      <c r="CP824" s="13"/>
    </row>
    <row r="825" spans="94:94">
      <c r="CP825" s="13"/>
    </row>
    <row r="826" spans="94:94">
      <c r="CP826" s="13"/>
    </row>
    <row r="827" spans="94:94">
      <c r="CP827" s="13"/>
    </row>
    <row r="828" spans="94:94">
      <c r="CP828" s="13"/>
    </row>
    <row r="829" spans="94:94">
      <c r="CP829" s="13"/>
    </row>
    <row r="830" spans="94:94">
      <c r="CP830" s="13"/>
    </row>
    <row r="831" spans="94:94">
      <c r="CP831" s="13"/>
    </row>
    <row r="832" spans="94:94">
      <c r="CP832" s="13"/>
    </row>
    <row r="833" spans="94:94">
      <c r="CP833" s="13"/>
    </row>
    <row r="834" spans="94:94">
      <c r="CP834" s="13"/>
    </row>
    <row r="835" spans="94:94">
      <c r="CP835" s="13"/>
    </row>
    <row r="836" spans="94:94">
      <c r="CP836" s="13"/>
    </row>
    <row r="837" spans="94:94">
      <c r="CP837" s="13"/>
    </row>
    <row r="838" spans="94:94">
      <c r="CP838" s="13"/>
    </row>
    <row r="839" spans="94:94">
      <c r="CP839" s="13"/>
    </row>
    <row r="840" spans="94:94">
      <c r="CP840" s="13"/>
    </row>
    <row r="841" spans="94:94">
      <c r="CP841" s="13"/>
    </row>
    <row r="842" spans="94:94">
      <c r="CP842" s="13"/>
    </row>
    <row r="843" spans="94:94">
      <c r="CP843" s="13"/>
    </row>
    <row r="844" spans="94:94">
      <c r="CP844" s="13"/>
    </row>
    <row r="845" spans="94:94">
      <c r="CP845" s="13"/>
    </row>
    <row r="846" spans="94:94">
      <c r="CP846" s="13"/>
    </row>
    <row r="847" spans="94:94">
      <c r="CP847" s="13"/>
    </row>
    <row r="848" spans="94:94">
      <c r="CP848" s="13"/>
    </row>
    <row r="849" spans="94:94">
      <c r="CP849" s="13"/>
    </row>
    <row r="850" spans="94:94">
      <c r="CP850" s="13"/>
    </row>
    <row r="851" spans="94:94">
      <c r="CP851" s="13"/>
    </row>
    <row r="852" spans="94:94">
      <c r="CP852" s="13"/>
    </row>
    <row r="853" spans="94:94">
      <c r="CP853" s="13"/>
    </row>
    <row r="854" spans="94:94">
      <c r="CP854" s="13"/>
    </row>
    <row r="855" spans="94:94">
      <c r="CP855" s="13"/>
    </row>
    <row r="856" spans="94:94">
      <c r="CP856" s="13"/>
    </row>
    <row r="857" spans="94:94">
      <c r="CP857" s="13"/>
    </row>
    <row r="858" spans="94:94">
      <c r="CP858" s="13"/>
    </row>
    <row r="859" spans="94:94">
      <c r="CP859" s="13"/>
    </row>
    <row r="860" spans="94:94">
      <c r="CP860" s="13"/>
    </row>
    <row r="861" spans="94:94">
      <c r="CP861" s="13"/>
    </row>
    <row r="862" spans="94:94">
      <c r="CP862" s="13"/>
    </row>
    <row r="863" spans="94:94">
      <c r="CP863" s="13"/>
    </row>
    <row r="864" spans="94:94">
      <c r="CP864" s="13"/>
    </row>
    <row r="865" spans="94:94">
      <c r="CP865" s="13"/>
    </row>
    <row r="866" spans="94:94">
      <c r="CP866" s="13"/>
    </row>
    <row r="867" spans="94:94">
      <c r="CP867" s="13"/>
    </row>
    <row r="868" spans="94:94">
      <c r="CP868" s="13"/>
    </row>
    <row r="869" spans="94:94">
      <c r="CP869" s="13"/>
    </row>
    <row r="870" spans="94:94">
      <c r="CP870" s="13"/>
    </row>
    <row r="871" spans="94:94">
      <c r="CP871" s="13"/>
    </row>
    <row r="872" spans="94:94">
      <c r="CP872" s="13"/>
    </row>
    <row r="873" spans="94:94">
      <c r="CP873" s="13"/>
    </row>
    <row r="874" spans="94:94">
      <c r="CP874" s="13"/>
    </row>
    <row r="875" spans="94:94">
      <c r="CP875" s="13"/>
    </row>
    <row r="876" spans="94:94">
      <c r="CP876" s="13"/>
    </row>
    <row r="877" spans="94:94">
      <c r="CP877" s="13"/>
    </row>
    <row r="878" spans="94:94">
      <c r="CP878" s="13"/>
    </row>
    <row r="879" spans="94:94">
      <c r="CP879" s="13"/>
    </row>
    <row r="880" spans="94:94">
      <c r="CP880" s="13"/>
    </row>
    <row r="881" spans="94:94">
      <c r="CP881" s="13"/>
    </row>
    <row r="882" spans="94:94">
      <c r="CP882" s="13"/>
    </row>
    <row r="883" spans="94:94">
      <c r="CP883" s="13"/>
    </row>
    <row r="884" spans="94:94">
      <c r="CP884" s="13"/>
    </row>
    <row r="885" spans="94:94">
      <c r="CP885" s="13"/>
    </row>
    <row r="886" spans="94:94">
      <c r="CP886" s="13"/>
    </row>
    <row r="887" spans="94:94">
      <c r="CP887" s="13"/>
    </row>
    <row r="888" spans="94:94">
      <c r="CP888" s="13"/>
    </row>
    <row r="889" spans="94:94">
      <c r="CP889" s="13"/>
    </row>
    <row r="890" spans="94:94">
      <c r="CP890" s="13"/>
    </row>
    <row r="891" spans="94:94">
      <c r="CP891" s="13"/>
    </row>
    <row r="892" spans="94:94">
      <c r="CP892" s="13"/>
    </row>
    <row r="893" spans="94:94">
      <c r="CP893" s="13"/>
    </row>
    <row r="894" spans="94:94">
      <c r="CP894" s="13"/>
    </row>
    <row r="895" spans="94:94">
      <c r="CP895" s="13"/>
    </row>
    <row r="896" spans="94:94">
      <c r="CP896" s="13"/>
    </row>
    <row r="897" spans="94:94">
      <c r="CP897" s="13"/>
    </row>
    <row r="898" spans="94:94">
      <c r="CP898" s="13"/>
    </row>
    <row r="899" spans="94:94">
      <c r="CP899" s="13"/>
    </row>
    <row r="900" spans="94:94">
      <c r="CP900" s="13"/>
    </row>
    <row r="901" spans="94:94">
      <c r="CP901" s="13"/>
    </row>
    <row r="902" spans="94:94">
      <c r="CP902" s="13"/>
    </row>
    <row r="903" spans="94:94">
      <c r="CP903" s="13"/>
    </row>
    <row r="904" spans="94:94">
      <c r="CP904" s="13"/>
    </row>
    <row r="905" spans="94:94">
      <c r="CP905" s="13"/>
    </row>
    <row r="906" spans="94:94">
      <c r="CP906" s="13"/>
    </row>
    <row r="907" spans="94:94">
      <c r="CP907" s="13"/>
    </row>
    <row r="908" spans="94:94">
      <c r="CP908" s="13"/>
    </row>
    <row r="909" spans="94:94">
      <c r="CP909" s="13"/>
    </row>
    <row r="910" spans="94:94">
      <c r="CP910" s="13"/>
    </row>
    <row r="911" spans="94:94">
      <c r="CP911" s="13"/>
    </row>
    <row r="912" spans="94:94">
      <c r="CP912" s="13"/>
    </row>
    <row r="913" spans="94:94">
      <c r="CP913" s="13"/>
    </row>
    <row r="914" spans="94:94">
      <c r="CP914" s="13"/>
    </row>
    <row r="915" spans="94:94">
      <c r="CP915" s="13"/>
    </row>
    <row r="916" spans="94:94">
      <c r="CP916" s="13"/>
    </row>
    <row r="917" spans="94:94">
      <c r="CP917" s="13"/>
    </row>
    <row r="918" spans="94:94">
      <c r="CP918" s="13"/>
    </row>
    <row r="919" spans="94:94">
      <c r="CP919" s="13"/>
    </row>
    <row r="920" spans="94:94">
      <c r="CP920" s="13"/>
    </row>
    <row r="921" spans="94:94">
      <c r="CP921" s="13"/>
    </row>
    <row r="922" spans="94:94">
      <c r="CP922" s="13"/>
    </row>
    <row r="923" spans="94:94">
      <c r="CP923" s="13"/>
    </row>
    <row r="924" spans="94:94">
      <c r="CP924" s="13"/>
    </row>
    <row r="925" spans="94:94">
      <c r="CP925" s="13"/>
    </row>
    <row r="926" spans="94:94">
      <c r="CP926" s="13"/>
    </row>
    <row r="927" spans="94:94">
      <c r="CP927" s="13"/>
    </row>
    <row r="928" spans="94:94">
      <c r="CP928" s="13"/>
    </row>
    <row r="929" spans="94:94">
      <c r="CP929" s="13"/>
    </row>
    <row r="930" spans="94:94">
      <c r="CP930" s="13"/>
    </row>
    <row r="931" spans="94:94">
      <c r="CP931" s="13"/>
    </row>
    <row r="932" spans="94:94">
      <c r="CP932" s="13"/>
    </row>
    <row r="933" spans="94:94">
      <c r="CP933" s="13"/>
    </row>
    <row r="934" spans="94:94">
      <c r="CP934" s="13"/>
    </row>
    <row r="935" spans="94:94">
      <c r="CP935" s="13"/>
    </row>
    <row r="936" spans="94:94">
      <c r="CP936" s="13"/>
    </row>
    <row r="937" spans="94:94">
      <c r="CP937" s="13"/>
    </row>
    <row r="938" spans="94:94">
      <c r="CP938" s="13"/>
    </row>
    <row r="939" spans="94:94">
      <c r="CP939" s="13"/>
    </row>
    <row r="940" spans="94:94">
      <c r="CP940" s="13"/>
    </row>
    <row r="941" spans="94:94">
      <c r="CP941" s="13"/>
    </row>
    <row r="942" spans="94:94">
      <c r="CP942" s="13"/>
    </row>
    <row r="943" spans="94:94">
      <c r="CP943" s="13"/>
    </row>
    <row r="944" spans="94:94">
      <c r="CP944" s="13"/>
    </row>
    <row r="945" spans="94:94">
      <c r="CP945" s="13"/>
    </row>
    <row r="946" spans="94:94">
      <c r="CP946" s="13"/>
    </row>
    <row r="947" spans="94:94">
      <c r="CP947" s="13"/>
    </row>
    <row r="948" spans="94:94">
      <c r="CP948" s="13"/>
    </row>
    <row r="949" spans="94:94">
      <c r="CP949" s="13"/>
    </row>
    <row r="950" spans="94:94">
      <c r="CP950" s="13"/>
    </row>
    <row r="951" spans="94:94">
      <c r="CP951" s="13"/>
    </row>
    <row r="952" spans="94:94">
      <c r="CP952" s="13"/>
    </row>
    <row r="953" spans="94:94">
      <c r="CP953" s="13"/>
    </row>
    <row r="954" spans="94:94">
      <c r="CP954" s="13"/>
    </row>
    <row r="955" spans="94:94">
      <c r="CP955" s="13"/>
    </row>
    <row r="956" spans="94:94">
      <c r="CP956" s="13"/>
    </row>
    <row r="957" spans="94:94">
      <c r="CP957" s="13"/>
    </row>
    <row r="958" spans="94:94">
      <c r="CP958" s="13"/>
    </row>
    <row r="959" spans="94:94">
      <c r="CP959" s="13"/>
    </row>
    <row r="960" spans="94:94">
      <c r="CP960" s="13"/>
    </row>
    <row r="961" spans="94:94">
      <c r="CP961" s="13"/>
    </row>
    <row r="962" spans="94:94">
      <c r="CP962" s="13"/>
    </row>
    <row r="963" spans="94:94">
      <c r="CP963" s="13"/>
    </row>
    <row r="964" spans="94:94">
      <c r="CP964" s="13"/>
    </row>
    <row r="965" spans="94:94">
      <c r="CP965" s="13"/>
    </row>
    <row r="966" spans="94:94">
      <c r="CP966" s="13"/>
    </row>
    <row r="967" spans="94:94">
      <c r="CP967" s="13"/>
    </row>
    <row r="968" spans="94:94">
      <c r="CP968" s="13"/>
    </row>
    <row r="969" spans="94:94">
      <c r="CP969" s="13"/>
    </row>
    <row r="970" spans="94:94">
      <c r="CP970" s="13"/>
    </row>
    <row r="971" spans="94:94">
      <c r="CP971" s="13"/>
    </row>
    <row r="972" spans="94:94">
      <c r="CP972" s="13"/>
    </row>
    <row r="973" spans="94:94">
      <c r="CP973" s="13"/>
    </row>
    <row r="974" spans="94:94">
      <c r="CP974" s="13"/>
    </row>
    <row r="975" spans="94:94">
      <c r="CP975" s="13"/>
    </row>
    <row r="976" spans="94:94">
      <c r="CP976" s="13"/>
    </row>
    <row r="977" spans="94:94">
      <c r="CP977" s="13"/>
    </row>
    <row r="978" spans="94:94">
      <c r="CP978" s="13"/>
    </row>
    <row r="979" spans="94:94">
      <c r="CP979" s="13"/>
    </row>
    <row r="980" spans="94:94">
      <c r="CP980" s="13"/>
    </row>
    <row r="981" spans="94:94">
      <c r="CP981" s="13"/>
    </row>
    <row r="982" spans="94:94">
      <c r="CP982" s="13"/>
    </row>
    <row r="983" spans="94:94">
      <c r="CP983" s="13"/>
    </row>
    <row r="984" spans="94:94">
      <c r="CP984" s="13"/>
    </row>
    <row r="985" spans="94:94">
      <c r="CP985" s="13"/>
    </row>
    <row r="986" spans="94:94">
      <c r="CP986" s="13"/>
    </row>
    <row r="987" spans="94:94">
      <c r="CP987" s="13"/>
    </row>
    <row r="988" spans="94:94">
      <c r="CP988" s="13"/>
    </row>
    <row r="989" spans="94:94">
      <c r="CP989" s="13"/>
    </row>
    <row r="990" spans="94:94">
      <c r="CP990" s="13"/>
    </row>
    <row r="991" spans="94:94">
      <c r="CP991" s="13"/>
    </row>
    <row r="992" spans="94:94">
      <c r="CP992" s="13"/>
    </row>
    <row r="993" spans="94:94">
      <c r="CP993" s="13"/>
    </row>
    <row r="994" spans="94:94">
      <c r="CP994" s="13"/>
    </row>
    <row r="995" spans="94:94">
      <c r="CP995" s="13"/>
    </row>
    <row r="996" spans="94:94">
      <c r="CP996" s="13"/>
    </row>
    <row r="997" spans="94:94">
      <c r="CP997" s="13"/>
    </row>
    <row r="998" spans="94:94">
      <c r="CP998" s="13"/>
    </row>
    <row r="999" spans="94:94">
      <c r="CP999" s="13"/>
    </row>
    <row r="1000" spans="94:94">
      <c r="CP1000" s="13"/>
    </row>
    <row r="1001" spans="94:94">
      <c r="CP1001" s="13"/>
    </row>
    <row r="1002" spans="94:94">
      <c r="CP1002" s="13"/>
    </row>
    <row r="1003" spans="94:94">
      <c r="CP1003" s="13"/>
    </row>
    <row r="1004" spans="94:94">
      <c r="CP1004" s="13"/>
    </row>
    <row r="1005" spans="94:94">
      <c r="CP1005" s="13"/>
    </row>
    <row r="1006" spans="94:94">
      <c r="CP1006" s="13"/>
    </row>
    <row r="1007" spans="94:94">
      <c r="CP1007" s="13"/>
    </row>
    <row r="1008" spans="94:94">
      <c r="CP1008" s="13"/>
    </row>
    <row r="1009" spans="94:94">
      <c r="CP1009" s="13"/>
    </row>
    <row r="1010" spans="94:94">
      <c r="CP1010" s="13"/>
    </row>
    <row r="1011" spans="94:94">
      <c r="CP1011" s="13"/>
    </row>
    <row r="1012" spans="94:94">
      <c r="CP1012" s="13"/>
    </row>
    <row r="1013" spans="94:94">
      <c r="CP1013" s="13"/>
    </row>
    <row r="1014" spans="94:94">
      <c r="CP1014" s="13"/>
    </row>
    <row r="1015" spans="94:94">
      <c r="CP1015" s="13"/>
    </row>
    <row r="1016" spans="94:94">
      <c r="CP1016" s="13"/>
    </row>
    <row r="1017" spans="94:94">
      <c r="CP1017" s="13"/>
    </row>
    <row r="1018" spans="94:94">
      <c r="CP1018" s="13"/>
    </row>
    <row r="1019" spans="94:94">
      <c r="CP1019" s="13"/>
    </row>
    <row r="1020" spans="94:94">
      <c r="CP1020" s="13"/>
    </row>
    <row r="1021" spans="94:94">
      <c r="CP1021" s="13"/>
    </row>
    <row r="1022" spans="94:94">
      <c r="CP1022" s="13"/>
    </row>
    <row r="1023" spans="94:94">
      <c r="CP1023" s="13"/>
    </row>
    <row r="1024" spans="94:94">
      <c r="CP1024" s="13"/>
    </row>
    <row r="1025" spans="94:94">
      <c r="CP1025" s="13"/>
    </row>
    <row r="1026" spans="94:94">
      <c r="CP1026" s="13"/>
    </row>
    <row r="1027" spans="94:94">
      <c r="CP1027" s="13"/>
    </row>
    <row r="1028" spans="94:94">
      <c r="CP1028" s="13"/>
    </row>
    <row r="1029" spans="94:94">
      <c r="CP1029" s="13"/>
    </row>
    <row r="1030" spans="94:94">
      <c r="CP1030" s="13"/>
    </row>
    <row r="1031" spans="94:94">
      <c r="CP1031" s="13"/>
    </row>
    <row r="1032" spans="94:94">
      <c r="CP1032" s="13"/>
    </row>
    <row r="1033" spans="94:94">
      <c r="CP1033" s="13"/>
    </row>
    <row r="1034" spans="94:94">
      <c r="CP1034" s="13"/>
    </row>
    <row r="1035" spans="94:94">
      <c r="CP1035" s="13"/>
    </row>
    <row r="1036" spans="94:94">
      <c r="CP1036" s="13"/>
    </row>
    <row r="1037" spans="94:94">
      <c r="CP1037" s="13"/>
    </row>
    <row r="1038" spans="94:94">
      <c r="CP1038" s="13"/>
    </row>
    <row r="1039" spans="94:94">
      <c r="CP1039" s="13"/>
    </row>
    <row r="1040" spans="94:94">
      <c r="CP1040" s="13"/>
    </row>
    <row r="1041" spans="94:94">
      <c r="CP1041" s="13"/>
    </row>
    <row r="1042" spans="94:94">
      <c r="CP1042" s="13"/>
    </row>
    <row r="1043" spans="94:94">
      <c r="CP1043" s="13"/>
    </row>
    <row r="1044" spans="94:94">
      <c r="CP1044" s="13"/>
    </row>
    <row r="1045" spans="94:94">
      <c r="CP1045" s="13"/>
    </row>
    <row r="1046" spans="94:94">
      <c r="CP1046" s="13"/>
    </row>
    <row r="1047" spans="94:94">
      <c r="CP1047" s="13"/>
    </row>
    <row r="1048" spans="94:94">
      <c r="CP1048" s="13"/>
    </row>
    <row r="1049" spans="94:94">
      <c r="CP1049" s="13"/>
    </row>
    <row r="1050" spans="94:94">
      <c r="CP1050" s="13"/>
    </row>
    <row r="1051" spans="94:94">
      <c r="CP1051" s="13"/>
    </row>
    <row r="1052" spans="94:94">
      <c r="CP1052" s="13"/>
    </row>
    <row r="1053" spans="94:94">
      <c r="CP1053" s="13"/>
    </row>
    <row r="1054" spans="94:94">
      <c r="CP1054" s="13"/>
    </row>
    <row r="1055" spans="94:94">
      <c r="CP1055" s="13"/>
    </row>
    <row r="1056" spans="94:94">
      <c r="CP1056" s="13"/>
    </row>
    <row r="1057" spans="94:94">
      <c r="CP1057" s="13"/>
    </row>
    <row r="1058" spans="94:94">
      <c r="CP1058" s="13"/>
    </row>
    <row r="1059" spans="94:94">
      <c r="CP1059" s="13"/>
    </row>
    <row r="1060" spans="94:94">
      <c r="CP1060" s="13"/>
    </row>
    <row r="1061" spans="94:94">
      <c r="CP1061" s="13"/>
    </row>
    <row r="1062" spans="94:94">
      <c r="CP1062" s="13"/>
    </row>
    <row r="1063" spans="94:94">
      <c r="CP1063" s="13"/>
    </row>
    <row r="1064" spans="94:94">
      <c r="CP1064" s="13"/>
    </row>
    <row r="1065" spans="94:94">
      <c r="CP1065" s="13"/>
    </row>
    <row r="1066" spans="94:94">
      <c r="CP1066" s="13"/>
    </row>
    <row r="1067" spans="94:94">
      <c r="CP1067" s="13"/>
    </row>
    <row r="1068" spans="94:94">
      <c r="CP1068" s="13"/>
    </row>
    <row r="1069" spans="94:94">
      <c r="CP1069" s="13"/>
    </row>
    <row r="1070" spans="94:94">
      <c r="CP1070" s="13"/>
    </row>
    <row r="1071" spans="94:94">
      <c r="CP1071" s="13"/>
    </row>
    <row r="1072" spans="94:94">
      <c r="CP1072" s="13"/>
    </row>
    <row r="1073" spans="94:94">
      <c r="CP1073" s="13"/>
    </row>
    <row r="1074" spans="94:94">
      <c r="CP1074" s="13"/>
    </row>
    <row r="1075" spans="94:94">
      <c r="CP1075" s="13"/>
    </row>
    <row r="1076" spans="94:94">
      <c r="CP1076" s="13"/>
    </row>
    <row r="1077" spans="94:94">
      <c r="CP1077" s="13"/>
    </row>
    <row r="1078" spans="94:94">
      <c r="CP1078" s="13"/>
    </row>
    <row r="1079" spans="94:94">
      <c r="CP1079" s="13"/>
    </row>
    <row r="1080" spans="94:94">
      <c r="CP1080" s="13"/>
    </row>
    <row r="1081" spans="94:94">
      <c r="CP1081" s="13"/>
    </row>
    <row r="1082" spans="94:94">
      <c r="CP1082" s="13"/>
    </row>
    <row r="1083" spans="94:94">
      <c r="CP1083" s="13"/>
    </row>
    <row r="1084" spans="94:94">
      <c r="CP1084" s="13"/>
    </row>
    <row r="1085" spans="94:94">
      <c r="CP1085" s="13"/>
    </row>
    <row r="1086" spans="94:94">
      <c r="CP1086" s="13"/>
    </row>
    <row r="1087" spans="94:94">
      <c r="CP1087" s="13"/>
    </row>
    <row r="1088" spans="94:94">
      <c r="CP1088" s="13"/>
    </row>
    <row r="1089" spans="94:94">
      <c r="CP1089" s="13"/>
    </row>
    <row r="1090" spans="94:94">
      <c r="CP1090" s="13"/>
    </row>
    <row r="1091" spans="94:94">
      <c r="CP1091" s="13"/>
    </row>
    <row r="1092" spans="94:94">
      <c r="CP1092" s="13"/>
    </row>
    <row r="1093" spans="94:94">
      <c r="CP1093" s="13"/>
    </row>
    <row r="1094" spans="94:94">
      <c r="CP1094" s="13"/>
    </row>
    <row r="1095" spans="94:94">
      <c r="CP1095" s="13"/>
    </row>
    <row r="1096" spans="94:94">
      <c r="CP1096" s="13"/>
    </row>
    <row r="1097" spans="94:94">
      <c r="CP1097" s="13"/>
    </row>
    <row r="1098" spans="94:94">
      <c r="CP1098" s="13"/>
    </row>
    <row r="1099" spans="94:94">
      <c r="CP1099" s="13"/>
    </row>
    <row r="1100" spans="94:94">
      <c r="CP1100" s="13"/>
    </row>
    <row r="1101" spans="94:94">
      <c r="CP1101" s="13"/>
    </row>
    <row r="1102" spans="94:94">
      <c r="CP1102" s="13"/>
    </row>
    <row r="1103" spans="94:94">
      <c r="CP1103" s="13"/>
    </row>
    <row r="1104" spans="94:94">
      <c r="CP1104" s="13"/>
    </row>
    <row r="1105" spans="94:94">
      <c r="CP1105" s="13"/>
    </row>
    <row r="1106" spans="94:94">
      <c r="CP1106" s="13"/>
    </row>
    <row r="1107" spans="94:94">
      <c r="CP1107" s="13"/>
    </row>
    <row r="1108" spans="94:94">
      <c r="CP1108" s="13"/>
    </row>
    <row r="1109" spans="94:94">
      <c r="CP1109" s="13"/>
    </row>
    <row r="1110" spans="94:94">
      <c r="CP1110" s="13"/>
    </row>
    <row r="1111" spans="94:94">
      <c r="CP1111" s="13"/>
    </row>
    <row r="1112" spans="94:94">
      <c r="CP1112" s="13"/>
    </row>
    <row r="1113" spans="94:94">
      <c r="CP1113" s="13"/>
    </row>
    <row r="1114" spans="94:94">
      <c r="CP1114" s="13"/>
    </row>
    <row r="1115" spans="94:94">
      <c r="CP1115" s="13"/>
    </row>
    <row r="1116" spans="94:94">
      <c r="CP1116" s="13"/>
    </row>
    <row r="1117" spans="94:94">
      <c r="CP1117" s="13"/>
    </row>
    <row r="1118" spans="94:94">
      <c r="CP1118" s="13"/>
    </row>
    <row r="1119" spans="94:94">
      <c r="CP1119" s="13"/>
    </row>
    <row r="1120" spans="94:94">
      <c r="CP1120" s="13"/>
    </row>
    <row r="1121" spans="94:94">
      <c r="CP1121" s="13"/>
    </row>
    <row r="1122" spans="94:94">
      <c r="CP1122" s="13"/>
    </row>
    <row r="1123" spans="94:94">
      <c r="CP1123" s="13"/>
    </row>
    <row r="1124" spans="94:94">
      <c r="CP1124" s="13"/>
    </row>
    <row r="1125" spans="94:94">
      <c r="CP1125" s="13"/>
    </row>
    <row r="1126" spans="94:94">
      <c r="CP1126" s="13"/>
    </row>
    <row r="1127" spans="94:94">
      <c r="CP1127" s="13"/>
    </row>
    <row r="1128" spans="94:94">
      <c r="CP1128" s="13"/>
    </row>
    <row r="1129" spans="94:94">
      <c r="CP1129" s="13"/>
    </row>
    <row r="1130" spans="94:94">
      <c r="CP1130" s="13"/>
    </row>
    <row r="1131" spans="94:94">
      <c r="CP1131" s="13"/>
    </row>
    <row r="1132" spans="94:94">
      <c r="CP1132" s="13"/>
    </row>
    <row r="1133" spans="94:94">
      <c r="CP1133" s="13"/>
    </row>
    <row r="1134" spans="94:94">
      <c r="CP1134" s="13"/>
    </row>
    <row r="1135" spans="94:94">
      <c r="CP1135" s="13"/>
    </row>
    <row r="1136" spans="94:94">
      <c r="CP1136" s="13"/>
    </row>
    <row r="1137" spans="94:94">
      <c r="CP1137" s="13"/>
    </row>
    <row r="1138" spans="94:94">
      <c r="CP1138" s="13"/>
    </row>
    <row r="1139" spans="94:94">
      <c r="CP1139" s="13"/>
    </row>
    <row r="1140" spans="94:94">
      <c r="CP1140" s="13"/>
    </row>
    <row r="1141" spans="94:94">
      <c r="CP1141" s="13"/>
    </row>
    <row r="1142" spans="94:94">
      <c r="CP1142" s="13"/>
    </row>
    <row r="1143" spans="94:94">
      <c r="CP1143" s="13"/>
    </row>
    <row r="1144" spans="94:94">
      <c r="CP1144" s="13"/>
    </row>
    <row r="1145" spans="94:94">
      <c r="CP1145" s="13"/>
    </row>
    <row r="1146" spans="94:94">
      <c r="CP1146" s="13"/>
    </row>
    <row r="1147" spans="94:94">
      <c r="CP1147" s="13"/>
    </row>
    <row r="1148" spans="94:94">
      <c r="CP1148" s="13"/>
    </row>
    <row r="1149" spans="94:94">
      <c r="CP1149" s="13"/>
    </row>
    <row r="1150" spans="94:94">
      <c r="CP1150" s="13"/>
    </row>
    <row r="1151" spans="94:94">
      <c r="CP1151" s="13"/>
    </row>
    <row r="1152" spans="94:94">
      <c r="CP1152" s="13"/>
    </row>
    <row r="1153" spans="94:94">
      <c r="CP1153" s="13"/>
    </row>
    <row r="1154" spans="94:94">
      <c r="CP1154" s="13"/>
    </row>
    <row r="1155" spans="94:94">
      <c r="CP1155" s="13"/>
    </row>
    <row r="1156" spans="94:94">
      <c r="CP1156" s="13"/>
    </row>
    <row r="1157" spans="94:94">
      <c r="CP1157" s="13"/>
    </row>
    <row r="1158" spans="94:94">
      <c r="CP1158" s="13"/>
    </row>
    <row r="1159" spans="94:94">
      <c r="CP1159" s="13"/>
    </row>
    <row r="1160" spans="94:94">
      <c r="CP1160" s="13"/>
    </row>
    <row r="1161" spans="94:94">
      <c r="CP1161" s="13"/>
    </row>
    <row r="1162" spans="94:94">
      <c r="CP1162" s="13"/>
    </row>
    <row r="1163" spans="94:94">
      <c r="CP1163" s="13"/>
    </row>
    <row r="1164" spans="94:94">
      <c r="CP1164" s="13"/>
    </row>
    <row r="1165" spans="94:94">
      <c r="CP1165" s="13"/>
    </row>
    <row r="1166" spans="94:94">
      <c r="CP1166" s="13"/>
    </row>
    <row r="1167" spans="94:94">
      <c r="CP1167" s="13"/>
    </row>
    <row r="1168" spans="94:94">
      <c r="CP1168" s="13"/>
    </row>
    <row r="1169" spans="94:94">
      <c r="CP1169" s="13"/>
    </row>
    <row r="1170" spans="94:94">
      <c r="CP1170" s="13"/>
    </row>
    <row r="1171" spans="94:94">
      <c r="CP1171" s="13"/>
    </row>
    <row r="1172" spans="94:94">
      <c r="CP1172" s="13"/>
    </row>
    <row r="1173" spans="94:94">
      <c r="CP1173" s="13"/>
    </row>
    <row r="1174" spans="94:94">
      <c r="CP1174" s="13"/>
    </row>
    <row r="1175" spans="94:94">
      <c r="CP1175" s="13"/>
    </row>
    <row r="1176" spans="94:94">
      <c r="CP1176" s="13"/>
    </row>
    <row r="1177" spans="94:94">
      <c r="CP1177" s="13"/>
    </row>
    <row r="1178" spans="94:94">
      <c r="CP1178" s="13"/>
    </row>
    <row r="1179" spans="94:94">
      <c r="CP1179" s="13"/>
    </row>
    <row r="1180" spans="94:94">
      <c r="CP1180" s="13"/>
    </row>
    <row r="1181" spans="94:94">
      <c r="CP1181" s="13"/>
    </row>
    <row r="1182" spans="94:94">
      <c r="CP1182" s="13"/>
    </row>
    <row r="1183" spans="94:94">
      <c r="CP1183" s="13"/>
    </row>
    <row r="1184" spans="94:94">
      <c r="CP1184" s="13"/>
    </row>
    <row r="1185" spans="94:94">
      <c r="CP1185" s="13"/>
    </row>
    <row r="1186" spans="94:94">
      <c r="CP1186" s="13"/>
    </row>
    <row r="1187" spans="94:94">
      <c r="CP1187" s="13"/>
    </row>
    <row r="1188" spans="94:94">
      <c r="CP1188" s="13"/>
    </row>
    <row r="1189" spans="94:94">
      <c r="CP1189" s="13"/>
    </row>
    <row r="1190" spans="94:94">
      <c r="CP1190" s="13"/>
    </row>
    <row r="1191" spans="94:94">
      <c r="CP1191" s="13"/>
    </row>
    <row r="1192" spans="94:94">
      <c r="CP1192" s="13"/>
    </row>
    <row r="1193" spans="94:94">
      <c r="CP1193" s="13"/>
    </row>
    <row r="1194" spans="94:94">
      <c r="CP1194" s="13"/>
    </row>
    <row r="1195" spans="94:94">
      <c r="CP1195" s="13"/>
    </row>
    <row r="1196" spans="94:94">
      <c r="CP1196" s="13"/>
    </row>
    <row r="1197" spans="94:94">
      <c r="CP1197" s="13"/>
    </row>
    <row r="1198" spans="94:94">
      <c r="CP1198" s="13"/>
    </row>
    <row r="1199" spans="94:94">
      <c r="CP1199" s="13"/>
    </row>
    <row r="1200" spans="94:94">
      <c r="CP1200" s="13"/>
    </row>
    <row r="1201" spans="94:94">
      <c r="CP1201" s="13"/>
    </row>
    <row r="1202" spans="94:94">
      <c r="CP1202" s="13"/>
    </row>
    <row r="1203" spans="94:94">
      <c r="CP1203" s="13"/>
    </row>
    <row r="1204" spans="94:94">
      <c r="CP1204" s="13"/>
    </row>
    <row r="1205" spans="94:94">
      <c r="CP1205" s="13"/>
    </row>
    <row r="1206" spans="94:94">
      <c r="CP1206" s="13"/>
    </row>
    <row r="1207" spans="94:94">
      <c r="CP1207" s="13"/>
    </row>
    <row r="1208" spans="94:94">
      <c r="CP1208" s="13"/>
    </row>
    <row r="1209" spans="94:94">
      <c r="CP1209" s="13"/>
    </row>
    <row r="1210" spans="94:94">
      <c r="CP1210" s="13"/>
    </row>
    <row r="1211" spans="94:94">
      <c r="CP1211" s="13"/>
    </row>
    <row r="1212" spans="94:94">
      <c r="CP1212" s="13"/>
    </row>
    <row r="1213" spans="94:94">
      <c r="CP1213" s="13"/>
    </row>
    <row r="1214" spans="94:94">
      <c r="CP1214" s="13"/>
    </row>
    <row r="1215" spans="94:94">
      <c r="CP1215" s="13"/>
    </row>
    <row r="1216" spans="94:94">
      <c r="CP1216" s="13"/>
    </row>
    <row r="1217" spans="94:94">
      <c r="CP1217" s="13"/>
    </row>
    <row r="1218" spans="94:94">
      <c r="CP1218" s="13"/>
    </row>
    <row r="1219" spans="94:94">
      <c r="CP1219" s="13"/>
    </row>
    <row r="1220" spans="94:94">
      <c r="CP1220" s="13"/>
    </row>
    <row r="1221" spans="94:94">
      <c r="CP1221" s="13"/>
    </row>
    <row r="1222" spans="94:94">
      <c r="CP1222" s="13"/>
    </row>
    <row r="1223" spans="94:94">
      <c r="CP1223" s="13"/>
    </row>
    <row r="1224" spans="94:94">
      <c r="CP1224" s="13"/>
    </row>
    <row r="1225" spans="94:94">
      <c r="CP1225" s="13"/>
    </row>
    <row r="1226" spans="94:94">
      <c r="CP1226" s="13"/>
    </row>
    <row r="1227" spans="94:94">
      <c r="CP1227" s="13"/>
    </row>
    <row r="1228" spans="94:94">
      <c r="CP1228" s="13"/>
    </row>
    <row r="1229" spans="94:94">
      <c r="CP1229" s="13"/>
    </row>
    <row r="1230" spans="94:94">
      <c r="CP1230" s="13"/>
    </row>
    <row r="1231" spans="94:94">
      <c r="CP1231" s="13"/>
    </row>
    <row r="1232" spans="94:94">
      <c r="CP1232" s="13"/>
    </row>
    <row r="1233" spans="94:94">
      <c r="CP1233" s="13"/>
    </row>
    <row r="1234" spans="94:94">
      <c r="CP1234" s="13"/>
    </row>
    <row r="1235" spans="94:94">
      <c r="CP1235" s="13"/>
    </row>
    <row r="1236" spans="94:94">
      <c r="CP1236" s="13"/>
    </row>
    <row r="1237" spans="94:94">
      <c r="CP1237" s="13"/>
    </row>
    <row r="1238" spans="94:94">
      <c r="CP1238" s="13"/>
    </row>
    <row r="1239" spans="94:94">
      <c r="CP1239" s="13"/>
    </row>
    <row r="1240" spans="94:94">
      <c r="CP1240" s="13"/>
    </row>
    <row r="1241" spans="94:94">
      <c r="CP1241" s="13"/>
    </row>
    <row r="1242" spans="94:94">
      <c r="CP1242" s="13"/>
    </row>
    <row r="1243" spans="94:94">
      <c r="CP1243" s="13"/>
    </row>
    <row r="1244" spans="94:94">
      <c r="CP1244" s="13"/>
    </row>
    <row r="1245" spans="94:94">
      <c r="CP1245" s="13"/>
    </row>
    <row r="1246" spans="94:94">
      <c r="CP1246" s="13"/>
    </row>
    <row r="1247" spans="94:94">
      <c r="CP1247" s="13"/>
    </row>
    <row r="1248" spans="94:94">
      <c r="CP1248" s="13"/>
    </row>
    <row r="1249" spans="94:94">
      <c r="CP1249" s="13"/>
    </row>
    <row r="1250" spans="94:94">
      <c r="CP1250" s="13"/>
    </row>
    <row r="1251" spans="94:94">
      <c r="CP1251" s="13"/>
    </row>
    <row r="1252" spans="94:94">
      <c r="CP1252" s="13"/>
    </row>
    <row r="1253" spans="94:94">
      <c r="CP1253" s="13"/>
    </row>
    <row r="1254" spans="94:94">
      <c r="CP1254" s="13"/>
    </row>
    <row r="1255" spans="94:94">
      <c r="CP1255" s="13"/>
    </row>
    <row r="1256" spans="94:94">
      <c r="CP1256" s="13"/>
    </row>
    <row r="1257" spans="94:94">
      <c r="CP1257" s="13"/>
    </row>
    <row r="1258" spans="94:94">
      <c r="CP1258" s="13"/>
    </row>
    <row r="1259" spans="94:94">
      <c r="CP1259" s="13"/>
    </row>
    <row r="1260" spans="94:94">
      <c r="CP1260" s="13"/>
    </row>
    <row r="1261" spans="94:94">
      <c r="CP1261" s="13"/>
    </row>
    <row r="1262" spans="94:94">
      <c r="CP1262" s="13"/>
    </row>
    <row r="1263" spans="94:94">
      <c r="CP1263" s="13"/>
    </row>
    <row r="1264" spans="94:94">
      <c r="CP1264" s="13"/>
    </row>
    <row r="1265" spans="94:94">
      <c r="CP1265" s="13"/>
    </row>
    <row r="1266" spans="94:94">
      <c r="CP1266" s="13"/>
    </row>
    <row r="1267" spans="94:94">
      <c r="CP1267" s="13"/>
    </row>
    <row r="1268" spans="94:94">
      <c r="CP1268" s="13"/>
    </row>
    <row r="1269" spans="94:94">
      <c r="CP1269" s="13"/>
    </row>
    <row r="1270" spans="94:94">
      <c r="CP1270" s="13"/>
    </row>
    <row r="1271" spans="94:94">
      <c r="CP1271" s="13"/>
    </row>
    <row r="1272" spans="94:94">
      <c r="CP1272" s="13"/>
    </row>
    <row r="1273" spans="94:94">
      <c r="CP1273" s="13"/>
    </row>
    <row r="1274" spans="94:94">
      <c r="CP1274" s="13"/>
    </row>
    <row r="1275" spans="94:94">
      <c r="CP1275" s="13"/>
    </row>
    <row r="1276" spans="94:94">
      <c r="CP1276" s="13"/>
    </row>
    <row r="1277" spans="94:94">
      <c r="CP1277" s="13"/>
    </row>
    <row r="1278" spans="94:94">
      <c r="CP1278" s="13"/>
    </row>
    <row r="1279" spans="94:94">
      <c r="CP1279" s="13"/>
    </row>
    <row r="1280" spans="94:94">
      <c r="CP1280" s="13"/>
    </row>
    <row r="1281" spans="94:94">
      <c r="CP1281" s="13"/>
    </row>
    <row r="1282" spans="94:94">
      <c r="CP1282" s="13"/>
    </row>
    <row r="1283" spans="94:94">
      <c r="CP1283" s="13"/>
    </row>
    <row r="1284" spans="94:94">
      <c r="CP1284" s="13"/>
    </row>
    <row r="1285" spans="94:94">
      <c r="CP1285" s="13"/>
    </row>
    <row r="1286" spans="94:94">
      <c r="CP1286" s="13"/>
    </row>
    <row r="1287" spans="94:94">
      <c r="CP1287" s="13"/>
    </row>
    <row r="1288" spans="94:94">
      <c r="CP1288" s="13"/>
    </row>
    <row r="1289" spans="94:94">
      <c r="CP1289" s="13"/>
    </row>
    <row r="1290" spans="94:94">
      <c r="CP1290" s="13"/>
    </row>
    <row r="1291" spans="94:94">
      <c r="CP1291" s="13"/>
    </row>
    <row r="1292" spans="94:94">
      <c r="CP1292" s="13"/>
    </row>
    <row r="1293" spans="94:94">
      <c r="CP1293" s="13"/>
    </row>
    <row r="1294" spans="94:94">
      <c r="CP1294" s="13"/>
    </row>
    <row r="1295" spans="94:94">
      <c r="CP1295" s="13"/>
    </row>
    <row r="1296" spans="94:94">
      <c r="CP1296" s="13"/>
    </row>
    <row r="1297" spans="94:94">
      <c r="CP1297" s="13"/>
    </row>
    <row r="1298" spans="94:94">
      <c r="CP1298" s="13"/>
    </row>
    <row r="1299" spans="94:94">
      <c r="CP1299" s="13"/>
    </row>
    <row r="1300" spans="94:94">
      <c r="CP1300" s="13"/>
    </row>
    <row r="1301" spans="94:94">
      <c r="CP1301" s="13"/>
    </row>
    <row r="1302" spans="94:94">
      <c r="CP1302" s="13"/>
    </row>
    <row r="1303" spans="94:94">
      <c r="CP1303" s="13"/>
    </row>
    <row r="1304" spans="94:94">
      <c r="CP1304" s="13"/>
    </row>
    <row r="1305" spans="94:94">
      <c r="CP1305" s="13"/>
    </row>
    <row r="1306" spans="94:94">
      <c r="CP1306" s="13"/>
    </row>
    <row r="1307" spans="94:94">
      <c r="CP1307" s="13"/>
    </row>
    <row r="1308" spans="94:94">
      <c r="CP1308" s="13"/>
    </row>
    <row r="1309" spans="94:94">
      <c r="CP1309" s="13"/>
    </row>
    <row r="1310" spans="94:94">
      <c r="CP1310" s="13"/>
    </row>
    <row r="1311" spans="94:94">
      <c r="CP1311" s="13"/>
    </row>
    <row r="1312" spans="94:94">
      <c r="CP1312" s="13"/>
    </row>
    <row r="1313" spans="94:94">
      <c r="CP1313" s="13"/>
    </row>
    <row r="1314" spans="94:94">
      <c r="CP1314" s="13"/>
    </row>
    <row r="1315" spans="94:94">
      <c r="CP1315" s="13"/>
    </row>
    <row r="1316" spans="94:94">
      <c r="CP1316" s="13"/>
    </row>
    <row r="1317" spans="94:94">
      <c r="CP1317" s="13"/>
    </row>
    <row r="1318" spans="94:94">
      <c r="CP1318" s="13"/>
    </row>
    <row r="1319" spans="94:94">
      <c r="CP1319" s="13"/>
    </row>
    <row r="1320" spans="94:94">
      <c r="CP1320" s="13"/>
    </row>
    <row r="1321" spans="94:94">
      <c r="CP1321" s="13"/>
    </row>
    <row r="1322" spans="94:94">
      <c r="CP1322" s="13"/>
    </row>
    <row r="1323" spans="94:94">
      <c r="CP1323" s="13"/>
    </row>
    <row r="1324" spans="94:94">
      <c r="CP1324" s="13"/>
    </row>
    <row r="1325" spans="94:94">
      <c r="CP1325" s="13"/>
    </row>
    <row r="1326" spans="94:94">
      <c r="CP1326" s="13"/>
    </row>
    <row r="1327" spans="94:94">
      <c r="CP1327" s="13"/>
    </row>
    <row r="1328" spans="94:94">
      <c r="CP1328" s="13"/>
    </row>
    <row r="1329" spans="94:94">
      <c r="CP1329" s="13"/>
    </row>
    <row r="1330" spans="94:94">
      <c r="CP1330" s="13"/>
    </row>
    <row r="1331" spans="94:94">
      <c r="CP1331" s="13"/>
    </row>
    <row r="1332" spans="94:94">
      <c r="CP1332" s="13"/>
    </row>
    <row r="1333" spans="94:94">
      <c r="CP1333" s="13"/>
    </row>
    <row r="1334" spans="94:94">
      <c r="CP1334" s="13"/>
    </row>
    <row r="1335" spans="94:94">
      <c r="CP1335" s="13"/>
    </row>
    <row r="1336" spans="94:94">
      <c r="CP1336" s="13"/>
    </row>
    <row r="1337" spans="94:94">
      <c r="CP1337" s="13"/>
    </row>
    <row r="1338" spans="94:94">
      <c r="CP1338" s="13"/>
    </row>
    <row r="1339" spans="94:94">
      <c r="CP1339" s="13"/>
    </row>
    <row r="1340" spans="94:94">
      <c r="CP1340" s="13"/>
    </row>
    <row r="1341" spans="94:94">
      <c r="CP1341" s="13"/>
    </row>
    <row r="1342" spans="94:94">
      <c r="CP1342" s="13"/>
    </row>
    <row r="1343" spans="94:94">
      <c r="CP1343" s="13"/>
    </row>
    <row r="1344" spans="94:94">
      <c r="CP1344" s="13"/>
    </row>
    <row r="1345" spans="94:94">
      <c r="CP1345" s="13"/>
    </row>
    <row r="1346" spans="94:94">
      <c r="CP1346" s="13"/>
    </row>
    <row r="1347" spans="94:94">
      <c r="CP1347" s="13"/>
    </row>
    <row r="1348" spans="94:94">
      <c r="CP1348" s="13"/>
    </row>
    <row r="1349" spans="94:94">
      <c r="CP1349" s="13"/>
    </row>
    <row r="1350" spans="94:94">
      <c r="CP1350" s="13"/>
    </row>
    <row r="1351" spans="94:94">
      <c r="CP1351" s="13"/>
    </row>
    <row r="1352" spans="94:94">
      <c r="CP1352" s="13"/>
    </row>
    <row r="1353" spans="94:94">
      <c r="CP1353" s="13"/>
    </row>
    <row r="1354" spans="94:94">
      <c r="CP1354" s="13"/>
    </row>
    <row r="1355" spans="94:94">
      <c r="CP1355" s="13"/>
    </row>
    <row r="1356" spans="94:94">
      <c r="CP1356" s="13"/>
    </row>
    <row r="1357" spans="94:94">
      <c r="CP1357" s="13"/>
    </row>
    <row r="1358" spans="94:94">
      <c r="CP1358" s="13"/>
    </row>
    <row r="1359" spans="94:94">
      <c r="CP1359" s="13"/>
    </row>
    <row r="1360" spans="94:94">
      <c r="CP1360" s="13"/>
    </row>
    <row r="1361" spans="94:94">
      <c r="CP1361" s="13"/>
    </row>
    <row r="1362" spans="94:94">
      <c r="CP1362" s="13"/>
    </row>
    <row r="1363" spans="94:94">
      <c r="CP1363" s="13"/>
    </row>
    <row r="1364" spans="94:94">
      <c r="CP1364" s="13"/>
    </row>
    <row r="1365" spans="94:94">
      <c r="CP1365" s="13"/>
    </row>
    <row r="1366" spans="94:94">
      <c r="CP1366" s="13"/>
    </row>
    <row r="1367" spans="94:94">
      <c r="CP1367" s="13"/>
    </row>
    <row r="1368" spans="94:94">
      <c r="CP1368" s="13"/>
    </row>
    <row r="1369" spans="94:94">
      <c r="CP1369" s="13"/>
    </row>
    <row r="1370" spans="94:94">
      <c r="CP1370" s="13"/>
    </row>
    <row r="1371" spans="94:94">
      <c r="CP1371" s="13"/>
    </row>
    <row r="1372" spans="94:94">
      <c r="CP1372" s="13"/>
    </row>
    <row r="1373" spans="94:94">
      <c r="CP1373" s="13"/>
    </row>
    <row r="1374" spans="94:94">
      <c r="CP1374" s="13"/>
    </row>
    <row r="1375" spans="94:94">
      <c r="CP1375" s="13"/>
    </row>
    <row r="1376" spans="94:94">
      <c r="CP1376" s="13"/>
    </row>
    <row r="1377" spans="94:94">
      <c r="CP1377" s="13"/>
    </row>
    <row r="1378" spans="94:94">
      <c r="CP1378" s="13"/>
    </row>
    <row r="1379" spans="94:94">
      <c r="CP1379" s="13"/>
    </row>
    <row r="1380" spans="94:94">
      <c r="CP1380" s="13"/>
    </row>
    <row r="1381" spans="94:94">
      <c r="CP1381" s="13"/>
    </row>
    <row r="1382" spans="94:94">
      <c r="CP1382" s="13"/>
    </row>
    <row r="1383" spans="94:94">
      <c r="CP1383" s="13"/>
    </row>
    <row r="1384" spans="94:94">
      <c r="CP1384" s="13"/>
    </row>
    <row r="1385" spans="94:94">
      <c r="CP1385" s="13"/>
    </row>
    <row r="1386" spans="94:94">
      <c r="CP1386" s="13"/>
    </row>
    <row r="1387" spans="94:94">
      <c r="CP1387" s="13"/>
    </row>
    <row r="1388" spans="94:94">
      <c r="CP1388" s="13"/>
    </row>
    <row r="1389" spans="94:94">
      <c r="CP1389" s="13"/>
    </row>
    <row r="1390" spans="94:94">
      <c r="CP1390" s="13"/>
    </row>
    <row r="1391" spans="94:94">
      <c r="CP1391" s="13"/>
    </row>
    <row r="1392" spans="94:94">
      <c r="CP1392" s="13"/>
    </row>
    <row r="1393" spans="94:94">
      <c r="CP1393" s="13"/>
    </row>
    <row r="1394" spans="94:94">
      <c r="CP1394" s="13"/>
    </row>
    <row r="1395" spans="94:94">
      <c r="CP1395" s="13"/>
    </row>
    <row r="1396" spans="94:94">
      <c r="CP1396" s="13"/>
    </row>
    <row r="1397" spans="94:94">
      <c r="CP1397" s="13"/>
    </row>
    <row r="1398" spans="94:94">
      <c r="CP1398" s="13"/>
    </row>
    <row r="1399" spans="94:94">
      <c r="CP1399" s="13"/>
    </row>
    <row r="1400" spans="94:94">
      <c r="CP1400" s="13"/>
    </row>
    <row r="1401" spans="94:94">
      <c r="CP1401" s="13"/>
    </row>
    <row r="1402" spans="94:94">
      <c r="CP1402" s="13"/>
    </row>
    <row r="1403" spans="94:94">
      <c r="CP1403" s="13"/>
    </row>
    <row r="1404" spans="94:94">
      <c r="CP1404" s="13"/>
    </row>
    <row r="1405" spans="94:94">
      <c r="CP1405" s="13"/>
    </row>
    <row r="1406" spans="94:94">
      <c r="CP1406" s="13"/>
    </row>
    <row r="1407" spans="94:94">
      <c r="CP1407" s="13"/>
    </row>
    <row r="1408" spans="94:94">
      <c r="CP1408" s="13"/>
    </row>
    <row r="1409" spans="94:94">
      <c r="CP1409" s="13"/>
    </row>
    <row r="1410" spans="94:94">
      <c r="CP1410" s="13"/>
    </row>
    <row r="1411" spans="94:94">
      <c r="CP1411" s="13"/>
    </row>
    <row r="1412" spans="94:94">
      <c r="CP1412" s="13"/>
    </row>
    <row r="1413" spans="94:94">
      <c r="CP1413" s="13"/>
    </row>
    <row r="1414" spans="94:94">
      <c r="CP1414" s="13"/>
    </row>
    <row r="1415" spans="94:94">
      <c r="CP1415" s="13"/>
    </row>
    <row r="1416" spans="94:94">
      <c r="CP1416" s="13"/>
    </row>
    <row r="1417" spans="94:94">
      <c r="CP1417" s="13"/>
    </row>
    <row r="1418" spans="94:94">
      <c r="CP1418" s="13"/>
    </row>
    <row r="1419" spans="94:94">
      <c r="CP1419" s="13"/>
    </row>
    <row r="1420" spans="94:94">
      <c r="CP1420" s="13"/>
    </row>
    <row r="1421" spans="94:94">
      <c r="CP1421" s="13"/>
    </row>
    <row r="1422" spans="94:94">
      <c r="CP1422" s="13"/>
    </row>
    <row r="1423" spans="94:94">
      <c r="CP1423" s="13"/>
    </row>
    <row r="1424" spans="94:94">
      <c r="CP1424" s="13"/>
    </row>
    <row r="1425" spans="94:94">
      <c r="CP1425" s="13"/>
    </row>
    <row r="1426" spans="94:94">
      <c r="CP1426" s="13"/>
    </row>
    <row r="1427" spans="94:94">
      <c r="CP1427" s="13"/>
    </row>
    <row r="1428" spans="94:94">
      <c r="CP1428" s="13"/>
    </row>
    <row r="1429" spans="94:94">
      <c r="CP1429" s="13"/>
    </row>
    <row r="1430" spans="94:94">
      <c r="CP1430" s="13"/>
    </row>
    <row r="1431" spans="94:94">
      <c r="CP1431" s="13"/>
    </row>
    <row r="1432" spans="94:94">
      <c r="CP1432" s="13"/>
    </row>
    <row r="1433" spans="94:94">
      <c r="CP1433" s="13"/>
    </row>
    <row r="1434" spans="94:94">
      <c r="CP1434" s="13"/>
    </row>
    <row r="1435" spans="94:94">
      <c r="CP1435" s="13"/>
    </row>
    <row r="1436" spans="94:94">
      <c r="CP1436" s="13"/>
    </row>
    <row r="1437" spans="94:94">
      <c r="CP1437" s="13"/>
    </row>
    <row r="1438" spans="94:94">
      <c r="CP1438" s="13"/>
    </row>
    <row r="1439" spans="94:94">
      <c r="CP1439" s="13"/>
    </row>
    <row r="1440" spans="94:94">
      <c r="CP1440" s="13"/>
    </row>
    <row r="1441" spans="94:94">
      <c r="CP1441" s="13"/>
    </row>
    <row r="1442" spans="94:94">
      <c r="CP1442" s="13"/>
    </row>
    <row r="1443" spans="94:94">
      <c r="CP1443" s="13"/>
    </row>
    <row r="1444" spans="94:94">
      <c r="CP1444" s="13"/>
    </row>
    <row r="1445" spans="94:94">
      <c r="CP1445" s="13"/>
    </row>
    <row r="1446" spans="94:94">
      <c r="CP1446" s="13"/>
    </row>
    <row r="1447" spans="94:94">
      <c r="CP1447" s="13"/>
    </row>
    <row r="1448" spans="94:94">
      <c r="CP1448" s="13"/>
    </row>
    <row r="1449" spans="94:94">
      <c r="CP1449" s="13"/>
    </row>
    <row r="1450" spans="94:94">
      <c r="CP1450" s="13"/>
    </row>
    <row r="1451" spans="94:94">
      <c r="CP1451" s="13"/>
    </row>
    <row r="1452" spans="94:94">
      <c r="CP1452" s="13"/>
    </row>
    <row r="1453" spans="94:94">
      <c r="CP1453" s="13"/>
    </row>
    <row r="1454" spans="94:94">
      <c r="CP1454" s="13"/>
    </row>
    <row r="1455" spans="94:94">
      <c r="CP1455" s="13"/>
    </row>
    <row r="1456" spans="94:94">
      <c r="CP1456" s="13"/>
    </row>
    <row r="1457" spans="94:94">
      <c r="CP1457" s="13"/>
    </row>
    <row r="1458" spans="94:94">
      <c r="CP1458" s="13"/>
    </row>
    <row r="1459" spans="94:94">
      <c r="CP1459" s="13"/>
    </row>
    <row r="1460" spans="94:94">
      <c r="CP1460" s="13"/>
    </row>
    <row r="1461" spans="94:94">
      <c r="CP1461" s="13"/>
    </row>
    <row r="1462" spans="94:94">
      <c r="CP1462" s="13"/>
    </row>
    <row r="1463" spans="94:94">
      <c r="CP1463" s="13"/>
    </row>
    <row r="1464" spans="94:94">
      <c r="CP1464" s="13"/>
    </row>
    <row r="1465" spans="94:94">
      <c r="CP1465" s="13"/>
    </row>
    <row r="1466" spans="94:94">
      <c r="CP1466" s="13"/>
    </row>
    <row r="1467" spans="94:94">
      <c r="CP1467" s="13"/>
    </row>
    <row r="1468" spans="94:94">
      <c r="CP1468" s="13"/>
    </row>
    <row r="1469" spans="94:94">
      <c r="CP1469" s="13"/>
    </row>
    <row r="1470" spans="94:94">
      <c r="CP1470" s="13"/>
    </row>
    <row r="1471" spans="94:94">
      <c r="CP1471" s="13"/>
    </row>
    <row r="1472" spans="94:94">
      <c r="CP1472" s="13"/>
    </row>
    <row r="1473" spans="94:94">
      <c r="CP1473" s="13"/>
    </row>
    <row r="1474" spans="94:94">
      <c r="CP1474" s="13"/>
    </row>
    <row r="1475" spans="94:94">
      <c r="CP1475" s="13"/>
    </row>
    <row r="1476" spans="94:94">
      <c r="CP1476" s="13"/>
    </row>
    <row r="1477" spans="94:94">
      <c r="CP1477" s="13"/>
    </row>
    <row r="1478" spans="94:94">
      <c r="CP1478" s="13"/>
    </row>
    <row r="1479" spans="94:94">
      <c r="CP1479" s="13"/>
    </row>
    <row r="1480" spans="94:94">
      <c r="CP1480" s="13"/>
    </row>
    <row r="1481" spans="94:94">
      <c r="CP1481" s="13"/>
    </row>
    <row r="1482" spans="94:94">
      <c r="CP1482" s="13"/>
    </row>
    <row r="1483" spans="94:94">
      <c r="CP1483" s="13"/>
    </row>
    <row r="1484" spans="94:94">
      <c r="CP1484" s="13"/>
    </row>
    <row r="1485" spans="94:94">
      <c r="CP1485" s="13"/>
    </row>
    <row r="1486" spans="94:94">
      <c r="CP1486" s="13"/>
    </row>
    <row r="1487" spans="94:94">
      <c r="CP1487" s="13"/>
    </row>
    <row r="1488" spans="94:94">
      <c r="CP1488" s="13"/>
    </row>
    <row r="1489" spans="94:94">
      <c r="CP1489" s="13"/>
    </row>
    <row r="1490" spans="94:94">
      <c r="CP1490" s="13"/>
    </row>
    <row r="1491" spans="94:94">
      <c r="CP1491" s="13"/>
    </row>
    <row r="1492" spans="94:94">
      <c r="CP1492" s="13"/>
    </row>
    <row r="1493" spans="94:94">
      <c r="CP1493" s="13"/>
    </row>
    <row r="1494" spans="94:94">
      <c r="CP1494" s="13"/>
    </row>
    <row r="1495" spans="94:94">
      <c r="CP1495" s="13"/>
    </row>
    <row r="1496" spans="94:94">
      <c r="CP1496" s="13"/>
    </row>
    <row r="1497" spans="94:94">
      <c r="CP1497" s="13"/>
    </row>
    <row r="1498" spans="94:94">
      <c r="CP1498" s="13"/>
    </row>
    <row r="1499" spans="94:94">
      <c r="CP1499" s="13"/>
    </row>
    <row r="1500" spans="94:94">
      <c r="CP1500" s="13"/>
    </row>
    <row r="1501" spans="94:94">
      <c r="CP1501" s="13"/>
    </row>
    <row r="1502" spans="94:94">
      <c r="CP1502" s="13"/>
    </row>
    <row r="1503" spans="94:94">
      <c r="CP1503" s="13"/>
    </row>
    <row r="1504" spans="94:94">
      <c r="CP1504" s="13"/>
    </row>
    <row r="1505" spans="94:94">
      <c r="CP1505" s="13"/>
    </row>
    <row r="1506" spans="94:94">
      <c r="CP1506" s="13"/>
    </row>
    <row r="1507" spans="94:94">
      <c r="CP1507" s="13"/>
    </row>
    <row r="1508" spans="94:94">
      <c r="CP1508" s="13"/>
    </row>
    <row r="1509" spans="94:94">
      <c r="CP1509" s="13"/>
    </row>
    <row r="1510" spans="94:94">
      <c r="CP1510" s="13"/>
    </row>
    <row r="1511" spans="94:94">
      <c r="CP1511" s="13"/>
    </row>
    <row r="1512" spans="94:94">
      <c r="CP1512" s="13"/>
    </row>
    <row r="1513" spans="94:94">
      <c r="CP1513" s="13"/>
    </row>
    <row r="1514" spans="94:94">
      <c r="CP1514" s="13"/>
    </row>
    <row r="1515" spans="94:94">
      <c r="CP1515" s="13"/>
    </row>
    <row r="1516" spans="94:94">
      <c r="CP1516" s="13"/>
    </row>
    <row r="1517" spans="94:94">
      <c r="CP1517" s="13"/>
    </row>
    <row r="1518" spans="94:94">
      <c r="CP1518" s="13"/>
    </row>
    <row r="1519" spans="94:94">
      <c r="CP1519" s="13"/>
    </row>
    <row r="1520" spans="94:94">
      <c r="CP1520" s="13"/>
    </row>
    <row r="1521" spans="94:94">
      <c r="CP1521" s="13"/>
    </row>
    <row r="1522" spans="94:94">
      <c r="CP1522" s="13"/>
    </row>
    <row r="1523" spans="94:94">
      <c r="CP1523" s="13"/>
    </row>
    <row r="1524" spans="94:94">
      <c r="CP1524" s="13"/>
    </row>
    <row r="1525" spans="94:94">
      <c r="CP1525" s="13"/>
    </row>
    <row r="1526" spans="94:94">
      <c r="CP1526" s="13"/>
    </row>
    <row r="1527" spans="94:94">
      <c r="CP1527" s="13"/>
    </row>
    <row r="1528" spans="94:94">
      <c r="CP1528" s="13"/>
    </row>
    <row r="1529" spans="94:94">
      <c r="CP1529" s="13"/>
    </row>
    <row r="1530" spans="94:94">
      <c r="CP1530" s="13"/>
    </row>
    <row r="1531" spans="94:94">
      <c r="CP1531" s="13"/>
    </row>
    <row r="1532" spans="94:94">
      <c r="CP1532" s="13"/>
    </row>
    <row r="1533" spans="94:94">
      <c r="CP1533" s="13"/>
    </row>
    <row r="1534" spans="94:94">
      <c r="CP1534" s="13"/>
    </row>
    <row r="1535" spans="94:94">
      <c r="CP1535" s="13"/>
    </row>
    <row r="1536" spans="94:94">
      <c r="CP1536" s="13"/>
    </row>
    <row r="1537" spans="94:94">
      <c r="CP1537" s="13"/>
    </row>
    <row r="1538" spans="94:94">
      <c r="CP1538" s="13"/>
    </row>
    <row r="1539" spans="94:94">
      <c r="CP1539" s="13"/>
    </row>
    <row r="1540" spans="94:94">
      <c r="CP1540" s="13"/>
    </row>
    <row r="1541" spans="94:94">
      <c r="CP1541" s="13"/>
    </row>
    <row r="1542" spans="94:94">
      <c r="CP1542" s="13"/>
    </row>
    <row r="1543" spans="94:94">
      <c r="CP1543" s="13"/>
    </row>
    <row r="1544" spans="94:94">
      <c r="CP1544" s="13"/>
    </row>
    <row r="1545" spans="94:94">
      <c r="CP1545" s="13"/>
    </row>
    <row r="1546" spans="94:94">
      <c r="CP1546" s="13"/>
    </row>
    <row r="1547" spans="94:94">
      <c r="CP1547" s="13"/>
    </row>
    <row r="1548" spans="94:94">
      <c r="CP1548" s="13"/>
    </row>
    <row r="1549" spans="94:94">
      <c r="CP1549" s="13"/>
    </row>
    <row r="1550" spans="94:94">
      <c r="CP1550" s="13"/>
    </row>
    <row r="1551" spans="94:94">
      <c r="CP1551" s="13"/>
    </row>
    <row r="1552" spans="94:94">
      <c r="CP1552" s="13"/>
    </row>
    <row r="1553" spans="94:94">
      <c r="CP1553" s="13"/>
    </row>
    <row r="1554" spans="94:94">
      <c r="CP1554" s="13"/>
    </row>
    <row r="1555" spans="94:94">
      <c r="CP1555" s="13"/>
    </row>
    <row r="1556" spans="94:94">
      <c r="CP1556" s="13"/>
    </row>
    <row r="1557" spans="94:94">
      <c r="CP1557" s="13"/>
    </row>
    <row r="1558" spans="94:94">
      <c r="CP1558" s="13"/>
    </row>
    <row r="1559" spans="94:94">
      <c r="CP1559" s="13"/>
    </row>
    <row r="1560" spans="94:94">
      <c r="CP1560" s="13"/>
    </row>
    <row r="1561" spans="94:94">
      <c r="CP1561" s="13"/>
    </row>
    <row r="1562" spans="94:94">
      <c r="CP1562" s="13"/>
    </row>
    <row r="1563" spans="94:94">
      <c r="CP1563" s="13"/>
    </row>
    <row r="1564" spans="94:94">
      <c r="CP1564" s="13"/>
    </row>
    <row r="1565" spans="94:94">
      <c r="CP1565" s="13"/>
    </row>
    <row r="1566" spans="94:94">
      <c r="CP1566" s="13"/>
    </row>
    <row r="1567" spans="94:94">
      <c r="CP1567" s="13"/>
    </row>
    <row r="1568" spans="94:94">
      <c r="CP1568" s="13"/>
    </row>
    <row r="1569" spans="94:94">
      <c r="CP1569" s="13"/>
    </row>
    <row r="1570" spans="94:94">
      <c r="CP1570" s="13"/>
    </row>
    <row r="1571" spans="94:94">
      <c r="CP1571" s="13"/>
    </row>
    <row r="1572" spans="94:94">
      <c r="CP1572" s="13"/>
    </row>
    <row r="1573" spans="94:94">
      <c r="CP1573" s="13"/>
    </row>
    <row r="1574" spans="94:94">
      <c r="CP1574" s="13"/>
    </row>
    <row r="1575" spans="94:94">
      <c r="CP1575" s="13"/>
    </row>
    <row r="1576" spans="94:94">
      <c r="CP1576" s="13"/>
    </row>
    <row r="1577" spans="94:94">
      <c r="CP1577" s="13"/>
    </row>
    <row r="1578" spans="94:94">
      <c r="CP1578" s="13"/>
    </row>
    <row r="1579" spans="94:94">
      <c r="CP1579" s="13"/>
    </row>
    <row r="1580" spans="94:94">
      <c r="CP1580" s="13"/>
    </row>
    <row r="1581" spans="94:94">
      <c r="CP1581" s="13"/>
    </row>
    <row r="1582" spans="94:94">
      <c r="CP1582" s="13"/>
    </row>
    <row r="1583" spans="94:94">
      <c r="CP1583" s="13"/>
    </row>
    <row r="1584" spans="94:94">
      <c r="CP1584" s="13"/>
    </row>
    <row r="1585" spans="94:94">
      <c r="CP1585" s="13"/>
    </row>
    <row r="1586" spans="94:94">
      <c r="CP1586" s="13"/>
    </row>
    <row r="1587" spans="94:94">
      <c r="CP1587" s="13"/>
    </row>
    <row r="1588" spans="94:94">
      <c r="CP1588" s="13"/>
    </row>
    <row r="1589" spans="94:94">
      <c r="CP1589" s="13"/>
    </row>
    <row r="1590" spans="94:94">
      <c r="CP1590" s="13"/>
    </row>
    <row r="1591" spans="94:94">
      <c r="CP1591" s="13"/>
    </row>
    <row r="1592" spans="94:94">
      <c r="CP1592" s="13"/>
    </row>
    <row r="1593" spans="94:94">
      <c r="CP1593" s="13"/>
    </row>
    <row r="1594" spans="94:94">
      <c r="CP1594" s="13"/>
    </row>
    <row r="1595" spans="94:94">
      <c r="CP1595" s="13"/>
    </row>
    <row r="1596" spans="94:94">
      <c r="CP1596" s="13"/>
    </row>
    <row r="1597" spans="94:94">
      <c r="CP1597" s="13"/>
    </row>
    <row r="1598" spans="94:94">
      <c r="CP1598" s="13"/>
    </row>
    <row r="1599" spans="94:94">
      <c r="CP1599" s="13"/>
    </row>
    <row r="1600" spans="94:94">
      <c r="CP1600" s="13"/>
    </row>
    <row r="1601" spans="94:94">
      <c r="CP1601" s="13"/>
    </row>
    <row r="1602" spans="94:94">
      <c r="CP1602" s="13"/>
    </row>
    <row r="1603" spans="94:94">
      <c r="CP1603" s="13"/>
    </row>
    <row r="1604" spans="94:94">
      <c r="CP1604" s="13"/>
    </row>
    <row r="1605" spans="94:94">
      <c r="CP1605" s="13"/>
    </row>
    <row r="1606" spans="94:94">
      <c r="CP1606" s="13"/>
    </row>
    <row r="1607" spans="94:94">
      <c r="CP1607" s="13"/>
    </row>
    <row r="1608" spans="94:94">
      <c r="CP1608" s="13"/>
    </row>
    <row r="1609" spans="94:94">
      <c r="CP1609" s="13"/>
    </row>
    <row r="1610" spans="94:94">
      <c r="CP1610" s="13"/>
    </row>
    <row r="1611" spans="94:94">
      <c r="CP1611" s="13"/>
    </row>
    <row r="1612" spans="94:94">
      <c r="CP1612" s="13"/>
    </row>
    <row r="1613" spans="94:94">
      <c r="CP1613" s="13"/>
    </row>
    <row r="1614" spans="94:94">
      <c r="CP1614" s="13"/>
    </row>
    <row r="1615" spans="94:94">
      <c r="CP1615" s="13"/>
    </row>
    <row r="1616" spans="94:94">
      <c r="CP1616" s="13"/>
    </row>
    <row r="1617" spans="94:94">
      <c r="CP1617" s="13"/>
    </row>
    <row r="1618" spans="94:94">
      <c r="CP1618" s="13"/>
    </row>
    <row r="1619" spans="94:94">
      <c r="CP1619" s="13"/>
    </row>
    <row r="1620" spans="94:94">
      <c r="CP1620" s="13"/>
    </row>
    <row r="1621" spans="94:94">
      <c r="CP1621" s="13"/>
    </row>
    <row r="1622" spans="94:94">
      <c r="CP1622" s="13"/>
    </row>
    <row r="1623" spans="94:94">
      <c r="CP1623" s="13"/>
    </row>
    <row r="1624" spans="94:94">
      <c r="CP1624" s="13"/>
    </row>
    <row r="1625" spans="94:94">
      <c r="CP1625" s="13"/>
    </row>
    <row r="1626" spans="94:94">
      <c r="CP1626" s="13"/>
    </row>
    <row r="1627" spans="94:94">
      <c r="CP1627" s="13"/>
    </row>
    <row r="1628" spans="94:94">
      <c r="CP1628" s="13"/>
    </row>
    <row r="1629" spans="94:94">
      <c r="CP1629" s="13"/>
    </row>
    <row r="1630" spans="94:94">
      <c r="CP1630" s="13"/>
    </row>
    <row r="1631" spans="94:94">
      <c r="CP1631" s="13"/>
    </row>
    <row r="1632" spans="94:94">
      <c r="CP1632" s="13"/>
    </row>
    <row r="1633" spans="94:94">
      <c r="CP1633" s="13"/>
    </row>
    <row r="1634" spans="94:94">
      <c r="CP1634" s="13"/>
    </row>
    <row r="1635" spans="94:94">
      <c r="CP1635" s="13"/>
    </row>
    <row r="1636" spans="94:94">
      <c r="CP1636" s="13"/>
    </row>
    <row r="1637" spans="94:94">
      <c r="CP1637" s="13"/>
    </row>
    <row r="1638" spans="94:94">
      <c r="CP1638" s="13"/>
    </row>
    <row r="1639" spans="94:94">
      <c r="CP1639" s="13"/>
    </row>
    <row r="1640" spans="94:94">
      <c r="CP1640" s="13"/>
    </row>
    <row r="1641" spans="94:94">
      <c r="CP1641" s="13"/>
    </row>
    <row r="1642" spans="94:94">
      <c r="CP1642" s="13"/>
    </row>
    <row r="1643" spans="94:94">
      <c r="CP1643" s="13"/>
    </row>
    <row r="1644" spans="94:94">
      <c r="CP1644" s="13"/>
    </row>
    <row r="1645" spans="94:94">
      <c r="CP1645" s="13"/>
    </row>
    <row r="1646" spans="94:94">
      <c r="CP1646" s="13"/>
    </row>
    <row r="1647" spans="94:94">
      <c r="CP1647" s="13"/>
    </row>
    <row r="1648" spans="94:94">
      <c r="CP1648" s="13"/>
    </row>
    <row r="1649" spans="94:94">
      <c r="CP1649" s="13"/>
    </row>
    <row r="1650" spans="94:94">
      <c r="CP1650" s="13"/>
    </row>
    <row r="1651" spans="94:94">
      <c r="CP1651" s="13"/>
    </row>
    <row r="1652" spans="94:94">
      <c r="CP1652" s="13"/>
    </row>
    <row r="1653" spans="94:94">
      <c r="CP1653" s="13"/>
    </row>
    <row r="1654" spans="94:94">
      <c r="CP1654" s="13"/>
    </row>
    <row r="1655" spans="94:94">
      <c r="CP1655" s="13"/>
    </row>
    <row r="1656" spans="94:94">
      <c r="CP1656" s="13"/>
    </row>
    <row r="1657" spans="94:94">
      <c r="CP1657" s="13"/>
    </row>
    <row r="1658" spans="94:94">
      <c r="CP1658" s="13"/>
    </row>
    <row r="1659" spans="94:94">
      <c r="CP1659" s="13"/>
    </row>
    <row r="1660" spans="94:94">
      <c r="CP1660" s="13"/>
    </row>
    <row r="1661" spans="94:94">
      <c r="CP1661" s="13"/>
    </row>
    <row r="1662" spans="94:94">
      <c r="CP1662" s="13"/>
    </row>
    <row r="1663" spans="94:94">
      <c r="CP1663" s="13"/>
    </row>
    <row r="1664" spans="94:94">
      <c r="CP1664" s="13"/>
    </row>
    <row r="1665" spans="94:94">
      <c r="CP1665" s="13"/>
    </row>
    <row r="1666" spans="94:94">
      <c r="CP1666" s="13"/>
    </row>
    <row r="1667" spans="94:94">
      <c r="CP1667" s="13"/>
    </row>
    <row r="1668" spans="94:94">
      <c r="CP1668" s="13"/>
    </row>
    <row r="1669" spans="94:94">
      <c r="CP1669" s="13"/>
    </row>
    <row r="1670" spans="94:94">
      <c r="CP1670" s="13"/>
    </row>
    <row r="1671" spans="94:94">
      <c r="CP1671" s="13"/>
    </row>
    <row r="1672" spans="94:94">
      <c r="CP1672" s="13"/>
    </row>
    <row r="1673" spans="94:94">
      <c r="CP1673" s="13"/>
    </row>
    <row r="1674" spans="94:94">
      <c r="CP1674" s="13"/>
    </row>
    <row r="1675" spans="94:94">
      <c r="CP1675" s="13"/>
    </row>
    <row r="1676" spans="94:94">
      <c r="CP1676" s="13"/>
    </row>
    <row r="1677" spans="94:94">
      <c r="CP1677" s="13"/>
    </row>
    <row r="1678" spans="94:94">
      <c r="CP1678" s="13"/>
    </row>
    <row r="1679" spans="94:94">
      <c r="CP1679" s="13"/>
    </row>
    <row r="1680" spans="94:94">
      <c r="CP1680" s="13"/>
    </row>
    <row r="1681" spans="94:94">
      <c r="CP1681" s="13"/>
    </row>
    <row r="1682" spans="94:94">
      <c r="CP1682" s="13"/>
    </row>
    <row r="1683" spans="94:94">
      <c r="CP1683" s="13"/>
    </row>
    <row r="1684" spans="94:94">
      <c r="CP1684" s="13"/>
    </row>
    <row r="1685" spans="94:94">
      <c r="CP1685" s="13"/>
    </row>
    <row r="1686" spans="94:94">
      <c r="CP1686" s="13"/>
    </row>
    <row r="1687" spans="94:94">
      <c r="CP1687" s="13"/>
    </row>
    <row r="1688" spans="94:94">
      <c r="CP1688" s="13"/>
    </row>
    <row r="1689" spans="94:94">
      <c r="CP1689" s="13"/>
    </row>
    <row r="1690" spans="94:94">
      <c r="CP1690" s="13"/>
    </row>
    <row r="1691" spans="94:94">
      <c r="CP1691" s="13"/>
    </row>
    <row r="1692" spans="94:94">
      <c r="CP1692" s="13"/>
    </row>
    <row r="1693" spans="94:94">
      <c r="CP1693" s="13"/>
    </row>
    <row r="1694" spans="94:94">
      <c r="CP1694" s="13"/>
    </row>
    <row r="1695" spans="94:94">
      <c r="CP1695" s="13"/>
    </row>
    <row r="1696" spans="94:94">
      <c r="CP1696" s="13"/>
    </row>
    <row r="1697" spans="94:94">
      <c r="CP1697" s="13"/>
    </row>
    <row r="1698" spans="94:94">
      <c r="CP1698" s="13"/>
    </row>
    <row r="1699" spans="94:94">
      <c r="CP1699" s="13"/>
    </row>
    <row r="1700" spans="94:94">
      <c r="CP1700" s="13"/>
    </row>
    <row r="1701" spans="94:94">
      <c r="CP1701" s="13"/>
    </row>
    <row r="1702" spans="94:94">
      <c r="CP1702" s="13"/>
    </row>
    <row r="1703" spans="94:94">
      <c r="CP1703" s="13"/>
    </row>
    <row r="1704" spans="94:94">
      <c r="CP1704" s="13"/>
    </row>
    <row r="1705" spans="94:94">
      <c r="CP1705" s="13"/>
    </row>
    <row r="1706" spans="94:94">
      <c r="CP1706" s="13"/>
    </row>
    <row r="1707" spans="94:94">
      <c r="CP1707" s="13"/>
    </row>
    <row r="1708" spans="94:94">
      <c r="CP1708" s="13"/>
    </row>
    <row r="1709" spans="94:94">
      <c r="CP1709" s="13"/>
    </row>
    <row r="1710" spans="94:94">
      <c r="CP1710" s="13"/>
    </row>
    <row r="1711" spans="94:94">
      <c r="CP1711" s="13"/>
    </row>
    <row r="1712" spans="94:94">
      <c r="CP1712" s="13"/>
    </row>
    <row r="1713" spans="94:94">
      <c r="CP1713" s="13"/>
    </row>
    <row r="1714" spans="94:94">
      <c r="CP1714" s="13"/>
    </row>
    <row r="1715" spans="94:94">
      <c r="CP1715" s="13"/>
    </row>
    <row r="1716" spans="94:94">
      <c r="CP1716" s="13"/>
    </row>
    <row r="1717" spans="94:94">
      <c r="CP1717" s="13"/>
    </row>
    <row r="1718" spans="94:94">
      <c r="CP1718" s="13"/>
    </row>
    <row r="1719" spans="94:94">
      <c r="CP1719" s="13"/>
    </row>
    <row r="1720" spans="94:94">
      <c r="CP1720" s="13"/>
    </row>
    <row r="1721" spans="94:94">
      <c r="CP1721" s="13"/>
    </row>
    <row r="1722" spans="94:94">
      <c r="CP1722" s="13"/>
    </row>
    <row r="1723" spans="94:94">
      <c r="CP1723" s="13"/>
    </row>
    <row r="1724" spans="94:94">
      <c r="CP1724" s="13"/>
    </row>
    <row r="1725" spans="94:94">
      <c r="CP1725" s="13"/>
    </row>
    <row r="1726" spans="94:94">
      <c r="CP1726" s="13"/>
    </row>
    <row r="1727" spans="94:94">
      <c r="CP1727" s="13"/>
    </row>
    <row r="1728" spans="94:94">
      <c r="CP1728" s="13"/>
    </row>
    <row r="1729" spans="94:94">
      <c r="CP1729" s="13"/>
    </row>
    <row r="1730" spans="94:94">
      <c r="CP1730" s="13"/>
    </row>
    <row r="1731" spans="94:94">
      <c r="CP1731" s="13"/>
    </row>
    <row r="1732" spans="94:94">
      <c r="CP1732" s="13"/>
    </row>
    <row r="1733" spans="94:94">
      <c r="CP1733" s="13"/>
    </row>
    <row r="1734" spans="94:94">
      <c r="CP1734" s="13"/>
    </row>
    <row r="1735" spans="94:94">
      <c r="CP1735" s="13"/>
    </row>
    <row r="1736" spans="94:94">
      <c r="CP1736" s="13"/>
    </row>
    <row r="1737" spans="94:94">
      <c r="CP1737" s="13"/>
    </row>
    <row r="1738" spans="94:94">
      <c r="CP1738" s="13"/>
    </row>
    <row r="1739" spans="94:94">
      <c r="CP1739" s="13"/>
    </row>
    <row r="1740" spans="94:94">
      <c r="CP1740" s="13"/>
    </row>
    <row r="1741" spans="94:94">
      <c r="CP1741" s="13"/>
    </row>
    <row r="1742" spans="94:94">
      <c r="CP1742" s="13"/>
    </row>
    <row r="1743" spans="94:94">
      <c r="CP1743" s="13"/>
    </row>
    <row r="1744" spans="94:94">
      <c r="CP1744" s="13"/>
    </row>
    <row r="1745" spans="94:94">
      <c r="CP1745" s="13"/>
    </row>
    <row r="1746" spans="94:94">
      <c r="CP1746" s="13"/>
    </row>
    <row r="1747" spans="94:94">
      <c r="CP1747" s="13"/>
    </row>
    <row r="1748" spans="94:94">
      <c r="CP1748" s="13"/>
    </row>
    <row r="1749" spans="94:94">
      <c r="CP1749" s="13"/>
    </row>
    <row r="1750" spans="94:94">
      <c r="CP1750" s="13"/>
    </row>
    <row r="1751" spans="94:94">
      <c r="CP1751" s="13"/>
    </row>
    <row r="1752" spans="94:94">
      <c r="CP1752" s="13"/>
    </row>
    <row r="1753" spans="94:94">
      <c r="CP1753" s="13"/>
    </row>
    <row r="1754" spans="94:94">
      <c r="CP1754" s="13"/>
    </row>
    <row r="1755" spans="94:94">
      <c r="CP1755" s="13"/>
    </row>
    <row r="1756" spans="94:94">
      <c r="CP1756" s="13"/>
    </row>
    <row r="1757" spans="94:94">
      <c r="CP1757" s="13"/>
    </row>
    <row r="1758" spans="94:94">
      <c r="CP1758" s="13"/>
    </row>
    <row r="1759" spans="94:94">
      <c r="CP1759" s="13"/>
    </row>
    <row r="1760" spans="94:94">
      <c r="CP1760" s="13"/>
    </row>
    <row r="1761" spans="94:94">
      <c r="CP1761" s="13"/>
    </row>
    <row r="1762" spans="94:94">
      <c r="CP1762" s="13"/>
    </row>
    <row r="1763" spans="94:94">
      <c r="CP1763" s="13"/>
    </row>
    <row r="1764" spans="94:94">
      <c r="CP1764" s="13"/>
    </row>
    <row r="1765" spans="94:94">
      <c r="CP1765" s="13"/>
    </row>
    <row r="1766" spans="94:94">
      <c r="CP1766" s="13"/>
    </row>
    <row r="1767" spans="94:94">
      <c r="CP1767" s="13"/>
    </row>
    <row r="1768" spans="94:94">
      <c r="CP1768" s="13"/>
    </row>
    <row r="1769" spans="94:94">
      <c r="CP1769" s="13"/>
    </row>
    <row r="1770" spans="94:94">
      <c r="CP1770" s="13"/>
    </row>
    <row r="1771" spans="94:94">
      <c r="CP1771" s="13"/>
    </row>
    <row r="1772" spans="94:94">
      <c r="CP1772" s="13"/>
    </row>
    <row r="1773" spans="94:94">
      <c r="CP1773" s="13"/>
    </row>
    <row r="1774" spans="94:94">
      <c r="CP1774" s="13"/>
    </row>
    <row r="1775" spans="94:94">
      <c r="CP1775" s="13"/>
    </row>
    <row r="1776" spans="94:94">
      <c r="CP1776" s="13"/>
    </row>
    <row r="1777" spans="94:94">
      <c r="CP1777" s="13"/>
    </row>
    <row r="1778" spans="94:94">
      <c r="CP1778" s="13"/>
    </row>
    <row r="1779" spans="94:94">
      <c r="CP1779" s="13"/>
    </row>
    <row r="1780" spans="94:94">
      <c r="CP1780" s="13"/>
    </row>
    <row r="1781" spans="94:94">
      <c r="CP1781" s="13"/>
    </row>
    <row r="1782" spans="94:94">
      <c r="CP1782" s="13"/>
    </row>
    <row r="1783" spans="94:94">
      <c r="CP1783" s="13"/>
    </row>
    <row r="1784" spans="94:94">
      <c r="CP1784" s="13"/>
    </row>
    <row r="1785" spans="94:94">
      <c r="CP1785" s="13"/>
    </row>
    <row r="1786" spans="94:94">
      <c r="CP1786" s="13"/>
    </row>
    <row r="1787" spans="94:94">
      <c r="CP1787" s="13"/>
    </row>
    <row r="1788" spans="94:94">
      <c r="CP1788" s="13"/>
    </row>
    <row r="1789" spans="94:94">
      <c r="CP1789" s="13"/>
    </row>
    <row r="1790" spans="94:94">
      <c r="CP1790" s="13"/>
    </row>
    <row r="1791" spans="94:94">
      <c r="CP1791" s="13"/>
    </row>
    <row r="1792" spans="94:94">
      <c r="CP1792" s="13"/>
    </row>
    <row r="1793" spans="94:94">
      <c r="CP1793" s="13"/>
    </row>
    <row r="1794" spans="94:94">
      <c r="CP1794" s="13"/>
    </row>
    <row r="1795" spans="94:94">
      <c r="CP1795" s="13"/>
    </row>
    <row r="1796" spans="94:94">
      <c r="CP1796" s="13"/>
    </row>
    <row r="1797" spans="94:94">
      <c r="CP1797" s="13"/>
    </row>
    <row r="1798" spans="94:94">
      <c r="CP1798" s="13"/>
    </row>
    <row r="1799" spans="94:94">
      <c r="CP1799" s="13"/>
    </row>
    <row r="1800" spans="94:94">
      <c r="CP1800" s="13"/>
    </row>
    <row r="1801" spans="94:94">
      <c r="CP1801" s="13"/>
    </row>
    <row r="1802" spans="94:94">
      <c r="CP1802" s="13"/>
    </row>
    <row r="1803" spans="94:94">
      <c r="CP1803" s="13"/>
    </row>
    <row r="1804" spans="94:94">
      <c r="CP1804" s="13"/>
    </row>
    <row r="1805" spans="94:94">
      <c r="CP1805" s="13"/>
    </row>
    <row r="1806" spans="94:94">
      <c r="CP1806" s="13"/>
    </row>
    <row r="1807" spans="94:94">
      <c r="CP1807" s="13"/>
    </row>
    <row r="1808" spans="94:94">
      <c r="CP1808" s="13"/>
    </row>
    <row r="1809" spans="94:94">
      <c r="CP1809" s="13"/>
    </row>
    <row r="1810" spans="94:94">
      <c r="CP1810" s="13"/>
    </row>
    <row r="1811" spans="94:94">
      <c r="CP1811" s="13"/>
    </row>
    <row r="1812" spans="94:94">
      <c r="CP1812" s="13"/>
    </row>
    <row r="1813" spans="94:94">
      <c r="CP1813" s="13"/>
    </row>
    <row r="1814" spans="94:94">
      <c r="CP1814" s="13"/>
    </row>
    <row r="1815" spans="94:94">
      <c r="CP1815" s="13"/>
    </row>
    <row r="1816" spans="94:94">
      <c r="CP1816" s="13"/>
    </row>
    <row r="1817" spans="94:94">
      <c r="CP1817" s="13"/>
    </row>
    <row r="1818" spans="94:94">
      <c r="CP1818" s="13"/>
    </row>
    <row r="1819" spans="94:94">
      <c r="CP1819" s="13"/>
    </row>
    <row r="1820" spans="94:94">
      <c r="CP1820" s="13"/>
    </row>
    <row r="1821" spans="94:94">
      <c r="CP1821" s="13"/>
    </row>
    <row r="1822" spans="94:94">
      <c r="CP1822" s="13"/>
    </row>
    <row r="1823" spans="94:94">
      <c r="CP1823" s="13"/>
    </row>
    <row r="1824" spans="94:94">
      <c r="CP1824" s="13"/>
    </row>
    <row r="1825" spans="94:94">
      <c r="CP1825" s="13"/>
    </row>
    <row r="1826" spans="94:94">
      <c r="CP1826" s="13"/>
    </row>
    <row r="1827" spans="94:94">
      <c r="CP1827" s="13"/>
    </row>
    <row r="1828" spans="94:94">
      <c r="CP1828" s="13"/>
    </row>
    <row r="1829" spans="94:94">
      <c r="CP1829" s="13"/>
    </row>
    <row r="1830" spans="94:94">
      <c r="CP1830" s="13"/>
    </row>
    <row r="1831" spans="94:94">
      <c r="CP1831" s="13"/>
    </row>
    <row r="1832" spans="94:94">
      <c r="CP1832" s="13"/>
    </row>
    <row r="1833" spans="94:94">
      <c r="CP1833" s="13"/>
    </row>
    <row r="1834" spans="94:94">
      <c r="CP1834" s="13"/>
    </row>
    <row r="1835" spans="94:94">
      <c r="CP1835" s="13"/>
    </row>
    <row r="1836" spans="94:94">
      <c r="CP1836" s="13"/>
    </row>
    <row r="1837" spans="94:94">
      <c r="CP1837" s="13"/>
    </row>
    <row r="1838" spans="94:94">
      <c r="CP1838" s="13"/>
    </row>
    <row r="1839" spans="94:94">
      <c r="CP1839" s="13"/>
    </row>
    <row r="1840" spans="94:94">
      <c r="CP1840" s="13"/>
    </row>
    <row r="1841" spans="94:94">
      <c r="CP1841" s="13"/>
    </row>
    <row r="1842" spans="94:94">
      <c r="CP1842" s="13"/>
    </row>
    <row r="1843" spans="94:94">
      <c r="CP1843" s="13"/>
    </row>
    <row r="1844" spans="94:94">
      <c r="CP1844" s="13"/>
    </row>
    <row r="1845" spans="94:94">
      <c r="CP1845" s="13"/>
    </row>
    <row r="1846" spans="94:94">
      <c r="CP1846" s="13"/>
    </row>
    <row r="1847" spans="94:94">
      <c r="CP1847" s="13"/>
    </row>
    <row r="1848" spans="94:94">
      <c r="CP1848" s="13"/>
    </row>
    <row r="1849" spans="94:94">
      <c r="CP1849" s="13"/>
    </row>
    <row r="1850" spans="94:94">
      <c r="CP1850" s="13"/>
    </row>
    <row r="1851" spans="94:94">
      <c r="CP1851" s="13"/>
    </row>
    <row r="1852" spans="94:94">
      <c r="CP1852" s="13"/>
    </row>
    <row r="1853" spans="94:94">
      <c r="CP1853" s="13"/>
    </row>
    <row r="1854" spans="94:94">
      <c r="CP1854" s="13"/>
    </row>
    <row r="1855" spans="94:94">
      <c r="CP1855" s="13"/>
    </row>
    <row r="1856" spans="94:94">
      <c r="CP1856" s="13"/>
    </row>
    <row r="1857" spans="94:94">
      <c r="CP1857" s="13"/>
    </row>
    <row r="1858" spans="94:94">
      <c r="CP1858" s="13"/>
    </row>
    <row r="1859" spans="94:94">
      <c r="CP1859" s="13"/>
    </row>
    <row r="1860" spans="94:94">
      <c r="CP1860" s="13"/>
    </row>
    <row r="1861" spans="94:94">
      <c r="CP1861" s="13"/>
    </row>
    <row r="1862" spans="94:94">
      <c r="CP1862" s="13"/>
    </row>
    <row r="1863" spans="94:94">
      <c r="CP1863" s="13"/>
    </row>
    <row r="1864" spans="94:94">
      <c r="CP1864" s="13"/>
    </row>
    <row r="1865" spans="94:94">
      <c r="CP1865" s="13"/>
    </row>
    <row r="1866" spans="94:94">
      <c r="CP1866" s="13"/>
    </row>
    <row r="1867" spans="94:94">
      <c r="CP1867" s="13"/>
    </row>
    <row r="1868" spans="94:94">
      <c r="CP1868" s="13"/>
    </row>
    <row r="1869" spans="94:94">
      <c r="CP1869" s="13"/>
    </row>
    <row r="1870" spans="94:94">
      <c r="CP1870" s="13"/>
    </row>
    <row r="1871" spans="94:94">
      <c r="CP1871" s="13"/>
    </row>
    <row r="1872" spans="94:94">
      <c r="CP1872" s="13"/>
    </row>
    <row r="1873" spans="94:94">
      <c r="CP1873" s="13"/>
    </row>
    <row r="1874" spans="94:94">
      <c r="CP1874" s="13"/>
    </row>
    <row r="1875" spans="94:94">
      <c r="CP1875" s="13"/>
    </row>
    <row r="1876" spans="94:94">
      <c r="CP1876" s="13"/>
    </row>
    <row r="1877" spans="94:94">
      <c r="CP1877" s="13"/>
    </row>
    <row r="1878" spans="94:94">
      <c r="CP1878" s="13"/>
    </row>
    <row r="1879" spans="94:94">
      <c r="CP1879" s="13"/>
    </row>
    <row r="1880" spans="94:94">
      <c r="CP1880" s="13"/>
    </row>
    <row r="1881" spans="94:94">
      <c r="CP1881" s="13"/>
    </row>
    <row r="1882" spans="94:94">
      <c r="CP1882" s="13"/>
    </row>
    <row r="1883" spans="94:94">
      <c r="CP1883" s="13"/>
    </row>
    <row r="1884" spans="94:94">
      <c r="CP1884" s="13"/>
    </row>
    <row r="1885" spans="94:94">
      <c r="CP1885" s="13"/>
    </row>
    <row r="1886" spans="94:94">
      <c r="CP1886" s="13"/>
    </row>
    <row r="1887" spans="94:94">
      <c r="CP1887" s="13"/>
    </row>
    <row r="1888" spans="94:94">
      <c r="CP1888" s="13"/>
    </row>
    <row r="1889" spans="94:94">
      <c r="CP1889" s="13"/>
    </row>
    <row r="1890" spans="94:94">
      <c r="CP1890" s="13"/>
    </row>
    <row r="1891" spans="94:94">
      <c r="CP1891" s="13"/>
    </row>
    <row r="1892" spans="94:94">
      <c r="CP1892" s="13"/>
    </row>
    <row r="1893" spans="94:94">
      <c r="CP1893" s="13"/>
    </row>
    <row r="1894" spans="94:94">
      <c r="CP1894" s="13"/>
    </row>
    <row r="1895" spans="94:94">
      <c r="CP1895" s="13"/>
    </row>
    <row r="1896" spans="94:94">
      <c r="CP1896" s="13"/>
    </row>
    <row r="1897" spans="94:94">
      <c r="CP1897" s="13"/>
    </row>
    <row r="1898" spans="94:94">
      <c r="CP1898" s="13"/>
    </row>
    <row r="1899" spans="94:94">
      <c r="CP1899" s="13"/>
    </row>
    <row r="1900" spans="94:94">
      <c r="CP1900" s="13"/>
    </row>
    <row r="1901" spans="94:94">
      <c r="CP1901" s="13"/>
    </row>
    <row r="1902" spans="94:94">
      <c r="CP1902" s="13"/>
    </row>
    <row r="1903" spans="94:94">
      <c r="CP1903" s="13"/>
    </row>
    <row r="1904" spans="94:94">
      <c r="CP1904" s="13"/>
    </row>
    <row r="1905" spans="94:94">
      <c r="CP1905" s="13"/>
    </row>
    <row r="1906" spans="94:94">
      <c r="CP1906" s="13"/>
    </row>
    <row r="1907" spans="94:94">
      <c r="CP1907" s="13"/>
    </row>
    <row r="1908" spans="94:94">
      <c r="CP1908" s="13"/>
    </row>
    <row r="1909" spans="94:94">
      <c r="CP1909" s="13"/>
    </row>
    <row r="1910" spans="94:94">
      <c r="CP1910" s="13"/>
    </row>
    <row r="1911" spans="94:94">
      <c r="CP1911" s="13"/>
    </row>
    <row r="1912" spans="94:94">
      <c r="CP1912" s="13"/>
    </row>
    <row r="1913" spans="94:94">
      <c r="CP1913" s="13"/>
    </row>
    <row r="1914" spans="94:94">
      <c r="CP1914" s="13"/>
    </row>
    <row r="1915" spans="94:94">
      <c r="CP1915" s="13"/>
    </row>
    <row r="1916" spans="94:94">
      <c r="CP1916" s="13"/>
    </row>
    <row r="1917" spans="94:94">
      <c r="CP1917" s="13"/>
    </row>
    <row r="1918" spans="94:94">
      <c r="CP1918" s="13"/>
    </row>
    <row r="1919" spans="94:94">
      <c r="CP1919" s="13"/>
    </row>
    <row r="1920" spans="94:94">
      <c r="CP1920" s="13"/>
    </row>
    <row r="1921" spans="94:94">
      <c r="CP1921" s="13"/>
    </row>
    <row r="1922" spans="94:94">
      <c r="CP1922" s="13"/>
    </row>
    <row r="1923" spans="94:94">
      <c r="CP1923" s="13"/>
    </row>
    <row r="1924" spans="94:94">
      <c r="CP1924" s="13"/>
    </row>
    <row r="1925" spans="94:94">
      <c r="CP1925" s="13"/>
    </row>
    <row r="1926" spans="94:94">
      <c r="CP1926" s="13"/>
    </row>
    <row r="1927" spans="94:94">
      <c r="CP1927" s="13"/>
    </row>
    <row r="1928" spans="94:94">
      <c r="CP1928" s="13"/>
    </row>
    <row r="1929" spans="94:94">
      <c r="CP1929" s="13"/>
    </row>
    <row r="1930" spans="94:94">
      <c r="CP1930" s="13"/>
    </row>
    <row r="1931" spans="94:94">
      <c r="CP1931" s="13"/>
    </row>
    <row r="1932" spans="94:94">
      <c r="CP1932" s="13"/>
    </row>
    <row r="1933" spans="94:94">
      <c r="CP1933" s="13"/>
    </row>
    <row r="1934" spans="94:94">
      <c r="CP1934" s="13"/>
    </row>
    <row r="1935" spans="94:94">
      <c r="CP1935" s="13"/>
    </row>
    <row r="1936" spans="94:94">
      <c r="CP1936" s="13"/>
    </row>
    <row r="1937" spans="94:94">
      <c r="CP1937" s="13"/>
    </row>
    <row r="1938" spans="94:94">
      <c r="CP1938" s="13"/>
    </row>
    <row r="1939" spans="94:94">
      <c r="CP1939" s="13"/>
    </row>
    <row r="1940" spans="94:94">
      <c r="CP1940" s="13"/>
    </row>
    <row r="1941" spans="94:94">
      <c r="CP1941" s="13"/>
    </row>
    <row r="1942" spans="94:94">
      <c r="CP1942" s="13"/>
    </row>
    <row r="1943" spans="94:94">
      <c r="CP1943" s="13"/>
    </row>
    <row r="1944" spans="94:94">
      <c r="CP1944" s="13"/>
    </row>
    <row r="1945" spans="94:94">
      <c r="CP1945" s="13"/>
    </row>
    <row r="1946" spans="94:94">
      <c r="CP1946" s="13"/>
    </row>
    <row r="1947" spans="94:94">
      <c r="CP1947" s="13"/>
    </row>
    <row r="1948" spans="94:94">
      <c r="CP1948" s="13"/>
    </row>
    <row r="1949" spans="94:94">
      <c r="CP1949" s="13"/>
    </row>
    <row r="1950" spans="94:94">
      <c r="CP1950" s="13"/>
    </row>
    <row r="1951" spans="94:94">
      <c r="CP1951" s="13"/>
    </row>
    <row r="1952" spans="94:94">
      <c r="CP1952" s="13"/>
    </row>
    <row r="1953" spans="94:94">
      <c r="CP1953" s="13"/>
    </row>
    <row r="1954" spans="94:94">
      <c r="CP1954" s="13"/>
    </row>
    <row r="1955" spans="94:94">
      <c r="CP1955" s="13"/>
    </row>
    <row r="1956" spans="94:94">
      <c r="CP1956" s="13"/>
    </row>
    <row r="1957" spans="94:94">
      <c r="CP1957" s="13"/>
    </row>
    <row r="1958" spans="94:94">
      <c r="CP1958" s="13"/>
    </row>
    <row r="1959" spans="94:94">
      <c r="CP1959" s="13"/>
    </row>
    <row r="1960" spans="94:94">
      <c r="CP1960" s="13"/>
    </row>
    <row r="1961" spans="94:94">
      <c r="CP1961" s="13"/>
    </row>
    <row r="1962" spans="94:94">
      <c r="CP1962" s="13"/>
    </row>
    <row r="1963" spans="94:94">
      <c r="CP1963" s="13"/>
    </row>
    <row r="1964" spans="94:94">
      <c r="CP1964" s="13"/>
    </row>
    <row r="1965" spans="94:94">
      <c r="CP1965" s="13"/>
    </row>
    <row r="1966" spans="94:94">
      <c r="CP1966" s="13"/>
    </row>
    <row r="1967" spans="94:94">
      <c r="CP1967" s="13"/>
    </row>
    <row r="1968" spans="94:94">
      <c r="CP1968" s="13"/>
    </row>
    <row r="1969" spans="94:94">
      <c r="CP1969" s="13"/>
    </row>
    <row r="1970" spans="94:94">
      <c r="CP1970" s="13"/>
    </row>
    <row r="1971" spans="94:94">
      <c r="CP1971" s="13"/>
    </row>
    <row r="1972" spans="94:94">
      <c r="CP1972" s="13"/>
    </row>
    <row r="1973" spans="94:94">
      <c r="CP1973" s="13"/>
    </row>
    <row r="1974" spans="94:94">
      <c r="CP1974" s="13"/>
    </row>
    <row r="1975" spans="94:94">
      <c r="CP1975" s="13"/>
    </row>
    <row r="1976" spans="94:94">
      <c r="CP1976" s="13"/>
    </row>
    <row r="1977" spans="94:94">
      <c r="CP1977" s="13"/>
    </row>
    <row r="1978" spans="94:94">
      <c r="CP1978" s="13"/>
    </row>
    <row r="1979" spans="94:94">
      <c r="CP1979" s="13"/>
    </row>
    <row r="1980" spans="94:94">
      <c r="CP1980" s="13"/>
    </row>
    <row r="1981" spans="94:94">
      <c r="CP1981" s="13"/>
    </row>
    <row r="1982" spans="94:94">
      <c r="CP1982" s="13"/>
    </row>
    <row r="1983" spans="94:94">
      <c r="CP1983" s="13"/>
    </row>
    <row r="1984" spans="94:94">
      <c r="CP1984" s="13"/>
    </row>
    <row r="1985" spans="94:94">
      <c r="CP1985" s="13"/>
    </row>
    <row r="1986" spans="94:94">
      <c r="CP1986" s="13"/>
    </row>
    <row r="1987" spans="94:94">
      <c r="CP1987" s="13"/>
    </row>
    <row r="1988" spans="94:94">
      <c r="CP1988" s="13"/>
    </row>
    <row r="1989" spans="94:94">
      <c r="CP1989" s="13"/>
    </row>
    <row r="1990" spans="94:94">
      <c r="CP1990" s="13"/>
    </row>
    <row r="1991" spans="94:94">
      <c r="CP1991" s="13"/>
    </row>
    <row r="1992" spans="94:94">
      <c r="CP1992" s="13"/>
    </row>
    <row r="1993" spans="94:94">
      <c r="CP1993" s="13"/>
    </row>
    <row r="1994" spans="94:94">
      <c r="CP1994" s="13"/>
    </row>
    <row r="1995" spans="94:94">
      <c r="CP1995" s="13"/>
    </row>
    <row r="1996" spans="94:94">
      <c r="CP1996" s="13"/>
    </row>
    <row r="1997" spans="94:94">
      <c r="CP1997" s="13"/>
    </row>
    <row r="1998" spans="94:94">
      <c r="CP1998" s="13"/>
    </row>
    <row r="1999" spans="94:94">
      <c r="CP1999" s="13"/>
    </row>
    <row r="2000" spans="94:94">
      <c r="CP2000" s="13"/>
    </row>
    <row r="2001" spans="94:94">
      <c r="CP2001" s="13"/>
    </row>
    <row r="2002" spans="94:94">
      <c r="CP2002" s="13"/>
    </row>
    <row r="2003" spans="94:94">
      <c r="CP2003" s="13"/>
    </row>
    <row r="2004" spans="94:94">
      <c r="CP2004" s="13"/>
    </row>
    <row r="2005" spans="94:94">
      <c r="CP2005" s="13"/>
    </row>
    <row r="2006" spans="94:94">
      <c r="CP2006" s="13"/>
    </row>
    <row r="2007" spans="94:94">
      <c r="CP2007" s="13"/>
    </row>
    <row r="2008" spans="94:94">
      <c r="CP2008" s="13"/>
    </row>
    <row r="2009" spans="94:94">
      <c r="CP2009" s="13"/>
    </row>
    <row r="2010" spans="94:94">
      <c r="CP2010" s="13"/>
    </row>
    <row r="2011" spans="94:94">
      <c r="CP2011" s="13"/>
    </row>
    <row r="2012" spans="94:94">
      <c r="CP2012" s="13"/>
    </row>
    <row r="2013" spans="94:94">
      <c r="CP2013" s="13"/>
    </row>
    <row r="2014" spans="94:94">
      <c r="CP2014" s="13"/>
    </row>
    <row r="2015" spans="94:94">
      <c r="CP2015" s="13"/>
    </row>
    <row r="2016" spans="94:94">
      <c r="CP2016" s="13"/>
    </row>
    <row r="2017" spans="94:94">
      <c r="CP2017" s="13"/>
    </row>
    <row r="2018" spans="94:94">
      <c r="CP2018" s="13"/>
    </row>
    <row r="2019" spans="94:94">
      <c r="CP2019" s="13"/>
    </row>
    <row r="2020" spans="94:94">
      <c r="CP2020" s="13"/>
    </row>
    <row r="2021" spans="94:94">
      <c r="CP2021" s="13"/>
    </row>
    <row r="2022" spans="94:94">
      <c r="CP2022" s="13"/>
    </row>
    <row r="2023" spans="94:94">
      <c r="CP2023" s="13"/>
    </row>
    <row r="2024" spans="94:94">
      <c r="CP2024" s="13"/>
    </row>
    <row r="2025" spans="94:94">
      <c r="CP2025" s="13"/>
    </row>
    <row r="2026" spans="94:94">
      <c r="CP2026" s="13"/>
    </row>
    <row r="2027" spans="94:94">
      <c r="CP2027" s="13"/>
    </row>
    <row r="2028" spans="94:94">
      <c r="CP2028" s="13"/>
    </row>
    <row r="2029" spans="94:94">
      <c r="CP2029" s="13"/>
    </row>
    <row r="2030" spans="94:94">
      <c r="CP2030" s="13"/>
    </row>
    <row r="2031" spans="94:94">
      <c r="CP2031" s="13"/>
    </row>
    <row r="2032" spans="94:94">
      <c r="CP2032" s="13"/>
    </row>
    <row r="2033" spans="94:94">
      <c r="CP2033" s="13"/>
    </row>
    <row r="2034" spans="94:94">
      <c r="CP2034" s="13"/>
    </row>
    <row r="2035" spans="94:94">
      <c r="CP2035" s="13"/>
    </row>
    <row r="2036" spans="94:94">
      <c r="CP2036" s="13"/>
    </row>
    <row r="2037" spans="94:94">
      <c r="CP2037" s="13"/>
    </row>
    <row r="2038" spans="94:94">
      <c r="CP2038" s="13"/>
    </row>
    <row r="2039" spans="94:94">
      <c r="CP2039" s="13"/>
    </row>
    <row r="2040" spans="94:94">
      <c r="CP2040" s="13"/>
    </row>
    <row r="2041" spans="94:94">
      <c r="CP2041" s="13"/>
    </row>
    <row r="2042" spans="94:94">
      <c r="CP2042" s="13"/>
    </row>
    <row r="2043" spans="94:94">
      <c r="CP2043" s="13"/>
    </row>
    <row r="2044" spans="94:94">
      <c r="CP2044" s="13"/>
    </row>
    <row r="2045" spans="94:94">
      <c r="CP2045" s="13"/>
    </row>
    <row r="2046" spans="94:94">
      <c r="CP2046" s="13"/>
    </row>
    <row r="2047" spans="94:94">
      <c r="CP2047" s="13"/>
    </row>
    <row r="2048" spans="94:94">
      <c r="CP2048" s="13"/>
    </row>
    <row r="2049" spans="94:94">
      <c r="CP2049" s="13"/>
    </row>
    <row r="2050" spans="94:94">
      <c r="CP2050" s="13"/>
    </row>
    <row r="2051" spans="94:94">
      <c r="CP2051" s="13"/>
    </row>
    <row r="2052" spans="94:94">
      <c r="CP2052" s="13"/>
    </row>
    <row r="2053" spans="94:94">
      <c r="CP2053" s="13"/>
    </row>
    <row r="2054" spans="94:94">
      <c r="CP2054" s="13"/>
    </row>
    <row r="2055" spans="94:94">
      <c r="CP2055" s="13"/>
    </row>
    <row r="2056" spans="94:94">
      <c r="CP2056" s="13"/>
    </row>
    <row r="2057" spans="94:94">
      <c r="CP2057" s="13"/>
    </row>
    <row r="2058" spans="94:94">
      <c r="CP2058" s="13"/>
    </row>
    <row r="2059" spans="94:94">
      <c r="CP2059" s="13"/>
    </row>
    <row r="2060" spans="94:94">
      <c r="CP2060" s="13"/>
    </row>
    <row r="2061" spans="94:94">
      <c r="CP2061" s="13"/>
    </row>
    <row r="2062" spans="94:94">
      <c r="CP2062" s="13"/>
    </row>
    <row r="2063" spans="94:94">
      <c r="CP2063" s="13"/>
    </row>
    <row r="2064" spans="94:94">
      <c r="CP2064" s="13"/>
    </row>
    <row r="2065" spans="94:94">
      <c r="CP2065" s="13"/>
    </row>
    <row r="2066" spans="94:94">
      <c r="CP2066" s="13"/>
    </row>
    <row r="2067" spans="94:94">
      <c r="CP2067" s="13"/>
    </row>
    <row r="2068" spans="94:94">
      <c r="CP2068" s="13"/>
    </row>
    <row r="2069" spans="94:94">
      <c r="CP2069" s="13"/>
    </row>
    <row r="2070" spans="94:94">
      <c r="CP2070" s="13"/>
    </row>
    <row r="2071" spans="94:94">
      <c r="CP2071" s="13"/>
    </row>
    <row r="2072" spans="94:94">
      <c r="CP2072" s="13"/>
    </row>
    <row r="2073" spans="94:94">
      <c r="CP2073" s="13"/>
    </row>
    <row r="2074" spans="94:94">
      <c r="CP2074" s="13"/>
    </row>
    <row r="2075" spans="94:94">
      <c r="CP2075" s="13"/>
    </row>
    <row r="2076" spans="94:94">
      <c r="CP2076" s="13"/>
    </row>
    <row r="2077" spans="94:94">
      <c r="CP2077" s="13"/>
    </row>
    <row r="2078" spans="94:94">
      <c r="CP2078" s="13"/>
    </row>
    <row r="2079" spans="94:94">
      <c r="CP2079" s="13"/>
    </row>
    <row r="2080" spans="94:94">
      <c r="CP2080" s="13"/>
    </row>
    <row r="2081" spans="94:94">
      <c r="CP2081" s="13"/>
    </row>
    <row r="2082" spans="94:94">
      <c r="CP2082" s="13"/>
    </row>
    <row r="2083" spans="94:94">
      <c r="CP2083" s="13"/>
    </row>
    <row r="2084" spans="94:94">
      <c r="CP2084" s="13"/>
    </row>
    <row r="2085" spans="94:94">
      <c r="CP2085" s="13"/>
    </row>
    <row r="2086" spans="94:94">
      <c r="CP2086" s="13"/>
    </row>
    <row r="2087" spans="94:94">
      <c r="CP2087" s="13"/>
    </row>
    <row r="2088" spans="94:94">
      <c r="CP2088" s="13"/>
    </row>
    <row r="2089" spans="94:94">
      <c r="CP2089" s="13"/>
    </row>
    <row r="2090" spans="94:94">
      <c r="CP2090" s="13"/>
    </row>
    <row r="2091" spans="94:94">
      <c r="CP2091" s="13"/>
    </row>
    <row r="2092" spans="94:94">
      <c r="CP2092" s="13"/>
    </row>
    <row r="2093" spans="94:94">
      <c r="CP2093" s="13"/>
    </row>
    <row r="2094" spans="94:94">
      <c r="CP2094" s="13"/>
    </row>
    <row r="2095" spans="94:94">
      <c r="CP2095" s="13"/>
    </row>
    <row r="2096" spans="94:94">
      <c r="CP2096" s="13"/>
    </row>
    <row r="2097" spans="94:94">
      <c r="CP2097" s="13"/>
    </row>
    <row r="2098" spans="94:94">
      <c r="CP2098" s="13"/>
    </row>
    <row r="2099" spans="94:94">
      <c r="CP2099" s="13"/>
    </row>
    <row r="2100" spans="94:94">
      <c r="CP2100" s="13"/>
    </row>
    <row r="2101" spans="94:94">
      <c r="CP2101" s="13"/>
    </row>
    <row r="2102" spans="94:94">
      <c r="CP2102" s="13"/>
    </row>
    <row r="2103" spans="94:94">
      <c r="CP2103" s="13"/>
    </row>
    <row r="2104" spans="94:94">
      <c r="CP2104" s="13"/>
    </row>
    <row r="2105" spans="94:94">
      <c r="CP2105" s="13"/>
    </row>
    <row r="2106" spans="94:94">
      <c r="CP2106" s="13"/>
    </row>
    <row r="2107" spans="94:94">
      <c r="CP2107" s="13"/>
    </row>
    <row r="2108" spans="94:94">
      <c r="CP2108" s="13"/>
    </row>
    <row r="2109" spans="94:94">
      <c r="CP2109" s="13"/>
    </row>
    <row r="2110" spans="94:94">
      <c r="CP2110" s="13"/>
    </row>
    <row r="2111" spans="94:94">
      <c r="CP2111" s="13"/>
    </row>
    <row r="2112" spans="94:94">
      <c r="CP2112" s="13"/>
    </row>
    <row r="2113" spans="94:94">
      <c r="CP2113" s="13"/>
    </row>
    <row r="2114" spans="94:94">
      <c r="CP2114" s="13"/>
    </row>
    <row r="2115" spans="94:94">
      <c r="CP2115" s="13"/>
    </row>
    <row r="2116" spans="94:94">
      <c r="CP2116" s="13"/>
    </row>
    <row r="2117" spans="94:94">
      <c r="CP2117" s="13"/>
    </row>
    <row r="2118" spans="94:94">
      <c r="CP2118" s="13"/>
    </row>
    <row r="2119" spans="94:94">
      <c r="CP2119" s="13"/>
    </row>
    <row r="2120" spans="94:94">
      <c r="CP2120" s="13"/>
    </row>
    <row r="2121" spans="94:94">
      <c r="CP2121" s="13"/>
    </row>
    <row r="2122" spans="94:94">
      <c r="CP2122" s="13"/>
    </row>
    <row r="2123" spans="94:94">
      <c r="CP2123" s="13"/>
    </row>
    <row r="2124" spans="94:94">
      <c r="CP2124" s="13"/>
    </row>
    <row r="2125" spans="94:94">
      <c r="CP2125" s="13"/>
    </row>
    <row r="2126" spans="94:94">
      <c r="CP2126" s="13"/>
    </row>
    <row r="2127" spans="94:94">
      <c r="CP2127" s="13"/>
    </row>
    <row r="2128" spans="94:94">
      <c r="CP2128" s="13"/>
    </row>
    <row r="2129" spans="94:94">
      <c r="CP2129" s="13"/>
    </row>
    <row r="2130" spans="94:94">
      <c r="CP2130" s="13"/>
    </row>
    <row r="2131" spans="94:94">
      <c r="CP2131" s="13"/>
    </row>
    <row r="2132" spans="94:94">
      <c r="CP2132" s="13"/>
    </row>
    <row r="2133" spans="94:94">
      <c r="CP2133" s="13"/>
    </row>
    <row r="2134" spans="94:94">
      <c r="CP2134" s="13"/>
    </row>
    <row r="2135" spans="94:94">
      <c r="CP2135" s="13"/>
    </row>
    <row r="2136" spans="94:94">
      <c r="CP2136" s="13"/>
    </row>
    <row r="2137" spans="94:94">
      <c r="CP2137" s="13"/>
    </row>
    <row r="2138" spans="94:94">
      <c r="CP2138" s="13"/>
    </row>
    <row r="2139" spans="94:94">
      <c r="CP2139" s="13"/>
    </row>
    <row r="2140" spans="94:94">
      <c r="CP2140" s="13"/>
    </row>
    <row r="2141" spans="94:94">
      <c r="CP2141" s="13"/>
    </row>
    <row r="2142" spans="94:94">
      <c r="CP2142" s="13"/>
    </row>
    <row r="2143" spans="94:94">
      <c r="CP2143" s="13"/>
    </row>
    <row r="2144" spans="94:94">
      <c r="CP2144" s="13"/>
    </row>
    <row r="2145" spans="94:94">
      <c r="CP2145" s="13"/>
    </row>
    <row r="2146" spans="94:94">
      <c r="CP2146" s="13"/>
    </row>
    <row r="2147" spans="94:94">
      <c r="CP2147" s="13"/>
    </row>
    <row r="2148" spans="94:94">
      <c r="CP2148" s="13"/>
    </row>
    <row r="2149" spans="94:94">
      <c r="CP2149" s="13"/>
    </row>
    <row r="2150" spans="94:94">
      <c r="CP2150" s="13"/>
    </row>
    <row r="2151" spans="94:94">
      <c r="CP2151" s="13"/>
    </row>
    <row r="2152" spans="94:94">
      <c r="CP2152" s="13"/>
    </row>
    <row r="2153" spans="94:94">
      <c r="CP2153" s="13"/>
    </row>
    <row r="2154" spans="94:94">
      <c r="CP2154" s="13"/>
    </row>
    <row r="2155" spans="94:94">
      <c r="CP2155" s="13"/>
    </row>
    <row r="2156" spans="94:94">
      <c r="CP2156" s="13"/>
    </row>
    <row r="2157" spans="94:94">
      <c r="CP2157" s="13"/>
    </row>
    <row r="2158" spans="94:94">
      <c r="CP2158" s="13"/>
    </row>
    <row r="2159" spans="94:94">
      <c r="CP2159" s="13"/>
    </row>
    <row r="2160" spans="94:94">
      <c r="CP2160" s="13"/>
    </row>
    <row r="2161" spans="94:94">
      <c r="CP2161" s="13"/>
    </row>
    <row r="2162" spans="94:94">
      <c r="CP2162" s="13"/>
    </row>
    <row r="2163" spans="94:94">
      <c r="CP2163" s="13"/>
    </row>
    <row r="2164" spans="94:94">
      <c r="CP2164" s="13"/>
    </row>
    <row r="2165" spans="94:94">
      <c r="CP2165" s="13"/>
    </row>
    <row r="2166" spans="94:94">
      <c r="CP2166" s="13"/>
    </row>
    <row r="2167" spans="94:94">
      <c r="CP2167" s="13"/>
    </row>
    <row r="2168" spans="94:94">
      <c r="CP2168" s="13"/>
    </row>
    <row r="2169" spans="94:94">
      <c r="CP2169" s="13"/>
    </row>
    <row r="2170" spans="94:94">
      <c r="CP2170" s="13"/>
    </row>
    <row r="2171" spans="94:94">
      <c r="CP2171" s="13"/>
    </row>
    <row r="2172" spans="94:94">
      <c r="CP2172" s="13"/>
    </row>
    <row r="2173" spans="94:94">
      <c r="CP2173" s="13"/>
    </row>
    <row r="2174" spans="94:94">
      <c r="CP2174" s="13"/>
    </row>
    <row r="2175" spans="94:94">
      <c r="CP2175" s="13"/>
    </row>
    <row r="2176" spans="94:94">
      <c r="CP2176" s="13"/>
    </row>
    <row r="2177" spans="94:94">
      <c r="CP2177" s="13"/>
    </row>
    <row r="2178" spans="94:94">
      <c r="CP2178" s="13"/>
    </row>
    <row r="2179" spans="94:94">
      <c r="CP2179" s="13"/>
    </row>
    <row r="2180" spans="94:94">
      <c r="CP2180" s="13"/>
    </row>
    <row r="2181" spans="94:94">
      <c r="CP2181" s="13"/>
    </row>
    <row r="2182" spans="94:94">
      <c r="CP2182" s="13"/>
    </row>
    <row r="2183" spans="94:94">
      <c r="CP2183" s="13"/>
    </row>
    <row r="2184" spans="94:94">
      <c r="CP2184" s="13"/>
    </row>
    <row r="2185" spans="94:94">
      <c r="CP2185" s="13"/>
    </row>
    <row r="2186" spans="94:94">
      <c r="CP2186" s="13"/>
    </row>
    <row r="2187" spans="94:94">
      <c r="CP2187" s="13"/>
    </row>
    <row r="2188" spans="94:94">
      <c r="CP2188" s="13"/>
    </row>
    <row r="2189" spans="94:94">
      <c r="CP2189" s="13"/>
    </row>
    <row r="2190" spans="94:94">
      <c r="CP2190" s="13"/>
    </row>
    <row r="2191" spans="94:94">
      <c r="CP2191" s="13"/>
    </row>
    <row r="2192" spans="94:94">
      <c r="CP2192" s="13"/>
    </row>
    <row r="2193" spans="94:94">
      <c r="CP2193" s="13"/>
    </row>
    <row r="2194" spans="94:94">
      <c r="CP2194" s="13"/>
    </row>
    <row r="2195" spans="94:94">
      <c r="CP2195" s="13"/>
    </row>
    <row r="2196" spans="94:94">
      <c r="CP2196" s="13"/>
    </row>
    <row r="2197" spans="94:94">
      <c r="CP2197" s="13"/>
    </row>
    <row r="2198" spans="94:94">
      <c r="CP2198" s="13"/>
    </row>
    <row r="2199" spans="94:94">
      <c r="CP2199" s="13"/>
    </row>
    <row r="2200" spans="94:94">
      <c r="CP2200" s="13"/>
    </row>
    <row r="2201" spans="94:94">
      <c r="CP2201" s="13"/>
    </row>
    <row r="2202" spans="94:94">
      <c r="CP2202" s="13"/>
    </row>
    <row r="2203" spans="94:94">
      <c r="CP2203" s="13"/>
    </row>
    <row r="2204" spans="94:94">
      <c r="CP2204" s="13"/>
    </row>
    <row r="2205" spans="94:94">
      <c r="CP2205" s="13"/>
    </row>
    <row r="2206" spans="94:94">
      <c r="CP2206" s="13"/>
    </row>
    <row r="2207" spans="94:94">
      <c r="CP2207" s="13"/>
    </row>
    <row r="2208" spans="94:94">
      <c r="CP2208" s="13"/>
    </row>
    <row r="2209" spans="94:94">
      <c r="CP2209" s="13"/>
    </row>
    <row r="2210" spans="94:94">
      <c r="CP2210" s="13"/>
    </row>
    <row r="2211" spans="94:94">
      <c r="CP2211" s="13"/>
    </row>
    <row r="2212" spans="94:94">
      <c r="CP2212" s="13"/>
    </row>
    <row r="2213" spans="94:94">
      <c r="CP2213" s="13"/>
    </row>
    <row r="2214" spans="94:94">
      <c r="CP2214" s="13"/>
    </row>
    <row r="2215" spans="94:94">
      <c r="CP2215" s="13"/>
    </row>
    <row r="2216" spans="94:94">
      <c r="CP2216" s="13"/>
    </row>
    <row r="2217" spans="94:94">
      <c r="CP2217" s="13"/>
    </row>
    <row r="2218" spans="94:94">
      <c r="CP2218" s="13"/>
    </row>
    <row r="2219" spans="94:94">
      <c r="CP2219" s="13"/>
    </row>
    <row r="2220" spans="94:94">
      <c r="CP2220" s="13"/>
    </row>
    <row r="2221" spans="94:94">
      <c r="CP2221" s="13"/>
    </row>
    <row r="2222" spans="94:94">
      <c r="CP2222" s="13"/>
    </row>
    <row r="2223" spans="94:94">
      <c r="CP2223" s="13"/>
    </row>
    <row r="2224" spans="94:94">
      <c r="CP2224" s="13"/>
    </row>
    <row r="2225" spans="94:94">
      <c r="CP2225" s="13"/>
    </row>
    <row r="2226" spans="94:94">
      <c r="CP2226" s="13"/>
    </row>
    <row r="2227" spans="94:94">
      <c r="CP2227" s="13"/>
    </row>
    <row r="2228" spans="94:94">
      <c r="CP2228" s="13"/>
    </row>
    <row r="2229" spans="94:94">
      <c r="CP2229" s="13"/>
    </row>
    <row r="2230" spans="94:94">
      <c r="CP2230" s="13"/>
    </row>
    <row r="2231" spans="94:94">
      <c r="CP2231" s="13"/>
    </row>
    <row r="2232" spans="94:94">
      <c r="CP2232" s="13"/>
    </row>
    <row r="2233" spans="94:94">
      <c r="CP2233" s="13"/>
    </row>
    <row r="2234" spans="94:94">
      <c r="CP2234" s="13"/>
    </row>
    <row r="2235" spans="94:94">
      <c r="CP2235" s="13"/>
    </row>
    <row r="2236" spans="94:94">
      <c r="CP2236" s="13"/>
    </row>
    <row r="2237" spans="94:94">
      <c r="CP2237" s="13"/>
    </row>
    <row r="2238" spans="94:94">
      <c r="CP2238" s="13"/>
    </row>
    <row r="2239" spans="94:94">
      <c r="CP2239" s="13"/>
    </row>
    <row r="2240" spans="94:94">
      <c r="CP2240" s="13"/>
    </row>
    <row r="2241" spans="94:94">
      <c r="CP2241" s="13"/>
    </row>
    <row r="2242" spans="94:94">
      <c r="CP2242" s="13"/>
    </row>
    <row r="2243" spans="94:94">
      <c r="CP2243" s="13"/>
    </row>
    <row r="2244" spans="94:94">
      <c r="CP2244" s="13"/>
    </row>
    <row r="2245" spans="94:94">
      <c r="CP2245" s="13"/>
    </row>
    <row r="2246" spans="94:94">
      <c r="CP2246" s="13"/>
    </row>
    <row r="2247" spans="94:94">
      <c r="CP2247" s="13"/>
    </row>
    <row r="2248" spans="94:94">
      <c r="CP2248" s="13"/>
    </row>
    <row r="2249" spans="94:94">
      <c r="CP2249" s="13"/>
    </row>
    <row r="2250" spans="94:94">
      <c r="CP2250" s="13"/>
    </row>
    <row r="2251" spans="94:94">
      <c r="CP2251" s="13"/>
    </row>
    <row r="2252" spans="94:94">
      <c r="CP2252" s="13"/>
    </row>
    <row r="2253" spans="94:94">
      <c r="CP2253" s="13"/>
    </row>
    <row r="2254" spans="94:94">
      <c r="CP2254" s="13"/>
    </row>
    <row r="2255" spans="94:94">
      <c r="CP2255" s="13"/>
    </row>
    <row r="2256" spans="94:94">
      <c r="CP2256" s="13"/>
    </row>
    <row r="2257" spans="94:94">
      <c r="CP2257" s="13"/>
    </row>
    <row r="2258" spans="94:94">
      <c r="CP2258" s="13"/>
    </row>
    <row r="2259" spans="94:94">
      <c r="CP2259" s="13"/>
    </row>
    <row r="2260" spans="94:94">
      <c r="CP2260" s="13"/>
    </row>
    <row r="2261" spans="94:94">
      <c r="CP2261" s="13"/>
    </row>
    <row r="2262" spans="94:94">
      <c r="CP2262" s="13"/>
    </row>
    <row r="2263" spans="94:94">
      <c r="CP2263" s="13"/>
    </row>
    <row r="2264" spans="94:94">
      <c r="CP2264" s="13"/>
    </row>
    <row r="2265" spans="94:94">
      <c r="CP2265" s="13"/>
    </row>
    <row r="2266" spans="94:94">
      <c r="CP2266" s="13"/>
    </row>
    <row r="2267" spans="94:94">
      <c r="CP2267" s="13"/>
    </row>
    <row r="2268" spans="94:94">
      <c r="CP2268" s="13"/>
    </row>
    <row r="2269" spans="94:94">
      <c r="CP2269" s="13"/>
    </row>
    <row r="2270" spans="94:94">
      <c r="CP2270" s="13"/>
    </row>
    <row r="2271" spans="94:94">
      <c r="CP2271" s="13"/>
    </row>
    <row r="2272" spans="94:94">
      <c r="CP2272" s="13"/>
    </row>
    <row r="2273" spans="94:94">
      <c r="CP2273" s="13"/>
    </row>
    <row r="2274" spans="94:94">
      <c r="CP2274" s="13"/>
    </row>
    <row r="2275" spans="94:94">
      <c r="CP2275" s="13"/>
    </row>
    <row r="2276" spans="94:94">
      <c r="CP2276" s="13"/>
    </row>
    <row r="2277" spans="94:94">
      <c r="CP2277" s="13"/>
    </row>
    <row r="2278" spans="94:94">
      <c r="CP2278" s="13"/>
    </row>
    <row r="2279" spans="94:94">
      <c r="CP2279" s="13"/>
    </row>
    <row r="2280" spans="94:94">
      <c r="CP2280" s="13"/>
    </row>
    <row r="2281" spans="94:94">
      <c r="CP2281" s="13"/>
    </row>
    <row r="2282" spans="94:94">
      <c r="CP2282" s="13"/>
    </row>
    <row r="2283" spans="94:94">
      <c r="CP2283" s="13"/>
    </row>
    <row r="2284" spans="94:94">
      <c r="CP2284" s="13"/>
    </row>
    <row r="2285" spans="94:94">
      <c r="CP2285" s="13"/>
    </row>
    <row r="2286" spans="94:94">
      <c r="CP2286" s="13"/>
    </row>
    <row r="2287" spans="94:94">
      <c r="CP2287" s="13"/>
    </row>
    <row r="2288" spans="94:94">
      <c r="CP2288" s="13"/>
    </row>
    <row r="2289" spans="94:94">
      <c r="CP2289" s="13"/>
    </row>
    <row r="2290" spans="94:94">
      <c r="CP2290" s="13"/>
    </row>
    <row r="2291" spans="94:94">
      <c r="CP2291" s="13"/>
    </row>
    <row r="2292" spans="94:94">
      <c r="CP2292" s="13"/>
    </row>
    <row r="2293" spans="94:94">
      <c r="CP2293" s="13"/>
    </row>
    <row r="2294" spans="94:94">
      <c r="CP2294" s="13"/>
    </row>
    <row r="2295" spans="94:94">
      <c r="CP2295" s="13"/>
    </row>
    <row r="2296" spans="94:94">
      <c r="CP2296" s="13"/>
    </row>
    <row r="2297" spans="94:94">
      <c r="CP2297" s="13"/>
    </row>
    <row r="2298" spans="94:94">
      <c r="CP2298" s="13"/>
    </row>
    <row r="2299" spans="94:94">
      <c r="CP2299" s="13"/>
    </row>
    <row r="2300" spans="94:94">
      <c r="CP2300" s="13"/>
    </row>
    <row r="2301" spans="94:94">
      <c r="CP2301" s="13"/>
    </row>
    <row r="2302" spans="94:94">
      <c r="CP2302" s="13"/>
    </row>
    <row r="2303" spans="94:94">
      <c r="CP2303" s="13"/>
    </row>
    <row r="2304" spans="94:94">
      <c r="CP2304" s="13"/>
    </row>
    <row r="2305" spans="94:94">
      <c r="CP2305" s="13"/>
    </row>
    <row r="2306" spans="94:94">
      <c r="CP2306" s="13"/>
    </row>
    <row r="2307" spans="94:94">
      <c r="CP2307" s="13"/>
    </row>
    <row r="2308" spans="94:94">
      <c r="CP2308" s="13"/>
    </row>
    <row r="2309" spans="94:94">
      <c r="CP2309" s="13"/>
    </row>
    <row r="2310" spans="94:94">
      <c r="CP2310" s="13"/>
    </row>
    <row r="2311" spans="94:94">
      <c r="CP2311" s="13"/>
    </row>
    <row r="2312" spans="94:94">
      <c r="CP2312" s="13"/>
    </row>
    <row r="2313" spans="94:94">
      <c r="CP2313" s="13"/>
    </row>
    <row r="2314" spans="94:94">
      <c r="CP2314" s="13"/>
    </row>
    <row r="2315" spans="94:94">
      <c r="CP2315" s="13"/>
    </row>
    <row r="2316" spans="94:94">
      <c r="CP2316" s="13"/>
    </row>
    <row r="2317" spans="94:94">
      <c r="CP2317" s="13"/>
    </row>
    <row r="2318" spans="94:94">
      <c r="CP2318" s="13"/>
    </row>
    <row r="2319" spans="94:94">
      <c r="CP2319" s="13"/>
    </row>
    <row r="2320" spans="94:94">
      <c r="CP2320" s="13"/>
    </row>
    <row r="2321" spans="94:94">
      <c r="CP2321" s="13"/>
    </row>
    <row r="2322" spans="94:94">
      <c r="CP2322" s="13"/>
    </row>
    <row r="2323" spans="94:94">
      <c r="CP2323" s="13"/>
    </row>
    <row r="2324" spans="94:94">
      <c r="CP2324" s="13"/>
    </row>
    <row r="2325" spans="94:94">
      <c r="CP2325" s="13"/>
    </row>
    <row r="2326" spans="94:94">
      <c r="CP2326" s="13"/>
    </row>
    <row r="2327" spans="94:94">
      <c r="CP2327" s="13"/>
    </row>
    <row r="2328" spans="94:94">
      <c r="CP2328" s="13"/>
    </row>
    <row r="2329" spans="94:94">
      <c r="CP2329" s="13"/>
    </row>
    <row r="2330" spans="94:94">
      <c r="CP2330" s="13"/>
    </row>
    <row r="2331" spans="94:94">
      <c r="CP2331" s="13"/>
    </row>
    <row r="2332" spans="94:94">
      <c r="CP2332" s="13"/>
    </row>
    <row r="2333" spans="94:94">
      <c r="CP2333" s="13"/>
    </row>
    <row r="2334" spans="94:94">
      <c r="CP2334" s="13"/>
    </row>
    <row r="2335" spans="94:94">
      <c r="CP2335" s="13"/>
    </row>
    <row r="2336" spans="94:94">
      <c r="CP2336" s="13"/>
    </row>
    <row r="2337" spans="94:94">
      <c r="CP2337" s="13"/>
    </row>
    <row r="2338" spans="94:94">
      <c r="CP2338" s="13"/>
    </row>
    <row r="2339" spans="94:94">
      <c r="CP2339" s="13"/>
    </row>
    <row r="2340" spans="94:94">
      <c r="CP2340" s="13"/>
    </row>
    <row r="2341" spans="94:94">
      <c r="CP2341" s="13"/>
    </row>
    <row r="2342" spans="94:94">
      <c r="CP2342" s="13"/>
    </row>
    <row r="2343" spans="94:94">
      <c r="CP2343" s="13"/>
    </row>
    <row r="2344" spans="94:94">
      <c r="CP2344" s="13"/>
    </row>
    <row r="2345" spans="94:94">
      <c r="CP2345" s="13"/>
    </row>
    <row r="2346" spans="94:94">
      <c r="CP2346" s="13"/>
    </row>
    <row r="2347" spans="94:94">
      <c r="CP2347" s="13"/>
    </row>
    <row r="2348" spans="94:94">
      <c r="CP2348" s="13"/>
    </row>
    <row r="2349" spans="94:94">
      <c r="CP2349" s="13"/>
    </row>
    <row r="2350" spans="94:94">
      <c r="CP2350" s="13"/>
    </row>
    <row r="2351" spans="94:94">
      <c r="CP2351" s="13"/>
    </row>
    <row r="2352" spans="94:94">
      <c r="CP2352" s="13"/>
    </row>
    <row r="2353" spans="94:94">
      <c r="CP2353" s="13"/>
    </row>
    <row r="2354" spans="94:94">
      <c r="CP2354" s="13"/>
    </row>
    <row r="2355" spans="94:94">
      <c r="CP2355" s="13"/>
    </row>
    <row r="2356" spans="94:94">
      <c r="CP2356" s="13"/>
    </row>
    <row r="2357" spans="94:94">
      <c r="CP2357" s="13"/>
    </row>
    <row r="2358" spans="94:94">
      <c r="CP2358" s="13"/>
    </row>
    <row r="2359" spans="94:94">
      <c r="CP2359" s="13"/>
    </row>
    <row r="2360" spans="94:94">
      <c r="CP2360" s="13"/>
    </row>
    <row r="2361" spans="94:94">
      <c r="CP2361" s="13"/>
    </row>
    <row r="2362" spans="94:94">
      <c r="CP2362" s="13"/>
    </row>
    <row r="2363" spans="94:94">
      <c r="CP2363" s="13"/>
    </row>
    <row r="2364" spans="94:94">
      <c r="CP2364" s="13"/>
    </row>
    <row r="2365" spans="94:94">
      <c r="CP2365" s="13"/>
    </row>
    <row r="2366" spans="94:94">
      <c r="CP2366" s="13"/>
    </row>
    <row r="2367" spans="94:94">
      <c r="CP2367" s="13"/>
    </row>
    <row r="2368" spans="94:94">
      <c r="CP2368" s="13"/>
    </row>
    <row r="2369" spans="94:94">
      <c r="CP2369" s="13"/>
    </row>
    <row r="2370" spans="94:94">
      <c r="CP2370" s="13"/>
    </row>
    <row r="2371" spans="94:94">
      <c r="CP2371" s="13"/>
    </row>
    <row r="2372" spans="94:94">
      <c r="CP2372" s="13"/>
    </row>
    <row r="2373" spans="94:94">
      <c r="CP2373" s="13"/>
    </row>
    <row r="2374" spans="94:94">
      <c r="CP2374" s="13"/>
    </row>
    <row r="2375" spans="94:94">
      <c r="CP2375" s="13"/>
    </row>
    <row r="2376" spans="94:94">
      <c r="CP2376" s="13"/>
    </row>
    <row r="2377" spans="94:94">
      <c r="CP2377" s="13"/>
    </row>
    <row r="2378" spans="94:94">
      <c r="CP2378" s="13"/>
    </row>
    <row r="2379" spans="94:94">
      <c r="CP2379" s="13"/>
    </row>
    <row r="2380" spans="94:94">
      <c r="CP2380" s="13"/>
    </row>
    <row r="2381" spans="94:94">
      <c r="CP2381" s="13"/>
    </row>
    <row r="2382" spans="94:94">
      <c r="CP2382" s="13"/>
    </row>
    <row r="2383" spans="94:94">
      <c r="CP2383" s="13"/>
    </row>
    <row r="2384" spans="94:94">
      <c r="CP2384" s="13"/>
    </row>
    <row r="2385" spans="94:94">
      <c r="CP2385" s="13"/>
    </row>
    <row r="2386" spans="94:94">
      <c r="CP2386" s="13"/>
    </row>
    <row r="2387" spans="94:94">
      <c r="CP2387" s="13"/>
    </row>
    <row r="2388" spans="94:94">
      <c r="CP2388" s="13"/>
    </row>
    <row r="2389" spans="94:94">
      <c r="CP2389" s="13"/>
    </row>
    <row r="2390" spans="94:94">
      <c r="CP2390" s="13"/>
    </row>
    <row r="2391" spans="94:94">
      <c r="CP2391" s="13"/>
    </row>
    <row r="2392" spans="94:94">
      <c r="CP2392" s="13"/>
    </row>
    <row r="2393" spans="94:94">
      <c r="CP2393" s="13"/>
    </row>
    <row r="2394" spans="94:94">
      <c r="CP2394" s="13"/>
    </row>
    <row r="2395" spans="94:94">
      <c r="CP2395" s="13"/>
    </row>
    <row r="2396" spans="94:94">
      <c r="CP2396" s="13"/>
    </row>
    <row r="2397" spans="94:94">
      <c r="CP2397" s="13"/>
    </row>
    <row r="2398" spans="94:94">
      <c r="CP2398" s="13"/>
    </row>
    <row r="2399" spans="94:94">
      <c r="CP2399" s="13"/>
    </row>
    <row r="2400" spans="94:94">
      <c r="CP2400" s="13"/>
    </row>
    <row r="2401" spans="94:94">
      <c r="CP2401" s="13"/>
    </row>
    <row r="2402" spans="94:94">
      <c r="CP2402" s="13"/>
    </row>
    <row r="2403" spans="94:94">
      <c r="CP2403" s="13"/>
    </row>
    <row r="2404" spans="94:94">
      <c r="CP2404" s="13"/>
    </row>
    <row r="2405" spans="94:94">
      <c r="CP2405" s="13"/>
    </row>
    <row r="2406" spans="94:94">
      <c r="CP2406" s="13"/>
    </row>
    <row r="2407" spans="94:94">
      <c r="CP2407" s="13"/>
    </row>
    <row r="2408" spans="94:94">
      <c r="CP2408" s="13"/>
    </row>
    <row r="2409" spans="94:94">
      <c r="CP2409" s="13"/>
    </row>
    <row r="2410" spans="94:94">
      <c r="CP2410" s="13"/>
    </row>
    <row r="2411" spans="94:94">
      <c r="CP2411" s="13"/>
    </row>
    <row r="2412" spans="94:94">
      <c r="CP2412" s="13"/>
    </row>
    <row r="2413" spans="94:94">
      <c r="CP2413" s="13"/>
    </row>
    <row r="2414" spans="94:94">
      <c r="CP2414" s="13"/>
    </row>
    <row r="2415" spans="94:94">
      <c r="CP2415" s="13"/>
    </row>
    <row r="2416" spans="94:94">
      <c r="CP2416" s="13"/>
    </row>
    <row r="2417" spans="94:94">
      <c r="CP2417" s="13"/>
    </row>
    <row r="2418" spans="94:94">
      <c r="CP2418" s="13"/>
    </row>
    <row r="2419" spans="94:94">
      <c r="CP2419" s="13"/>
    </row>
    <row r="2420" spans="94:94">
      <c r="CP2420" s="13"/>
    </row>
    <row r="2421" spans="94:94">
      <c r="CP2421" s="13"/>
    </row>
    <row r="2422" spans="94:94">
      <c r="CP2422" s="13"/>
    </row>
    <row r="2423" spans="94:94">
      <c r="CP2423" s="13"/>
    </row>
    <row r="2424" spans="94:94">
      <c r="CP2424" s="13"/>
    </row>
    <row r="2425" spans="94:94">
      <c r="CP2425" s="13"/>
    </row>
    <row r="2426" spans="94:94">
      <c r="CP2426" s="13"/>
    </row>
    <row r="2427" spans="94:94">
      <c r="CP2427" s="13"/>
    </row>
    <row r="2428" spans="94:94">
      <c r="CP2428" s="13"/>
    </row>
    <row r="2429" spans="94:94">
      <c r="CP2429" s="13"/>
    </row>
    <row r="2430" spans="94:94">
      <c r="CP2430" s="13"/>
    </row>
    <row r="2431" spans="94:94">
      <c r="CP2431" s="13"/>
    </row>
    <row r="2432" spans="94:94">
      <c r="CP2432" s="13"/>
    </row>
    <row r="2433" spans="94:94">
      <c r="CP2433" s="13"/>
    </row>
    <row r="2434" spans="94:94">
      <c r="CP2434" s="13"/>
    </row>
    <row r="2435" spans="94:94">
      <c r="CP2435" s="13"/>
    </row>
    <row r="2436" spans="94:94">
      <c r="CP2436" s="13"/>
    </row>
    <row r="2437" spans="94:94">
      <c r="CP2437" s="13"/>
    </row>
    <row r="2438" spans="94:94">
      <c r="CP2438" s="13"/>
    </row>
    <row r="2439" spans="94:94">
      <c r="CP2439" s="13"/>
    </row>
    <row r="2440" spans="94:94">
      <c r="CP2440" s="13"/>
    </row>
    <row r="2441" spans="94:94">
      <c r="CP2441" s="13"/>
    </row>
    <row r="2442" spans="94:94">
      <c r="CP2442" s="13"/>
    </row>
    <row r="2443" spans="94:94">
      <c r="CP2443" s="13"/>
    </row>
    <row r="2444" spans="94:94">
      <c r="CP2444" s="13"/>
    </row>
    <row r="2445" spans="94:94">
      <c r="CP2445" s="13"/>
    </row>
    <row r="2446" spans="94:94">
      <c r="CP2446" s="13"/>
    </row>
    <row r="2447" spans="94:94">
      <c r="CP2447" s="13"/>
    </row>
    <row r="2448" spans="94:94">
      <c r="CP2448" s="13"/>
    </row>
    <row r="2449" spans="94:94">
      <c r="CP2449" s="13"/>
    </row>
    <row r="2450" spans="94:94">
      <c r="CP2450" s="13"/>
    </row>
    <row r="2451" spans="94:94">
      <c r="CP2451" s="13"/>
    </row>
    <row r="2452" spans="94:94">
      <c r="CP2452" s="13"/>
    </row>
    <row r="2453" spans="94:94">
      <c r="CP2453" s="13"/>
    </row>
    <row r="2454" spans="94:94">
      <c r="CP2454" s="13"/>
    </row>
    <row r="2455" spans="94:94">
      <c r="CP2455" s="13"/>
    </row>
    <row r="2456" spans="94:94">
      <c r="CP2456" s="13"/>
    </row>
    <row r="2457" spans="94:94">
      <c r="CP2457" s="13"/>
    </row>
    <row r="2458" spans="94:94">
      <c r="CP2458" s="13"/>
    </row>
    <row r="2459" spans="94:94">
      <c r="CP2459" s="13"/>
    </row>
    <row r="2460" spans="94:94">
      <c r="CP2460" s="13"/>
    </row>
    <row r="2461" spans="94:94">
      <c r="CP2461" s="13"/>
    </row>
    <row r="2462" spans="94:94">
      <c r="CP2462" s="13"/>
    </row>
    <row r="2463" spans="94:94">
      <c r="CP2463" s="13"/>
    </row>
    <row r="2464" spans="94:94">
      <c r="CP2464" s="13"/>
    </row>
    <row r="2465" spans="94:94">
      <c r="CP2465" s="13"/>
    </row>
    <row r="2466" spans="94:94">
      <c r="CP2466" s="13"/>
    </row>
    <row r="2467" spans="94:94">
      <c r="CP2467" s="13"/>
    </row>
    <row r="2468" spans="94:94">
      <c r="CP2468" s="13"/>
    </row>
    <row r="2469" spans="94:94">
      <c r="CP2469" s="13"/>
    </row>
    <row r="2470" spans="94:94">
      <c r="CP2470" s="13"/>
    </row>
    <row r="2471" spans="94:94">
      <c r="CP2471" s="13"/>
    </row>
    <row r="2472" spans="94:94">
      <c r="CP2472" s="13"/>
    </row>
    <row r="2473" spans="94:94">
      <c r="CP2473" s="13"/>
    </row>
    <row r="2474" spans="94:94">
      <c r="CP2474" s="13"/>
    </row>
    <row r="2475" spans="94:94">
      <c r="CP2475" s="13"/>
    </row>
    <row r="2476" spans="94:94">
      <c r="CP2476" s="13"/>
    </row>
    <row r="2477" spans="94:94">
      <c r="CP2477" s="13"/>
    </row>
    <row r="2478" spans="94:94">
      <c r="CP2478" s="13"/>
    </row>
    <row r="2479" spans="94:94">
      <c r="CP2479" s="13"/>
    </row>
    <row r="2480" spans="94:94">
      <c r="CP2480" s="13"/>
    </row>
    <row r="2481" spans="94:94">
      <c r="CP2481" s="13"/>
    </row>
    <row r="2482" spans="94:94">
      <c r="CP2482" s="13"/>
    </row>
    <row r="2483" spans="94:94">
      <c r="CP2483" s="13"/>
    </row>
    <row r="2484" spans="94:94">
      <c r="CP2484" s="13"/>
    </row>
    <row r="2485" spans="94:94">
      <c r="CP2485" s="13"/>
    </row>
    <row r="2486" spans="94:94">
      <c r="CP2486" s="13"/>
    </row>
    <row r="2487" spans="94:94">
      <c r="CP2487" s="13"/>
    </row>
    <row r="2488" spans="94:94">
      <c r="CP2488" s="13"/>
    </row>
    <row r="2489" spans="94:94">
      <c r="CP2489" s="13"/>
    </row>
    <row r="2490" spans="94:94">
      <c r="CP2490" s="13"/>
    </row>
    <row r="2491" spans="94:94">
      <c r="CP2491" s="13"/>
    </row>
    <row r="2492" spans="94:94">
      <c r="CP2492" s="13"/>
    </row>
    <row r="2493" spans="94:94">
      <c r="CP2493" s="13"/>
    </row>
    <row r="2494" spans="94:94">
      <c r="CP2494" s="13"/>
    </row>
    <row r="2495" spans="94:94">
      <c r="CP2495" s="13"/>
    </row>
    <row r="2496" spans="94:94">
      <c r="CP2496" s="13"/>
    </row>
    <row r="2497" spans="94:94">
      <c r="CP2497" s="13"/>
    </row>
    <row r="2498" spans="94:94">
      <c r="CP2498" s="13"/>
    </row>
    <row r="2499" spans="94:94">
      <c r="CP2499" s="13"/>
    </row>
    <row r="2500" spans="94:94">
      <c r="CP2500" s="13"/>
    </row>
    <row r="2501" spans="94:94">
      <c r="CP2501" s="13"/>
    </row>
    <row r="2502" spans="94:94">
      <c r="CP2502" s="13"/>
    </row>
    <row r="2503" spans="94:94">
      <c r="CP2503" s="13"/>
    </row>
    <row r="2504" spans="94:94">
      <c r="CP2504" s="13"/>
    </row>
    <row r="2505" spans="94:94">
      <c r="CP2505" s="13"/>
    </row>
    <row r="2506" spans="94:94">
      <c r="CP2506" s="13"/>
    </row>
    <row r="2507" spans="94:94">
      <c r="CP2507" s="13"/>
    </row>
    <row r="2508" spans="94:94">
      <c r="CP2508" s="13"/>
    </row>
    <row r="2509" spans="94:94">
      <c r="CP2509" s="13"/>
    </row>
    <row r="2510" spans="94:94">
      <c r="CP2510" s="13"/>
    </row>
    <row r="2511" spans="94:94">
      <c r="CP2511" s="13"/>
    </row>
    <row r="2512" spans="94:94">
      <c r="CP2512" s="13"/>
    </row>
    <row r="2513" spans="94:94">
      <c r="CP2513" s="13"/>
    </row>
    <row r="2514" spans="94:94">
      <c r="CP2514" s="13"/>
    </row>
    <row r="2515" spans="94:94">
      <c r="CP2515" s="13"/>
    </row>
    <row r="2516" spans="94:94">
      <c r="CP2516" s="13"/>
    </row>
    <row r="2517" spans="94:94">
      <c r="CP2517" s="13"/>
    </row>
    <row r="2518" spans="94:94">
      <c r="CP2518" s="13"/>
    </row>
    <row r="2519" spans="94:94">
      <c r="CP2519" s="13"/>
    </row>
    <row r="2520" spans="94:94">
      <c r="CP2520" s="13"/>
    </row>
    <row r="2521" spans="94:94">
      <c r="CP2521" s="13"/>
    </row>
    <row r="2522" spans="94:94">
      <c r="CP2522" s="13"/>
    </row>
    <row r="2523" spans="94:94">
      <c r="CP2523" s="13"/>
    </row>
    <row r="2524" spans="94:94">
      <c r="CP2524" s="13"/>
    </row>
    <row r="2525" spans="94:94">
      <c r="CP2525" s="13"/>
    </row>
    <row r="2526" spans="94:94">
      <c r="CP2526" s="13"/>
    </row>
    <row r="2527" spans="94:94">
      <c r="CP2527" s="13"/>
    </row>
    <row r="2528" spans="94:94">
      <c r="CP2528" s="13"/>
    </row>
    <row r="2529" spans="94:94">
      <c r="CP2529" s="13"/>
    </row>
    <row r="2530" spans="94:94">
      <c r="CP2530" s="13"/>
    </row>
    <row r="2531" spans="94:94">
      <c r="CP2531" s="13"/>
    </row>
    <row r="2532" spans="94:94">
      <c r="CP2532" s="13"/>
    </row>
    <row r="2533" spans="94:94">
      <c r="CP2533" s="13"/>
    </row>
    <row r="2534" spans="94:94">
      <c r="CP2534" s="13"/>
    </row>
    <row r="2535" spans="94:94">
      <c r="CP2535" s="13"/>
    </row>
    <row r="2536" spans="94:94">
      <c r="CP2536" s="13"/>
    </row>
    <row r="2537" spans="94:94">
      <c r="CP2537" s="13"/>
    </row>
    <row r="2538" spans="94:94">
      <c r="CP2538" s="13"/>
    </row>
    <row r="2539" spans="94:94">
      <c r="CP2539" s="13"/>
    </row>
    <row r="2540" spans="94:94">
      <c r="CP2540" s="13"/>
    </row>
    <row r="2541" spans="94:94">
      <c r="CP2541" s="13"/>
    </row>
    <row r="2542" spans="94:94">
      <c r="CP2542" s="13"/>
    </row>
    <row r="2543" spans="94:94">
      <c r="CP2543" s="13"/>
    </row>
    <row r="2544" spans="94:94">
      <c r="CP2544" s="13"/>
    </row>
    <row r="2545" spans="94:94">
      <c r="CP2545" s="13"/>
    </row>
    <row r="2546" spans="94:94">
      <c r="CP2546" s="13"/>
    </row>
    <row r="2547" spans="94:94">
      <c r="CP2547" s="13"/>
    </row>
    <row r="2548" spans="94:94">
      <c r="CP2548" s="13"/>
    </row>
    <row r="2549" spans="94:94">
      <c r="CP2549" s="13"/>
    </row>
    <row r="2550" spans="94:94">
      <c r="CP2550" s="13"/>
    </row>
    <row r="2551" spans="94:94">
      <c r="CP2551" s="13"/>
    </row>
    <row r="2552" spans="94:94">
      <c r="CP2552" s="13"/>
    </row>
    <row r="2553" spans="94:94">
      <c r="CP2553" s="13"/>
    </row>
    <row r="2554" spans="94:94">
      <c r="CP2554" s="13"/>
    </row>
    <row r="2555" spans="94:94">
      <c r="CP2555" s="13"/>
    </row>
    <row r="2556" spans="94:94">
      <c r="CP2556" s="13"/>
    </row>
    <row r="2557" spans="94:94">
      <c r="CP2557" s="13"/>
    </row>
    <row r="2558" spans="94:94">
      <c r="CP2558" s="13"/>
    </row>
    <row r="2559" spans="94:94">
      <c r="CP2559" s="13"/>
    </row>
    <row r="2560" spans="94:94">
      <c r="CP2560" s="13"/>
    </row>
    <row r="2561" spans="94:94">
      <c r="CP2561" s="13"/>
    </row>
    <row r="2562" spans="94:94">
      <c r="CP2562" s="13"/>
    </row>
    <row r="2563" spans="94:94">
      <c r="CP2563" s="13"/>
    </row>
    <row r="2564" spans="94:94">
      <c r="CP2564" s="13"/>
    </row>
    <row r="2565" spans="94:94">
      <c r="CP2565" s="13"/>
    </row>
    <row r="2566" spans="94:94">
      <c r="CP2566" s="13"/>
    </row>
    <row r="2567" spans="94:94">
      <c r="CP2567" s="13"/>
    </row>
    <row r="2568" spans="94:94">
      <c r="CP2568" s="13"/>
    </row>
    <row r="2569" spans="94:94">
      <c r="CP2569" s="13"/>
    </row>
    <row r="2570" spans="94:94">
      <c r="CP2570" s="13"/>
    </row>
    <row r="2571" spans="94:94">
      <c r="CP2571" s="13"/>
    </row>
    <row r="2572" spans="94:94">
      <c r="CP2572" s="13"/>
    </row>
    <row r="2573" spans="94:94">
      <c r="CP2573" s="13"/>
    </row>
    <row r="2574" spans="94:94">
      <c r="CP2574" s="13"/>
    </row>
    <row r="2575" spans="94:94">
      <c r="CP2575" s="13"/>
    </row>
    <row r="2576" spans="94:94">
      <c r="CP2576" s="13"/>
    </row>
    <row r="2577" spans="94:94">
      <c r="CP2577" s="13"/>
    </row>
    <row r="2578" spans="94:94">
      <c r="CP2578" s="13"/>
    </row>
    <row r="2579" spans="94:94">
      <c r="CP2579" s="13"/>
    </row>
    <row r="2580" spans="94:94">
      <c r="CP2580" s="13"/>
    </row>
    <row r="2581" spans="94:94">
      <c r="CP2581" s="13"/>
    </row>
    <row r="2582" spans="94:94">
      <c r="CP2582" s="13"/>
    </row>
    <row r="2583" spans="94:94">
      <c r="CP2583" s="13"/>
    </row>
    <row r="2584" spans="94:94">
      <c r="CP2584" s="13"/>
    </row>
    <row r="2585" spans="94:94">
      <c r="CP2585" s="13"/>
    </row>
    <row r="2586" spans="94:94">
      <c r="CP2586" s="13"/>
    </row>
    <row r="2587" spans="94:94">
      <c r="CP2587" s="13"/>
    </row>
    <row r="2588" spans="94:94">
      <c r="CP2588" s="13"/>
    </row>
    <row r="2589" spans="94:94">
      <c r="CP2589" s="13"/>
    </row>
    <row r="2590" spans="94:94">
      <c r="CP2590" s="13"/>
    </row>
    <row r="2591" spans="94:94">
      <c r="CP2591" s="13"/>
    </row>
    <row r="2592" spans="94:94">
      <c r="CP2592" s="13"/>
    </row>
    <row r="2593" spans="94:94">
      <c r="CP2593" s="13"/>
    </row>
    <row r="2594" spans="94:94">
      <c r="CP2594" s="13"/>
    </row>
    <row r="2595" spans="94:94">
      <c r="CP2595" s="13"/>
    </row>
    <row r="2596" spans="94:94">
      <c r="CP2596" s="13"/>
    </row>
    <row r="2597" spans="94:94">
      <c r="CP2597" s="13"/>
    </row>
    <row r="2598" spans="94:94">
      <c r="CP2598" s="13"/>
    </row>
    <row r="2599" spans="94:94">
      <c r="CP2599" s="13"/>
    </row>
    <row r="2600" spans="94:94">
      <c r="CP2600" s="13"/>
    </row>
    <row r="2601" spans="94:94">
      <c r="CP2601" s="13"/>
    </row>
    <row r="2602" spans="94:94">
      <c r="CP2602" s="13"/>
    </row>
    <row r="2603" spans="94:94">
      <c r="CP2603" s="13"/>
    </row>
    <row r="2604" spans="94:94">
      <c r="CP2604" s="13"/>
    </row>
    <row r="2605" spans="94:94">
      <c r="CP2605" s="13"/>
    </row>
    <row r="2606" spans="94:94">
      <c r="CP2606" s="13"/>
    </row>
    <row r="2607" spans="94:94">
      <c r="CP2607" s="13"/>
    </row>
    <row r="2608" spans="94:94">
      <c r="CP2608" s="13"/>
    </row>
    <row r="2609" spans="94:94">
      <c r="CP2609" s="13"/>
    </row>
    <row r="2610" spans="94:94">
      <c r="CP2610" s="13"/>
    </row>
    <row r="2611" spans="94:94">
      <c r="CP2611" s="13"/>
    </row>
    <row r="2612" spans="94:94">
      <c r="CP2612" s="13"/>
    </row>
    <row r="2613" spans="94:94">
      <c r="CP2613" s="13"/>
    </row>
    <row r="2614" spans="94:94">
      <c r="CP2614" s="13"/>
    </row>
    <row r="2615" spans="94:94">
      <c r="CP2615" s="13"/>
    </row>
    <row r="2616" spans="94:94">
      <c r="CP2616" s="13"/>
    </row>
    <row r="2617" spans="94:94">
      <c r="CP2617" s="13"/>
    </row>
    <row r="2618" spans="94:94">
      <c r="CP2618" s="13"/>
    </row>
    <row r="2619" spans="94:94">
      <c r="CP2619" s="13"/>
    </row>
    <row r="2620" spans="94:94">
      <c r="CP2620" s="13"/>
    </row>
    <row r="2621" spans="94:94">
      <c r="CP2621" s="13"/>
    </row>
    <row r="2622" spans="94:94">
      <c r="CP2622" s="13"/>
    </row>
    <row r="2623" spans="94:94">
      <c r="CP2623" s="13"/>
    </row>
    <row r="2624" spans="94:94">
      <c r="CP2624" s="13"/>
    </row>
    <row r="2625" spans="94:94">
      <c r="CP2625" s="13"/>
    </row>
    <row r="2626" spans="94:94">
      <c r="CP2626" s="13"/>
    </row>
    <row r="2627" spans="94:94">
      <c r="CP2627" s="13"/>
    </row>
    <row r="2628" spans="94:94">
      <c r="CP2628" s="13"/>
    </row>
    <row r="2629" spans="94:94">
      <c r="CP2629" s="13"/>
    </row>
    <row r="2630" spans="94:94">
      <c r="CP2630" s="13"/>
    </row>
    <row r="2631" spans="94:94">
      <c r="CP2631" s="13"/>
    </row>
    <row r="2632" spans="94:94">
      <c r="CP2632" s="13"/>
    </row>
    <row r="2633" spans="94:94">
      <c r="CP2633" s="13"/>
    </row>
    <row r="2634" spans="94:94">
      <c r="CP2634" s="13"/>
    </row>
    <row r="2635" spans="94:94">
      <c r="CP2635" s="13"/>
    </row>
    <row r="2636" spans="94:94">
      <c r="CP2636" s="13"/>
    </row>
    <row r="2637" spans="94:94">
      <c r="CP2637" s="13"/>
    </row>
    <row r="2638" spans="94:94">
      <c r="CP2638" s="13"/>
    </row>
    <row r="2639" spans="94:94">
      <c r="CP2639" s="13"/>
    </row>
    <row r="2640" spans="94:94">
      <c r="CP2640" s="13"/>
    </row>
    <row r="2641" spans="94:94">
      <c r="CP2641" s="13"/>
    </row>
    <row r="2642" spans="94:94">
      <c r="CP2642" s="13"/>
    </row>
    <row r="2643" spans="94:94">
      <c r="CP2643" s="13"/>
    </row>
    <row r="2644" spans="94:94">
      <c r="CP2644" s="13"/>
    </row>
    <row r="2645" spans="94:94">
      <c r="CP2645" s="13"/>
    </row>
    <row r="2646" spans="94:94">
      <c r="CP2646" s="13"/>
    </row>
    <row r="2647" spans="94:94">
      <c r="CP2647" s="13"/>
    </row>
    <row r="2648" spans="94:94">
      <c r="CP2648" s="13"/>
    </row>
    <row r="2649" spans="94:94">
      <c r="CP2649" s="13"/>
    </row>
    <row r="2650" spans="94:94">
      <c r="CP2650" s="13"/>
    </row>
    <row r="2651" spans="94:94">
      <c r="CP2651" s="13"/>
    </row>
    <row r="2652" spans="94:94">
      <c r="CP2652" s="13"/>
    </row>
    <row r="2653" spans="94:94">
      <c r="CP2653" s="13"/>
    </row>
    <row r="2654" spans="94:94">
      <c r="CP2654" s="13"/>
    </row>
    <row r="2655" spans="94:94">
      <c r="CP2655" s="13"/>
    </row>
    <row r="2656" spans="94:94">
      <c r="CP2656" s="13"/>
    </row>
    <row r="2657" spans="94:94">
      <c r="CP2657" s="13"/>
    </row>
    <row r="2658" spans="94:94">
      <c r="CP2658" s="13"/>
    </row>
    <row r="2659" spans="94:94">
      <c r="CP2659" s="13"/>
    </row>
    <row r="2660" spans="94:94">
      <c r="CP2660" s="13"/>
    </row>
    <row r="2661" spans="94:94">
      <c r="CP2661" s="13"/>
    </row>
    <row r="2662" spans="94:94">
      <c r="CP2662" s="13"/>
    </row>
    <row r="2663" spans="94:94">
      <c r="CP2663" s="13"/>
    </row>
    <row r="2664" spans="94:94">
      <c r="CP2664" s="13"/>
    </row>
    <row r="2665" spans="94:94">
      <c r="CP2665" s="13"/>
    </row>
    <row r="2666" spans="94:94">
      <c r="CP2666" s="13"/>
    </row>
    <row r="2667" spans="94:94">
      <c r="CP2667" s="13"/>
    </row>
    <row r="2668" spans="94:94">
      <c r="CP2668" s="13"/>
    </row>
    <row r="2669" spans="94:94">
      <c r="CP2669" s="13"/>
    </row>
    <row r="2670" spans="94:94">
      <c r="CP2670" s="13"/>
    </row>
    <row r="2671" spans="94:94">
      <c r="CP2671" s="13"/>
    </row>
    <row r="2672" spans="94:94">
      <c r="CP2672" s="13"/>
    </row>
    <row r="2673" spans="94:94">
      <c r="CP2673" s="13"/>
    </row>
    <row r="2674" spans="94:94">
      <c r="CP2674" s="13"/>
    </row>
    <row r="2675" spans="94:94">
      <c r="CP2675" s="13"/>
    </row>
    <row r="2676" spans="94:94">
      <c r="CP2676" s="13"/>
    </row>
    <row r="2677" spans="94:94">
      <c r="CP2677" s="13"/>
    </row>
    <row r="2678" spans="94:94">
      <c r="CP2678" s="13"/>
    </row>
    <row r="2679" spans="94:94">
      <c r="CP2679" s="13"/>
    </row>
    <row r="2680" spans="94:94">
      <c r="CP2680" s="13"/>
    </row>
    <row r="2681" spans="94:94">
      <c r="CP2681" s="13"/>
    </row>
    <row r="2682" spans="94:94">
      <c r="CP2682" s="13"/>
    </row>
    <row r="2683" spans="94:94">
      <c r="CP2683" s="13"/>
    </row>
    <row r="2684" spans="94:94">
      <c r="CP2684" s="13"/>
    </row>
    <row r="2685" spans="94:94">
      <c r="CP2685" s="13"/>
    </row>
    <row r="2686" spans="94:94">
      <c r="CP2686" s="13"/>
    </row>
    <row r="2687" spans="94:94">
      <c r="CP2687" s="13"/>
    </row>
    <row r="2688" spans="94:94">
      <c r="CP2688" s="13"/>
    </row>
    <row r="2689" spans="94:94">
      <c r="CP2689" s="13"/>
    </row>
    <row r="2690" spans="94:94">
      <c r="CP2690" s="13"/>
    </row>
    <row r="2691" spans="94:94">
      <c r="CP2691" s="13"/>
    </row>
    <row r="2692" spans="94:94">
      <c r="CP2692" s="13"/>
    </row>
    <row r="2693" spans="94:94">
      <c r="CP2693" s="13"/>
    </row>
    <row r="2694" spans="94:94">
      <c r="CP2694" s="13"/>
    </row>
    <row r="2695" spans="94:94">
      <c r="CP2695" s="13"/>
    </row>
    <row r="2696" spans="94:94">
      <c r="CP2696" s="13"/>
    </row>
    <row r="2697" spans="94:94">
      <c r="CP2697" s="13"/>
    </row>
    <row r="2698" spans="94:94">
      <c r="CP2698" s="13"/>
    </row>
    <row r="2699" spans="94:94">
      <c r="CP2699" s="13"/>
    </row>
    <row r="2700" spans="94:94">
      <c r="CP2700" s="13"/>
    </row>
    <row r="2701" spans="94:94">
      <c r="CP2701" s="13"/>
    </row>
    <row r="2702" spans="94:94">
      <c r="CP2702" s="13"/>
    </row>
    <row r="2703" spans="94:94">
      <c r="CP2703" s="13"/>
    </row>
    <row r="2704" spans="94:94">
      <c r="CP2704" s="13"/>
    </row>
    <row r="2705" spans="94:94">
      <c r="CP2705" s="13"/>
    </row>
    <row r="2706" spans="94:94">
      <c r="CP2706" s="13"/>
    </row>
    <row r="2707" spans="94:94">
      <c r="CP2707" s="13"/>
    </row>
    <row r="2708" spans="94:94">
      <c r="CP2708" s="13"/>
    </row>
    <row r="2709" spans="94:94">
      <c r="CP2709" s="13"/>
    </row>
    <row r="2710" spans="94:94">
      <c r="CP2710" s="13"/>
    </row>
    <row r="2711" spans="94:94">
      <c r="CP2711" s="13"/>
    </row>
    <row r="2712" spans="94:94">
      <c r="CP2712" s="13"/>
    </row>
    <row r="2713" spans="94:94">
      <c r="CP2713" s="13"/>
    </row>
    <row r="2714" spans="94:94">
      <c r="CP2714" s="13"/>
    </row>
    <row r="2715" spans="94:94">
      <c r="CP2715" s="13"/>
    </row>
    <row r="2716" spans="94:94">
      <c r="CP2716" s="13"/>
    </row>
    <row r="2717" spans="94:94">
      <c r="CP2717" s="13"/>
    </row>
    <row r="2718" spans="94:94">
      <c r="CP2718" s="13"/>
    </row>
    <row r="2719" spans="94:94">
      <c r="CP2719" s="13"/>
    </row>
    <row r="2720" spans="94:94">
      <c r="CP2720" s="13"/>
    </row>
    <row r="2721" spans="94:94">
      <c r="CP2721" s="13"/>
    </row>
    <row r="2722" spans="94:94">
      <c r="CP2722" s="13"/>
    </row>
    <row r="2723" spans="94:94">
      <c r="CP2723" s="13"/>
    </row>
    <row r="2724" spans="94:94">
      <c r="CP2724" s="13"/>
    </row>
    <row r="2725" spans="94:94">
      <c r="CP2725" s="13"/>
    </row>
    <row r="2726" spans="94:94">
      <c r="CP2726" s="13"/>
    </row>
    <row r="2727" spans="94:94">
      <c r="CP2727" s="13"/>
    </row>
    <row r="2728" spans="94:94">
      <c r="CP2728" s="13"/>
    </row>
    <row r="2729" spans="94:94">
      <c r="CP2729" s="13"/>
    </row>
    <row r="2730" spans="94:94">
      <c r="CP2730" s="13"/>
    </row>
    <row r="2731" spans="94:94">
      <c r="CP2731" s="13"/>
    </row>
    <row r="2732" spans="94:94">
      <c r="CP2732" s="13"/>
    </row>
    <row r="2733" spans="94:94">
      <c r="CP2733" s="13"/>
    </row>
    <row r="2734" spans="94:94">
      <c r="CP2734" s="13"/>
    </row>
    <row r="2735" spans="94:94">
      <c r="CP2735" s="13"/>
    </row>
    <row r="2736" spans="94:94">
      <c r="CP2736" s="13"/>
    </row>
    <row r="2737" spans="94:94">
      <c r="CP2737" s="13"/>
    </row>
    <row r="2738" spans="94:94">
      <c r="CP2738" s="13"/>
    </row>
    <row r="2739" spans="94:94">
      <c r="CP2739" s="13"/>
    </row>
    <row r="2740" spans="94:94">
      <c r="CP2740" s="13"/>
    </row>
    <row r="2741" spans="94:94">
      <c r="CP2741" s="13"/>
    </row>
    <row r="2742" spans="94:94">
      <c r="CP2742" s="13"/>
    </row>
    <row r="2743" spans="94:94">
      <c r="CP2743" s="13"/>
    </row>
    <row r="2744" spans="94:94">
      <c r="CP2744" s="13"/>
    </row>
    <row r="2745" spans="94:94">
      <c r="CP2745" s="13"/>
    </row>
    <row r="2746" spans="94:94">
      <c r="CP2746" s="13"/>
    </row>
    <row r="2747" spans="94:94">
      <c r="CP2747" s="13"/>
    </row>
    <row r="2748" spans="94:94">
      <c r="CP2748" s="13"/>
    </row>
    <row r="2749" spans="94:94">
      <c r="CP2749" s="13"/>
    </row>
    <row r="2750" spans="94:94">
      <c r="CP2750" s="13"/>
    </row>
    <row r="2751" spans="94:94">
      <c r="CP2751" s="13"/>
    </row>
    <row r="2752" spans="94:94">
      <c r="CP2752" s="13"/>
    </row>
    <row r="2753" spans="94:94">
      <c r="CP2753" s="13"/>
    </row>
    <row r="2754" spans="94:94">
      <c r="CP2754" s="13"/>
    </row>
    <row r="2755" spans="94:94">
      <c r="CP2755" s="13"/>
    </row>
    <row r="2756" spans="94:94">
      <c r="CP2756" s="13"/>
    </row>
    <row r="2757" spans="94:94">
      <c r="CP2757" s="13"/>
    </row>
    <row r="2758" spans="94:94">
      <c r="CP2758" s="13"/>
    </row>
    <row r="2759" spans="94:94">
      <c r="CP2759" s="13"/>
    </row>
    <row r="2760" spans="94:94">
      <c r="CP2760" s="13"/>
    </row>
    <row r="2761" spans="94:94">
      <c r="CP2761" s="13"/>
    </row>
    <row r="2762" spans="94:94">
      <c r="CP2762" s="13"/>
    </row>
    <row r="2763" spans="94:94">
      <c r="CP2763" s="13"/>
    </row>
    <row r="2764" spans="94:94">
      <c r="CP2764" s="13"/>
    </row>
    <row r="2765" spans="94:94">
      <c r="CP2765" s="13"/>
    </row>
    <row r="2766" spans="94:94">
      <c r="CP2766" s="13"/>
    </row>
    <row r="2767" spans="94:94">
      <c r="CP2767" s="13"/>
    </row>
    <row r="2768" spans="94:94">
      <c r="CP2768" s="13"/>
    </row>
    <row r="2769" spans="94:94">
      <c r="CP2769" s="13"/>
    </row>
    <row r="2770" spans="94:94">
      <c r="CP2770" s="13"/>
    </row>
    <row r="2771" spans="94:94">
      <c r="CP2771" s="13"/>
    </row>
    <row r="2772" spans="94:94">
      <c r="CP2772" s="13"/>
    </row>
    <row r="2773" spans="94:94">
      <c r="CP2773" s="13"/>
    </row>
    <row r="2774" spans="94:94">
      <c r="CP2774" s="13"/>
    </row>
    <row r="2775" spans="94:94">
      <c r="CP2775" s="13"/>
    </row>
    <row r="2776" spans="94:94">
      <c r="CP2776" s="13"/>
    </row>
    <row r="2777" spans="94:94">
      <c r="CP2777" s="13"/>
    </row>
    <row r="2778" spans="94:94">
      <c r="CP2778" s="13"/>
    </row>
    <row r="2779" spans="94:94">
      <c r="CP2779" s="13"/>
    </row>
    <row r="2780" spans="94:94">
      <c r="CP2780" s="13"/>
    </row>
    <row r="2781" spans="94:94">
      <c r="CP2781" s="13"/>
    </row>
    <row r="2782" spans="94:94">
      <c r="CP2782" s="13"/>
    </row>
    <row r="2783" spans="94:94">
      <c r="CP2783" s="13"/>
    </row>
    <row r="2784" spans="94:94">
      <c r="CP2784" s="13"/>
    </row>
    <row r="2785" spans="94:94">
      <c r="CP2785" s="13"/>
    </row>
    <row r="2786" spans="94:94">
      <c r="CP2786" s="13"/>
    </row>
    <row r="2787" spans="94:94">
      <c r="CP2787" s="13"/>
    </row>
    <row r="2788" spans="94:94">
      <c r="CP2788" s="13"/>
    </row>
    <row r="2789" spans="94:94">
      <c r="CP2789" s="13"/>
    </row>
    <row r="2790" spans="94:94">
      <c r="CP2790" s="13"/>
    </row>
    <row r="2791" spans="94:94">
      <c r="CP2791" s="13"/>
    </row>
    <row r="2792" spans="94:94">
      <c r="CP2792" s="13"/>
    </row>
    <row r="2793" spans="94:94">
      <c r="CP2793" s="13"/>
    </row>
    <row r="2794" spans="94:94">
      <c r="CP2794" s="13"/>
    </row>
    <row r="2795" spans="94:94">
      <c r="CP2795" s="13"/>
    </row>
    <row r="2796" spans="94:94">
      <c r="CP2796" s="13"/>
    </row>
    <row r="2797" spans="94:94">
      <c r="CP2797" s="13"/>
    </row>
    <row r="2798" spans="94:94">
      <c r="CP2798" s="13"/>
    </row>
    <row r="2799" spans="94:94">
      <c r="CP2799" s="13"/>
    </row>
    <row r="2800" spans="94:94">
      <c r="CP2800" s="13"/>
    </row>
    <row r="2801" spans="94:94">
      <c r="CP2801" s="13"/>
    </row>
    <row r="2802" spans="94:94">
      <c r="CP2802" s="13"/>
    </row>
    <row r="2803" spans="94:94">
      <c r="CP2803" s="13"/>
    </row>
    <row r="2804" spans="94:94">
      <c r="CP2804" s="13"/>
    </row>
    <row r="2805" spans="94:94">
      <c r="CP2805" s="13"/>
    </row>
    <row r="2806" spans="94:94">
      <c r="CP2806" s="13"/>
    </row>
    <row r="2807" spans="94:94">
      <c r="CP2807" s="13"/>
    </row>
    <row r="2808" spans="94:94">
      <c r="CP2808" s="13"/>
    </row>
    <row r="2809" spans="94:94">
      <c r="CP2809" s="13"/>
    </row>
    <row r="2810" spans="94:94">
      <c r="CP2810" s="13"/>
    </row>
    <row r="2811" spans="94:94">
      <c r="CP2811" s="13"/>
    </row>
    <row r="2812" spans="94:94">
      <c r="CP2812" s="13"/>
    </row>
    <row r="2813" spans="94:94">
      <c r="CP2813" s="13"/>
    </row>
    <row r="2814" spans="94:94">
      <c r="CP2814" s="13"/>
    </row>
    <row r="2815" spans="94:94">
      <c r="CP2815" s="13"/>
    </row>
    <row r="2816" spans="94:94">
      <c r="CP2816" s="13"/>
    </row>
    <row r="2817" spans="94:94">
      <c r="CP2817" s="13"/>
    </row>
    <row r="2818" spans="94:94">
      <c r="CP2818" s="13"/>
    </row>
    <row r="2819" spans="94:94">
      <c r="CP2819" s="13"/>
    </row>
    <row r="2820" spans="94:94">
      <c r="CP2820" s="13"/>
    </row>
    <row r="2821" spans="94:94">
      <c r="CP2821" s="13"/>
    </row>
    <row r="2822" spans="94:94">
      <c r="CP2822" s="13"/>
    </row>
    <row r="2823" spans="94:94">
      <c r="CP2823" s="13"/>
    </row>
    <row r="2824" spans="94:94">
      <c r="CP2824" s="13"/>
    </row>
    <row r="2825" spans="94:94">
      <c r="CP2825" s="13"/>
    </row>
    <row r="2826" spans="94:94">
      <c r="CP2826" s="13"/>
    </row>
    <row r="2827" spans="94:94">
      <c r="CP2827" s="13"/>
    </row>
    <row r="2828" spans="94:94">
      <c r="CP2828" s="13"/>
    </row>
    <row r="2829" spans="94:94">
      <c r="CP2829" s="13"/>
    </row>
    <row r="2830" spans="94:94">
      <c r="CP2830" s="13"/>
    </row>
    <row r="2831" spans="94:94">
      <c r="CP2831" s="13"/>
    </row>
    <row r="2832" spans="94:94">
      <c r="CP2832" s="13"/>
    </row>
    <row r="2833" spans="94:94">
      <c r="CP2833" s="13"/>
    </row>
    <row r="2834" spans="94:94">
      <c r="CP2834" s="13"/>
    </row>
    <row r="2835" spans="94:94">
      <c r="CP2835" s="13"/>
    </row>
    <row r="2836" spans="94:94">
      <c r="CP2836" s="13"/>
    </row>
    <row r="2837" spans="94:94">
      <c r="CP2837" s="13"/>
    </row>
    <row r="2838" spans="94:94">
      <c r="CP2838" s="13"/>
    </row>
    <row r="2839" spans="94:94">
      <c r="CP2839" s="13"/>
    </row>
    <row r="2840" spans="94:94">
      <c r="CP2840" s="13"/>
    </row>
    <row r="2841" spans="94:94">
      <c r="CP2841" s="13"/>
    </row>
    <row r="2842" spans="94:94">
      <c r="CP2842" s="13"/>
    </row>
    <row r="2843" spans="94:94">
      <c r="CP2843" s="13"/>
    </row>
    <row r="2844" spans="94:94">
      <c r="CP2844" s="13"/>
    </row>
    <row r="2845" spans="94:94">
      <c r="CP2845" s="13"/>
    </row>
    <row r="2846" spans="94:94">
      <c r="CP2846" s="13"/>
    </row>
    <row r="2847" spans="94:94">
      <c r="CP2847" s="13"/>
    </row>
    <row r="2848" spans="94:94">
      <c r="CP2848" s="13"/>
    </row>
    <row r="2849" spans="94:94">
      <c r="CP2849" s="13"/>
    </row>
    <row r="2850" spans="94:94">
      <c r="CP2850" s="13"/>
    </row>
    <row r="2851" spans="94:94">
      <c r="CP2851" s="13"/>
    </row>
    <row r="2852" spans="94:94">
      <c r="CP2852" s="13"/>
    </row>
    <row r="2853" spans="94:94">
      <c r="CP2853" s="13"/>
    </row>
    <row r="2854" spans="94:94">
      <c r="CP2854" s="13"/>
    </row>
    <row r="2855" spans="94:94">
      <c r="CP2855" s="13"/>
    </row>
    <row r="2856" spans="94:94">
      <c r="CP2856" s="13"/>
    </row>
    <row r="2857" spans="94:94">
      <c r="CP2857" s="13"/>
    </row>
    <row r="2858" spans="94:94">
      <c r="CP2858" s="13"/>
    </row>
    <row r="2859" spans="94:94">
      <c r="CP2859" s="13"/>
    </row>
    <row r="2860" spans="94:94">
      <c r="CP2860" s="13"/>
    </row>
    <row r="2861" spans="94:94">
      <c r="CP2861" s="13"/>
    </row>
    <row r="2862" spans="94:94">
      <c r="CP2862" s="13"/>
    </row>
    <row r="2863" spans="94:94">
      <c r="CP2863" s="13"/>
    </row>
    <row r="2864" spans="94:94">
      <c r="CP2864" s="13"/>
    </row>
    <row r="2865" spans="94:94">
      <c r="CP2865" s="13"/>
    </row>
    <row r="2866" spans="94:94">
      <c r="CP2866" s="13"/>
    </row>
    <row r="2867" spans="94:94">
      <c r="CP2867" s="13"/>
    </row>
    <row r="2868" spans="94:94">
      <c r="CP2868" s="13"/>
    </row>
    <row r="2869" spans="94:94">
      <c r="CP2869" s="13"/>
    </row>
    <row r="2870" spans="94:94">
      <c r="CP2870" s="13"/>
    </row>
    <row r="2871" spans="94:94">
      <c r="CP2871" s="13"/>
    </row>
    <row r="2872" spans="94:94">
      <c r="CP2872" s="13"/>
    </row>
    <row r="2873" spans="94:94">
      <c r="CP2873" s="13"/>
    </row>
    <row r="2874" spans="94:94">
      <c r="CP2874" s="13"/>
    </row>
    <row r="2875" spans="94:94">
      <c r="CP2875" s="13"/>
    </row>
    <row r="2876" spans="94:94">
      <c r="CP2876" s="13"/>
    </row>
    <row r="2877" spans="94:94">
      <c r="CP2877" s="13"/>
    </row>
    <row r="2878" spans="94:94">
      <c r="CP2878" s="13"/>
    </row>
    <row r="2879" spans="94:94">
      <c r="CP2879" s="13"/>
    </row>
    <row r="2880" spans="94:94">
      <c r="CP2880" s="13"/>
    </row>
    <row r="2881" spans="94:94">
      <c r="CP2881" s="13"/>
    </row>
    <row r="2882" spans="94:94">
      <c r="CP2882" s="13"/>
    </row>
    <row r="2883" spans="94:94">
      <c r="CP2883" s="13"/>
    </row>
    <row r="2884" spans="94:94">
      <c r="CP2884" s="13"/>
    </row>
    <row r="2885" spans="94:94">
      <c r="CP2885" s="13"/>
    </row>
    <row r="2886" spans="94:94">
      <c r="CP2886" s="13"/>
    </row>
    <row r="2887" spans="94:94">
      <c r="CP2887" s="13"/>
    </row>
    <row r="2888" spans="94:94">
      <c r="CP2888" s="13"/>
    </row>
    <row r="2889" spans="94:94">
      <c r="CP2889" s="13"/>
    </row>
    <row r="2890" spans="94:94">
      <c r="CP2890" s="13"/>
    </row>
    <row r="2891" spans="94:94">
      <c r="CP2891" s="13"/>
    </row>
    <row r="2892" spans="94:94">
      <c r="CP2892" s="13"/>
    </row>
    <row r="2893" spans="94:94">
      <c r="CP2893" s="13"/>
    </row>
    <row r="2894" spans="94:94">
      <c r="CP2894" s="13"/>
    </row>
    <row r="2895" spans="94:94">
      <c r="CP2895" s="13"/>
    </row>
    <row r="2896" spans="94:94">
      <c r="CP2896" s="13"/>
    </row>
    <row r="2897" spans="94:94">
      <c r="CP2897" s="13"/>
    </row>
    <row r="2898" spans="94:94">
      <c r="CP2898" s="13"/>
    </row>
    <row r="2899" spans="94:94">
      <c r="CP2899" s="13"/>
    </row>
    <row r="2900" spans="94:94">
      <c r="CP2900" s="13"/>
    </row>
    <row r="2901" spans="94:94">
      <c r="CP2901" s="13"/>
    </row>
    <row r="2902" spans="94:94">
      <c r="CP2902" s="13"/>
    </row>
    <row r="2903" spans="94:94">
      <c r="CP2903" s="13"/>
    </row>
    <row r="2904" spans="94:94">
      <c r="CP2904" s="13"/>
    </row>
    <row r="2905" spans="94:94">
      <c r="CP2905" s="13"/>
    </row>
    <row r="2906" spans="94:94">
      <c r="CP2906" s="13"/>
    </row>
    <row r="2907" spans="94:94">
      <c r="CP2907" s="13"/>
    </row>
    <row r="2908" spans="94:94">
      <c r="CP2908" s="13"/>
    </row>
    <row r="2909" spans="94:94">
      <c r="CP2909" s="13"/>
    </row>
    <row r="2910" spans="94:94">
      <c r="CP2910" s="13"/>
    </row>
    <row r="2911" spans="94:94">
      <c r="CP2911" s="13"/>
    </row>
    <row r="2912" spans="94:94">
      <c r="CP2912" s="13"/>
    </row>
    <row r="2913" spans="94:94">
      <c r="CP2913" s="13"/>
    </row>
    <row r="2914" spans="94:94">
      <c r="CP2914" s="13"/>
    </row>
    <row r="2915" spans="94:94">
      <c r="CP2915" s="13"/>
    </row>
    <row r="2916" spans="94:94">
      <c r="CP2916" s="13"/>
    </row>
    <row r="2917" spans="94:94">
      <c r="CP2917" s="13"/>
    </row>
    <row r="2918" spans="94:94">
      <c r="CP2918" s="13"/>
    </row>
    <row r="2919" spans="94:94">
      <c r="CP2919" s="13"/>
    </row>
    <row r="2920" spans="94:94">
      <c r="CP2920" s="13"/>
    </row>
    <row r="2921" spans="94:94">
      <c r="CP2921" s="13"/>
    </row>
    <row r="2922" spans="94:94">
      <c r="CP2922" s="13"/>
    </row>
    <row r="2923" spans="94:94">
      <c r="CP2923" s="13"/>
    </row>
    <row r="2924" spans="94:94">
      <c r="CP2924" s="13"/>
    </row>
    <row r="2925" spans="94:94">
      <c r="CP2925" s="13"/>
    </row>
    <row r="2926" spans="94:94">
      <c r="CP2926" s="13"/>
    </row>
    <row r="2927" spans="94:94">
      <c r="CP2927" s="13"/>
    </row>
    <row r="2928" spans="94:94">
      <c r="CP2928" s="13"/>
    </row>
    <row r="2929" spans="94:94">
      <c r="CP2929" s="13"/>
    </row>
    <row r="2930" spans="94:94">
      <c r="CP2930" s="13"/>
    </row>
    <row r="2931" spans="94:94">
      <c r="CP2931" s="13"/>
    </row>
    <row r="2932" spans="94:94">
      <c r="CP2932" s="13"/>
    </row>
    <row r="2933" spans="94:94">
      <c r="CP2933" s="13"/>
    </row>
    <row r="2934" spans="94:94">
      <c r="CP2934" s="13"/>
    </row>
    <row r="2935" spans="94:94">
      <c r="CP2935" s="13"/>
    </row>
    <row r="2936" spans="94:94">
      <c r="CP2936" s="13"/>
    </row>
    <row r="2937" spans="94:94">
      <c r="CP2937" s="13"/>
    </row>
    <row r="2938" spans="94:94">
      <c r="CP2938" s="13"/>
    </row>
    <row r="2939" spans="94:94">
      <c r="CP2939" s="13"/>
    </row>
    <row r="2940" spans="94:94">
      <c r="CP2940" s="13"/>
    </row>
    <row r="2941" spans="94:94">
      <c r="CP2941" s="13"/>
    </row>
    <row r="2942" spans="94:94">
      <c r="CP2942" s="13"/>
    </row>
    <row r="2943" spans="94:94">
      <c r="CP2943" s="13"/>
    </row>
    <row r="2944" spans="94:94">
      <c r="CP2944" s="13"/>
    </row>
    <row r="2945" spans="94:94">
      <c r="CP2945" s="13"/>
    </row>
    <row r="2946" spans="94:94">
      <c r="CP2946" s="13"/>
    </row>
    <row r="2947" spans="94:94">
      <c r="CP2947" s="13"/>
    </row>
    <row r="2948" spans="94:94">
      <c r="CP2948" s="13"/>
    </row>
    <row r="2949" spans="94:94">
      <c r="CP2949" s="13"/>
    </row>
    <row r="2950" spans="94:94">
      <c r="CP2950" s="13"/>
    </row>
    <row r="2951" spans="94:94">
      <c r="CP2951" s="13"/>
    </row>
    <row r="2952" spans="94:94">
      <c r="CP2952" s="13"/>
    </row>
    <row r="2953" spans="94:94">
      <c r="CP2953" s="13"/>
    </row>
    <row r="2954" spans="94:94">
      <c r="CP2954" s="13"/>
    </row>
    <row r="2955" spans="94:94">
      <c r="CP2955" s="13"/>
    </row>
    <row r="2956" spans="94:94">
      <c r="CP2956" s="13"/>
    </row>
    <row r="2957" spans="94:94">
      <c r="CP2957" s="13"/>
    </row>
    <row r="2958" spans="94:94">
      <c r="CP2958" s="13"/>
    </row>
    <row r="2959" spans="94:94">
      <c r="CP2959" s="13"/>
    </row>
    <row r="2960" spans="94:94">
      <c r="CP2960" s="13"/>
    </row>
    <row r="2961" spans="94:94">
      <c r="CP2961" s="13"/>
    </row>
    <row r="2962" spans="94:94">
      <c r="CP2962" s="13"/>
    </row>
    <row r="2963" spans="94:94">
      <c r="CP2963" s="13"/>
    </row>
    <row r="2964" spans="94:94">
      <c r="CP2964" s="13"/>
    </row>
    <row r="2965" spans="94:94">
      <c r="CP2965" s="13"/>
    </row>
    <row r="2966" spans="94:94">
      <c r="CP2966" s="13"/>
    </row>
    <row r="2967" spans="94:94">
      <c r="CP2967" s="13"/>
    </row>
    <row r="2968" spans="94:94">
      <c r="CP2968" s="13"/>
    </row>
    <row r="2969" spans="94:94">
      <c r="CP2969" s="13"/>
    </row>
    <row r="2970" spans="94:94">
      <c r="CP2970" s="13"/>
    </row>
    <row r="2971" spans="94:94">
      <c r="CP2971" s="13"/>
    </row>
    <row r="2972" spans="94:94">
      <c r="CP2972" s="13"/>
    </row>
    <row r="2973" spans="94:94">
      <c r="CP2973" s="13"/>
    </row>
    <row r="2974" spans="94:94">
      <c r="CP2974" s="13"/>
    </row>
    <row r="2975" spans="94:94">
      <c r="CP2975" s="13"/>
    </row>
    <row r="2976" spans="94:94">
      <c r="CP2976" s="13"/>
    </row>
    <row r="2977" spans="94:94">
      <c r="CP2977" s="13"/>
    </row>
    <row r="2978" spans="94:94">
      <c r="CP2978" s="13"/>
    </row>
    <row r="2979" spans="94:94">
      <c r="CP2979" s="13"/>
    </row>
    <row r="2980" spans="94:94">
      <c r="CP2980" s="13"/>
    </row>
    <row r="2981" spans="94:94">
      <c r="CP2981" s="13"/>
    </row>
    <row r="2982" spans="94:94">
      <c r="CP2982" s="13"/>
    </row>
    <row r="2983" spans="94:94">
      <c r="CP2983" s="13"/>
    </row>
    <row r="2984" spans="94:94">
      <c r="CP2984" s="13"/>
    </row>
    <row r="2985" spans="94:94">
      <c r="CP2985" s="13"/>
    </row>
    <row r="2986" spans="94:94">
      <c r="CP2986" s="13"/>
    </row>
    <row r="2987" spans="94:94">
      <c r="CP2987" s="13"/>
    </row>
    <row r="2988" spans="94:94">
      <c r="CP2988" s="13"/>
    </row>
    <row r="2989" spans="94:94">
      <c r="CP2989" s="13"/>
    </row>
    <row r="2990" spans="94:94">
      <c r="CP2990" s="13"/>
    </row>
    <row r="2991" spans="94:94">
      <c r="CP2991" s="13"/>
    </row>
    <row r="2992" spans="94:94">
      <c r="CP2992" s="13"/>
    </row>
    <row r="2993" spans="94:94">
      <c r="CP2993" s="13"/>
    </row>
    <row r="2994" spans="94:94">
      <c r="CP2994" s="13"/>
    </row>
    <row r="2995" spans="94:94">
      <c r="CP2995" s="13"/>
    </row>
    <row r="2996" spans="94:94">
      <c r="CP2996" s="13"/>
    </row>
    <row r="2997" spans="94:94">
      <c r="CP2997" s="13"/>
    </row>
    <row r="2998" spans="94:94">
      <c r="CP2998" s="13"/>
    </row>
    <row r="2999" spans="94:94">
      <c r="CP2999" s="13"/>
    </row>
    <row r="3000" spans="94:94">
      <c r="CP3000" s="13"/>
    </row>
    <row r="3001" spans="94:94">
      <c r="CP3001" s="13"/>
    </row>
    <row r="3002" spans="94:94">
      <c r="CP3002" s="13"/>
    </row>
    <row r="3003" spans="94:94">
      <c r="CP3003" s="13"/>
    </row>
    <row r="3004" spans="94:94">
      <c r="CP3004" s="13"/>
    </row>
    <row r="3005" spans="94:94">
      <c r="CP3005" s="13"/>
    </row>
    <row r="3006" spans="94:94">
      <c r="CP3006" s="13"/>
    </row>
    <row r="3007" spans="94:94">
      <c r="CP3007" s="13"/>
    </row>
    <row r="3008" spans="94:94">
      <c r="CP3008" s="13"/>
    </row>
    <row r="3009" spans="94:94">
      <c r="CP3009" s="13"/>
    </row>
    <row r="3010" spans="94:94">
      <c r="CP3010" s="13"/>
    </row>
    <row r="3011" spans="94:94">
      <c r="CP3011" s="13"/>
    </row>
    <row r="3012" spans="94:94">
      <c r="CP3012" s="13"/>
    </row>
    <row r="3013" spans="94:94">
      <c r="CP3013" s="13"/>
    </row>
    <row r="3014" spans="94:94">
      <c r="CP3014" s="13"/>
    </row>
    <row r="3015" spans="94:94">
      <c r="CP3015" s="13"/>
    </row>
    <row r="3016" spans="94:94">
      <c r="CP3016" s="13"/>
    </row>
    <row r="3017" spans="94:94">
      <c r="CP3017" s="13"/>
    </row>
    <row r="3018" spans="94:94">
      <c r="CP3018" s="13"/>
    </row>
    <row r="3019" spans="94:94">
      <c r="CP3019" s="13"/>
    </row>
    <row r="3020" spans="94:94">
      <c r="CP3020" s="13"/>
    </row>
    <row r="3021" spans="94:94">
      <c r="CP3021" s="13"/>
    </row>
    <row r="3022" spans="94:94">
      <c r="CP3022" s="13"/>
    </row>
    <row r="3023" spans="94:94">
      <c r="CP3023" s="13"/>
    </row>
    <row r="3024" spans="94:94">
      <c r="CP3024" s="13"/>
    </row>
    <row r="3025" spans="94:94">
      <c r="CP3025" s="13"/>
    </row>
    <row r="3026" spans="94:94">
      <c r="CP3026" s="13"/>
    </row>
    <row r="3027" spans="94:94">
      <c r="CP3027" s="13"/>
    </row>
    <row r="3028" spans="94:94">
      <c r="CP3028" s="13"/>
    </row>
    <row r="3029" spans="94:94">
      <c r="CP3029" s="13"/>
    </row>
    <row r="3030" spans="94:94">
      <c r="CP3030" s="13"/>
    </row>
    <row r="3031" spans="94:94">
      <c r="CP3031" s="13"/>
    </row>
    <row r="3032" spans="94:94">
      <c r="CP3032" s="13"/>
    </row>
    <row r="3033" spans="94:94">
      <c r="CP3033" s="13"/>
    </row>
    <row r="3034" spans="94:94">
      <c r="CP3034" s="13"/>
    </row>
    <row r="3035" spans="94:94">
      <c r="CP3035" s="13"/>
    </row>
    <row r="3036" spans="94:94">
      <c r="CP3036" s="13"/>
    </row>
    <row r="3037" spans="94:94">
      <c r="CP3037" s="13"/>
    </row>
    <row r="3038" spans="94:94">
      <c r="CP3038" s="13"/>
    </row>
    <row r="3039" spans="94:94">
      <c r="CP3039" s="13"/>
    </row>
    <row r="3040" spans="94:94">
      <c r="CP3040" s="13"/>
    </row>
    <row r="3041" spans="94:94">
      <c r="CP3041" s="13"/>
    </row>
    <row r="3042" spans="94:94">
      <c r="CP3042" s="13"/>
    </row>
    <row r="3043" spans="94:94">
      <c r="CP3043" s="13"/>
    </row>
    <row r="3044" spans="94:94">
      <c r="CP3044" s="13"/>
    </row>
    <row r="3045" spans="94:94">
      <c r="CP3045" s="13"/>
    </row>
    <row r="3046" spans="94:94">
      <c r="CP3046" s="13"/>
    </row>
    <row r="3047" spans="94:94">
      <c r="CP3047" s="13"/>
    </row>
    <row r="3048" spans="94:94">
      <c r="CP3048" s="13"/>
    </row>
    <row r="3049" spans="94:94">
      <c r="CP3049" s="13"/>
    </row>
    <row r="3050" spans="94:94">
      <c r="CP3050" s="13"/>
    </row>
    <row r="3051" spans="94:94">
      <c r="CP3051" s="13"/>
    </row>
    <row r="3052" spans="94:94">
      <c r="CP3052" s="13"/>
    </row>
    <row r="3053" spans="94:94">
      <c r="CP3053" s="13"/>
    </row>
    <row r="3054" spans="94:94">
      <c r="CP3054" s="13"/>
    </row>
    <row r="3055" spans="94:94">
      <c r="CP3055" s="13"/>
    </row>
    <row r="3056" spans="94:94">
      <c r="CP3056" s="13"/>
    </row>
    <row r="3057" spans="94:94">
      <c r="CP3057" s="13"/>
    </row>
    <row r="3058" spans="94:94">
      <c r="CP3058" s="13"/>
    </row>
    <row r="3059" spans="94:94">
      <c r="CP3059" s="13"/>
    </row>
    <row r="3060" spans="94:94">
      <c r="CP3060" s="13"/>
    </row>
    <row r="3061" spans="94:94">
      <c r="CP3061" s="13"/>
    </row>
    <row r="3062" spans="94:94">
      <c r="CP3062" s="13"/>
    </row>
    <row r="3063" spans="94:94">
      <c r="CP3063" s="13"/>
    </row>
    <row r="3064" spans="94:94">
      <c r="CP3064" s="13"/>
    </row>
    <row r="3065" spans="94:94">
      <c r="CP3065" s="13"/>
    </row>
    <row r="3066" spans="94:94">
      <c r="CP3066" s="13"/>
    </row>
    <row r="3067" spans="94:94">
      <c r="CP3067" s="13"/>
    </row>
    <row r="3068" spans="94:94">
      <c r="CP3068" s="13"/>
    </row>
    <row r="3069" spans="94:94">
      <c r="CP3069" s="13"/>
    </row>
    <row r="3070" spans="94:94">
      <c r="CP3070" s="13"/>
    </row>
    <row r="3071" spans="94:94">
      <c r="CP3071" s="13"/>
    </row>
    <row r="3072" spans="94:94">
      <c r="CP3072" s="13"/>
    </row>
    <row r="3073" spans="94:94">
      <c r="CP3073" s="13"/>
    </row>
    <row r="3074" spans="94:94">
      <c r="CP3074" s="13"/>
    </row>
    <row r="3075" spans="94:94">
      <c r="CP3075" s="13"/>
    </row>
    <row r="3076" spans="94:94">
      <c r="CP3076" s="13"/>
    </row>
    <row r="3077" spans="94:94">
      <c r="CP3077" s="13"/>
    </row>
    <row r="3078" spans="94:94">
      <c r="CP3078" s="13"/>
    </row>
    <row r="3079" spans="94:94">
      <c r="CP3079" s="13"/>
    </row>
    <row r="3080" spans="94:94">
      <c r="CP3080" s="13"/>
    </row>
    <row r="3081" spans="94:94">
      <c r="CP3081" s="13"/>
    </row>
    <row r="3082" spans="94:94">
      <c r="CP3082" s="13"/>
    </row>
    <row r="3083" spans="94:94">
      <c r="CP3083" s="13"/>
    </row>
    <row r="3084" spans="94:94">
      <c r="CP3084" s="13"/>
    </row>
    <row r="3085" spans="94:94">
      <c r="CP3085" s="13"/>
    </row>
    <row r="3086" spans="94:94">
      <c r="CP3086" s="13"/>
    </row>
    <row r="3087" spans="94:94">
      <c r="CP3087" s="13"/>
    </row>
    <row r="3088" spans="94:94">
      <c r="CP3088" s="13"/>
    </row>
    <row r="3089" spans="94:94">
      <c r="CP3089" s="13"/>
    </row>
    <row r="3090" spans="94:94">
      <c r="CP3090" s="13"/>
    </row>
    <row r="3091" spans="94:94">
      <c r="CP3091" s="13"/>
    </row>
    <row r="3092" spans="94:94">
      <c r="CP3092" s="13"/>
    </row>
    <row r="3093" spans="94:94">
      <c r="CP3093" s="13"/>
    </row>
    <row r="3094" spans="94:94">
      <c r="CP3094" s="13"/>
    </row>
    <row r="3095" spans="94:94">
      <c r="CP3095" s="13"/>
    </row>
    <row r="3096" spans="94:94">
      <c r="CP3096" s="13"/>
    </row>
    <row r="3097" spans="94:94">
      <c r="CP3097" s="13"/>
    </row>
    <row r="3098" spans="94:94">
      <c r="CP3098" s="13"/>
    </row>
    <row r="3099" spans="94:94">
      <c r="CP3099" s="13"/>
    </row>
    <row r="3100" spans="94:94">
      <c r="CP3100" s="13"/>
    </row>
    <row r="3101" spans="94:94">
      <c r="CP3101" s="13"/>
    </row>
    <row r="3102" spans="94:94">
      <c r="CP3102" s="13"/>
    </row>
    <row r="3103" spans="94:94">
      <c r="CP3103" s="13"/>
    </row>
    <row r="3104" spans="94:94">
      <c r="CP3104" s="13"/>
    </row>
    <row r="3105" spans="94:94">
      <c r="CP3105" s="13"/>
    </row>
    <row r="3106" spans="94:94">
      <c r="CP3106" s="13"/>
    </row>
    <row r="3107" spans="94:94">
      <c r="CP3107" s="13"/>
    </row>
    <row r="3108" spans="94:94">
      <c r="CP3108" s="13"/>
    </row>
    <row r="3109" spans="94:94">
      <c r="CP3109" s="13"/>
    </row>
    <row r="3110" spans="94:94">
      <c r="CP3110" s="13"/>
    </row>
    <row r="3111" spans="94:94">
      <c r="CP3111" s="13"/>
    </row>
    <row r="3112" spans="94:94">
      <c r="CP3112" s="13"/>
    </row>
    <row r="3113" spans="94:94">
      <c r="CP3113" s="13"/>
    </row>
    <row r="3114" spans="94:94">
      <c r="CP3114" s="13"/>
    </row>
    <row r="3115" spans="94:94">
      <c r="CP3115" s="13"/>
    </row>
    <row r="3116" spans="94:94">
      <c r="CP3116" s="13"/>
    </row>
    <row r="3117" spans="94:94">
      <c r="CP3117" s="13"/>
    </row>
    <row r="3118" spans="94:94">
      <c r="CP3118" s="13"/>
    </row>
    <row r="3119" spans="94:94">
      <c r="CP3119" s="13"/>
    </row>
    <row r="3120" spans="94:94">
      <c r="CP3120" s="13"/>
    </row>
    <row r="3121" spans="94:94">
      <c r="CP3121" s="13"/>
    </row>
    <row r="3122" spans="94:94">
      <c r="CP3122" s="13"/>
    </row>
    <row r="3123" spans="94:94">
      <c r="CP3123" s="13"/>
    </row>
    <row r="3124" spans="94:94">
      <c r="CP3124" s="13"/>
    </row>
    <row r="3125" spans="94:94">
      <c r="CP3125" s="13"/>
    </row>
    <row r="3126" spans="94:94">
      <c r="CP3126" s="13"/>
    </row>
    <row r="3127" spans="94:94">
      <c r="CP3127" s="13"/>
    </row>
    <row r="3128" spans="94:94">
      <c r="CP3128" s="13"/>
    </row>
    <row r="3129" spans="94:94">
      <c r="CP3129" s="13"/>
    </row>
    <row r="3130" spans="94:94">
      <c r="CP3130" s="13"/>
    </row>
    <row r="3131" spans="94:94">
      <c r="CP3131" s="13"/>
    </row>
    <row r="3132" spans="94:94">
      <c r="CP3132" s="13"/>
    </row>
    <row r="3133" spans="94:94">
      <c r="CP3133" s="13"/>
    </row>
    <row r="3134" spans="94:94">
      <c r="CP3134" s="13"/>
    </row>
    <row r="3135" spans="94:94">
      <c r="CP3135" s="13"/>
    </row>
    <row r="3136" spans="94:94">
      <c r="CP3136" s="13"/>
    </row>
    <row r="3137" spans="94:94">
      <c r="CP3137" s="13"/>
    </row>
    <row r="3138" spans="94:94">
      <c r="CP3138" s="13"/>
    </row>
    <row r="3139" spans="94:94">
      <c r="CP3139" s="13"/>
    </row>
    <row r="3140" spans="94:94">
      <c r="CP3140" s="13"/>
    </row>
    <row r="3141" spans="94:94">
      <c r="CP3141" s="13"/>
    </row>
    <row r="3142" spans="94:94">
      <c r="CP3142" s="13"/>
    </row>
    <row r="3143" spans="94:94">
      <c r="CP3143" s="13"/>
    </row>
    <row r="3144" spans="94:94">
      <c r="CP3144" s="13"/>
    </row>
    <row r="3145" spans="94:94">
      <c r="CP3145" s="13"/>
    </row>
    <row r="3146" spans="94:94">
      <c r="CP3146" s="13"/>
    </row>
    <row r="3147" spans="94:94">
      <c r="CP3147" s="13"/>
    </row>
    <row r="3148" spans="94:94">
      <c r="CP3148" s="13"/>
    </row>
    <row r="3149" spans="94:94">
      <c r="CP3149" s="13"/>
    </row>
    <row r="3150" spans="94:94">
      <c r="CP3150" s="13"/>
    </row>
    <row r="3151" spans="94:94">
      <c r="CP3151" s="13"/>
    </row>
    <row r="3152" spans="94:94">
      <c r="CP3152" s="13"/>
    </row>
    <row r="3153" spans="94:94">
      <c r="CP3153" s="13"/>
    </row>
    <row r="3154" spans="94:94">
      <c r="CP3154" s="13"/>
    </row>
    <row r="3155" spans="94:94">
      <c r="CP3155" s="13"/>
    </row>
    <row r="3156" spans="94:94">
      <c r="CP3156" s="13"/>
    </row>
    <row r="3157" spans="94:94">
      <c r="CP3157" s="13"/>
    </row>
    <row r="3158" spans="94:94">
      <c r="CP3158" s="13"/>
    </row>
    <row r="3159" spans="94:94">
      <c r="CP3159" s="13"/>
    </row>
    <row r="3160" spans="94:94">
      <c r="CP3160" s="13"/>
    </row>
    <row r="3161" spans="94:94">
      <c r="CP3161" s="13"/>
    </row>
    <row r="3162" spans="94:94">
      <c r="CP3162" s="13"/>
    </row>
    <row r="3163" spans="94:94">
      <c r="CP3163" s="13"/>
    </row>
    <row r="3164" spans="94:94">
      <c r="CP3164" s="13"/>
    </row>
    <row r="3165" spans="94:94">
      <c r="CP3165" s="13"/>
    </row>
    <row r="3166" spans="94:94">
      <c r="CP3166" s="13"/>
    </row>
    <row r="3167" spans="94:94">
      <c r="CP3167" s="13"/>
    </row>
    <row r="3168" spans="94:94">
      <c r="CP3168" s="13"/>
    </row>
    <row r="3169" spans="94:94">
      <c r="CP3169" s="13"/>
    </row>
    <row r="3170" spans="94:94">
      <c r="CP3170" s="13"/>
    </row>
    <row r="3171" spans="94:94">
      <c r="CP3171" s="13"/>
    </row>
    <row r="3172" spans="94:94">
      <c r="CP3172" s="13"/>
    </row>
    <row r="3173" spans="94:94">
      <c r="CP3173" s="13"/>
    </row>
    <row r="3174" spans="94:94">
      <c r="CP3174" s="13"/>
    </row>
    <row r="3175" spans="94:94">
      <c r="CP3175" s="13"/>
    </row>
    <row r="3176" spans="94:94">
      <c r="CP3176" s="13"/>
    </row>
    <row r="3177" spans="94:94">
      <c r="CP3177" s="13"/>
    </row>
    <row r="3178" spans="94:94">
      <c r="CP3178" s="13"/>
    </row>
    <row r="3179" spans="94:94">
      <c r="CP3179" s="13"/>
    </row>
    <row r="3180" spans="94:94">
      <c r="CP3180" s="13"/>
    </row>
    <row r="3181" spans="94:94">
      <c r="CP3181" s="13"/>
    </row>
    <row r="3182" spans="94:94">
      <c r="CP3182" s="13"/>
    </row>
    <row r="3183" spans="94:94">
      <c r="CP3183" s="13"/>
    </row>
    <row r="3184" spans="94:94">
      <c r="CP3184" s="13"/>
    </row>
    <row r="3185" spans="94:94">
      <c r="CP3185" s="13"/>
    </row>
    <row r="3186" spans="94:94">
      <c r="CP3186" s="13"/>
    </row>
    <row r="3187" spans="94:94">
      <c r="CP3187" s="13"/>
    </row>
    <row r="3188" spans="94:94">
      <c r="CP3188" s="13"/>
    </row>
    <row r="3189" spans="94:94">
      <c r="CP3189" s="13"/>
    </row>
    <row r="3190" spans="94:94">
      <c r="CP3190" s="13"/>
    </row>
    <row r="3191" spans="94:94">
      <c r="CP3191" s="13"/>
    </row>
    <row r="3192" spans="94:94">
      <c r="CP3192" s="13"/>
    </row>
    <row r="3193" spans="94:94">
      <c r="CP3193" s="13"/>
    </row>
    <row r="3194" spans="94:94">
      <c r="CP3194" s="13"/>
    </row>
    <row r="3195" spans="94:94">
      <c r="CP3195" s="13"/>
    </row>
    <row r="3196" spans="94:94">
      <c r="CP3196" s="13"/>
    </row>
    <row r="3197" spans="94:94">
      <c r="CP3197" s="13"/>
    </row>
    <row r="3198" spans="94:94">
      <c r="CP3198" s="13"/>
    </row>
    <row r="3199" spans="94:94">
      <c r="CP3199" s="13"/>
    </row>
    <row r="3200" spans="94:94">
      <c r="CP3200" s="13"/>
    </row>
    <row r="3201" spans="94:94">
      <c r="CP3201" s="13"/>
    </row>
    <row r="3202" spans="94:94">
      <c r="CP3202" s="13"/>
    </row>
    <row r="3203" spans="94:94">
      <c r="CP3203" s="13"/>
    </row>
    <row r="3204" spans="94:94">
      <c r="CP3204" s="13"/>
    </row>
    <row r="3205" spans="94:94">
      <c r="CP3205" s="13"/>
    </row>
    <row r="3206" spans="94:94">
      <c r="CP3206" s="13"/>
    </row>
    <row r="3207" spans="94:94">
      <c r="CP3207" s="13"/>
    </row>
    <row r="3208" spans="94:94">
      <c r="CP3208" s="13"/>
    </row>
    <row r="3209" spans="94:94">
      <c r="CP3209" s="13"/>
    </row>
    <row r="3210" spans="94:94">
      <c r="CP3210" s="13"/>
    </row>
    <row r="3211" spans="94:94">
      <c r="CP3211" s="13"/>
    </row>
    <row r="3212" spans="94:94">
      <c r="CP3212" s="13"/>
    </row>
    <row r="3213" spans="94:94">
      <c r="CP3213" s="13"/>
    </row>
    <row r="3214" spans="94:94">
      <c r="CP3214" s="13"/>
    </row>
    <row r="3215" spans="94:94">
      <c r="CP3215" s="13"/>
    </row>
    <row r="3216" spans="94:94">
      <c r="CP3216" s="13"/>
    </row>
    <row r="3217" spans="94:94">
      <c r="CP3217" s="13"/>
    </row>
    <row r="3218" spans="94:94">
      <c r="CP3218" s="13"/>
    </row>
    <row r="3219" spans="94:94">
      <c r="CP3219" s="13"/>
    </row>
    <row r="3220" spans="94:94">
      <c r="CP3220" s="13"/>
    </row>
    <row r="3221" spans="94:94">
      <c r="CP3221" s="13"/>
    </row>
    <row r="3222" spans="94:94">
      <c r="CP3222" s="13"/>
    </row>
    <row r="3223" spans="94:94">
      <c r="CP3223" s="13"/>
    </row>
    <row r="3224" spans="94:94">
      <c r="CP3224" s="13"/>
    </row>
    <row r="3225" spans="94:94">
      <c r="CP3225" s="13"/>
    </row>
    <row r="3226" spans="94:94">
      <c r="CP3226" s="13"/>
    </row>
    <row r="3227" spans="94:94">
      <c r="CP3227" s="13"/>
    </row>
    <row r="3228" spans="94:94">
      <c r="CP3228" s="13"/>
    </row>
    <row r="3229" spans="94:94">
      <c r="CP3229" s="13"/>
    </row>
    <row r="3230" spans="94:94">
      <c r="CP3230" s="13"/>
    </row>
    <row r="3231" spans="94:94">
      <c r="CP3231" s="13"/>
    </row>
    <row r="3232" spans="94:94">
      <c r="CP3232" s="13"/>
    </row>
    <row r="3233" spans="94:94">
      <c r="CP3233" s="13"/>
    </row>
    <row r="3234" spans="94:94">
      <c r="CP3234" s="13"/>
    </row>
    <row r="3235" spans="94:94">
      <c r="CP3235" s="13"/>
    </row>
    <row r="3236" spans="94:94">
      <c r="CP3236" s="13"/>
    </row>
    <row r="3237" spans="94:94">
      <c r="CP3237" s="13"/>
    </row>
    <row r="3238" spans="94:94">
      <c r="CP3238" s="13"/>
    </row>
    <row r="3239" spans="94:94">
      <c r="CP3239" s="13"/>
    </row>
    <row r="3240" spans="94:94">
      <c r="CP3240" s="13"/>
    </row>
    <row r="3241" spans="94:94">
      <c r="CP3241" s="13"/>
    </row>
    <row r="3242" spans="94:94">
      <c r="CP3242" s="13"/>
    </row>
    <row r="3243" spans="94:94">
      <c r="CP3243" s="13"/>
    </row>
    <row r="3244" spans="94:94">
      <c r="CP3244" s="13"/>
    </row>
    <row r="3245" spans="94:94">
      <c r="CP3245" s="13"/>
    </row>
    <row r="3246" spans="94:94">
      <c r="CP3246" s="13"/>
    </row>
    <row r="3247" spans="94:94">
      <c r="CP3247" s="13"/>
    </row>
    <row r="3248" spans="94:94">
      <c r="CP3248" s="13"/>
    </row>
    <row r="3249" spans="94:94">
      <c r="CP3249" s="13"/>
    </row>
    <row r="3250" spans="94:94">
      <c r="CP3250" s="13"/>
    </row>
    <row r="3251" spans="94:94">
      <c r="CP3251" s="13"/>
    </row>
    <row r="3252" spans="94:94">
      <c r="CP3252" s="13"/>
    </row>
    <row r="3253" spans="94:94">
      <c r="CP3253" s="13"/>
    </row>
    <row r="3254" spans="94:94">
      <c r="CP3254" s="13"/>
    </row>
    <row r="3255" spans="94:94">
      <c r="CP3255" s="13"/>
    </row>
    <row r="3256" spans="94:94">
      <c r="CP3256" s="13"/>
    </row>
    <row r="3257" spans="94:94">
      <c r="CP3257" s="13"/>
    </row>
    <row r="3258" spans="94:94">
      <c r="CP3258" s="13"/>
    </row>
    <row r="3259" spans="94:94">
      <c r="CP3259" s="13"/>
    </row>
    <row r="3260" spans="94:94">
      <c r="CP3260" s="13"/>
    </row>
    <row r="3261" spans="94:94">
      <c r="CP3261" s="13"/>
    </row>
    <row r="3262" spans="94:94">
      <c r="CP3262" s="13"/>
    </row>
    <row r="3263" spans="94:94">
      <c r="CP3263" s="13"/>
    </row>
    <row r="3264" spans="94:94">
      <c r="CP3264" s="13"/>
    </row>
    <row r="3265" spans="94:94">
      <c r="CP3265" s="13"/>
    </row>
    <row r="3266" spans="94:94">
      <c r="CP3266" s="13"/>
    </row>
    <row r="3267" spans="94:94">
      <c r="CP3267" s="13"/>
    </row>
    <row r="3268" spans="94:94">
      <c r="CP3268" s="13"/>
    </row>
    <row r="3269" spans="94:94">
      <c r="CP3269" s="13"/>
    </row>
    <row r="3270" spans="94:94">
      <c r="CP3270" s="13"/>
    </row>
    <row r="3271" spans="94:94">
      <c r="CP3271" s="13"/>
    </row>
    <row r="3272" spans="94:94">
      <c r="CP3272" s="13"/>
    </row>
    <row r="3273" spans="94:94">
      <c r="CP3273" s="13"/>
    </row>
    <row r="3274" spans="94:94">
      <c r="CP3274" s="13"/>
    </row>
    <row r="3275" spans="94:94">
      <c r="CP3275" s="13"/>
    </row>
    <row r="3276" spans="94:94">
      <c r="CP3276" s="13"/>
    </row>
    <row r="3277" spans="94:94">
      <c r="CP3277" s="13"/>
    </row>
    <row r="3278" spans="94:94">
      <c r="CP3278" s="13"/>
    </row>
    <row r="3279" spans="94:94">
      <c r="CP3279" s="13"/>
    </row>
    <row r="3280" spans="94:94">
      <c r="CP3280" s="13"/>
    </row>
    <row r="3281" spans="94:94">
      <c r="CP3281" s="13"/>
    </row>
    <row r="3282" spans="94:94">
      <c r="CP3282" s="13"/>
    </row>
    <row r="3283" spans="94:94">
      <c r="CP3283" s="13"/>
    </row>
    <row r="3284" spans="94:94">
      <c r="CP3284" s="13"/>
    </row>
    <row r="3285" spans="94:94">
      <c r="CP3285" s="13"/>
    </row>
    <row r="3286" spans="94:94">
      <c r="CP3286" s="13"/>
    </row>
    <row r="3287" spans="94:94">
      <c r="CP3287" s="13"/>
    </row>
    <row r="3288" spans="94:94">
      <c r="CP3288" s="13"/>
    </row>
    <row r="3289" spans="94:94">
      <c r="CP3289" s="13"/>
    </row>
    <row r="3290" spans="94:94">
      <c r="CP3290" s="13"/>
    </row>
    <row r="3291" spans="94:94">
      <c r="CP3291" s="13"/>
    </row>
    <row r="3292" spans="94:94">
      <c r="CP3292" s="13"/>
    </row>
    <row r="3293" spans="94:94">
      <c r="CP3293" s="13"/>
    </row>
    <row r="3294" spans="94:94">
      <c r="CP3294" s="13"/>
    </row>
    <row r="3295" spans="94:94">
      <c r="CP3295" s="13"/>
    </row>
    <row r="3296" spans="94:94">
      <c r="CP3296" s="13"/>
    </row>
    <row r="3297" spans="94:94">
      <c r="CP3297" s="13"/>
    </row>
    <row r="3298" spans="94:94">
      <c r="CP3298" s="13"/>
    </row>
    <row r="3299" spans="94:94">
      <c r="CP3299" s="13"/>
    </row>
    <row r="3300" spans="94:94">
      <c r="CP3300" s="13"/>
    </row>
    <row r="3301" spans="94:94">
      <c r="CP3301" s="13"/>
    </row>
    <row r="3302" spans="94:94">
      <c r="CP3302" s="13"/>
    </row>
    <row r="3303" spans="94:94">
      <c r="CP3303" s="13"/>
    </row>
    <row r="3304" spans="94:94">
      <c r="CP3304" s="13"/>
    </row>
    <row r="3305" spans="94:94">
      <c r="CP3305" s="13"/>
    </row>
    <row r="3306" spans="94:94">
      <c r="CP3306" s="13"/>
    </row>
    <row r="3307" spans="94:94">
      <c r="CP3307" s="13"/>
    </row>
    <row r="3308" spans="94:94">
      <c r="CP3308" s="13"/>
    </row>
    <row r="3309" spans="94:94">
      <c r="CP3309" s="13"/>
    </row>
    <row r="3310" spans="94:94">
      <c r="CP3310" s="13"/>
    </row>
    <row r="3311" spans="94:94">
      <c r="CP3311" s="13"/>
    </row>
    <row r="3312" spans="94:94">
      <c r="CP3312" s="13"/>
    </row>
    <row r="3313" spans="94:94">
      <c r="CP3313" s="13"/>
    </row>
    <row r="3314" spans="94:94">
      <c r="CP3314" s="13"/>
    </row>
    <row r="3315" spans="94:94">
      <c r="CP3315" s="13"/>
    </row>
    <row r="3316" spans="94:94">
      <c r="CP3316" s="13"/>
    </row>
    <row r="3317" spans="94:94">
      <c r="CP3317" s="13"/>
    </row>
    <row r="3318" spans="94:94">
      <c r="CP3318" s="13"/>
    </row>
    <row r="3319" spans="94:94">
      <c r="CP3319" s="13"/>
    </row>
    <row r="3320" spans="94:94">
      <c r="CP3320" s="13"/>
    </row>
    <row r="3321" spans="94:94">
      <c r="CP3321" s="13"/>
    </row>
    <row r="3322" spans="94:94">
      <c r="CP3322" s="13"/>
    </row>
    <row r="3323" spans="94:94">
      <c r="CP3323" s="13"/>
    </row>
    <row r="3324" spans="94:94">
      <c r="CP3324" s="13"/>
    </row>
    <row r="3325" spans="94:94">
      <c r="CP3325" s="13"/>
    </row>
    <row r="3326" spans="94:94">
      <c r="CP3326" s="13"/>
    </row>
    <row r="3327" spans="94:94">
      <c r="CP3327" s="13"/>
    </row>
    <row r="3328" spans="94:94">
      <c r="CP3328" s="13"/>
    </row>
    <row r="3329" spans="94:94">
      <c r="CP3329" s="13"/>
    </row>
    <row r="3330" spans="94:94">
      <c r="CP3330" s="13"/>
    </row>
    <row r="3331" spans="94:94">
      <c r="CP3331" s="13"/>
    </row>
    <row r="3332" spans="94:94">
      <c r="CP3332" s="13"/>
    </row>
    <row r="3333" spans="94:94">
      <c r="CP3333" s="13"/>
    </row>
    <row r="3334" spans="94:94">
      <c r="CP3334" s="13"/>
    </row>
    <row r="3335" spans="94:94">
      <c r="CP3335" s="13"/>
    </row>
    <row r="3336" spans="94:94">
      <c r="CP3336" s="13"/>
    </row>
    <row r="3337" spans="94:94">
      <c r="CP3337" s="13"/>
    </row>
    <row r="3338" spans="94:94">
      <c r="CP3338" s="13"/>
    </row>
    <row r="3339" spans="94:94">
      <c r="CP3339" s="13"/>
    </row>
    <row r="3340" spans="94:94">
      <c r="CP3340" s="13"/>
    </row>
    <row r="3341" spans="94:94">
      <c r="CP3341" s="13"/>
    </row>
    <row r="3342" spans="94:94">
      <c r="CP3342" s="13"/>
    </row>
    <row r="3343" spans="94:94">
      <c r="CP3343" s="13"/>
    </row>
    <row r="3344" spans="94:94">
      <c r="CP3344" s="13"/>
    </row>
    <row r="3345" spans="94:94">
      <c r="CP3345" s="13"/>
    </row>
    <row r="3346" spans="94:94">
      <c r="CP3346" s="13"/>
    </row>
    <row r="3347" spans="94:94">
      <c r="CP3347" s="13"/>
    </row>
    <row r="3348" spans="94:94">
      <c r="CP3348" s="13"/>
    </row>
    <row r="3349" spans="94:94">
      <c r="CP3349" s="13"/>
    </row>
    <row r="3350" spans="94:94">
      <c r="CP3350" s="13"/>
    </row>
    <row r="3351" spans="94:94">
      <c r="CP3351" s="13"/>
    </row>
    <row r="3352" spans="94:94">
      <c r="CP3352" s="13"/>
    </row>
    <row r="3353" spans="94:94">
      <c r="CP3353" s="13"/>
    </row>
    <row r="3354" spans="94:94">
      <c r="CP3354" s="13"/>
    </row>
    <row r="3355" spans="94:94">
      <c r="CP3355" s="13"/>
    </row>
    <row r="3356" spans="94:94">
      <c r="CP3356" s="13"/>
    </row>
    <row r="3357" spans="94:94">
      <c r="CP3357" s="13"/>
    </row>
    <row r="3358" spans="94:94">
      <c r="CP3358" s="13"/>
    </row>
    <row r="3359" spans="94:94">
      <c r="CP3359" s="13"/>
    </row>
    <row r="3360" spans="94:94">
      <c r="CP3360" s="13"/>
    </row>
    <row r="3361" spans="94:94">
      <c r="CP3361" s="13"/>
    </row>
    <row r="3362" spans="94:94">
      <c r="CP3362" s="13"/>
    </row>
    <row r="3363" spans="94:94">
      <c r="CP3363" s="13"/>
    </row>
    <row r="3364" spans="94:94">
      <c r="CP3364" s="13"/>
    </row>
    <row r="3365" spans="94:94">
      <c r="CP3365" s="13"/>
    </row>
    <row r="3366" spans="94:94">
      <c r="CP3366" s="13"/>
    </row>
    <row r="3367" spans="94:94">
      <c r="CP3367" s="13"/>
    </row>
    <row r="3368" spans="94:94">
      <c r="CP3368" s="13"/>
    </row>
    <row r="3369" spans="94:94">
      <c r="CP3369" s="13"/>
    </row>
    <row r="3370" spans="94:94">
      <c r="CP3370" s="13"/>
    </row>
    <row r="3371" spans="94:94">
      <c r="CP3371" s="13"/>
    </row>
    <row r="3372" spans="94:94">
      <c r="CP3372" s="13"/>
    </row>
    <row r="3373" spans="94:94">
      <c r="CP3373" s="13"/>
    </row>
    <row r="3374" spans="94:94">
      <c r="CP3374" s="13"/>
    </row>
    <row r="3375" spans="94:94">
      <c r="CP3375" s="13"/>
    </row>
    <row r="3376" spans="94:94">
      <c r="CP3376" s="13"/>
    </row>
    <row r="3377" spans="94:94">
      <c r="CP3377" s="13"/>
    </row>
    <row r="3378" spans="94:94">
      <c r="CP3378" s="13"/>
    </row>
    <row r="3379" spans="94:94">
      <c r="CP3379" s="13"/>
    </row>
    <row r="3380" spans="94:94">
      <c r="CP3380" s="13"/>
    </row>
    <row r="3381" spans="94:94">
      <c r="CP3381" s="13"/>
    </row>
    <row r="3382" spans="94:94">
      <c r="CP3382" s="13"/>
    </row>
    <row r="3383" spans="94:94">
      <c r="CP3383" s="13"/>
    </row>
    <row r="3384" spans="94:94">
      <c r="CP3384" s="13"/>
    </row>
    <row r="3385" spans="94:94">
      <c r="CP3385" s="13"/>
    </row>
    <row r="3386" spans="94:94">
      <c r="CP3386" s="13"/>
    </row>
    <row r="3387" spans="94:94">
      <c r="CP3387" s="13"/>
    </row>
    <row r="3388" spans="94:94">
      <c r="CP3388" s="13"/>
    </row>
    <row r="3389" spans="94:94">
      <c r="CP3389" s="13"/>
    </row>
    <row r="3390" spans="94:94">
      <c r="CP3390" s="13"/>
    </row>
    <row r="3391" spans="94:94">
      <c r="CP3391" s="13"/>
    </row>
    <row r="3392" spans="94:94">
      <c r="CP3392" s="13"/>
    </row>
    <row r="3393" spans="94:94">
      <c r="CP3393" s="13"/>
    </row>
    <row r="3394" spans="94:94">
      <c r="CP3394" s="13"/>
    </row>
    <row r="3395" spans="94:94">
      <c r="CP3395" s="13"/>
    </row>
    <row r="3396" spans="94:94">
      <c r="CP3396" s="13"/>
    </row>
    <row r="3397" spans="94:94">
      <c r="CP3397" s="13"/>
    </row>
    <row r="3398" spans="94:94">
      <c r="CP3398" s="13"/>
    </row>
    <row r="3399" spans="94:94">
      <c r="CP3399" s="13"/>
    </row>
    <row r="3400" spans="94:94">
      <c r="CP3400" s="13"/>
    </row>
    <row r="3401" spans="94:94">
      <c r="CP3401" s="13"/>
    </row>
    <row r="3402" spans="94:94">
      <c r="CP3402" s="13"/>
    </row>
    <row r="3403" spans="94:94">
      <c r="CP3403" s="13"/>
    </row>
    <row r="3404" spans="94:94">
      <c r="CP3404" s="13"/>
    </row>
    <row r="3405" spans="94:94">
      <c r="CP3405" s="13"/>
    </row>
    <row r="3406" spans="94:94">
      <c r="CP3406" s="13"/>
    </row>
    <row r="3407" spans="94:94">
      <c r="CP3407" s="13"/>
    </row>
    <row r="3408" spans="94:94">
      <c r="CP3408" s="13"/>
    </row>
    <row r="3409" spans="94:94">
      <c r="CP3409" s="13"/>
    </row>
    <row r="3410" spans="94:94">
      <c r="CP3410" s="13"/>
    </row>
    <row r="3411" spans="94:94">
      <c r="CP3411" s="13"/>
    </row>
    <row r="3412" spans="94:94">
      <c r="CP3412" s="13"/>
    </row>
    <row r="3413" spans="94:94">
      <c r="CP3413" s="13"/>
    </row>
    <row r="3414" spans="94:94">
      <c r="CP3414" s="13"/>
    </row>
    <row r="3415" spans="94:94">
      <c r="CP3415" s="13"/>
    </row>
    <row r="3416" spans="94:94">
      <c r="CP3416" s="13"/>
    </row>
    <row r="3417" spans="94:94">
      <c r="CP3417" s="13"/>
    </row>
    <row r="3418" spans="94:94">
      <c r="CP3418" s="13"/>
    </row>
    <row r="3419" spans="94:94">
      <c r="CP3419" s="13"/>
    </row>
    <row r="3420" spans="94:94">
      <c r="CP3420" s="13"/>
    </row>
    <row r="3421" spans="94:94">
      <c r="CP3421" s="13"/>
    </row>
    <row r="3422" spans="94:94">
      <c r="CP3422" s="13"/>
    </row>
    <row r="3423" spans="94:94">
      <c r="CP3423" s="13"/>
    </row>
    <row r="3424" spans="94:94">
      <c r="CP3424" s="13"/>
    </row>
    <row r="3425" spans="94:94">
      <c r="CP3425" s="13"/>
    </row>
    <row r="3426" spans="94:94">
      <c r="CP3426" s="13"/>
    </row>
    <row r="3427" spans="94:94">
      <c r="CP3427" s="13"/>
    </row>
    <row r="3428" spans="94:94">
      <c r="CP3428" s="13"/>
    </row>
    <row r="3429" spans="94:94">
      <c r="CP3429" s="13"/>
    </row>
    <row r="3430" spans="94:94">
      <c r="CP3430" s="13"/>
    </row>
    <row r="3431" spans="94:94">
      <c r="CP3431" s="13"/>
    </row>
    <row r="3432" spans="94:94">
      <c r="CP3432" s="13"/>
    </row>
    <row r="3433" spans="94:94">
      <c r="CP3433" s="13"/>
    </row>
    <row r="3434" spans="94:94">
      <c r="CP3434" s="13"/>
    </row>
    <row r="3435" spans="94:94">
      <c r="CP3435" s="13"/>
    </row>
    <row r="3436" spans="94:94">
      <c r="CP3436" s="13"/>
    </row>
    <row r="3437" spans="94:94">
      <c r="CP3437" s="13"/>
    </row>
    <row r="3438" spans="94:94">
      <c r="CP3438" s="13"/>
    </row>
    <row r="3439" spans="94:94">
      <c r="CP3439" s="13"/>
    </row>
    <row r="3440" spans="94:94">
      <c r="CP3440" s="13"/>
    </row>
    <row r="3441" spans="94:94">
      <c r="CP3441" s="13"/>
    </row>
    <row r="3442" spans="94:94">
      <c r="CP3442" s="13"/>
    </row>
    <row r="3443" spans="94:94">
      <c r="CP3443" s="13"/>
    </row>
    <row r="3444" spans="94:94">
      <c r="CP3444" s="13"/>
    </row>
    <row r="3445" spans="94:94">
      <c r="CP3445" s="13"/>
    </row>
    <row r="3446" spans="94:94">
      <c r="CP3446" s="13"/>
    </row>
    <row r="3447" spans="94:94">
      <c r="CP3447" s="13"/>
    </row>
    <row r="3448" spans="94:94">
      <c r="CP3448" s="13"/>
    </row>
    <row r="3449" spans="94:94">
      <c r="CP3449" s="13"/>
    </row>
    <row r="3450" spans="94:94">
      <c r="CP3450" s="13"/>
    </row>
    <row r="3451" spans="94:94">
      <c r="CP3451" s="13"/>
    </row>
    <row r="3452" spans="94:94">
      <c r="CP3452" s="13"/>
    </row>
    <row r="3453" spans="94:94">
      <c r="CP3453" s="13"/>
    </row>
    <row r="3454" spans="94:94">
      <c r="CP3454" s="13"/>
    </row>
    <row r="3455" spans="94:94">
      <c r="CP3455" s="13"/>
    </row>
    <row r="3456" spans="94:94">
      <c r="CP3456" s="13"/>
    </row>
    <row r="3457" spans="94:94">
      <c r="CP3457" s="13"/>
    </row>
    <row r="3458" spans="94:94">
      <c r="CP3458" s="13"/>
    </row>
    <row r="3459" spans="94:94">
      <c r="CP3459" s="13"/>
    </row>
    <row r="3460" spans="94:94">
      <c r="CP3460" s="13"/>
    </row>
    <row r="3461" spans="94:94">
      <c r="CP3461" s="13"/>
    </row>
    <row r="3462" spans="94:94">
      <c r="CP3462" s="13"/>
    </row>
    <row r="3463" spans="94:94">
      <c r="CP3463" s="13"/>
    </row>
    <row r="3464" spans="94:94">
      <c r="CP3464" s="13"/>
    </row>
    <row r="3465" spans="94:94">
      <c r="CP3465" s="13"/>
    </row>
    <row r="3466" spans="94:94">
      <c r="CP3466" s="13"/>
    </row>
    <row r="3467" spans="94:94">
      <c r="CP3467" s="13"/>
    </row>
    <row r="3468" spans="94:94">
      <c r="CP3468" s="13"/>
    </row>
    <row r="3469" spans="94:94">
      <c r="CP3469" s="13"/>
    </row>
    <row r="3470" spans="94:94">
      <c r="CP3470" s="13"/>
    </row>
    <row r="3471" spans="94:94">
      <c r="CP3471" s="13"/>
    </row>
    <row r="3472" spans="94:94">
      <c r="CP3472" s="13"/>
    </row>
    <row r="3473" spans="94:94">
      <c r="CP3473" s="13"/>
    </row>
    <row r="3474" spans="94:94">
      <c r="CP3474" s="13"/>
    </row>
    <row r="3475" spans="94:94">
      <c r="CP3475" s="13"/>
    </row>
    <row r="3476" spans="94:94">
      <c r="CP3476" s="13"/>
    </row>
    <row r="3477" spans="94:94">
      <c r="CP3477" s="13"/>
    </row>
    <row r="3478" spans="94:94">
      <c r="CP3478" s="13"/>
    </row>
    <row r="3479" spans="94:94">
      <c r="CP3479" s="13"/>
    </row>
    <row r="3480" spans="94:94">
      <c r="CP3480" s="13"/>
    </row>
    <row r="3481" spans="94:94">
      <c r="CP3481" s="13"/>
    </row>
    <row r="3482" spans="94:94">
      <c r="CP3482" s="13"/>
    </row>
    <row r="3483" spans="94:94">
      <c r="CP3483" s="13"/>
    </row>
    <row r="3484" spans="94:94">
      <c r="CP3484" s="13"/>
    </row>
    <row r="3485" spans="94:94">
      <c r="CP3485" s="13"/>
    </row>
    <row r="3486" spans="94:94">
      <c r="CP3486" s="13"/>
    </row>
    <row r="3487" spans="94:94">
      <c r="CP3487" s="13"/>
    </row>
    <row r="3488" spans="94:94">
      <c r="CP3488" s="13"/>
    </row>
    <row r="3489" spans="94:94">
      <c r="CP3489" s="13"/>
    </row>
    <row r="3490" spans="94:94">
      <c r="CP3490" s="13"/>
    </row>
    <row r="3491" spans="94:94">
      <c r="CP3491" s="13"/>
    </row>
    <row r="3492" spans="94:94">
      <c r="CP3492" s="13"/>
    </row>
    <row r="3493" spans="94:94">
      <c r="CP3493" s="13"/>
    </row>
    <row r="3494" spans="94:94">
      <c r="CP3494" s="13"/>
    </row>
    <row r="3495" spans="94:94">
      <c r="CP3495" s="13"/>
    </row>
    <row r="3496" spans="94:94">
      <c r="CP3496" s="13"/>
    </row>
    <row r="3497" spans="94:94">
      <c r="CP3497" s="13"/>
    </row>
    <row r="3498" spans="94:94">
      <c r="CP3498" s="13"/>
    </row>
    <row r="3499" spans="94:94">
      <c r="CP3499" s="13"/>
    </row>
    <row r="3500" spans="94:94">
      <c r="CP3500" s="13"/>
    </row>
    <row r="3501" spans="94:94">
      <c r="CP3501" s="13"/>
    </row>
    <row r="3502" spans="94:94">
      <c r="CP3502" s="13"/>
    </row>
    <row r="3503" spans="94:94">
      <c r="CP3503" s="13"/>
    </row>
    <row r="3504" spans="94:94">
      <c r="CP3504" s="13"/>
    </row>
    <row r="3505" spans="94:94">
      <c r="CP3505" s="13"/>
    </row>
    <row r="3506" spans="94:94">
      <c r="CP3506" s="13"/>
    </row>
    <row r="3507" spans="94:94">
      <c r="CP3507" s="13"/>
    </row>
    <row r="3508" spans="94:94">
      <c r="CP3508" s="13"/>
    </row>
    <row r="3509" spans="94:94">
      <c r="CP3509" s="13"/>
    </row>
    <row r="3510" spans="94:94">
      <c r="CP3510" s="13"/>
    </row>
    <row r="3511" spans="94:94">
      <c r="CP3511" s="13"/>
    </row>
    <row r="3512" spans="94:94">
      <c r="CP3512" s="13"/>
    </row>
    <row r="3513" spans="94:94">
      <c r="CP3513" s="13"/>
    </row>
    <row r="3514" spans="94:94">
      <c r="CP3514" s="13"/>
    </row>
    <row r="3515" spans="94:94">
      <c r="CP3515" s="13"/>
    </row>
    <row r="3516" spans="94:94">
      <c r="CP3516" s="13"/>
    </row>
    <row r="3517" spans="94:94">
      <c r="CP3517" s="13"/>
    </row>
    <row r="3518" spans="94:94">
      <c r="CP3518" s="13"/>
    </row>
    <row r="3519" spans="94:94">
      <c r="CP3519" s="13"/>
    </row>
    <row r="3520" spans="94:94">
      <c r="CP3520" s="13"/>
    </row>
    <row r="3521" spans="94:94">
      <c r="CP3521" s="13"/>
    </row>
    <row r="3522" spans="94:94">
      <c r="CP3522" s="13"/>
    </row>
    <row r="3523" spans="94:94">
      <c r="CP3523" s="13"/>
    </row>
    <row r="3524" spans="94:94">
      <c r="CP3524" s="13"/>
    </row>
    <row r="3525" spans="94:94">
      <c r="CP3525" s="13"/>
    </row>
    <row r="3526" spans="94:94">
      <c r="CP3526" s="13"/>
    </row>
    <row r="3527" spans="94:94">
      <c r="CP3527" s="13"/>
    </row>
    <row r="3528" spans="94:94">
      <c r="CP3528" s="13"/>
    </row>
    <row r="3529" spans="94:94">
      <c r="CP3529" s="13"/>
    </row>
    <row r="3530" spans="94:94">
      <c r="CP3530" s="13"/>
    </row>
    <row r="3531" spans="94:94">
      <c r="CP3531" s="13"/>
    </row>
    <row r="3532" spans="94:94">
      <c r="CP3532" s="13"/>
    </row>
    <row r="3533" spans="94:94">
      <c r="CP3533" s="13"/>
    </row>
    <row r="3534" spans="94:94">
      <c r="CP3534" s="13"/>
    </row>
    <row r="3535" spans="94:94">
      <c r="CP3535" s="13"/>
    </row>
    <row r="3536" spans="94:94">
      <c r="CP3536" s="13"/>
    </row>
    <row r="3537" spans="94:94">
      <c r="CP3537" s="13"/>
    </row>
    <row r="3538" spans="94:94">
      <c r="CP3538" s="13"/>
    </row>
    <row r="3539" spans="94:94">
      <c r="CP3539" s="13"/>
    </row>
    <row r="3540" spans="94:94">
      <c r="CP3540" s="13"/>
    </row>
    <row r="3541" spans="94:94">
      <c r="CP3541" s="13"/>
    </row>
    <row r="3542" spans="94:94">
      <c r="CP3542" s="13"/>
    </row>
    <row r="3543" spans="94:94">
      <c r="CP3543" s="13"/>
    </row>
    <row r="3544" spans="94:94">
      <c r="CP3544" s="13"/>
    </row>
    <row r="3545" spans="94:94">
      <c r="CP3545" s="13"/>
    </row>
    <row r="3546" spans="94:94">
      <c r="CP3546" s="13"/>
    </row>
    <row r="3547" spans="94:94">
      <c r="CP3547" s="13"/>
    </row>
    <row r="3548" spans="94:94">
      <c r="CP3548" s="13"/>
    </row>
    <row r="3549" spans="94:94">
      <c r="CP3549" s="13"/>
    </row>
    <row r="3550" spans="94:94">
      <c r="CP3550" s="13"/>
    </row>
    <row r="3551" spans="94:94">
      <c r="CP3551" s="13"/>
    </row>
    <row r="3552" spans="94:94">
      <c r="CP3552" s="13"/>
    </row>
    <row r="3553" spans="94:94">
      <c r="CP3553" s="13"/>
    </row>
    <row r="3554" spans="94:94">
      <c r="CP3554" s="13"/>
    </row>
    <row r="3555" spans="94:94">
      <c r="CP3555" s="13"/>
    </row>
    <row r="3556" spans="94:94">
      <c r="CP3556" s="13"/>
    </row>
    <row r="3557" spans="94:94">
      <c r="CP3557" s="13"/>
    </row>
    <row r="3558" spans="94:94">
      <c r="CP3558" s="13"/>
    </row>
    <row r="3559" spans="94:94">
      <c r="CP3559" s="13"/>
    </row>
    <row r="3560" spans="94:94">
      <c r="CP3560" s="13"/>
    </row>
    <row r="3561" spans="94:94">
      <c r="CP3561" s="13"/>
    </row>
    <row r="3562" spans="94:94">
      <c r="CP3562" s="13"/>
    </row>
    <row r="3563" spans="94:94">
      <c r="CP3563" s="13"/>
    </row>
    <row r="3564" spans="94:94">
      <c r="CP3564" s="13"/>
    </row>
    <row r="3565" spans="94:94">
      <c r="CP3565" s="13"/>
    </row>
    <row r="3566" spans="94:94">
      <c r="CP3566" s="13"/>
    </row>
    <row r="3567" spans="94:94">
      <c r="CP3567" s="13"/>
    </row>
    <row r="3568" spans="94:94">
      <c r="CP3568" s="13"/>
    </row>
    <row r="3569" spans="94:94">
      <c r="CP3569" s="13"/>
    </row>
    <row r="3570" spans="94:94">
      <c r="CP3570" s="13"/>
    </row>
    <row r="3571" spans="94:94">
      <c r="CP3571" s="13"/>
    </row>
    <row r="3572" spans="94:94">
      <c r="CP3572" s="13"/>
    </row>
    <row r="3573" spans="94:94">
      <c r="CP3573" s="13"/>
    </row>
    <row r="3574" spans="94:94">
      <c r="CP3574" s="13"/>
    </row>
    <row r="3575" spans="94:94">
      <c r="CP3575" s="13"/>
    </row>
    <row r="3576" spans="94:94">
      <c r="CP3576" s="13"/>
    </row>
    <row r="3577" spans="94:94">
      <c r="CP3577" s="13"/>
    </row>
    <row r="3578" spans="94:94">
      <c r="CP3578" s="13"/>
    </row>
    <row r="3579" spans="94:94">
      <c r="CP3579" s="13"/>
    </row>
    <row r="3580" spans="94:94">
      <c r="CP3580" s="13"/>
    </row>
    <row r="3581" spans="94:94">
      <c r="CP3581" s="13"/>
    </row>
    <row r="3582" spans="94:94">
      <c r="CP3582" s="13"/>
    </row>
    <row r="3583" spans="94:94">
      <c r="CP3583" s="13"/>
    </row>
    <row r="3584" spans="94:94">
      <c r="CP3584" s="13"/>
    </row>
    <row r="3585" spans="94:94">
      <c r="CP3585" s="13"/>
    </row>
    <row r="3586" spans="94:94">
      <c r="CP3586" s="13"/>
    </row>
    <row r="3587" spans="94:94">
      <c r="CP3587" s="13"/>
    </row>
    <row r="3588" spans="94:94">
      <c r="CP3588" s="13"/>
    </row>
    <row r="3589" spans="94:94">
      <c r="CP3589" s="13"/>
    </row>
    <row r="3590" spans="94:94">
      <c r="CP3590" s="13"/>
    </row>
    <row r="3591" spans="94:94">
      <c r="CP3591" s="13"/>
    </row>
    <row r="3592" spans="94:94">
      <c r="CP3592" s="13"/>
    </row>
    <row r="3593" spans="94:94">
      <c r="CP3593" s="13"/>
    </row>
    <row r="3594" spans="94:94">
      <c r="CP3594" s="13"/>
    </row>
    <row r="3595" spans="94:94">
      <c r="CP3595" s="13"/>
    </row>
    <row r="3596" spans="94:94">
      <c r="CP3596" s="13"/>
    </row>
    <row r="3597" spans="94:94">
      <c r="CP3597" s="13"/>
    </row>
    <row r="3598" spans="94:94">
      <c r="CP3598" s="13"/>
    </row>
    <row r="3599" spans="94:94">
      <c r="CP3599" s="13"/>
    </row>
    <row r="3600" spans="94:94">
      <c r="CP3600" s="13"/>
    </row>
    <row r="3601" spans="94:94">
      <c r="CP3601" s="13"/>
    </row>
    <row r="3602" spans="94:94">
      <c r="CP3602" s="13"/>
    </row>
    <row r="3603" spans="94:94">
      <c r="CP3603" s="13"/>
    </row>
    <row r="3604" spans="94:94">
      <c r="CP3604" s="13"/>
    </row>
    <row r="3605" spans="94:94">
      <c r="CP3605" s="13"/>
    </row>
    <row r="3606" spans="94:94">
      <c r="CP3606" s="13"/>
    </row>
    <row r="3607" spans="94:94">
      <c r="CP3607" s="13"/>
    </row>
    <row r="3608" spans="94:94">
      <c r="CP3608" s="13"/>
    </row>
    <row r="3609" spans="94:94">
      <c r="CP3609" s="13"/>
    </row>
    <row r="3610" spans="94:94">
      <c r="CP3610" s="13"/>
    </row>
    <row r="3611" spans="94:94">
      <c r="CP3611" s="13"/>
    </row>
    <row r="3612" spans="94:94">
      <c r="CP3612" s="13"/>
    </row>
    <row r="3613" spans="94:94">
      <c r="CP3613" s="13"/>
    </row>
    <row r="3614" spans="94:94">
      <c r="CP3614" s="13"/>
    </row>
    <row r="3615" spans="94:94">
      <c r="CP3615" s="13"/>
    </row>
    <row r="3616" spans="94:94">
      <c r="CP3616" s="13"/>
    </row>
    <row r="3617" spans="94:94">
      <c r="CP3617" s="13"/>
    </row>
    <row r="3618" spans="94:94">
      <c r="CP3618" s="13"/>
    </row>
    <row r="3619" spans="94:94">
      <c r="CP3619" s="13"/>
    </row>
    <row r="3620" spans="94:94">
      <c r="CP3620" s="13"/>
    </row>
    <row r="3621" spans="94:94">
      <c r="CP3621" s="13"/>
    </row>
    <row r="3622" spans="94:94">
      <c r="CP3622" s="13"/>
    </row>
    <row r="3623" spans="94:94">
      <c r="CP3623" s="13"/>
    </row>
    <row r="3624" spans="94:94">
      <c r="CP3624" s="13"/>
    </row>
    <row r="3625" spans="94:94">
      <c r="CP3625" s="13"/>
    </row>
    <row r="3626" spans="94:94">
      <c r="CP3626" s="13"/>
    </row>
    <row r="3627" spans="94:94">
      <c r="CP3627" s="13"/>
    </row>
    <row r="3628" spans="94:94">
      <c r="CP3628" s="13"/>
    </row>
    <row r="3629" spans="94:94">
      <c r="CP3629" s="13"/>
    </row>
    <row r="3630" spans="94:94">
      <c r="CP3630" s="13"/>
    </row>
    <row r="3631" spans="94:94">
      <c r="CP3631" s="13"/>
    </row>
    <row r="3632" spans="94:94">
      <c r="CP3632" s="13"/>
    </row>
    <row r="3633" spans="94:94">
      <c r="CP3633" s="13"/>
    </row>
    <row r="3634" spans="94:94">
      <c r="CP3634" s="13"/>
    </row>
    <row r="3635" spans="94:94">
      <c r="CP3635" s="13"/>
    </row>
    <row r="3636" spans="94:94">
      <c r="CP3636" s="13"/>
    </row>
    <row r="3637" spans="94:94">
      <c r="CP3637" s="13"/>
    </row>
    <row r="3638" spans="94:94">
      <c r="CP3638" s="13"/>
    </row>
    <row r="3639" spans="94:94">
      <c r="CP3639" s="13"/>
    </row>
    <row r="3640" spans="94:94">
      <c r="CP3640" s="13"/>
    </row>
    <row r="3641" spans="94:94">
      <c r="CP3641" s="13"/>
    </row>
    <row r="3642" spans="94:94">
      <c r="CP3642" s="13"/>
    </row>
    <row r="3643" spans="94:94">
      <c r="CP3643" s="13"/>
    </row>
    <row r="3644" spans="94:94">
      <c r="CP3644" s="13"/>
    </row>
    <row r="3645" spans="94:94">
      <c r="CP3645" s="13"/>
    </row>
    <row r="3646" spans="94:94">
      <c r="CP3646" s="13"/>
    </row>
    <row r="3647" spans="94:94">
      <c r="CP3647" s="13"/>
    </row>
    <row r="3648" spans="94:94">
      <c r="CP3648" s="13"/>
    </row>
    <row r="3649" spans="94:94">
      <c r="CP3649" s="13"/>
    </row>
  </sheetData>
  <mergeCells count="68">
    <mergeCell ref="CK6:CK7"/>
    <mergeCell ref="BT6:BX6"/>
    <mergeCell ref="BY6:BY7"/>
    <mergeCell ref="Z6:Z7"/>
    <mergeCell ref="AA6:AA7"/>
    <mergeCell ref="AB6:AB7"/>
    <mergeCell ref="CB6:CF6"/>
    <mergeCell ref="CG6:CG7"/>
    <mergeCell ref="BS6:BS7"/>
    <mergeCell ref="BJ6:BJ7"/>
    <mergeCell ref="BD6:BH6"/>
    <mergeCell ref="BI6:BI7"/>
    <mergeCell ref="BL6:BP6"/>
    <mergeCell ref="BQ6:BQ7"/>
    <mergeCell ref="AG6:AG7"/>
    <mergeCell ref="AH6:AH7"/>
    <mergeCell ref="R8:R95"/>
    <mergeCell ref="AA8:AA95"/>
    <mergeCell ref="AH8:AH95"/>
    <mergeCell ref="CH8:CH95"/>
    <mergeCell ref="AO8:AO95"/>
    <mergeCell ref="AU8:AU95"/>
    <mergeCell ref="BB8:BB95"/>
    <mergeCell ref="BJ8:BJ95"/>
    <mergeCell ref="BR8:BR95"/>
    <mergeCell ref="BZ8:BZ95"/>
    <mergeCell ref="A1:CP5"/>
    <mergeCell ref="BB6:BB7"/>
    <mergeCell ref="BK6:BK7"/>
    <mergeCell ref="A6:A7"/>
    <mergeCell ref="B6:B7"/>
    <mergeCell ref="C6:C7"/>
    <mergeCell ref="D6:D7"/>
    <mergeCell ref="E6:E7"/>
    <mergeCell ref="F6:F7"/>
    <mergeCell ref="G6:J6"/>
    <mergeCell ref="K6:K7"/>
    <mergeCell ref="L6:O6"/>
    <mergeCell ref="CJ6:CJ7"/>
    <mergeCell ref="BR6:BR7"/>
    <mergeCell ref="AW6:AZ6"/>
    <mergeCell ref="BA6:BA7"/>
    <mergeCell ref="CP6:CP7"/>
    <mergeCell ref="AC6:AF6"/>
    <mergeCell ref="AU6:AU7"/>
    <mergeCell ref="AV6:AV7"/>
    <mergeCell ref="AQ6:AS6"/>
    <mergeCell ref="AT6:AT7"/>
    <mergeCell ref="AO6:AO7"/>
    <mergeCell ref="CL6:CL7"/>
    <mergeCell ref="CM6:CM7"/>
    <mergeCell ref="CN6:CN7"/>
    <mergeCell ref="CO6:CO7"/>
    <mergeCell ref="BC6:BC7"/>
    <mergeCell ref="BZ6:BZ7"/>
    <mergeCell ref="CA6:CA7"/>
    <mergeCell ref="CH6:CH7"/>
    <mergeCell ref="CI6:CI7"/>
    <mergeCell ref="P6:P7"/>
    <mergeCell ref="Q6:Q7"/>
    <mergeCell ref="R6:R7"/>
    <mergeCell ref="S6:S7"/>
    <mergeCell ref="T6:V6"/>
    <mergeCell ref="AP6:AP7"/>
    <mergeCell ref="AI6:AI7"/>
    <mergeCell ref="AJ6:AM6"/>
    <mergeCell ref="AN6:AN7"/>
    <mergeCell ref="W6:Y6"/>
  </mergeCells>
  <conditionalFormatting sqref="AA89:AA93 BZ89:BZ93 AU89:AU93">
    <cfRule type="cellIs" dxfId="1" priority="1" operator="lessThan">
      <formula>28</formula>
    </cfRule>
  </conditionalFormatting>
  <pageMargins left="0" right="0" top="0" bottom="0" header="0.31496062992125984" footer="0"/>
  <pageSetup paperSize="5" scale="7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X98"/>
  <sheetViews>
    <sheetView zoomScale="70" zoomScaleNormal="70" workbookViewId="0">
      <pane xSplit="2" ySplit="8" topLeftCell="C55" activePane="bottomRight" state="frozen"/>
      <selection pane="topRight" activeCell="C1" sqref="C1"/>
      <selection pane="bottomLeft" activeCell="A9" sqref="A9"/>
      <selection pane="bottomRight" activeCell="BM71" sqref="BM71"/>
    </sheetView>
  </sheetViews>
  <sheetFormatPr defaultColWidth="3.7109375" defaultRowHeight="15.75"/>
  <cols>
    <col min="1" max="1" width="3.7109375" style="194" customWidth="1"/>
    <col min="2" max="2" width="5.5703125" style="194" customWidth="1"/>
    <col min="3" max="3" width="20.5703125" style="194" customWidth="1"/>
    <col min="4" max="4" width="24.85546875" style="13" hidden="1" customWidth="1"/>
    <col min="5" max="5" width="26.42578125" style="13" hidden="1" customWidth="1"/>
    <col min="6" max="6" width="23" style="13" hidden="1" customWidth="1"/>
    <col min="7" max="7" width="4.42578125" style="13" customWidth="1"/>
    <col min="8" max="13" width="3.7109375" customWidth="1"/>
    <col min="14" max="14" width="4.85546875" bestFit="1" customWidth="1"/>
    <col min="15" max="15" width="3.7109375" customWidth="1"/>
    <col min="16" max="16" width="4.5703125" customWidth="1"/>
    <col min="17" max="17" width="7.28515625" bestFit="1" customWidth="1"/>
    <col min="18" max="18" width="7" bestFit="1" customWidth="1"/>
    <col min="19" max="24" width="3.7109375" customWidth="1"/>
    <col min="25" max="25" width="4.85546875" customWidth="1"/>
    <col min="26" max="26" width="6.28515625" bestFit="1" customWidth="1"/>
    <col min="27" max="27" width="7" bestFit="1" customWidth="1"/>
    <col min="28" max="33" width="3.7109375" customWidth="1"/>
    <col min="34" max="34" width="5.7109375" customWidth="1"/>
    <col min="35" max="40" width="3.7109375" customWidth="1"/>
    <col min="41" max="41" width="5.85546875" customWidth="1"/>
    <col min="42" max="46" width="3.7109375" customWidth="1"/>
    <col min="47" max="47" width="5.7109375" customWidth="1"/>
    <col min="48" max="53" width="3.7109375" customWidth="1"/>
    <col min="54" max="54" width="6" customWidth="1"/>
    <col min="55" max="60" width="3.7109375" customWidth="1"/>
    <col min="61" max="61" width="6" customWidth="1"/>
    <col min="62" max="62" width="7" bestFit="1" customWidth="1"/>
    <col min="63" max="69" width="3.7109375" customWidth="1"/>
    <col min="70" max="70" width="6.28515625" customWidth="1"/>
    <col min="71" max="77" width="3.7109375" customWidth="1"/>
    <col min="78" max="78" width="6" customWidth="1"/>
    <col min="79" max="85" width="3.7109375" customWidth="1"/>
    <col min="86" max="86" width="5.7109375" customWidth="1"/>
    <col min="87" max="87" width="4.42578125" style="176" bestFit="1" customWidth="1"/>
    <col min="88" max="88" width="6" style="176" customWidth="1"/>
    <col min="89" max="89" width="5.7109375" style="176" bestFit="1" customWidth="1"/>
    <col min="90" max="90" width="9.28515625" style="176" bestFit="1" customWidth="1"/>
    <col min="91" max="91" width="19.140625" bestFit="1" customWidth="1"/>
    <col min="92" max="92" width="9.140625" style="225" bestFit="1" customWidth="1"/>
    <col min="93" max="93" width="11.5703125" customWidth="1"/>
    <col min="94" max="94" width="11" style="36" bestFit="1" customWidth="1"/>
    <col min="95" max="98" width="10.7109375" style="214" customWidth="1"/>
    <col min="99" max="101" width="10.7109375" style="195" customWidth="1"/>
    <col min="102" max="102" width="8.42578125" style="195" customWidth="1"/>
    <col min="103" max="16384" width="3.7109375" style="195"/>
  </cols>
  <sheetData>
    <row r="1" spans="1:102" ht="20.100000000000001" customHeight="1">
      <c r="A1" s="274" t="s">
        <v>91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4"/>
      <c r="AP1" s="274"/>
      <c r="AQ1" s="274"/>
      <c r="AR1" s="274"/>
      <c r="AS1" s="274"/>
      <c r="AT1" s="274"/>
      <c r="AU1" s="274"/>
      <c r="AV1" s="274"/>
      <c r="AW1" s="274"/>
      <c r="AX1" s="274"/>
      <c r="AY1" s="274"/>
      <c r="AZ1" s="274"/>
      <c r="BA1" s="274"/>
      <c r="BB1" s="274"/>
      <c r="BC1" s="274"/>
      <c r="BD1" s="274"/>
      <c r="BE1" s="274"/>
      <c r="BF1" s="274"/>
      <c r="BG1" s="274"/>
      <c r="BH1" s="274"/>
      <c r="BI1" s="274"/>
      <c r="BJ1" s="274"/>
      <c r="BK1" s="274"/>
      <c r="BL1" s="274"/>
      <c r="BM1" s="274"/>
      <c r="BN1" s="274"/>
      <c r="BO1" s="274"/>
      <c r="BP1" s="274"/>
      <c r="BQ1" s="274"/>
      <c r="BR1" s="274"/>
      <c r="BS1" s="274"/>
      <c r="BT1" s="274"/>
      <c r="BU1" s="274"/>
      <c r="BV1" s="274"/>
      <c r="BW1" s="274"/>
      <c r="BX1" s="274"/>
      <c r="BY1" s="274"/>
      <c r="BZ1" s="274"/>
      <c r="CA1" s="274"/>
      <c r="CB1" s="274"/>
      <c r="CC1" s="274"/>
      <c r="CD1" s="274"/>
      <c r="CE1" s="274"/>
      <c r="CF1" s="274"/>
      <c r="CG1" s="274"/>
      <c r="CH1" s="274"/>
      <c r="CI1" s="274"/>
      <c r="CJ1" s="274"/>
      <c r="CK1" s="274"/>
      <c r="CL1" s="274"/>
      <c r="CM1" s="274"/>
      <c r="CN1" s="274"/>
      <c r="CO1" s="274"/>
      <c r="CP1" s="274"/>
    </row>
    <row r="2" spans="1:102" ht="20.100000000000001" customHeight="1">
      <c r="A2" s="274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</row>
    <row r="3" spans="1:102" ht="20.100000000000001" customHeight="1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</row>
    <row r="4" spans="1:102" ht="20.100000000000001" customHeight="1">
      <c r="A4" s="274"/>
      <c r="B4" s="274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4"/>
      <c r="AM4" s="274"/>
      <c r="AN4" s="274"/>
      <c r="AO4" s="274"/>
      <c r="AP4" s="274"/>
      <c r="AQ4" s="274"/>
      <c r="AR4" s="274"/>
      <c r="AS4" s="274"/>
      <c r="AT4" s="274"/>
      <c r="AU4" s="274"/>
      <c r="AV4" s="274"/>
      <c r="AW4" s="274"/>
      <c r="AX4" s="274"/>
      <c r="AY4" s="274"/>
      <c r="AZ4" s="274"/>
      <c r="BA4" s="274"/>
      <c r="BB4" s="274"/>
      <c r="BC4" s="274"/>
      <c r="BD4" s="274"/>
      <c r="BE4" s="274"/>
      <c r="BF4" s="274"/>
      <c r="BG4" s="274"/>
      <c r="BH4" s="274"/>
      <c r="BI4" s="274"/>
      <c r="BJ4" s="274"/>
      <c r="BK4" s="274"/>
      <c r="BL4" s="274"/>
      <c r="BM4" s="274"/>
      <c r="BN4" s="274"/>
      <c r="BO4" s="274"/>
      <c r="BP4" s="274"/>
      <c r="BQ4" s="274"/>
      <c r="BR4" s="274"/>
      <c r="BS4" s="274"/>
      <c r="BT4" s="274"/>
      <c r="BU4" s="274"/>
      <c r="BV4" s="274"/>
      <c r="BW4" s="274"/>
      <c r="BX4" s="274"/>
      <c r="BY4" s="274"/>
      <c r="BZ4" s="274"/>
      <c r="CA4" s="274"/>
      <c r="CB4" s="274"/>
      <c r="CC4" s="274"/>
      <c r="CD4" s="274"/>
      <c r="CE4" s="274"/>
      <c r="CF4" s="274"/>
      <c r="CG4" s="274"/>
      <c r="CH4" s="274"/>
      <c r="CI4" s="274"/>
      <c r="CJ4" s="274"/>
      <c r="CK4" s="274"/>
      <c r="CL4" s="274"/>
      <c r="CM4" s="274"/>
      <c r="CN4" s="274"/>
      <c r="CO4" s="274"/>
      <c r="CP4" s="274"/>
    </row>
    <row r="5" spans="1:102" ht="20.100000000000001" customHeight="1">
      <c r="A5" s="274"/>
      <c r="B5" s="274"/>
      <c r="C5" s="274"/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4"/>
      <c r="AM5" s="274"/>
      <c r="AN5" s="274"/>
      <c r="AO5" s="274"/>
      <c r="AP5" s="274"/>
      <c r="AQ5" s="274"/>
      <c r="AR5" s="274"/>
      <c r="AS5" s="274"/>
      <c r="AT5" s="274"/>
      <c r="AU5" s="274"/>
      <c r="AV5" s="274"/>
      <c r="AW5" s="274"/>
      <c r="AX5" s="274"/>
      <c r="AY5" s="274"/>
      <c r="AZ5" s="274"/>
      <c r="BA5" s="274"/>
      <c r="BB5" s="274"/>
      <c r="BC5" s="274"/>
      <c r="BD5" s="274"/>
      <c r="BE5" s="274"/>
      <c r="BF5" s="274"/>
      <c r="BG5" s="274"/>
      <c r="BH5" s="274"/>
      <c r="BI5" s="274"/>
      <c r="BJ5" s="274"/>
      <c r="BK5" s="274"/>
      <c r="BL5" s="274"/>
      <c r="BM5" s="274"/>
      <c r="BN5" s="274"/>
      <c r="BO5" s="274"/>
      <c r="BP5" s="274"/>
      <c r="BQ5" s="274"/>
      <c r="BR5" s="274"/>
      <c r="BS5" s="274"/>
      <c r="BT5" s="274"/>
      <c r="BU5" s="274"/>
      <c r="BV5" s="274"/>
      <c r="BW5" s="274"/>
      <c r="BX5" s="274"/>
      <c r="BY5" s="274"/>
      <c r="BZ5" s="274"/>
      <c r="CA5" s="274"/>
      <c r="CB5" s="274"/>
      <c r="CC5" s="274"/>
      <c r="CD5" s="274"/>
      <c r="CE5" s="274"/>
      <c r="CF5" s="274"/>
      <c r="CG5" s="274"/>
      <c r="CH5" s="274"/>
      <c r="CI5" s="274"/>
      <c r="CJ5" s="274"/>
      <c r="CK5" s="274"/>
      <c r="CL5" s="274"/>
      <c r="CM5" s="274"/>
      <c r="CN5" s="274"/>
      <c r="CO5" s="274"/>
      <c r="CP5" s="274"/>
      <c r="CQ5" s="286" t="s">
        <v>416</v>
      </c>
      <c r="CR5" s="286"/>
      <c r="CS5" s="286"/>
      <c r="CT5" s="286"/>
      <c r="CU5" s="286"/>
    </row>
    <row r="6" spans="1:102" s="196" customFormat="1" ht="23.1" customHeight="1">
      <c r="A6" s="275" t="s">
        <v>10</v>
      </c>
      <c r="B6" s="275" t="s">
        <v>0</v>
      </c>
      <c r="C6" s="268" t="s">
        <v>12</v>
      </c>
      <c r="D6" s="268" t="s">
        <v>51</v>
      </c>
      <c r="E6" s="268" t="s">
        <v>11</v>
      </c>
      <c r="F6" s="268" t="s">
        <v>14</v>
      </c>
      <c r="G6" s="268" t="s">
        <v>16</v>
      </c>
      <c r="H6" s="268"/>
      <c r="I6" s="268"/>
      <c r="J6" s="268"/>
      <c r="K6" s="278" t="s">
        <v>81</v>
      </c>
      <c r="L6" s="268" t="s">
        <v>15</v>
      </c>
      <c r="M6" s="268"/>
      <c r="N6" s="268"/>
      <c r="O6" s="268"/>
      <c r="P6" s="272" t="s">
        <v>81</v>
      </c>
      <c r="Q6" s="268" t="s">
        <v>82</v>
      </c>
      <c r="R6" s="268" t="s">
        <v>52</v>
      </c>
      <c r="S6" s="268" t="s">
        <v>2</v>
      </c>
      <c r="T6" s="269" t="s">
        <v>83</v>
      </c>
      <c r="U6" s="270"/>
      <c r="V6" s="271"/>
      <c r="W6" s="269" t="s">
        <v>84</v>
      </c>
      <c r="X6" s="270"/>
      <c r="Y6" s="271"/>
      <c r="Z6" s="272" t="s">
        <v>1</v>
      </c>
      <c r="AA6" s="268" t="s">
        <v>52</v>
      </c>
      <c r="AB6" s="268" t="s">
        <v>2</v>
      </c>
      <c r="AC6" s="268" t="s">
        <v>43</v>
      </c>
      <c r="AD6" s="268"/>
      <c r="AE6" s="268"/>
      <c r="AF6" s="268"/>
      <c r="AG6" s="268" t="s">
        <v>1</v>
      </c>
      <c r="AH6" s="268" t="s">
        <v>52</v>
      </c>
      <c r="AI6" s="268" t="s">
        <v>2</v>
      </c>
      <c r="AJ6" s="268" t="s">
        <v>3</v>
      </c>
      <c r="AK6" s="268"/>
      <c r="AL6" s="268"/>
      <c r="AM6" s="268"/>
      <c r="AN6" s="268" t="s">
        <v>1</v>
      </c>
      <c r="AO6" s="268" t="s">
        <v>52</v>
      </c>
      <c r="AP6" s="268" t="s">
        <v>2</v>
      </c>
      <c r="AQ6" s="268" t="s">
        <v>4</v>
      </c>
      <c r="AR6" s="268"/>
      <c r="AS6" s="268"/>
      <c r="AT6" s="268" t="s">
        <v>1</v>
      </c>
      <c r="AU6" s="268" t="s">
        <v>52</v>
      </c>
      <c r="AV6" s="268" t="s">
        <v>2</v>
      </c>
      <c r="AW6" s="268" t="s">
        <v>48</v>
      </c>
      <c r="AX6" s="268"/>
      <c r="AY6" s="268"/>
      <c r="AZ6" s="268"/>
      <c r="BA6" s="268" t="s">
        <v>1</v>
      </c>
      <c r="BB6" s="268" t="s">
        <v>52</v>
      </c>
      <c r="BC6" s="268" t="s">
        <v>2</v>
      </c>
      <c r="BD6" s="268" t="s">
        <v>41</v>
      </c>
      <c r="BE6" s="268"/>
      <c r="BF6" s="268"/>
      <c r="BG6" s="268"/>
      <c r="BH6" s="268"/>
      <c r="BI6" s="268" t="s">
        <v>1</v>
      </c>
      <c r="BJ6" s="268" t="s">
        <v>52</v>
      </c>
      <c r="BK6" s="268" t="s">
        <v>2</v>
      </c>
      <c r="BL6" s="268" t="s">
        <v>42</v>
      </c>
      <c r="BM6" s="268"/>
      <c r="BN6" s="268"/>
      <c r="BO6" s="268"/>
      <c r="BP6" s="268"/>
      <c r="BQ6" s="268" t="s">
        <v>1</v>
      </c>
      <c r="BR6" s="268" t="s">
        <v>52</v>
      </c>
      <c r="BS6" s="268" t="s">
        <v>2</v>
      </c>
      <c r="BT6" s="268" t="s">
        <v>49</v>
      </c>
      <c r="BU6" s="268"/>
      <c r="BV6" s="268"/>
      <c r="BW6" s="268"/>
      <c r="BX6" s="268"/>
      <c r="BY6" s="268" t="s">
        <v>1</v>
      </c>
      <c r="BZ6" s="268" t="s">
        <v>52</v>
      </c>
      <c r="CA6" s="268" t="s">
        <v>2</v>
      </c>
      <c r="CB6" s="268" t="s">
        <v>412</v>
      </c>
      <c r="CC6" s="268"/>
      <c r="CD6" s="268"/>
      <c r="CE6" s="268"/>
      <c r="CF6" s="268"/>
      <c r="CG6" s="268" t="s">
        <v>1</v>
      </c>
      <c r="CH6" s="268" t="s">
        <v>52</v>
      </c>
      <c r="CI6" s="292" t="s">
        <v>2</v>
      </c>
      <c r="CJ6" s="299" t="s">
        <v>5</v>
      </c>
      <c r="CK6" s="299" t="s">
        <v>6</v>
      </c>
      <c r="CL6" s="292" t="s">
        <v>54</v>
      </c>
      <c r="CM6" s="272" t="s">
        <v>44</v>
      </c>
      <c r="CN6" s="295" t="s">
        <v>45</v>
      </c>
      <c r="CO6" s="297" t="s">
        <v>47</v>
      </c>
      <c r="CP6" s="297" t="s">
        <v>46</v>
      </c>
      <c r="CQ6" s="287" t="s">
        <v>417</v>
      </c>
      <c r="CR6" s="287" t="s">
        <v>418</v>
      </c>
      <c r="CS6" s="287" t="s">
        <v>419</v>
      </c>
      <c r="CT6" s="289" t="s">
        <v>420</v>
      </c>
      <c r="CU6" s="287" t="s">
        <v>417</v>
      </c>
      <c r="CV6" s="287" t="s">
        <v>418</v>
      </c>
      <c r="CW6" s="287" t="s">
        <v>419</v>
      </c>
      <c r="CX6" s="289" t="s">
        <v>420</v>
      </c>
    </row>
    <row r="7" spans="1:102" s="196" customFormat="1" ht="21" customHeight="1">
      <c r="A7" s="275"/>
      <c r="B7" s="275"/>
      <c r="C7" s="268"/>
      <c r="D7" s="268"/>
      <c r="E7" s="268"/>
      <c r="F7" s="268"/>
      <c r="G7" s="32" t="s">
        <v>13</v>
      </c>
      <c r="H7" s="68" t="s">
        <v>7</v>
      </c>
      <c r="I7" s="34" t="s">
        <v>53</v>
      </c>
      <c r="J7" s="68" t="s">
        <v>8</v>
      </c>
      <c r="K7" s="279"/>
      <c r="L7" s="32" t="s">
        <v>13</v>
      </c>
      <c r="M7" s="68" t="s">
        <v>7</v>
      </c>
      <c r="N7" s="34" t="s">
        <v>53</v>
      </c>
      <c r="O7" s="68" t="s">
        <v>8</v>
      </c>
      <c r="P7" s="273"/>
      <c r="Q7" s="268"/>
      <c r="R7" s="268"/>
      <c r="S7" s="268"/>
      <c r="T7" s="32" t="s">
        <v>13</v>
      </c>
      <c r="U7" s="33" t="s">
        <v>7</v>
      </c>
      <c r="V7" s="34" t="s">
        <v>53</v>
      </c>
      <c r="W7" s="68" t="s">
        <v>13</v>
      </c>
      <c r="X7" s="33" t="s">
        <v>7</v>
      </c>
      <c r="Y7" s="34" t="s">
        <v>53</v>
      </c>
      <c r="Z7" s="273"/>
      <c r="AA7" s="268"/>
      <c r="AB7" s="268"/>
      <c r="AC7" s="32" t="s">
        <v>13</v>
      </c>
      <c r="AD7" s="68" t="s">
        <v>7</v>
      </c>
      <c r="AE7" s="34" t="s">
        <v>53</v>
      </c>
      <c r="AF7" s="68" t="s">
        <v>8</v>
      </c>
      <c r="AG7" s="268"/>
      <c r="AH7" s="268"/>
      <c r="AI7" s="268"/>
      <c r="AJ7" s="32" t="s">
        <v>13</v>
      </c>
      <c r="AK7" s="68" t="s">
        <v>7</v>
      </c>
      <c r="AL7" s="34" t="s">
        <v>53</v>
      </c>
      <c r="AM7" s="68" t="s">
        <v>8</v>
      </c>
      <c r="AN7" s="268"/>
      <c r="AO7" s="268"/>
      <c r="AP7" s="268"/>
      <c r="AQ7" s="32" t="s">
        <v>13</v>
      </c>
      <c r="AR7" s="68" t="s">
        <v>8</v>
      </c>
      <c r="AS7" s="68" t="s">
        <v>9</v>
      </c>
      <c r="AT7" s="268"/>
      <c r="AU7" s="268"/>
      <c r="AV7" s="268"/>
      <c r="AW7" s="32" t="s">
        <v>13</v>
      </c>
      <c r="AX7" s="68" t="s">
        <v>7</v>
      </c>
      <c r="AY7" s="34" t="s">
        <v>53</v>
      </c>
      <c r="AZ7" s="68" t="s">
        <v>8</v>
      </c>
      <c r="BA7" s="268"/>
      <c r="BB7" s="268"/>
      <c r="BC7" s="268"/>
      <c r="BD7" s="32" t="s">
        <v>13</v>
      </c>
      <c r="BE7" s="68" t="s">
        <v>7</v>
      </c>
      <c r="BF7" s="34" t="s">
        <v>53</v>
      </c>
      <c r="BG7" s="68" t="s">
        <v>8</v>
      </c>
      <c r="BH7" s="68" t="s">
        <v>9</v>
      </c>
      <c r="BI7" s="268"/>
      <c r="BJ7" s="268"/>
      <c r="BK7" s="268"/>
      <c r="BL7" s="32" t="s">
        <v>13</v>
      </c>
      <c r="BM7" s="68" t="s">
        <v>7</v>
      </c>
      <c r="BN7" s="34" t="s">
        <v>53</v>
      </c>
      <c r="BO7" s="68" t="s">
        <v>8</v>
      </c>
      <c r="BP7" s="68" t="s">
        <v>9</v>
      </c>
      <c r="BQ7" s="268"/>
      <c r="BR7" s="268"/>
      <c r="BS7" s="268"/>
      <c r="BT7" s="32" t="s">
        <v>13</v>
      </c>
      <c r="BU7" s="68" t="s">
        <v>7</v>
      </c>
      <c r="BV7" s="34" t="s">
        <v>53</v>
      </c>
      <c r="BW7" s="68" t="s">
        <v>8</v>
      </c>
      <c r="BX7" s="68" t="s">
        <v>9</v>
      </c>
      <c r="BY7" s="268"/>
      <c r="BZ7" s="268"/>
      <c r="CA7" s="268"/>
      <c r="CB7" s="32" t="s">
        <v>13</v>
      </c>
      <c r="CC7" s="145" t="s">
        <v>7</v>
      </c>
      <c r="CD7" s="34" t="s">
        <v>53</v>
      </c>
      <c r="CE7" s="145" t="s">
        <v>8</v>
      </c>
      <c r="CF7" s="145" t="s">
        <v>9</v>
      </c>
      <c r="CG7" s="268"/>
      <c r="CH7" s="268"/>
      <c r="CI7" s="293"/>
      <c r="CJ7" s="299"/>
      <c r="CK7" s="299"/>
      <c r="CL7" s="293"/>
      <c r="CM7" s="273"/>
      <c r="CN7" s="296"/>
      <c r="CO7" s="298"/>
      <c r="CP7" s="298"/>
      <c r="CQ7" s="288"/>
      <c r="CR7" s="288"/>
      <c r="CS7" s="288"/>
      <c r="CT7" s="290"/>
      <c r="CU7" s="288"/>
      <c r="CV7" s="288"/>
      <c r="CW7" s="288"/>
      <c r="CX7" s="290"/>
    </row>
    <row r="8" spans="1:102" s="197" customFormat="1" ht="27" customHeight="1">
      <c r="A8" s="144">
        <v>1</v>
      </c>
      <c r="B8" s="117">
        <v>1</v>
      </c>
      <c r="C8" s="177" t="s">
        <v>92</v>
      </c>
      <c r="D8" s="57" t="s">
        <v>93</v>
      </c>
      <c r="E8" s="57" t="s">
        <v>94</v>
      </c>
      <c r="F8" s="58" t="s">
        <v>95</v>
      </c>
      <c r="G8" s="148">
        <v>19</v>
      </c>
      <c r="H8" s="149">
        <v>41</v>
      </c>
      <c r="I8" s="150">
        <f>H8+G8</f>
        <v>60</v>
      </c>
      <c r="J8" s="149">
        <v>25</v>
      </c>
      <c r="K8" s="150">
        <f>I8+J8</f>
        <v>85</v>
      </c>
      <c r="L8" s="148">
        <v>19</v>
      </c>
      <c r="M8" s="149">
        <v>43</v>
      </c>
      <c r="N8" s="150">
        <f>M8+L8</f>
        <v>62</v>
      </c>
      <c r="O8" s="149">
        <v>29</v>
      </c>
      <c r="P8" s="150">
        <f>N8+O8</f>
        <v>91</v>
      </c>
      <c r="Q8" s="150">
        <f>K8+P8</f>
        <v>176</v>
      </c>
      <c r="R8" s="291">
        <f>MAX(Q8:Q95)</f>
        <v>176</v>
      </c>
      <c r="S8" s="149">
        <f>IF(I8+N8&lt;=56,"F",IF(I8+N8&lt;=24,"F",IF(Q8&lt;80,"F",IF(Q8&lt;100,2,IF(Q8&lt;120,3,IF(Q8&lt;140,3.5,IF(Q8&lt;160,4,5)))))))</f>
        <v>5</v>
      </c>
      <c r="T8" s="148">
        <v>20</v>
      </c>
      <c r="U8" s="149">
        <v>66</v>
      </c>
      <c r="V8" s="150">
        <f>U8+T8</f>
        <v>86</v>
      </c>
      <c r="W8" s="149">
        <v>18</v>
      </c>
      <c r="X8" s="149">
        <v>66</v>
      </c>
      <c r="Y8" s="150">
        <f>W8+X8</f>
        <v>84</v>
      </c>
      <c r="Z8" s="150">
        <f>V8+Y8</f>
        <v>170</v>
      </c>
      <c r="AA8" s="291">
        <f>MAX(Z8:Z95)</f>
        <v>173</v>
      </c>
      <c r="AB8" s="149">
        <f t="shared" ref="AB8:AB95" si="0">IF(Z8&lt;80,"F",IF(Z8&lt;100,2,IF(Z8&lt;120,3,IF(Z8&lt;140,3.5,IF(Z8&lt;160,4,5)))))</f>
        <v>5</v>
      </c>
      <c r="AC8" s="148">
        <v>18</v>
      </c>
      <c r="AD8" s="149">
        <v>43</v>
      </c>
      <c r="AE8" s="150">
        <f>AD8+AC8</f>
        <v>61</v>
      </c>
      <c r="AF8" s="149">
        <v>19</v>
      </c>
      <c r="AG8" s="150">
        <f>AF8+AE8</f>
        <v>80</v>
      </c>
      <c r="AH8" s="291">
        <f>MAX(AG8:AG95)</f>
        <v>95</v>
      </c>
      <c r="AI8" s="149">
        <f t="shared" ref="AI8:AI71" si="1">IF(AE8&lt;28,"F",IF(AF8&lt;12,"F",IF(AG8&lt;40,"F",IF(AG8&lt;50,2,IF(AG8&lt;60,3,IF(AG8&lt;70,3.5,IF(AG8&lt;80,4,5)))))))</f>
        <v>5</v>
      </c>
      <c r="AJ8" s="148">
        <v>20</v>
      </c>
      <c r="AK8" s="149">
        <v>49</v>
      </c>
      <c r="AL8" s="150">
        <f>AK8+AJ8</f>
        <v>69</v>
      </c>
      <c r="AM8" s="149">
        <v>24</v>
      </c>
      <c r="AN8" s="150">
        <f>AL8+AM8</f>
        <v>93</v>
      </c>
      <c r="AO8" s="291">
        <f>MAX(AN8:AN95)</f>
        <v>97</v>
      </c>
      <c r="AP8" s="149">
        <f t="shared" ref="AP8:AP71" si="2">IF(AL8&lt;28,"F",IF(AM8&lt;12,"F",IF(AN8&lt;40,"F",IF(AN8&lt;50,2,IF(AN8&lt;60,3,IF(AN8&lt;70,3.5,IF(AN8&lt;80,4,5)))))))</f>
        <v>5</v>
      </c>
      <c r="AQ8" s="148"/>
      <c r="AR8" s="149">
        <v>19</v>
      </c>
      <c r="AS8" s="149">
        <v>24</v>
      </c>
      <c r="AT8" s="149">
        <f>SUM(AQ8:AS8)</f>
        <v>43</v>
      </c>
      <c r="AU8" s="294">
        <f>MAX(AT8:AT95)</f>
        <v>48</v>
      </c>
      <c r="AV8" s="149">
        <f>IF(AR8&lt;10,"F",IF(AS8&lt;10,"F",IF(AT8&lt;20,"F",IF(AT8&lt;25,2,IF(AT8&lt;30,3,IF(AT8&lt;35,3.5,IF(AT8&lt;40,4,5)))))))</f>
        <v>5</v>
      </c>
      <c r="AW8" s="148">
        <v>19</v>
      </c>
      <c r="AX8" s="149">
        <v>39</v>
      </c>
      <c r="AY8" s="150">
        <f>AX8+AW8</f>
        <v>58</v>
      </c>
      <c r="AZ8" s="149">
        <v>25</v>
      </c>
      <c r="BA8" s="150">
        <f>AY8+AZ8</f>
        <v>83</v>
      </c>
      <c r="BB8" s="291">
        <f>MAX(BA8:BA95)</f>
        <v>91</v>
      </c>
      <c r="BC8" s="149">
        <f>IF(AY8&lt;28,"F",IF(AZ8&lt;12,"F",IF(BA8&lt;40,"F",IF(BA8&lt;50,2,IF(BA8&lt;60,3,IF(BA8&lt;70,3.5,IF(BA8&lt;80,4,5)))))))</f>
        <v>5</v>
      </c>
      <c r="BD8" s="148">
        <v>10</v>
      </c>
      <c r="BE8" s="149">
        <v>40</v>
      </c>
      <c r="BF8" s="150">
        <f>BE8+BD8</f>
        <v>50</v>
      </c>
      <c r="BG8" s="149">
        <v>25</v>
      </c>
      <c r="BH8" s="149">
        <v>25</v>
      </c>
      <c r="BI8" s="150">
        <f>BF8+BG8+BH8</f>
        <v>100</v>
      </c>
      <c r="BJ8" s="291">
        <f>MAX(BI8:BI95)</f>
        <v>100</v>
      </c>
      <c r="BK8" s="149">
        <f t="shared" ref="BK8:BK95" si="3">IF(BF8&lt;20,"F",IF(BG8&lt;10,"F",IF(BH8&lt;10,"F",IF(BI8&lt;40,"F",IF(BI8&lt;50,2,IF(BI8&lt;60,3,IF(BI8&lt;70,3.5,IF(BI8&lt;80,4,5))))))))</f>
        <v>5</v>
      </c>
      <c r="BL8" s="148">
        <v>10</v>
      </c>
      <c r="BM8" s="149">
        <v>38</v>
      </c>
      <c r="BN8" s="150">
        <f>BM8+BL8</f>
        <v>48</v>
      </c>
      <c r="BO8" s="149">
        <v>24</v>
      </c>
      <c r="BP8" s="149">
        <v>25</v>
      </c>
      <c r="BQ8" s="150">
        <f>BN8+BO8+BP8</f>
        <v>97</v>
      </c>
      <c r="BR8" s="291">
        <f>MAX(BQ8:BQ95)</f>
        <v>98</v>
      </c>
      <c r="BS8" s="149">
        <f>IF(BN8&lt;20,"F",IF(BO8&lt;10,"F",IF(BP8&lt;10,"F",IF(BQ8&lt;40,"F",IF(BQ8&lt;50,2,IF(BQ8&lt;60,3,IF(BQ8&lt;70,3.5,IF(BQ8&lt;80,4,5))))))))</f>
        <v>5</v>
      </c>
      <c r="BT8" s="148">
        <v>10</v>
      </c>
      <c r="BU8" s="149">
        <v>40</v>
      </c>
      <c r="BV8" s="150">
        <f>BU8+BT8</f>
        <v>50</v>
      </c>
      <c r="BW8" s="149">
        <v>20</v>
      </c>
      <c r="BX8" s="149">
        <v>25</v>
      </c>
      <c r="BY8" s="150">
        <f>BV8+BW8+BX8</f>
        <v>95</v>
      </c>
      <c r="BZ8" s="291">
        <f>MAX(BY8:BY95)</f>
        <v>96</v>
      </c>
      <c r="CA8" s="149">
        <f>IF(BV8&lt;20,"F",IF(BW8&lt;10,"F",IF(BX8&lt;10,"F",IF(BY8&lt;40,"F",IF(BY8&lt;50,2,IF(BY8&lt;60,3,IF(BY8&lt;70,3.5,IF(BY8&lt;80,4,5))))))))</f>
        <v>5</v>
      </c>
      <c r="CB8" s="148">
        <v>9</v>
      </c>
      <c r="CC8" s="149">
        <v>26</v>
      </c>
      <c r="CD8" s="150">
        <f>CC8+CB8</f>
        <v>35</v>
      </c>
      <c r="CE8" s="149">
        <v>19</v>
      </c>
      <c r="CF8" s="149">
        <v>23</v>
      </c>
      <c r="CG8" s="150">
        <f>CD8+CE8+CF8</f>
        <v>77</v>
      </c>
      <c r="CH8" s="291">
        <f>MAX(CG8:CG95)</f>
        <v>91</v>
      </c>
      <c r="CI8" s="164">
        <f>IF(CD8&lt;20,"0",IF(CE8&lt;10,"0",IF(CF8&lt;10,"0",IF(CG8&lt;40,"0",IF(CG8&lt;50,2,IF(CG8&lt;60,3,IF(CG8&lt;70,3.5,IF(CG8&lt;80,4,5))))))))</f>
        <v>4</v>
      </c>
      <c r="CJ8" s="149">
        <f t="shared" ref="CJ8:CJ71" si="4">IF(S8="F","F",IF(AB8="F","F",IF(AI8="F","F",IF(AP8="F","F",IF(BC8="F","F",IF(BK8="F","F",IF(BS8="F","F",IF(CA8="F","F",IF(CI8="F","F",IF(AV8="F","F", IF(CI8&lt;=2,SUM(S8,AB8,AI8,AP8,AV8,BC8,BK8,BS8,CA8,CI8),IF(CI8&gt;=2,SUM(S8,AB8,AI8,AP8,BC8,BK8,AV8,BS8,CA8,CI8-2)))))))))))))</f>
        <v>47</v>
      </c>
      <c r="CK8" s="165">
        <f>IF(CJ8="F","F",IF(CJ8&gt;=45,5,IF(CJ8&lt;45,CJ8/9)))</f>
        <v>5</v>
      </c>
      <c r="CL8" s="165" t="str">
        <f>IF(CK8="F","F",IF(CK8&lt;2.5,"D",IF(CK8&lt;3,"C",IF(CK8&lt;3.5,"B",IF(CK8&lt;4,"A-",IF(CK8&lt;5,"A","A+"))))))</f>
        <v>A+</v>
      </c>
      <c r="CM8" s="37" t="str">
        <f t="shared" ref="CM8:CM71" si="5">IF(CK8="F","NEED TO PROGRESS",IF(CK8&gt;=5,"BEST",IF(CK8&gt;=4,"BETTER",IF(CK8&gt;=2,"GOOD"))))</f>
        <v>BEST</v>
      </c>
      <c r="CN8" s="217">
        <f t="shared" ref="CN8:CN71" si="6">Q8+Z8+AG8+AN8+AT8+BA8+BI8+BQ8+BY8+CG8</f>
        <v>1014</v>
      </c>
      <c r="CO8" s="37"/>
      <c r="CP8" s="40"/>
      <c r="CQ8" s="215">
        <f>'1ST_SEMESTER'!CN8</f>
        <v>995</v>
      </c>
      <c r="CR8" s="215">
        <f>'2ND_SEMESTER'!CN8</f>
        <v>999</v>
      </c>
      <c r="CS8" s="215">
        <f>CN8</f>
        <v>1014</v>
      </c>
      <c r="CT8" s="215">
        <f>AVERAGE(CQ8:CS8)</f>
        <v>1002.6666666666666</v>
      </c>
      <c r="CU8" s="226">
        <f>'1ST_SEMESTER'!CK8</f>
        <v>5</v>
      </c>
      <c r="CV8" s="226">
        <f>'2ND_SEMESTER'!CK8</f>
        <v>5</v>
      </c>
      <c r="CW8" s="226">
        <f>CK8</f>
        <v>5</v>
      </c>
      <c r="CX8" s="226">
        <f>AVERAGE(CU8:CW8)</f>
        <v>5</v>
      </c>
    </row>
    <row r="9" spans="1:102" s="197" customFormat="1" ht="27" customHeight="1">
      <c r="A9" s="144">
        <v>2</v>
      </c>
      <c r="B9" s="117">
        <v>2</v>
      </c>
      <c r="C9" s="177" t="s">
        <v>96</v>
      </c>
      <c r="D9" s="57" t="s">
        <v>93</v>
      </c>
      <c r="E9" s="57" t="s">
        <v>94</v>
      </c>
      <c r="F9" s="58" t="s">
        <v>97</v>
      </c>
      <c r="G9" s="148">
        <v>19</v>
      </c>
      <c r="H9" s="149">
        <v>41</v>
      </c>
      <c r="I9" s="150">
        <f t="shared" ref="I9:I72" si="7">H9+G9</f>
        <v>60</v>
      </c>
      <c r="J9" s="149">
        <v>26</v>
      </c>
      <c r="K9" s="150">
        <f>I9+J9</f>
        <v>86</v>
      </c>
      <c r="L9" s="148">
        <v>19</v>
      </c>
      <c r="M9" s="149">
        <v>43</v>
      </c>
      <c r="N9" s="150">
        <f t="shared" ref="N9:N72" si="8">M9+L9</f>
        <v>62</v>
      </c>
      <c r="O9" s="149">
        <v>28</v>
      </c>
      <c r="P9" s="150">
        <f t="shared" ref="P9:P72" si="9">N9+O9</f>
        <v>90</v>
      </c>
      <c r="Q9" s="150">
        <f t="shared" ref="Q9:Q72" si="10">K9+P9</f>
        <v>176</v>
      </c>
      <c r="R9" s="291"/>
      <c r="S9" s="149">
        <f t="shared" ref="S9:S95" si="11">IF(I9+N9&lt;=56,"F",IF(I9+N9&lt;=24,"F",IF(Q9&lt;80,"F",IF(Q9&lt;100,2,IF(Q9&lt;120,3,IF(Q9&lt;140,3.5,IF(Q9&lt;160,4,5)))))))</f>
        <v>5</v>
      </c>
      <c r="T9" s="148">
        <v>20</v>
      </c>
      <c r="U9" s="149">
        <v>66</v>
      </c>
      <c r="V9" s="150">
        <f t="shared" ref="V9:V72" si="12">U9+T9</f>
        <v>86</v>
      </c>
      <c r="W9" s="149">
        <v>18</v>
      </c>
      <c r="X9" s="149">
        <v>69</v>
      </c>
      <c r="Y9" s="150">
        <f t="shared" ref="Y9:Y72" si="13">W9+X9</f>
        <v>87</v>
      </c>
      <c r="Z9" s="150">
        <f t="shared" ref="Z9:Z72" si="14">V9+Y9</f>
        <v>173</v>
      </c>
      <c r="AA9" s="291"/>
      <c r="AB9" s="149">
        <f t="shared" si="0"/>
        <v>5</v>
      </c>
      <c r="AC9" s="148">
        <v>20</v>
      </c>
      <c r="AD9" s="149">
        <v>46</v>
      </c>
      <c r="AE9" s="150">
        <f t="shared" ref="AE9:AE72" si="15">AD9+AC9</f>
        <v>66</v>
      </c>
      <c r="AF9" s="149">
        <v>22</v>
      </c>
      <c r="AG9" s="150">
        <f t="shared" ref="AG9:AG72" si="16">AF9+AE9</f>
        <v>88</v>
      </c>
      <c r="AH9" s="291"/>
      <c r="AI9" s="149">
        <f t="shared" si="1"/>
        <v>5</v>
      </c>
      <c r="AJ9" s="148">
        <v>20</v>
      </c>
      <c r="AK9" s="149">
        <v>49</v>
      </c>
      <c r="AL9" s="150">
        <f t="shared" ref="AL9:AL72" si="17">AK9+AJ9</f>
        <v>69</v>
      </c>
      <c r="AM9" s="149">
        <v>23</v>
      </c>
      <c r="AN9" s="150">
        <f t="shared" ref="AN9:AN72" si="18">AL9+AM9</f>
        <v>92</v>
      </c>
      <c r="AO9" s="291"/>
      <c r="AP9" s="149">
        <f t="shared" si="2"/>
        <v>5</v>
      </c>
      <c r="AQ9" s="148"/>
      <c r="AR9" s="149">
        <v>19</v>
      </c>
      <c r="AS9" s="149">
        <v>24</v>
      </c>
      <c r="AT9" s="149">
        <f t="shared" ref="AT9:AT18" si="19">SUM(AQ9:AS9)</f>
        <v>43</v>
      </c>
      <c r="AU9" s="294"/>
      <c r="AV9" s="149">
        <f t="shared" ref="AV9:AV95" si="20">IF(AR9&lt;10,"F",IF(AS9&lt;10,"F",IF(AT9&lt;20,"F",IF(AT9&lt;25,2,IF(AT9&lt;30,3,IF(AT9&lt;35,3.5,IF(AT9&lt;40,4,5)))))))</f>
        <v>5</v>
      </c>
      <c r="AW9" s="148">
        <v>19</v>
      </c>
      <c r="AX9" s="149">
        <v>43</v>
      </c>
      <c r="AY9" s="150">
        <f t="shared" ref="AY9:AY72" si="21">AX9+AW9</f>
        <v>62</v>
      </c>
      <c r="AZ9" s="149">
        <v>25</v>
      </c>
      <c r="BA9" s="150">
        <f t="shared" ref="BA9:BA72" si="22">AY9+AZ9</f>
        <v>87</v>
      </c>
      <c r="BB9" s="291"/>
      <c r="BC9" s="149">
        <f t="shared" ref="BC9:BC95" si="23">IF(AY9&lt;28,"F",IF(AZ9&lt;12,"F",IF(BA9&lt;40,"F",IF(BA9&lt;50,2,IF(BA9&lt;60,3,IF(BA9&lt;70,3.5,IF(BA9&lt;80,4,5)))))))</f>
        <v>5</v>
      </c>
      <c r="BD9" s="148">
        <v>10</v>
      </c>
      <c r="BE9" s="149">
        <v>40</v>
      </c>
      <c r="BF9" s="150">
        <f t="shared" ref="BF9:BF72" si="24">BE9+BD9</f>
        <v>50</v>
      </c>
      <c r="BG9" s="149">
        <v>25</v>
      </c>
      <c r="BH9" s="149">
        <v>25</v>
      </c>
      <c r="BI9" s="150">
        <f t="shared" ref="BI9:BI72" si="25">BF9+BG9+BH9</f>
        <v>100</v>
      </c>
      <c r="BJ9" s="294"/>
      <c r="BK9" s="149">
        <f t="shared" si="3"/>
        <v>5</v>
      </c>
      <c r="BL9" s="148">
        <v>10</v>
      </c>
      <c r="BM9" s="149">
        <v>39</v>
      </c>
      <c r="BN9" s="150">
        <f t="shared" ref="BN9:BN72" si="26">BM9+BL9</f>
        <v>49</v>
      </c>
      <c r="BO9" s="149">
        <v>24</v>
      </c>
      <c r="BP9" s="149">
        <v>25</v>
      </c>
      <c r="BQ9" s="150">
        <f t="shared" ref="BQ9:BQ72" si="27">BN9+BO9+BP9</f>
        <v>98</v>
      </c>
      <c r="BR9" s="291"/>
      <c r="BS9" s="149">
        <f t="shared" ref="BS9:BS72" si="28">IF(BN9&lt;20,"F",IF(BO9&lt;10,"F",IF(BP9&lt;10,"F",IF(BQ9&lt;40,"F",IF(BQ9&lt;50,2,IF(BQ9&lt;60,3,IF(BQ9&lt;70,3.5,IF(BQ9&lt;80,4,5))))))))</f>
        <v>5</v>
      </c>
      <c r="BT9" s="148">
        <v>10</v>
      </c>
      <c r="BU9" s="149">
        <v>40</v>
      </c>
      <c r="BV9" s="150">
        <f t="shared" ref="BV9:BV72" si="29">BU9+BT9</f>
        <v>50</v>
      </c>
      <c r="BW9" s="149">
        <v>20</v>
      </c>
      <c r="BX9" s="149">
        <v>25</v>
      </c>
      <c r="BY9" s="150">
        <f t="shared" ref="BY9:BY72" si="30">BV9+BW9+BX9</f>
        <v>95</v>
      </c>
      <c r="BZ9" s="294"/>
      <c r="CA9" s="149">
        <f t="shared" ref="CA9:CA72" si="31">IF(BV9&lt;20,"F",IF(BW9&lt;10,"F",IF(BX9&lt;10,"F",IF(BY9&lt;40,"F",IF(BY9&lt;50,2,IF(BY9&lt;60,3,IF(BY9&lt;70,3.5,IF(BY9&lt;80,4,5))))))))</f>
        <v>5</v>
      </c>
      <c r="CB9" s="148">
        <v>10</v>
      </c>
      <c r="CC9" s="149">
        <v>36</v>
      </c>
      <c r="CD9" s="150">
        <f t="shared" ref="CD9:CD72" si="32">CC9+CB9</f>
        <v>46</v>
      </c>
      <c r="CE9" s="149">
        <v>20</v>
      </c>
      <c r="CF9" s="149">
        <v>23</v>
      </c>
      <c r="CG9" s="150">
        <f t="shared" ref="CG9:CG72" si="33">CD9+CE9+CF9</f>
        <v>89</v>
      </c>
      <c r="CH9" s="291"/>
      <c r="CI9" s="164">
        <f t="shared" ref="CI9:CI72" si="34">IF(CD9&lt;20,"0",IF(CE9&lt;10,"0",IF(CF9&lt;10,"0",IF(CG9&lt;40,"0",IF(CG9&lt;50,2,IF(CG9&lt;60,3,IF(CG9&lt;70,3.5,IF(CG9&lt;80,4,5))))))))</f>
        <v>5</v>
      </c>
      <c r="CJ9" s="149">
        <f t="shared" si="4"/>
        <v>48</v>
      </c>
      <c r="CK9" s="165">
        <f t="shared" ref="CK9:CK72" si="35">IF(CJ9="F","F",IF(CJ9&gt;=45,5,IF(CJ9&lt;45,CJ9/9)))</f>
        <v>5</v>
      </c>
      <c r="CL9" s="165" t="str">
        <f t="shared" ref="CL9:CL72" si="36">IF(CK9="F","F",IF(CK9&lt;2.5,"D",IF(CK9&lt;3,"C",IF(CK9&lt;3.5,"B",IF(CK9&lt;4,"A-",IF(CK9&lt;5,"A","A+"))))))</f>
        <v>A+</v>
      </c>
      <c r="CM9" s="37" t="str">
        <f t="shared" si="5"/>
        <v>BEST</v>
      </c>
      <c r="CN9" s="217">
        <f t="shared" si="6"/>
        <v>1041</v>
      </c>
      <c r="CO9" s="37"/>
      <c r="CP9" s="40"/>
      <c r="CQ9" s="215">
        <f>'1ST_SEMESTER'!CN9</f>
        <v>986</v>
      </c>
      <c r="CR9" s="215">
        <f>'2ND_SEMESTER'!CN9</f>
        <v>1015</v>
      </c>
      <c r="CS9" s="215">
        <f t="shared" ref="CS9:CS72" si="37">CN9</f>
        <v>1041</v>
      </c>
      <c r="CT9" s="215">
        <f t="shared" ref="CT9:CT72" si="38">AVERAGE(CQ9:CS9)</f>
        <v>1014</v>
      </c>
      <c r="CU9" s="226">
        <f>'1ST_SEMESTER'!CK9</f>
        <v>5</v>
      </c>
      <c r="CV9" s="226">
        <f>'2ND_SEMESTER'!CK9</f>
        <v>5</v>
      </c>
      <c r="CW9" s="226">
        <f t="shared" ref="CW9:CW72" si="39">CK9</f>
        <v>5</v>
      </c>
      <c r="CX9" s="226">
        <f t="shared" ref="CX9:CX72" si="40">AVERAGE(CU9:CW9)</f>
        <v>5</v>
      </c>
    </row>
    <row r="10" spans="1:102" s="197" customFormat="1" ht="27" customHeight="1">
      <c r="A10" s="144">
        <v>3</v>
      </c>
      <c r="B10" s="117">
        <v>3</v>
      </c>
      <c r="C10" s="177" t="s">
        <v>98</v>
      </c>
      <c r="D10" s="57" t="s">
        <v>99</v>
      </c>
      <c r="E10" s="57" t="s">
        <v>100</v>
      </c>
      <c r="F10" s="58" t="s">
        <v>101</v>
      </c>
      <c r="G10" s="148">
        <v>19</v>
      </c>
      <c r="H10" s="149">
        <v>41</v>
      </c>
      <c r="I10" s="150">
        <f t="shared" si="7"/>
        <v>60</v>
      </c>
      <c r="J10" s="149">
        <v>27</v>
      </c>
      <c r="K10" s="150">
        <f t="shared" ref="K10:K73" si="41">I10+J10</f>
        <v>87</v>
      </c>
      <c r="L10" s="148">
        <v>19</v>
      </c>
      <c r="M10" s="149">
        <v>43</v>
      </c>
      <c r="N10" s="150">
        <f t="shared" si="8"/>
        <v>62</v>
      </c>
      <c r="O10" s="149">
        <v>27</v>
      </c>
      <c r="P10" s="150">
        <f t="shared" si="9"/>
        <v>89</v>
      </c>
      <c r="Q10" s="150">
        <f t="shared" si="10"/>
        <v>176</v>
      </c>
      <c r="R10" s="291"/>
      <c r="S10" s="149">
        <f t="shared" si="11"/>
        <v>5</v>
      </c>
      <c r="T10" s="148">
        <v>20</v>
      </c>
      <c r="U10" s="149">
        <v>64</v>
      </c>
      <c r="V10" s="150">
        <f t="shared" si="12"/>
        <v>84</v>
      </c>
      <c r="W10" s="149">
        <v>17</v>
      </c>
      <c r="X10" s="149">
        <v>65</v>
      </c>
      <c r="Y10" s="150">
        <f t="shared" si="13"/>
        <v>82</v>
      </c>
      <c r="Z10" s="150">
        <f t="shared" si="14"/>
        <v>166</v>
      </c>
      <c r="AA10" s="291"/>
      <c r="AB10" s="149">
        <f t="shared" si="0"/>
        <v>5</v>
      </c>
      <c r="AC10" s="148">
        <v>20</v>
      </c>
      <c r="AD10" s="149">
        <v>48</v>
      </c>
      <c r="AE10" s="150">
        <f t="shared" si="15"/>
        <v>68</v>
      </c>
      <c r="AF10" s="149">
        <v>27</v>
      </c>
      <c r="AG10" s="150">
        <f t="shared" si="16"/>
        <v>95</v>
      </c>
      <c r="AH10" s="291"/>
      <c r="AI10" s="149">
        <f t="shared" si="1"/>
        <v>5</v>
      </c>
      <c r="AJ10" s="148">
        <v>20</v>
      </c>
      <c r="AK10" s="149">
        <v>47</v>
      </c>
      <c r="AL10" s="150">
        <f t="shared" si="17"/>
        <v>67</v>
      </c>
      <c r="AM10" s="149">
        <v>30</v>
      </c>
      <c r="AN10" s="150">
        <f t="shared" si="18"/>
        <v>97</v>
      </c>
      <c r="AO10" s="291"/>
      <c r="AP10" s="149">
        <f t="shared" si="2"/>
        <v>5</v>
      </c>
      <c r="AQ10" s="148"/>
      <c r="AR10" s="149">
        <v>21</v>
      </c>
      <c r="AS10" s="149">
        <v>24</v>
      </c>
      <c r="AT10" s="149">
        <f t="shared" si="19"/>
        <v>45</v>
      </c>
      <c r="AU10" s="294"/>
      <c r="AV10" s="149">
        <f t="shared" si="20"/>
        <v>5</v>
      </c>
      <c r="AW10" s="148">
        <v>20</v>
      </c>
      <c r="AX10" s="149">
        <v>44</v>
      </c>
      <c r="AY10" s="150">
        <f t="shared" si="21"/>
        <v>64</v>
      </c>
      <c r="AZ10" s="149">
        <v>27</v>
      </c>
      <c r="BA10" s="150">
        <f t="shared" si="22"/>
        <v>91</v>
      </c>
      <c r="BB10" s="291"/>
      <c r="BC10" s="149">
        <f t="shared" si="23"/>
        <v>5</v>
      </c>
      <c r="BD10" s="148">
        <v>10</v>
      </c>
      <c r="BE10" s="149">
        <v>40</v>
      </c>
      <c r="BF10" s="150">
        <f t="shared" si="24"/>
        <v>50</v>
      </c>
      <c r="BG10" s="149">
        <v>21</v>
      </c>
      <c r="BH10" s="149">
        <v>25</v>
      </c>
      <c r="BI10" s="150">
        <f t="shared" si="25"/>
        <v>96</v>
      </c>
      <c r="BJ10" s="294"/>
      <c r="BK10" s="149">
        <f t="shared" si="3"/>
        <v>5</v>
      </c>
      <c r="BL10" s="148">
        <v>10</v>
      </c>
      <c r="BM10" s="149">
        <v>38</v>
      </c>
      <c r="BN10" s="150">
        <f t="shared" si="26"/>
        <v>48</v>
      </c>
      <c r="BO10" s="149">
        <v>21</v>
      </c>
      <c r="BP10" s="149">
        <v>25</v>
      </c>
      <c r="BQ10" s="150">
        <f t="shared" si="27"/>
        <v>94</v>
      </c>
      <c r="BR10" s="291"/>
      <c r="BS10" s="149">
        <f t="shared" si="28"/>
        <v>5</v>
      </c>
      <c r="BT10" s="148">
        <v>10</v>
      </c>
      <c r="BU10" s="149">
        <v>38</v>
      </c>
      <c r="BV10" s="150">
        <f t="shared" si="29"/>
        <v>48</v>
      </c>
      <c r="BW10" s="149">
        <v>23</v>
      </c>
      <c r="BX10" s="149">
        <v>25</v>
      </c>
      <c r="BY10" s="150">
        <f t="shared" si="30"/>
        <v>96</v>
      </c>
      <c r="BZ10" s="294"/>
      <c r="CA10" s="149">
        <f t="shared" si="31"/>
        <v>5</v>
      </c>
      <c r="CB10" s="148">
        <v>10</v>
      </c>
      <c r="CC10" s="149">
        <v>34</v>
      </c>
      <c r="CD10" s="150">
        <f t="shared" si="32"/>
        <v>44</v>
      </c>
      <c r="CE10" s="149">
        <v>18</v>
      </c>
      <c r="CF10" s="149">
        <v>23</v>
      </c>
      <c r="CG10" s="150">
        <f t="shared" si="33"/>
        <v>85</v>
      </c>
      <c r="CH10" s="291"/>
      <c r="CI10" s="164">
        <f t="shared" si="34"/>
        <v>5</v>
      </c>
      <c r="CJ10" s="149">
        <f t="shared" si="4"/>
        <v>48</v>
      </c>
      <c r="CK10" s="165">
        <f t="shared" si="35"/>
        <v>5</v>
      </c>
      <c r="CL10" s="165" t="str">
        <f t="shared" si="36"/>
        <v>A+</v>
      </c>
      <c r="CM10" s="37" t="str">
        <f t="shared" si="5"/>
        <v>BEST</v>
      </c>
      <c r="CN10" s="217">
        <f t="shared" si="6"/>
        <v>1041</v>
      </c>
      <c r="CO10" s="37"/>
      <c r="CP10" s="40"/>
      <c r="CQ10" s="215">
        <f>'1ST_SEMESTER'!CN10</f>
        <v>992</v>
      </c>
      <c r="CR10" s="215">
        <f>'2ND_SEMESTER'!CN10</f>
        <v>1007</v>
      </c>
      <c r="CS10" s="215">
        <f t="shared" si="37"/>
        <v>1041</v>
      </c>
      <c r="CT10" s="215">
        <f t="shared" si="38"/>
        <v>1013.3333333333334</v>
      </c>
      <c r="CU10" s="226">
        <f>'1ST_SEMESTER'!CK10</f>
        <v>5</v>
      </c>
      <c r="CV10" s="226">
        <f>'2ND_SEMESTER'!CK10</f>
        <v>5</v>
      </c>
      <c r="CW10" s="226">
        <f t="shared" si="39"/>
        <v>5</v>
      </c>
      <c r="CX10" s="226">
        <f t="shared" si="40"/>
        <v>5</v>
      </c>
    </row>
    <row r="11" spans="1:102" s="197" customFormat="1" ht="27" customHeight="1">
      <c r="A11" s="144">
        <v>4</v>
      </c>
      <c r="B11" s="117">
        <v>5</v>
      </c>
      <c r="C11" s="178" t="s">
        <v>102</v>
      </c>
      <c r="D11" s="59" t="s">
        <v>103</v>
      </c>
      <c r="E11" s="59" t="s">
        <v>104</v>
      </c>
      <c r="F11" s="60" t="s">
        <v>105</v>
      </c>
      <c r="G11" s="148">
        <v>18</v>
      </c>
      <c r="H11" s="149">
        <v>34</v>
      </c>
      <c r="I11" s="150">
        <f t="shared" si="7"/>
        <v>52</v>
      </c>
      <c r="J11" s="149">
        <v>26</v>
      </c>
      <c r="K11" s="150">
        <f t="shared" si="41"/>
        <v>78</v>
      </c>
      <c r="L11" s="148">
        <v>19</v>
      </c>
      <c r="M11" s="149">
        <v>43</v>
      </c>
      <c r="N11" s="150">
        <f t="shared" si="8"/>
        <v>62</v>
      </c>
      <c r="O11" s="149">
        <v>27</v>
      </c>
      <c r="P11" s="150">
        <f t="shared" si="9"/>
        <v>89</v>
      </c>
      <c r="Q11" s="150">
        <f t="shared" si="10"/>
        <v>167</v>
      </c>
      <c r="R11" s="291"/>
      <c r="S11" s="149">
        <f t="shared" si="11"/>
        <v>5</v>
      </c>
      <c r="T11" s="148">
        <v>20</v>
      </c>
      <c r="U11" s="149">
        <v>46</v>
      </c>
      <c r="V11" s="150">
        <f t="shared" si="12"/>
        <v>66</v>
      </c>
      <c r="W11" s="149">
        <v>14</v>
      </c>
      <c r="X11" s="149">
        <v>54</v>
      </c>
      <c r="Y11" s="150">
        <f t="shared" si="13"/>
        <v>68</v>
      </c>
      <c r="Z11" s="150">
        <f t="shared" si="14"/>
        <v>134</v>
      </c>
      <c r="AA11" s="291"/>
      <c r="AB11" s="149">
        <f t="shared" si="0"/>
        <v>3.5</v>
      </c>
      <c r="AC11" s="148">
        <v>17</v>
      </c>
      <c r="AD11" s="149">
        <v>26</v>
      </c>
      <c r="AE11" s="150">
        <f t="shared" si="15"/>
        <v>43</v>
      </c>
      <c r="AF11" s="149">
        <v>24</v>
      </c>
      <c r="AG11" s="150">
        <f t="shared" si="16"/>
        <v>67</v>
      </c>
      <c r="AH11" s="291"/>
      <c r="AI11" s="149">
        <f t="shared" si="1"/>
        <v>3.5</v>
      </c>
      <c r="AJ11" s="148">
        <v>20</v>
      </c>
      <c r="AK11" s="149">
        <v>46</v>
      </c>
      <c r="AL11" s="150">
        <f t="shared" si="17"/>
        <v>66</v>
      </c>
      <c r="AM11" s="149">
        <v>30</v>
      </c>
      <c r="AN11" s="150">
        <f t="shared" si="18"/>
        <v>96</v>
      </c>
      <c r="AO11" s="291"/>
      <c r="AP11" s="149">
        <f t="shared" si="2"/>
        <v>5</v>
      </c>
      <c r="AQ11" s="148"/>
      <c r="AR11" s="149">
        <v>20</v>
      </c>
      <c r="AS11" s="149">
        <v>24</v>
      </c>
      <c r="AT11" s="149">
        <f t="shared" si="19"/>
        <v>44</v>
      </c>
      <c r="AU11" s="294"/>
      <c r="AV11" s="149">
        <f t="shared" si="20"/>
        <v>5</v>
      </c>
      <c r="AW11" s="148">
        <v>18</v>
      </c>
      <c r="AX11" s="149">
        <v>29</v>
      </c>
      <c r="AY11" s="150">
        <f t="shared" si="21"/>
        <v>47</v>
      </c>
      <c r="AZ11" s="149">
        <v>26</v>
      </c>
      <c r="BA11" s="150">
        <f t="shared" si="22"/>
        <v>73</v>
      </c>
      <c r="BB11" s="291"/>
      <c r="BC11" s="149">
        <f t="shared" si="23"/>
        <v>4</v>
      </c>
      <c r="BD11" s="148">
        <v>6</v>
      </c>
      <c r="BE11" s="149">
        <v>30</v>
      </c>
      <c r="BF11" s="150">
        <f t="shared" si="24"/>
        <v>36</v>
      </c>
      <c r="BG11" s="149">
        <v>13</v>
      </c>
      <c r="BH11" s="149">
        <v>25</v>
      </c>
      <c r="BI11" s="150">
        <f t="shared" si="25"/>
        <v>74</v>
      </c>
      <c r="BJ11" s="294"/>
      <c r="BK11" s="149">
        <f t="shared" si="3"/>
        <v>4</v>
      </c>
      <c r="BL11" s="148">
        <v>7</v>
      </c>
      <c r="BM11" s="149">
        <v>26</v>
      </c>
      <c r="BN11" s="150">
        <f t="shared" si="26"/>
        <v>33</v>
      </c>
      <c r="BO11" s="149">
        <v>18</v>
      </c>
      <c r="BP11" s="149">
        <v>25</v>
      </c>
      <c r="BQ11" s="150">
        <f t="shared" si="27"/>
        <v>76</v>
      </c>
      <c r="BR11" s="291"/>
      <c r="BS11" s="149">
        <f t="shared" si="28"/>
        <v>4</v>
      </c>
      <c r="BT11" s="148">
        <v>10</v>
      </c>
      <c r="BU11" s="149">
        <v>32</v>
      </c>
      <c r="BV11" s="150">
        <f t="shared" si="29"/>
        <v>42</v>
      </c>
      <c r="BW11" s="149">
        <v>20</v>
      </c>
      <c r="BX11" s="149">
        <v>25</v>
      </c>
      <c r="BY11" s="150">
        <f t="shared" si="30"/>
        <v>87</v>
      </c>
      <c r="BZ11" s="294"/>
      <c r="CA11" s="149">
        <f t="shared" si="31"/>
        <v>5</v>
      </c>
      <c r="CB11" s="148">
        <v>8</v>
      </c>
      <c r="CC11" s="149">
        <v>26</v>
      </c>
      <c r="CD11" s="150">
        <f t="shared" si="32"/>
        <v>34</v>
      </c>
      <c r="CE11" s="149">
        <v>16</v>
      </c>
      <c r="CF11" s="149">
        <v>23</v>
      </c>
      <c r="CG11" s="150">
        <f t="shared" si="33"/>
        <v>73</v>
      </c>
      <c r="CH11" s="291"/>
      <c r="CI11" s="164">
        <f t="shared" si="34"/>
        <v>4</v>
      </c>
      <c r="CJ11" s="149">
        <f t="shared" si="4"/>
        <v>41</v>
      </c>
      <c r="CK11" s="165">
        <f t="shared" si="35"/>
        <v>4.5555555555555554</v>
      </c>
      <c r="CL11" s="165" t="str">
        <f t="shared" si="36"/>
        <v>A</v>
      </c>
      <c r="CM11" s="37" t="str">
        <f t="shared" si="5"/>
        <v>BETTER</v>
      </c>
      <c r="CN11" s="217">
        <f t="shared" si="6"/>
        <v>891</v>
      </c>
      <c r="CO11" s="37"/>
      <c r="CP11" s="40"/>
      <c r="CQ11" s="215">
        <f>'1ST_SEMESTER'!CN11</f>
        <v>816</v>
      </c>
      <c r="CR11" s="215">
        <f>'2ND_SEMESTER'!CN11</f>
        <v>895</v>
      </c>
      <c r="CS11" s="215">
        <f t="shared" si="37"/>
        <v>891</v>
      </c>
      <c r="CT11" s="215">
        <f t="shared" si="38"/>
        <v>867.33333333333337</v>
      </c>
      <c r="CU11" s="226" t="str">
        <f>'1ST_SEMESTER'!CK11</f>
        <v>F</v>
      </c>
      <c r="CV11" s="226">
        <f>'2ND_SEMESTER'!CK11</f>
        <v>4.6111111111111107</v>
      </c>
      <c r="CW11" s="226">
        <f t="shared" si="39"/>
        <v>4.5555555555555554</v>
      </c>
      <c r="CX11" s="226">
        <f t="shared" si="40"/>
        <v>4.583333333333333</v>
      </c>
    </row>
    <row r="12" spans="1:102" s="198" customFormat="1" ht="27" customHeight="1">
      <c r="A12" s="144">
        <v>5</v>
      </c>
      <c r="B12" s="117">
        <v>6</v>
      </c>
      <c r="C12" s="118" t="s">
        <v>106</v>
      </c>
      <c r="D12" s="69" t="s">
        <v>107</v>
      </c>
      <c r="E12" s="69" t="s">
        <v>108</v>
      </c>
      <c r="F12" s="97" t="s">
        <v>109</v>
      </c>
      <c r="G12" s="148">
        <v>19</v>
      </c>
      <c r="H12" s="149">
        <v>31</v>
      </c>
      <c r="I12" s="150">
        <f t="shared" si="7"/>
        <v>50</v>
      </c>
      <c r="J12" s="149">
        <v>27</v>
      </c>
      <c r="K12" s="150">
        <f t="shared" si="41"/>
        <v>77</v>
      </c>
      <c r="L12" s="148">
        <v>17</v>
      </c>
      <c r="M12" s="149">
        <v>38</v>
      </c>
      <c r="N12" s="150">
        <f t="shared" si="8"/>
        <v>55</v>
      </c>
      <c r="O12" s="149">
        <v>26</v>
      </c>
      <c r="P12" s="150">
        <f t="shared" si="9"/>
        <v>81</v>
      </c>
      <c r="Q12" s="150">
        <f t="shared" si="10"/>
        <v>158</v>
      </c>
      <c r="R12" s="291"/>
      <c r="S12" s="149">
        <f t="shared" si="11"/>
        <v>4</v>
      </c>
      <c r="T12" s="148">
        <v>19</v>
      </c>
      <c r="U12" s="149">
        <v>43</v>
      </c>
      <c r="V12" s="150">
        <f t="shared" si="12"/>
        <v>62</v>
      </c>
      <c r="W12" s="149">
        <v>16</v>
      </c>
      <c r="X12" s="149">
        <v>49</v>
      </c>
      <c r="Y12" s="150">
        <f t="shared" si="13"/>
        <v>65</v>
      </c>
      <c r="Z12" s="150">
        <f t="shared" si="14"/>
        <v>127</v>
      </c>
      <c r="AA12" s="291"/>
      <c r="AB12" s="149">
        <f t="shared" si="0"/>
        <v>3.5</v>
      </c>
      <c r="AC12" s="148">
        <v>17</v>
      </c>
      <c r="AD12" s="149">
        <v>17</v>
      </c>
      <c r="AE12" s="150">
        <f t="shared" si="15"/>
        <v>34</v>
      </c>
      <c r="AF12" s="149">
        <v>17</v>
      </c>
      <c r="AG12" s="150">
        <f t="shared" si="16"/>
        <v>51</v>
      </c>
      <c r="AH12" s="291"/>
      <c r="AI12" s="149">
        <f t="shared" si="1"/>
        <v>3</v>
      </c>
      <c r="AJ12" s="148">
        <v>20</v>
      </c>
      <c r="AK12" s="149">
        <v>44</v>
      </c>
      <c r="AL12" s="150">
        <f t="shared" si="17"/>
        <v>64</v>
      </c>
      <c r="AM12" s="149">
        <v>24</v>
      </c>
      <c r="AN12" s="150">
        <f t="shared" si="18"/>
        <v>88</v>
      </c>
      <c r="AO12" s="291"/>
      <c r="AP12" s="149">
        <f t="shared" si="2"/>
        <v>5</v>
      </c>
      <c r="AQ12" s="148"/>
      <c r="AR12" s="149">
        <v>21</v>
      </c>
      <c r="AS12" s="149">
        <v>24</v>
      </c>
      <c r="AT12" s="149">
        <f t="shared" si="19"/>
        <v>45</v>
      </c>
      <c r="AU12" s="294"/>
      <c r="AV12" s="149">
        <f t="shared" si="20"/>
        <v>5</v>
      </c>
      <c r="AW12" s="148">
        <v>19</v>
      </c>
      <c r="AX12" s="149">
        <v>30</v>
      </c>
      <c r="AY12" s="150">
        <f t="shared" si="21"/>
        <v>49</v>
      </c>
      <c r="AZ12" s="149">
        <v>26</v>
      </c>
      <c r="BA12" s="150">
        <f t="shared" si="22"/>
        <v>75</v>
      </c>
      <c r="BB12" s="291"/>
      <c r="BC12" s="149">
        <f t="shared" si="23"/>
        <v>4</v>
      </c>
      <c r="BD12" s="148">
        <v>6</v>
      </c>
      <c r="BE12" s="149">
        <v>26</v>
      </c>
      <c r="BF12" s="150">
        <f t="shared" si="24"/>
        <v>32</v>
      </c>
      <c r="BG12" s="149">
        <v>24</v>
      </c>
      <c r="BH12" s="149">
        <v>25</v>
      </c>
      <c r="BI12" s="150">
        <f t="shared" si="25"/>
        <v>81</v>
      </c>
      <c r="BJ12" s="294"/>
      <c r="BK12" s="149">
        <f t="shared" si="3"/>
        <v>5</v>
      </c>
      <c r="BL12" s="148">
        <v>9</v>
      </c>
      <c r="BM12" s="149">
        <v>28</v>
      </c>
      <c r="BN12" s="150">
        <f t="shared" si="26"/>
        <v>37</v>
      </c>
      <c r="BO12" s="149">
        <v>19</v>
      </c>
      <c r="BP12" s="149">
        <v>25</v>
      </c>
      <c r="BQ12" s="150">
        <f t="shared" si="27"/>
        <v>81</v>
      </c>
      <c r="BR12" s="291"/>
      <c r="BS12" s="149">
        <f t="shared" si="28"/>
        <v>5</v>
      </c>
      <c r="BT12" s="148">
        <v>9</v>
      </c>
      <c r="BU12" s="149">
        <v>31</v>
      </c>
      <c r="BV12" s="150">
        <f t="shared" si="29"/>
        <v>40</v>
      </c>
      <c r="BW12" s="149">
        <v>21</v>
      </c>
      <c r="BX12" s="149">
        <v>25</v>
      </c>
      <c r="BY12" s="150">
        <f t="shared" si="30"/>
        <v>86</v>
      </c>
      <c r="BZ12" s="294"/>
      <c r="CA12" s="149">
        <f t="shared" si="31"/>
        <v>5</v>
      </c>
      <c r="CB12" s="148">
        <v>7</v>
      </c>
      <c r="CC12" s="149">
        <v>31</v>
      </c>
      <c r="CD12" s="150">
        <f t="shared" si="32"/>
        <v>38</v>
      </c>
      <c r="CE12" s="149">
        <v>18</v>
      </c>
      <c r="CF12" s="149">
        <v>23</v>
      </c>
      <c r="CG12" s="150">
        <f t="shared" si="33"/>
        <v>79</v>
      </c>
      <c r="CH12" s="291"/>
      <c r="CI12" s="164">
        <f t="shared" si="34"/>
        <v>4</v>
      </c>
      <c r="CJ12" s="149">
        <f t="shared" si="4"/>
        <v>41.5</v>
      </c>
      <c r="CK12" s="165">
        <f t="shared" si="35"/>
        <v>4.6111111111111107</v>
      </c>
      <c r="CL12" s="165" t="str">
        <f t="shared" si="36"/>
        <v>A</v>
      </c>
      <c r="CM12" s="37" t="str">
        <f t="shared" si="5"/>
        <v>BETTER</v>
      </c>
      <c r="CN12" s="218">
        <f t="shared" si="6"/>
        <v>871</v>
      </c>
      <c r="CO12" s="128"/>
      <c r="CP12" s="84"/>
      <c r="CQ12" s="215">
        <f>'1ST_SEMESTER'!CN12</f>
        <v>812</v>
      </c>
      <c r="CR12" s="215">
        <f>'2ND_SEMESTER'!CN12</f>
        <v>872</v>
      </c>
      <c r="CS12" s="215">
        <f t="shared" si="37"/>
        <v>871</v>
      </c>
      <c r="CT12" s="215">
        <f t="shared" si="38"/>
        <v>851.66666666666663</v>
      </c>
      <c r="CU12" s="226">
        <f>'1ST_SEMESTER'!CK12</f>
        <v>4.166666666666667</v>
      </c>
      <c r="CV12" s="226">
        <f>'2ND_SEMESTER'!CK12</f>
        <v>4.4444444444444446</v>
      </c>
      <c r="CW12" s="226">
        <f t="shared" si="39"/>
        <v>4.6111111111111107</v>
      </c>
      <c r="CX12" s="226">
        <f t="shared" si="40"/>
        <v>4.4074074074074074</v>
      </c>
    </row>
    <row r="13" spans="1:102" s="197" customFormat="1" ht="27" customHeight="1">
      <c r="A13" s="144">
        <v>6</v>
      </c>
      <c r="B13" s="117">
        <v>7</v>
      </c>
      <c r="C13" s="178" t="s">
        <v>110</v>
      </c>
      <c r="D13" s="59" t="s">
        <v>111</v>
      </c>
      <c r="E13" s="59" t="s">
        <v>112</v>
      </c>
      <c r="F13" s="60" t="s">
        <v>113</v>
      </c>
      <c r="G13" s="148">
        <v>17</v>
      </c>
      <c r="H13" s="149">
        <v>30</v>
      </c>
      <c r="I13" s="150">
        <f t="shared" si="7"/>
        <v>47</v>
      </c>
      <c r="J13" s="149">
        <v>27</v>
      </c>
      <c r="K13" s="150">
        <f t="shared" si="41"/>
        <v>74</v>
      </c>
      <c r="L13" s="148">
        <v>18</v>
      </c>
      <c r="M13" s="149">
        <v>41</v>
      </c>
      <c r="N13" s="150">
        <f t="shared" si="8"/>
        <v>59</v>
      </c>
      <c r="O13" s="149">
        <v>22</v>
      </c>
      <c r="P13" s="150">
        <f t="shared" si="9"/>
        <v>81</v>
      </c>
      <c r="Q13" s="150">
        <f t="shared" si="10"/>
        <v>155</v>
      </c>
      <c r="R13" s="291"/>
      <c r="S13" s="149">
        <f t="shared" si="11"/>
        <v>4</v>
      </c>
      <c r="T13" s="148">
        <v>20</v>
      </c>
      <c r="U13" s="149">
        <v>43</v>
      </c>
      <c r="V13" s="150">
        <f t="shared" si="12"/>
        <v>63</v>
      </c>
      <c r="W13" s="149">
        <v>15</v>
      </c>
      <c r="X13" s="149">
        <v>47</v>
      </c>
      <c r="Y13" s="150">
        <f t="shared" si="13"/>
        <v>62</v>
      </c>
      <c r="Z13" s="150">
        <f t="shared" si="14"/>
        <v>125</v>
      </c>
      <c r="AA13" s="291"/>
      <c r="AB13" s="149">
        <f t="shared" si="0"/>
        <v>3.5</v>
      </c>
      <c r="AC13" s="148">
        <v>18</v>
      </c>
      <c r="AD13" s="149">
        <v>24</v>
      </c>
      <c r="AE13" s="150">
        <f t="shared" si="15"/>
        <v>42</v>
      </c>
      <c r="AF13" s="149">
        <v>16</v>
      </c>
      <c r="AG13" s="150">
        <f t="shared" si="16"/>
        <v>58</v>
      </c>
      <c r="AH13" s="291"/>
      <c r="AI13" s="149">
        <f t="shared" si="1"/>
        <v>3</v>
      </c>
      <c r="AJ13" s="148">
        <v>20</v>
      </c>
      <c r="AK13" s="149">
        <v>49</v>
      </c>
      <c r="AL13" s="150">
        <f t="shared" si="17"/>
        <v>69</v>
      </c>
      <c r="AM13" s="149">
        <v>22</v>
      </c>
      <c r="AN13" s="150">
        <f t="shared" si="18"/>
        <v>91</v>
      </c>
      <c r="AO13" s="291"/>
      <c r="AP13" s="149">
        <f t="shared" si="2"/>
        <v>5</v>
      </c>
      <c r="AQ13" s="148"/>
      <c r="AR13" s="149">
        <v>23</v>
      </c>
      <c r="AS13" s="149">
        <v>24</v>
      </c>
      <c r="AT13" s="149">
        <f t="shared" si="19"/>
        <v>47</v>
      </c>
      <c r="AU13" s="294"/>
      <c r="AV13" s="149">
        <f t="shared" si="20"/>
        <v>5</v>
      </c>
      <c r="AW13" s="148">
        <v>18</v>
      </c>
      <c r="AX13" s="149">
        <v>36</v>
      </c>
      <c r="AY13" s="150">
        <f t="shared" si="21"/>
        <v>54</v>
      </c>
      <c r="AZ13" s="149">
        <v>22</v>
      </c>
      <c r="BA13" s="150">
        <f t="shared" si="22"/>
        <v>76</v>
      </c>
      <c r="BB13" s="291"/>
      <c r="BC13" s="149">
        <f t="shared" si="23"/>
        <v>4</v>
      </c>
      <c r="BD13" s="148">
        <v>6</v>
      </c>
      <c r="BE13" s="149">
        <v>25</v>
      </c>
      <c r="BF13" s="150">
        <f t="shared" si="24"/>
        <v>31</v>
      </c>
      <c r="BG13" s="149">
        <v>16</v>
      </c>
      <c r="BH13" s="149">
        <v>25</v>
      </c>
      <c r="BI13" s="150">
        <f t="shared" si="25"/>
        <v>72</v>
      </c>
      <c r="BJ13" s="294"/>
      <c r="BK13" s="149">
        <f t="shared" si="3"/>
        <v>4</v>
      </c>
      <c r="BL13" s="148">
        <v>10</v>
      </c>
      <c r="BM13" s="149">
        <v>24</v>
      </c>
      <c r="BN13" s="150">
        <f t="shared" si="26"/>
        <v>34</v>
      </c>
      <c r="BO13" s="149">
        <v>19</v>
      </c>
      <c r="BP13" s="149">
        <v>25</v>
      </c>
      <c r="BQ13" s="150">
        <f t="shared" si="27"/>
        <v>78</v>
      </c>
      <c r="BR13" s="291"/>
      <c r="BS13" s="149">
        <f t="shared" si="28"/>
        <v>4</v>
      </c>
      <c r="BT13" s="148">
        <v>10</v>
      </c>
      <c r="BU13" s="149">
        <v>35</v>
      </c>
      <c r="BV13" s="150">
        <f t="shared" si="29"/>
        <v>45</v>
      </c>
      <c r="BW13" s="149">
        <v>18</v>
      </c>
      <c r="BX13" s="149">
        <v>25</v>
      </c>
      <c r="BY13" s="150">
        <f t="shared" si="30"/>
        <v>88</v>
      </c>
      <c r="BZ13" s="294"/>
      <c r="CA13" s="149">
        <f t="shared" si="31"/>
        <v>5</v>
      </c>
      <c r="CB13" s="148">
        <v>8</v>
      </c>
      <c r="CC13" s="149">
        <v>29</v>
      </c>
      <c r="CD13" s="150">
        <f t="shared" si="32"/>
        <v>37</v>
      </c>
      <c r="CE13" s="149">
        <v>15</v>
      </c>
      <c r="CF13" s="149">
        <v>23</v>
      </c>
      <c r="CG13" s="150">
        <f t="shared" si="33"/>
        <v>75</v>
      </c>
      <c r="CH13" s="291"/>
      <c r="CI13" s="164">
        <f t="shared" si="34"/>
        <v>4</v>
      </c>
      <c r="CJ13" s="149">
        <f t="shared" si="4"/>
        <v>39.5</v>
      </c>
      <c r="CK13" s="165">
        <f t="shared" si="35"/>
        <v>4.3888888888888893</v>
      </c>
      <c r="CL13" s="165" t="str">
        <f t="shared" si="36"/>
        <v>A</v>
      </c>
      <c r="CM13" s="37" t="str">
        <f t="shared" si="5"/>
        <v>BETTER</v>
      </c>
      <c r="CN13" s="217">
        <f t="shared" si="6"/>
        <v>865</v>
      </c>
      <c r="CO13" s="37"/>
      <c r="CP13" s="40"/>
      <c r="CQ13" s="215">
        <f>'1ST_SEMESTER'!CN13</f>
        <v>894</v>
      </c>
      <c r="CR13" s="215">
        <f>'2ND_SEMESTER'!CN13</f>
        <v>900</v>
      </c>
      <c r="CS13" s="215">
        <f t="shared" si="37"/>
        <v>865</v>
      </c>
      <c r="CT13" s="215">
        <f t="shared" si="38"/>
        <v>886.33333333333337</v>
      </c>
      <c r="CU13" s="226">
        <f>'1ST_SEMESTER'!CK13</f>
        <v>4.7777777777777777</v>
      </c>
      <c r="CV13" s="226">
        <f>'2ND_SEMESTER'!CK13</f>
        <v>4.666666666666667</v>
      </c>
      <c r="CW13" s="226">
        <f t="shared" si="39"/>
        <v>4.3888888888888893</v>
      </c>
      <c r="CX13" s="226">
        <f t="shared" si="40"/>
        <v>4.6111111111111116</v>
      </c>
    </row>
    <row r="14" spans="1:102" s="197" customFormat="1" ht="27" customHeight="1">
      <c r="A14" s="144">
        <v>7</v>
      </c>
      <c r="B14" s="117">
        <v>10</v>
      </c>
      <c r="C14" s="177" t="s">
        <v>114</v>
      </c>
      <c r="D14" s="57" t="s">
        <v>99</v>
      </c>
      <c r="E14" s="57" t="s">
        <v>115</v>
      </c>
      <c r="F14" s="58" t="s">
        <v>116</v>
      </c>
      <c r="G14" s="148">
        <v>17</v>
      </c>
      <c r="H14" s="149">
        <v>34</v>
      </c>
      <c r="I14" s="150">
        <f t="shared" si="7"/>
        <v>51</v>
      </c>
      <c r="J14" s="149">
        <v>25</v>
      </c>
      <c r="K14" s="150">
        <f t="shared" si="41"/>
        <v>76</v>
      </c>
      <c r="L14" s="148">
        <v>18</v>
      </c>
      <c r="M14" s="149">
        <v>43</v>
      </c>
      <c r="N14" s="150">
        <f t="shared" si="8"/>
        <v>61</v>
      </c>
      <c r="O14" s="149">
        <v>29</v>
      </c>
      <c r="P14" s="150">
        <f t="shared" si="9"/>
        <v>90</v>
      </c>
      <c r="Q14" s="150">
        <f t="shared" si="10"/>
        <v>166</v>
      </c>
      <c r="R14" s="291"/>
      <c r="S14" s="149">
        <f t="shared" si="11"/>
        <v>5</v>
      </c>
      <c r="T14" s="148">
        <v>20</v>
      </c>
      <c r="U14" s="149">
        <v>50</v>
      </c>
      <c r="V14" s="150">
        <f t="shared" si="12"/>
        <v>70</v>
      </c>
      <c r="W14" s="149">
        <v>17</v>
      </c>
      <c r="X14" s="149">
        <v>50</v>
      </c>
      <c r="Y14" s="150">
        <f t="shared" si="13"/>
        <v>67</v>
      </c>
      <c r="Z14" s="150">
        <f t="shared" si="14"/>
        <v>137</v>
      </c>
      <c r="AA14" s="291"/>
      <c r="AB14" s="149">
        <f t="shared" si="0"/>
        <v>3.5</v>
      </c>
      <c r="AC14" s="148">
        <v>20</v>
      </c>
      <c r="AD14" s="149">
        <v>36</v>
      </c>
      <c r="AE14" s="150">
        <f t="shared" si="15"/>
        <v>56</v>
      </c>
      <c r="AF14" s="149">
        <v>18</v>
      </c>
      <c r="AG14" s="150">
        <f t="shared" si="16"/>
        <v>74</v>
      </c>
      <c r="AH14" s="291"/>
      <c r="AI14" s="149">
        <f t="shared" si="1"/>
        <v>4</v>
      </c>
      <c r="AJ14" s="148">
        <v>20</v>
      </c>
      <c r="AK14" s="149">
        <v>41</v>
      </c>
      <c r="AL14" s="150">
        <f t="shared" si="17"/>
        <v>61</v>
      </c>
      <c r="AM14" s="149">
        <v>22</v>
      </c>
      <c r="AN14" s="150">
        <f t="shared" si="18"/>
        <v>83</v>
      </c>
      <c r="AO14" s="291"/>
      <c r="AP14" s="149">
        <f t="shared" si="2"/>
        <v>5</v>
      </c>
      <c r="AQ14" s="148"/>
      <c r="AR14" s="149">
        <v>22</v>
      </c>
      <c r="AS14" s="149">
        <v>24</v>
      </c>
      <c r="AT14" s="149">
        <f t="shared" si="19"/>
        <v>46</v>
      </c>
      <c r="AU14" s="294"/>
      <c r="AV14" s="149">
        <f t="shared" si="20"/>
        <v>5</v>
      </c>
      <c r="AW14" s="148">
        <v>17</v>
      </c>
      <c r="AX14" s="149">
        <v>38</v>
      </c>
      <c r="AY14" s="150">
        <f t="shared" si="21"/>
        <v>55</v>
      </c>
      <c r="AZ14" s="149">
        <v>28</v>
      </c>
      <c r="BA14" s="150">
        <f t="shared" si="22"/>
        <v>83</v>
      </c>
      <c r="BB14" s="291"/>
      <c r="BC14" s="149">
        <f t="shared" si="23"/>
        <v>5</v>
      </c>
      <c r="BD14" s="148">
        <v>7</v>
      </c>
      <c r="BE14" s="149">
        <v>28</v>
      </c>
      <c r="BF14" s="150">
        <f t="shared" si="24"/>
        <v>35</v>
      </c>
      <c r="BG14" s="149">
        <v>14</v>
      </c>
      <c r="BH14" s="149">
        <v>25</v>
      </c>
      <c r="BI14" s="150">
        <f t="shared" si="25"/>
        <v>74</v>
      </c>
      <c r="BJ14" s="294"/>
      <c r="BK14" s="149">
        <f t="shared" si="3"/>
        <v>4</v>
      </c>
      <c r="BL14" s="148">
        <v>10</v>
      </c>
      <c r="BM14" s="149">
        <v>27</v>
      </c>
      <c r="BN14" s="150">
        <f t="shared" si="26"/>
        <v>37</v>
      </c>
      <c r="BO14" s="149">
        <v>19</v>
      </c>
      <c r="BP14" s="149">
        <v>25</v>
      </c>
      <c r="BQ14" s="150">
        <f t="shared" si="27"/>
        <v>81</v>
      </c>
      <c r="BR14" s="291"/>
      <c r="BS14" s="149">
        <f t="shared" si="28"/>
        <v>5</v>
      </c>
      <c r="BT14" s="148">
        <v>9</v>
      </c>
      <c r="BU14" s="149">
        <v>33</v>
      </c>
      <c r="BV14" s="150">
        <f t="shared" si="29"/>
        <v>42</v>
      </c>
      <c r="BW14" s="149">
        <v>21</v>
      </c>
      <c r="BX14" s="149">
        <v>25</v>
      </c>
      <c r="BY14" s="150">
        <f t="shared" si="30"/>
        <v>88</v>
      </c>
      <c r="BZ14" s="294"/>
      <c r="CA14" s="149">
        <f t="shared" si="31"/>
        <v>5</v>
      </c>
      <c r="CB14" s="148">
        <v>7</v>
      </c>
      <c r="CC14" s="149">
        <v>27</v>
      </c>
      <c r="CD14" s="150">
        <f t="shared" si="32"/>
        <v>34</v>
      </c>
      <c r="CE14" s="149">
        <v>18</v>
      </c>
      <c r="CF14" s="149">
        <v>23</v>
      </c>
      <c r="CG14" s="150">
        <f t="shared" si="33"/>
        <v>75</v>
      </c>
      <c r="CH14" s="291"/>
      <c r="CI14" s="164">
        <f t="shared" si="34"/>
        <v>4</v>
      </c>
      <c r="CJ14" s="149">
        <f t="shared" si="4"/>
        <v>43.5</v>
      </c>
      <c r="CK14" s="165">
        <f t="shared" si="35"/>
        <v>4.833333333333333</v>
      </c>
      <c r="CL14" s="165" t="str">
        <f t="shared" si="36"/>
        <v>A</v>
      </c>
      <c r="CM14" s="37" t="str">
        <f t="shared" si="5"/>
        <v>BETTER</v>
      </c>
      <c r="CN14" s="217">
        <f t="shared" si="6"/>
        <v>907</v>
      </c>
      <c r="CO14" s="37"/>
      <c r="CP14" s="40"/>
      <c r="CQ14" s="215">
        <f>'1ST_SEMESTER'!CN14</f>
        <v>830</v>
      </c>
      <c r="CR14" s="215">
        <f>'2ND_SEMESTER'!CN14</f>
        <v>861</v>
      </c>
      <c r="CS14" s="215">
        <f t="shared" si="37"/>
        <v>907</v>
      </c>
      <c r="CT14" s="215">
        <f t="shared" si="38"/>
        <v>866</v>
      </c>
      <c r="CU14" s="226">
        <f>'1ST_SEMESTER'!CK14</f>
        <v>3.8888888888888888</v>
      </c>
      <c r="CV14" s="226">
        <f>'2ND_SEMESTER'!CK14</f>
        <v>4.3888888888888893</v>
      </c>
      <c r="CW14" s="226">
        <f t="shared" si="39"/>
        <v>4.833333333333333</v>
      </c>
      <c r="CX14" s="226">
        <f t="shared" si="40"/>
        <v>4.3703703703703702</v>
      </c>
    </row>
    <row r="15" spans="1:102" s="197" customFormat="1" ht="27" customHeight="1">
      <c r="A15" s="144">
        <v>8</v>
      </c>
      <c r="B15" s="117">
        <v>11</v>
      </c>
      <c r="C15" s="178" t="s">
        <v>117</v>
      </c>
      <c r="D15" s="59" t="s">
        <v>118</v>
      </c>
      <c r="E15" s="59" t="s">
        <v>119</v>
      </c>
      <c r="F15" s="60" t="s">
        <v>120</v>
      </c>
      <c r="G15" s="148">
        <v>18</v>
      </c>
      <c r="H15" s="149">
        <v>29</v>
      </c>
      <c r="I15" s="150">
        <f t="shared" si="7"/>
        <v>47</v>
      </c>
      <c r="J15" s="149">
        <v>26</v>
      </c>
      <c r="K15" s="150">
        <f t="shared" si="41"/>
        <v>73</v>
      </c>
      <c r="L15" s="148">
        <v>17</v>
      </c>
      <c r="M15" s="149">
        <v>40</v>
      </c>
      <c r="N15" s="150">
        <f t="shared" si="8"/>
        <v>57</v>
      </c>
      <c r="O15" s="149">
        <v>27</v>
      </c>
      <c r="P15" s="150">
        <f t="shared" si="9"/>
        <v>84</v>
      </c>
      <c r="Q15" s="150">
        <f t="shared" si="10"/>
        <v>157</v>
      </c>
      <c r="R15" s="291"/>
      <c r="S15" s="149">
        <f t="shared" si="11"/>
        <v>4</v>
      </c>
      <c r="T15" s="148">
        <v>20</v>
      </c>
      <c r="U15" s="149">
        <v>64</v>
      </c>
      <c r="V15" s="150">
        <f t="shared" si="12"/>
        <v>84</v>
      </c>
      <c r="W15" s="149">
        <v>16</v>
      </c>
      <c r="X15" s="149">
        <v>57</v>
      </c>
      <c r="Y15" s="150">
        <f t="shared" si="13"/>
        <v>73</v>
      </c>
      <c r="Z15" s="150">
        <f t="shared" si="14"/>
        <v>157</v>
      </c>
      <c r="AA15" s="291"/>
      <c r="AB15" s="149">
        <f t="shared" si="0"/>
        <v>4</v>
      </c>
      <c r="AC15" s="148">
        <v>20</v>
      </c>
      <c r="AD15" s="149">
        <v>42</v>
      </c>
      <c r="AE15" s="150">
        <f t="shared" si="15"/>
        <v>62</v>
      </c>
      <c r="AF15" s="149">
        <v>27</v>
      </c>
      <c r="AG15" s="150">
        <f t="shared" si="16"/>
        <v>89</v>
      </c>
      <c r="AH15" s="291"/>
      <c r="AI15" s="149">
        <f t="shared" si="1"/>
        <v>5</v>
      </c>
      <c r="AJ15" s="148">
        <v>20</v>
      </c>
      <c r="AK15" s="149">
        <v>46</v>
      </c>
      <c r="AL15" s="150">
        <f t="shared" si="17"/>
        <v>66</v>
      </c>
      <c r="AM15" s="149">
        <v>24</v>
      </c>
      <c r="AN15" s="150">
        <f t="shared" si="18"/>
        <v>90</v>
      </c>
      <c r="AO15" s="291"/>
      <c r="AP15" s="149">
        <f t="shared" si="2"/>
        <v>5</v>
      </c>
      <c r="AQ15" s="148"/>
      <c r="AR15" s="149">
        <v>20</v>
      </c>
      <c r="AS15" s="149">
        <v>24</v>
      </c>
      <c r="AT15" s="149">
        <f t="shared" si="19"/>
        <v>44</v>
      </c>
      <c r="AU15" s="294"/>
      <c r="AV15" s="149">
        <f t="shared" si="20"/>
        <v>5</v>
      </c>
      <c r="AW15" s="148">
        <v>13</v>
      </c>
      <c r="AX15" s="149">
        <v>39</v>
      </c>
      <c r="AY15" s="150">
        <f t="shared" si="21"/>
        <v>52</v>
      </c>
      <c r="AZ15" s="149">
        <v>25</v>
      </c>
      <c r="BA15" s="150">
        <f t="shared" si="22"/>
        <v>77</v>
      </c>
      <c r="BB15" s="291"/>
      <c r="BC15" s="149">
        <f t="shared" si="23"/>
        <v>4</v>
      </c>
      <c r="BD15" s="148">
        <v>8</v>
      </c>
      <c r="BE15" s="149">
        <v>37</v>
      </c>
      <c r="BF15" s="150">
        <f t="shared" si="24"/>
        <v>45</v>
      </c>
      <c r="BG15" s="149">
        <v>18</v>
      </c>
      <c r="BH15" s="149">
        <v>25</v>
      </c>
      <c r="BI15" s="150">
        <f t="shared" si="25"/>
        <v>88</v>
      </c>
      <c r="BJ15" s="294"/>
      <c r="BK15" s="149">
        <f t="shared" si="3"/>
        <v>5</v>
      </c>
      <c r="BL15" s="148">
        <v>8</v>
      </c>
      <c r="BM15" s="149">
        <v>30</v>
      </c>
      <c r="BN15" s="150">
        <f t="shared" si="26"/>
        <v>38</v>
      </c>
      <c r="BO15" s="149">
        <v>19</v>
      </c>
      <c r="BP15" s="149">
        <v>25</v>
      </c>
      <c r="BQ15" s="150">
        <f t="shared" si="27"/>
        <v>82</v>
      </c>
      <c r="BR15" s="291"/>
      <c r="BS15" s="149">
        <f t="shared" si="28"/>
        <v>5</v>
      </c>
      <c r="BT15" s="148">
        <v>9</v>
      </c>
      <c r="BU15" s="149">
        <v>32</v>
      </c>
      <c r="BV15" s="150">
        <f t="shared" si="29"/>
        <v>41</v>
      </c>
      <c r="BW15" s="149">
        <v>16</v>
      </c>
      <c r="BX15" s="149">
        <v>25</v>
      </c>
      <c r="BY15" s="150">
        <f t="shared" si="30"/>
        <v>82</v>
      </c>
      <c r="BZ15" s="294"/>
      <c r="CA15" s="149">
        <f t="shared" si="31"/>
        <v>5</v>
      </c>
      <c r="CB15" s="148">
        <v>8</v>
      </c>
      <c r="CC15" s="149">
        <v>26</v>
      </c>
      <c r="CD15" s="150">
        <f t="shared" si="32"/>
        <v>34</v>
      </c>
      <c r="CE15" s="149">
        <v>17</v>
      </c>
      <c r="CF15" s="149">
        <v>23</v>
      </c>
      <c r="CG15" s="150">
        <f t="shared" si="33"/>
        <v>74</v>
      </c>
      <c r="CH15" s="291"/>
      <c r="CI15" s="164">
        <f t="shared" si="34"/>
        <v>4</v>
      </c>
      <c r="CJ15" s="149">
        <f t="shared" si="4"/>
        <v>44</v>
      </c>
      <c r="CK15" s="165">
        <f t="shared" si="35"/>
        <v>4.8888888888888893</v>
      </c>
      <c r="CL15" s="165" t="str">
        <f t="shared" si="36"/>
        <v>A</v>
      </c>
      <c r="CM15" s="37" t="str">
        <f t="shared" si="5"/>
        <v>BETTER</v>
      </c>
      <c r="CN15" s="217">
        <f t="shared" si="6"/>
        <v>940</v>
      </c>
      <c r="CO15" s="37"/>
      <c r="CP15" s="40"/>
      <c r="CQ15" s="215">
        <f>'1ST_SEMESTER'!CN15</f>
        <v>812</v>
      </c>
      <c r="CR15" s="215">
        <f>'2ND_SEMESTER'!CN15</f>
        <v>911</v>
      </c>
      <c r="CS15" s="215">
        <f t="shared" si="37"/>
        <v>940</v>
      </c>
      <c r="CT15" s="215">
        <f t="shared" si="38"/>
        <v>887.66666666666663</v>
      </c>
      <c r="CU15" s="226">
        <f>'1ST_SEMESTER'!CK15</f>
        <v>3.8333333333333335</v>
      </c>
      <c r="CV15" s="226">
        <f>'2ND_SEMESTER'!CK15</f>
        <v>4.8888888888888893</v>
      </c>
      <c r="CW15" s="226">
        <f t="shared" si="39"/>
        <v>4.8888888888888893</v>
      </c>
      <c r="CX15" s="226">
        <f t="shared" si="40"/>
        <v>4.5370370370370372</v>
      </c>
    </row>
    <row r="16" spans="1:102" s="197" customFormat="1" ht="27" customHeight="1">
      <c r="A16" s="144">
        <v>9</v>
      </c>
      <c r="B16" s="117">
        <v>12</v>
      </c>
      <c r="C16" s="178" t="s">
        <v>121</v>
      </c>
      <c r="D16" s="59" t="s">
        <v>122</v>
      </c>
      <c r="E16" s="59" t="s">
        <v>123</v>
      </c>
      <c r="F16" s="60" t="s">
        <v>124</v>
      </c>
      <c r="G16" s="148">
        <v>16</v>
      </c>
      <c r="H16" s="149">
        <v>33</v>
      </c>
      <c r="I16" s="150">
        <f t="shared" si="7"/>
        <v>49</v>
      </c>
      <c r="J16" s="149">
        <v>22</v>
      </c>
      <c r="K16" s="150">
        <f t="shared" si="41"/>
        <v>71</v>
      </c>
      <c r="L16" s="148">
        <v>17</v>
      </c>
      <c r="M16" s="149">
        <v>34</v>
      </c>
      <c r="N16" s="150">
        <f t="shared" si="8"/>
        <v>51</v>
      </c>
      <c r="O16" s="149">
        <v>19</v>
      </c>
      <c r="P16" s="150">
        <f t="shared" si="9"/>
        <v>70</v>
      </c>
      <c r="Q16" s="150">
        <f t="shared" si="10"/>
        <v>141</v>
      </c>
      <c r="R16" s="291"/>
      <c r="S16" s="149">
        <f t="shared" si="11"/>
        <v>4</v>
      </c>
      <c r="T16" s="148">
        <v>20</v>
      </c>
      <c r="U16" s="149">
        <v>49</v>
      </c>
      <c r="V16" s="150">
        <f t="shared" si="12"/>
        <v>69</v>
      </c>
      <c r="W16" s="149">
        <v>14</v>
      </c>
      <c r="X16" s="149">
        <v>46</v>
      </c>
      <c r="Y16" s="150">
        <f t="shared" si="13"/>
        <v>60</v>
      </c>
      <c r="Z16" s="150">
        <f t="shared" si="14"/>
        <v>129</v>
      </c>
      <c r="AA16" s="291"/>
      <c r="AB16" s="149">
        <f t="shared" si="0"/>
        <v>3.5</v>
      </c>
      <c r="AC16" s="148">
        <v>18</v>
      </c>
      <c r="AD16" s="149">
        <v>16</v>
      </c>
      <c r="AE16" s="150">
        <f t="shared" si="15"/>
        <v>34</v>
      </c>
      <c r="AF16" s="149">
        <v>12</v>
      </c>
      <c r="AG16" s="150">
        <f t="shared" si="16"/>
        <v>46</v>
      </c>
      <c r="AH16" s="291"/>
      <c r="AI16" s="149">
        <f t="shared" si="1"/>
        <v>2</v>
      </c>
      <c r="AJ16" s="148">
        <v>20</v>
      </c>
      <c r="AK16" s="149">
        <v>49</v>
      </c>
      <c r="AL16" s="150">
        <f t="shared" si="17"/>
        <v>69</v>
      </c>
      <c r="AM16" s="149">
        <v>21</v>
      </c>
      <c r="AN16" s="150">
        <f t="shared" si="18"/>
        <v>90</v>
      </c>
      <c r="AO16" s="291"/>
      <c r="AP16" s="149">
        <f t="shared" si="2"/>
        <v>5</v>
      </c>
      <c r="AQ16" s="148"/>
      <c r="AR16" s="149">
        <v>19</v>
      </c>
      <c r="AS16" s="149">
        <v>24</v>
      </c>
      <c r="AT16" s="149">
        <f t="shared" si="19"/>
        <v>43</v>
      </c>
      <c r="AU16" s="294"/>
      <c r="AV16" s="149">
        <f t="shared" si="20"/>
        <v>5</v>
      </c>
      <c r="AW16" s="148">
        <v>15</v>
      </c>
      <c r="AX16" s="149">
        <v>35</v>
      </c>
      <c r="AY16" s="150">
        <f t="shared" si="21"/>
        <v>50</v>
      </c>
      <c r="AZ16" s="149">
        <v>19</v>
      </c>
      <c r="BA16" s="150">
        <f t="shared" si="22"/>
        <v>69</v>
      </c>
      <c r="BB16" s="291"/>
      <c r="BC16" s="149">
        <f t="shared" si="23"/>
        <v>3.5</v>
      </c>
      <c r="BD16" s="148">
        <v>8</v>
      </c>
      <c r="BE16" s="149">
        <v>26</v>
      </c>
      <c r="BF16" s="150">
        <f t="shared" si="24"/>
        <v>34</v>
      </c>
      <c r="BG16" s="149">
        <v>15</v>
      </c>
      <c r="BH16" s="149">
        <v>25</v>
      </c>
      <c r="BI16" s="150">
        <f t="shared" si="25"/>
        <v>74</v>
      </c>
      <c r="BJ16" s="294"/>
      <c r="BK16" s="149">
        <f t="shared" si="3"/>
        <v>4</v>
      </c>
      <c r="BL16" s="148">
        <v>7</v>
      </c>
      <c r="BM16" s="149">
        <v>22</v>
      </c>
      <c r="BN16" s="150">
        <f t="shared" si="26"/>
        <v>29</v>
      </c>
      <c r="BO16" s="149">
        <v>18</v>
      </c>
      <c r="BP16" s="149">
        <v>25</v>
      </c>
      <c r="BQ16" s="150">
        <f t="shared" si="27"/>
        <v>72</v>
      </c>
      <c r="BR16" s="291"/>
      <c r="BS16" s="149">
        <f t="shared" si="28"/>
        <v>4</v>
      </c>
      <c r="BT16" s="148">
        <v>9</v>
      </c>
      <c r="BU16" s="149">
        <v>37</v>
      </c>
      <c r="BV16" s="150">
        <f t="shared" si="29"/>
        <v>46</v>
      </c>
      <c r="BW16" s="149">
        <v>18</v>
      </c>
      <c r="BX16" s="149">
        <v>25</v>
      </c>
      <c r="BY16" s="150">
        <f t="shared" si="30"/>
        <v>89</v>
      </c>
      <c r="BZ16" s="294"/>
      <c r="CA16" s="149">
        <f t="shared" si="31"/>
        <v>5</v>
      </c>
      <c r="CB16" s="148">
        <v>7</v>
      </c>
      <c r="CC16" s="149">
        <v>21</v>
      </c>
      <c r="CD16" s="150">
        <f t="shared" si="32"/>
        <v>28</v>
      </c>
      <c r="CE16" s="149">
        <v>17</v>
      </c>
      <c r="CF16" s="149">
        <v>23</v>
      </c>
      <c r="CG16" s="150">
        <f t="shared" si="33"/>
        <v>68</v>
      </c>
      <c r="CH16" s="291"/>
      <c r="CI16" s="164">
        <f t="shared" si="34"/>
        <v>3.5</v>
      </c>
      <c r="CJ16" s="149">
        <f t="shared" si="4"/>
        <v>37.5</v>
      </c>
      <c r="CK16" s="165">
        <f t="shared" si="35"/>
        <v>4.166666666666667</v>
      </c>
      <c r="CL16" s="165" t="str">
        <f t="shared" si="36"/>
        <v>A</v>
      </c>
      <c r="CM16" s="37" t="str">
        <f t="shared" si="5"/>
        <v>BETTER</v>
      </c>
      <c r="CN16" s="217">
        <f t="shared" si="6"/>
        <v>821</v>
      </c>
      <c r="CO16" s="37"/>
      <c r="CP16" s="40"/>
      <c r="CQ16" s="215">
        <f>'1ST_SEMESTER'!CN16</f>
        <v>731</v>
      </c>
      <c r="CR16" s="215">
        <f>'2ND_SEMESTER'!CN16</f>
        <v>823</v>
      </c>
      <c r="CS16" s="215">
        <f t="shared" si="37"/>
        <v>821</v>
      </c>
      <c r="CT16" s="215">
        <f t="shared" si="38"/>
        <v>791.66666666666663</v>
      </c>
      <c r="CU16" s="226" t="str">
        <f>'1ST_SEMESTER'!CK16</f>
        <v>F</v>
      </c>
      <c r="CV16" s="226">
        <f>'2ND_SEMESTER'!CK16</f>
        <v>4.2222222222222223</v>
      </c>
      <c r="CW16" s="226">
        <f t="shared" si="39"/>
        <v>4.166666666666667</v>
      </c>
      <c r="CX16" s="226">
        <f t="shared" si="40"/>
        <v>4.1944444444444446</v>
      </c>
    </row>
    <row r="17" spans="1:102" s="197" customFormat="1" ht="27" customHeight="1">
      <c r="A17" s="144">
        <v>10</v>
      </c>
      <c r="B17" s="117">
        <v>14</v>
      </c>
      <c r="C17" s="178" t="s">
        <v>125</v>
      </c>
      <c r="D17" s="59" t="s">
        <v>126</v>
      </c>
      <c r="E17" s="59" t="s">
        <v>127</v>
      </c>
      <c r="F17" s="60" t="s">
        <v>128</v>
      </c>
      <c r="G17" s="148">
        <v>14</v>
      </c>
      <c r="H17" s="149">
        <v>24</v>
      </c>
      <c r="I17" s="150">
        <f t="shared" si="7"/>
        <v>38</v>
      </c>
      <c r="J17" s="149">
        <v>23</v>
      </c>
      <c r="K17" s="150">
        <f t="shared" si="41"/>
        <v>61</v>
      </c>
      <c r="L17" s="148">
        <v>18</v>
      </c>
      <c r="M17" s="149">
        <v>38</v>
      </c>
      <c r="N17" s="150">
        <f t="shared" si="8"/>
        <v>56</v>
      </c>
      <c r="O17" s="149">
        <v>27</v>
      </c>
      <c r="P17" s="150">
        <f t="shared" si="9"/>
        <v>83</v>
      </c>
      <c r="Q17" s="150">
        <f t="shared" si="10"/>
        <v>144</v>
      </c>
      <c r="R17" s="291"/>
      <c r="S17" s="149">
        <f t="shared" si="11"/>
        <v>4</v>
      </c>
      <c r="T17" s="148">
        <v>20</v>
      </c>
      <c r="U17" s="149">
        <v>49</v>
      </c>
      <c r="V17" s="150">
        <f t="shared" si="12"/>
        <v>69</v>
      </c>
      <c r="W17" s="149">
        <v>12</v>
      </c>
      <c r="X17" s="149">
        <v>57</v>
      </c>
      <c r="Y17" s="150">
        <f t="shared" si="13"/>
        <v>69</v>
      </c>
      <c r="Z17" s="150">
        <f t="shared" si="14"/>
        <v>138</v>
      </c>
      <c r="AA17" s="291"/>
      <c r="AB17" s="149">
        <f t="shared" si="0"/>
        <v>3.5</v>
      </c>
      <c r="AC17" s="148">
        <v>16</v>
      </c>
      <c r="AD17" s="149">
        <v>35</v>
      </c>
      <c r="AE17" s="150">
        <f t="shared" si="15"/>
        <v>51</v>
      </c>
      <c r="AF17" s="149">
        <v>14</v>
      </c>
      <c r="AG17" s="150">
        <f t="shared" si="16"/>
        <v>65</v>
      </c>
      <c r="AH17" s="291"/>
      <c r="AI17" s="149">
        <f t="shared" si="1"/>
        <v>3.5</v>
      </c>
      <c r="AJ17" s="148">
        <v>20</v>
      </c>
      <c r="AK17" s="149">
        <v>34</v>
      </c>
      <c r="AL17" s="150">
        <f t="shared" si="17"/>
        <v>54</v>
      </c>
      <c r="AM17" s="149">
        <v>26</v>
      </c>
      <c r="AN17" s="150">
        <f t="shared" si="18"/>
        <v>80</v>
      </c>
      <c r="AO17" s="291"/>
      <c r="AP17" s="149">
        <f t="shared" si="2"/>
        <v>5</v>
      </c>
      <c r="AQ17" s="148"/>
      <c r="AR17" s="149">
        <v>22</v>
      </c>
      <c r="AS17" s="149">
        <v>24</v>
      </c>
      <c r="AT17" s="149">
        <f t="shared" si="19"/>
        <v>46</v>
      </c>
      <c r="AU17" s="294"/>
      <c r="AV17" s="149">
        <f t="shared" si="20"/>
        <v>5</v>
      </c>
      <c r="AW17" s="148">
        <v>17</v>
      </c>
      <c r="AX17" s="149">
        <v>32</v>
      </c>
      <c r="AY17" s="150">
        <f t="shared" si="21"/>
        <v>49</v>
      </c>
      <c r="AZ17" s="149">
        <v>26</v>
      </c>
      <c r="BA17" s="150">
        <f t="shared" si="22"/>
        <v>75</v>
      </c>
      <c r="BB17" s="291"/>
      <c r="BC17" s="149">
        <f t="shared" si="23"/>
        <v>4</v>
      </c>
      <c r="BD17" s="148">
        <v>8</v>
      </c>
      <c r="BE17" s="149">
        <v>36</v>
      </c>
      <c r="BF17" s="150">
        <f t="shared" si="24"/>
        <v>44</v>
      </c>
      <c r="BG17" s="149">
        <v>17</v>
      </c>
      <c r="BH17" s="149">
        <v>25</v>
      </c>
      <c r="BI17" s="150">
        <f t="shared" si="25"/>
        <v>86</v>
      </c>
      <c r="BJ17" s="294"/>
      <c r="BK17" s="149">
        <f t="shared" si="3"/>
        <v>5</v>
      </c>
      <c r="BL17" s="148">
        <v>8</v>
      </c>
      <c r="BM17" s="149">
        <v>28</v>
      </c>
      <c r="BN17" s="150">
        <f t="shared" si="26"/>
        <v>36</v>
      </c>
      <c r="BO17" s="149">
        <v>13</v>
      </c>
      <c r="BP17" s="149">
        <v>25</v>
      </c>
      <c r="BQ17" s="150">
        <f t="shared" si="27"/>
        <v>74</v>
      </c>
      <c r="BR17" s="291"/>
      <c r="BS17" s="149">
        <f t="shared" si="28"/>
        <v>4</v>
      </c>
      <c r="BT17" s="148">
        <v>9</v>
      </c>
      <c r="BU17" s="149">
        <v>30</v>
      </c>
      <c r="BV17" s="150">
        <f t="shared" si="29"/>
        <v>39</v>
      </c>
      <c r="BW17" s="149">
        <v>17</v>
      </c>
      <c r="BX17" s="149">
        <v>25</v>
      </c>
      <c r="BY17" s="150">
        <f t="shared" si="30"/>
        <v>81</v>
      </c>
      <c r="BZ17" s="294"/>
      <c r="CA17" s="149">
        <f t="shared" si="31"/>
        <v>5</v>
      </c>
      <c r="CB17" s="148">
        <v>9</v>
      </c>
      <c r="CC17" s="149">
        <v>32</v>
      </c>
      <c r="CD17" s="150">
        <f t="shared" si="32"/>
        <v>41</v>
      </c>
      <c r="CE17" s="149">
        <v>16</v>
      </c>
      <c r="CF17" s="149">
        <v>23</v>
      </c>
      <c r="CG17" s="150">
        <f t="shared" si="33"/>
        <v>80</v>
      </c>
      <c r="CH17" s="291"/>
      <c r="CI17" s="164">
        <f t="shared" si="34"/>
        <v>5</v>
      </c>
      <c r="CJ17" s="149">
        <f t="shared" si="4"/>
        <v>42</v>
      </c>
      <c r="CK17" s="165">
        <f t="shared" si="35"/>
        <v>4.666666666666667</v>
      </c>
      <c r="CL17" s="165" t="str">
        <f t="shared" si="36"/>
        <v>A</v>
      </c>
      <c r="CM17" s="37" t="str">
        <f t="shared" si="5"/>
        <v>BETTER</v>
      </c>
      <c r="CN17" s="217">
        <f t="shared" si="6"/>
        <v>869</v>
      </c>
      <c r="CO17" s="37"/>
      <c r="CP17" s="40"/>
      <c r="CQ17" s="215">
        <f>'1ST_SEMESTER'!CN17</f>
        <v>835</v>
      </c>
      <c r="CR17" s="215">
        <f>'2ND_SEMESTER'!CN17</f>
        <v>850</v>
      </c>
      <c r="CS17" s="215">
        <f t="shared" si="37"/>
        <v>869</v>
      </c>
      <c r="CT17" s="215">
        <f t="shared" si="38"/>
        <v>851.33333333333337</v>
      </c>
      <c r="CU17" s="226">
        <f>'1ST_SEMESTER'!CK17</f>
        <v>4.2777777777777777</v>
      </c>
      <c r="CV17" s="226">
        <f>'2ND_SEMESTER'!CK17</f>
        <v>4.333333333333333</v>
      </c>
      <c r="CW17" s="226">
        <f t="shared" si="39"/>
        <v>4.666666666666667</v>
      </c>
      <c r="CX17" s="226">
        <f t="shared" si="40"/>
        <v>4.4259259259259265</v>
      </c>
    </row>
    <row r="18" spans="1:102" s="197" customFormat="1" ht="27" customHeight="1">
      <c r="A18" s="144">
        <v>11</v>
      </c>
      <c r="B18" s="117">
        <v>15</v>
      </c>
      <c r="C18" s="178" t="s">
        <v>129</v>
      </c>
      <c r="D18" s="59" t="s">
        <v>130</v>
      </c>
      <c r="E18" s="59" t="s">
        <v>131</v>
      </c>
      <c r="F18" s="60" t="s">
        <v>132</v>
      </c>
      <c r="G18" s="148">
        <v>16</v>
      </c>
      <c r="H18" s="149">
        <v>36</v>
      </c>
      <c r="I18" s="150">
        <f t="shared" si="7"/>
        <v>52</v>
      </c>
      <c r="J18" s="149">
        <v>24</v>
      </c>
      <c r="K18" s="150">
        <f t="shared" si="41"/>
        <v>76</v>
      </c>
      <c r="L18" s="148">
        <v>19</v>
      </c>
      <c r="M18" s="149">
        <v>39</v>
      </c>
      <c r="N18" s="150">
        <f t="shared" si="8"/>
        <v>58</v>
      </c>
      <c r="O18" s="149">
        <v>26</v>
      </c>
      <c r="P18" s="150">
        <f t="shared" si="9"/>
        <v>84</v>
      </c>
      <c r="Q18" s="150">
        <f t="shared" si="10"/>
        <v>160</v>
      </c>
      <c r="R18" s="291"/>
      <c r="S18" s="149">
        <f t="shared" si="11"/>
        <v>5</v>
      </c>
      <c r="T18" s="148">
        <v>20</v>
      </c>
      <c r="U18" s="149">
        <v>38</v>
      </c>
      <c r="V18" s="150">
        <f t="shared" si="12"/>
        <v>58</v>
      </c>
      <c r="W18" s="149">
        <v>11</v>
      </c>
      <c r="X18" s="149">
        <v>50</v>
      </c>
      <c r="Y18" s="150">
        <f t="shared" si="13"/>
        <v>61</v>
      </c>
      <c r="Z18" s="150">
        <f t="shared" si="14"/>
        <v>119</v>
      </c>
      <c r="AA18" s="291"/>
      <c r="AB18" s="149">
        <f t="shared" si="0"/>
        <v>3</v>
      </c>
      <c r="AC18" s="148">
        <v>16</v>
      </c>
      <c r="AD18" s="149">
        <v>35</v>
      </c>
      <c r="AE18" s="150">
        <f t="shared" si="15"/>
        <v>51</v>
      </c>
      <c r="AF18" s="149">
        <v>21</v>
      </c>
      <c r="AG18" s="150">
        <f t="shared" si="16"/>
        <v>72</v>
      </c>
      <c r="AH18" s="291"/>
      <c r="AI18" s="149">
        <f t="shared" si="1"/>
        <v>4</v>
      </c>
      <c r="AJ18" s="148">
        <v>20</v>
      </c>
      <c r="AK18" s="149">
        <v>49</v>
      </c>
      <c r="AL18" s="150">
        <f t="shared" si="17"/>
        <v>69</v>
      </c>
      <c r="AM18" s="149">
        <v>22</v>
      </c>
      <c r="AN18" s="150">
        <f t="shared" si="18"/>
        <v>91</v>
      </c>
      <c r="AO18" s="291"/>
      <c r="AP18" s="149">
        <f t="shared" si="2"/>
        <v>5</v>
      </c>
      <c r="AQ18" s="148"/>
      <c r="AR18" s="149">
        <v>22</v>
      </c>
      <c r="AS18" s="149">
        <v>24</v>
      </c>
      <c r="AT18" s="149">
        <f t="shared" si="19"/>
        <v>46</v>
      </c>
      <c r="AU18" s="294"/>
      <c r="AV18" s="149">
        <f t="shared" si="20"/>
        <v>5</v>
      </c>
      <c r="AW18" s="148">
        <v>17</v>
      </c>
      <c r="AX18" s="149">
        <v>31</v>
      </c>
      <c r="AY18" s="150">
        <f t="shared" si="21"/>
        <v>48</v>
      </c>
      <c r="AZ18" s="149">
        <v>24</v>
      </c>
      <c r="BA18" s="150">
        <f t="shared" si="22"/>
        <v>72</v>
      </c>
      <c r="BB18" s="291"/>
      <c r="BC18" s="149">
        <f t="shared" si="23"/>
        <v>4</v>
      </c>
      <c r="BD18" s="148">
        <v>8</v>
      </c>
      <c r="BE18" s="149">
        <v>22</v>
      </c>
      <c r="BF18" s="150">
        <f t="shared" si="24"/>
        <v>30</v>
      </c>
      <c r="BG18" s="149">
        <v>16</v>
      </c>
      <c r="BH18" s="149">
        <v>25</v>
      </c>
      <c r="BI18" s="150">
        <f t="shared" si="25"/>
        <v>71</v>
      </c>
      <c r="BJ18" s="294"/>
      <c r="BK18" s="149">
        <f t="shared" si="3"/>
        <v>4</v>
      </c>
      <c r="BL18" s="148">
        <v>9</v>
      </c>
      <c r="BM18" s="149">
        <v>28</v>
      </c>
      <c r="BN18" s="150">
        <f t="shared" si="26"/>
        <v>37</v>
      </c>
      <c r="BO18" s="149">
        <v>16</v>
      </c>
      <c r="BP18" s="149">
        <v>25</v>
      </c>
      <c r="BQ18" s="150">
        <f t="shared" si="27"/>
        <v>78</v>
      </c>
      <c r="BR18" s="291"/>
      <c r="BS18" s="149">
        <f t="shared" si="28"/>
        <v>4</v>
      </c>
      <c r="BT18" s="148">
        <v>10</v>
      </c>
      <c r="BU18" s="149">
        <v>34</v>
      </c>
      <c r="BV18" s="150">
        <f t="shared" si="29"/>
        <v>44</v>
      </c>
      <c r="BW18" s="149">
        <v>19</v>
      </c>
      <c r="BX18" s="149">
        <v>25</v>
      </c>
      <c r="BY18" s="150">
        <f t="shared" si="30"/>
        <v>88</v>
      </c>
      <c r="BZ18" s="294"/>
      <c r="CA18" s="149">
        <f t="shared" si="31"/>
        <v>5</v>
      </c>
      <c r="CB18" s="148">
        <v>6</v>
      </c>
      <c r="CC18" s="149">
        <v>25</v>
      </c>
      <c r="CD18" s="150">
        <f t="shared" si="32"/>
        <v>31</v>
      </c>
      <c r="CE18" s="149">
        <v>17</v>
      </c>
      <c r="CF18" s="149">
        <v>23</v>
      </c>
      <c r="CG18" s="150">
        <f t="shared" si="33"/>
        <v>71</v>
      </c>
      <c r="CH18" s="291"/>
      <c r="CI18" s="164">
        <f t="shared" si="34"/>
        <v>4</v>
      </c>
      <c r="CJ18" s="149">
        <f t="shared" si="4"/>
        <v>41</v>
      </c>
      <c r="CK18" s="165">
        <f t="shared" si="35"/>
        <v>4.5555555555555554</v>
      </c>
      <c r="CL18" s="165" t="str">
        <f t="shared" si="36"/>
        <v>A</v>
      </c>
      <c r="CM18" s="37" t="str">
        <f t="shared" si="5"/>
        <v>BETTER</v>
      </c>
      <c r="CN18" s="217">
        <f t="shared" si="6"/>
        <v>868</v>
      </c>
      <c r="CO18" s="37"/>
      <c r="CP18" s="40"/>
      <c r="CQ18" s="215">
        <f>'1ST_SEMESTER'!CN18</f>
        <v>798</v>
      </c>
      <c r="CR18" s="215">
        <f>'2ND_SEMESTER'!CN18</f>
        <v>845</v>
      </c>
      <c r="CS18" s="215">
        <f t="shared" si="37"/>
        <v>868</v>
      </c>
      <c r="CT18" s="215">
        <f t="shared" si="38"/>
        <v>837</v>
      </c>
      <c r="CU18" s="226">
        <f>'1ST_SEMESTER'!CK18</f>
        <v>4.0555555555555554</v>
      </c>
      <c r="CV18" s="226">
        <f>'2ND_SEMESTER'!CK18</f>
        <v>4.3888888888888893</v>
      </c>
      <c r="CW18" s="226">
        <f t="shared" si="39"/>
        <v>4.5555555555555554</v>
      </c>
      <c r="CX18" s="226">
        <f t="shared" si="40"/>
        <v>4.333333333333333</v>
      </c>
    </row>
    <row r="19" spans="1:102" s="198" customFormat="1" ht="27" customHeight="1">
      <c r="A19" s="144">
        <v>12</v>
      </c>
      <c r="B19" s="117">
        <v>16</v>
      </c>
      <c r="C19" s="179" t="s">
        <v>133</v>
      </c>
      <c r="D19" s="95" t="s">
        <v>134</v>
      </c>
      <c r="E19" s="95" t="s">
        <v>135</v>
      </c>
      <c r="F19" s="96" t="s">
        <v>136</v>
      </c>
      <c r="G19" s="148">
        <v>16</v>
      </c>
      <c r="H19" s="149">
        <v>31</v>
      </c>
      <c r="I19" s="150">
        <f t="shared" si="7"/>
        <v>47</v>
      </c>
      <c r="J19" s="149">
        <v>26</v>
      </c>
      <c r="K19" s="150">
        <f t="shared" si="41"/>
        <v>73</v>
      </c>
      <c r="L19" s="148">
        <v>17</v>
      </c>
      <c r="M19" s="149">
        <v>37</v>
      </c>
      <c r="N19" s="150">
        <f t="shared" si="8"/>
        <v>54</v>
      </c>
      <c r="O19" s="149">
        <v>27</v>
      </c>
      <c r="P19" s="150">
        <f t="shared" si="9"/>
        <v>81</v>
      </c>
      <c r="Q19" s="150">
        <f t="shared" si="10"/>
        <v>154</v>
      </c>
      <c r="R19" s="291"/>
      <c r="S19" s="149">
        <f t="shared" si="11"/>
        <v>4</v>
      </c>
      <c r="T19" s="148">
        <v>20</v>
      </c>
      <c r="U19" s="149">
        <v>48</v>
      </c>
      <c r="V19" s="150">
        <f t="shared" si="12"/>
        <v>68</v>
      </c>
      <c r="W19" s="149">
        <v>14</v>
      </c>
      <c r="X19" s="149">
        <v>50</v>
      </c>
      <c r="Y19" s="150">
        <f t="shared" si="13"/>
        <v>64</v>
      </c>
      <c r="Z19" s="150">
        <f t="shared" si="14"/>
        <v>132</v>
      </c>
      <c r="AA19" s="291"/>
      <c r="AB19" s="149">
        <f t="shared" si="0"/>
        <v>3.5</v>
      </c>
      <c r="AC19" s="148">
        <v>18</v>
      </c>
      <c r="AD19" s="149">
        <v>41</v>
      </c>
      <c r="AE19" s="150">
        <f t="shared" si="15"/>
        <v>59</v>
      </c>
      <c r="AF19" s="149">
        <v>17</v>
      </c>
      <c r="AG19" s="150">
        <f t="shared" si="16"/>
        <v>76</v>
      </c>
      <c r="AH19" s="291"/>
      <c r="AI19" s="149">
        <f t="shared" si="1"/>
        <v>4</v>
      </c>
      <c r="AJ19" s="148">
        <v>20</v>
      </c>
      <c r="AK19" s="149">
        <v>45</v>
      </c>
      <c r="AL19" s="150">
        <f t="shared" si="17"/>
        <v>65</v>
      </c>
      <c r="AM19" s="149">
        <v>25</v>
      </c>
      <c r="AN19" s="150">
        <f t="shared" si="18"/>
        <v>90</v>
      </c>
      <c r="AO19" s="291"/>
      <c r="AP19" s="149">
        <f t="shared" si="2"/>
        <v>5</v>
      </c>
      <c r="AQ19" s="148"/>
      <c r="AR19" s="149">
        <v>23</v>
      </c>
      <c r="AS19" s="149">
        <v>24</v>
      </c>
      <c r="AT19" s="149">
        <f t="shared" ref="AT19:AT82" si="42">SUM(AQ19:AS19)</f>
        <v>47</v>
      </c>
      <c r="AU19" s="294"/>
      <c r="AV19" s="149">
        <f t="shared" si="20"/>
        <v>5</v>
      </c>
      <c r="AW19" s="148">
        <v>17</v>
      </c>
      <c r="AX19" s="149">
        <v>29</v>
      </c>
      <c r="AY19" s="150">
        <f t="shared" si="21"/>
        <v>46</v>
      </c>
      <c r="AZ19" s="149">
        <v>25</v>
      </c>
      <c r="BA19" s="150">
        <f t="shared" si="22"/>
        <v>71</v>
      </c>
      <c r="BB19" s="291"/>
      <c r="BC19" s="149">
        <f t="shared" si="23"/>
        <v>4</v>
      </c>
      <c r="BD19" s="148">
        <v>6</v>
      </c>
      <c r="BE19" s="149">
        <v>34</v>
      </c>
      <c r="BF19" s="150">
        <f t="shared" si="24"/>
        <v>40</v>
      </c>
      <c r="BG19" s="149">
        <v>16</v>
      </c>
      <c r="BH19" s="149">
        <v>25</v>
      </c>
      <c r="BI19" s="150">
        <f t="shared" si="25"/>
        <v>81</v>
      </c>
      <c r="BJ19" s="294"/>
      <c r="BK19" s="149">
        <f t="shared" si="3"/>
        <v>5</v>
      </c>
      <c r="BL19" s="148">
        <v>9</v>
      </c>
      <c r="BM19" s="149">
        <v>26</v>
      </c>
      <c r="BN19" s="150">
        <f t="shared" si="26"/>
        <v>35</v>
      </c>
      <c r="BO19" s="149">
        <v>20</v>
      </c>
      <c r="BP19" s="149">
        <v>25</v>
      </c>
      <c r="BQ19" s="150">
        <f t="shared" si="27"/>
        <v>80</v>
      </c>
      <c r="BR19" s="291"/>
      <c r="BS19" s="149">
        <f t="shared" si="28"/>
        <v>5</v>
      </c>
      <c r="BT19" s="148">
        <v>8</v>
      </c>
      <c r="BU19" s="149">
        <v>34</v>
      </c>
      <c r="BV19" s="150">
        <f t="shared" si="29"/>
        <v>42</v>
      </c>
      <c r="BW19" s="149">
        <v>21</v>
      </c>
      <c r="BX19" s="149">
        <v>25</v>
      </c>
      <c r="BY19" s="150">
        <f t="shared" si="30"/>
        <v>88</v>
      </c>
      <c r="BZ19" s="294"/>
      <c r="CA19" s="149">
        <f t="shared" si="31"/>
        <v>5</v>
      </c>
      <c r="CB19" s="148">
        <v>8</v>
      </c>
      <c r="CC19" s="149">
        <v>32</v>
      </c>
      <c r="CD19" s="150">
        <f t="shared" si="32"/>
        <v>40</v>
      </c>
      <c r="CE19" s="149">
        <v>18</v>
      </c>
      <c r="CF19" s="149">
        <v>23</v>
      </c>
      <c r="CG19" s="150">
        <f t="shared" si="33"/>
        <v>81</v>
      </c>
      <c r="CH19" s="291"/>
      <c r="CI19" s="164">
        <f t="shared" si="34"/>
        <v>5</v>
      </c>
      <c r="CJ19" s="149">
        <f t="shared" si="4"/>
        <v>43.5</v>
      </c>
      <c r="CK19" s="165">
        <f t="shared" si="35"/>
        <v>4.833333333333333</v>
      </c>
      <c r="CL19" s="165" t="str">
        <f t="shared" si="36"/>
        <v>A</v>
      </c>
      <c r="CM19" s="37" t="str">
        <f t="shared" si="5"/>
        <v>BETTER</v>
      </c>
      <c r="CN19" s="217">
        <f t="shared" si="6"/>
        <v>900</v>
      </c>
      <c r="CO19" s="37"/>
      <c r="CP19" s="40"/>
      <c r="CQ19" s="215">
        <f>'1ST_SEMESTER'!CN19</f>
        <v>850</v>
      </c>
      <c r="CR19" s="215">
        <f>'2ND_SEMESTER'!CN19</f>
        <v>900</v>
      </c>
      <c r="CS19" s="215">
        <f t="shared" si="37"/>
        <v>900</v>
      </c>
      <c r="CT19" s="215">
        <f t="shared" si="38"/>
        <v>883.33333333333337</v>
      </c>
      <c r="CU19" s="226">
        <f>'1ST_SEMESTER'!CK19</f>
        <v>4.5555555555555554</v>
      </c>
      <c r="CV19" s="226">
        <f>'2ND_SEMESTER'!CK19</f>
        <v>4.7222222222222223</v>
      </c>
      <c r="CW19" s="226">
        <f t="shared" si="39"/>
        <v>4.833333333333333</v>
      </c>
      <c r="CX19" s="226">
        <f t="shared" si="40"/>
        <v>4.7037037037037033</v>
      </c>
    </row>
    <row r="20" spans="1:102" s="198" customFormat="1" ht="27" customHeight="1">
      <c r="A20" s="144">
        <v>13</v>
      </c>
      <c r="B20" s="117">
        <v>17</v>
      </c>
      <c r="C20" s="118" t="s">
        <v>137</v>
      </c>
      <c r="D20" s="69" t="s">
        <v>138</v>
      </c>
      <c r="E20" s="69" t="s">
        <v>139</v>
      </c>
      <c r="F20" s="98" t="s">
        <v>140</v>
      </c>
      <c r="G20" s="148">
        <v>19</v>
      </c>
      <c r="H20" s="149">
        <v>33</v>
      </c>
      <c r="I20" s="150">
        <f t="shared" si="7"/>
        <v>52</v>
      </c>
      <c r="J20" s="149">
        <v>25</v>
      </c>
      <c r="K20" s="150">
        <f t="shared" si="41"/>
        <v>77</v>
      </c>
      <c r="L20" s="148">
        <v>19</v>
      </c>
      <c r="M20" s="149">
        <v>38</v>
      </c>
      <c r="N20" s="150">
        <f t="shared" si="8"/>
        <v>57</v>
      </c>
      <c r="O20" s="149">
        <v>25</v>
      </c>
      <c r="P20" s="150">
        <f t="shared" si="9"/>
        <v>82</v>
      </c>
      <c r="Q20" s="150">
        <f t="shared" si="10"/>
        <v>159</v>
      </c>
      <c r="R20" s="291"/>
      <c r="S20" s="149">
        <f t="shared" si="11"/>
        <v>4</v>
      </c>
      <c r="T20" s="148">
        <v>20</v>
      </c>
      <c r="U20" s="149">
        <v>36</v>
      </c>
      <c r="V20" s="150">
        <f t="shared" si="12"/>
        <v>56</v>
      </c>
      <c r="W20" s="149">
        <v>14</v>
      </c>
      <c r="X20" s="149">
        <v>46</v>
      </c>
      <c r="Y20" s="150">
        <f t="shared" si="13"/>
        <v>60</v>
      </c>
      <c r="Z20" s="150">
        <f t="shared" si="14"/>
        <v>116</v>
      </c>
      <c r="AA20" s="291"/>
      <c r="AB20" s="149">
        <f t="shared" si="0"/>
        <v>3</v>
      </c>
      <c r="AC20" s="148">
        <v>17</v>
      </c>
      <c r="AD20" s="149">
        <v>25</v>
      </c>
      <c r="AE20" s="150">
        <f t="shared" si="15"/>
        <v>42</v>
      </c>
      <c r="AF20" s="149">
        <v>17</v>
      </c>
      <c r="AG20" s="150">
        <f t="shared" si="16"/>
        <v>59</v>
      </c>
      <c r="AH20" s="291"/>
      <c r="AI20" s="149">
        <f t="shared" si="1"/>
        <v>3</v>
      </c>
      <c r="AJ20" s="148">
        <v>20</v>
      </c>
      <c r="AK20" s="149">
        <v>49</v>
      </c>
      <c r="AL20" s="150">
        <f t="shared" si="17"/>
        <v>69</v>
      </c>
      <c r="AM20" s="149">
        <v>22</v>
      </c>
      <c r="AN20" s="150">
        <f t="shared" si="18"/>
        <v>91</v>
      </c>
      <c r="AO20" s="291"/>
      <c r="AP20" s="149">
        <f t="shared" si="2"/>
        <v>5</v>
      </c>
      <c r="AQ20" s="148"/>
      <c r="AR20" s="149">
        <v>22</v>
      </c>
      <c r="AS20" s="149">
        <v>24</v>
      </c>
      <c r="AT20" s="149">
        <f t="shared" si="42"/>
        <v>46</v>
      </c>
      <c r="AU20" s="294"/>
      <c r="AV20" s="149">
        <f t="shared" si="20"/>
        <v>5</v>
      </c>
      <c r="AW20" s="148">
        <v>17</v>
      </c>
      <c r="AX20" s="149">
        <v>32</v>
      </c>
      <c r="AY20" s="150">
        <f t="shared" si="21"/>
        <v>49</v>
      </c>
      <c r="AZ20" s="149">
        <v>19</v>
      </c>
      <c r="BA20" s="150">
        <f t="shared" si="22"/>
        <v>68</v>
      </c>
      <c r="BB20" s="291"/>
      <c r="BC20" s="149">
        <f t="shared" si="23"/>
        <v>3.5</v>
      </c>
      <c r="BD20" s="148">
        <v>8</v>
      </c>
      <c r="BE20" s="149">
        <v>26</v>
      </c>
      <c r="BF20" s="150">
        <f t="shared" si="24"/>
        <v>34</v>
      </c>
      <c r="BG20" s="149">
        <v>14</v>
      </c>
      <c r="BH20" s="149">
        <v>25</v>
      </c>
      <c r="BI20" s="150">
        <f t="shared" si="25"/>
        <v>73</v>
      </c>
      <c r="BJ20" s="294"/>
      <c r="BK20" s="149">
        <f t="shared" si="3"/>
        <v>4</v>
      </c>
      <c r="BL20" s="148">
        <v>7</v>
      </c>
      <c r="BM20" s="149">
        <v>18</v>
      </c>
      <c r="BN20" s="150">
        <f t="shared" si="26"/>
        <v>25</v>
      </c>
      <c r="BO20" s="149">
        <v>13</v>
      </c>
      <c r="BP20" s="149">
        <v>25</v>
      </c>
      <c r="BQ20" s="150">
        <f t="shared" si="27"/>
        <v>63</v>
      </c>
      <c r="BR20" s="291"/>
      <c r="BS20" s="149">
        <f t="shared" si="28"/>
        <v>3.5</v>
      </c>
      <c r="BT20" s="148">
        <v>9</v>
      </c>
      <c r="BU20" s="149">
        <v>34</v>
      </c>
      <c r="BV20" s="150">
        <f t="shared" si="29"/>
        <v>43</v>
      </c>
      <c r="BW20" s="149">
        <v>14</v>
      </c>
      <c r="BX20" s="149">
        <v>25</v>
      </c>
      <c r="BY20" s="150">
        <f t="shared" si="30"/>
        <v>82</v>
      </c>
      <c r="BZ20" s="294"/>
      <c r="CA20" s="149">
        <f t="shared" si="31"/>
        <v>5</v>
      </c>
      <c r="CB20" s="148">
        <v>9</v>
      </c>
      <c r="CC20" s="149">
        <v>34</v>
      </c>
      <c r="CD20" s="150">
        <f t="shared" si="32"/>
        <v>43</v>
      </c>
      <c r="CE20" s="149">
        <v>21</v>
      </c>
      <c r="CF20" s="149">
        <v>25</v>
      </c>
      <c r="CG20" s="150">
        <f t="shared" si="33"/>
        <v>89</v>
      </c>
      <c r="CH20" s="291"/>
      <c r="CI20" s="164">
        <f t="shared" si="34"/>
        <v>5</v>
      </c>
      <c r="CJ20" s="149">
        <f t="shared" si="4"/>
        <v>39</v>
      </c>
      <c r="CK20" s="165">
        <f t="shared" si="35"/>
        <v>4.333333333333333</v>
      </c>
      <c r="CL20" s="165" t="str">
        <f t="shared" si="36"/>
        <v>A</v>
      </c>
      <c r="CM20" s="37" t="str">
        <f t="shared" si="5"/>
        <v>BETTER</v>
      </c>
      <c r="CN20" s="217">
        <f t="shared" si="6"/>
        <v>846</v>
      </c>
      <c r="CO20" s="37"/>
      <c r="CP20" s="40"/>
      <c r="CQ20" s="215">
        <f>'1ST_SEMESTER'!CN20</f>
        <v>721</v>
      </c>
      <c r="CR20" s="215">
        <f>'2ND_SEMESTER'!CN20</f>
        <v>846</v>
      </c>
      <c r="CS20" s="215">
        <f t="shared" si="37"/>
        <v>846</v>
      </c>
      <c r="CT20" s="215">
        <f t="shared" si="38"/>
        <v>804.33333333333337</v>
      </c>
      <c r="CU20" s="226">
        <f>'1ST_SEMESTER'!CK20</f>
        <v>3.6111111111111112</v>
      </c>
      <c r="CV20" s="226">
        <f>'2ND_SEMESTER'!CK20</f>
        <v>4.3888888888888893</v>
      </c>
      <c r="CW20" s="226">
        <f t="shared" si="39"/>
        <v>4.333333333333333</v>
      </c>
      <c r="CX20" s="226">
        <f t="shared" si="40"/>
        <v>4.1111111111111107</v>
      </c>
    </row>
    <row r="21" spans="1:102" s="198" customFormat="1" ht="27" customHeight="1">
      <c r="A21" s="144">
        <v>14</v>
      </c>
      <c r="B21" s="117">
        <v>19</v>
      </c>
      <c r="C21" s="118" t="s">
        <v>141</v>
      </c>
      <c r="D21" s="69" t="s">
        <v>142</v>
      </c>
      <c r="E21" s="69" t="s">
        <v>143</v>
      </c>
      <c r="F21" s="70" t="s">
        <v>144</v>
      </c>
      <c r="G21" s="148">
        <v>18</v>
      </c>
      <c r="H21" s="149">
        <v>36</v>
      </c>
      <c r="I21" s="150">
        <f t="shared" si="7"/>
        <v>54</v>
      </c>
      <c r="J21" s="149">
        <v>19</v>
      </c>
      <c r="K21" s="150">
        <f t="shared" si="41"/>
        <v>73</v>
      </c>
      <c r="L21" s="148">
        <v>19</v>
      </c>
      <c r="M21" s="149">
        <v>41</v>
      </c>
      <c r="N21" s="150">
        <f t="shared" si="8"/>
        <v>60</v>
      </c>
      <c r="O21" s="149">
        <v>22</v>
      </c>
      <c r="P21" s="150">
        <f t="shared" si="9"/>
        <v>82</v>
      </c>
      <c r="Q21" s="150">
        <f t="shared" si="10"/>
        <v>155</v>
      </c>
      <c r="R21" s="291"/>
      <c r="S21" s="149">
        <f t="shared" si="11"/>
        <v>4</v>
      </c>
      <c r="T21" s="148">
        <v>19</v>
      </c>
      <c r="U21" s="149">
        <v>46</v>
      </c>
      <c r="V21" s="150">
        <f t="shared" si="12"/>
        <v>65</v>
      </c>
      <c r="W21" s="149">
        <v>11</v>
      </c>
      <c r="X21" s="149">
        <v>49</v>
      </c>
      <c r="Y21" s="150">
        <f t="shared" si="13"/>
        <v>60</v>
      </c>
      <c r="Z21" s="150">
        <f t="shared" si="14"/>
        <v>125</v>
      </c>
      <c r="AA21" s="291"/>
      <c r="AB21" s="149">
        <f t="shared" si="0"/>
        <v>3.5</v>
      </c>
      <c r="AC21" s="148">
        <v>8</v>
      </c>
      <c r="AD21" s="149">
        <v>29</v>
      </c>
      <c r="AE21" s="150">
        <f t="shared" si="15"/>
        <v>37</v>
      </c>
      <c r="AF21" s="149">
        <v>17</v>
      </c>
      <c r="AG21" s="150">
        <f t="shared" si="16"/>
        <v>54</v>
      </c>
      <c r="AH21" s="291"/>
      <c r="AI21" s="149">
        <f t="shared" si="1"/>
        <v>3</v>
      </c>
      <c r="AJ21" s="148">
        <v>20</v>
      </c>
      <c r="AK21" s="149">
        <v>48</v>
      </c>
      <c r="AL21" s="150">
        <f t="shared" si="17"/>
        <v>68</v>
      </c>
      <c r="AM21" s="149">
        <v>19</v>
      </c>
      <c r="AN21" s="150">
        <f t="shared" si="18"/>
        <v>87</v>
      </c>
      <c r="AO21" s="291"/>
      <c r="AP21" s="149">
        <f t="shared" si="2"/>
        <v>5</v>
      </c>
      <c r="AQ21" s="148"/>
      <c r="AR21" s="149">
        <v>17</v>
      </c>
      <c r="AS21" s="149">
        <v>24</v>
      </c>
      <c r="AT21" s="149">
        <f t="shared" si="42"/>
        <v>41</v>
      </c>
      <c r="AU21" s="294"/>
      <c r="AV21" s="149">
        <f t="shared" si="20"/>
        <v>5</v>
      </c>
      <c r="AW21" s="148">
        <v>16</v>
      </c>
      <c r="AX21" s="149">
        <v>29</v>
      </c>
      <c r="AY21" s="150">
        <f t="shared" si="21"/>
        <v>45</v>
      </c>
      <c r="AZ21" s="149">
        <v>19</v>
      </c>
      <c r="BA21" s="150">
        <f t="shared" si="22"/>
        <v>64</v>
      </c>
      <c r="BB21" s="291"/>
      <c r="BC21" s="149">
        <f t="shared" si="23"/>
        <v>3.5</v>
      </c>
      <c r="BD21" s="148">
        <v>7</v>
      </c>
      <c r="BE21" s="149">
        <v>21</v>
      </c>
      <c r="BF21" s="150">
        <f t="shared" si="24"/>
        <v>28</v>
      </c>
      <c r="BG21" s="149">
        <v>13</v>
      </c>
      <c r="BH21" s="149">
        <v>25</v>
      </c>
      <c r="BI21" s="150">
        <f t="shared" si="25"/>
        <v>66</v>
      </c>
      <c r="BJ21" s="294"/>
      <c r="BK21" s="149">
        <f t="shared" si="3"/>
        <v>3.5</v>
      </c>
      <c r="BL21" s="148">
        <v>7</v>
      </c>
      <c r="BM21" s="149">
        <v>19</v>
      </c>
      <c r="BN21" s="150">
        <f t="shared" si="26"/>
        <v>26</v>
      </c>
      <c r="BO21" s="149">
        <v>13</v>
      </c>
      <c r="BP21" s="149">
        <v>25</v>
      </c>
      <c r="BQ21" s="150">
        <f t="shared" si="27"/>
        <v>64</v>
      </c>
      <c r="BR21" s="291"/>
      <c r="BS21" s="149">
        <f t="shared" si="28"/>
        <v>3.5</v>
      </c>
      <c r="BT21" s="148">
        <v>9</v>
      </c>
      <c r="BU21" s="149">
        <v>33</v>
      </c>
      <c r="BV21" s="150">
        <f t="shared" si="29"/>
        <v>42</v>
      </c>
      <c r="BW21" s="149">
        <v>13</v>
      </c>
      <c r="BX21" s="149">
        <v>25</v>
      </c>
      <c r="BY21" s="150">
        <f t="shared" si="30"/>
        <v>80</v>
      </c>
      <c r="BZ21" s="294"/>
      <c r="CA21" s="149">
        <f t="shared" si="31"/>
        <v>5</v>
      </c>
      <c r="CB21" s="148">
        <v>8</v>
      </c>
      <c r="CC21" s="149">
        <v>29</v>
      </c>
      <c r="CD21" s="150">
        <f t="shared" si="32"/>
        <v>37</v>
      </c>
      <c r="CE21" s="149">
        <v>18</v>
      </c>
      <c r="CF21" s="149">
        <v>23</v>
      </c>
      <c r="CG21" s="150">
        <f t="shared" si="33"/>
        <v>78</v>
      </c>
      <c r="CH21" s="291"/>
      <c r="CI21" s="164">
        <f t="shared" si="34"/>
        <v>4</v>
      </c>
      <c r="CJ21" s="149">
        <f t="shared" si="4"/>
        <v>38</v>
      </c>
      <c r="CK21" s="165">
        <f t="shared" si="35"/>
        <v>4.2222222222222223</v>
      </c>
      <c r="CL21" s="165" t="str">
        <f t="shared" si="36"/>
        <v>A</v>
      </c>
      <c r="CM21" s="37" t="str">
        <f t="shared" si="5"/>
        <v>BETTER</v>
      </c>
      <c r="CN21" s="217">
        <f t="shared" si="6"/>
        <v>814</v>
      </c>
      <c r="CO21" s="37"/>
      <c r="CP21" s="40"/>
      <c r="CQ21" s="215">
        <f>'1ST_SEMESTER'!CN21</f>
        <v>872</v>
      </c>
      <c r="CR21" s="215">
        <f>'2ND_SEMESTER'!CN21</f>
        <v>850</v>
      </c>
      <c r="CS21" s="215">
        <f t="shared" si="37"/>
        <v>814</v>
      </c>
      <c r="CT21" s="215">
        <f t="shared" si="38"/>
        <v>845.33333333333337</v>
      </c>
      <c r="CU21" s="226">
        <f>'1ST_SEMESTER'!CK21</f>
        <v>4.5555555555555554</v>
      </c>
      <c r="CV21" s="226">
        <f>'2ND_SEMESTER'!CK21</f>
        <v>4.2777777777777777</v>
      </c>
      <c r="CW21" s="226">
        <f t="shared" si="39"/>
        <v>4.2222222222222223</v>
      </c>
      <c r="CX21" s="226">
        <f t="shared" si="40"/>
        <v>4.3518518518518512</v>
      </c>
    </row>
    <row r="22" spans="1:102" s="198" customFormat="1" ht="27" customHeight="1">
      <c r="A22" s="144">
        <v>15</v>
      </c>
      <c r="B22" s="117">
        <v>21</v>
      </c>
      <c r="C22" s="179" t="s">
        <v>145</v>
      </c>
      <c r="D22" s="95" t="s">
        <v>146</v>
      </c>
      <c r="E22" s="95" t="s">
        <v>147</v>
      </c>
      <c r="F22" s="96" t="s">
        <v>148</v>
      </c>
      <c r="G22" s="148">
        <v>17</v>
      </c>
      <c r="H22" s="149">
        <v>30</v>
      </c>
      <c r="I22" s="150">
        <f t="shared" si="7"/>
        <v>47</v>
      </c>
      <c r="J22" s="149">
        <v>18</v>
      </c>
      <c r="K22" s="150">
        <f t="shared" si="41"/>
        <v>65</v>
      </c>
      <c r="L22" s="148">
        <v>18</v>
      </c>
      <c r="M22" s="149">
        <v>33</v>
      </c>
      <c r="N22" s="150">
        <f t="shared" si="8"/>
        <v>51</v>
      </c>
      <c r="O22" s="149">
        <v>24</v>
      </c>
      <c r="P22" s="150">
        <f t="shared" si="9"/>
        <v>75</v>
      </c>
      <c r="Q22" s="150">
        <f t="shared" si="10"/>
        <v>140</v>
      </c>
      <c r="R22" s="291"/>
      <c r="S22" s="149">
        <f t="shared" si="11"/>
        <v>4</v>
      </c>
      <c r="T22" s="148">
        <v>18</v>
      </c>
      <c r="U22" s="149">
        <v>37</v>
      </c>
      <c r="V22" s="150">
        <f t="shared" si="12"/>
        <v>55</v>
      </c>
      <c r="W22" s="149">
        <v>11</v>
      </c>
      <c r="X22" s="149">
        <v>44</v>
      </c>
      <c r="Y22" s="150">
        <f t="shared" si="13"/>
        <v>55</v>
      </c>
      <c r="Z22" s="150">
        <f t="shared" si="14"/>
        <v>110</v>
      </c>
      <c r="AA22" s="291"/>
      <c r="AB22" s="149">
        <f t="shared" si="0"/>
        <v>3</v>
      </c>
      <c r="AC22" s="148">
        <v>20</v>
      </c>
      <c r="AD22" s="149">
        <v>22</v>
      </c>
      <c r="AE22" s="150">
        <f t="shared" si="15"/>
        <v>42</v>
      </c>
      <c r="AF22" s="149">
        <v>16</v>
      </c>
      <c r="AG22" s="150">
        <f t="shared" si="16"/>
        <v>58</v>
      </c>
      <c r="AH22" s="291"/>
      <c r="AI22" s="149">
        <f t="shared" si="1"/>
        <v>3</v>
      </c>
      <c r="AJ22" s="148">
        <v>20</v>
      </c>
      <c r="AK22" s="149">
        <v>45</v>
      </c>
      <c r="AL22" s="150">
        <f t="shared" si="17"/>
        <v>65</v>
      </c>
      <c r="AM22" s="149">
        <v>17</v>
      </c>
      <c r="AN22" s="150">
        <f t="shared" si="18"/>
        <v>82</v>
      </c>
      <c r="AO22" s="291"/>
      <c r="AP22" s="149">
        <f t="shared" si="2"/>
        <v>5</v>
      </c>
      <c r="AQ22" s="148"/>
      <c r="AR22" s="149">
        <v>18</v>
      </c>
      <c r="AS22" s="149">
        <v>24</v>
      </c>
      <c r="AT22" s="149">
        <f t="shared" si="42"/>
        <v>42</v>
      </c>
      <c r="AU22" s="294"/>
      <c r="AV22" s="149">
        <f t="shared" si="20"/>
        <v>5</v>
      </c>
      <c r="AW22" s="148">
        <v>12</v>
      </c>
      <c r="AX22" s="149">
        <v>26</v>
      </c>
      <c r="AY22" s="150">
        <f t="shared" si="21"/>
        <v>38</v>
      </c>
      <c r="AZ22" s="149">
        <v>18</v>
      </c>
      <c r="BA22" s="150">
        <f t="shared" si="22"/>
        <v>56</v>
      </c>
      <c r="BB22" s="291"/>
      <c r="BC22" s="149">
        <f t="shared" si="23"/>
        <v>3</v>
      </c>
      <c r="BD22" s="148">
        <v>8</v>
      </c>
      <c r="BE22" s="149">
        <v>23</v>
      </c>
      <c r="BF22" s="150">
        <f t="shared" si="24"/>
        <v>31</v>
      </c>
      <c r="BG22" s="149">
        <v>15</v>
      </c>
      <c r="BH22" s="149">
        <v>25</v>
      </c>
      <c r="BI22" s="150">
        <f t="shared" si="25"/>
        <v>71</v>
      </c>
      <c r="BJ22" s="294"/>
      <c r="BK22" s="149">
        <f t="shared" si="3"/>
        <v>4</v>
      </c>
      <c r="BL22" s="148">
        <v>10</v>
      </c>
      <c r="BM22" s="149">
        <v>28</v>
      </c>
      <c r="BN22" s="150">
        <f t="shared" si="26"/>
        <v>38</v>
      </c>
      <c r="BO22" s="149">
        <v>14</v>
      </c>
      <c r="BP22" s="149">
        <v>25</v>
      </c>
      <c r="BQ22" s="150">
        <f t="shared" si="27"/>
        <v>77</v>
      </c>
      <c r="BR22" s="291"/>
      <c r="BS22" s="149">
        <f t="shared" si="28"/>
        <v>4</v>
      </c>
      <c r="BT22" s="148">
        <v>9</v>
      </c>
      <c r="BU22" s="149">
        <v>32</v>
      </c>
      <c r="BV22" s="150">
        <f t="shared" si="29"/>
        <v>41</v>
      </c>
      <c r="BW22" s="149">
        <v>12</v>
      </c>
      <c r="BX22" s="149">
        <v>25</v>
      </c>
      <c r="BY22" s="150">
        <f t="shared" si="30"/>
        <v>78</v>
      </c>
      <c r="BZ22" s="294"/>
      <c r="CA22" s="149">
        <f t="shared" si="31"/>
        <v>4</v>
      </c>
      <c r="CB22" s="148">
        <v>6</v>
      </c>
      <c r="CC22" s="149">
        <v>24</v>
      </c>
      <c r="CD22" s="150">
        <f t="shared" si="32"/>
        <v>30</v>
      </c>
      <c r="CE22" s="149">
        <v>13</v>
      </c>
      <c r="CF22" s="149">
        <v>23</v>
      </c>
      <c r="CG22" s="150">
        <f t="shared" si="33"/>
        <v>66</v>
      </c>
      <c r="CH22" s="291"/>
      <c r="CI22" s="164">
        <f t="shared" si="34"/>
        <v>3.5</v>
      </c>
      <c r="CJ22" s="149">
        <f t="shared" si="4"/>
        <v>36.5</v>
      </c>
      <c r="CK22" s="165">
        <f t="shared" si="35"/>
        <v>4.0555555555555554</v>
      </c>
      <c r="CL22" s="165" t="str">
        <f t="shared" si="36"/>
        <v>A</v>
      </c>
      <c r="CM22" s="37" t="str">
        <f t="shared" si="5"/>
        <v>BETTER</v>
      </c>
      <c r="CN22" s="217">
        <f t="shared" si="6"/>
        <v>780</v>
      </c>
      <c r="CO22" s="37"/>
      <c r="CP22" s="40"/>
      <c r="CQ22" s="215">
        <f>'1ST_SEMESTER'!CN22</f>
        <v>731</v>
      </c>
      <c r="CR22" s="215">
        <f>'2ND_SEMESTER'!CN22</f>
        <v>772</v>
      </c>
      <c r="CS22" s="215">
        <f t="shared" si="37"/>
        <v>780</v>
      </c>
      <c r="CT22" s="215">
        <f t="shared" si="38"/>
        <v>761</v>
      </c>
      <c r="CU22" s="226">
        <f>'1ST_SEMESTER'!CK22</f>
        <v>3.7222222222222223</v>
      </c>
      <c r="CV22" s="226">
        <f>'2ND_SEMESTER'!CK22</f>
        <v>4.0555555555555554</v>
      </c>
      <c r="CW22" s="226">
        <f t="shared" si="39"/>
        <v>4.0555555555555554</v>
      </c>
      <c r="CX22" s="226">
        <f t="shared" si="40"/>
        <v>3.9444444444444442</v>
      </c>
    </row>
    <row r="23" spans="1:102" s="198" customFormat="1" ht="27" customHeight="1">
      <c r="A23" s="144">
        <v>16</v>
      </c>
      <c r="B23" s="117">
        <v>22</v>
      </c>
      <c r="C23" s="179" t="s">
        <v>149</v>
      </c>
      <c r="D23" s="95" t="s">
        <v>150</v>
      </c>
      <c r="E23" s="95" t="s">
        <v>151</v>
      </c>
      <c r="F23" s="96" t="s">
        <v>152</v>
      </c>
      <c r="G23" s="148">
        <v>19</v>
      </c>
      <c r="H23" s="149">
        <v>34</v>
      </c>
      <c r="I23" s="150">
        <f t="shared" si="7"/>
        <v>53</v>
      </c>
      <c r="J23" s="149">
        <v>23</v>
      </c>
      <c r="K23" s="150">
        <f t="shared" si="41"/>
        <v>76</v>
      </c>
      <c r="L23" s="148">
        <v>19</v>
      </c>
      <c r="M23" s="149">
        <v>39</v>
      </c>
      <c r="N23" s="150">
        <f t="shared" si="8"/>
        <v>58</v>
      </c>
      <c r="O23" s="149">
        <v>19</v>
      </c>
      <c r="P23" s="150">
        <f t="shared" si="9"/>
        <v>77</v>
      </c>
      <c r="Q23" s="150">
        <f t="shared" si="10"/>
        <v>153</v>
      </c>
      <c r="R23" s="291"/>
      <c r="S23" s="149">
        <f t="shared" si="11"/>
        <v>4</v>
      </c>
      <c r="T23" s="148">
        <v>20</v>
      </c>
      <c r="U23" s="149">
        <v>48</v>
      </c>
      <c r="V23" s="150">
        <f t="shared" si="12"/>
        <v>68</v>
      </c>
      <c r="W23" s="149">
        <v>13</v>
      </c>
      <c r="X23" s="149">
        <v>49</v>
      </c>
      <c r="Y23" s="150">
        <f t="shared" si="13"/>
        <v>62</v>
      </c>
      <c r="Z23" s="150">
        <f t="shared" si="14"/>
        <v>130</v>
      </c>
      <c r="AA23" s="291"/>
      <c r="AB23" s="149">
        <f t="shared" si="0"/>
        <v>3.5</v>
      </c>
      <c r="AC23" s="148">
        <v>20</v>
      </c>
      <c r="AD23" s="149">
        <v>39</v>
      </c>
      <c r="AE23" s="150">
        <f t="shared" si="15"/>
        <v>59</v>
      </c>
      <c r="AF23" s="149">
        <v>19</v>
      </c>
      <c r="AG23" s="150">
        <f t="shared" si="16"/>
        <v>78</v>
      </c>
      <c r="AH23" s="291"/>
      <c r="AI23" s="149">
        <f t="shared" si="1"/>
        <v>4</v>
      </c>
      <c r="AJ23" s="148">
        <v>20</v>
      </c>
      <c r="AK23" s="149">
        <v>40</v>
      </c>
      <c r="AL23" s="150">
        <f t="shared" si="17"/>
        <v>60</v>
      </c>
      <c r="AM23" s="149">
        <v>24</v>
      </c>
      <c r="AN23" s="150">
        <f t="shared" si="18"/>
        <v>84</v>
      </c>
      <c r="AO23" s="291"/>
      <c r="AP23" s="149">
        <f t="shared" si="2"/>
        <v>5</v>
      </c>
      <c r="AQ23" s="148"/>
      <c r="AR23" s="149">
        <v>22</v>
      </c>
      <c r="AS23" s="149">
        <v>24</v>
      </c>
      <c r="AT23" s="149">
        <f t="shared" si="42"/>
        <v>46</v>
      </c>
      <c r="AU23" s="294"/>
      <c r="AV23" s="149">
        <f t="shared" si="20"/>
        <v>5</v>
      </c>
      <c r="AW23" s="148">
        <v>18</v>
      </c>
      <c r="AX23" s="149">
        <v>34</v>
      </c>
      <c r="AY23" s="150">
        <f t="shared" si="21"/>
        <v>52</v>
      </c>
      <c r="AZ23" s="149">
        <v>27</v>
      </c>
      <c r="BA23" s="150">
        <f t="shared" si="22"/>
        <v>79</v>
      </c>
      <c r="BB23" s="291"/>
      <c r="BC23" s="149">
        <f t="shared" si="23"/>
        <v>4</v>
      </c>
      <c r="BD23" s="148">
        <v>8</v>
      </c>
      <c r="BE23" s="149">
        <v>30</v>
      </c>
      <c r="BF23" s="150">
        <f t="shared" si="24"/>
        <v>38</v>
      </c>
      <c r="BG23" s="149">
        <v>14</v>
      </c>
      <c r="BH23" s="149">
        <v>25</v>
      </c>
      <c r="BI23" s="150">
        <f t="shared" si="25"/>
        <v>77</v>
      </c>
      <c r="BJ23" s="294"/>
      <c r="BK23" s="149">
        <f t="shared" si="3"/>
        <v>4</v>
      </c>
      <c r="BL23" s="148">
        <v>10</v>
      </c>
      <c r="BM23" s="149">
        <v>36</v>
      </c>
      <c r="BN23" s="150">
        <f t="shared" si="26"/>
        <v>46</v>
      </c>
      <c r="BO23" s="149">
        <v>17</v>
      </c>
      <c r="BP23" s="149">
        <v>25</v>
      </c>
      <c r="BQ23" s="150">
        <f t="shared" si="27"/>
        <v>88</v>
      </c>
      <c r="BR23" s="291"/>
      <c r="BS23" s="149">
        <f t="shared" si="28"/>
        <v>5</v>
      </c>
      <c r="BT23" s="148">
        <v>9</v>
      </c>
      <c r="BU23" s="149">
        <v>37</v>
      </c>
      <c r="BV23" s="150">
        <f t="shared" si="29"/>
        <v>46</v>
      </c>
      <c r="BW23" s="149">
        <v>21</v>
      </c>
      <c r="BX23" s="149">
        <v>25</v>
      </c>
      <c r="BY23" s="150">
        <f t="shared" si="30"/>
        <v>92</v>
      </c>
      <c r="BZ23" s="294"/>
      <c r="CA23" s="149">
        <f t="shared" si="31"/>
        <v>5</v>
      </c>
      <c r="CB23" s="148">
        <v>9</v>
      </c>
      <c r="CC23" s="149">
        <v>27</v>
      </c>
      <c r="CD23" s="150">
        <f t="shared" si="32"/>
        <v>36</v>
      </c>
      <c r="CE23" s="149">
        <v>16</v>
      </c>
      <c r="CF23" s="149">
        <v>23</v>
      </c>
      <c r="CG23" s="150">
        <f t="shared" si="33"/>
        <v>75</v>
      </c>
      <c r="CH23" s="291"/>
      <c r="CI23" s="164">
        <f t="shared" si="34"/>
        <v>4</v>
      </c>
      <c r="CJ23" s="149">
        <f t="shared" si="4"/>
        <v>41.5</v>
      </c>
      <c r="CK23" s="165">
        <f t="shared" si="35"/>
        <v>4.6111111111111107</v>
      </c>
      <c r="CL23" s="165" t="str">
        <f t="shared" si="36"/>
        <v>A</v>
      </c>
      <c r="CM23" s="37" t="str">
        <f t="shared" si="5"/>
        <v>BETTER</v>
      </c>
      <c r="CN23" s="217">
        <f t="shared" si="6"/>
        <v>902</v>
      </c>
      <c r="CO23" s="37"/>
      <c r="CP23" s="40"/>
      <c r="CQ23" s="215">
        <f>'1ST_SEMESTER'!CN23</f>
        <v>756</v>
      </c>
      <c r="CR23" s="215">
        <f>'2ND_SEMESTER'!CN23</f>
        <v>837</v>
      </c>
      <c r="CS23" s="215">
        <f t="shared" si="37"/>
        <v>902</v>
      </c>
      <c r="CT23" s="215">
        <f t="shared" si="38"/>
        <v>831.66666666666663</v>
      </c>
      <c r="CU23" s="226">
        <f>'1ST_SEMESTER'!CK23</f>
        <v>3.4444444444444446</v>
      </c>
      <c r="CV23" s="226">
        <f>'2ND_SEMESTER'!CK23</f>
        <v>4.333333333333333</v>
      </c>
      <c r="CW23" s="226">
        <f t="shared" si="39"/>
        <v>4.6111111111111107</v>
      </c>
      <c r="CX23" s="226">
        <f t="shared" si="40"/>
        <v>4.1296296296296298</v>
      </c>
    </row>
    <row r="24" spans="1:102" s="198" customFormat="1" ht="27" customHeight="1">
      <c r="A24" s="144">
        <v>17</v>
      </c>
      <c r="B24" s="117">
        <v>27</v>
      </c>
      <c r="C24" s="180" t="s">
        <v>153</v>
      </c>
      <c r="D24" s="99" t="s">
        <v>154</v>
      </c>
      <c r="E24" s="99" t="s">
        <v>155</v>
      </c>
      <c r="F24" s="70" t="s">
        <v>156</v>
      </c>
      <c r="G24" s="148">
        <v>16</v>
      </c>
      <c r="H24" s="149">
        <v>20</v>
      </c>
      <c r="I24" s="150">
        <f t="shared" si="7"/>
        <v>36</v>
      </c>
      <c r="J24" s="149">
        <v>21</v>
      </c>
      <c r="K24" s="150">
        <f t="shared" si="41"/>
        <v>57</v>
      </c>
      <c r="L24" s="148">
        <v>17</v>
      </c>
      <c r="M24" s="149">
        <v>34</v>
      </c>
      <c r="N24" s="150">
        <f t="shared" si="8"/>
        <v>51</v>
      </c>
      <c r="O24" s="149">
        <v>17</v>
      </c>
      <c r="P24" s="150">
        <f t="shared" si="9"/>
        <v>68</v>
      </c>
      <c r="Q24" s="150">
        <f t="shared" si="10"/>
        <v>125</v>
      </c>
      <c r="R24" s="291"/>
      <c r="S24" s="149">
        <f t="shared" si="11"/>
        <v>3.5</v>
      </c>
      <c r="T24" s="148">
        <v>19</v>
      </c>
      <c r="U24" s="149">
        <v>45</v>
      </c>
      <c r="V24" s="150">
        <f t="shared" si="12"/>
        <v>64</v>
      </c>
      <c r="W24" s="149">
        <v>16</v>
      </c>
      <c r="X24" s="149">
        <v>49</v>
      </c>
      <c r="Y24" s="150">
        <f t="shared" si="13"/>
        <v>65</v>
      </c>
      <c r="Z24" s="150">
        <f t="shared" si="14"/>
        <v>129</v>
      </c>
      <c r="AA24" s="291"/>
      <c r="AB24" s="149">
        <f t="shared" si="0"/>
        <v>3.5</v>
      </c>
      <c r="AC24" s="148">
        <v>19</v>
      </c>
      <c r="AD24" s="149">
        <v>17</v>
      </c>
      <c r="AE24" s="150">
        <f t="shared" si="15"/>
        <v>36</v>
      </c>
      <c r="AF24" s="149">
        <v>15</v>
      </c>
      <c r="AG24" s="150">
        <f t="shared" si="16"/>
        <v>51</v>
      </c>
      <c r="AH24" s="291"/>
      <c r="AI24" s="149">
        <f t="shared" si="1"/>
        <v>3</v>
      </c>
      <c r="AJ24" s="148">
        <v>20</v>
      </c>
      <c r="AK24" s="149">
        <v>31</v>
      </c>
      <c r="AL24" s="150">
        <f t="shared" si="17"/>
        <v>51</v>
      </c>
      <c r="AM24" s="149">
        <v>21</v>
      </c>
      <c r="AN24" s="150">
        <f t="shared" si="18"/>
        <v>72</v>
      </c>
      <c r="AO24" s="291"/>
      <c r="AP24" s="149">
        <f t="shared" si="2"/>
        <v>4</v>
      </c>
      <c r="AQ24" s="148"/>
      <c r="AR24" s="149">
        <v>21</v>
      </c>
      <c r="AS24" s="149">
        <v>24</v>
      </c>
      <c r="AT24" s="149">
        <f t="shared" si="42"/>
        <v>45</v>
      </c>
      <c r="AU24" s="294"/>
      <c r="AV24" s="149">
        <f t="shared" si="20"/>
        <v>5</v>
      </c>
      <c r="AW24" s="148">
        <v>16</v>
      </c>
      <c r="AX24" s="149">
        <v>21</v>
      </c>
      <c r="AY24" s="150">
        <f t="shared" si="21"/>
        <v>37</v>
      </c>
      <c r="AZ24" s="149">
        <v>22</v>
      </c>
      <c r="BA24" s="150">
        <f t="shared" si="22"/>
        <v>59</v>
      </c>
      <c r="BB24" s="291"/>
      <c r="BC24" s="149">
        <f t="shared" si="23"/>
        <v>3</v>
      </c>
      <c r="BD24" s="148">
        <v>6</v>
      </c>
      <c r="BE24" s="149">
        <v>18</v>
      </c>
      <c r="BF24" s="150">
        <f t="shared" si="24"/>
        <v>24</v>
      </c>
      <c r="BG24" s="149">
        <v>17</v>
      </c>
      <c r="BH24" s="149">
        <v>25</v>
      </c>
      <c r="BI24" s="150">
        <f t="shared" si="25"/>
        <v>66</v>
      </c>
      <c r="BJ24" s="294"/>
      <c r="BK24" s="149">
        <f t="shared" si="3"/>
        <v>3.5</v>
      </c>
      <c r="BL24" s="148">
        <v>8</v>
      </c>
      <c r="BM24" s="149">
        <v>22</v>
      </c>
      <c r="BN24" s="150">
        <f t="shared" si="26"/>
        <v>30</v>
      </c>
      <c r="BO24" s="149">
        <v>16</v>
      </c>
      <c r="BP24" s="149">
        <v>25</v>
      </c>
      <c r="BQ24" s="150">
        <f t="shared" si="27"/>
        <v>71</v>
      </c>
      <c r="BR24" s="291"/>
      <c r="BS24" s="149">
        <f t="shared" si="28"/>
        <v>4</v>
      </c>
      <c r="BT24" s="148">
        <v>8</v>
      </c>
      <c r="BU24" s="149">
        <v>27</v>
      </c>
      <c r="BV24" s="150">
        <f t="shared" si="29"/>
        <v>35</v>
      </c>
      <c r="BW24" s="149">
        <v>20</v>
      </c>
      <c r="BX24" s="149">
        <v>25</v>
      </c>
      <c r="BY24" s="150">
        <f t="shared" si="30"/>
        <v>80</v>
      </c>
      <c r="BZ24" s="294"/>
      <c r="CA24" s="149">
        <f t="shared" si="31"/>
        <v>5</v>
      </c>
      <c r="CB24" s="148">
        <v>8</v>
      </c>
      <c r="CC24" s="149">
        <v>22</v>
      </c>
      <c r="CD24" s="150">
        <f t="shared" si="32"/>
        <v>30</v>
      </c>
      <c r="CE24" s="149">
        <v>13</v>
      </c>
      <c r="CF24" s="149">
        <v>23</v>
      </c>
      <c r="CG24" s="150">
        <f t="shared" si="33"/>
        <v>66</v>
      </c>
      <c r="CH24" s="291"/>
      <c r="CI24" s="164">
        <f t="shared" si="34"/>
        <v>3.5</v>
      </c>
      <c r="CJ24" s="149">
        <f t="shared" si="4"/>
        <v>36</v>
      </c>
      <c r="CK24" s="165">
        <f t="shared" si="35"/>
        <v>4</v>
      </c>
      <c r="CL24" s="165" t="str">
        <f t="shared" si="36"/>
        <v>A</v>
      </c>
      <c r="CM24" s="37" t="str">
        <f t="shared" si="5"/>
        <v>BETTER</v>
      </c>
      <c r="CN24" s="217">
        <f t="shared" si="6"/>
        <v>764</v>
      </c>
      <c r="CO24" s="37"/>
      <c r="CP24" s="40"/>
      <c r="CQ24" s="215">
        <f>'1ST_SEMESTER'!CN24</f>
        <v>739</v>
      </c>
      <c r="CR24" s="215">
        <f>'2ND_SEMESTER'!CN24</f>
        <v>785</v>
      </c>
      <c r="CS24" s="215">
        <f t="shared" si="37"/>
        <v>764</v>
      </c>
      <c r="CT24" s="215">
        <f t="shared" si="38"/>
        <v>762.66666666666663</v>
      </c>
      <c r="CU24" s="226">
        <f>'1ST_SEMESTER'!CK24</f>
        <v>3.6666666666666665</v>
      </c>
      <c r="CV24" s="226">
        <f>'2ND_SEMESTER'!CK24</f>
        <v>3.8888888888888888</v>
      </c>
      <c r="CW24" s="226">
        <f t="shared" si="39"/>
        <v>4</v>
      </c>
      <c r="CX24" s="226">
        <f t="shared" si="40"/>
        <v>3.8518518518518516</v>
      </c>
    </row>
    <row r="25" spans="1:102" s="198" customFormat="1" ht="27" customHeight="1">
      <c r="A25" s="144">
        <v>18</v>
      </c>
      <c r="B25" s="117">
        <v>31</v>
      </c>
      <c r="C25" s="118" t="s">
        <v>157</v>
      </c>
      <c r="D25" s="69" t="s">
        <v>158</v>
      </c>
      <c r="E25" s="69" t="s">
        <v>159</v>
      </c>
      <c r="F25" s="70" t="s">
        <v>160</v>
      </c>
      <c r="G25" s="148">
        <v>18</v>
      </c>
      <c r="H25" s="149">
        <v>32</v>
      </c>
      <c r="I25" s="150">
        <f t="shared" si="7"/>
        <v>50</v>
      </c>
      <c r="J25" s="149">
        <v>24</v>
      </c>
      <c r="K25" s="150">
        <f t="shared" si="41"/>
        <v>74</v>
      </c>
      <c r="L25" s="148">
        <v>19</v>
      </c>
      <c r="M25" s="149">
        <v>36</v>
      </c>
      <c r="N25" s="150">
        <f t="shared" si="8"/>
        <v>55</v>
      </c>
      <c r="O25" s="149">
        <v>24</v>
      </c>
      <c r="P25" s="150">
        <f t="shared" si="9"/>
        <v>79</v>
      </c>
      <c r="Q25" s="150">
        <f t="shared" si="10"/>
        <v>153</v>
      </c>
      <c r="R25" s="291"/>
      <c r="S25" s="149">
        <f t="shared" si="11"/>
        <v>4</v>
      </c>
      <c r="T25" s="148">
        <v>19</v>
      </c>
      <c r="U25" s="149">
        <v>42</v>
      </c>
      <c r="V25" s="150">
        <f t="shared" si="12"/>
        <v>61</v>
      </c>
      <c r="W25" s="149">
        <v>18</v>
      </c>
      <c r="X25" s="149">
        <v>37</v>
      </c>
      <c r="Y25" s="150">
        <f t="shared" si="13"/>
        <v>55</v>
      </c>
      <c r="Z25" s="150">
        <f t="shared" si="14"/>
        <v>116</v>
      </c>
      <c r="AA25" s="291"/>
      <c r="AB25" s="149">
        <f t="shared" si="0"/>
        <v>3</v>
      </c>
      <c r="AC25" s="148">
        <v>13</v>
      </c>
      <c r="AD25" s="149">
        <v>30</v>
      </c>
      <c r="AE25" s="150">
        <f t="shared" si="15"/>
        <v>43</v>
      </c>
      <c r="AF25" s="149">
        <v>19</v>
      </c>
      <c r="AG25" s="150">
        <f t="shared" si="16"/>
        <v>62</v>
      </c>
      <c r="AH25" s="291"/>
      <c r="AI25" s="149">
        <f t="shared" si="1"/>
        <v>3.5</v>
      </c>
      <c r="AJ25" s="148">
        <v>20</v>
      </c>
      <c r="AK25" s="149">
        <v>44</v>
      </c>
      <c r="AL25" s="150">
        <f t="shared" si="17"/>
        <v>64</v>
      </c>
      <c r="AM25" s="149">
        <v>21</v>
      </c>
      <c r="AN25" s="150">
        <f t="shared" si="18"/>
        <v>85</v>
      </c>
      <c r="AO25" s="291"/>
      <c r="AP25" s="149">
        <f t="shared" si="2"/>
        <v>5</v>
      </c>
      <c r="AQ25" s="148"/>
      <c r="AR25" s="149">
        <v>22</v>
      </c>
      <c r="AS25" s="149">
        <v>24</v>
      </c>
      <c r="AT25" s="149">
        <f t="shared" si="42"/>
        <v>46</v>
      </c>
      <c r="AU25" s="294"/>
      <c r="AV25" s="149">
        <f t="shared" si="20"/>
        <v>5</v>
      </c>
      <c r="AW25" s="148">
        <v>13</v>
      </c>
      <c r="AX25" s="149">
        <v>33</v>
      </c>
      <c r="AY25" s="150">
        <f t="shared" si="21"/>
        <v>46</v>
      </c>
      <c r="AZ25" s="149">
        <v>24</v>
      </c>
      <c r="BA25" s="150">
        <f t="shared" si="22"/>
        <v>70</v>
      </c>
      <c r="BB25" s="291"/>
      <c r="BC25" s="149">
        <f t="shared" si="23"/>
        <v>4</v>
      </c>
      <c r="BD25" s="148">
        <v>7</v>
      </c>
      <c r="BE25" s="149">
        <v>19</v>
      </c>
      <c r="BF25" s="150">
        <f t="shared" si="24"/>
        <v>26</v>
      </c>
      <c r="BG25" s="149">
        <v>19</v>
      </c>
      <c r="BH25" s="149">
        <v>25</v>
      </c>
      <c r="BI25" s="150">
        <f t="shared" si="25"/>
        <v>70</v>
      </c>
      <c r="BJ25" s="294"/>
      <c r="BK25" s="149">
        <f t="shared" si="3"/>
        <v>4</v>
      </c>
      <c r="BL25" s="148">
        <v>10</v>
      </c>
      <c r="BM25" s="149">
        <v>25</v>
      </c>
      <c r="BN25" s="150">
        <f t="shared" si="26"/>
        <v>35</v>
      </c>
      <c r="BO25" s="149">
        <v>18</v>
      </c>
      <c r="BP25" s="149">
        <v>25</v>
      </c>
      <c r="BQ25" s="150">
        <f t="shared" si="27"/>
        <v>78</v>
      </c>
      <c r="BR25" s="291"/>
      <c r="BS25" s="149">
        <f t="shared" si="28"/>
        <v>4</v>
      </c>
      <c r="BT25" s="148">
        <v>9</v>
      </c>
      <c r="BU25" s="149">
        <v>34</v>
      </c>
      <c r="BV25" s="150">
        <f t="shared" si="29"/>
        <v>43</v>
      </c>
      <c r="BW25" s="149">
        <v>19</v>
      </c>
      <c r="BX25" s="149">
        <v>25</v>
      </c>
      <c r="BY25" s="150">
        <f t="shared" si="30"/>
        <v>87</v>
      </c>
      <c r="BZ25" s="294"/>
      <c r="CA25" s="149">
        <f t="shared" si="31"/>
        <v>5</v>
      </c>
      <c r="CB25" s="148">
        <v>7</v>
      </c>
      <c r="CC25" s="149">
        <v>24</v>
      </c>
      <c r="CD25" s="150">
        <f t="shared" si="32"/>
        <v>31</v>
      </c>
      <c r="CE25" s="149">
        <v>11</v>
      </c>
      <c r="CF25" s="149">
        <v>23</v>
      </c>
      <c r="CG25" s="150">
        <f t="shared" si="33"/>
        <v>65</v>
      </c>
      <c r="CH25" s="291"/>
      <c r="CI25" s="164">
        <f t="shared" si="34"/>
        <v>3.5</v>
      </c>
      <c r="CJ25" s="149">
        <f t="shared" si="4"/>
        <v>39</v>
      </c>
      <c r="CK25" s="165">
        <f t="shared" si="35"/>
        <v>4.333333333333333</v>
      </c>
      <c r="CL25" s="165" t="str">
        <f t="shared" si="36"/>
        <v>A</v>
      </c>
      <c r="CM25" s="37" t="str">
        <f t="shared" si="5"/>
        <v>BETTER</v>
      </c>
      <c r="CN25" s="217">
        <f t="shared" si="6"/>
        <v>832</v>
      </c>
      <c r="CO25" s="37"/>
      <c r="CP25" s="40"/>
      <c r="CQ25" s="215">
        <f>'1ST_SEMESTER'!CN25</f>
        <v>782</v>
      </c>
      <c r="CR25" s="215">
        <f>'2ND_SEMESTER'!CN25</f>
        <v>864</v>
      </c>
      <c r="CS25" s="215">
        <f t="shared" si="37"/>
        <v>832</v>
      </c>
      <c r="CT25" s="215">
        <f t="shared" si="38"/>
        <v>826</v>
      </c>
      <c r="CU25" s="226">
        <f>'1ST_SEMESTER'!CK25</f>
        <v>4</v>
      </c>
      <c r="CV25" s="226">
        <f>'2ND_SEMESTER'!CK25</f>
        <v>4.333333333333333</v>
      </c>
      <c r="CW25" s="226">
        <f t="shared" si="39"/>
        <v>4.333333333333333</v>
      </c>
      <c r="CX25" s="226">
        <f t="shared" si="40"/>
        <v>4.2222222222222214</v>
      </c>
    </row>
    <row r="26" spans="1:102" s="198" customFormat="1" ht="27" customHeight="1">
      <c r="A26" s="144">
        <v>19</v>
      </c>
      <c r="B26" s="117">
        <v>32</v>
      </c>
      <c r="C26" s="179" t="s">
        <v>161</v>
      </c>
      <c r="D26" s="95" t="s">
        <v>162</v>
      </c>
      <c r="E26" s="95" t="s">
        <v>163</v>
      </c>
      <c r="F26" s="96" t="s">
        <v>164</v>
      </c>
      <c r="G26" s="148">
        <v>19</v>
      </c>
      <c r="H26" s="149">
        <v>25</v>
      </c>
      <c r="I26" s="150">
        <f t="shared" si="7"/>
        <v>44</v>
      </c>
      <c r="J26" s="149">
        <v>23</v>
      </c>
      <c r="K26" s="150">
        <f t="shared" si="41"/>
        <v>67</v>
      </c>
      <c r="L26" s="148">
        <v>16</v>
      </c>
      <c r="M26" s="149">
        <v>34</v>
      </c>
      <c r="N26" s="150">
        <f t="shared" si="8"/>
        <v>50</v>
      </c>
      <c r="O26" s="149">
        <v>26</v>
      </c>
      <c r="P26" s="150">
        <f t="shared" si="9"/>
        <v>76</v>
      </c>
      <c r="Q26" s="150">
        <f t="shared" si="10"/>
        <v>143</v>
      </c>
      <c r="R26" s="291"/>
      <c r="S26" s="149">
        <f t="shared" si="11"/>
        <v>4</v>
      </c>
      <c r="T26" s="148">
        <v>18</v>
      </c>
      <c r="U26" s="149">
        <v>38</v>
      </c>
      <c r="V26" s="150">
        <f t="shared" si="12"/>
        <v>56</v>
      </c>
      <c r="W26" s="149">
        <v>10</v>
      </c>
      <c r="X26" s="149">
        <v>34</v>
      </c>
      <c r="Y26" s="150">
        <f t="shared" si="13"/>
        <v>44</v>
      </c>
      <c r="Z26" s="150">
        <f t="shared" si="14"/>
        <v>100</v>
      </c>
      <c r="AA26" s="291"/>
      <c r="AB26" s="149">
        <f t="shared" si="0"/>
        <v>3</v>
      </c>
      <c r="AC26" s="148">
        <v>19</v>
      </c>
      <c r="AD26" s="149">
        <v>25</v>
      </c>
      <c r="AE26" s="150">
        <f t="shared" si="15"/>
        <v>44</v>
      </c>
      <c r="AF26" s="149">
        <v>15</v>
      </c>
      <c r="AG26" s="150">
        <f t="shared" si="16"/>
        <v>59</v>
      </c>
      <c r="AH26" s="291"/>
      <c r="AI26" s="149">
        <f t="shared" si="1"/>
        <v>3</v>
      </c>
      <c r="AJ26" s="148">
        <v>20</v>
      </c>
      <c r="AK26" s="149">
        <v>42</v>
      </c>
      <c r="AL26" s="150">
        <f t="shared" si="17"/>
        <v>62</v>
      </c>
      <c r="AM26" s="149">
        <v>22</v>
      </c>
      <c r="AN26" s="150">
        <f t="shared" si="18"/>
        <v>84</v>
      </c>
      <c r="AO26" s="291"/>
      <c r="AP26" s="149">
        <f t="shared" si="2"/>
        <v>5</v>
      </c>
      <c r="AQ26" s="148"/>
      <c r="AR26" s="149">
        <v>23</v>
      </c>
      <c r="AS26" s="149">
        <v>24</v>
      </c>
      <c r="AT26" s="149">
        <f t="shared" si="42"/>
        <v>47</v>
      </c>
      <c r="AU26" s="294"/>
      <c r="AV26" s="149">
        <f t="shared" si="20"/>
        <v>5</v>
      </c>
      <c r="AW26" s="148">
        <v>10</v>
      </c>
      <c r="AX26" s="149">
        <v>23</v>
      </c>
      <c r="AY26" s="150">
        <f t="shared" si="21"/>
        <v>33</v>
      </c>
      <c r="AZ26" s="149">
        <v>20</v>
      </c>
      <c r="BA26" s="150">
        <f t="shared" si="22"/>
        <v>53</v>
      </c>
      <c r="BB26" s="291"/>
      <c r="BC26" s="149">
        <f t="shared" si="23"/>
        <v>3</v>
      </c>
      <c r="BD26" s="148">
        <v>7</v>
      </c>
      <c r="BE26" s="149">
        <v>16</v>
      </c>
      <c r="BF26" s="150">
        <f t="shared" si="24"/>
        <v>23</v>
      </c>
      <c r="BG26" s="149">
        <v>16</v>
      </c>
      <c r="BH26" s="149">
        <v>25</v>
      </c>
      <c r="BI26" s="150">
        <f t="shared" si="25"/>
        <v>64</v>
      </c>
      <c r="BJ26" s="294"/>
      <c r="BK26" s="149">
        <f t="shared" si="3"/>
        <v>3.5</v>
      </c>
      <c r="BL26" s="148">
        <v>9</v>
      </c>
      <c r="BM26" s="149">
        <v>16</v>
      </c>
      <c r="BN26" s="150">
        <f t="shared" si="26"/>
        <v>25</v>
      </c>
      <c r="BO26" s="149">
        <v>18</v>
      </c>
      <c r="BP26" s="149">
        <v>25</v>
      </c>
      <c r="BQ26" s="150">
        <f t="shared" si="27"/>
        <v>68</v>
      </c>
      <c r="BR26" s="291"/>
      <c r="BS26" s="149">
        <f t="shared" si="28"/>
        <v>3.5</v>
      </c>
      <c r="BT26" s="148">
        <v>9</v>
      </c>
      <c r="BU26" s="149">
        <v>29</v>
      </c>
      <c r="BV26" s="150">
        <f t="shared" si="29"/>
        <v>38</v>
      </c>
      <c r="BW26" s="149">
        <v>20</v>
      </c>
      <c r="BX26" s="149">
        <v>25</v>
      </c>
      <c r="BY26" s="150">
        <f t="shared" si="30"/>
        <v>83</v>
      </c>
      <c r="BZ26" s="294"/>
      <c r="CA26" s="149">
        <f t="shared" si="31"/>
        <v>5</v>
      </c>
      <c r="CB26" s="148">
        <v>7</v>
      </c>
      <c r="CC26" s="149">
        <v>35</v>
      </c>
      <c r="CD26" s="150">
        <f t="shared" si="32"/>
        <v>42</v>
      </c>
      <c r="CE26" s="149">
        <v>24</v>
      </c>
      <c r="CF26" s="149">
        <v>25</v>
      </c>
      <c r="CG26" s="150">
        <f t="shared" si="33"/>
        <v>91</v>
      </c>
      <c r="CH26" s="291"/>
      <c r="CI26" s="164">
        <f t="shared" si="34"/>
        <v>5</v>
      </c>
      <c r="CJ26" s="149">
        <f t="shared" si="4"/>
        <v>38</v>
      </c>
      <c r="CK26" s="165">
        <f t="shared" si="35"/>
        <v>4.2222222222222223</v>
      </c>
      <c r="CL26" s="165" t="str">
        <f t="shared" si="36"/>
        <v>A</v>
      </c>
      <c r="CM26" s="37" t="str">
        <f t="shared" si="5"/>
        <v>BETTER</v>
      </c>
      <c r="CN26" s="217">
        <f t="shared" si="6"/>
        <v>792</v>
      </c>
      <c r="CO26" s="37"/>
      <c r="CP26" s="40"/>
      <c r="CQ26" s="215">
        <f>'1ST_SEMESTER'!CN26</f>
        <v>690</v>
      </c>
      <c r="CR26" s="215">
        <f>'2ND_SEMESTER'!CN26</f>
        <v>828</v>
      </c>
      <c r="CS26" s="215">
        <f t="shared" si="37"/>
        <v>792</v>
      </c>
      <c r="CT26" s="215">
        <f t="shared" si="38"/>
        <v>770</v>
      </c>
      <c r="CU26" s="226">
        <f>'1ST_SEMESTER'!CK26</f>
        <v>3.3888888888888888</v>
      </c>
      <c r="CV26" s="226">
        <f>'2ND_SEMESTER'!CK26</f>
        <v>4.2777777777777777</v>
      </c>
      <c r="CW26" s="226">
        <f t="shared" si="39"/>
        <v>4.2222222222222223</v>
      </c>
      <c r="CX26" s="226">
        <f t="shared" si="40"/>
        <v>3.9629629629629632</v>
      </c>
    </row>
    <row r="27" spans="1:102" s="198" customFormat="1" ht="27" customHeight="1">
      <c r="A27" s="144">
        <v>20</v>
      </c>
      <c r="B27" s="117">
        <v>37</v>
      </c>
      <c r="C27" s="118" t="s">
        <v>165</v>
      </c>
      <c r="D27" s="69" t="s">
        <v>166</v>
      </c>
      <c r="E27" s="69" t="s">
        <v>167</v>
      </c>
      <c r="F27" s="70" t="s">
        <v>168</v>
      </c>
      <c r="G27" s="148">
        <v>5</v>
      </c>
      <c r="H27" s="149">
        <v>20</v>
      </c>
      <c r="I27" s="150">
        <f t="shared" si="7"/>
        <v>25</v>
      </c>
      <c r="J27" s="149">
        <v>21</v>
      </c>
      <c r="K27" s="150">
        <f t="shared" si="41"/>
        <v>46</v>
      </c>
      <c r="L27" s="148">
        <v>5</v>
      </c>
      <c r="M27" s="149">
        <v>34</v>
      </c>
      <c r="N27" s="150">
        <f t="shared" si="8"/>
        <v>39</v>
      </c>
      <c r="O27" s="149">
        <v>26</v>
      </c>
      <c r="P27" s="150">
        <f t="shared" si="9"/>
        <v>65</v>
      </c>
      <c r="Q27" s="150">
        <f t="shared" si="10"/>
        <v>111</v>
      </c>
      <c r="R27" s="291"/>
      <c r="S27" s="149">
        <f t="shared" si="11"/>
        <v>3</v>
      </c>
      <c r="T27" s="148">
        <v>5</v>
      </c>
      <c r="U27" s="149">
        <v>27</v>
      </c>
      <c r="V27" s="150">
        <f t="shared" si="12"/>
        <v>32</v>
      </c>
      <c r="W27" s="149">
        <v>4</v>
      </c>
      <c r="X27" s="149">
        <v>39</v>
      </c>
      <c r="Y27" s="150">
        <f t="shared" si="13"/>
        <v>43</v>
      </c>
      <c r="Z27" s="150">
        <f t="shared" si="14"/>
        <v>75</v>
      </c>
      <c r="AA27" s="291"/>
      <c r="AB27" s="149" t="str">
        <f t="shared" si="0"/>
        <v>F</v>
      </c>
      <c r="AC27" s="148">
        <v>19</v>
      </c>
      <c r="AD27" s="149">
        <v>10</v>
      </c>
      <c r="AE27" s="150">
        <f t="shared" si="15"/>
        <v>29</v>
      </c>
      <c r="AF27" s="149">
        <v>12</v>
      </c>
      <c r="AG27" s="150">
        <f t="shared" si="16"/>
        <v>41</v>
      </c>
      <c r="AH27" s="291"/>
      <c r="AI27" s="149">
        <f t="shared" si="1"/>
        <v>2</v>
      </c>
      <c r="AJ27" s="148">
        <v>5</v>
      </c>
      <c r="AK27" s="149">
        <v>33</v>
      </c>
      <c r="AL27" s="150">
        <f t="shared" si="17"/>
        <v>38</v>
      </c>
      <c r="AM27" s="149">
        <v>23</v>
      </c>
      <c r="AN27" s="150">
        <f t="shared" si="18"/>
        <v>61</v>
      </c>
      <c r="AO27" s="291"/>
      <c r="AP27" s="149">
        <f t="shared" si="2"/>
        <v>3.5</v>
      </c>
      <c r="AQ27" s="148"/>
      <c r="AR27" s="149">
        <v>21</v>
      </c>
      <c r="AS27" s="149">
        <v>24</v>
      </c>
      <c r="AT27" s="149">
        <f t="shared" si="42"/>
        <v>45</v>
      </c>
      <c r="AU27" s="294"/>
      <c r="AV27" s="149">
        <f t="shared" si="20"/>
        <v>5</v>
      </c>
      <c r="AW27" s="148">
        <v>16</v>
      </c>
      <c r="AX27" s="149">
        <v>18</v>
      </c>
      <c r="AY27" s="150">
        <f t="shared" si="21"/>
        <v>34</v>
      </c>
      <c r="AZ27" s="149">
        <v>13</v>
      </c>
      <c r="BA27" s="150">
        <f t="shared" si="22"/>
        <v>47</v>
      </c>
      <c r="BB27" s="291"/>
      <c r="BC27" s="149">
        <f t="shared" si="23"/>
        <v>2</v>
      </c>
      <c r="BD27" s="148">
        <v>4</v>
      </c>
      <c r="BE27" s="149">
        <v>16</v>
      </c>
      <c r="BF27" s="150">
        <f t="shared" si="24"/>
        <v>20</v>
      </c>
      <c r="BG27" s="149">
        <v>18</v>
      </c>
      <c r="BH27" s="149">
        <v>25</v>
      </c>
      <c r="BI27" s="150">
        <f t="shared" si="25"/>
        <v>63</v>
      </c>
      <c r="BJ27" s="294"/>
      <c r="BK27" s="149">
        <f t="shared" si="3"/>
        <v>3.5</v>
      </c>
      <c r="BL27" s="148">
        <v>0</v>
      </c>
      <c r="BM27" s="149">
        <v>22</v>
      </c>
      <c r="BN27" s="150">
        <f t="shared" si="26"/>
        <v>22</v>
      </c>
      <c r="BO27" s="149">
        <v>16</v>
      </c>
      <c r="BP27" s="149">
        <v>25</v>
      </c>
      <c r="BQ27" s="150">
        <f t="shared" si="27"/>
        <v>63</v>
      </c>
      <c r="BR27" s="291"/>
      <c r="BS27" s="149">
        <f t="shared" si="28"/>
        <v>3.5</v>
      </c>
      <c r="BT27" s="148">
        <v>3</v>
      </c>
      <c r="BU27" s="149">
        <v>26</v>
      </c>
      <c r="BV27" s="150">
        <f t="shared" si="29"/>
        <v>29</v>
      </c>
      <c r="BW27" s="149">
        <v>18</v>
      </c>
      <c r="BX27" s="149">
        <v>25</v>
      </c>
      <c r="BY27" s="150">
        <f t="shared" si="30"/>
        <v>72</v>
      </c>
      <c r="BZ27" s="294"/>
      <c r="CA27" s="149">
        <f t="shared" si="31"/>
        <v>4</v>
      </c>
      <c r="CB27" s="148">
        <v>3</v>
      </c>
      <c r="CC27" s="149">
        <v>32</v>
      </c>
      <c r="CD27" s="150">
        <f t="shared" si="32"/>
        <v>35</v>
      </c>
      <c r="CE27" s="149">
        <v>24</v>
      </c>
      <c r="CF27" s="149">
        <v>25</v>
      </c>
      <c r="CG27" s="150">
        <f t="shared" si="33"/>
        <v>84</v>
      </c>
      <c r="CH27" s="291"/>
      <c r="CI27" s="164">
        <f t="shared" si="34"/>
        <v>5</v>
      </c>
      <c r="CJ27" s="149" t="str">
        <f t="shared" si="4"/>
        <v>F</v>
      </c>
      <c r="CK27" s="165" t="str">
        <f t="shared" si="35"/>
        <v>F</v>
      </c>
      <c r="CL27" s="165" t="str">
        <f t="shared" si="36"/>
        <v>F</v>
      </c>
      <c r="CM27" s="37" t="str">
        <f t="shared" si="5"/>
        <v>NEED TO PROGRESS</v>
      </c>
      <c r="CN27" s="217">
        <f t="shared" si="6"/>
        <v>662</v>
      </c>
      <c r="CO27" s="37"/>
      <c r="CP27" s="40"/>
      <c r="CQ27" s="215">
        <f>'1ST_SEMESTER'!CN27</f>
        <v>700</v>
      </c>
      <c r="CR27" s="215">
        <f>'2ND_SEMESTER'!CN27</f>
        <v>696</v>
      </c>
      <c r="CS27" s="215">
        <f t="shared" si="37"/>
        <v>662</v>
      </c>
      <c r="CT27" s="215">
        <f t="shared" si="38"/>
        <v>686</v>
      </c>
      <c r="CU27" s="226">
        <f>'1ST_SEMESTER'!CK27</f>
        <v>3.4444444444444446</v>
      </c>
      <c r="CV27" s="226" t="str">
        <f>'2ND_SEMESTER'!CK27</f>
        <v>F</v>
      </c>
      <c r="CW27" s="226" t="str">
        <f t="shared" si="39"/>
        <v>F</v>
      </c>
      <c r="CX27" s="226">
        <f t="shared" si="40"/>
        <v>3.4444444444444446</v>
      </c>
    </row>
    <row r="28" spans="1:102" s="198" customFormat="1" ht="27" customHeight="1">
      <c r="A28" s="144">
        <v>21</v>
      </c>
      <c r="B28" s="117">
        <v>38</v>
      </c>
      <c r="C28" s="118" t="s">
        <v>169</v>
      </c>
      <c r="D28" s="69" t="s">
        <v>170</v>
      </c>
      <c r="E28" s="69" t="s">
        <v>171</v>
      </c>
      <c r="F28" s="70" t="s">
        <v>172</v>
      </c>
      <c r="G28" s="148">
        <v>17</v>
      </c>
      <c r="H28" s="149">
        <v>26</v>
      </c>
      <c r="I28" s="150">
        <f t="shared" si="7"/>
        <v>43</v>
      </c>
      <c r="J28" s="149">
        <v>21</v>
      </c>
      <c r="K28" s="150">
        <f t="shared" si="41"/>
        <v>64</v>
      </c>
      <c r="L28" s="148">
        <v>17</v>
      </c>
      <c r="M28" s="149">
        <v>31</v>
      </c>
      <c r="N28" s="150">
        <f t="shared" si="8"/>
        <v>48</v>
      </c>
      <c r="O28" s="149">
        <v>20</v>
      </c>
      <c r="P28" s="150">
        <f t="shared" si="9"/>
        <v>68</v>
      </c>
      <c r="Q28" s="150">
        <f t="shared" si="10"/>
        <v>132</v>
      </c>
      <c r="R28" s="291"/>
      <c r="S28" s="149">
        <f t="shared" si="11"/>
        <v>3.5</v>
      </c>
      <c r="T28" s="148">
        <v>19</v>
      </c>
      <c r="U28" s="149">
        <v>33</v>
      </c>
      <c r="V28" s="150">
        <f t="shared" si="12"/>
        <v>52</v>
      </c>
      <c r="W28" s="149">
        <v>11</v>
      </c>
      <c r="X28" s="149">
        <v>38</v>
      </c>
      <c r="Y28" s="150">
        <f t="shared" si="13"/>
        <v>49</v>
      </c>
      <c r="Z28" s="150">
        <f t="shared" si="14"/>
        <v>101</v>
      </c>
      <c r="AA28" s="291"/>
      <c r="AB28" s="149">
        <f t="shared" si="0"/>
        <v>3</v>
      </c>
      <c r="AC28" s="148">
        <v>4</v>
      </c>
      <c r="AD28" s="149">
        <v>21</v>
      </c>
      <c r="AE28" s="150">
        <f t="shared" si="15"/>
        <v>25</v>
      </c>
      <c r="AF28" s="149">
        <v>14</v>
      </c>
      <c r="AG28" s="150">
        <f t="shared" si="16"/>
        <v>39</v>
      </c>
      <c r="AH28" s="291"/>
      <c r="AI28" s="149" t="str">
        <f t="shared" si="1"/>
        <v>F</v>
      </c>
      <c r="AJ28" s="148">
        <v>15</v>
      </c>
      <c r="AK28" s="149">
        <v>32</v>
      </c>
      <c r="AL28" s="150">
        <f t="shared" si="17"/>
        <v>47</v>
      </c>
      <c r="AM28" s="149">
        <v>20</v>
      </c>
      <c r="AN28" s="150">
        <f t="shared" si="18"/>
        <v>67</v>
      </c>
      <c r="AO28" s="291"/>
      <c r="AP28" s="149">
        <f t="shared" si="2"/>
        <v>3.5</v>
      </c>
      <c r="AQ28" s="148"/>
      <c r="AR28" s="149">
        <v>22</v>
      </c>
      <c r="AS28" s="149">
        <v>24</v>
      </c>
      <c r="AT28" s="149">
        <f t="shared" si="42"/>
        <v>46</v>
      </c>
      <c r="AU28" s="294"/>
      <c r="AV28" s="149">
        <f t="shared" si="20"/>
        <v>5</v>
      </c>
      <c r="AW28" s="148">
        <v>14</v>
      </c>
      <c r="AX28" s="149">
        <v>29</v>
      </c>
      <c r="AY28" s="150">
        <f t="shared" si="21"/>
        <v>43</v>
      </c>
      <c r="AZ28" s="149">
        <v>25</v>
      </c>
      <c r="BA28" s="150">
        <f t="shared" si="22"/>
        <v>68</v>
      </c>
      <c r="BB28" s="291"/>
      <c r="BC28" s="149">
        <f t="shared" si="23"/>
        <v>3.5</v>
      </c>
      <c r="BD28" s="148">
        <v>6</v>
      </c>
      <c r="BE28" s="149">
        <v>17</v>
      </c>
      <c r="BF28" s="150">
        <f t="shared" si="24"/>
        <v>23</v>
      </c>
      <c r="BG28" s="149">
        <v>18</v>
      </c>
      <c r="BH28" s="149">
        <v>25</v>
      </c>
      <c r="BI28" s="150">
        <f t="shared" si="25"/>
        <v>66</v>
      </c>
      <c r="BJ28" s="294"/>
      <c r="BK28" s="149">
        <f t="shared" si="3"/>
        <v>3.5</v>
      </c>
      <c r="BL28" s="148">
        <v>6</v>
      </c>
      <c r="BM28" s="149">
        <v>16</v>
      </c>
      <c r="BN28" s="150">
        <f t="shared" si="26"/>
        <v>22</v>
      </c>
      <c r="BO28" s="149">
        <v>14</v>
      </c>
      <c r="BP28" s="149">
        <v>25</v>
      </c>
      <c r="BQ28" s="150">
        <f t="shared" si="27"/>
        <v>61</v>
      </c>
      <c r="BR28" s="291"/>
      <c r="BS28" s="149">
        <f t="shared" si="28"/>
        <v>3.5</v>
      </c>
      <c r="BT28" s="148">
        <v>8</v>
      </c>
      <c r="BU28" s="149">
        <v>28</v>
      </c>
      <c r="BV28" s="150">
        <f t="shared" si="29"/>
        <v>36</v>
      </c>
      <c r="BW28" s="149">
        <v>15</v>
      </c>
      <c r="BX28" s="149">
        <v>25</v>
      </c>
      <c r="BY28" s="150">
        <f t="shared" si="30"/>
        <v>76</v>
      </c>
      <c r="BZ28" s="294"/>
      <c r="CA28" s="149">
        <f t="shared" si="31"/>
        <v>4</v>
      </c>
      <c r="CB28" s="148">
        <v>7</v>
      </c>
      <c r="CC28" s="149">
        <v>24</v>
      </c>
      <c r="CD28" s="150">
        <f t="shared" si="32"/>
        <v>31</v>
      </c>
      <c r="CE28" s="149">
        <v>13</v>
      </c>
      <c r="CF28" s="149">
        <v>23</v>
      </c>
      <c r="CG28" s="150">
        <f t="shared" si="33"/>
        <v>67</v>
      </c>
      <c r="CH28" s="291"/>
      <c r="CI28" s="164">
        <f t="shared" si="34"/>
        <v>3.5</v>
      </c>
      <c r="CJ28" s="149" t="str">
        <f t="shared" si="4"/>
        <v>F</v>
      </c>
      <c r="CK28" s="165" t="str">
        <f t="shared" si="35"/>
        <v>F</v>
      </c>
      <c r="CL28" s="165" t="str">
        <f t="shared" si="36"/>
        <v>F</v>
      </c>
      <c r="CM28" s="37" t="str">
        <f t="shared" si="5"/>
        <v>NEED TO PROGRESS</v>
      </c>
      <c r="CN28" s="217">
        <f t="shared" si="6"/>
        <v>723</v>
      </c>
      <c r="CO28" s="37"/>
      <c r="CP28" s="40"/>
      <c r="CQ28" s="215">
        <f>'1ST_SEMESTER'!CN28</f>
        <v>746</v>
      </c>
      <c r="CR28" s="215">
        <f>'2ND_SEMESTER'!CN28</f>
        <v>809</v>
      </c>
      <c r="CS28" s="215">
        <f t="shared" si="37"/>
        <v>723</v>
      </c>
      <c r="CT28" s="215">
        <f t="shared" si="38"/>
        <v>759.33333333333337</v>
      </c>
      <c r="CU28" s="226">
        <f>'1ST_SEMESTER'!CK28</f>
        <v>3.6666666666666665</v>
      </c>
      <c r="CV28" s="226">
        <f>'2ND_SEMESTER'!CK28</f>
        <v>4</v>
      </c>
      <c r="CW28" s="226" t="str">
        <f t="shared" si="39"/>
        <v>F</v>
      </c>
      <c r="CX28" s="226">
        <f t="shared" si="40"/>
        <v>3.833333333333333</v>
      </c>
    </row>
    <row r="29" spans="1:102" s="198" customFormat="1" ht="27" customHeight="1">
      <c r="A29" s="144">
        <v>22</v>
      </c>
      <c r="B29" s="117">
        <v>62</v>
      </c>
      <c r="C29" s="118" t="s">
        <v>173</v>
      </c>
      <c r="D29" s="100" t="s">
        <v>174</v>
      </c>
      <c r="E29" s="69" t="s">
        <v>175</v>
      </c>
      <c r="F29" s="70" t="s">
        <v>176</v>
      </c>
      <c r="G29" s="148">
        <v>16</v>
      </c>
      <c r="H29" s="149">
        <v>31</v>
      </c>
      <c r="I29" s="150">
        <f t="shared" si="7"/>
        <v>47</v>
      </c>
      <c r="J29" s="149">
        <v>23</v>
      </c>
      <c r="K29" s="150">
        <f t="shared" si="41"/>
        <v>70</v>
      </c>
      <c r="L29" s="148">
        <v>17</v>
      </c>
      <c r="M29" s="149">
        <v>36</v>
      </c>
      <c r="N29" s="150">
        <f t="shared" si="8"/>
        <v>53</v>
      </c>
      <c r="O29" s="149">
        <v>21</v>
      </c>
      <c r="P29" s="150">
        <f t="shared" si="9"/>
        <v>74</v>
      </c>
      <c r="Q29" s="150">
        <f t="shared" si="10"/>
        <v>144</v>
      </c>
      <c r="R29" s="291"/>
      <c r="S29" s="149">
        <f t="shared" si="11"/>
        <v>4</v>
      </c>
      <c r="T29" s="148">
        <v>20</v>
      </c>
      <c r="U29" s="149">
        <v>38</v>
      </c>
      <c r="V29" s="150">
        <f t="shared" si="12"/>
        <v>58</v>
      </c>
      <c r="W29" s="149">
        <v>16</v>
      </c>
      <c r="X29" s="149">
        <v>36</v>
      </c>
      <c r="Y29" s="150">
        <f t="shared" si="13"/>
        <v>52</v>
      </c>
      <c r="Z29" s="150">
        <f t="shared" si="14"/>
        <v>110</v>
      </c>
      <c r="AA29" s="291"/>
      <c r="AB29" s="149">
        <f t="shared" si="0"/>
        <v>3</v>
      </c>
      <c r="AC29" s="148">
        <v>16</v>
      </c>
      <c r="AD29" s="149">
        <v>36</v>
      </c>
      <c r="AE29" s="150">
        <f t="shared" si="15"/>
        <v>52</v>
      </c>
      <c r="AF29" s="149">
        <v>15</v>
      </c>
      <c r="AG29" s="150">
        <f t="shared" si="16"/>
        <v>67</v>
      </c>
      <c r="AH29" s="291"/>
      <c r="AI29" s="149">
        <f t="shared" si="1"/>
        <v>3.5</v>
      </c>
      <c r="AJ29" s="148">
        <v>15</v>
      </c>
      <c r="AK29" s="149">
        <v>39</v>
      </c>
      <c r="AL29" s="150">
        <f t="shared" si="17"/>
        <v>54</v>
      </c>
      <c r="AM29" s="149">
        <v>18</v>
      </c>
      <c r="AN29" s="150">
        <f t="shared" si="18"/>
        <v>72</v>
      </c>
      <c r="AO29" s="291"/>
      <c r="AP29" s="149">
        <f t="shared" si="2"/>
        <v>4</v>
      </c>
      <c r="AQ29" s="148"/>
      <c r="AR29" s="149">
        <v>23</v>
      </c>
      <c r="AS29" s="149">
        <v>24</v>
      </c>
      <c r="AT29" s="149">
        <f t="shared" si="42"/>
        <v>47</v>
      </c>
      <c r="AU29" s="294"/>
      <c r="AV29" s="149">
        <f t="shared" si="20"/>
        <v>5</v>
      </c>
      <c r="AW29" s="148">
        <v>10</v>
      </c>
      <c r="AX29" s="149">
        <v>31</v>
      </c>
      <c r="AY29" s="150">
        <f t="shared" si="21"/>
        <v>41</v>
      </c>
      <c r="AZ29" s="149">
        <v>25</v>
      </c>
      <c r="BA29" s="150">
        <f t="shared" si="22"/>
        <v>66</v>
      </c>
      <c r="BB29" s="291"/>
      <c r="BC29" s="149">
        <f t="shared" si="23"/>
        <v>3.5</v>
      </c>
      <c r="BD29" s="148">
        <v>7</v>
      </c>
      <c r="BE29" s="149">
        <v>17</v>
      </c>
      <c r="BF29" s="150">
        <f t="shared" si="24"/>
        <v>24</v>
      </c>
      <c r="BG29" s="149">
        <v>18</v>
      </c>
      <c r="BH29" s="149">
        <v>25</v>
      </c>
      <c r="BI29" s="150">
        <f t="shared" si="25"/>
        <v>67</v>
      </c>
      <c r="BJ29" s="294"/>
      <c r="BK29" s="149">
        <f t="shared" si="3"/>
        <v>3.5</v>
      </c>
      <c r="BL29" s="148">
        <v>7</v>
      </c>
      <c r="BM29" s="149">
        <v>20</v>
      </c>
      <c r="BN29" s="150">
        <f t="shared" si="26"/>
        <v>27</v>
      </c>
      <c r="BO29" s="149">
        <v>19</v>
      </c>
      <c r="BP29" s="149">
        <v>25</v>
      </c>
      <c r="BQ29" s="150">
        <f t="shared" si="27"/>
        <v>71</v>
      </c>
      <c r="BR29" s="291"/>
      <c r="BS29" s="149">
        <f t="shared" si="28"/>
        <v>4</v>
      </c>
      <c r="BT29" s="148">
        <v>8</v>
      </c>
      <c r="BU29" s="149">
        <v>26</v>
      </c>
      <c r="BV29" s="150">
        <f t="shared" si="29"/>
        <v>34</v>
      </c>
      <c r="BW29" s="149">
        <v>19</v>
      </c>
      <c r="BX29" s="149">
        <v>25</v>
      </c>
      <c r="BY29" s="150">
        <f t="shared" si="30"/>
        <v>78</v>
      </c>
      <c r="BZ29" s="294"/>
      <c r="CA29" s="149">
        <f t="shared" si="31"/>
        <v>4</v>
      </c>
      <c r="CB29" s="148">
        <v>8</v>
      </c>
      <c r="CC29" s="149">
        <v>35</v>
      </c>
      <c r="CD29" s="150">
        <f t="shared" si="32"/>
        <v>43</v>
      </c>
      <c r="CE29" s="149">
        <v>21</v>
      </c>
      <c r="CF29" s="149">
        <v>25</v>
      </c>
      <c r="CG29" s="150">
        <f t="shared" si="33"/>
        <v>89</v>
      </c>
      <c r="CH29" s="291"/>
      <c r="CI29" s="164">
        <f t="shared" si="34"/>
        <v>5</v>
      </c>
      <c r="CJ29" s="149">
        <f t="shared" si="4"/>
        <v>37.5</v>
      </c>
      <c r="CK29" s="165">
        <f t="shared" si="35"/>
        <v>4.166666666666667</v>
      </c>
      <c r="CL29" s="165" t="str">
        <f t="shared" si="36"/>
        <v>A</v>
      </c>
      <c r="CM29" s="37" t="str">
        <f t="shared" si="5"/>
        <v>BETTER</v>
      </c>
      <c r="CN29" s="217">
        <f t="shared" si="6"/>
        <v>811</v>
      </c>
      <c r="CO29" s="37"/>
      <c r="CP29" s="40"/>
      <c r="CQ29" s="215">
        <f>'1ST_SEMESTER'!CN29</f>
        <v>733</v>
      </c>
      <c r="CR29" s="215">
        <f>'2ND_SEMESTER'!CN29</f>
        <v>834</v>
      </c>
      <c r="CS29" s="215">
        <f t="shared" si="37"/>
        <v>811</v>
      </c>
      <c r="CT29" s="215">
        <f t="shared" si="38"/>
        <v>792.66666666666663</v>
      </c>
      <c r="CU29" s="226">
        <f>'1ST_SEMESTER'!CK29</f>
        <v>3.6666666666666665</v>
      </c>
      <c r="CV29" s="226">
        <f>'2ND_SEMESTER'!CK29</f>
        <v>4.333333333333333</v>
      </c>
      <c r="CW29" s="226">
        <f t="shared" si="39"/>
        <v>4.166666666666667</v>
      </c>
      <c r="CX29" s="226">
        <f t="shared" si="40"/>
        <v>4.0555555555555562</v>
      </c>
    </row>
    <row r="30" spans="1:102" s="198" customFormat="1" ht="27" customHeight="1">
      <c r="A30" s="144">
        <v>23</v>
      </c>
      <c r="B30" s="117">
        <v>93</v>
      </c>
      <c r="C30" s="180" t="s">
        <v>177</v>
      </c>
      <c r="D30" s="69" t="s">
        <v>178</v>
      </c>
      <c r="E30" s="69" t="s">
        <v>179</v>
      </c>
      <c r="F30" s="70" t="s">
        <v>180</v>
      </c>
      <c r="G30" s="148">
        <v>19</v>
      </c>
      <c r="H30" s="149">
        <v>39</v>
      </c>
      <c r="I30" s="150">
        <f t="shared" si="7"/>
        <v>58</v>
      </c>
      <c r="J30" s="149">
        <v>26</v>
      </c>
      <c r="K30" s="150">
        <f t="shared" si="41"/>
        <v>84</v>
      </c>
      <c r="L30" s="148">
        <v>19</v>
      </c>
      <c r="M30" s="149">
        <v>43</v>
      </c>
      <c r="N30" s="150">
        <f t="shared" si="8"/>
        <v>62</v>
      </c>
      <c r="O30" s="149">
        <v>24</v>
      </c>
      <c r="P30" s="150">
        <f t="shared" si="9"/>
        <v>86</v>
      </c>
      <c r="Q30" s="150">
        <f t="shared" si="10"/>
        <v>170</v>
      </c>
      <c r="R30" s="291"/>
      <c r="S30" s="149">
        <f t="shared" si="11"/>
        <v>5</v>
      </c>
      <c r="T30" s="148">
        <v>20</v>
      </c>
      <c r="U30" s="149">
        <v>54</v>
      </c>
      <c r="V30" s="150">
        <f t="shared" si="12"/>
        <v>74</v>
      </c>
      <c r="W30" s="149">
        <v>17</v>
      </c>
      <c r="X30" s="149">
        <v>63</v>
      </c>
      <c r="Y30" s="150">
        <f t="shared" si="13"/>
        <v>80</v>
      </c>
      <c r="Z30" s="150">
        <f t="shared" si="14"/>
        <v>154</v>
      </c>
      <c r="AA30" s="291"/>
      <c r="AB30" s="149">
        <f t="shared" si="0"/>
        <v>4</v>
      </c>
      <c r="AC30" s="148">
        <v>20</v>
      </c>
      <c r="AD30" s="149">
        <v>48</v>
      </c>
      <c r="AE30" s="150">
        <f t="shared" si="15"/>
        <v>68</v>
      </c>
      <c r="AF30" s="149">
        <v>21</v>
      </c>
      <c r="AG30" s="150">
        <f t="shared" si="16"/>
        <v>89</v>
      </c>
      <c r="AH30" s="291"/>
      <c r="AI30" s="149">
        <f t="shared" si="1"/>
        <v>5</v>
      </c>
      <c r="AJ30" s="148">
        <v>18</v>
      </c>
      <c r="AK30" s="149">
        <v>49</v>
      </c>
      <c r="AL30" s="150">
        <f t="shared" si="17"/>
        <v>67</v>
      </c>
      <c r="AM30" s="149">
        <v>26</v>
      </c>
      <c r="AN30" s="150">
        <f t="shared" si="18"/>
        <v>93</v>
      </c>
      <c r="AO30" s="291"/>
      <c r="AP30" s="149">
        <f t="shared" si="2"/>
        <v>5</v>
      </c>
      <c r="AQ30" s="148"/>
      <c r="AR30" s="149">
        <v>23</v>
      </c>
      <c r="AS30" s="149">
        <v>24</v>
      </c>
      <c r="AT30" s="149">
        <f t="shared" si="42"/>
        <v>47</v>
      </c>
      <c r="AU30" s="294"/>
      <c r="AV30" s="149">
        <f t="shared" si="20"/>
        <v>5</v>
      </c>
      <c r="AW30" s="148">
        <v>19</v>
      </c>
      <c r="AX30" s="149">
        <v>42</v>
      </c>
      <c r="AY30" s="150">
        <f t="shared" si="21"/>
        <v>61</v>
      </c>
      <c r="AZ30" s="149">
        <v>29</v>
      </c>
      <c r="BA30" s="150">
        <f t="shared" si="22"/>
        <v>90</v>
      </c>
      <c r="BB30" s="291"/>
      <c r="BC30" s="149">
        <f t="shared" si="23"/>
        <v>5</v>
      </c>
      <c r="BD30" s="148">
        <v>8</v>
      </c>
      <c r="BE30" s="149">
        <v>35</v>
      </c>
      <c r="BF30" s="150">
        <f t="shared" si="24"/>
        <v>43</v>
      </c>
      <c r="BG30" s="149">
        <v>16</v>
      </c>
      <c r="BH30" s="149">
        <v>25</v>
      </c>
      <c r="BI30" s="150">
        <f t="shared" si="25"/>
        <v>84</v>
      </c>
      <c r="BJ30" s="294"/>
      <c r="BK30" s="149">
        <f t="shared" si="3"/>
        <v>5</v>
      </c>
      <c r="BL30" s="148">
        <v>10</v>
      </c>
      <c r="BM30" s="149">
        <v>38</v>
      </c>
      <c r="BN30" s="150">
        <f t="shared" si="26"/>
        <v>48</v>
      </c>
      <c r="BO30" s="149">
        <v>24</v>
      </c>
      <c r="BP30" s="149">
        <v>25</v>
      </c>
      <c r="BQ30" s="150">
        <f t="shared" si="27"/>
        <v>97</v>
      </c>
      <c r="BR30" s="291"/>
      <c r="BS30" s="149">
        <f t="shared" si="28"/>
        <v>5</v>
      </c>
      <c r="BT30" s="148">
        <v>10</v>
      </c>
      <c r="BU30" s="149">
        <v>35</v>
      </c>
      <c r="BV30" s="150">
        <f t="shared" si="29"/>
        <v>45</v>
      </c>
      <c r="BW30" s="149">
        <v>21</v>
      </c>
      <c r="BX30" s="149">
        <v>25</v>
      </c>
      <c r="BY30" s="150">
        <f t="shared" si="30"/>
        <v>91</v>
      </c>
      <c r="BZ30" s="294"/>
      <c r="CA30" s="149">
        <f t="shared" si="31"/>
        <v>5</v>
      </c>
      <c r="CB30" s="148">
        <v>10</v>
      </c>
      <c r="CC30" s="149">
        <v>35</v>
      </c>
      <c r="CD30" s="150">
        <f t="shared" si="32"/>
        <v>45</v>
      </c>
      <c r="CE30" s="149">
        <v>18</v>
      </c>
      <c r="CF30" s="149">
        <v>23</v>
      </c>
      <c r="CG30" s="150">
        <f t="shared" si="33"/>
        <v>86</v>
      </c>
      <c r="CH30" s="291"/>
      <c r="CI30" s="164">
        <f t="shared" si="34"/>
        <v>5</v>
      </c>
      <c r="CJ30" s="149">
        <f t="shared" si="4"/>
        <v>47</v>
      </c>
      <c r="CK30" s="165">
        <f t="shared" si="35"/>
        <v>5</v>
      </c>
      <c r="CL30" s="165" t="str">
        <f t="shared" si="36"/>
        <v>A+</v>
      </c>
      <c r="CM30" s="37" t="str">
        <f t="shared" si="5"/>
        <v>BEST</v>
      </c>
      <c r="CN30" s="217">
        <f t="shared" si="6"/>
        <v>1001</v>
      </c>
      <c r="CO30" s="37"/>
      <c r="CP30" s="40"/>
      <c r="CQ30" s="215">
        <f>'1ST_SEMESTER'!CN30</f>
        <v>1020</v>
      </c>
      <c r="CR30" s="215">
        <f>'2ND_SEMESTER'!CN30</f>
        <v>1025</v>
      </c>
      <c r="CS30" s="215">
        <f t="shared" si="37"/>
        <v>1001</v>
      </c>
      <c r="CT30" s="215">
        <f t="shared" si="38"/>
        <v>1015.3333333333334</v>
      </c>
      <c r="CU30" s="226">
        <f>'1ST_SEMESTER'!CK30</f>
        <v>5</v>
      </c>
      <c r="CV30" s="226">
        <f>'2ND_SEMESTER'!CK30</f>
        <v>5</v>
      </c>
      <c r="CW30" s="226">
        <f t="shared" si="39"/>
        <v>5</v>
      </c>
      <c r="CX30" s="226">
        <f t="shared" si="40"/>
        <v>5</v>
      </c>
    </row>
    <row r="31" spans="1:102" s="198" customFormat="1" ht="27" customHeight="1">
      <c r="A31" s="144">
        <v>24</v>
      </c>
      <c r="B31" s="117">
        <v>95</v>
      </c>
      <c r="C31" s="179" t="s">
        <v>181</v>
      </c>
      <c r="D31" s="95"/>
      <c r="E31" s="95"/>
      <c r="F31" s="109"/>
      <c r="G31" s="148">
        <v>17</v>
      </c>
      <c r="H31" s="149">
        <v>30</v>
      </c>
      <c r="I31" s="150">
        <f t="shared" si="7"/>
        <v>47</v>
      </c>
      <c r="J31" s="149">
        <v>26</v>
      </c>
      <c r="K31" s="150">
        <f t="shared" si="41"/>
        <v>73</v>
      </c>
      <c r="L31" s="148">
        <v>19</v>
      </c>
      <c r="M31" s="149">
        <v>39</v>
      </c>
      <c r="N31" s="150">
        <f t="shared" si="8"/>
        <v>58</v>
      </c>
      <c r="O31" s="149">
        <v>30</v>
      </c>
      <c r="P31" s="150">
        <f t="shared" si="9"/>
        <v>88</v>
      </c>
      <c r="Q31" s="150">
        <f t="shared" si="10"/>
        <v>161</v>
      </c>
      <c r="R31" s="291"/>
      <c r="S31" s="149">
        <f t="shared" si="11"/>
        <v>5</v>
      </c>
      <c r="T31" s="148">
        <v>20</v>
      </c>
      <c r="U31" s="149">
        <v>44</v>
      </c>
      <c r="V31" s="150">
        <f t="shared" si="12"/>
        <v>64</v>
      </c>
      <c r="W31" s="149">
        <v>18</v>
      </c>
      <c r="X31" s="149">
        <v>59</v>
      </c>
      <c r="Y31" s="150">
        <f t="shared" si="13"/>
        <v>77</v>
      </c>
      <c r="Z31" s="150">
        <f t="shared" si="14"/>
        <v>141</v>
      </c>
      <c r="AA31" s="291"/>
      <c r="AB31" s="149">
        <f t="shared" si="0"/>
        <v>4</v>
      </c>
      <c r="AC31" s="148">
        <v>20</v>
      </c>
      <c r="AD31" s="149">
        <v>47</v>
      </c>
      <c r="AE31" s="150">
        <f t="shared" si="15"/>
        <v>67</v>
      </c>
      <c r="AF31" s="149">
        <v>17</v>
      </c>
      <c r="AG31" s="150">
        <f t="shared" si="16"/>
        <v>84</v>
      </c>
      <c r="AH31" s="291"/>
      <c r="AI31" s="149">
        <f t="shared" si="1"/>
        <v>5</v>
      </c>
      <c r="AJ31" s="148">
        <v>17</v>
      </c>
      <c r="AK31" s="149">
        <v>44</v>
      </c>
      <c r="AL31" s="150">
        <f t="shared" si="17"/>
        <v>61</v>
      </c>
      <c r="AM31" s="149">
        <v>26</v>
      </c>
      <c r="AN31" s="150">
        <f t="shared" si="18"/>
        <v>87</v>
      </c>
      <c r="AO31" s="291"/>
      <c r="AP31" s="149">
        <f t="shared" si="2"/>
        <v>5</v>
      </c>
      <c r="AQ31" s="148"/>
      <c r="AR31" s="149">
        <v>23</v>
      </c>
      <c r="AS31" s="149">
        <v>24</v>
      </c>
      <c r="AT31" s="149">
        <f t="shared" si="42"/>
        <v>47</v>
      </c>
      <c r="AU31" s="294"/>
      <c r="AV31" s="149">
        <f t="shared" si="20"/>
        <v>5</v>
      </c>
      <c r="AW31" s="148">
        <v>19</v>
      </c>
      <c r="AX31" s="149">
        <v>34</v>
      </c>
      <c r="AY31" s="150">
        <f t="shared" si="21"/>
        <v>53</v>
      </c>
      <c r="AZ31" s="149">
        <v>28</v>
      </c>
      <c r="BA31" s="150">
        <f t="shared" si="22"/>
        <v>81</v>
      </c>
      <c r="BB31" s="291"/>
      <c r="BC31" s="149">
        <f t="shared" si="23"/>
        <v>5</v>
      </c>
      <c r="BD31" s="148">
        <v>8</v>
      </c>
      <c r="BE31" s="149">
        <v>40</v>
      </c>
      <c r="BF31" s="150">
        <f t="shared" si="24"/>
        <v>48</v>
      </c>
      <c r="BG31" s="149">
        <v>19</v>
      </c>
      <c r="BH31" s="149">
        <v>25</v>
      </c>
      <c r="BI31" s="150">
        <f t="shared" si="25"/>
        <v>92</v>
      </c>
      <c r="BJ31" s="294"/>
      <c r="BK31" s="149">
        <f t="shared" si="3"/>
        <v>5</v>
      </c>
      <c r="BL31" s="148">
        <v>10</v>
      </c>
      <c r="BM31" s="149">
        <v>29</v>
      </c>
      <c r="BN31" s="150">
        <f t="shared" si="26"/>
        <v>39</v>
      </c>
      <c r="BO31" s="149">
        <v>23</v>
      </c>
      <c r="BP31" s="149">
        <v>25</v>
      </c>
      <c r="BQ31" s="150">
        <f t="shared" si="27"/>
        <v>87</v>
      </c>
      <c r="BR31" s="291"/>
      <c r="BS31" s="149">
        <f t="shared" si="28"/>
        <v>5</v>
      </c>
      <c r="BT31" s="148">
        <v>10</v>
      </c>
      <c r="BU31" s="149">
        <v>31</v>
      </c>
      <c r="BV31" s="150">
        <f t="shared" si="29"/>
        <v>41</v>
      </c>
      <c r="BW31" s="149">
        <v>21</v>
      </c>
      <c r="BX31" s="149">
        <v>25</v>
      </c>
      <c r="BY31" s="150">
        <f t="shared" si="30"/>
        <v>87</v>
      </c>
      <c r="BZ31" s="294"/>
      <c r="CA31" s="149">
        <f t="shared" si="31"/>
        <v>5</v>
      </c>
      <c r="CB31" s="148">
        <v>9</v>
      </c>
      <c r="CC31" s="149">
        <v>38</v>
      </c>
      <c r="CD31" s="150">
        <f t="shared" si="32"/>
        <v>47</v>
      </c>
      <c r="CE31" s="149">
        <v>17</v>
      </c>
      <c r="CF31" s="149">
        <v>23</v>
      </c>
      <c r="CG31" s="150">
        <f t="shared" si="33"/>
        <v>87</v>
      </c>
      <c r="CH31" s="291"/>
      <c r="CI31" s="164">
        <f t="shared" si="34"/>
        <v>5</v>
      </c>
      <c r="CJ31" s="149">
        <f t="shared" si="4"/>
        <v>47</v>
      </c>
      <c r="CK31" s="165">
        <f t="shared" si="35"/>
        <v>5</v>
      </c>
      <c r="CL31" s="165" t="str">
        <f t="shared" si="36"/>
        <v>A+</v>
      </c>
      <c r="CM31" s="37" t="str">
        <f t="shared" si="5"/>
        <v>BEST</v>
      </c>
      <c r="CN31" s="217">
        <f t="shared" si="6"/>
        <v>954</v>
      </c>
      <c r="CO31" s="37"/>
      <c r="CP31" s="40"/>
      <c r="CQ31" s="215">
        <f>'1ST_SEMESTER'!CN31</f>
        <v>909</v>
      </c>
      <c r="CR31" s="215">
        <f>'2ND_SEMESTER'!CN31</f>
        <v>803</v>
      </c>
      <c r="CS31" s="215">
        <f t="shared" si="37"/>
        <v>954</v>
      </c>
      <c r="CT31" s="215">
        <f t="shared" si="38"/>
        <v>888.66666666666663</v>
      </c>
      <c r="CU31" s="226">
        <f>'1ST_SEMESTER'!CK31</f>
        <v>4.7777777777777777</v>
      </c>
      <c r="CV31" s="226">
        <f>'2ND_SEMESTER'!CK31</f>
        <v>4.166666666666667</v>
      </c>
      <c r="CW31" s="226">
        <f t="shared" si="39"/>
        <v>5</v>
      </c>
      <c r="CX31" s="226">
        <f t="shared" si="40"/>
        <v>4.6481481481481479</v>
      </c>
    </row>
    <row r="32" spans="1:102" s="198" customFormat="1" ht="27" customHeight="1">
      <c r="A32" s="144">
        <v>25</v>
      </c>
      <c r="B32" s="117">
        <v>97</v>
      </c>
      <c r="C32" s="118" t="s">
        <v>182</v>
      </c>
      <c r="D32" s="69" t="s">
        <v>183</v>
      </c>
      <c r="E32" s="69" t="s">
        <v>184</v>
      </c>
      <c r="F32" s="70" t="s">
        <v>185</v>
      </c>
      <c r="G32" s="148">
        <v>17</v>
      </c>
      <c r="H32" s="149">
        <v>27</v>
      </c>
      <c r="I32" s="150">
        <f t="shared" si="7"/>
        <v>44</v>
      </c>
      <c r="J32" s="149">
        <v>25</v>
      </c>
      <c r="K32" s="150">
        <f t="shared" si="41"/>
        <v>69</v>
      </c>
      <c r="L32" s="148">
        <v>16</v>
      </c>
      <c r="M32" s="149">
        <v>41</v>
      </c>
      <c r="N32" s="150">
        <f t="shared" si="8"/>
        <v>57</v>
      </c>
      <c r="O32" s="149">
        <v>27</v>
      </c>
      <c r="P32" s="150">
        <f t="shared" si="9"/>
        <v>84</v>
      </c>
      <c r="Q32" s="150">
        <f t="shared" si="10"/>
        <v>153</v>
      </c>
      <c r="R32" s="291"/>
      <c r="S32" s="149">
        <f t="shared" si="11"/>
        <v>4</v>
      </c>
      <c r="T32" s="148">
        <v>20</v>
      </c>
      <c r="U32" s="149">
        <v>64</v>
      </c>
      <c r="V32" s="150">
        <f t="shared" si="12"/>
        <v>84</v>
      </c>
      <c r="W32" s="149">
        <v>18</v>
      </c>
      <c r="X32" s="149">
        <v>60</v>
      </c>
      <c r="Y32" s="150">
        <f t="shared" si="13"/>
        <v>78</v>
      </c>
      <c r="Z32" s="150">
        <f t="shared" si="14"/>
        <v>162</v>
      </c>
      <c r="AA32" s="291"/>
      <c r="AB32" s="149">
        <f t="shared" si="0"/>
        <v>5</v>
      </c>
      <c r="AC32" s="148">
        <v>20</v>
      </c>
      <c r="AD32" s="149">
        <v>32</v>
      </c>
      <c r="AE32" s="150">
        <f t="shared" si="15"/>
        <v>52</v>
      </c>
      <c r="AF32" s="149">
        <v>16</v>
      </c>
      <c r="AG32" s="150">
        <f t="shared" si="16"/>
        <v>68</v>
      </c>
      <c r="AH32" s="291"/>
      <c r="AI32" s="149">
        <f t="shared" si="1"/>
        <v>3.5</v>
      </c>
      <c r="AJ32" s="148">
        <v>20</v>
      </c>
      <c r="AK32" s="149">
        <v>43</v>
      </c>
      <c r="AL32" s="150">
        <f t="shared" si="17"/>
        <v>63</v>
      </c>
      <c r="AM32" s="149">
        <v>30</v>
      </c>
      <c r="AN32" s="150">
        <f t="shared" si="18"/>
        <v>93</v>
      </c>
      <c r="AO32" s="291"/>
      <c r="AP32" s="149">
        <f t="shared" si="2"/>
        <v>5</v>
      </c>
      <c r="AQ32" s="148"/>
      <c r="AR32" s="149">
        <v>20</v>
      </c>
      <c r="AS32" s="149">
        <v>24</v>
      </c>
      <c r="AT32" s="149">
        <f t="shared" si="42"/>
        <v>44</v>
      </c>
      <c r="AU32" s="294"/>
      <c r="AV32" s="149">
        <f t="shared" si="20"/>
        <v>5</v>
      </c>
      <c r="AW32" s="148">
        <v>13</v>
      </c>
      <c r="AX32" s="149">
        <v>24</v>
      </c>
      <c r="AY32" s="150">
        <f t="shared" si="21"/>
        <v>37</v>
      </c>
      <c r="AZ32" s="149">
        <v>25</v>
      </c>
      <c r="BA32" s="150">
        <f t="shared" si="22"/>
        <v>62</v>
      </c>
      <c r="BB32" s="291"/>
      <c r="BC32" s="149">
        <f t="shared" si="23"/>
        <v>3.5</v>
      </c>
      <c r="BD32" s="148">
        <v>9</v>
      </c>
      <c r="BE32" s="149">
        <v>32</v>
      </c>
      <c r="BF32" s="150">
        <f t="shared" si="24"/>
        <v>41</v>
      </c>
      <c r="BG32" s="149">
        <v>23</v>
      </c>
      <c r="BH32" s="149">
        <v>25</v>
      </c>
      <c r="BI32" s="150">
        <f t="shared" si="25"/>
        <v>89</v>
      </c>
      <c r="BJ32" s="294"/>
      <c r="BK32" s="149">
        <f t="shared" si="3"/>
        <v>5</v>
      </c>
      <c r="BL32" s="148">
        <v>10</v>
      </c>
      <c r="BM32" s="149">
        <v>33</v>
      </c>
      <c r="BN32" s="150">
        <f t="shared" si="26"/>
        <v>43</v>
      </c>
      <c r="BO32" s="149">
        <v>23</v>
      </c>
      <c r="BP32" s="149">
        <v>25</v>
      </c>
      <c r="BQ32" s="150">
        <f t="shared" si="27"/>
        <v>91</v>
      </c>
      <c r="BR32" s="291"/>
      <c r="BS32" s="149">
        <f t="shared" si="28"/>
        <v>5</v>
      </c>
      <c r="BT32" s="148">
        <v>8</v>
      </c>
      <c r="BU32" s="149">
        <v>22</v>
      </c>
      <c r="BV32" s="150">
        <f t="shared" si="29"/>
        <v>30</v>
      </c>
      <c r="BW32" s="149">
        <v>15</v>
      </c>
      <c r="BX32" s="149">
        <v>25</v>
      </c>
      <c r="BY32" s="150">
        <f t="shared" si="30"/>
        <v>70</v>
      </c>
      <c r="BZ32" s="294"/>
      <c r="CA32" s="149">
        <f t="shared" si="31"/>
        <v>4</v>
      </c>
      <c r="CB32" s="148">
        <v>7</v>
      </c>
      <c r="CC32" s="149">
        <v>29</v>
      </c>
      <c r="CD32" s="150">
        <f t="shared" si="32"/>
        <v>36</v>
      </c>
      <c r="CE32" s="149">
        <v>10</v>
      </c>
      <c r="CF32" s="149">
        <v>23</v>
      </c>
      <c r="CG32" s="150">
        <f t="shared" si="33"/>
        <v>69</v>
      </c>
      <c r="CH32" s="291"/>
      <c r="CI32" s="164">
        <f t="shared" si="34"/>
        <v>3.5</v>
      </c>
      <c r="CJ32" s="149">
        <f t="shared" si="4"/>
        <v>41.5</v>
      </c>
      <c r="CK32" s="165">
        <f t="shared" si="35"/>
        <v>4.6111111111111107</v>
      </c>
      <c r="CL32" s="165" t="str">
        <f t="shared" si="36"/>
        <v>A</v>
      </c>
      <c r="CM32" s="37" t="str">
        <f t="shared" si="5"/>
        <v>BETTER</v>
      </c>
      <c r="CN32" s="217">
        <f t="shared" si="6"/>
        <v>901</v>
      </c>
      <c r="CO32" s="37"/>
      <c r="CP32" s="40"/>
      <c r="CQ32" s="215">
        <f>'1ST_SEMESTER'!CN32</f>
        <v>868</v>
      </c>
      <c r="CR32" s="215">
        <f>'2ND_SEMESTER'!CN32</f>
        <v>879</v>
      </c>
      <c r="CS32" s="215">
        <f t="shared" si="37"/>
        <v>901</v>
      </c>
      <c r="CT32" s="215">
        <f t="shared" si="38"/>
        <v>882.66666666666663</v>
      </c>
      <c r="CU32" s="226">
        <f>'1ST_SEMESTER'!CK32</f>
        <v>4.5</v>
      </c>
      <c r="CV32" s="226">
        <f>'2ND_SEMESTER'!CK32</f>
        <v>4.6111111111111107</v>
      </c>
      <c r="CW32" s="226">
        <f t="shared" si="39"/>
        <v>4.6111111111111107</v>
      </c>
      <c r="CX32" s="226">
        <f t="shared" si="40"/>
        <v>4.5740740740740735</v>
      </c>
    </row>
    <row r="33" spans="1:102" s="198" customFormat="1" ht="27" customHeight="1">
      <c r="A33" s="144">
        <v>26</v>
      </c>
      <c r="B33" s="117">
        <v>101</v>
      </c>
      <c r="C33" s="179" t="s">
        <v>186</v>
      </c>
      <c r="D33" s="95" t="s">
        <v>187</v>
      </c>
      <c r="E33" s="95" t="s">
        <v>188</v>
      </c>
      <c r="F33" s="96" t="s">
        <v>189</v>
      </c>
      <c r="G33" s="148">
        <v>15</v>
      </c>
      <c r="H33" s="149">
        <v>32</v>
      </c>
      <c r="I33" s="150">
        <f t="shared" si="7"/>
        <v>47</v>
      </c>
      <c r="J33" s="149">
        <v>20</v>
      </c>
      <c r="K33" s="150">
        <f t="shared" si="41"/>
        <v>67</v>
      </c>
      <c r="L33" s="148">
        <v>19</v>
      </c>
      <c r="M33" s="149">
        <v>34</v>
      </c>
      <c r="N33" s="150">
        <f t="shared" si="8"/>
        <v>53</v>
      </c>
      <c r="O33" s="149">
        <v>20</v>
      </c>
      <c r="P33" s="150">
        <f t="shared" si="9"/>
        <v>73</v>
      </c>
      <c r="Q33" s="150">
        <f t="shared" si="10"/>
        <v>140</v>
      </c>
      <c r="R33" s="291"/>
      <c r="S33" s="149">
        <f t="shared" si="11"/>
        <v>4</v>
      </c>
      <c r="T33" s="148">
        <v>20</v>
      </c>
      <c r="U33" s="149">
        <v>41</v>
      </c>
      <c r="V33" s="150">
        <f t="shared" si="12"/>
        <v>61</v>
      </c>
      <c r="W33" s="149">
        <v>16</v>
      </c>
      <c r="X33" s="149">
        <v>46</v>
      </c>
      <c r="Y33" s="150">
        <f t="shared" si="13"/>
        <v>62</v>
      </c>
      <c r="Z33" s="150">
        <f t="shared" si="14"/>
        <v>123</v>
      </c>
      <c r="AA33" s="291"/>
      <c r="AB33" s="149">
        <f t="shared" si="0"/>
        <v>3.5</v>
      </c>
      <c r="AC33" s="148">
        <v>20</v>
      </c>
      <c r="AD33" s="149">
        <v>43</v>
      </c>
      <c r="AE33" s="150">
        <f t="shared" si="15"/>
        <v>63</v>
      </c>
      <c r="AF33" s="149">
        <v>22</v>
      </c>
      <c r="AG33" s="150">
        <f t="shared" si="16"/>
        <v>85</v>
      </c>
      <c r="AH33" s="291"/>
      <c r="AI33" s="149">
        <f t="shared" si="1"/>
        <v>5</v>
      </c>
      <c r="AJ33" s="148">
        <v>20</v>
      </c>
      <c r="AK33" s="149">
        <v>46</v>
      </c>
      <c r="AL33" s="150">
        <f t="shared" si="17"/>
        <v>66</v>
      </c>
      <c r="AM33" s="149">
        <v>25</v>
      </c>
      <c r="AN33" s="150">
        <f t="shared" si="18"/>
        <v>91</v>
      </c>
      <c r="AO33" s="291"/>
      <c r="AP33" s="149">
        <f t="shared" si="2"/>
        <v>5</v>
      </c>
      <c r="AQ33" s="148"/>
      <c r="AR33" s="149">
        <v>21</v>
      </c>
      <c r="AS33" s="149">
        <v>24</v>
      </c>
      <c r="AT33" s="149">
        <f t="shared" si="42"/>
        <v>45</v>
      </c>
      <c r="AU33" s="294"/>
      <c r="AV33" s="149">
        <f t="shared" si="20"/>
        <v>5</v>
      </c>
      <c r="AW33" s="148">
        <v>14</v>
      </c>
      <c r="AX33" s="149">
        <v>36</v>
      </c>
      <c r="AY33" s="150">
        <f t="shared" si="21"/>
        <v>50</v>
      </c>
      <c r="AZ33" s="149">
        <v>24</v>
      </c>
      <c r="BA33" s="150">
        <f t="shared" si="22"/>
        <v>74</v>
      </c>
      <c r="BB33" s="291"/>
      <c r="BC33" s="149">
        <f t="shared" si="23"/>
        <v>4</v>
      </c>
      <c r="BD33" s="148">
        <v>8</v>
      </c>
      <c r="BE33" s="149">
        <v>39</v>
      </c>
      <c r="BF33" s="150">
        <f t="shared" si="24"/>
        <v>47</v>
      </c>
      <c r="BG33" s="149">
        <v>23</v>
      </c>
      <c r="BH33" s="149">
        <v>25</v>
      </c>
      <c r="BI33" s="150">
        <f t="shared" si="25"/>
        <v>95</v>
      </c>
      <c r="BJ33" s="294"/>
      <c r="BK33" s="149">
        <f t="shared" si="3"/>
        <v>5</v>
      </c>
      <c r="BL33" s="148">
        <v>10</v>
      </c>
      <c r="BM33" s="149">
        <v>32</v>
      </c>
      <c r="BN33" s="150">
        <f t="shared" si="26"/>
        <v>42</v>
      </c>
      <c r="BO33" s="149">
        <v>21</v>
      </c>
      <c r="BP33" s="149">
        <v>25</v>
      </c>
      <c r="BQ33" s="150">
        <f t="shared" si="27"/>
        <v>88</v>
      </c>
      <c r="BR33" s="291"/>
      <c r="BS33" s="149">
        <f t="shared" si="28"/>
        <v>5</v>
      </c>
      <c r="BT33" s="148">
        <v>9</v>
      </c>
      <c r="BU33" s="149">
        <v>36</v>
      </c>
      <c r="BV33" s="150">
        <f t="shared" si="29"/>
        <v>45</v>
      </c>
      <c r="BW33" s="149">
        <v>17</v>
      </c>
      <c r="BX33" s="149">
        <v>25</v>
      </c>
      <c r="BY33" s="150">
        <f t="shared" si="30"/>
        <v>87</v>
      </c>
      <c r="BZ33" s="294"/>
      <c r="CA33" s="149">
        <f t="shared" si="31"/>
        <v>5</v>
      </c>
      <c r="CB33" s="148">
        <v>10</v>
      </c>
      <c r="CC33" s="149">
        <v>34</v>
      </c>
      <c r="CD33" s="150">
        <f t="shared" si="32"/>
        <v>44</v>
      </c>
      <c r="CE33" s="149">
        <v>12</v>
      </c>
      <c r="CF33" s="149">
        <v>23</v>
      </c>
      <c r="CG33" s="150">
        <f t="shared" si="33"/>
        <v>79</v>
      </c>
      <c r="CH33" s="291"/>
      <c r="CI33" s="164">
        <f t="shared" si="34"/>
        <v>4</v>
      </c>
      <c r="CJ33" s="149">
        <f t="shared" si="4"/>
        <v>43.5</v>
      </c>
      <c r="CK33" s="165">
        <f t="shared" si="35"/>
        <v>4.833333333333333</v>
      </c>
      <c r="CL33" s="165" t="str">
        <f t="shared" si="36"/>
        <v>A</v>
      </c>
      <c r="CM33" s="37" t="str">
        <f t="shared" si="5"/>
        <v>BETTER</v>
      </c>
      <c r="CN33" s="217">
        <f t="shared" si="6"/>
        <v>907</v>
      </c>
      <c r="CO33" s="37"/>
      <c r="CP33" s="40"/>
      <c r="CQ33" s="215">
        <f>'1ST_SEMESTER'!CN33</f>
        <v>801</v>
      </c>
      <c r="CR33" s="215">
        <f>'2ND_SEMESTER'!CN33</f>
        <v>878</v>
      </c>
      <c r="CS33" s="215">
        <f t="shared" si="37"/>
        <v>907</v>
      </c>
      <c r="CT33" s="215">
        <f t="shared" si="38"/>
        <v>862</v>
      </c>
      <c r="CU33" s="226">
        <f>'1ST_SEMESTER'!CK33</f>
        <v>4</v>
      </c>
      <c r="CV33" s="226">
        <f>'2ND_SEMESTER'!CK33</f>
        <v>4.6111111111111107</v>
      </c>
      <c r="CW33" s="226">
        <f t="shared" si="39"/>
        <v>4.833333333333333</v>
      </c>
      <c r="CX33" s="226">
        <f t="shared" si="40"/>
        <v>4.481481481481481</v>
      </c>
    </row>
    <row r="34" spans="1:102" s="197" customFormat="1" ht="27" customHeight="1">
      <c r="A34" s="144">
        <v>27</v>
      </c>
      <c r="B34" s="117">
        <v>107</v>
      </c>
      <c r="C34" s="177" t="s">
        <v>190</v>
      </c>
      <c r="D34" s="57" t="s">
        <v>191</v>
      </c>
      <c r="E34" s="57" t="s">
        <v>192</v>
      </c>
      <c r="F34" s="58" t="s">
        <v>193</v>
      </c>
      <c r="G34" s="148">
        <v>17</v>
      </c>
      <c r="H34" s="149">
        <v>31</v>
      </c>
      <c r="I34" s="150">
        <f t="shared" si="7"/>
        <v>48</v>
      </c>
      <c r="J34" s="149">
        <v>24</v>
      </c>
      <c r="K34" s="150">
        <f t="shared" si="41"/>
        <v>72</v>
      </c>
      <c r="L34" s="148">
        <v>19</v>
      </c>
      <c r="M34" s="149">
        <v>38</v>
      </c>
      <c r="N34" s="150">
        <f t="shared" si="8"/>
        <v>57</v>
      </c>
      <c r="O34" s="149">
        <v>28</v>
      </c>
      <c r="P34" s="150">
        <f t="shared" si="9"/>
        <v>85</v>
      </c>
      <c r="Q34" s="150">
        <f t="shared" si="10"/>
        <v>157</v>
      </c>
      <c r="R34" s="291"/>
      <c r="S34" s="149">
        <f t="shared" si="11"/>
        <v>4</v>
      </c>
      <c r="T34" s="148">
        <v>18</v>
      </c>
      <c r="U34" s="149">
        <v>47</v>
      </c>
      <c r="V34" s="150">
        <f t="shared" si="12"/>
        <v>65</v>
      </c>
      <c r="W34" s="149">
        <v>15</v>
      </c>
      <c r="X34" s="149">
        <v>45</v>
      </c>
      <c r="Y34" s="150">
        <f t="shared" si="13"/>
        <v>60</v>
      </c>
      <c r="Z34" s="150">
        <f t="shared" si="14"/>
        <v>125</v>
      </c>
      <c r="AA34" s="291"/>
      <c r="AB34" s="149">
        <f t="shared" si="0"/>
        <v>3.5</v>
      </c>
      <c r="AC34" s="148">
        <v>19</v>
      </c>
      <c r="AD34" s="149">
        <v>36</v>
      </c>
      <c r="AE34" s="150">
        <f t="shared" si="15"/>
        <v>55</v>
      </c>
      <c r="AF34" s="149">
        <v>16</v>
      </c>
      <c r="AG34" s="150">
        <f t="shared" si="16"/>
        <v>71</v>
      </c>
      <c r="AH34" s="291"/>
      <c r="AI34" s="149">
        <f t="shared" si="1"/>
        <v>4</v>
      </c>
      <c r="AJ34" s="148">
        <v>20</v>
      </c>
      <c r="AK34" s="149">
        <v>42</v>
      </c>
      <c r="AL34" s="150">
        <f t="shared" si="17"/>
        <v>62</v>
      </c>
      <c r="AM34" s="149">
        <v>24</v>
      </c>
      <c r="AN34" s="150">
        <f t="shared" si="18"/>
        <v>86</v>
      </c>
      <c r="AO34" s="291"/>
      <c r="AP34" s="149">
        <f t="shared" si="2"/>
        <v>5</v>
      </c>
      <c r="AQ34" s="148"/>
      <c r="AR34" s="149">
        <v>19</v>
      </c>
      <c r="AS34" s="149">
        <v>24</v>
      </c>
      <c r="AT34" s="149">
        <f t="shared" si="42"/>
        <v>43</v>
      </c>
      <c r="AU34" s="294"/>
      <c r="AV34" s="149">
        <f t="shared" si="20"/>
        <v>5</v>
      </c>
      <c r="AW34" s="148">
        <v>13</v>
      </c>
      <c r="AX34" s="149">
        <v>35</v>
      </c>
      <c r="AY34" s="150">
        <f t="shared" si="21"/>
        <v>48</v>
      </c>
      <c r="AZ34" s="149">
        <v>22</v>
      </c>
      <c r="BA34" s="150">
        <f t="shared" si="22"/>
        <v>70</v>
      </c>
      <c r="BB34" s="291"/>
      <c r="BC34" s="149">
        <f t="shared" si="23"/>
        <v>4</v>
      </c>
      <c r="BD34" s="148">
        <v>9</v>
      </c>
      <c r="BE34" s="149">
        <v>26</v>
      </c>
      <c r="BF34" s="150">
        <f t="shared" si="24"/>
        <v>35</v>
      </c>
      <c r="BG34" s="149">
        <v>16</v>
      </c>
      <c r="BH34" s="149">
        <v>25</v>
      </c>
      <c r="BI34" s="150">
        <f t="shared" si="25"/>
        <v>76</v>
      </c>
      <c r="BJ34" s="294"/>
      <c r="BK34" s="149">
        <f t="shared" si="3"/>
        <v>4</v>
      </c>
      <c r="BL34" s="148">
        <v>10</v>
      </c>
      <c r="BM34" s="149">
        <v>28</v>
      </c>
      <c r="BN34" s="150">
        <f t="shared" si="26"/>
        <v>38</v>
      </c>
      <c r="BO34" s="149">
        <v>18</v>
      </c>
      <c r="BP34" s="149">
        <v>25</v>
      </c>
      <c r="BQ34" s="150">
        <f t="shared" si="27"/>
        <v>81</v>
      </c>
      <c r="BR34" s="291"/>
      <c r="BS34" s="149">
        <f t="shared" si="28"/>
        <v>5</v>
      </c>
      <c r="BT34" s="148">
        <v>9</v>
      </c>
      <c r="BU34" s="149">
        <v>30</v>
      </c>
      <c r="BV34" s="150">
        <f t="shared" si="29"/>
        <v>39</v>
      </c>
      <c r="BW34" s="149">
        <v>16</v>
      </c>
      <c r="BX34" s="149">
        <v>25</v>
      </c>
      <c r="BY34" s="150">
        <f t="shared" si="30"/>
        <v>80</v>
      </c>
      <c r="BZ34" s="294"/>
      <c r="CA34" s="149">
        <f t="shared" si="31"/>
        <v>5</v>
      </c>
      <c r="CB34" s="148">
        <v>7</v>
      </c>
      <c r="CC34" s="149">
        <v>24</v>
      </c>
      <c r="CD34" s="150">
        <f t="shared" si="32"/>
        <v>31</v>
      </c>
      <c r="CE34" s="149">
        <v>14</v>
      </c>
      <c r="CF34" s="149">
        <v>23</v>
      </c>
      <c r="CG34" s="150">
        <f t="shared" si="33"/>
        <v>68</v>
      </c>
      <c r="CH34" s="291"/>
      <c r="CI34" s="164">
        <f t="shared" si="34"/>
        <v>3.5</v>
      </c>
      <c r="CJ34" s="149">
        <f t="shared" si="4"/>
        <v>41</v>
      </c>
      <c r="CK34" s="165">
        <f t="shared" si="35"/>
        <v>4.5555555555555554</v>
      </c>
      <c r="CL34" s="165" t="str">
        <f t="shared" si="36"/>
        <v>A</v>
      </c>
      <c r="CM34" s="37" t="str">
        <f t="shared" si="5"/>
        <v>BETTER</v>
      </c>
      <c r="CN34" s="217">
        <f t="shared" si="6"/>
        <v>857</v>
      </c>
      <c r="CO34" s="37"/>
      <c r="CP34" s="40"/>
      <c r="CQ34" s="215">
        <f>'1ST_SEMESTER'!CN34</f>
        <v>770</v>
      </c>
      <c r="CR34" s="215">
        <f>'2ND_SEMESTER'!CN34</f>
        <v>815</v>
      </c>
      <c r="CS34" s="215">
        <f t="shared" si="37"/>
        <v>857</v>
      </c>
      <c r="CT34" s="215">
        <f t="shared" si="38"/>
        <v>814</v>
      </c>
      <c r="CU34" s="226">
        <f>'1ST_SEMESTER'!CK34</f>
        <v>3.8888888888888888</v>
      </c>
      <c r="CV34" s="226" t="str">
        <f>'2ND_SEMESTER'!CK34</f>
        <v>F</v>
      </c>
      <c r="CW34" s="226">
        <f t="shared" si="39"/>
        <v>4.5555555555555554</v>
      </c>
      <c r="CX34" s="226">
        <f t="shared" si="40"/>
        <v>4.2222222222222223</v>
      </c>
    </row>
    <row r="35" spans="1:102" s="197" customFormat="1" ht="27" customHeight="1">
      <c r="A35" s="144">
        <v>28</v>
      </c>
      <c r="B35" s="117">
        <v>108</v>
      </c>
      <c r="C35" s="177" t="s">
        <v>194</v>
      </c>
      <c r="D35" s="57" t="s">
        <v>195</v>
      </c>
      <c r="E35" s="57" t="s">
        <v>196</v>
      </c>
      <c r="F35" s="58" t="s">
        <v>197</v>
      </c>
      <c r="G35" s="148">
        <v>16</v>
      </c>
      <c r="H35" s="149">
        <v>24</v>
      </c>
      <c r="I35" s="150">
        <f t="shared" si="7"/>
        <v>40</v>
      </c>
      <c r="J35" s="149">
        <v>24</v>
      </c>
      <c r="K35" s="150">
        <f t="shared" si="41"/>
        <v>64</v>
      </c>
      <c r="L35" s="148">
        <v>19</v>
      </c>
      <c r="M35" s="149">
        <v>37</v>
      </c>
      <c r="N35" s="150">
        <f t="shared" si="8"/>
        <v>56</v>
      </c>
      <c r="O35" s="149">
        <v>25</v>
      </c>
      <c r="P35" s="150">
        <f t="shared" si="9"/>
        <v>81</v>
      </c>
      <c r="Q35" s="150">
        <f t="shared" si="10"/>
        <v>145</v>
      </c>
      <c r="R35" s="291"/>
      <c r="S35" s="149">
        <f t="shared" si="11"/>
        <v>4</v>
      </c>
      <c r="T35" s="148">
        <v>17</v>
      </c>
      <c r="U35" s="149">
        <v>40</v>
      </c>
      <c r="V35" s="150">
        <f t="shared" si="12"/>
        <v>57</v>
      </c>
      <c r="W35" s="149">
        <v>11</v>
      </c>
      <c r="X35" s="149">
        <v>53</v>
      </c>
      <c r="Y35" s="150">
        <f t="shared" si="13"/>
        <v>64</v>
      </c>
      <c r="Z35" s="150">
        <f t="shared" si="14"/>
        <v>121</v>
      </c>
      <c r="AA35" s="291"/>
      <c r="AB35" s="149">
        <f t="shared" si="0"/>
        <v>3.5</v>
      </c>
      <c r="AC35" s="148">
        <v>15</v>
      </c>
      <c r="AD35" s="149">
        <v>26</v>
      </c>
      <c r="AE35" s="150">
        <f t="shared" si="15"/>
        <v>41</v>
      </c>
      <c r="AF35" s="149">
        <v>18</v>
      </c>
      <c r="AG35" s="150">
        <f t="shared" si="16"/>
        <v>59</v>
      </c>
      <c r="AH35" s="291"/>
      <c r="AI35" s="149">
        <f t="shared" si="1"/>
        <v>3</v>
      </c>
      <c r="AJ35" s="148">
        <v>18</v>
      </c>
      <c r="AK35" s="149">
        <v>38</v>
      </c>
      <c r="AL35" s="150">
        <f t="shared" si="17"/>
        <v>56</v>
      </c>
      <c r="AM35" s="149">
        <v>22</v>
      </c>
      <c r="AN35" s="150">
        <f t="shared" si="18"/>
        <v>78</v>
      </c>
      <c r="AO35" s="291"/>
      <c r="AP35" s="149">
        <f t="shared" si="2"/>
        <v>4</v>
      </c>
      <c r="AQ35" s="148"/>
      <c r="AR35" s="149">
        <v>19</v>
      </c>
      <c r="AS35" s="149">
        <v>24</v>
      </c>
      <c r="AT35" s="149">
        <f t="shared" si="42"/>
        <v>43</v>
      </c>
      <c r="AU35" s="294"/>
      <c r="AV35" s="149">
        <f t="shared" si="20"/>
        <v>5</v>
      </c>
      <c r="AW35" s="148">
        <v>11</v>
      </c>
      <c r="AX35" s="149">
        <v>27</v>
      </c>
      <c r="AY35" s="150">
        <f t="shared" si="21"/>
        <v>38</v>
      </c>
      <c r="AZ35" s="149">
        <v>21</v>
      </c>
      <c r="BA35" s="150">
        <f t="shared" si="22"/>
        <v>59</v>
      </c>
      <c r="BB35" s="291"/>
      <c r="BC35" s="149">
        <f t="shared" si="23"/>
        <v>3</v>
      </c>
      <c r="BD35" s="148">
        <v>7</v>
      </c>
      <c r="BE35" s="149">
        <v>24</v>
      </c>
      <c r="BF35" s="150">
        <f t="shared" si="24"/>
        <v>31</v>
      </c>
      <c r="BG35" s="149">
        <v>16</v>
      </c>
      <c r="BH35" s="149">
        <v>25</v>
      </c>
      <c r="BI35" s="150">
        <f t="shared" si="25"/>
        <v>72</v>
      </c>
      <c r="BJ35" s="294"/>
      <c r="BK35" s="149">
        <f t="shared" si="3"/>
        <v>4</v>
      </c>
      <c r="BL35" s="148">
        <v>7</v>
      </c>
      <c r="BM35" s="149">
        <v>21</v>
      </c>
      <c r="BN35" s="150">
        <f t="shared" si="26"/>
        <v>28</v>
      </c>
      <c r="BO35" s="149">
        <v>19</v>
      </c>
      <c r="BP35" s="149">
        <v>25</v>
      </c>
      <c r="BQ35" s="150">
        <f t="shared" si="27"/>
        <v>72</v>
      </c>
      <c r="BR35" s="291"/>
      <c r="BS35" s="149">
        <f t="shared" si="28"/>
        <v>4</v>
      </c>
      <c r="BT35" s="148">
        <v>9</v>
      </c>
      <c r="BU35" s="149">
        <v>27</v>
      </c>
      <c r="BV35" s="150">
        <f t="shared" si="29"/>
        <v>36</v>
      </c>
      <c r="BW35" s="149">
        <v>17</v>
      </c>
      <c r="BX35" s="149">
        <v>25</v>
      </c>
      <c r="BY35" s="150">
        <f t="shared" si="30"/>
        <v>78</v>
      </c>
      <c r="BZ35" s="294"/>
      <c r="CA35" s="149">
        <f t="shared" si="31"/>
        <v>4</v>
      </c>
      <c r="CB35" s="148">
        <v>7</v>
      </c>
      <c r="CC35" s="149">
        <v>22</v>
      </c>
      <c r="CD35" s="150">
        <f t="shared" si="32"/>
        <v>29</v>
      </c>
      <c r="CE35" s="149">
        <v>14</v>
      </c>
      <c r="CF35" s="149">
        <v>23</v>
      </c>
      <c r="CG35" s="150">
        <f t="shared" si="33"/>
        <v>66</v>
      </c>
      <c r="CH35" s="291"/>
      <c r="CI35" s="164">
        <f t="shared" si="34"/>
        <v>3.5</v>
      </c>
      <c r="CJ35" s="149">
        <f t="shared" si="4"/>
        <v>36</v>
      </c>
      <c r="CK35" s="165">
        <f t="shared" si="35"/>
        <v>4</v>
      </c>
      <c r="CL35" s="165" t="str">
        <f t="shared" si="36"/>
        <v>A</v>
      </c>
      <c r="CM35" s="37" t="str">
        <f t="shared" si="5"/>
        <v>BETTER</v>
      </c>
      <c r="CN35" s="217">
        <f t="shared" si="6"/>
        <v>793</v>
      </c>
      <c r="CO35" s="37"/>
      <c r="CP35" s="40"/>
      <c r="CQ35" s="215">
        <f>'1ST_SEMESTER'!CN35</f>
        <v>671</v>
      </c>
      <c r="CR35" s="215">
        <f>'2ND_SEMESTER'!CN35</f>
        <v>756</v>
      </c>
      <c r="CS35" s="215">
        <f t="shared" si="37"/>
        <v>793</v>
      </c>
      <c r="CT35" s="215">
        <f t="shared" si="38"/>
        <v>740</v>
      </c>
      <c r="CU35" s="226" t="str">
        <f>'1ST_SEMESTER'!CK35</f>
        <v>F</v>
      </c>
      <c r="CV35" s="226" t="str">
        <f>'2ND_SEMESTER'!CK35</f>
        <v>F</v>
      </c>
      <c r="CW35" s="226">
        <f t="shared" si="39"/>
        <v>4</v>
      </c>
      <c r="CX35" s="226">
        <f t="shared" si="40"/>
        <v>4</v>
      </c>
    </row>
    <row r="36" spans="1:102" s="197" customFormat="1" ht="27" customHeight="1">
      <c r="A36" s="144">
        <v>29</v>
      </c>
      <c r="B36" s="117">
        <v>112</v>
      </c>
      <c r="C36" s="177" t="s">
        <v>198</v>
      </c>
      <c r="D36" s="57" t="s">
        <v>199</v>
      </c>
      <c r="E36" s="57" t="s">
        <v>200</v>
      </c>
      <c r="F36" s="58" t="s">
        <v>201</v>
      </c>
      <c r="G36" s="148">
        <v>17</v>
      </c>
      <c r="H36" s="149">
        <v>31</v>
      </c>
      <c r="I36" s="150">
        <f t="shared" si="7"/>
        <v>48</v>
      </c>
      <c r="J36" s="149">
        <v>27</v>
      </c>
      <c r="K36" s="150">
        <f t="shared" si="41"/>
        <v>75</v>
      </c>
      <c r="L36" s="148">
        <v>18</v>
      </c>
      <c r="M36" s="149">
        <v>36</v>
      </c>
      <c r="N36" s="150">
        <f t="shared" si="8"/>
        <v>54</v>
      </c>
      <c r="O36" s="149">
        <v>27</v>
      </c>
      <c r="P36" s="150">
        <f t="shared" si="9"/>
        <v>81</v>
      </c>
      <c r="Q36" s="150">
        <f t="shared" si="10"/>
        <v>156</v>
      </c>
      <c r="R36" s="291"/>
      <c r="S36" s="149">
        <f t="shared" si="11"/>
        <v>4</v>
      </c>
      <c r="T36" s="148">
        <v>19</v>
      </c>
      <c r="U36" s="149">
        <v>48</v>
      </c>
      <c r="V36" s="150">
        <f t="shared" si="12"/>
        <v>67</v>
      </c>
      <c r="W36" s="149">
        <v>18</v>
      </c>
      <c r="X36" s="149">
        <v>49</v>
      </c>
      <c r="Y36" s="150">
        <f t="shared" si="13"/>
        <v>67</v>
      </c>
      <c r="Z36" s="150">
        <f t="shared" si="14"/>
        <v>134</v>
      </c>
      <c r="AA36" s="291"/>
      <c r="AB36" s="149">
        <f t="shared" si="0"/>
        <v>3.5</v>
      </c>
      <c r="AC36" s="148">
        <v>20</v>
      </c>
      <c r="AD36" s="149">
        <v>34</v>
      </c>
      <c r="AE36" s="150">
        <f t="shared" si="15"/>
        <v>54</v>
      </c>
      <c r="AF36" s="149">
        <v>17</v>
      </c>
      <c r="AG36" s="150">
        <f t="shared" si="16"/>
        <v>71</v>
      </c>
      <c r="AH36" s="291"/>
      <c r="AI36" s="149">
        <f t="shared" si="1"/>
        <v>4</v>
      </c>
      <c r="AJ36" s="148">
        <v>20</v>
      </c>
      <c r="AK36" s="149">
        <v>45</v>
      </c>
      <c r="AL36" s="150">
        <f t="shared" si="17"/>
        <v>65</v>
      </c>
      <c r="AM36" s="149">
        <v>24</v>
      </c>
      <c r="AN36" s="150">
        <f t="shared" si="18"/>
        <v>89</v>
      </c>
      <c r="AO36" s="291"/>
      <c r="AP36" s="149">
        <f t="shared" si="2"/>
        <v>5</v>
      </c>
      <c r="AQ36" s="148"/>
      <c r="AR36" s="149">
        <v>19</v>
      </c>
      <c r="AS36" s="149">
        <v>24</v>
      </c>
      <c r="AT36" s="149">
        <f t="shared" si="42"/>
        <v>43</v>
      </c>
      <c r="AU36" s="294"/>
      <c r="AV36" s="149">
        <f t="shared" si="20"/>
        <v>5</v>
      </c>
      <c r="AW36" s="148">
        <v>16</v>
      </c>
      <c r="AX36" s="149">
        <v>34</v>
      </c>
      <c r="AY36" s="150">
        <f t="shared" si="21"/>
        <v>50</v>
      </c>
      <c r="AZ36" s="149">
        <v>26</v>
      </c>
      <c r="BA36" s="150">
        <f t="shared" si="22"/>
        <v>76</v>
      </c>
      <c r="BB36" s="291"/>
      <c r="BC36" s="149">
        <f t="shared" si="23"/>
        <v>4</v>
      </c>
      <c r="BD36" s="148">
        <v>7</v>
      </c>
      <c r="BE36" s="149">
        <v>26</v>
      </c>
      <c r="BF36" s="150">
        <f t="shared" si="24"/>
        <v>33</v>
      </c>
      <c r="BG36" s="149">
        <v>22</v>
      </c>
      <c r="BH36" s="149">
        <v>25</v>
      </c>
      <c r="BI36" s="150">
        <f t="shared" si="25"/>
        <v>80</v>
      </c>
      <c r="BJ36" s="294"/>
      <c r="BK36" s="149">
        <f t="shared" si="3"/>
        <v>5</v>
      </c>
      <c r="BL36" s="148">
        <v>9</v>
      </c>
      <c r="BM36" s="149">
        <v>19</v>
      </c>
      <c r="BN36" s="150">
        <f t="shared" si="26"/>
        <v>28</v>
      </c>
      <c r="BO36" s="149">
        <v>17</v>
      </c>
      <c r="BP36" s="149">
        <v>25</v>
      </c>
      <c r="BQ36" s="150">
        <f t="shared" si="27"/>
        <v>70</v>
      </c>
      <c r="BR36" s="291"/>
      <c r="BS36" s="149">
        <f t="shared" si="28"/>
        <v>4</v>
      </c>
      <c r="BT36" s="148">
        <v>9</v>
      </c>
      <c r="BU36" s="149">
        <v>30</v>
      </c>
      <c r="BV36" s="150">
        <f t="shared" si="29"/>
        <v>39</v>
      </c>
      <c r="BW36" s="149">
        <v>16</v>
      </c>
      <c r="BX36" s="149">
        <v>25</v>
      </c>
      <c r="BY36" s="150">
        <f t="shared" si="30"/>
        <v>80</v>
      </c>
      <c r="BZ36" s="294"/>
      <c r="CA36" s="149">
        <f t="shared" si="31"/>
        <v>5</v>
      </c>
      <c r="CB36" s="148">
        <v>9</v>
      </c>
      <c r="CC36" s="149">
        <v>27</v>
      </c>
      <c r="CD36" s="150">
        <f t="shared" si="32"/>
        <v>36</v>
      </c>
      <c r="CE36" s="149">
        <v>10</v>
      </c>
      <c r="CF36" s="149">
        <v>23</v>
      </c>
      <c r="CG36" s="150">
        <f t="shared" si="33"/>
        <v>69</v>
      </c>
      <c r="CH36" s="291"/>
      <c r="CI36" s="164">
        <f t="shared" si="34"/>
        <v>3.5</v>
      </c>
      <c r="CJ36" s="149">
        <f t="shared" si="4"/>
        <v>41</v>
      </c>
      <c r="CK36" s="165">
        <f t="shared" si="35"/>
        <v>4.5555555555555554</v>
      </c>
      <c r="CL36" s="165" t="str">
        <f t="shared" si="36"/>
        <v>A</v>
      </c>
      <c r="CM36" s="37" t="str">
        <f t="shared" si="5"/>
        <v>BETTER</v>
      </c>
      <c r="CN36" s="217">
        <f t="shared" si="6"/>
        <v>868</v>
      </c>
      <c r="CO36" s="37"/>
      <c r="CP36" s="40"/>
      <c r="CQ36" s="215">
        <f>'1ST_SEMESTER'!CN36</f>
        <v>814</v>
      </c>
      <c r="CR36" s="215">
        <f>'2ND_SEMESTER'!CN36</f>
        <v>866</v>
      </c>
      <c r="CS36" s="215">
        <f t="shared" si="37"/>
        <v>868</v>
      </c>
      <c r="CT36" s="215">
        <f t="shared" si="38"/>
        <v>849.33333333333337</v>
      </c>
      <c r="CU36" s="226">
        <f>'1ST_SEMESTER'!CK36</f>
        <v>3.8333333333333335</v>
      </c>
      <c r="CV36" s="226">
        <f>'2ND_SEMESTER'!CK36</f>
        <v>4.5</v>
      </c>
      <c r="CW36" s="226">
        <f t="shared" si="39"/>
        <v>4.5555555555555554</v>
      </c>
      <c r="CX36" s="226">
        <f t="shared" si="40"/>
        <v>4.2962962962962967</v>
      </c>
    </row>
    <row r="37" spans="1:102" s="197" customFormat="1" ht="27" customHeight="1">
      <c r="A37" s="144">
        <v>30</v>
      </c>
      <c r="B37" s="117">
        <v>115</v>
      </c>
      <c r="C37" s="177" t="s">
        <v>202</v>
      </c>
      <c r="D37" s="57" t="s">
        <v>203</v>
      </c>
      <c r="E37" s="57" t="s">
        <v>204</v>
      </c>
      <c r="F37" s="58" t="s">
        <v>205</v>
      </c>
      <c r="G37" s="148">
        <v>18</v>
      </c>
      <c r="H37" s="149">
        <v>31</v>
      </c>
      <c r="I37" s="150">
        <f t="shared" si="7"/>
        <v>49</v>
      </c>
      <c r="J37" s="149">
        <v>26</v>
      </c>
      <c r="K37" s="150">
        <f t="shared" si="41"/>
        <v>75</v>
      </c>
      <c r="L37" s="148">
        <v>19</v>
      </c>
      <c r="M37" s="149">
        <v>34</v>
      </c>
      <c r="N37" s="150">
        <f t="shared" si="8"/>
        <v>53</v>
      </c>
      <c r="O37" s="149">
        <v>27</v>
      </c>
      <c r="P37" s="150">
        <f t="shared" si="9"/>
        <v>80</v>
      </c>
      <c r="Q37" s="150">
        <f t="shared" si="10"/>
        <v>155</v>
      </c>
      <c r="R37" s="291"/>
      <c r="S37" s="149">
        <f t="shared" si="11"/>
        <v>4</v>
      </c>
      <c r="T37" s="148">
        <v>20</v>
      </c>
      <c r="U37" s="149">
        <v>55</v>
      </c>
      <c r="V37" s="150">
        <f t="shared" si="12"/>
        <v>75</v>
      </c>
      <c r="W37" s="149">
        <v>17</v>
      </c>
      <c r="X37" s="149">
        <v>60</v>
      </c>
      <c r="Y37" s="150">
        <f t="shared" si="13"/>
        <v>77</v>
      </c>
      <c r="Z37" s="150">
        <f t="shared" si="14"/>
        <v>152</v>
      </c>
      <c r="AA37" s="291"/>
      <c r="AB37" s="149">
        <f t="shared" si="0"/>
        <v>4</v>
      </c>
      <c r="AC37" s="148">
        <v>20</v>
      </c>
      <c r="AD37" s="149">
        <v>29</v>
      </c>
      <c r="AE37" s="150">
        <f t="shared" si="15"/>
        <v>49</v>
      </c>
      <c r="AF37" s="149">
        <v>17</v>
      </c>
      <c r="AG37" s="150">
        <f t="shared" si="16"/>
        <v>66</v>
      </c>
      <c r="AH37" s="291"/>
      <c r="AI37" s="149">
        <f t="shared" si="1"/>
        <v>3.5</v>
      </c>
      <c r="AJ37" s="148">
        <v>20</v>
      </c>
      <c r="AK37" s="149">
        <v>41</v>
      </c>
      <c r="AL37" s="150">
        <f t="shared" si="17"/>
        <v>61</v>
      </c>
      <c r="AM37" s="149">
        <v>22</v>
      </c>
      <c r="AN37" s="150">
        <f t="shared" si="18"/>
        <v>83</v>
      </c>
      <c r="AO37" s="291"/>
      <c r="AP37" s="149">
        <f t="shared" si="2"/>
        <v>5</v>
      </c>
      <c r="AQ37" s="148"/>
      <c r="AR37" s="149">
        <v>17</v>
      </c>
      <c r="AS37" s="149">
        <v>24</v>
      </c>
      <c r="AT37" s="149">
        <f t="shared" si="42"/>
        <v>41</v>
      </c>
      <c r="AU37" s="294"/>
      <c r="AV37" s="149">
        <f t="shared" si="20"/>
        <v>5</v>
      </c>
      <c r="AW37" s="148">
        <v>20</v>
      </c>
      <c r="AX37" s="149">
        <v>36</v>
      </c>
      <c r="AY37" s="150">
        <f t="shared" si="21"/>
        <v>56</v>
      </c>
      <c r="AZ37" s="149">
        <v>27</v>
      </c>
      <c r="BA37" s="150">
        <f t="shared" si="22"/>
        <v>83</v>
      </c>
      <c r="BB37" s="291"/>
      <c r="BC37" s="149">
        <f t="shared" si="23"/>
        <v>5</v>
      </c>
      <c r="BD37" s="148">
        <v>9</v>
      </c>
      <c r="BE37" s="149">
        <v>34</v>
      </c>
      <c r="BF37" s="150">
        <f t="shared" si="24"/>
        <v>43</v>
      </c>
      <c r="BG37" s="149">
        <v>20</v>
      </c>
      <c r="BH37" s="149">
        <v>25</v>
      </c>
      <c r="BI37" s="150">
        <f t="shared" si="25"/>
        <v>88</v>
      </c>
      <c r="BJ37" s="294"/>
      <c r="BK37" s="149">
        <f t="shared" si="3"/>
        <v>5</v>
      </c>
      <c r="BL37" s="148">
        <v>10</v>
      </c>
      <c r="BM37" s="149">
        <v>34</v>
      </c>
      <c r="BN37" s="150">
        <f t="shared" si="26"/>
        <v>44</v>
      </c>
      <c r="BO37" s="149">
        <v>20</v>
      </c>
      <c r="BP37" s="149">
        <v>25</v>
      </c>
      <c r="BQ37" s="150">
        <f t="shared" si="27"/>
        <v>89</v>
      </c>
      <c r="BR37" s="291"/>
      <c r="BS37" s="149">
        <f t="shared" si="28"/>
        <v>5</v>
      </c>
      <c r="BT37" s="148">
        <v>10</v>
      </c>
      <c r="BU37" s="149">
        <v>35</v>
      </c>
      <c r="BV37" s="150">
        <f t="shared" si="29"/>
        <v>45</v>
      </c>
      <c r="BW37" s="149">
        <v>18</v>
      </c>
      <c r="BX37" s="149">
        <v>25</v>
      </c>
      <c r="BY37" s="150">
        <f t="shared" si="30"/>
        <v>88</v>
      </c>
      <c r="BZ37" s="294"/>
      <c r="CA37" s="149">
        <f t="shared" si="31"/>
        <v>5</v>
      </c>
      <c r="CB37" s="148">
        <v>9</v>
      </c>
      <c r="CC37" s="149">
        <v>35</v>
      </c>
      <c r="CD37" s="150">
        <f t="shared" si="32"/>
        <v>44</v>
      </c>
      <c r="CE37" s="149">
        <v>16</v>
      </c>
      <c r="CF37" s="149">
        <v>23</v>
      </c>
      <c r="CG37" s="150">
        <f t="shared" si="33"/>
        <v>83</v>
      </c>
      <c r="CH37" s="291"/>
      <c r="CI37" s="164">
        <f t="shared" si="34"/>
        <v>5</v>
      </c>
      <c r="CJ37" s="149">
        <f t="shared" si="4"/>
        <v>44.5</v>
      </c>
      <c r="CK37" s="165">
        <f t="shared" si="35"/>
        <v>4.9444444444444446</v>
      </c>
      <c r="CL37" s="165" t="str">
        <f t="shared" si="36"/>
        <v>A</v>
      </c>
      <c r="CM37" s="37" t="str">
        <f t="shared" si="5"/>
        <v>BETTER</v>
      </c>
      <c r="CN37" s="217">
        <f t="shared" si="6"/>
        <v>928</v>
      </c>
      <c r="CO37" s="37"/>
      <c r="CP37" s="40"/>
      <c r="CQ37" s="215">
        <f>'1ST_SEMESTER'!CN37</f>
        <v>908</v>
      </c>
      <c r="CR37" s="215">
        <f>'2ND_SEMESTER'!CN37</f>
        <v>954</v>
      </c>
      <c r="CS37" s="215">
        <f t="shared" si="37"/>
        <v>928</v>
      </c>
      <c r="CT37" s="215">
        <f t="shared" si="38"/>
        <v>930</v>
      </c>
      <c r="CU37" s="226">
        <f>'1ST_SEMESTER'!CK37</f>
        <v>4.7777777777777777</v>
      </c>
      <c r="CV37" s="226">
        <f>'2ND_SEMESTER'!CK37</f>
        <v>5</v>
      </c>
      <c r="CW37" s="226">
        <f t="shared" si="39"/>
        <v>4.9444444444444446</v>
      </c>
      <c r="CX37" s="226">
        <f t="shared" si="40"/>
        <v>4.9074074074074074</v>
      </c>
    </row>
    <row r="38" spans="1:102" s="198" customFormat="1" ht="27" customHeight="1">
      <c r="A38" s="181">
        <v>31</v>
      </c>
      <c r="B38" s="117">
        <v>119</v>
      </c>
      <c r="C38" s="118" t="s">
        <v>206</v>
      </c>
      <c r="D38" s="69" t="s">
        <v>207</v>
      </c>
      <c r="E38" s="69" t="s">
        <v>208</v>
      </c>
      <c r="F38" s="70" t="s">
        <v>209</v>
      </c>
      <c r="G38" s="148">
        <v>19</v>
      </c>
      <c r="H38" s="149">
        <v>24</v>
      </c>
      <c r="I38" s="150">
        <f t="shared" si="7"/>
        <v>43</v>
      </c>
      <c r="J38" s="149">
        <v>27</v>
      </c>
      <c r="K38" s="150">
        <f t="shared" si="41"/>
        <v>70</v>
      </c>
      <c r="L38" s="148">
        <v>19</v>
      </c>
      <c r="M38" s="149">
        <v>43</v>
      </c>
      <c r="N38" s="150">
        <f t="shared" si="8"/>
        <v>62</v>
      </c>
      <c r="O38" s="149">
        <v>26</v>
      </c>
      <c r="P38" s="150">
        <f t="shared" si="9"/>
        <v>88</v>
      </c>
      <c r="Q38" s="150">
        <f t="shared" si="10"/>
        <v>158</v>
      </c>
      <c r="R38" s="291"/>
      <c r="S38" s="149">
        <f t="shared" si="11"/>
        <v>4</v>
      </c>
      <c r="T38" s="148">
        <v>20</v>
      </c>
      <c r="U38" s="149">
        <v>52</v>
      </c>
      <c r="V38" s="150">
        <f t="shared" si="12"/>
        <v>72</v>
      </c>
      <c r="W38" s="149">
        <v>12</v>
      </c>
      <c r="X38" s="149">
        <v>60</v>
      </c>
      <c r="Y38" s="150">
        <f t="shared" si="13"/>
        <v>72</v>
      </c>
      <c r="Z38" s="150">
        <f t="shared" si="14"/>
        <v>144</v>
      </c>
      <c r="AA38" s="291"/>
      <c r="AB38" s="149">
        <f t="shared" si="0"/>
        <v>4</v>
      </c>
      <c r="AC38" s="148">
        <v>15</v>
      </c>
      <c r="AD38" s="149">
        <v>21</v>
      </c>
      <c r="AE38" s="150">
        <f t="shared" si="15"/>
        <v>36</v>
      </c>
      <c r="AF38" s="149">
        <v>12</v>
      </c>
      <c r="AG38" s="150">
        <f t="shared" si="16"/>
        <v>48</v>
      </c>
      <c r="AH38" s="291"/>
      <c r="AI38" s="149">
        <f t="shared" si="1"/>
        <v>2</v>
      </c>
      <c r="AJ38" s="148">
        <v>18</v>
      </c>
      <c r="AK38" s="149">
        <v>47</v>
      </c>
      <c r="AL38" s="150">
        <f t="shared" si="17"/>
        <v>65</v>
      </c>
      <c r="AM38" s="149">
        <v>23</v>
      </c>
      <c r="AN38" s="150">
        <f t="shared" si="18"/>
        <v>88</v>
      </c>
      <c r="AO38" s="291"/>
      <c r="AP38" s="149">
        <f t="shared" si="2"/>
        <v>5</v>
      </c>
      <c r="AQ38" s="148"/>
      <c r="AR38" s="149">
        <v>22</v>
      </c>
      <c r="AS38" s="149">
        <v>24</v>
      </c>
      <c r="AT38" s="149">
        <f t="shared" si="42"/>
        <v>46</v>
      </c>
      <c r="AU38" s="294"/>
      <c r="AV38" s="149">
        <f t="shared" si="20"/>
        <v>5</v>
      </c>
      <c r="AW38" s="148">
        <v>14</v>
      </c>
      <c r="AX38" s="149">
        <v>29</v>
      </c>
      <c r="AY38" s="150">
        <f t="shared" si="21"/>
        <v>43</v>
      </c>
      <c r="AZ38" s="149">
        <v>20</v>
      </c>
      <c r="BA38" s="150">
        <f t="shared" si="22"/>
        <v>63</v>
      </c>
      <c r="BB38" s="291"/>
      <c r="BC38" s="149">
        <f t="shared" si="23"/>
        <v>3.5</v>
      </c>
      <c r="BD38" s="148">
        <v>6</v>
      </c>
      <c r="BE38" s="149">
        <v>19</v>
      </c>
      <c r="BF38" s="150">
        <f t="shared" si="24"/>
        <v>25</v>
      </c>
      <c r="BG38" s="149">
        <v>13</v>
      </c>
      <c r="BH38" s="149">
        <v>25</v>
      </c>
      <c r="BI38" s="150">
        <f t="shared" si="25"/>
        <v>63</v>
      </c>
      <c r="BJ38" s="294"/>
      <c r="BK38" s="149">
        <f t="shared" si="3"/>
        <v>3.5</v>
      </c>
      <c r="BL38" s="148">
        <v>8</v>
      </c>
      <c r="BM38" s="149">
        <v>19</v>
      </c>
      <c r="BN38" s="150">
        <f t="shared" si="26"/>
        <v>27</v>
      </c>
      <c r="BO38" s="149">
        <v>21</v>
      </c>
      <c r="BP38" s="149">
        <v>25</v>
      </c>
      <c r="BQ38" s="150">
        <f t="shared" si="27"/>
        <v>73</v>
      </c>
      <c r="BR38" s="291"/>
      <c r="BS38" s="149">
        <f t="shared" si="28"/>
        <v>4</v>
      </c>
      <c r="BT38" s="148">
        <v>9</v>
      </c>
      <c r="BU38" s="149">
        <v>33</v>
      </c>
      <c r="BV38" s="150">
        <f t="shared" si="29"/>
        <v>42</v>
      </c>
      <c r="BW38" s="149">
        <v>23</v>
      </c>
      <c r="BX38" s="149">
        <v>25</v>
      </c>
      <c r="BY38" s="150">
        <f t="shared" si="30"/>
        <v>90</v>
      </c>
      <c r="BZ38" s="294"/>
      <c r="CA38" s="149">
        <f t="shared" si="31"/>
        <v>5</v>
      </c>
      <c r="CB38" s="148">
        <v>8</v>
      </c>
      <c r="CC38" s="149">
        <v>32</v>
      </c>
      <c r="CD38" s="150">
        <f t="shared" si="32"/>
        <v>40</v>
      </c>
      <c r="CE38" s="149">
        <v>23</v>
      </c>
      <c r="CF38" s="149">
        <v>25</v>
      </c>
      <c r="CG38" s="150">
        <f t="shared" si="33"/>
        <v>88</v>
      </c>
      <c r="CH38" s="291"/>
      <c r="CI38" s="164">
        <f t="shared" si="34"/>
        <v>5</v>
      </c>
      <c r="CJ38" s="149">
        <f t="shared" si="4"/>
        <v>39</v>
      </c>
      <c r="CK38" s="165">
        <f t="shared" si="35"/>
        <v>4.333333333333333</v>
      </c>
      <c r="CL38" s="165" t="str">
        <f t="shared" si="36"/>
        <v>A</v>
      </c>
      <c r="CM38" s="37" t="str">
        <f t="shared" si="5"/>
        <v>BETTER</v>
      </c>
      <c r="CN38" s="217">
        <f t="shared" si="6"/>
        <v>861</v>
      </c>
      <c r="CO38" s="37"/>
      <c r="CP38" s="40"/>
      <c r="CQ38" s="215">
        <f>'1ST_SEMESTER'!CN38</f>
        <v>745</v>
      </c>
      <c r="CR38" s="215">
        <f>'2ND_SEMESTER'!CN38</f>
        <v>839</v>
      </c>
      <c r="CS38" s="215">
        <f t="shared" si="37"/>
        <v>861</v>
      </c>
      <c r="CT38" s="215">
        <f t="shared" si="38"/>
        <v>815</v>
      </c>
      <c r="CU38" s="226" t="str">
        <f>'1ST_SEMESTER'!CK38</f>
        <v>F</v>
      </c>
      <c r="CV38" s="226">
        <f>'2ND_SEMESTER'!CK38</f>
        <v>4.2777777777777777</v>
      </c>
      <c r="CW38" s="226">
        <f t="shared" si="39"/>
        <v>4.333333333333333</v>
      </c>
      <c r="CX38" s="226">
        <f t="shared" si="40"/>
        <v>4.3055555555555554</v>
      </c>
    </row>
    <row r="39" spans="1:102" s="197" customFormat="1" ht="27" customHeight="1">
      <c r="A39" s="144">
        <v>32</v>
      </c>
      <c r="B39" s="117">
        <v>125</v>
      </c>
      <c r="C39" s="177" t="s">
        <v>210</v>
      </c>
      <c r="D39" s="57" t="s">
        <v>211</v>
      </c>
      <c r="E39" s="57" t="s">
        <v>212</v>
      </c>
      <c r="F39" s="58" t="s">
        <v>213</v>
      </c>
      <c r="G39" s="148">
        <v>19</v>
      </c>
      <c r="H39" s="149">
        <v>41</v>
      </c>
      <c r="I39" s="150">
        <f t="shared" si="7"/>
        <v>60</v>
      </c>
      <c r="J39" s="149">
        <v>27</v>
      </c>
      <c r="K39" s="150">
        <f t="shared" si="41"/>
        <v>87</v>
      </c>
      <c r="L39" s="148">
        <v>19</v>
      </c>
      <c r="M39" s="149">
        <v>41</v>
      </c>
      <c r="N39" s="150">
        <f t="shared" si="8"/>
        <v>60</v>
      </c>
      <c r="O39" s="149">
        <v>27</v>
      </c>
      <c r="P39" s="150">
        <f t="shared" si="9"/>
        <v>87</v>
      </c>
      <c r="Q39" s="150">
        <f t="shared" si="10"/>
        <v>174</v>
      </c>
      <c r="R39" s="291"/>
      <c r="S39" s="149">
        <f t="shared" si="11"/>
        <v>5</v>
      </c>
      <c r="T39" s="148">
        <v>17</v>
      </c>
      <c r="U39" s="149">
        <v>40</v>
      </c>
      <c r="V39" s="150">
        <f t="shared" si="12"/>
        <v>57</v>
      </c>
      <c r="W39" s="149">
        <v>15</v>
      </c>
      <c r="X39" s="149">
        <v>36</v>
      </c>
      <c r="Y39" s="150">
        <f t="shared" si="13"/>
        <v>51</v>
      </c>
      <c r="Z39" s="150">
        <f t="shared" si="14"/>
        <v>108</v>
      </c>
      <c r="AA39" s="291"/>
      <c r="AB39" s="149">
        <f t="shared" si="0"/>
        <v>3</v>
      </c>
      <c r="AC39" s="148">
        <v>13</v>
      </c>
      <c r="AD39" s="149">
        <v>36</v>
      </c>
      <c r="AE39" s="150">
        <f t="shared" si="15"/>
        <v>49</v>
      </c>
      <c r="AF39" s="149">
        <v>13</v>
      </c>
      <c r="AG39" s="150">
        <f t="shared" si="16"/>
        <v>62</v>
      </c>
      <c r="AH39" s="291"/>
      <c r="AI39" s="149">
        <f t="shared" si="1"/>
        <v>3.5</v>
      </c>
      <c r="AJ39" s="148">
        <v>20</v>
      </c>
      <c r="AK39" s="149">
        <v>49</v>
      </c>
      <c r="AL39" s="150">
        <f t="shared" si="17"/>
        <v>69</v>
      </c>
      <c r="AM39" s="149">
        <v>22</v>
      </c>
      <c r="AN39" s="150">
        <f t="shared" si="18"/>
        <v>91</v>
      </c>
      <c r="AO39" s="291"/>
      <c r="AP39" s="149">
        <f t="shared" si="2"/>
        <v>5</v>
      </c>
      <c r="AQ39" s="148"/>
      <c r="AR39" s="149">
        <v>20</v>
      </c>
      <c r="AS39" s="149">
        <v>24</v>
      </c>
      <c r="AT39" s="149">
        <f t="shared" si="42"/>
        <v>44</v>
      </c>
      <c r="AU39" s="294"/>
      <c r="AV39" s="149">
        <f t="shared" si="20"/>
        <v>5</v>
      </c>
      <c r="AW39" s="148">
        <v>17</v>
      </c>
      <c r="AX39" s="149">
        <v>40</v>
      </c>
      <c r="AY39" s="150">
        <f t="shared" si="21"/>
        <v>57</v>
      </c>
      <c r="AZ39" s="149">
        <v>16</v>
      </c>
      <c r="BA39" s="150">
        <f t="shared" si="22"/>
        <v>73</v>
      </c>
      <c r="BB39" s="291"/>
      <c r="BC39" s="149">
        <f t="shared" si="23"/>
        <v>4</v>
      </c>
      <c r="BD39" s="148">
        <v>6</v>
      </c>
      <c r="BE39" s="149">
        <v>22</v>
      </c>
      <c r="BF39" s="150">
        <f t="shared" si="24"/>
        <v>28</v>
      </c>
      <c r="BG39" s="149">
        <v>12</v>
      </c>
      <c r="BH39" s="149">
        <v>25</v>
      </c>
      <c r="BI39" s="150">
        <f t="shared" si="25"/>
        <v>65</v>
      </c>
      <c r="BJ39" s="294"/>
      <c r="BK39" s="149">
        <f t="shared" si="3"/>
        <v>3.5</v>
      </c>
      <c r="BL39" s="148">
        <v>8</v>
      </c>
      <c r="BM39" s="149">
        <v>22</v>
      </c>
      <c r="BN39" s="150">
        <f t="shared" si="26"/>
        <v>30</v>
      </c>
      <c r="BO39" s="149">
        <v>11</v>
      </c>
      <c r="BP39" s="149">
        <v>25</v>
      </c>
      <c r="BQ39" s="150">
        <f t="shared" si="27"/>
        <v>66</v>
      </c>
      <c r="BR39" s="291"/>
      <c r="BS39" s="149">
        <f t="shared" si="28"/>
        <v>3.5</v>
      </c>
      <c r="BT39" s="148">
        <v>10</v>
      </c>
      <c r="BU39" s="149">
        <v>32</v>
      </c>
      <c r="BV39" s="150">
        <f t="shared" si="29"/>
        <v>42</v>
      </c>
      <c r="BW39" s="149">
        <v>19</v>
      </c>
      <c r="BX39" s="149">
        <v>25</v>
      </c>
      <c r="BY39" s="150">
        <f t="shared" si="30"/>
        <v>86</v>
      </c>
      <c r="BZ39" s="294"/>
      <c r="CA39" s="149">
        <f t="shared" si="31"/>
        <v>5</v>
      </c>
      <c r="CB39" s="148">
        <v>6</v>
      </c>
      <c r="CC39" s="149">
        <v>12</v>
      </c>
      <c r="CD39" s="150">
        <f t="shared" si="32"/>
        <v>18</v>
      </c>
      <c r="CE39" s="149">
        <v>15</v>
      </c>
      <c r="CF39" s="149">
        <v>23</v>
      </c>
      <c r="CG39" s="150">
        <f t="shared" si="33"/>
        <v>56</v>
      </c>
      <c r="CH39" s="291"/>
      <c r="CI39" s="164" t="str">
        <f t="shared" si="34"/>
        <v>0</v>
      </c>
      <c r="CJ39" s="149">
        <f t="shared" si="4"/>
        <v>35.5</v>
      </c>
      <c r="CK39" s="165">
        <f t="shared" si="35"/>
        <v>3.9444444444444446</v>
      </c>
      <c r="CL39" s="165" t="str">
        <f t="shared" si="36"/>
        <v>A-</v>
      </c>
      <c r="CM39" s="37" t="str">
        <f t="shared" si="5"/>
        <v>GOOD</v>
      </c>
      <c r="CN39" s="217">
        <f t="shared" si="6"/>
        <v>825</v>
      </c>
      <c r="CO39" s="37"/>
      <c r="CP39" s="40"/>
      <c r="CQ39" s="215">
        <f>'1ST_SEMESTER'!CN39</f>
        <v>738</v>
      </c>
      <c r="CR39" s="215">
        <f>'2ND_SEMESTER'!CN39</f>
        <v>786</v>
      </c>
      <c r="CS39" s="215">
        <f t="shared" si="37"/>
        <v>825</v>
      </c>
      <c r="CT39" s="215">
        <f t="shared" si="38"/>
        <v>783</v>
      </c>
      <c r="CU39" s="226">
        <f>'1ST_SEMESTER'!CK39</f>
        <v>3.8333333333333335</v>
      </c>
      <c r="CV39" s="226">
        <f>'2ND_SEMESTER'!CK39</f>
        <v>4.1111111111111107</v>
      </c>
      <c r="CW39" s="226">
        <f t="shared" si="39"/>
        <v>3.9444444444444446</v>
      </c>
      <c r="CX39" s="226">
        <f t="shared" si="40"/>
        <v>3.9629629629629632</v>
      </c>
    </row>
    <row r="40" spans="1:102" s="197" customFormat="1" ht="27" customHeight="1">
      <c r="A40" s="144">
        <v>33</v>
      </c>
      <c r="B40" s="117">
        <v>129</v>
      </c>
      <c r="C40" s="177" t="s">
        <v>214</v>
      </c>
      <c r="D40" s="57" t="s">
        <v>215</v>
      </c>
      <c r="E40" s="57" t="s">
        <v>216</v>
      </c>
      <c r="F40" s="58" t="s">
        <v>217</v>
      </c>
      <c r="G40" s="148">
        <v>19</v>
      </c>
      <c r="H40" s="149">
        <v>29</v>
      </c>
      <c r="I40" s="150">
        <f t="shared" si="7"/>
        <v>48</v>
      </c>
      <c r="J40" s="149">
        <v>24</v>
      </c>
      <c r="K40" s="150">
        <f t="shared" si="41"/>
        <v>72</v>
      </c>
      <c r="L40" s="148">
        <v>19</v>
      </c>
      <c r="M40" s="149">
        <v>41</v>
      </c>
      <c r="N40" s="150">
        <f t="shared" si="8"/>
        <v>60</v>
      </c>
      <c r="O40" s="149">
        <v>28</v>
      </c>
      <c r="P40" s="150">
        <f t="shared" si="9"/>
        <v>88</v>
      </c>
      <c r="Q40" s="150">
        <f t="shared" si="10"/>
        <v>160</v>
      </c>
      <c r="R40" s="291"/>
      <c r="S40" s="149">
        <f t="shared" si="11"/>
        <v>5</v>
      </c>
      <c r="T40" s="148">
        <v>19</v>
      </c>
      <c r="U40" s="149">
        <v>35</v>
      </c>
      <c r="V40" s="150">
        <f t="shared" si="12"/>
        <v>54</v>
      </c>
      <c r="W40" s="149">
        <v>16</v>
      </c>
      <c r="X40" s="149">
        <v>39</v>
      </c>
      <c r="Y40" s="150">
        <f t="shared" si="13"/>
        <v>55</v>
      </c>
      <c r="Z40" s="150">
        <f t="shared" si="14"/>
        <v>109</v>
      </c>
      <c r="AA40" s="291"/>
      <c r="AB40" s="149">
        <f t="shared" si="0"/>
        <v>3</v>
      </c>
      <c r="AC40" s="148">
        <v>20</v>
      </c>
      <c r="AD40" s="149">
        <v>38</v>
      </c>
      <c r="AE40" s="150">
        <f t="shared" si="15"/>
        <v>58</v>
      </c>
      <c r="AF40" s="149">
        <v>13</v>
      </c>
      <c r="AG40" s="150">
        <f t="shared" si="16"/>
        <v>71</v>
      </c>
      <c r="AH40" s="291"/>
      <c r="AI40" s="149">
        <f t="shared" si="1"/>
        <v>4</v>
      </c>
      <c r="AJ40" s="148">
        <v>20</v>
      </c>
      <c r="AK40" s="149">
        <v>45</v>
      </c>
      <c r="AL40" s="150">
        <f t="shared" si="17"/>
        <v>65</v>
      </c>
      <c r="AM40" s="149">
        <v>24</v>
      </c>
      <c r="AN40" s="150">
        <f t="shared" si="18"/>
        <v>89</v>
      </c>
      <c r="AO40" s="291"/>
      <c r="AP40" s="149">
        <f t="shared" si="2"/>
        <v>5</v>
      </c>
      <c r="AQ40" s="148"/>
      <c r="AR40" s="149">
        <v>19</v>
      </c>
      <c r="AS40" s="149">
        <v>24</v>
      </c>
      <c r="AT40" s="149">
        <f t="shared" si="42"/>
        <v>43</v>
      </c>
      <c r="AU40" s="294"/>
      <c r="AV40" s="149">
        <f t="shared" si="20"/>
        <v>5</v>
      </c>
      <c r="AW40" s="148">
        <v>11</v>
      </c>
      <c r="AX40" s="149">
        <v>24</v>
      </c>
      <c r="AY40" s="150">
        <f t="shared" si="21"/>
        <v>35</v>
      </c>
      <c r="AZ40" s="149">
        <v>24</v>
      </c>
      <c r="BA40" s="150">
        <f t="shared" si="22"/>
        <v>59</v>
      </c>
      <c r="BB40" s="291"/>
      <c r="BC40" s="149">
        <f t="shared" si="23"/>
        <v>3</v>
      </c>
      <c r="BD40" s="148">
        <v>6</v>
      </c>
      <c r="BE40" s="149">
        <v>20</v>
      </c>
      <c r="BF40" s="150">
        <f t="shared" si="24"/>
        <v>26</v>
      </c>
      <c r="BG40" s="149">
        <v>17</v>
      </c>
      <c r="BH40" s="149">
        <v>25</v>
      </c>
      <c r="BI40" s="150">
        <f t="shared" si="25"/>
        <v>68</v>
      </c>
      <c r="BJ40" s="294"/>
      <c r="BK40" s="149">
        <f t="shared" si="3"/>
        <v>3.5</v>
      </c>
      <c r="BL40" s="148">
        <v>9</v>
      </c>
      <c r="BM40" s="149">
        <v>26</v>
      </c>
      <c r="BN40" s="150">
        <f t="shared" si="26"/>
        <v>35</v>
      </c>
      <c r="BO40" s="149">
        <v>17</v>
      </c>
      <c r="BP40" s="149">
        <v>25</v>
      </c>
      <c r="BQ40" s="150">
        <f t="shared" si="27"/>
        <v>77</v>
      </c>
      <c r="BR40" s="291"/>
      <c r="BS40" s="149">
        <f t="shared" si="28"/>
        <v>4</v>
      </c>
      <c r="BT40" s="148">
        <v>8</v>
      </c>
      <c r="BU40" s="149">
        <v>25</v>
      </c>
      <c r="BV40" s="150">
        <f t="shared" si="29"/>
        <v>33</v>
      </c>
      <c r="BW40" s="149">
        <v>20</v>
      </c>
      <c r="BX40" s="149">
        <v>25</v>
      </c>
      <c r="BY40" s="150">
        <f t="shared" si="30"/>
        <v>78</v>
      </c>
      <c r="BZ40" s="294"/>
      <c r="CA40" s="149">
        <f t="shared" si="31"/>
        <v>4</v>
      </c>
      <c r="CB40" s="148">
        <v>7</v>
      </c>
      <c r="CC40" s="149">
        <v>29</v>
      </c>
      <c r="CD40" s="150">
        <f t="shared" si="32"/>
        <v>36</v>
      </c>
      <c r="CE40" s="149">
        <v>19</v>
      </c>
      <c r="CF40" s="149">
        <v>23</v>
      </c>
      <c r="CG40" s="150">
        <f t="shared" si="33"/>
        <v>78</v>
      </c>
      <c r="CH40" s="291"/>
      <c r="CI40" s="164">
        <f t="shared" si="34"/>
        <v>4</v>
      </c>
      <c r="CJ40" s="149">
        <f t="shared" si="4"/>
        <v>38.5</v>
      </c>
      <c r="CK40" s="165">
        <f t="shared" si="35"/>
        <v>4.2777777777777777</v>
      </c>
      <c r="CL40" s="165" t="str">
        <f t="shared" si="36"/>
        <v>A</v>
      </c>
      <c r="CM40" s="37" t="str">
        <f t="shared" si="5"/>
        <v>BETTER</v>
      </c>
      <c r="CN40" s="217">
        <f t="shared" si="6"/>
        <v>832</v>
      </c>
      <c r="CO40" s="37"/>
      <c r="CP40" s="40"/>
      <c r="CQ40" s="215">
        <f>'1ST_SEMESTER'!CN40</f>
        <v>832</v>
      </c>
      <c r="CR40" s="215">
        <f>'2ND_SEMESTER'!CN40</f>
        <v>839</v>
      </c>
      <c r="CS40" s="215">
        <f t="shared" si="37"/>
        <v>832</v>
      </c>
      <c r="CT40" s="215">
        <f t="shared" si="38"/>
        <v>834.33333333333337</v>
      </c>
      <c r="CU40" s="226">
        <f>'1ST_SEMESTER'!CK40</f>
        <v>4.2222222222222223</v>
      </c>
      <c r="CV40" s="226">
        <f>'2ND_SEMESTER'!CK40</f>
        <v>4.2777777777777777</v>
      </c>
      <c r="CW40" s="226">
        <f t="shared" si="39"/>
        <v>4.2777777777777777</v>
      </c>
      <c r="CX40" s="226">
        <f t="shared" si="40"/>
        <v>4.2592592592592595</v>
      </c>
    </row>
    <row r="41" spans="1:102" s="197" customFormat="1" ht="27" customHeight="1">
      <c r="A41" s="144">
        <v>34</v>
      </c>
      <c r="B41" s="117">
        <v>132</v>
      </c>
      <c r="C41" s="177" t="s">
        <v>218</v>
      </c>
      <c r="D41" s="57" t="s">
        <v>219</v>
      </c>
      <c r="E41" s="57" t="s">
        <v>220</v>
      </c>
      <c r="F41" s="58" t="s">
        <v>221</v>
      </c>
      <c r="G41" s="148">
        <v>19</v>
      </c>
      <c r="H41" s="149">
        <v>38</v>
      </c>
      <c r="I41" s="150">
        <f t="shared" si="7"/>
        <v>57</v>
      </c>
      <c r="J41" s="149">
        <v>27</v>
      </c>
      <c r="K41" s="150">
        <f t="shared" si="41"/>
        <v>84</v>
      </c>
      <c r="L41" s="148">
        <v>18</v>
      </c>
      <c r="M41" s="149">
        <v>37</v>
      </c>
      <c r="N41" s="150">
        <f t="shared" si="8"/>
        <v>55</v>
      </c>
      <c r="O41" s="149">
        <v>28</v>
      </c>
      <c r="P41" s="150">
        <f t="shared" si="9"/>
        <v>83</v>
      </c>
      <c r="Q41" s="150">
        <f t="shared" si="10"/>
        <v>167</v>
      </c>
      <c r="R41" s="291"/>
      <c r="S41" s="149">
        <f t="shared" si="11"/>
        <v>5</v>
      </c>
      <c r="T41" s="148">
        <v>19</v>
      </c>
      <c r="U41" s="149">
        <v>58</v>
      </c>
      <c r="V41" s="150">
        <f t="shared" si="12"/>
        <v>77</v>
      </c>
      <c r="W41" s="149">
        <v>12</v>
      </c>
      <c r="X41" s="149">
        <v>49</v>
      </c>
      <c r="Y41" s="150">
        <f t="shared" si="13"/>
        <v>61</v>
      </c>
      <c r="Z41" s="150">
        <f t="shared" si="14"/>
        <v>138</v>
      </c>
      <c r="AA41" s="291"/>
      <c r="AB41" s="149">
        <f t="shared" si="0"/>
        <v>3.5</v>
      </c>
      <c r="AC41" s="148">
        <v>20</v>
      </c>
      <c r="AD41" s="149">
        <v>48</v>
      </c>
      <c r="AE41" s="150">
        <f t="shared" si="15"/>
        <v>68</v>
      </c>
      <c r="AF41" s="149">
        <v>26</v>
      </c>
      <c r="AG41" s="150">
        <f t="shared" si="16"/>
        <v>94</v>
      </c>
      <c r="AH41" s="291"/>
      <c r="AI41" s="149">
        <f t="shared" si="1"/>
        <v>5</v>
      </c>
      <c r="AJ41" s="148">
        <v>20</v>
      </c>
      <c r="AK41" s="149">
        <v>49</v>
      </c>
      <c r="AL41" s="150">
        <f t="shared" si="17"/>
        <v>69</v>
      </c>
      <c r="AM41" s="149">
        <v>25</v>
      </c>
      <c r="AN41" s="150">
        <f t="shared" si="18"/>
        <v>94</v>
      </c>
      <c r="AO41" s="291"/>
      <c r="AP41" s="149">
        <f t="shared" si="2"/>
        <v>5</v>
      </c>
      <c r="AQ41" s="148"/>
      <c r="AR41" s="149">
        <v>21</v>
      </c>
      <c r="AS41" s="149">
        <v>24</v>
      </c>
      <c r="AT41" s="149">
        <f t="shared" si="42"/>
        <v>45</v>
      </c>
      <c r="AU41" s="294"/>
      <c r="AV41" s="149">
        <f t="shared" si="20"/>
        <v>5</v>
      </c>
      <c r="AW41" s="148">
        <v>17</v>
      </c>
      <c r="AX41" s="149">
        <v>44</v>
      </c>
      <c r="AY41" s="150">
        <f t="shared" si="21"/>
        <v>61</v>
      </c>
      <c r="AZ41" s="149">
        <v>25</v>
      </c>
      <c r="BA41" s="150">
        <f t="shared" si="22"/>
        <v>86</v>
      </c>
      <c r="BB41" s="291"/>
      <c r="BC41" s="149">
        <f t="shared" si="23"/>
        <v>5</v>
      </c>
      <c r="BD41" s="148">
        <v>7</v>
      </c>
      <c r="BE41" s="149">
        <v>33</v>
      </c>
      <c r="BF41" s="150">
        <f t="shared" si="24"/>
        <v>40</v>
      </c>
      <c r="BG41" s="149">
        <v>16</v>
      </c>
      <c r="BH41" s="149">
        <v>25</v>
      </c>
      <c r="BI41" s="150">
        <f t="shared" si="25"/>
        <v>81</v>
      </c>
      <c r="BJ41" s="294"/>
      <c r="BK41" s="149">
        <f t="shared" si="3"/>
        <v>5</v>
      </c>
      <c r="BL41" s="148">
        <v>9</v>
      </c>
      <c r="BM41" s="149">
        <v>32</v>
      </c>
      <c r="BN41" s="150">
        <f t="shared" si="26"/>
        <v>41</v>
      </c>
      <c r="BO41" s="149">
        <v>17</v>
      </c>
      <c r="BP41" s="149">
        <v>25</v>
      </c>
      <c r="BQ41" s="150">
        <f t="shared" si="27"/>
        <v>83</v>
      </c>
      <c r="BR41" s="291"/>
      <c r="BS41" s="149">
        <f t="shared" si="28"/>
        <v>5</v>
      </c>
      <c r="BT41" s="148">
        <v>10</v>
      </c>
      <c r="BU41" s="149">
        <v>34</v>
      </c>
      <c r="BV41" s="150">
        <f t="shared" si="29"/>
        <v>44</v>
      </c>
      <c r="BW41" s="149">
        <v>16</v>
      </c>
      <c r="BX41" s="149">
        <v>25</v>
      </c>
      <c r="BY41" s="150">
        <f t="shared" si="30"/>
        <v>85</v>
      </c>
      <c r="BZ41" s="294"/>
      <c r="CA41" s="149">
        <f t="shared" si="31"/>
        <v>5</v>
      </c>
      <c r="CB41" s="148">
        <v>8</v>
      </c>
      <c r="CC41" s="149">
        <v>26</v>
      </c>
      <c r="CD41" s="150">
        <f t="shared" si="32"/>
        <v>34</v>
      </c>
      <c r="CE41" s="149">
        <v>16</v>
      </c>
      <c r="CF41" s="149">
        <v>23</v>
      </c>
      <c r="CG41" s="150">
        <f t="shared" si="33"/>
        <v>73</v>
      </c>
      <c r="CH41" s="291"/>
      <c r="CI41" s="164">
        <f t="shared" si="34"/>
        <v>4</v>
      </c>
      <c r="CJ41" s="149">
        <f t="shared" si="4"/>
        <v>45.5</v>
      </c>
      <c r="CK41" s="165">
        <f t="shared" si="35"/>
        <v>5</v>
      </c>
      <c r="CL41" s="165" t="str">
        <f t="shared" si="36"/>
        <v>A+</v>
      </c>
      <c r="CM41" s="37" t="str">
        <f t="shared" si="5"/>
        <v>BEST</v>
      </c>
      <c r="CN41" s="217">
        <f t="shared" si="6"/>
        <v>946</v>
      </c>
      <c r="CO41" s="37"/>
      <c r="CP41" s="40"/>
      <c r="CQ41" s="215">
        <f>'1ST_SEMESTER'!CN41</f>
        <v>893</v>
      </c>
      <c r="CR41" s="215">
        <f>'2ND_SEMESTER'!CN41</f>
        <v>861</v>
      </c>
      <c r="CS41" s="215">
        <f t="shared" si="37"/>
        <v>946</v>
      </c>
      <c r="CT41" s="215">
        <f t="shared" si="38"/>
        <v>900</v>
      </c>
      <c r="CU41" s="226">
        <f>'1ST_SEMESTER'!CK41</f>
        <v>4.6111111111111107</v>
      </c>
      <c r="CV41" s="226">
        <f>'2ND_SEMESTER'!CK41</f>
        <v>4.6111111111111107</v>
      </c>
      <c r="CW41" s="226">
        <f t="shared" si="39"/>
        <v>5</v>
      </c>
      <c r="CX41" s="226">
        <f t="shared" si="40"/>
        <v>4.7407407407407405</v>
      </c>
    </row>
    <row r="42" spans="1:102" s="197" customFormat="1" ht="27" customHeight="1">
      <c r="A42" s="144">
        <v>35</v>
      </c>
      <c r="B42" s="117">
        <v>133</v>
      </c>
      <c r="C42" s="177" t="s">
        <v>222</v>
      </c>
      <c r="D42" s="57" t="s">
        <v>223</v>
      </c>
      <c r="E42" s="57" t="s">
        <v>224</v>
      </c>
      <c r="F42" s="58" t="s">
        <v>225</v>
      </c>
      <c r="G42" s="148">
        <v>13</v>
      </c>
      <c r="H42" s="149">
        <v>20</v>
      </c>
      <c r="I42" s="150">
        <f t="shared" si="7"/>
        <v>33</v>
      </c>
      <c r="J42" s="149">
        <v>26</v>
      </c>
      <c r="K42" s="150">
        <f t="shared" si="41"/>
        <v>59</v>
      </c>
      <c r="L42" s="148">
        <v>18</v>
      </c>
      <c r="M42" s="149">
        <v>35</v>
      </c>
      <c r="N42" s="150">
        <f t="shared" si="8"/>
        <v>53</v>
      </c>
      <c r="O42" s="149">
        <v>30</v>
      </c>
      <c r="P42" s="150">
        <f t="shared" si="9"/>
        <v>83</v>
      </c>
      <c r="Q42" s="150">
        <f t="shared" si="10"/>
        <v>142</v>
      </c>
      <c r="R42" s="291"/>
      <c r="S42" s="149">
        <f t="shared" si="11"/>
        <v>4</v>
      </c>
      <c r="T42" s="148">
        <v>16</v>
      </c>
      <c r="U42" s="149">
        <v>50</v>
      </c>
      <c r="V42" s="150">
        <f t="shared" si="12"/>
        <v>66</v>
      </c>
      <c r="W42" s="149">
        <v>17</v>
      </c>
      <c r="X42" s="149">
        <v>54</v>
      </c>
      <c r="Y42" s="150">
        <f t="shared" si="13"/>
        <v>71</v>
      </c>
      <c r="Z42" s="150">
        <f t="shared" si="14"/>
        <v>137</v>
      </c>
      <c r="AA42" s="291"/>
      <c r="AB42" s="149">
        <f t="shared" si="0"/>
        <v>3.5</v>
      </c>
      <c r="AC42" s="148">
        <v>13</v>
      </c>
      <c r="AD42" s="149">
        <v>20</v>
      </c>
      <c r="AE42" s="150">
        <f t="shared" si="15"/>
        <v>33</v>
      </c>
      <c r="AF42" s="149">
        <v>13</v>
      </c>
      <c r="AG42" s="150">
        <f t="shared" si="16"/>
        <v>46</v>
      </c>
      <c r="AH42" s="291"/>
      <c r="AI42" s="149">
        <f t="shared" si="1"/>
        <v>2</v>
      </c>
      <c r="AJ42" s="148">
        <v>11</v>
      </c>
      <c r="AK42" s="149">
        <v>30</v>
      </c>
      <c r="AL42" s="150">
        <f t="shared" si="17"/>
        <v>41</v>
      </c>
      <c r="AM42" s="149">
        <v>25</v>
      </c>
      <c r="AN42" s="150">
        <f t="shared" si="18"/>
        <v>66</v>
      </c>
      <c r="AO42" s="291"/>
      <c r="AP42" s="149">
        <f t="shared" si="2"/>
        <v>3.5</v>
      </c>
      <c r="AQ42" s="148"/>
      <c r="AR42" s="149">
        <v>21</v>
      </c>
      <c r="AS42" s="149">
        <v>24</v>
      </c>
      <c r="AT42" s="149">
        <f t="shared" si="42"/>
        <v>45</v>
      </c>
      <c r="AU42" s="294"/>
      <c r="AV42" s="149">
        <f t="shared" si="20"/>
        <v>5</v>
      </c>
      <c r="AW42" s="148">
        <v>12</v>
      </c>
      <c r="AX42" s="149">
        <v>21</v>
      </c>
      <c r="AY42" s="150">
        <f t="shared" si="21"/>
        <v>33</v>
      </c>
      <c r="AZ42" s="149">
        <v>29</v>
      </c>
      <c r="BA42" s="150">
        <f t="shared" si="22"/>
        <v>62</v>
      </c>
      <c r="BB42" s="291"/>
      <c r="BC42" s="149">
        <f t="shared" si="23"/>
        <v>3.5</v>
      </c>
      <c r="BD42" s="148">
        <v>6</v>
      </c>
      <c r="BE42" s="149">
        <v>18</v>
      </c>
      <c r="BF42" s="150">
        <f t="shared" si="24"/>
        <v>24</v>
      </c>
      <c r="BG42" s="149">
        <v>13</v>
      </c>
      <c r="BH42" s="149">
        <v>25</v>
      </c>
      <c r="BI42" s="150">
        <f t="shared" si="25"/>
        <v>62</v>
      </c>
      <c r="BJ42" s="294"/>
      <c r="BK42" s="149">
        <f t="shared" si="3"/>
        <v>3.5</v>
      </c>
      <c r="BL42" s="148">
        <v>10</v>
      </c>
      <c r="BM42" s="149">
        <v>16</v>
      </c>
      <c r="BN42" s="150">
        <f t="shared" si="26"/>
        <v>26</v>
      </c>
      <c r="BO42" s="149">
        <v>14</v>
      </c>
      <c r="BP42" s="149">
        <v>25</v>
      </c>
      <c r="BQ42" s="150">
        <f t="shared" si="27"/>
        <v>65</v>
      </c>
      <c r="BR42" s="291"/>
      <c r="BS42" s="149">
        <f t="shared" si="28"/>
        <v>3.5</v>
      </c>
      <c r="BT42" s="148">
        <v>4</v>
      </c>
      <c r="BU42" s="149">
        <v>26</v>
      </c>
      <c r="BV42" s="150">
        <f t="shared" si="29"/>
        <v>30</v>
      </c>
      <c r="BW42" s="149">
        <v>22</v>
      </c>
      <c r="BX42" s="149">
        <v>25</v>
      </c>
      <c r="BY42" s="150">
        <f t="shared" si="30"/>
        <v>77</v>
      </c>
      <c r="BZ42" s="294"/>
      <c r="CA42" s="149">
        <f t="shared" si="31"/>
        <v>4</v>
      </c>
      <c r="CB42" s="148">
        <v>6</v>
      </c>
      <c r="CC42" s="149">
        <v>21</v>
      </c>
      <c r="CD42" s="150">
        <f t="shared" si="32"/>
        <v>27</v>
      </c>
      <c r="CE42" s="149">
        <v>14</v>
      </c>
      <c r="CF42" s="149">
        <v>23</v>
      </c>
      <c r="CG42" s="150">
        <f t="shared" si="33"/>
        <v>64</v>
      </c>
      <c r="CH42" s="291"/>
      <c r="CI42" s="164">
        <f t="shared" si="34"/>
        <v>3.5</v>
      </c>
      <c r="CJ42" s="149">
        <f t="shared" si="4"/>
        <v>34</v>
      </c>
      <c r="CK42" s="165">
        <f t="shared" si="35"/>
        <v>3.7777777777777777</v>
      </c>
      <c r="CL42" s="165" t="str">
        <f t="shared" si="36"/>
        <v>A-</v>
      </c>
      <c r="CM42" s="37" t="str">
        <f t="shared" si="5"/>
        <v>GOOD</v>
      </c>
      <c r="CN42" s="217">
        <f t="shared" si="6"/>
        <v>766</v>
      </c>
      <c r="CO42" s="37"/>
      <c r="CP42" s="40"/>
      <c r="CQ42" s="215">
        <f>'1ST_SEMESTER'!CN42</f>
        <v>684</v>
      </c>
      <c r="CR42" s="215">
        <f>'2ND_SEMESTER'!CN42</f>
        <v>785</v>
      </c>
      <c r="CS42" s="215">
        <f t="shared" si="37"/>
        <v>766</v>
      </c>
      <c r="CT42" s="215">
        <f t="shared" si="38"/>
        <v>745</v>
      </c>
      <c r="CU42" s="226">
        <f>'1ST_SEMESTER'!CK42</f>
        <v>3.4444444444444446</v>
      </c>
      <c r="CV42" s="226">
        <f>'2ND_SEMESTER'!CK42</f>
        <v>3.9444444444444446</v>
      </c>
      <c r="CW42" s="226">
        <f t="shared" si="39"/>
        <v>3.7777777777777777</v>
      </c>
      <c r="CX42" s="226">
        <f t="shared" si="40"/>
        <v>3.7222222222222228</v>
      </c>
    </row>
    <row r="43" spans="1:102" s="197" customFormat="1" ht="27" customHeight="1">
      <c r="A43" s="144">
        <v>36</v>
      </c>
      <c r="B43" s="117">
        <v>134</v>
      </c>
      <c r="C43" s="177" t="s">
        <v>226</v>
      </c>
      <c r="D43" s="57" t="s">
        <v>219</v>
      </c>
      <c r="E43" s="57" t="s">
        <v>220</v>
      </c>
      <c r="F43" s="58" t="s">
        <v>227</v>
      </c>
      <c r="G43" s="148">
        <v>19</v>
      </c>
      <c r="H43" s="149">
        <v>36</v>
      </c>
      <c r="I43" s="150">
        <f t="shared" si="7"/>
        <v>55</v>
      </c>
      <c r="J43" s="149">
        <v>27</v>
      </c>
      <c r="K43" s="150">
        <f t="shared" si="41"/>
        <v>82</v>
      </c>
      <c r="L43" s="148">
        <v>19</v>
      </c>
      <c r="M43" s="149">
        <v>39</v>
      </c>
      <c r="N43" s="150">
        <f t="shared" si="8"/>
        <v>58</v>
      </c>
      <c r="O43" s="149">
        <v>27</v>
      </c>
      <c r="P43" s="150">
        <f t="shared" si="9"/>
        <v>85</v>
      </c>
      <c r="Q43" s="150">
        <f t="shared" si="10"/>
        <v>167</v>
      </c>
      <c r="R43" s="291"/>
      <c r="S43" s="149">
        <f t="shared" si="11"/>
        <v>5</v>
      </c>
      <c r="T43" s="148">
        <v>19</v>
      </c>
      <c r="U43" s="149">
        <v>58</v>
      </c>
      <c r="V43" s="150">
        <f t="shared" si="12"/>
        <v>77</v>
      </c>
      <c r="W43" s="149">
        <v>14</v>
      </c>
      <c r="X43" s="149">
        <v>49</v>
      </c>
      <c r="Y43" s="150">
        <f t="shared" si="13"/>
        <v>63</v>
      </c>
      <c r="Z43" s="150">
        <f t="shared" si="14"/>
        <v>140</v>
      </c>
      <c r="AA43" s="291"/>
      <c r="AB43" s="149">
        <f t="shared" si="0"/>
        <v>4</v>
      </c>
      <c r="AC43" s="148">
        <v>20</v>
      </c>
      <c r="AD43" s="149">
        <v>24</v>
      </c>
      <c r="AE43" s="150">
        <f t="shared" si="15"/>
        <v>44</v>
      </c>
      <c r="AF43" s="149">
        <v>27</v>
      </c>
      <c r="AG43" s="150">
        <f t="shared" si="16"/>
        <v>71</v>
      </c>
      <c r="AH43" s="291"/>
      <c r="AI43" s="149">
        <f t="shared" si="1"/>
        <v>4</v>
      </c>
      <c r="AJ43" s="148">
        <v>20</v>
      </c>
      <c r="AK43" s="149">
        <v>46</v>
      </c>
      <c r="AL43" s="150">
        <f t="shared" si="17"/>
        <v>66</v>
      </c>
      <c r="AM43" s="149">
        <v>23</v>
      </c>
      <c r="AN43" s="150">
        <f t="shared" si="18"/>
        <v>89</v>
      </c>
      <c r="AO43" s="291"/>
      <c r="AP43" s="149">
        <f t="shared" si="2"/>
        <v>5</v>
      </c>
      <c r="AQ43" s="148"/>
      <c r="AR43" s="149">
        <v>24</v>
      </c>
      <c r="AS43" s="149">
        <v>24</v>
      </c>
      <c r="AT43" s="149">
        <f t="shared" si="42"/>
        <v>48</v>
      </c>
      <c r="AU43" s="294"/>
      <c r="AV43" s="149">
        <f t="shared" si="20"/>
        <v>5</v>
      </c>
      <c r="AW43" s="148">
        <v>19</v>
      </c>
      <c r="AX43" s="149">
        <v>36</v>
      </c>
      <c r="AY43" s="150">
        <f t="shared" si="21"/>
        <v>55</v>
      </c>
      <c r="AZ43" s="149">
        <v>23</v>
      </c>
      <c r="BA43" s="150">
        <f t="shared" si="22"/>
        <v>78</v>
      </c>
      <c r="BB43" s="291"/>
      <c r="BC43" s="149">
        <f t="shared" si="23"/>
        <v>4</v>
      </c>
      <c r="BD43" s="148">
        <v>7</v>
      </c>
      <c r="BE43" s="149">
        <v>32</v>
      </c>
      <c r="BF43" s="150">
        <f t="shared" si="24"/>
        <v>39</v>
      </c>
      <c r="BG43" s="149">
        <v>16</v>
      </c>
      <c r="BH43" s="149">
        <v>25</v>
      </c>
      <c r="BI43" s="150">
        <f t="shared" si="25"/>
        <v>80</v>
      </c>
      <c r="BJ43" s="294"/>
      <c r="BK43" s="149">
        <f t="shared" si="3"/>
        <v>5</v>
      </c>
      <c r="BL43" s="148">
        <v>9</v>
      </c>
      <c r="BM43" s="149">
        <v>30</v>
      </c>
      <c r="BN43" s="150">
        <f t="shared" si="26"/>
        <v>39</v>
      </c>
      <c r="BO43" s="149">
        <v>17</v>
      </c>
      <c r="BP43" s="149">
        <v>25</v>
      </c>
      <c r="BQ43" s="150">
        <f t="shared" si="27"/>
        <v>81</v>
      </c>
      <c r="BR43" s="291"/>
      <c r="BS43" s="149">
        <f t="shared" si="28"/>
        <v>5</v>
      </c>
      <c r="BT43" s="148">
        <v>10</v>
      </c>
      <c r="BU43" s="149">
        <v>33</v>
      </c>
      <c r="BV43" s="150">
        <f t="shared" si="29"/>
        <v>43</v>
      </c>
      <c r="BW43" s="149">
        <v>15</v>
      </c>
      <c r="BX43" s="149">
        <v>25</v>
      </c>
      <c r="BY43" s="150">
        <f t="shared" si="30"/>
        <v>83</v>
      </c>
      <c r="BZ43" s="294"/>
      <c r="CA43" s="149">
        <f t="shared" si="31"/>
        <v>5</v>
      </c>
      <c r="CB43" s="148">
        <v>6</v>
      </c>
      <c r="CC43" s="149">
        <v>22</v>
      </c>
      <c r="CD43" s="150">
        <f t="shared" si="32"/>
        <v>28</v>
      </c>
      <c r="CE43" s="149">
        <v>16</v>
      </c>
      <c r="CF43" s="149">
        <v>23</v>
      </c>
      <c r="CG43" s="150">
        <f t="shared" si="33"/>
        <v>67</v>
      </c>
      <c r="CH43" s="291"/>
      <c r="CI43" s="164">
        <f t="shared" si="34"/>
        <v>3.5</v>
      </c>
      <c r="CJ43" s="149">
        <f t="shared" si="4"/>
        <v>43.5</v>
      </c>
      <c r="CK43" s="165">
        <f t="shared" si="35"/>
        <v>4.833333333333333</v>
      </c>
      <c r="CL43" s="165" t="str">
        <f t="shared" si="36"/>
        <v>A</v>
      </c>
      <c r="CM43" s="37" t="str">
        <f t="shared" si="5"/>
        <v>BETTER</v>
      </c>
      <c r="CN43" s="217">
        <f t="shared" si="6"/>
        <v>904</v>
      </c>
      <c r="CO43" s="37"/>
      <c r="CP43" s="40"/>
      <c r="CQ43" s="215">
        <f>'1ST_SEMESTER'!CN43</f>
        <v>891</v>
      </c>
      <c r="CR43" s="215">
        <f>'2ND_SEMESTER'!CN43</f>
        <v>207</v>
      </c>
      <c r="CS43" s="215">
        <f t="shared" si="37"/>
        <v>904</v>
      </c>
      <c r="CT43" s="215">
        <f t="shared" si="38"/>
        <v>667.33333333333337</v>
      </c>
      <c r="CU43" s="226">
        <f>'1ST_SEMESTER'!CK43</f>
        <v>4.666666666666667</v>
      </c>
      <c r="CV43" s="226" t="str">
        <f>'2ND_SEMESTER'!CK43</f>
        <v>F</v>
      </c>
      <c r="CW43" s="226">
        <f t="shared" si="39"/>
        <v>4.833333333333333</v>
      </c>
      <c r="CX43" s="226">
        <f t="shared" si="40"/>
        <v>4.75</v>
      </c>
    </row>
    <row r="44" spans="1:102" s="197" customFormat="1" ht="27" customHeight="1">
      <c r="A44" s="144">
        <v>37</v>
      </c>
      <c r="B44" s="117">
        <v>136</v>
      </c>
      <c r="C44" s="177" t="s">
        <v>228</v>
      </c>
      <c r="D44" s="57" t="s">
        <v>229</v>
      </c>
      <c r="E44" s="57" t="s">
        <v>230</v>
      </c>
      <c r="F44" s="58" t="s">
        <v>231</v>
      </c>
      <c r="G44" s="148">
        <v>19</v>
      </c>
      <c r="H44" s="149">
        <v>39</v>
      </c>
      <c r="I44" s="150">
        <f t="shared" si="7"/>
        <v>58</v>
      </c>
      <c r="J44" s="149">
        <v>28</v>
      </c>
      <c r="K44" s="150">
        <f t="shared" si="41"/>
        <v>86</v>
      </c>
      <c r="L44" s="148">
        <v>19</v>
      </c>
      <c r="M44" s="149">
        <v>40</v>
      </c>
      <c r="N44" s="150">
        <f t="shared" si="8"/>
        <v>59</v>
      </c>
      <c r="O44" s="149">
        <v>28</v>
      </c>
      <c r="P44" s="150">
        <f t="shared" si="9"/>
        <v>87</v>
      </c>
      <c r="Q44" s="150">
        <f t="shared" si="10"/>
        <v>173</v>
      </c>
      <c r="R44" s="291"/>
      <c r="S44" s="149">
        <f t="shared" si="11"/>
        <v>5</v>
      </c>
      <c r="T44" s="148">
        <v>20</v>
      </c>
      <c r="U44" s="149">
        <v>66</v>
      </c>
      <c r="V44" s="150">
        <f t="shared" si="12"/>
        <v>86</v>
      </c>
      <c r="W44" s="149">
        <v>15</v>
      </c>
      <c r="X44" s="149">
        <v>64</v>
      </c>
      <c r="Y44" s="150">
        <f t="shared" si="13"/>
        <v>79</v>
      </c>
      <c r="Z44" s="150">
        <f t="shared" si="14"/>
        <v>165</v>
      </c>
      <c r="AA44" s="291"/>
      <c r="AB44" s="149">
        <f t="shared" si="0"/>
        <v>5</v>
      </c>
      <c r="AC44" s="148">
        <v>20</v>
      </c>
      <c r="AD44" s="149">
        <v>46</v>
      </c>
      <c r="AE44" s="150">
        <f t="shared" si="15"/>
        <v>66</v>
      </c>
      <c r="AF44" s="149">
        <v>27</v>
      </c>
      <c r="AG44" s="150">
        <f t="shared" si="16"/>
        <v>93</v>
      </c>
      <c r="AH44" s="291"/>
      <c r="AI44" s="149">
        <f t="shared" si="1"/>
        <v>5</v>
      </c>
      <c r="AJ44" s="148">
        <v>20</v>
      </c>
      <c r="AK44" s="149">
        <v>49</v>
      </c>
      <c r="AL44" s="150">
        <f t="shared" si="17"/>
        <v>69</v>
      </c>
      <c r="AM44" s="149">
        <v>26</v>
      </c>
      <c r="AN44" s="150">
        <f t="shared" si="18"/>
        <v>95</v>
      </c>
      <c r="AO44" s="291"/>
      <c r="AP44" s="149">
        <f t="shared" si="2"/>
        <v>5</v>
      </c>
      <c r="AQ44" s="148"/>
      <c r="AR44" s="149">
        <v>23</v>
      </c>
      <c r="AS44" s="149">
        <v>24</v>
      </c>
      <c r="AT44" s="149">
        <f t="shared" si="42"/>
        <v>47</v>
      </c>
      <c r="AU44" s="294"/>
      <c r="AV44" s="149">
        <f t="shared" si="20"/>
        <v>5</v>
      </c>
      <c r="AW44" s="148">
        <v>19</v>
      </c>
      <c r="AX44" s="149">
        <v>39</v>
      </c>
      <c r="AY44" s="150">
        <f t="shared" si="21"/>
        <v>58</v>
      </c>
      <c r="AZ44" s="149">
        <v>25</v>
      </c>
      <c r="BA44" s="150">
        <f t="shared" si="22"/>
        <v>83</v>
      </c>
      <c r="BB44" s="291"/>
      <c r="BC44" s="149">
        <f t="shared" si="23"/>
        <v>5</v>
      </c>
      <c r="BD44" s="148">
        <v>10</v>
      </c>
      <c r="BE44" s="149">
        <v>39</v>
      </c>
      <c r="BF44" s="150">
        <f t="shared" si="24"/>
        <v>49</v>
      </c>
      <c r="BG44" s="149">
        <v>14</v>
      </c>
      <c r="BH44" s="149">
        <v>25</v>
      </c>
      <c r="BI44" s="150">
        <f t="shared" si="25"/>
        <v>88</v>
      </c>
      <c r="BJ44" s="294"/>
      <c r="BK44" s="149">
        <f t="shared" si="3"/>
        <v>5</v>
      </c>
      <c r="BL44" s="148">
        <v>10</v>
      </c>
      <c r="BM44" s="149">
        <v>38</v>
      </c>
      <c r="BN44" s="150">
        <f t="shared" si="26"/>
        <v>48</v>
      </c>
      <c r="BO44" s="149">
        <v>19</v>
      </c>
      <c r="BP44" s="149">
        <v>25</v>
      </c>
      <c r="BQ44" s="150">
        <f t="shared" si="27"/>
        <v>92</v>
      </c>
      <c r="BR44" s="291"/>
      <c r="BS44" s="149">
        <f t="shared" si="28"/>
        <v>5</v>
      </c>
      <c r="BT44" s="148">
        <v>10</v>
      </c>
      <c r="BU44" s="149">
        <v>38</v>
      </c>
      <c r="BV44" s="150">
        <f t="shared" si="29"/>
        <v>48</v>
      </c>
      <c r="BW44" s="149">
        <v>21</v>
      </c>
      <c r="BX44" s="149">
        <v>25</v>
      </c>
      <c r="BY44" s="150">
        <f t="shared" si="30"/>
        <v>94</v>
      </c>
      <c r="BZ44" s="294"/>
      <c r="CA44" s="149">
        <f t="shared" si="31"/>
        <v>5</v>
      </c>
      <c r="CB44" s="148">
        <v>9</v>
      </c>
      <c r="CC44" s="149">
        <v>36</v>
      </c>
      <c r="CD44" s="150">
        <f>CC44+CB44</f>
        <v>45</v>
      </c>
      <c r="CE44" s="149">
        <v>18</v>
      </c>
      <c r="CF44" s="149">
        <v>23</v>
      </c>
      <c r="CG44" s="150">
        <f t="shared" si="33"/>
        <v>86</v>
      </c>
      <c r="CH44" s="291"/>
      <c r="CI44" s="164">
        <f t="shared" si="34"/>
        <v>5</v>
      </c>
      <c r="CJ44" s="149">
        <f t="shared" si="4"/>
        <v>48</v>
      </c>
      <c r="CK44" s="165">
        <f t="shared" si="35"/>
        <v>5</v>
      </c>
      <c r="CL44" s="165" t="str">
        <f t="shared" si="36"/>
        <v>A+</v>
      </c>
      <c r="CM44" s="37" t="str">
        <f t="shared" si="5"/>
        <v>BEST</v>
      </c>
      <c r="CN44" s="217">
        <f t="shared" si="6"/>
        <v>1016</v>
      </c>
      <c r="CO44" s="37"/>
      <c r="CP44" s="40"/>
      <c r="CQ44" s="215">
        <f>'1ST_SEMESTER'!CN44</f>
        <v>974</v>
      </c>
      <c r="CR44" s="215">
        <f>'2ND_SEMESTER'!CN44</f>
        <v>982</v>
      </c>
      <c r="CS44" s="215">
        <f t="shared" si="37"/>
        <v>1016</v>
      </c>
      <c r="CT44" s="215">
        <f t="shared" si="38"/>
        <v>990.66666666666663</v>
      </c>
      <c r="CU44" s="226">
        <f>'1ST_SEMESTER'!CK44</f>
        <v>5</v>
      </c>
      <c r="CV44" s="226">
        <f>'2ND_SEMESTER'!CK44</f>
        <v>5</v>
      </c>
      <c r="CW44" s="226">
        <f t="shared" si="39"/>
        <v>5</v>
      </c>
      <c r="CX44" s="226">
        <f t="shared" si="40"/>
        <v>5</v>
      </c>
    </row>
    <row r="45" spans="1:102" s="197" customFormat="1" ht="27" customHeight="1" thickBot="1">
      <c r="A45" s="182">
        <v>38</v>
      </c>
      <c r="B45" s="183">
        <v>142</v>
      </c>
      <c r="C45" s="184" t="s">
        <v>232</v>
      </c>
      <c r="D45" s="131" t="s">
        <v>233</v>
      </c>
      <c r="E45" s="131" t="s">
        <v>234</v>
      </c>
      <c r="F45" s="132" t="s">
        <v>235</v>
      </c>
      <c r="G45" s="153">
        <v>18</v>
      </c>
      <c r="H45" s="154">
        <v>29</v>
      </c>
      <c r="I45" s="155">
        <f t="shared" si="7"/>
        <v>47</v>
      </c>
      <c r="J45" s="154">
        <v>27</v>
      </c>
      <c r="K45" s="155">
        <f t="shared" si="41"/>
        <v>74</v>
      </c>
      <c r="L45" s="153">
        <v>19</v>
      </c>
      <c r="M45" s="154">
        <v>41</v>
      </c>
      <c r="N45" s="155">
        <f t="shared" si="8"/>
        <v>60</v>
      </c>
      <c r="O45" s="154">
        <v>26</v>
      </c>
      <c r="P45" s="155">
        <f t="shared" si="9"/>
        <v>86</v>
      </c>
      <c r="Q45" s="155">
        <f t="shared" si="10"/>
        <v>160</v>
      </c>
      <c r="R45" s="291"/>
      <c r="S45" s="154">
        <f t="shared" si="11"/>
        <v>5</v>
      </c>
      <c r="T45" s="153">
        <v>19</v>
      </c>
      <c r="U45" s="154">
        <v>41</v>
      </c>
      <c r="V45" s="155">
        <f t="shared" si="12"/>
        <v>60</v>
      </c>
      <c r="W45" s="154">
        <v>12</v>
      </c>
      <c r="X45" s="154">
        <v>32</v>
      </c>
      <c r="Y45" s="155">
        <f t="shared" si="13"/>
        <v>44</v>
      </c>
      <c r="Z45" s="155">
        <f t="shared" si="14"/>
        <v>104</v>
      </c>
      <c r="AA45" s="291"/>
      <c r="AB45" s="154">
        <f t="shared" si="0"/>
        <v>3</v>
      </c>
      <c r="AC45" s="153">
        <v>20</v>
      </c>
      <c r="AD45" s="154">
        <v>25</v>
      </c>
      <c r="AE45" s="155">
        <f t="shared" si="15"/>
        <v>45</v>
      </c>
      <c r="AF45" s="154">
        <v>13</v>
      </c>
      <c r="AG45" s="155">
        <f t="shared" si="16"/>
        <v>58</v>
      </c>
      <c r="AH45" s="291"/>
      <c r="AI45" s="154">
        <f t="shared" si="1"/>
        <v>3</v>
      </c>
      <c r="AJ45" s="153">
        <v>20</v>
      </c>
      <c r="AK45" s="154">
        <v>44</v>
      </c>
      <c r="AL45" s="155">
        <f t="shared" si="17"/>
        <v>64</v>
      </c>
      <c r="AM45" s="154">
        <v>24</v>
      </c>
      <c r="AN45" s="155">
        <f t="shared" si="18"/>
        <v>88</v>
      </c>
      <c r="AO45" s="291"/>
      <c r="AP45" s="154">
        <f t="shared" si="2"/>
        <v>5</v>
      </c>
      <c r="AQ45" s="153"/>
      <c r="AR45" s="154">
        <v>23</v>
      </c>
      <c r="AS45" s="154">
        <v>24</v>
      </c>
      <c r="AT45" s="154">
        <f t="shared" si="42"/>
        <v>47</v>
      </c>
      <c r="AU45" s="294"/>
      <c r="AV45" s="154">
        <f t="shared" si="20"/>
        <v>5</v>
      </c>
      <c r="AW45" s="153">
        <v>18</v>
      </c>
      <c r="AX45" s="154">
        <v>34</v>
      </c>
      <c r="AY45" s="155">
        <f t="shared" si="21"/>
        <v>52</v>
      </c>
      <c r="AZ45" s="154">
        <v>21</v>
      </c>
      <c r="BA45" s="155">
        <f t="shared" si="22"/>
        <v>73</v>
      </c>
      <c r="BB45" s="291"/>
      <c r="BC45" s="154">
        <f t="shared" si="23"/>
        <v>4</v>
      </c>
      <c r="BD45" s="153">
        <v>8</v>
      </c>
      <c r="BE45" s="154">
        <v>26</v>
      </c>
      <c r="BF45" s="155">
        <f t="shared" si="24"/>
        <v>34</v>
      </c>
      <c r="BG45" s="154">
        <v>13</v>
      </c>
      <c r="BH45" s="154">
        <v>25</v>
      </c>
      <c r="BI45" s="155">
        <f t="shared" si="25"/>
        <v>72</v>
      </c>
      <c r="BJ45" s="294"/>
      <c r="BK45" s="154">
        <f t="shared" si="3"/>
        <v>4</v>
      </c>
      <c r="BL45" s="153">
        <v>8</v>
      </c>
      <c r="BM45" s="154">
        <v>23</v>
      </c>
      <c r="BN45" s="155">
        <f t="shared" si="26"/>
        <v>31</v>
      </c>
      <c r="BO45" s="154">
        <v>11</v>
      </c>
      <c r="BP45" s="154">
        <v>25</v>
      </c>
      <c r="BQ45" s="155">
        <f t="shared" si="27"/>
        <v>67</v>
      </c>
      <c r="BR45" s="291"/>
      <c r="BS45" s="154">
        <f t="shared" si="28"/>
        <v>3.5</v>
      </c>
      <c r="BT45" s="153">
        <v>10</v>
      </c>
      <c r="BU45" s="154">
        <v>37</v>
      </c>
      <c r="BV45" s="155">
        <f t="shared" si="29"/>
        <v>47</v>
      </c>
      <c r="BW45" s="154">
        <v>12</v>
      </c>
      <c r="BX45" s="154">
        <v>25</v>
      </c>
      <c r="BY45" s="155">
        <f t="shared" si="30"/>
        <v>84</v>
      </c>
      <c r="BZ45" s="294"/>
      <c r="CA45" s="154">
        <f t="shared" si="31"/>
        <v>5</v>
      </c>
      <c r="CB45" s="153">
        <v>7</v>
      </c>
      <c r="CC45" s="154">
        <v>27</v>
      </c>
      <c r="CD45" s="155">
        <f t="shared" si="32"/>
        <v>34</v>
      </c>
      <c r="CE45" s="154">
        <v>15</v>
      </c>
      <c r="CF45" s="154">
        <v>23</v>
      </c>
      <c r="CG45" s="155">
        <f t="shared" si="33"/>
        <v>72</v>
      </c>
      <c r="CH45" s="291"/>
      <c r="CI45" s="166">
        <f t="shared" si="34"/>
        <v>4</v>
      </c>
      <c r="CJ45" s="154">
        <f t="shared" si="4"/>
        <v>39.5</v>
      </c>
      <c r="CK45" s="167">
        <f t="shared" si="35"/>
        <v>4.3888888888888893</v>
      </c>
      <c r="CL45" s="167" t="str">
        <f t="shared" si="36"/>
        <v>A</v>
      </c>
      <c r="CM45" s="128" t="str">
        <f t="shared" si="5"/>
        <v>BETTER</v>
      </c>
      <c r="CN45" s="218">
        <f t="shared" si="6"/>
        <v>825</v>
      </c>
      <c r="CO45" s="128"/>
      <c r="CP45" s="84"/>
      <c r="CQ45" s="215">
        <f>'1ST_SEMESTER'!CN45</f>
        <v>727</v>
      </c>
      <c r="CR45" s="215">
        <f>'2ND_SEMESTER'!CN45</f>
        <v>798</v>
      </c>
      <c r="CS45" s="215">
        <f t="shared" si="37"/>
        <v>825</v>
      </c>
      <c r="CT45" s="215">
        <f t="shared" si="38"/>
        <v>783.33333333333337</v>
      </c>
      <c r="CU45" s="226">
        <f>'1ST_SEMESTER'!CK45</f>
        <v>3.2222222222222223</v>
      </c>
      <c r="CV45" s="226">
        <f>'2ND_SEMESTER'!CK45</f>
        <v>4.1111111111111107</v>
      </c>
      <c r="CW45" s="226">
        <f t="shared" si="39"/>
        <v>4.3888888888888893</v>
      </c>
      <c r="CX45" s="226">
        <f t="shared" si="40"/>
        <v>3.907407407407407</v>
      </c>
    </row>
    <row r="46" spans="1:102" s="199" customFormat="1" ht="27" customHeight="1" thickTop="1">
      <c r="A46" s="185">
        <v>39</v>
      </c>
      <c r="B46" s="186">
        <v>18</v>
      </c>
      <c r="C46" s="187" t="s">
        <v>236</v>
      </c>
      <c r="D46" s="134" t="s">
        <v>237</v>
      </c>
      <c r="E46" s="134" t="s">
        <v>238</v>
      </c>
      <c r="F46" s="135" t="s">
        <v>239</v>
      </c>
      <c r="G46" s="156">
        <v>17</v>
      </c>
      <c r="H46" s="157">
        <v>24</v>
      </c>
      <c r="I46" s="158">
        <f t="shared" si="7"/>
        <v>41</v>
      </c>
      <c r="J46" s="157">
        <v>25</v>
      </c>
      <c r="K46" s="159">
        <f t="shared" si="41"/>
        <v>66</v>
      </c>
      <c r="L46" s="156">
        <v>19</v>
      </c>
      <c r="M46" s="157">
        <v>37</v>
      </c>
      <c r="N46" s="158">
        <f t="shared" si="8"/>
        <v>56</v>
      </c>
      <c r="O46" s="157">
        <v>24</v>
      </c>
      <c r="P46" s="159">
        <f t="shared" si="9"/>
        <v>80</v>
      </c>
      <c r="Q46" s="159">
        <f t="shared" si="10"/>
        <v>146</v>
      </c>
      <c r="R46" s="291"/>
      <c r="S46" s="157">
        <f t="shared" si="11"/>
        <v>4</v>
      </c>
      <c r="T46" s="156">
        <v>15</v>
      </c>
      <c r="U46" s="157">
        <v>52</v>
      </c>
      <c r="V46" s="158">
        <f t="shared" si="12"/>
        <v>67</v>
      </c>
      <c r="W46" s="157">
        <v>19</v>
      </c>
      <c r="X46" s="157">
        <v>42</v>
      </c>
      <c r="Y46" s="158">
        <f t="shared" si="13"/>
        <v>61</v>
      </c>
      <c r="Z46" s="158">
        <f t="shared" si="14"/>
        <v>128</v>
      </c>
      <c r="AA46" s="291"/>
      <c r="AB46" s="160">
        <f t="shared" si="0"/>
        <v>3.5</v>
      </c>
      <c r="AC46" s="156">
        <v>19</v>
      </c>
      <c r="AD46" s="157">
        <v>24</v>
      </c>
      <c r="AE46" s="159">
        <f t="shared" si="15"/>
        <v>43</v>
      </c>
      <c r="AF46" s="157">
        <v>13</v>
      </c>
      <c r="AG46" s="159">
        <f t="shared" si="16"/>
        <v>56</v>
      </c>
      <c r="AH46" s="291"/>
      <c r="AI46" s="157">
        <f t="shared" si="1"/>
        <v>3</v>
      </c>
      <c r="AJ46" s="156">
        <v>16</v>
      </c>
      <c r="AK46" s="157">
        <v>37</v>
      </c>
      <c r="AL46" s="159">
        <f t="shared" si="17"/>
        <v>53</v>
      </c>
      <c r="AM46" s="157">
        <v>17</v>
      </c>
      <c r="AN46" s="159">
        <f t="shared" si="18"/>
        <v>70</v>
      </c>
      <c r="AO46" s="291"/>
      <c r="AP46" s="157">
        <f t="shared" si="2"/>
        <v>4</v>
      </c>
      <c r="AQ46" s="156"/>
      <c r="AR46" s="157">
        <v>22</v>
      </c>
      <c r="AS46" s="157">
        <v>25</v>
      </c>
      <c r="AT46" s="157">
        <f t="shared" si="42"/>
        <v>47</v>
      </c>
      <c r="AU46" s="294"/>
      <c r="AV46" s="157">
        <f t="shared" si="20"/>
        <v>5</v>
      </c>
      <c r="AW46" s="156">
        <v>15</v>
      </c>
      <c r="AX46" s="157">
        <v>22</v>
      </c>
      <c r="AY46" s="159">
        <f t="shared" si="21"/>
        <v>37</v>
      </c>
      <c r="AZ46" s="157">
        <v>22</v>
      </c>
      <c r="BA46" s="159">
        <f t="shared" si="22"/>
        <v>59</v>
      </c>
      <c r="BB46" s="291"/>
      <c r="BC46" s="157">
        <f t="shared" si="23"/>
        <v>3</v>
      </c>
      <c r="BD46" s="156">
        <v>7</v>
      </c>
      <c r="BE46" s="157">
        <v>22</v>
      </c>
      <c r="BF46" s="159">
        <f t="shared" si="24"/>
        <v>29</v>
      </c>
      <c r="BG46" s="160">
        <v>10</v>
      </c>
      <c r="BH46" s="160">
        <v>25</v>
      </c>
      <c r="BI46" s="159">
        <f t="shared" si="25"/>
        <v>64</v>
      </c>
      <c r="BJ46" s="294"/>
      <c r="BK46" s="157">
        <f t="shared" si="3"/>
        <v>3.5</v>
      </c>
      <c r="BL46" s="156">
        <v>9</v>
      </c>
      <c r="BM46" s="157">
        <v>22</v>
      </c>
      <c r="BN46" s="159">
        <f t="shared" si="26"/>
        <v>31</v>
      </c>
      <c r="BO46" s="157">
        <v>10</v>
      </c>
      <c r="BP46" s="157">
        <v>25</v>
      </c>
      <c r="BQ46" s="159">
        <f t="shared" si="27"/>
        <v>66</v>
      </c>
      <c r="BR46" s="291"/>
      <c r="BS46" s="157">
        <f t="shared" si="28"/>
        <v>3.5</v>
      </c>
      <c r="BT46" s="156">
        <v>9</v>
      </c>
      <c r="BU46" s="157">
        <v>26</v>
      </c>
      <c r="BV46" s="159">
        <f t="shared" si="29"/>
        <v>35</v>
      </c>
      <c r="BW46" s="157">
        <v>16</v>
      </c>
      <c r="BX46" s="157">
        <v>25</v>
      </c>
      <c r="BY46" s="159">
        <f t="shared" si="30"/>
        <v>76</v>
      </c>
      <c r="BZ46" s="294"/>
      <c r="CA46" s="157">
        <f t="shared" si="31"/>
        <v>4</v>
      </c>
      <c r="CB46" s="156">
        <v>7</v>
      </c>
      <c r="CC46" s="157">
        <v>34</v>
      </c>
      <c r="CD46" s="159">
        <f t="shared" si="32"/>
        <v>41</v>
      </c>
      <c r="CE46" s="157">
        <v>14</v>
      </c>
      <c r="CF46" s="157">
        <v>25</v>
      </c>
      <c r="CG46" s="159">
        <f t="shared" si="33"/>
        <v>80</v>
      </c>
      <c r="CH46" s="291"/>
      <c r="CI46" s="168">
        <f t="shared" si="34"/>
        <v>5</v>
      </c>
      <c r="CJ46" s="157">
        <f t="shared" si="4"/>
        <v>36.5</v>
      </c>
      <c r="CK46" s="169">
        <f t="shared" si="35"/>
        <v>4.0555555555555554</v>
      </c>
      <c r="CL46" s="169" t="str">
        <f t="shared" si="36"/>
        <v>A</v>
      </c>
      <c r="CM46" s="136" t="str">
        <f t="shared" si="5"/>
        <v>BETTER</v>
      </c>
      <c r="CN46" s="219">
        <f t="shared" si="6"/>
        <v>792</v>
      </c>
      <c r="CO46" s="136"/>
      <c r="CP46" s="133"/>
      <c r="CQ46" s="215">
        <f>'1ST_SEMESTER'!CN46</f>
        <v>663</v>
      </c>
      <c r="CR46" s="215">
        <f>'2ND_SEMESTER'!CN46</f>
        <v>721.70399999999995</v>
      </c>
      <c r="CS46" s="215">
        <f t="shared" si="37"/>
        <v>792</v>
      </c>
      <c r="CT46" s="215">
        <f t="shared" si="38"/>
        <v>725.56799999999987</v>
      </c>
      <c r="CU46" s="226" t="str">
        <f>'1ST_SEMESTER'!CK46</f>
        <v>F</v>
      </c>
      <c r="CV46" s="226">
        <f>'2ND_SEMESTER'!CK46</f>
        <v>3.7222222222222223</v>
      </c>
      <c r="CW46" s="226">
        <f t="shared" si="39"/>
        <v>4.0555555555555554</v>
      </c>
      <c r="CX46" s="226">
        <f t="shared" si="40"/>
        <v>3.8888888888888888</v>
      </c>
    </row>
    <row r="47" spans="1:102" s="199" customFormat="1" ht="27" customHeight="1">
      <c r="A47" s="188">
        <v>40</v>
      </c>
      <c r="B47" s="189">
        <v>20</v>
      </c>
      <c r="C47" s="190" t="s">
        <v>240</v>
      </c>
      <c r="D47" s="138" t="s">
        <v>241</v>
      </c>
      <c r="E47" s="138" t="s">
        <v>242</v>
      </c>
      <c r="F47" s="139" t="s">
        <v>243</v>
      </c>
      <c r="G47" s="161">
        <v>18</v>
      </c>
      <c r="H47" s="162">
        <v>33</v>
      </c>
      <c r="I47" s="150">
        <f t="shared" si="7"/>
        <v>51</v>
      </c>
      <c r="J47" s="162">
        <v>15</v>
      </c>
      <c r="K47" s="163">
        <f t="shared" si="41"/>
        <v>66</v>
      </c>
      <c r="L47" s="161">
        <v>19</v>
      </c>
      <c r="M47" s="162">
        <v>39</v>
      </c>
      <c r="N47" s="150">
        <f t="shared" si="8"/>
        <v>58</v>
      </c>
      <c r="O47" s="162">
        <v>14</v>
      </c>
      <c r="P47" s="163">
        <f t="shared" si="9"/>
        <v>72</v>
      </c>
      <c r="Q47" s="163">
        <f t="shared" si="10"/>
        <v>138</v>
      </c>
      <c r="R47" s="291"/>
      <c r="S47" s="162">
        <f t="shared" si="11"/>
        <v>3.5</v>
      </c>
      <c r="T47" s="161">
        <v>13</v>
      </c>
      <c r="U47" s="162">
        <v>36</v>
      </c>
      <c r="V47" s="150">
        <f t="shared" si="12"/>
        <v>49</v>
      </c>
      <c r="W47" s="162">
        <v>13</v>
      </c>
      <c r="X47" s="162">
        <v>18</v>
      </c>
      <c r="Y47" s="150">
        <f t="shared" si="13"/>
        <v>31</v>
      </c>
      <c r="Z47" s="150">
        <f t="shared" si="14"/>
        <v>80</v>
      </c>
      <c r="AA47" s="291"/>
      <c r="AB47" s="149">
        <f t="shared" si="0"/>
        <v>2</v>
      </c>
      <c r="AC47" s="161">
        <v>14</v>
      </c>
      <c r="AD47" s="162">
        <v>20</v>
      </c>
      <c r="AE47" s="163">
        <f t="shared" si="15"/>
        <v>34</v>
      </c>
      <c r="AF47" s="162">
        <v>12</v>
      </c>
      <c r="AG47" s="163">
        <f t="shared" si="16"/>
        <v>46</v>
      </c>
      <c r="AH47" s="291"/>
      <c r="AI47" s="162">
        <f t="shared" si="1"/>
        <v>2</v>
      </c>
      <c r="AJ47" s="161">
        <v>17</v>
      </c>
      <c r="AK47" s="162">
        <v>35</v>
      </c>
      <c r="AL47" s="163">
        <f t="shared" si="17"/>
        <v>52</v>
      </c>
      <c r="AM47" s="162">
        <v>21</v>
      </c>
      <c r="AN47" s="163">
        <f t="shared" si="18"/>
        <v>73</v>
      </c>
      <c r="AO47" s="291"/>
      <c r="AP47" s="162">
        <f t="shared" si="2"/>
        <v>4</v>
      </c>
      <c r="AQ47" s="161"/>
      <c r="AR47" s="162">
        <v>22</v>
      </c>
      <c r="AS47" s="162">
        <v>24</v>
      </c>
      <c r="AT47" s="162">
        <f t="shared" si="42"/>
        <v>46</v>
      </c>
      <c r="AU47" s="294"/>
      <c r="AV47" s="162">
        <f t="shared" si="20"/>
        <v>5</v>
      </c>
      <c r="AW47" s="161">
        <v>12</v>
      </c>
      <c r="AX47" s="162">
        <v>21</v>
      </c>
      <c r="AY47" s="163">
        <f t="shared" si="21"/>
        <v>33</v>
      </c>
      <c r="AZ47" s="162">
        <v>12</v>
      </c>
      <c r="BA47" s="163">
        <f t="shared" si="22"/>
        <v>45</v>
      </c>
      <c r="BB47" s="291"/>
      <c r="BC47" s="162">
        <f t="shared" si="23"/>
        <v>2</v>
      </c>
      <c r="BD47" s="161">
        <v>7</v>
      </c>
      <c r="BE47" s="162">
        <v>17</v>
      </c>
      <c r="BF47" s="163">
        <f t="shared" si="24"/>
        <v>24</v>
      </c>
      <c r="BG47" s="149">
        <v>10</v>
      </c>
      <c r="BH47" s="149">
        <v>25</v>
      </c>
      <c r="BI47" s="163">
        <f t="shared" si="25"/>
        <v>59</v>
      </c>
      <c r="BJ47" s="294"/>
      <c r="BK47" s="162">
        <f t="shared" si="3"/>
        <v>3</v>
      </c>
      <c r="BL47" s="161">
        <v>7</v>
      </c>
      <c r="BM47" s="162">
        <v>18</v>
      </c>
      <c r="BN47" s="163">
        <f t="shared" si="26"/>
        <v>25</v>
      </c>
      <c r="BO47" s="162">
        <v>10</v>
      </c>
      <c r="BP47" s="162">
        <v>25</v>
      </c>
      <c r="BQ47" s="163">
        <f t="shared" si="27"/>
        <v>60</v>
      </c>
      <c r="BR47" s="291"/>
      <c r="BS47" s="162">
        <f t="shared" si="28"/>
        <v>3.5</v>
      </c>
      <c r="BT47" s="161">
        <v>7</v>
      </c>
      <c r="BU47" s="162">
        <v>27</v>
      </c>
      <c r="BV47" s="163">
        <f t="shared" si="29"/>
        <v>34</v>
      </c>
      <c r="BW47" s="162">
        <v>13</v>
      </c>
      <c r="BX47" s="162">
        <v>25</v>
      </c>
      <c r="BY47" s="163">
        <f t="shared" si="30"/>
        <v>72</v>
      </c>
      <c r="BZ47" s="294"/>
      <c r="CA47" s="162">
        <f t="shared" si="31"/>
        <v>4</v>
      </c>
      <c r="CB47" s="161">
        <v>5</v>
      </c>
      <c r="CC47" s="162">
        <v>18</v>
      </c>
      <c r="CD47" s="163">
        <f t="shared" si="32"/>
        <v>23</v>
      </c>
      <c r="CE47" s="162">
        <v>7</v>
      </c>
      <c r="CF47" s="162">
        <v>23</v>
      </c>
      <c r="CG47" s="163">
        <f t="shared" si="33"/>
        <v>53</v>
      </c>
      <c r="CH47" s="291"/>
      <c r="CI47" s="170" t="str">
        <f t="shared" si="34"/>
        <v>0</v>
      </c>
      <c r="CJ47" s="162">
        <f t="shared" si="4"/>
        <v>27</v>
      </c>
      <c r="CK47" s="171">
        <f t="shared" si="35"/>
        <v>3</v>
      </c>
      <c r="CL47" s="171" t="str">
        <f t="shared" si="36"/>
        <v>B</v>
      </c>
      <c r="CM47" s="140" t="str">
        <f t="shared" si="5"/>
        <v>GOOD</v>
      </c>
      <c r="CN47" s="220">
        <f t="shared" si="6"/>
        <v>672</v>
      </c>
      <c r="CO47" s="140"/>
      <c r="CP47" s="137"/>
      <c r="CQ47" s="215">
        <f>'1ST_SEMESTER'!CN47</f>
        <v>650</v>
      </c>
      <c r="CR47" s="215">
        <f>'2ND_SEMESTER'!CN47</f>
        <v>558.27600000000007</v>
      </c>
      <c r="CS47" s="215">
        <f t="shared" si="37"/>
        <v>672</v>
      </c>
      <c r="CT47" s="215">
        <f t="shared" si="38"/>
        <v>626.75866666666673</v>
      </c>
      <c r="CU47" s="226">
        <f>'1ST_SEMESTER'!CK47</f>
        <v>2.9444444444444446</v>
      </c>
      <c r="CV47" s="226" t="str">
        <f>'2ND_SEMESTER'!CK47</f>
        <v>F</v>
      </c>
      <c r="CW47" s="226">
        <f t="shared" si="39"/>
        <v>3</v>
      </c>
      <c r="CX47" s="226">
        <f t="shared" si="40"/>
        <v>2.9722222222222223</v>
      </c>
    </row>
    <row r="48" spans="1:102" s="199" customFormat="1" ht="27" customHeight="1">
      <c r="A48" s="188">
        <v>41</v>
      </c>
      <c r="B48" s="189">
        <v>23</v>
      </c>
      <c r="C48" s="190" t="s">
        <v>244</v>
      </c>
      <c r="D48" s="138" t="s">
        <v>245</v>
      </c>
      <c r="E48" s="138" t="s">
        <v>246</v>
      </c>
      <c r="F48" s="141" t="s">
        <v>247</v>
      </c>
      <c r="G48" s="161">
        <v>19</v>
      </c>
      <c r="H48" s="162">
        <v>29</v>
      </c>
      <c r="I48" s="150">
        <f t="shared" si="7"/>
        <v>48</v>
      </c>
      <c r="J48" s="162">
        <v>20</v>
      </c>
      <c r="K48" s="163">
        <f t="shared" si="41"/>
        <v>68</v>
      </c>
      <c r="L48" s="161">
        <v>20</v>
      </c>
      <c r="M48" s="162">
        <v>38</v>
      </c>
      <c r="N48" s="150">
        <f t="shared" si="8"/>
        <v>58</v>
      </c>
      <c r="O48" s="162">
        <v>23</v>
      </c>
      <c r="P48" s="163">
        <f t="shared" si="9"/>
        <v>81</v>
      </c>
      <c r="Q48" s="163">
        <f t="shared" si="10"/>
        <v>149</v>
      </c>
      <c r="R48" s="291"/>
      <c r="S48" s="162">
        <f t="shared" si="11"/>
        <v>4</v>
      </c>
      <c r="T48" s="161">
        <v>15</v>
      </c>
      <c r="U48" s="162">
        <v>52</v>
      </c>
      <c r="V48" s="150">
        <f t="shared" si="12"/>
        <v>67</v>
      </c>
      <c r="W48" s="162">
        <v>16</v>
      </c>
      <c r="X48" s="162">
        <v>32</v>
      </c>
      <c r="Y48" s="150">
        <f t="shared" si="13"/>
        <v>48</v>
      </c>
      <c r="Z48" s="150">
        <f t="shared" si="14"/>
        <v>115</v>
      </c>
      <c r="AA48" s="291"/>
      <c r="AB48" s="149">
        <f t="shared" si="0"/>
        <v>3</v>
      </c>
      <c r="AC48" s="161">
        <v>19</v>
      </c>
      <c r="AD48" s="162">
        <v>20</v>
      </c>
      <c r="AE48" s="163">
        <f t="shared" si="15"/>
        <v>39</v>
      </c>
      <c r="AF48" s="162">
        <v>14</v>
      </c>
      <c r="AG48" s="163">
        <f t="shared" si="16"/>
        <v>53</v>
      </c>
      <c r="AH48" s="291"/>
      <c r="AI48" s="162">
        <f t="shared" si="1"/>
        <v>3</v>
      </c>
      <c r="AJ48" s="161">
        <v>18</v>
      </c>
      <c r="AK48" s="162">
        <v>36</v>
      </c>
      <c r="AL48" s="163">
        <f t="shared" si="17"/>
        <v>54</v>
      </c>
      <c r="AM48" s="162">
        <v>16</v>
      </c>
      <c r="AN48" s="163">
        <f t="shared" si="18"/>
        <v>70</v>
      </c>
      <c r="AO48" s="291"/>
      <c r="AP48" s="162">
        <f t="shared" si="2"/>
        <v>4</v>
      </c>
      <c r="AQ48" s="161"/>
      <c r="AR48" s="162">
        <v>22</v>
      </c>
      <c r="AS48" s="162">
        <v>24</v>
      </c>
      <c r="AT48" s="162">
        <f t="shared" si="42"/>
        <v>46</v>
      </c>
      <c r="AU48" s="294"/>
      <c r="AV48" s="162">
        <f t="shared" si="20"/>
        <v>5</v>
      </c>
      <c r="AW48" s="161">
        <v>12</v>
      </c>
      <c r="AX48" s="162">
        <v>25</v>
      </c>
      <c r="AY48" s="163">
        <f t="shared" si="21"/>
        <v>37</v>
      </c>
      <c r="AZ48" s="162">
        <v>19</v>
      </c>
      <c r="BA48" s="163">
        <f t="shared" si="22"/>
        <v>56</v>
      </c>
      <c r="BB48" s="291"/>
      <c r="BC48" s="162">
        <f t="shared" si="23"/>
        <v>3</v>
      </c>
      <c r="BD48" s="161">
        <v>6</v>
      </c>
      <c r="BE48" s="162">
        <v>20</v>
      </c>
      <c r="BF48" s="163">
        <f t="shared" si="24"/>
        <v>26</v>
      </c>
      <c r="BG48" s="149">
        <v>10</v>
      </c>
      <c r="BH48" s="149">
        <v>25</v>
      </c>
      <c r="BI48" s="163">
        <f t="shared" si="25"/>
        <v>61</v>
      </c>
      <c r="BJ48" s="294"/>
      <c r="BK48" s="162">
        <f t="shared" si="3"/>
        <v>3.5</v>
      </c>
      <c r="BL48" s="161">
        <v>8</v>
      </c>
      <c r="BM48" s="162">
        <v>16</v>
      </c>
      <c r="BN48" s="163">
        <f t="shared" si="26"/>
        <v>24</v>
      </c>
      <c r="BO48" s="162">
        <v>13</v>
      </c>
      <c r="BP48" s="162">
        <v>25</v>
      </c>
      <c r="BQ48" s="163">
        <f t="shared" si="27"/>
        <v>62</v>
      </c>
      <c r="BR48" s="291"/>
      <c r="BS48" s="162">
        <f t="shared" si="28"/>
        <v>3.5</v>
      </c>
      <c r="BT48" s="161">
        <v>9</v>
      </c>
      <c r="BU48" s="162">
        <v>30</v>
      </c>
      <c r="BV48" s="163">
        <f t="shared" si="29"/>
        <v>39</v>
      </c>
      <c r="BW48" s="162">
        <v>16</v>
      </c>
      <c r="BX48" s="162">
        <v>25</v>
      </c>
      <c r="BY48" s="163">
        <f t="shared" si="30"/>
        <v>80</v>
      </c>
      <c r="BZ48" s="294"/>
      <c r="CA48" s="162">
        <f t="shared" si="31"/>
        <v>5</v>
      </c>
      <c r="CB48" s="161">
        <v>7</v>
      </c>
      <c r="CC48" s="162">
        <v>13</v>
      </c>
      <c r="CD48" s="163">
        <f t="shared" si="32"/>
        <v>20</v>
      </c>
      <c r="CE48" s="162">
        <v>12</v>
      </c>
      <c r="CF48" s="162">
        <v>23</v>
      </c>
      <c r="CG48" s="163">
        <f t="shared" si="33"/>
        <v>55</v>
      </c>
      <c r="CH48" s="291"/>
      <c r="CI48" s="170">
        <f t="shared" si="34"/>
        <v>3</v>
      </c>
      <c r="CJ48" s="162">
        <f t="shared" si="4"/>
        <v>35</v>
      </c>
      <c r="CK48" s="171">
        <f t="shared" si="35"/>
        <v>3.8888888888888888</v>
      </c>
      <c r="CL48" s="171" t="str">
        <f t="shared" si="36"/>
        <v>A-</v>
      </c>
      <c r="CM48" s="140" t="str">
        <f t="shared" si="5"/>
        <v>GOOD</v>
      </c>
      <c r="CN48" s="220">
        <f t="shared" si="6"/>
        <v>747</v>
      </c>
      <c r="CO48" s="140"/>
      <c r="CP48" s="137"/>
      <c r="CQ48" s="215">
        <f>'1ST_SEMESTER'!CN48</f>
        <v>683</v>
      </c>
      <c r="CR48" s="215">
        <f>'2ND_SEMESTER'!CN48</f>
        <v>661.56200000000001</v>
      </c>
      <c r="CS48" s="215">
        <f t="shared" si="37"/>
        <v>747</v>
      </c>
      <c r="CT48" s="215">
        <f t="shared" si="38"/>
        <v>697.1873333333333</v>
      </c>
      <c r="CU48" s="226">
        <f>'1ST_SEMESTER'!CK48</f>
        <v>3.1111111111111112</v>
      </c>
      <c r="CV48" s="226">
        <f>'2ND_SEMESTER'!CK48</f>
        <v>3</v>
      </c>
      <c r="CW48" s="226">
        <f t="shared" si="39"/>
        <v>3.8888888888888888</v>
      </c>
      <c r="CX48" s="226">
        <f t="shared" si="40"/>
        <v>3.3333333333333335</v>
      </c>
    </row>
    <row r="49" spans="1:102" s="199" customFormat="1" ht="27" customHeight="1">
      <c r="A49" s="188">
        <v>42</v>
      </c>
      <c r="B49" s="189">
        <v>24</v>
      </c>
      <c r="C49" s="190" t="s">
        <v>248</v>
      </c>
      <c r="D49" s="138" t="s">
        <v>249</v>
      </c>
      <c r="E49" s="138" t="s">
        <v>250</v>
      </c>
      <c r="F49" s="141" t="s">
        <v>251</v>
      </c>
      <c r="G49" s="161">
        <v>18</v>
      </c>
      <c r="H49" s="162">
        <v>34</v>
      </c>
      <c r="I49" s="150">
        <f t="shared" si="7"/>
        <v>52</v>
      </c>
      <c r="J49" s="162">
        <v>23</v>
      </c>
      <c r="K49" s="163">
        <f t="shared" si="41"/>
        <v>75</v>
      </c>
      <c r="L49" s="161">
        <v>20</v>
      </c>
      <c r="M49" s="162">
        <v>35</v>
      </c>
      <c r="N49" s="150">
        <f t="shared" si="8"/>
        <v>55</v>
      </c>
      <c r="O49" s="162">
        <v>24</v>
      </c>
      <c r="P49" s="163">
        <f t="shared" si="9"/>
        <v>79</v>
      </c>
      <c r="Q49" s="163">
        <f t="shared" si="10"/>
        <v>154</v>
      </c>
      <c r="R49" s="291"/>
      <c r="S49" s="162">
        <f t="shared" si="11"/>
        <v>4</v>
      </c>
      <c r="T49" s="161">
        <v>17</v>
      </c>
      <c r="U49" s="162">
        <v>43</v>
      </c>
      <c r="V49" s="150">
        <f t="shared" si="12"/>
        <v>60</v>
      </c>
      <c r="W49" s="162">
        <v>16</v>
      </c>
      <c r="X49" s="162">
        <v>32</v>
      </c>
      <c r="Y49" s="150">
        <f t="shared" si="13"/>
        <v>48</v>
      </c>
      <c r="Z49" s="150">
        <f t="shared" si="14"/>
        <v>108</v>
      </c>
      <c r="AA49" s="291"/>
      <c r="AB49" s="149">
        <f t="shared" si="0"/>
        <v>3</v>
      </c>
      <c r="AC49" s="161">
        <v>18</v>
      </c>
      <c r="AD49" s="162">
        <v>23</v>
      </c>
      <c r="AE49" s="163">
        <f t="shared" si="15"/>
        <v>41</v>
      </c>
      <c r="AF49" s="162">
        <v>12</v>
      </c>
      <c r="AG49" s="163">
        <f t="shared" si="16"/>
        <v>53</v>
      </c>
      <c r="AH49" s="291"/>
      <c r="AI49" s="162">
        <f t="shared" si="1"/>
        <v>3</v>
      </c>
      <c r="AJ49" s="161">
        <v>18</v>
      </c>
      <c r="AK49" s="162">
        <v>39</v>
      </c>
      <c r="AL49" s="163">
        <f t="shared" si="17"/>
        <v>57</v>
      </c>
      <c r="AM49" s="162">
        <v>18</v>
      </c>
      <c r="AN49" s="163">
        <f t="shared" si="18"/>
        <v>75</v>
      </c>
      <c r="AO49" s="291"/>
      <c r="AP49" s="162">
        <f t="shared" si="2"/>
        <v>4</v>
      </c>
      <c r="AQ49" s="161"/>
      <c r="AR49" s="162">
        <v>21</v>
      </c>
      <c r="AS49" s="162">
        <v>24</v>
      </c>
      <c r="AT49" s="162">
        <f t="shared" si="42"/>
        <v>45</v>
      </c>
      <c r="AU49" s="294"/>
      <c r="AV49" s="162">
        <f t="shared" si="20"/>
        <v>5</v>
      </c>
      <c r="AW49" s="161">
        <v>12</v>
      </c>
      <c r="AX49" s="162">
        <v>26</v>
      </c>
      <c r="AY49" s="163">
        <f t="shared" si="21"/>
        <v>38</v>
      </c>
      <c r="AZ49" s="162">
        <v>20</v>
      </c>
      <c r="BA49" s="163">
        <f t="shared" si="22"/>
        <v>58</v>
      </c>
      <c r="BB49" s="291"/>
      <c r="BC49" s="162">
        <f t="shared" si="23"/>
        <v>3</v>
      </c>
      <c r="BD49" s="161">
        <v>7</v>
      </c>
      <c r="BE49" s="162">
        <v>22</v>
      </c>
      <c r="BF49" s="163">
        <f t="shared" si="24"/>
        <v>29</v>
      </c>
      <c r="BG49" s="149">
        <v>11</v>
      </c>
      <c r="BH49" s="149">
        <v>25</v>
      </c>
      <c r="BI49" s="163">
        <f t="shared" si="25"/>
        <v>65</v>
      </c>
      <c r="BJ49" s="294"/>
      <c r="BK49" s="162">
        <f t="shared" si="3"/>
        <v>3.5</v>
      </c>
      <c r="BL49" s="161">
        <v>8</v>
      </c>
      <c r="BM49" s="162">
        <v>14</v>
      </c>
      <c r="BN49" s="163">
        <f t="shared" si="26"/>
        <v>22</v>
      </c>
      <c r="BO49" s="162">
        <v>12</v>
      </c>
      <c r="BP49" s="162">
        <v>25</v>
      </c>
      <c r="BQ49" s="163">
        <f t="shared" si="27"/>
        <v>59</v>
      </c>
      <c r="BR49" s="291"/>
      <c r="BS49" s="162">
        <f t="shared" si="28"/>
        <v>3</v>
      </c>
      <c r="BT49" s="161">
        <v>7</v>
      </c>
      <c r="BU49" s="162">
        <v>32</v>
      </c>
      <c r="BV49" s="163">
        <f t="shared" si="29"/>
        <v>39</v>
      </c>
      <c r="BW49" s="162">
        <v>17</v>
      </c>
      <c r="BX49" s="162">
        <v>25</v>
      </c>
      <c r="BY49" s="163">
        <f t="shared" si="30"/>
        <v>81</v>
      </c>
      <c r="BZ49" s="294"/>
      <c r="CA49" s="162">
        <f t="shared" si="31"/>
        <v>5</v>
      </c>
      <c r="CB49" s="161">
        <v>8</v>
      </c>
      <c r="CC49" s="162">
        <v>34</v>
      </c>
      <c r="CD49" s="163">
        <f t="shared" si="32"/>
        <v>42</v>
      </c>
      <c r="CE49" s="162">
        <v>19</v>
      </c>
      <c r="CF49" s="162">
        <v>25</v>
      </c>
      <c r="CG49" s="163">
        <f t="shared" si="33"/>
        <v>86</v>
      </c>
      <c r="CH49" s="291"/>
      <c r="CI49" s="170">
        <f t="shared" si="34"/>
        <v>5</v>
      </c>
      <c r="CJ49" s="162">
        <f t="shared" si="4"/>
        <v>36.5</v>
      </c>
      <c r="CK49" s="171">
        <f t="shared" si="35"/>
        <v>4.0555555555555554</v>
      </c>
      <c r="CL49" s="171" t="str">
        <f t="shared" si="36"/>
        <v>A</v>
      </c>
      <c r="CM49" s="140" t="str">
        <f t="shared" si="5"/>
        <v>BETTER</v>
      </c>
      <c r="CN49" s="220">
        <f t="shared" si="6"/>
        <v>784</v>
      </c>
      <c r="CO49" s="140"/>
      <c r="CP49" s="137"/>
      <c r="CQ49" s="215">
        <f>'1ST_SEMESTER'!CN49</f>
        <v>685</v>
      </c>
      <c r="CR49" s="215">
        <f>'2ND_SEMESTER'!CN49</f>
        <v>759.27600000000007</v>
      </c>
      <c r="CS49" s="215">
        <f t="shared" si="37"/>
        <v>784</v>
      </c>
      <c r="CT49" s="215">
        <f t="shared" si="38"/>
        <v>742.75866666666661</v>
      </c>
      <c r="CU49" s="226">
        <f>'1ST_SEMESTER'!CK49</f>
        <v>3.1111111111111112</v>
      </c>
      <c r="CV49" s="226">
        <f>'2ND_SEMESTER'!CK49</f>
        <v>3.9444444444444446</v>
      </c>
      <c r="CW49" s="226">
        <f t="shared" si="39"/>
        <v>4.0555555555555554</v>
      </c>
      <c r="CX49" s="226">
        <f t="shared" si="40"/>
        <v>3.7037037037037037</v>
      </c>
    </row>
    <row r="50" spans="1:102" s="199" customFormat="1" ht="27" customHeight="1">
      <c r="A50" s="188">
        <v>43</v>
      </c>
      <c r="B50" s="189">
        <v>25</v>
      </c>
      <c r="C50" s="191" t="s">
        <v>252</v>
      </c>
      <c r="D50" s="142" t="s">
        <v>253</v>
      </c>
      <c r="E50" s="142" t="s">
        <v>254</v>
      </c>
      <c r="F50" s="143" t="s">
        <v>255</v>
      </c>
      <c r="G50" s="161">
        <v>20</v>
      </c>
      <c r="H50" s="162">
        <v>36</v>
      </c>
      <c r="I50" s="150">
        <f t="shared" si="7"/>
        <v>56</v>
      </c>
      <c r="J50" s="162">
        <v>21</v>
      </c>
      <c r="K50" s="163">
        <f t="shared" si="41"/>
        <v>77</v>
      </c>
      <c r="L50" s="161">
        <v>20</v>
      </c>
      <c r="M50" s="162">
        <v>35</v>
      </c>
      <c r="N50" s="150">
        <f t="shared" si="8"/>
        <v>55</v>
      </c>
      <c r="O50" s="162">
        <v>21</v>
      </c>
      <c r="P50" s="163">
        <f t="shared" si="9"/>
        <v>76</v>
      </c>
      <c r="Q50" s="163">
        <f t="shared" si="10"/>
        <v>153</v>
      </c>
      <c r="R50" s="291"/>
      <c r="S50" s="162">
        <f t="shared" si="11"/>
        <v>4</v>
      </c>
      <c r="T50" s="161">
        <v>14</v>
      </c>
      <c r="U50" s="162">
        <v>50</v>
      </c>
      <c r="V50" s="150">
        <f t="shared" si="12"/>
        <v>64</v>
      </c>
      <c r="W50" s="162">
        <v>16</v>
      </c>
      <c r="X50" s="162">
        <v>27</v>
      </c>
      <c r="Y50" s="150">
        <f t="shared" si="13"/>
        <v>43</v>
      </c>
      <c r="Z50" s="150">
        <f t="shared" si="14"/>
        <v>107</v>
      </c>
      <c r="AA50" s="291"/>
      <c r="AB50" s="149">
        <f t="shared" si="0"/>
        <v>3</v>
      </c>
      <c r="AC50" s="161">
        <v>18</v>
      </c>
      <c r="AD50" s="162">
        <v>20</v>
      </c>
      <c r="AE50" s="163">
        <f t="shared" si="15"/>
        <v>38</v>
      </c>
      <c r="AF50" s="162">
        <v>15</v>
      </c>
      <c r="AG50" s="163">
        <f t="shared" si="16"/>
        <v>53</v>
      </c>
      <c r="AH50" s="291"/>
      <c r="AI50" s="162">
        <f t="shared" si="1"/>
        <v>3</v>
      </c>
      <c r="AJ50" s="161">
        <v>19</v>
      </c>
      <c r="AK50" s="162">
        <v>46</v>
      </c>
      <c r="AL50" s="163">
        <f t="shared" si="17"/>
        <v>65</v>
      </c>
      <c r="AM50" s="162">
        <v>21</v>
      </c>
      <c r="AN50" s="163">
        <f t="shared" si="18"/>
        <v>86</v>
      </c>
      <c r="AO50" s="291"/>
      <c r="AP50" s="162">
        <f t="shared" si="2"/>
        <v>5</v>
      </c>
      <c r="AQ50" s="161"/>
      <c r="AR50" s="162">
        <v>22</v>
      </c>
      <c r="AS50" s="162">
        <v>24</v>
      </c>
      <c r="AT50" s="162">
        <f t="shared" si="42"/>
        <v>46</v>
      </c>
      <c r="AU50" s="294"/>
      <c r="AV50" s="162">
        <f t="shared" si="20"/>
        <v>5</v>
      </c>
      <c r="AW50" s="161">
        <v>11</v>
      </c>
      <c r="AX50" s="162">
        <v>20</v>
      </c>
      <c r="AY50" s="163">
        <f t="shared" si="21"/>
        <v>31</v>
      </c>
      <c r="AZ50" s="162">
        <v>22</v>
      </c>
      <c r="BA50" s="163">
        <f t="shared" si="22"/>
        <v>53</v>
      </c>
      <c r="BB50" s="291"/>
      <c r="BC50" s="162">
        <f t="shared" si="23"/>
        <v>3</v>
      </c>
      <c r="BD50" s="161">
        <v>10</v>
      </c>
      <c r="BE50" s="162">
        <v>10</v>
      </c>
      <c r="BF50" s="163">
        <f t="shared" si="24"/>
        <v>20</v>
      </c>
      <c r="BG50" s="149">
        <v>10</v>
      </c>
      <c r="BH50" s="149">
        <v>25</v>
      </c>
      <c r="BI50" s="163">
        <f t="shared" si="25"/>
        <v>55</v>
      </c>
      <c r="BJ50" s="294"/>
      <c r="BK50" s="162">
        <f t="shared" si="3"/>
        <v>3</v>
      </c>
      <c r="BL50" s="161">
        <v>8</v>
      </c>
      <c r="BM50" s="162">
        <v>19</v>
      </c>
      <c r="BN50" s="163">
        <f t="shared" si="26"/>
        <v>27</v>
      </c>
      <c r="BO50" s="162">
        <v>12</v>
      </c>
      <c r="BP50" s="162">
        <v>25</v>
      </c>
      <c r="BQ50" s="163">
        <f t="shared" si="27"/>
        <v>64</v>
      </c>
      <c r="BR50" s="291"/>
      <c r="BS50" s="162">
        <f t="shared" si="28"/>
        <v>3.5</v>
      </c>
      <c r="BT50" s="161">
        <v>7</v>
      </c>
      <c r="BU50" s="162">
        <v>29</v>
      </c>
      <c r="BV50" s="163">
        <f t="shared" si="29"/>
        <v>36</v>
      </c>
      <c r="BW50" s="162">
        <v>18</v>
      </c>
      <c r="BX50" s="162">
        <v>25</v>
      </c>
      <c r="BY50" s="163">
        <f t="shared" si="30"/>
        <v>79</v>
      </c>
      <c r="BZ50" s="294"/>
      <c r="CA50" s="162">
        <f t="shared" si="31"/>
        <v>4</v>
      </c>
      <c r="CB50" s="161">
        <v>6</v>
      </c>
      <c r="CC50" s="162">
        <v>13</v>
      </c>
      <c r="CD50" s="163">
        <f t="shared" si="32"/>
        <v>19</v>
      </c>
      <c r="CE50" s="162">
        <v>11</v>
      </c>
      <c r="CF50" s="162">
        <v>23</v>
      </c>
      <c r="CG50" s="163">
        <f t="shared" si="33"/>
        <v>53</v>
      </c>
      <c r="CH50" s="291"/>
      <c r="CI50" s="170" t="str">
        <f t="shared" si="34"/>
        <v>0</v>
      </c>
      <c r="CJ50" s="162">
        <f t="shared" si="4"/>
        <v>31.5</v>
      </c>
      <c r="CK50" s="171">
        <f t="shared" si="35"/>
        <v>3.5</v>
      </c>
      <c r="CL50" s="171" t="str">
        <f t="shared" si="36"/>
        <v>A-</v>
      </c>
      <c r="CM50" s="140" t="str">
        <f t="shared" si="5"/>
        <v>GOOD</v>
      </c>
      <c r="CN50" s="220">
        <f t="shared" si="6"/>
        <v>749</v>
      </c>
      <c r="CO50" s="140"/>
      <c r="CP50" s="137"/>
      <c r="CQ50" s="215">
        <f>'1ST_SEMESTER'!CN50</f>
        <v>665</v>
      </c>
      <c r="CR50" s="215">
        <f>'2ND_SEMESTER'!CN50</f>
        <v>611.56200000000001</v>
      </c>
      <c r="CS50" s="215">
        <f t="shared" si="37"/>
        <v>749</v>
      </c>
      <c r="CT50" s="215">
        <f t="shared" si="38"/>
        <v>675.1873333333333</v>
      </c>
      <c r="CU50" s="226">
        <f>'1ST_SEMESTER'!CK50</f>
        <v>3.3888888888888888</v>
      </c>
      <c r="CV50" s="226" t="str">
        <f>'2ND_SEMESTER'!CK50</f>
        <v>F</v>
      </c>
      <c r="CW50" s="226">
        <f t="shared" si="39"/>
        <v>3.5</v>
      </c>
      <c r="CX50" s="226">
        <f t="shared" si="40"/>
        <v>3.4444444444444446</v>
      </c>
    </row>
    <row r="51" spans="1:102" s="198" customFormat="1" ht="27" customHeight="1">
      <c r="A51" s="181">
        <v>44</v>
      </c>
      <c r="B51" s="117">
        <v>28</v>
      </c>
      <c r="C51" s="118" t="s">
        <v>260</v>
      </c>
      <c r="D51" s="69" t="s">
        <v>261</v>
      </c>
      <c r="E51" s="69" t="s">
        <v>262</v>
      </c>
      <c r="F51" s="70" t="s">
        <v>263</v>
      </c>
      <c r="G51" s="148">
        <v>13</v>
      </c>
      <c r="H51" s="149">
        <v>20</v>
      </c>
      <c r="I51" s="150">
        <f t="shared" si="7"/>
        <v>33</v>
      </c>
      <c r="J51" s="149">
        <v>18</v>
      </c>
      <c r="K51" s="150">
        <f t="shared" si="41"/>
        <v>51</v>
      </c>
      <c r="L51" s="148">
        <v>19</v>
      </c>
      <c r="M51" s="149">
        <v>36</v>
      </c>
      <c r="N51" s="150">
        <f t="shared" si="8"/>
        <v>55</v>
      </c>
      <c r="O51" s="149">
        <v>13</v>
      </c>
      <c r="P51" s="150">
        <f t="shared" si="9"/>
        <v>68</v>
      </c>
      <c r="Q51" s="150">
        <f t="shared" si="10"/>
        <v>119</v>
      </c>
      <c r="R51" s="291"/>
      <c r="S51" s="149">
        <f t="shared" si="11"/>
        <v>3</v>
      </c>
      <c r="T51" s="148">
        <v>18</v>
      </c>
      <c r="U51" s="149">
        <v>54</v>
      </c>
      <c r="V51" s="150">
        <f t="shared" si="12"/>
        <v>72</v>
      </c>
      <c r="W51" s="149">
        <v>16</v>
      </c>
      <c r="X51" s="149">
        <v>59</v>
      </c>
      <c r="Y51" s="150">
        <f t="shared" si="13"/>
        <v>75</v>
      </c>
      <c r="Z51" s="150">
        <f t="shared" si="14"/>
        <v>147</v>
      </c>
      <c r="AA51" s="291"/>
      <c r="AB51" s="149">
        <f t="shared" si="0"/>
        <v>4</v>
      </c>
      <c r="AC51" s="148">
        <v>13</v>
      </c>
      <c r="AD51" s="149">
        <v>20</v>
      </c>
      <c r="AE51" s="150">
        <f t="shared" si="15"/>
        <v>33</v>
      </c>
      <c r="AF51" s="149">
        <v>13</v>
      </c>
      <c r="AG51" s="150">
        <f t="shared" si="16"/>
        <v>46</v>
      </c>
      <c r="AH51" s="291"/>
      <c r="AI51" s="149">
        <f t="shared" si="1"/>
        <v>2</v>
      </c>
      <c r="AJ51" s="148">
        <v>18</v>
      </c>
      <c r="AK51" s="149">
        <v>34</v>
      </c>
      <c r="AL51" s="150">
        <f t="shared" si="17"/>
        <v>52</v>
      </c>
      <c r="AM51" s="149">
        <v>21</v>
      </c>
      <c r="AN51" s="150">
        <f t="shared" si="18"/>
        <v>73</v>
      </c>
      <c r="AO51" s="291"/>
      <c r="AP51" s="149">
        <f t="shared" si="2"/>
        <v>4</v>
      </c>
      <c r="AQ51" s="148"/>
      <c r="AR51" s="149">
        <v>18</v>
      </c>
      <c r="AS51" s="149">
        <v>24</v>
      </c>
      <c r="AT51" s="149">
        <f t="shared" si="42"/>
        <v>42</v>
      </c>
      <c r="AU51" s="294"/>
      <c r="AV51" s="149">
        <f t="shared" si="20"/>
        <v>5</v>
      </c>
      <c r="AW51" s="148">
        <v>11</v>
      </c>
      <c r="AX51" s="149">
        <v>20</v>
      </c>
      <c r="AY51" s="150">
        <f t="shared" si="21"/>
        <v>31</v>
      </c>
      <c r="AZ51" s="149">
        <v>17</v>
      </c>
      <c r="BA51" s="150">
        <f t="shared" si="22"/>
        <v>48</v>
      </c>
      <c r="BB51" s="291"/>
      <c r="BC51" s="149">
        <f t="shared" si="23"/>
        <v>2</v>
      </c>
      <c r="BD51" s="148">
        <v>6</v>
      </c>
      <c r="BE51" s="149">
        <v>14</v>
      </c>
      <c r="BF51" s="150">
        <f t="shared" si="24"/>
        <v>20</v>
      </c>
      <c r="BG51" s="149">
        <v>11</v>
      </c>
      <c r="BH51" s="149">
        <v>25</v>
      </c>
      <c r="BI51" s="150">
        <f t="shared" si="25"/>
        <v>56</v>
      </c>
      <c r="BJ51" s="294"/>
      <c r="BK51" s="149">
        <f t="shared" si="3"/>
        <v>3</v>
      </c>
      <c r="BL51" s="148">
        <v>8</v>
      </c>
      <c r="BM51" s="149">
        <v>23</v>
      </c>
      <c r="BN51" s="150">
        <f t="shared" si="26"/>
        <v>31</v>
      </c>
      <c r="BO51" s="149">
        <v>16</v>
      </c>
      <c r="BP51" s="162">
        <v>25</v>
      </c>
      <c r="BQ51" s="150">
        <f t="shared" si="27"/>
        <v>72</v>
      </c>
      <c r="BR51" s="291"/>
      <c r="BS51" s="149">
        <f t="shared" si="28"/>
        <v>4</v>
      </c>
      <c r="BT51" s="148">
        <v>7</v>
      </c>
      <c r="BU51" s="149">
        <v>22</v>
      </c>
      <c r="BV51" s="150">
        <f t="shared" si="29"/>
        <v>29</v>
      </c>
      <c r="BW51" s="149">
        <v>18</v>
      </c>
      <c r="BX51" s="162">
        <v>25</v>
      </c>
      <c r="BY51" s="150">
        <f t="shared" si="30"/>
        <v>72</v>
      </c>
      <c r="BZ51" s="294"/>
      <c r="CA51" s="149">
        <f t="shared" si="31"/>
        <v>4</v>
      </c>
      <c r="CB51" s="148">
        <v>6</v>
      </c>
      <c r="CC51" s="149">
        <v>4</v>
      </c>
      <c r="CD51" s="150">
        <f t="shared" si="32"/>
        <v>10</v>
      </c>
      <c r="CE51" s="149">
        <v>11</v>
      </c>
      <c r="CF51" s="149">
        <v>23</v>
      </c>
      <c r="CG51" s="150">
        <f t="shared" si="33"/>
        <v>44</v>
      </c>
      <c r="CH51" s="291"/>
      <c r="CI51" s="164" t="str">
        <f t="shared" si="34"/>
        <v>0</v>
      </c>
      <c r="CJ51" s="149">
        <f t="shared" si="4"/>
        <v>29</v>
      </c>
      <c r="CK51" s="165">
        <f t="shared" si="35"/>
        <v>3.2222222222222223</v>
      </c>
      <c r="CL51" s="165" t="str">
        <f t="shared" si="36"/>
        <v>B</v>
      </c>
      <c r="CM51" s="37" t="str">
        <f t="shared" si="5"/>
        <v>GOOD</v>
      </c>
      <c r="CN51" s="217">
        <f t="shared" si="6"/>
        <v>719</v>
      </c>
      <c r="CO51" s="37"/>
      <c r="CP51" s="40"/>
      <c r="CQ51" s="215">
        <f>'1ST_SEMESTER'!CN51</f>
        <v>617</v>
      </c>
      <c r="CR51" s="215">
        <f>'2ND_SEMESTER'!CN51</f>
        <v>223</v>
      </c>
      <c r="CS51" s="215">
        <f t="shared" si="37"/>
        <v>719</v>
      </c>
      <c r="CT51" s="215">
        <f t="shared" si="38"/>
        <v>519.66666666666663</v>
      </c>
      <c r="CU51" s="226" t="str">
        <f>'1ST_SEMESTER'!CK51</f>
        <v>F</v>
      </c>
      <c r="CV51" s="226" t="str">
        <f>'2ND_SEMESTER'!CK51</f>
        <v>F</v>
      </c>
      <c r="CW51" s="226">
        <f t="shared" si="39"/>
        <v>3.2222222222222223</v>
      </c>
      <c r="CX51" s="226">
        <f t="shared" si="40"/>
        <v>3.2222222222222223</v>
      </c>
    </row>
    <row r="52" spans="1:102" s="199" customFormat="1" ht="27" customHeight="1">
      <c r="A52" s="188">
        <v>45</v>
      </c>
      <c r="B52" s="189">
        <v>29</v>
      </c>
      <c r="C52" s="190" t="s">
        <v>264</v>
      </c>
      <c r="D52" s="138" t="s">
        <v>265</v>
      </c>
      <c r="E52" s="138" t="s">
        <v>266</v>
      </c>
      <c r="F52" s="141" t="s">
        <v>267</v>
      </c>
      <c r="G52" s="161">
        <v>19</v>
      </c>
      <c r="H52" s="162">
        <v>27</v>
      </c>
      <c r="I52" s="150">
        <f t="shared" si="7"/>
        <v>46</v>
      </c>
      <c r="J52" s="162">
        <v>20</v>
      </c>
      <c r="K52" s="163">
        <f t="shared" si="41"/>
        <v>66</v>
      </c>
      <c r="L52" s="161">
        <v>20</v>
      </c>
      <c r="M52" s="162">
        <v>43</v>
      </c>
      <c r="N52" s="150">
        <f t="shared" si="8"/>
        <v>63</v>
      </c>
      <c r="O52" s="162">
        <v>24</v>
      </c>
      <c r="P52" s="163">
        <f t="shared" si="9"/>
        <v>87</v>
      </c>
      <c r="Q52" s="163">
        <f t="shared" si="10"/>
        <v>153</v>
      </c>
      <c r="R52" s="291"/>
      <c r="S52" s="162">
        <f t="shared" si="11"/>
        <v>4</v>
      </c>
      <c r="T52" s="161">
        <v>17</v>
      </c>
      <c r="U52" s="162">
        <v>58</v>
      </c>
      <c r="V52" s="150">
        <f t="shared" si="12"/>
        <v>75</v>
      </c>
      <c r="W52" s="162">
        <v>16</v>
      </c>
      <c r="X52" s="162">
        <v>44</v>
      </c>
      <c r="Y52" s="150">
        <f t="shared" si="13"/>
        <v>60</v>
      </c>
      <c r="Z52" s="150">
        <f t="shared" si="14"/>
        <v>135</v>
      </c>
      <c r="AA52" s="291"/>
      <c r="AB52" s="149">
        <f t="shared" si="0"/>
        <v>3.5</v>
      </c>
      <c r="AC52" s="161">
        <v>11</v>
      </c>
      <c r="AD52" s="162">
        <v>11</v>
      </c>
      <c r="AE52" s="163">
        <f t="shared" si="15"/>
        <v>22</v>
      </c>
      <c r="AF52" s="162">
        <v>12</v>
      </c>
      <c r="AG52" s="163">
        <f t="shared" si="16"/>
        <v>34</v>
      </c>
      <c r="AH52" s="291"/>
      <c r="AI52" s="162" t="str">
        <f t="shared" si="1"/>
        <v>F</v>
      </c>
      <c r="AJ52" s="161">
        <v>16</v>
      </c>
      <c r="AK52" s="162">
        <v>42</v>
      </c>
      <c r="AL52" s="163">
        <f t="shared" si="17"/>
        <v>58</v>
      </c>
      <c r="AM52" s="162">
        <v>20</v>
      </c>
      <c r="AN52" s="163">
        <f t="shared" si="18"/>
        <v>78</v>
      </c>
      <c r="AO52" s="291"/>
      <c r="AP52" s="162">
        <f t="shared" si="2"/>
        <v>4</v>
      </c>
      <c r="AQ52" s="161"/>
      <c r="AR52" s="162">
        <v>20</v>
      </c>
      <c r="AS52" s="162">
        <v>24</v>
      </c>
      <c r="AT52" s="162">
        <f t="shared" si="42"/>
        <v>44</v>
      </c>
      <c r="AU52" s="294"/>
      <c r="AV52" s="162">
        <f t="shared" si="20"/>
        <v>5</v>
      </c>
      <c r="AW52" s="161">
        <v>12</v>
      </c>
      <c r="AX52" s="162">
        <v>25</v>
      </c>
      <c r="AY52" s="163">
        <f t="shared" si="21"/>
        <v>37</v>
      </c>
      <c r="AZ52" s="162">
        <v>15</v>
      </c>
      <c r="BA52" s="163">
        <f t="shared" si="22"/>
        <v>52</v>
      </c>
      <c r="BB52" s="291"/>
      <c r="BC52" s="162">
        <f t="shared" si="23"/>
        <v>3</v>
      </c>
      <c r="BD52" s="161">
        <v>7</v>
      </c>
      <c r="BE52" s="162">
        <v>2</v>
      </c>
      <c r="BF52" s="163">
        <f t="shared" si="24"/>
        <v>9</v>
      </c>
      <c r="BG52" s="149">
        <v>10</v>
      </c>
      <c r="BH52" s="149">
        <v>25</v>
      </c>
      <c r="BI52" s="163">
        <f t="shared" si="25"/>
        <v>44</v>
      </c>
      <c r="BJ52" s="294"/>
      <c r="BK52" s="162" t="str">
        <f t="shared" si="3"/>
        <v>F</v>
      </c>
      <c r="BL52" s="161">
        <v>6</v>
      </c>
      <c r="BM52" s="162">
        <v>21</v>
      </c>
      <c r="BN52" s="163">
        <f t="shared" si="26"/>
        <v>27</v>
      </c>
      <c r="BO52" s="162">
        <v>17</v>
      </c>
      <c r="BP52" s="162">
        <v>25</v>
      </c>
      <c r="BQ52" s="163">
        <f t="shared" si="27"/>
        <v>69</v>
      </c>
      <c r="BR52" s="291"/>
      <c r="BS52" s="162">
        <f t="shared" si="28"/>
        <v>3.5</v>
      </c>
      <c r="BT52" s="161">
        <v>7</v>
      </c>
      <c r="BU52" s="162">
        <v>20</v>
      </c>
      <c r="BV52" s="163">
        <f t="shared" si="29"/>
        <v>27</v>
      </c>
      <c r="BW52" s="162">
        <v>18</v>
      </c>
      <c r="BX52" s="162">
        <v>25</v>
      </c>
      <c r="BY52" s="163">
        <f t="shared" si="30"/>
        <v>70</v>
      </c>
      <c r="BZ52" s="294"/>
      <c r="CA52" s="162">
        <f t="shared" si="31"/>
        <v>4</v>
      </c>
      <c r="CB52" s="161">
        <v>5</v>
      </c>
      <c r="CC52" s="162">
        <v>0</v>
      </c>
      <c r="CD52" s="163">
        <f t="shared" si="32"/>
        <v>5</v>
      </c>
      <c r="CE52" s="162">
        <v>7</v>
      </c>
      <c r="CF52" s="162">
        <v>25</v>
      </c>
      <c r="CG52" s="163">
        <f t="shared" si="33"/>
        <v>37</v>
      </c>
      <c r="CH52" s="291"/>
      <c r="CI52" s="170" t="str">
        <f t="shared" si="34"/>
        <v>0</v>
      </c>
      <c r="CJ52" s="162" t="str">
        <f t="shared" si="4"/>
        <v>F</v>
      </c>
      <c r="CK52" s="171" t="str">
        <f t="shared" si="35"/>
        <v>F</v>
      </c>
      <c r="CL52" s="171" t="str">
        <f t="shared" si="36"/>
        <v>F</v>
      </c>
      <c r="CM52" s="140" t="str">
        <f t="shared" si="5"/>
        <v>NEED TO PROGRESS</v>
      </c>
      <c r="CN52" s="220">
        <f t="shared" si="6"/>
        <v>716</v>
      </c>
      <c r="CO52" s="140"/>
      <c r="CP52" s="137"/>
      <c r="CQ52" s="215">
        <f>'1ST_SEMESTER'!CN52</f>
        <v>612</v>
      </c>
      <c r="CR52" s="215">
        <f>'2ND_SEMESTER'!CN52</f>
        <v>608.56600000000003</v>
      </c>
      <c r="CS52" s="215">
        <f t="shared" si="37"/>
        <v>716</v>
      </c>
      <c r="CT52" s="215">
        <f t="shared" si="38"/>
        <v>645.52200000000005</v>
      </c>
      <c r="CU52" s="226">
        <f>'1ST_SEMESTER'!CK52</f>
        <v>2.7222222222222223</v>
      </c>
      <c r="CV52" s="226" t="str">
        <f>'2ND_SEMESTER'!CK52</f>
        <v>F</v>
      </c>
      <c r="CW52" s="226" t="str">
        <f t="shared" si="39"/>
        <v>F</v>
      </c>
      <c r="CX52" s="226">
        <f t="shared" si="40"/>
        <v>2.7222222222222223</v>
      </c>
    </row>
    <row r="53" spans="1:102" s="199" customFormat="1" ht="27" customHeight="1">
      <c r="A53" s="188">
        <v>46</v>
      </c>
      <c r="B53" s="189">
        <v>30</v>
      </c>
      <c r="C53" s="190" t="s">
        <v>268</v>
      </c>
      <c r="D53" s="138" t="s">
        <v>269</v>
      </c>
      <c r="E53" s="138" t="s">
        <v>270</v>
      </c>
      <c r="F53" s="141" t="s">
        <v>271</v>
      </c>
      <c r="G53" s="161">
        <v>20</v>
      </c>
      <c r="H53" s="162">
        <v>37</v>
      </c>
      <c r="I53" s="150">
        <f t="shared" si="7"/>
        <v>57</v>
      </c>
      <c r="J53" s="161">
        <v>22</v>
      </c>
      <c r="K53" s="163">
        <f t="shared" si="41"/>
        <v>79</v>
      </c>
      <c r="L53" s="161">
        <v>19</v>
      </c>
      <c r="M53" s="162">
        <v>35</v>
      </c>
      <c r="N53" s="150">
        <f t="shared" si="8"/>
        <v>54</v>
      </c>
      <c r="O53" s="162">
        <v>23</v>
      </c>
      <c r="P53" s="163">
        <f t="shared" si="9"/>
        <v>77</v>
      </c>
      <c r="Q53" s="163">
        <f t="shared" si="10"/>
        <v>156</v>
      </c>
      <c r="R53" s="291"/>
      <c r="S53" s="162">
        <f t="shared" si="11"/>
        <v>4</v>
      </c>
      <c r="T53" s="161">
        <v>16</v>
      </c>
      <c r="U53" s="163">
        <v>45</v>
      </c>
      <c r="V53" s="150">
        <f t="shared" si="12"/>
        <v>61</v>
      </c>
      <c r="W53" s="161">
        <v>17</v>
      </c>
      <c r="X53" s="163">
        <v>42</v>
      </c>
      <c r="Y53" s="150">
        <f t="shared" si="13"/>
        <v>59</v>
      </c>
      <c r="Z53" s="150">
        <f t="shared" si="14"/>
        <v>120</v>
      </c>
      <c r="AA53" s="291"/>
      <c r="AB53" s="149">
        <f t="shared" si="0"/>
        <v>3.5</v>
      </c>
      <c r="AC53" s="161">
        <v>20</v>
      </c>
      <c r="AD53" s="162">
        <v>30</v>
      </c>
      <c r="AE53" s="163">
        <f t="shared" si="15"/>
        <v>50</v>
      </c>
      <c r="AF53" s="162">
        <v>13</v>
      </c>
      <c r="AG53" s="163">
        <f t="shared" si="16"/>
        <v>63</v>
      </c>
      <c r="AH53" s="291"/>
      <c r="AI53" s="162">
        <f t="shared" si="1"/>
        <v>3.5</v>
      </c>
      <c r="AJ53" s="161">
        <v>16</v>
      </c>
      <c r="AK53" s="162">
        <v>36</v>
      </c>
      <c r="AL53" s="163">
        <f t="shared" si="17"/>
        <v>52</v>
      </c>
      <c r="AM53" s="162">
        <v>20</v>
      </c>
      <c r="AN53" s="163">
        <f t="shared" si="18"/>
        <v>72</v>
      </c>
      <c r="AO53" s="291"/>
      <c r="AP53" s="162">
        <f t="shared" si="2"/>
        <v>4</v>
      </c>
      <c r="AQ53" s="161"/>
      <c r="AR53" s="162">
        <v>23</v>
      </c>
      <c r="AS53" s="162">
        <v>24</v>
      </c>
      <c r="AT53" s="162">
        <f t="shared" si="42"/>
        <v>47</v>
      </c>
      <c r="AU53" s="294"/>
      <c r="AV53" s="162">
        <f t="shared" si="20"/>
        <v>5</v>
      </c>
      <c r="AW53" s="161">
        <v>13</v>
      </c>
      <c r="AX53" s="162">
        <v>32</v>
      </c>
      <c r="AY53" s="163">
        <f t="shared" si="21"/>
        <v>45</v>
      </c>
      <c r="AZ53" s="162">
        <v>22</v>
      </c>
      <c r="BA53" s="163">
        <f t="shared" si="22"/>
        <v>67</v>
      </c>
      <c r="BB53" s="291"/>
      <c r="BC53" s="162">
        <f t="shared" si="23"/>
        <v>3.5</v>
      </c>
      <c r="BD53" s="161">
        <v>6</v>
      </c>
      <c r="BE53" s="162">
        <v>7</v>
      </c>
      <c r="BF53" s="163">
        <f t="shared" si="24"/>
        <v>13</v>
      </c>
      <c r="BG53" s="149">
        <v>11</v>
      </c>
      <c r="BH53" s="149">
        <v>25</v>
      </c>
      <c r="BI53" s="163">
        <f t="shared" si="25"/>
        <v>49</v>
      </c>
      <c r="BJ53" s="294"/>
      <c r="BK53" s="162" t="str">
        <f t="shared" si="3"/>
        <v>F</v>
      </c>
      <c r="BL53" s="161">
        <v>6</v>
      </c>
      <c r="BM53" s="162">
        <v>8</v>
      </c>
      <c r="BN53" s="163">
        <f t="shared" si="26"/>
        <v>14</v>
      </c>
      <c r="BO53" s="162">
        <v>12</v>
      </c>
      <c r="BP53" s="162">
        <v>25</v>
      </c>
      <c r="BQ53" s="163">
        <f t="shared" si="27"/>
        <v>51</v>
      </c>
      <c r="BR53" s="291"/>
      <c r="BS53" s="162" t="str">
        <f t="shared" si="28"/>
        <v>F</v>
      </c>
      <c r="BT53" s="161">
        <v>7</v>
      </c>
      <c r="BU53" s="162">
        <v>28</v>
      </c>
      <c r="BV53" s="163">
        <f t="shared" si="29"/>
        <v>35</v>
      </c>
      <c r="BW53" s="162">
        <v>13</v>
      </c>
      <c r="BX53" s="162">
        <v>25</v>
      </c>
      <c r="BY53" s="163">
        <f t="shared" si="30"/>
        <v>73</v>
      </c>
      <c r="BZ53" s="294"/>
      <c r="CA53" s="162">
        <f t="shared" si="31"/>
        <v>4</v>
      </c>
      <c r="CB53" s="161">
        <v>7</v>
      </c>
      <c r="CC53" s="162">
        <v>29</v>
      </c>
      <c r="CD53" s="163">
        <f t="shared" si="32"/>
        <v>36</v>
      </c>
      <c r="CE53" s="162">
        <v>13</v>
      </c>
      <c r="CF53" s="162">
        <v>23</v>
      </c>
      <c r="CG53" s="163">
        <f t="shared" si="33"/>
        <v>72</v>
      </c>
      <c r="CH53" s="291"/>
      <c r="CI53" s="170">
        <f t="shared" si="34"/>
        <v>4</v>
      </c>
      <c r="CJ53" s="162" t="str">
        <f t="shared" si="4"/>
        <v>F</v>
      </c>
      <c r="CK53" s="171" t="str">
        <f t="shared" si="35"/>
        <v>F</v>
      </c>
      <c r="CL53" s="171" t="str">
        <f t="shared" si="36"/>
        <v>F</v>
      </c>
      <c r="CM53" s="140" t="str">
        <f t="shared" si="5"/>
        <v>NEED TO PROGRESS</v>
      </c>
      <c r="CN53" s="220">
        <f t="shared" si="6"/>
        <v>770</v>
      </c>
      <c r="CO53" s="140"/>
      <c r="CP53" s="137"/>
      <c r="CQ53" s="215">
        <f>'1ST_SEMESTER'!CN53</f>
        <v>0</v>
      </c>
      <c r="CR53" s="215">
        <f>'2ND_SEMESTER'!CN53</f>
        <v>589.99400000000003</v>
      </c>
      <c r="CS53" s="215">
        <f t="shared" si="37"/>
        <v>770</v>
      </c>
      <c r="CT53" s="215">
        <f t="shared" si="38"/>
        <v>453.33133333333336</v>
      </c>
      <c r="CU53" s="226" t="str">
        <f>'1ST_SEMESTER'!CK53</f>
        <v>F</v>
      </c>
      <c r="CV53" s="226" t="str">
        <f>'2ND_SEMESTER'!CK53</f>
        <v>F</v>
      </c>
      <c r="CW53" s="226" t="str">
        <f t="shared" si="39"/>
        <v>F</v>
      </c>
      <c r="CX53" s="226" t="e">
        <f t="shared" si="40"/>
        <v>#DIV/0!</v>
      </c>
    </row>
    <row r="54" spans="1:102" s="199" customFormat="1" ht="27" customHeight="1">
      <c r="A54" s="188">
        <v>47</v>
      </c>
      <c r="B54" s="192">
        <v>33</v>
      </c>
      <c r="C54" s="177" t="s">
        <v>272</v>
      </c>
      <c r="D54" s="57" t="s">
        <v>273</v>
      </c>
      <c r="E54" s="57" t="s">
        <v>274</v>
      </c>
      <c r="F54" s="58" t="s">
        <v>275</v>
      </c>
      <c r="G54" s="161">
        <v>20</v>
      </c>
      <c r="H54" s="162">
        <v>34</v>
      </c>
      <c r="I54" s="150">
        <f t="shared" si="7"/>
        <v>54</v>
      </c>
      <c r="J54" s="162">
        <v>19</v>
      </c>
      <c r="K54" s="163">
        <f t="shared" si="41"/>
        <v>73</v>
      </c>
      <c r="L54" s="161">
        <v>20</v>
      </c>
      <c r="M54" s="162">
        <v>33</v>
      </c>
      <c r="N54" s="150">
        <f t="shared" si="8"/>
        <v>53</v>
      </c>
      <c r="O54" s="162">
        <v>21</v>
      </c>
      <c r="P54" s="163">
        <f t="shared" si="9"/>
        <v>74</v>
      </c>
      <c r="Q54" s="163">
        <f t="shared" si="10"/>
        <v>147</v>
      </c>
      <c r="R54" s="291"/>
      <c r="S54" s="162">
        <f t="shared" si="11"/>
        <v>4</v>
      </c>
      <c r="T54" s="161">
        <v>11</v>
      </c>
      <c r="U54" s="162">
        <v>41</v>
      </c>
      <c r="V54" s="150">
        <f t="shared" si="12"/>
        <v>52</v>
      </c>
      <c r="W54" s="162">
        <v>13</v>
      </c>
      <c r="X54" s="162">
        <v>5</v>
      </c>
      <c r="Y54" s="150">
        <f t="shared" si="13"/>
        <v>18</v>
      </c>
      <c r="Z54" s="150">
        <f t="shared" si="14"/>
        <v>70</v>
      </c>
      <c r="AA54" s="291"/>
      <c r="AB54" s="149" t="str">
        <f t="shared" si="0"/>
        <v>F</v>
      </c>
      <c r="AC54" s="161">
        <v>11</v>
      </c>
      <c r="AD54" s="162">
        <v>2</v>
      </c>
      <c r="AE54" s="163">
        <f t="shared" si="15"/>
        <v>13</v>
      </c>
      <c r="AF54" s="162">
        <v>17</v>
      </c>
      <c r="AG54" s="163">
        <f t="shared" si="16"/>
        <v>30</v>
      </c>
      <c r="AH54" s="291"/>
      <c r="AI54" s="162" t="str">
        <f t="shared" si="1"/>
        <v>F</v>
      </c>
      <c r="AJ54" s="161">
        <v>14</v>
      </c>
      <c r="AK54" s="162">
        <v>28</v>
      </c>
      <c r="AL54" s="163">
        <f t="shared" si="17"/>
        <v>42</v>
      </c>
      <c r="AM54" s="162">
        <v>20</v>
      </c>
      <c r="AN54" s="163">
        <f t="shared" si="18"/>
        <v>62</v>
      </c>
      <c r="AO54" s="291"/>
      <c r="AP54" s="162">
        <f t="shared" si="2"/>
        <v>3.5</v>
      </c>
      <c r="AQ54" s="161"/>
      <c r="AR54" s="162">
        <v>21</v>
      </c>
      <c r="AS54" s="162">
        <v>24</v>
      </c>
      <c r="AT54" s="162">
        <f t="shared" si="42"/>
        <v>45</v>
      </c>
      <c r="AU54" s="294"/>
      <c r="AV54" s="162">
        <f t="shared" si="20"/>
        <v>5</v>
      </c>
      <c r="AW54" s="161">
        <v>10</v>
      </c>
      <c r="AX54" s="162">
        <v>20</v>
      </c>
      <c r="AY54" s="163">
        <f t="shared" si="21"/>
        <v>30</v>
      </c>
      <c r="AZ54" s="162">
        <v>15</v>
      </c>
      <c r="BA54" s="163">
        <f t="shared" si="22"/>
        <v>45</v>
      </c>
      <c r="BB54" s="291"/>
      <c r="BC54" s="162">
        <f t="shared" si="23"/>
        <v>2</v>
      </c>
      <c r="BD54" s="161">
        <v>7</v>
      </c>
      <c r="BE54" s="162">
        <v>18</v>
      </c>
      <c r="BF54" s="163">
        <f t="shared" si="24"/>
        <v>25</v>
      </c>
      <c r="BG54" s="149">
        <v>12</v>
      </c>
      <c r="BH54" s="149">
        <v>25</v>
      </c>
      <c r="BI54" s="163">
        <f t="shared" si="25"/>
        <v>62</v>
      </c>
      <c r="BJ54" s="294"/>
      <c r="BK54" s="162">
        <f t="shared" si="3"/>
        <v>3.5</v>
      </c>
      <c r="BL54" s="161">
        <v>6</v>
      </c>
      <c r="BM54" s="162">
        <v>9</v>
      </c>
      <c r="BN54" s="163">
        <f t="shared" si="26"/>
        <v>15</v>
      </c>
      <c r="BO54" s="162">
        <v>12</v>
      </c>
      <c r="BP54" s="162">
        <v>25</v>
      </c>
      <c r="BQ54" s="163">
        <f t="shared" si="27"/>
        <v>52</v>
      </c>
      <c r="BR54" s="291"/>
      <c r="BS54" s="162" t="str">
        <f t="shared" si="28"/>
        <v>F</v>
      </c>
      <c r="BT54" s="161">
        <v>8</v>
      </c>
      <c r="BU54" s="162">
        <v>18</v>
      </c>
      <c r="BV54" s="163">
        <f t="shared" si="29"/>
        <v>26</v>
      </c>
      <c r="BW54" s="162">
        <v>12</v>
      </c>
      <c r="BX54" s="162">
        <v>25</v>
      </c>
      <c r="BY54" s="163">
        <f t="shared" si="30"/>
        <v>63</v>
      </c>
      <c r="BZ54" s="294"/>
      <c r="CA54" s="162">
        <f t="shared" si="31"/>
        <v>3.5</v>
      </c>
      <c r="CB54" s="161">
        <v>5</v>
      </c>
      <c r="CC54" s="162">
        <v>6</v>
      </c>
      <c r="CD54" s="163">
        <f t="shared" si="32"/>
        <v>11</v>
      </c>
      <c r="CE54" s="162">
        <v>12</v>
      </c>
      <c r="CF54" s="162">
        <v>23</v>
      </c>
      <c r="CG54" s="163">
        <f t="shared" si="33"/>
        <v>46</v>
      </c>
      <c r="CH54" s="291"/>
      <c r="CI54" s="170" t="str">
        <f t="shared" si="34"/>
        <v>0</v>
      </c>
      <c r="CJ54" s="162" t="str">
        <f t="shared" si="4"/>
        <v>F</v>
      </c>
      <c r="CK54" s="171" t="str">
        <f t="shared" si="35"/>
        <v>F</v>
      </c>
      <c r="CL54" s="171" t="str">
        <f t="shared" si="36"/>
        <v>F</v>
      </c>
      <c r="CM54" s="140" t="str">
        <f t="shared" si="5"/>
        <v>NEED TO PROGRESS</v>
      </c>
      <c r="CN54" s="220">
        <f t="shared" si="6"/>
        <v>622</v>
      </c>
      <c r="CO54" s="140"/>
      <c r="CP54" s="137"/>
      <c r="CQ54" s="215">
        <f>'1ST_SEMESTER'!CN54</f>
        <v>662</v>
      </c>
      <c r="CR54" s="215">
        <f>'2ND_SEMESTER'!CN54</f>
        <v>656.99</v>
      </c>
      <c r="CS54" s="215">
        <f t="shared" si="37"/>
        <v>622</v>
      </c>
      <c r="CT54" s="215">
        <f t="shared" si="38"/>
        <v>646.99666666666667</v>
      </c>
      <c r="CU54" s="226" t="str">
        <f>'1ST_SEMESTER'!CK54</f>
        <v>F</v>
      </c>
      <c r="CV54" s="226">
        <f>'2ND_SEMESTER'!CK54</f>
        <v>3.0555555555555554</v>
      </c>
      <c r="CW54" s="226" t="str">
        <f t="shared" si="39"/>
        <v>F</v>
      </c>
      <c r="CX54" s="226">
        <f t="shared" si="40"/>
        <v>3.0555555555555554</v>
      </c>
    </row>
    <row r="55" spans="1:102" s="197" customFormat="1" ht="27" customHeight="1">
      <c r="A55" s="144">
        <v>48</v>
      </c>
      <c r="B55" s="192">
        <v>34</v>
      </c>
      <c r="C55" s="177" t="s">
        <v>276</v>
      </c>
      <c r="D55" s="57" t="s">
        <v>277</v>
      </c>
      <c r="E55" s="57" t="s">
        <v>278</v>
      </c>
      <c r="F55" s="61" t="s">
        <v>279</v>
      </c>
      <c r="G55" s="148">
        <v>13</v>
      </c>
      <c r="H55" s="149">
        <v>25</v>
      </c>
      <c r="I55" s="150">
        <f t="shared" si="7"/>
        <v>38</v>
      </c>
      <c r="J55" s="149">
        <v>16</v>
      </c>
      <c r="K55" s="150">
        <f t="shared" si="41"/>
        <v>54</v>
      </c>
      <c r="L55" s="149">
        <v>20</v>
      </c>
      <c r="M55" s="149">
        <v>40</v>
      </c>
      <c r="N55" s="150">
        <f t="shared" si="8"/>
        <v>60</v>
      </c>
      <c r="O55" s="149">
        <v>15</v>
      </c>
      <c r="P55" s="150">
        <f t="shared" si="9"/>
        <v>75</v>
      </c>
      <c r="Q55" s="150">
        <f t="shared" si="10"/>
        <v>129</v>
      </c>
      <c r="R55" s="291"/>
      <c r="S55" s="149">
        <f t="shared" si="11"/>
        <v>3.5</v>
      </c>
      <c r="T55" s="148">
        <v>16</v>
      </c>
      <c r="U55" s="149">
        <v>50</v>
      </c>
      <c r="V55" s="150">
        <f t="shared" si="12"/>
        <v>66</v>
      </c>
      <c r="W55" s="149">
        <v>15</v>
      </c>
      <c r="X55" s="149">
        <v>39</v>
      </c>
      <c r="Y55" s="150">
        <f t="shared" si="13"/>
        <v>54</v>
      </c>
      <c r="Z55" s="150">
        <f t="shared" si="14"/>
        <v>120</v>
      </c>
      <c r="AA55" s="291"/>
      <c r="AB55" s="149">
        <f t="shared" si="0"/>
        <v>3.5</v>
      </c>
      <c r="AC55" s="148">
        <v>15</v>
      </c>
      <c r="AD55" s="149">
        <v>25</v>
      </c>
      <c r="AE55" s="150">
        <f t="shared" si="15"/>
        <v>40</v>
      </c>
      <c r="AF55" s="149">
        <v>16</v>
      </c>
      <c r="AG55" s="150">
        <f t="shared" si="16"/>
        <v>56</v>
      </c>
      <c r="AH55" s="291"/>
      <c r="AI55" s="149">
        <f t="shared" si="1"/>
        <v>3</v>
      </c>
      <c r="AJ55" s="148">
        <v>19</v>
      </c>
      <c r="AK55" s="149">
        <v>37</v>
      </c>
      <c r="AL55" s="150">
        <f t="shared" si="17"/>
        <v>56</v>
      </c>
      <c r="AM55" s="149">
        <v>16</v>
      </c>
      <c r="AN55" s="150">
        <f t="shared" si="18"/>
        <v>72</v>
      </c>
      <c r="AO55" s="291"/>
      <c r="AP55" s="149">
        <f t="shared" si="2"/>
        <v>4</v>
      </c>
      <c r="AQ55" s="148"/>
      <c r="AR55" s="149">
        <v>20</v>
      </c>
      <c r="AS55" s="149">
        <v>24</v>
      </c>
      <c r="AT55" s="149">
        <f t="shared" si="42"/>
        <v>44</v>
      </c>
      <c r="AU55" s="294"/>
      <c r="AV55" s="149">
        <f t="shared" si="20"/>
        <v>5</v>
      </c>
      <c r="AW55" s="148">
        <v>10</v>
      </c>
      <c r="AX55" s="149">
        <v>20</v>
      </c>
      <c r="AY55" s="150">
        <f t="shared" si="21"/>
        <v>30</v>
      </c>
      <c r="AZ55" s="149">
        <v>16</v>
      </c>
      <c r="BA55" s="150">
        <f t="shared" si="22"/>
        <v>46</v>
      </c>
      <c r="BB55" s="291"/>
      <c r="BC55" s="149">
        <f t="shared" si="23"/>
        <v>2</v>
      </c>
      <c r="BD55" s="148">
        <v>6</v>
      </c>
      <c r="BE55" s="149">
        <v>10</v>
      </c>
      <c r="BF55" s="150">
        <f t="shared" si="24"/>
        <v>16</v>
      </c>
      <c r="BG55" s="149">
        <v>10</v>
      </c>
      <c r="BH55" s="149">
        <v>25</v>
      </c>
      <c r="BI55" s="150">
        <f t="shared" si="25"/>
        <v>51</v>
      </c>
      <c r="BJ55" s="294"/>
      <c r="BK55" s="149" t="str">
        <f t="shared" si="3"/>
        <v>F</v>
      </c>
      <c r="BL55" s="148">
        <v>7</v>
      </c>
      <c r="BM55" s="149">
        <v>17</v>
      </c>
      <c r="BN55" s="150">
        <f t="shared" si="26"/>
        <v>24</v>
      </c>
      <c r="BO55" s="149">
        <v>15</v>
      </c>
      <c r="BP55" s="162">
        <v>25</v>
      </c>
      <c r="BQ55" s="150">
        <f t="shared" si="27"/>
        <v>64</v>
      </c>
      <c r="BR55" s="291"/>
      <c r="BS55" s="149">
        <f t="shared" si="28"/>
        <v>3.5</v>
      </c>
      <c r="BT55" s="148">
        <v>8</v>
      </c>
      <c r="BU55" s="149">
        <v>21</v>
      </c>
      <c r="BV55" s="150">
        <f t="shared" si="29"/>
        <v>29</v>
      </c>
      <c r="BW55" s="149">
        <v>16</v>
      </c>
      <c r="BX55" s="162">
        <v>25</v>
      </c>
      <c r="BY55" s="150">
        <f t="shared" si="30"/>
        <v>70</v>
      </c>
      <c r="BZ55" s="294"/>
      <c r="CA55" s="149">
        <f t="shared" si="31"/>
        <v>4</v>
      </c>
      <c r="CB55" s="148">
        <v>8</v>
      </c>
      <c r="CC55" s="149">
        <v>30</v>
      </c>
      <c r="CD55" s="150">
        <f t="shared" si="32"/>
        <v>38</v>
      </c>
      <c r="CE55" s="149">
        <v>19</v>
      </c>
      <c r="CF55" s="149">
        <v>25</v>
      </c>
      <c r="CG55" s="150">
        <f t="shared" si="33"/>
        <v>82</v>
      </c>
      <c r="CH55" s="291"/>
      <c r="CI55" s="164">
        <f t="shared" si="34"/>
        <v>5</v>
      </c>
      <c r="CJ55" s="149" t="str">
        <f t="shared" si="4"/>
        <v>F</v>
      </c>
      <c r="CK55" s="165" t="str">
        <f t="shared" si="35"/>
        <v>F</v>
      </c>
      <c r="CL55" s="165" t="str">
        <f t="shared" si="36"/>
        <v>F</v>
      </c>
      <c r="CM55" s="37" t="str">
        <f t="shared" si="5"/>
        <v>NEED TO PROGRESS</v>
      </c>
      <c r="CN55" s="217">
        <f t="shared" si="6"/>
        <v>734</v>
      </c>
      <c r="CO55" s="37"/>
      <c r="CP55" s="40"/>
      <c r="CQ55" s="215">
        <f>'1ST_SEMESTER'!CN55</f>
        <v>588</v>
      </c>
      <c r="CR55" s="215">
        <f>'2ND_SEMESTER'!CN55</f>
        <v>592.27600000000007</v>
      </c>
      <c r="CS55" s="215">
        <f t="shared" si="37"/>
        <v>734</v>
      </c>
      <c r="CT55" s="215">
        <f t="shared" si="38"/>
        <v>638.09199999999998</v>
      </c>
      <c r="CU55" s="226" t="str">
        <f>'1ST_SEMESTER'!CK55</f>
        <v>F</v>
      </c>
      <c r="CV55" s="226" t="str">
        <f>'2ND_SEMESTER'!CK55</f>
        <v>F</v>
      </c>
      <c r="CW55" s="226" t="str">
        <f t="shared" si="39"/>
        <v>F</v>
      </c>
      <c r="CX55" s="226" t="e">
        <f t="shared" si="40"/>
        <v>#DIV/0!</v>
      </c>
    </row>
    <row r="56" spans="1:102" s="197" customFormat="1" ht="27" customHeight="1">
      <c r="A56" s="144">
        <v>49</v>
      </c>
      <c r="B56" s="192">
        <v>35</v>
      </c>
      <c r="C56" s="177" t="s">
        <v>280</v>
      </c>
      <c r="D56" s="57" t="s">
        <v>281</v>
      </c>
      <c r="E56" s="57" t="s">
        <v>282</v>
      </c>
      <c r="F56" s="58" t="s">
        <v>283</v>
      </c>
      <c r="G56" s="148">
        <v>13</v>
      </c>
      <c r="H56" s="149">
        <v>36</v>
      </c>
      <c r="I56" s="150">
        <f t="shared" si="7"/>
        <v>49</v>
      </c>
      <c r="J56" s="149">
        <v>17</v>
      </c>
      <c r="K56" s="150">
        <f t="shared" si="41"/>
        <v>66</v>
      </c>
      <c r="L56" s="148">
        <v>19</v>
      </c>
      <c r="M56" s="149">
        <v>29</v>
      </c>
      <c r="N56" s="150">
        <f t="shared" si="8"/>
        <v>48</v>
      </c>
      <c r="O56" s="149">
        <v>24</v>
      </c>
      <c r="P56" s="150">
        <f t="shared" si="9"/>
        <v>72</v>
      </c>
      <c r="Q56" s="150">
        <f t="shared" si="10"/>
        <v>138</v>
      </c>
      <c r="R56" s="291"/>
      <c r="S56" s="149">
        <f t="shared" si="11"/>
        <v>3.5</v>
      </c>
      <c r="T56" s="148">
        <v>16</v>
      </c>
      <c r="U56" s="149">
        <v>43</v>
      </c>
      <c r="V56" s="150">
        <f t="shared" si="12"/>
        <v>59</v>
      </c>
      <c r="W56" s="149">
        <v>15</v>
      </c>
      <c r="X56" s="149">
        <v>35</v>
      </c>
      <c r="Y56" s="150">
        <f t="shared" si="13"/>
        <v>50</v>
      </c>
      <c r="Z56" s="150">
        <f t="shared" si="14"/>
        <v>109</v>
      </c>
      <c r="AA56" s="291"/>
      <c r="AB56" s="149">
        <f t="shared" si="0"/>
        <v>3</v>
      </c>
      <c r="AC56" s="148">
        <v>13</v>
      </c>
      <c r="AD56" s="149">
        <v>8</v>
      </c>
      <c r="AE56" s="150">
        <f t="shared" si="15"/>
        <v>21</v>
      </c>
      <c r="AF56" s="149">
        <v>14</v>
      </c>
      <c r="AG56" s="150">
        <f t="shared" si="16"/>
        <v>35</v>
      </c>
      <c r="AH56" s="291"/>
      <c r="AI56" s="149" t="str">
        <f t="shared" si="1"/>
        <v>F</v>
      </c>
      <c r="AJ56" s="148">
        <v>13</v>
      </c>
      <c r="AK56" s="149">
        <v>27</v>
      </c>
      <c r="AL56" s="150">
        <f t="shared" si="17"/>
        <v>40</v>
      </c>
      <c r="AM56" s="149">
        <v>18</v>
      </c>
      <c r="AN56" s="150">
        <f t="shared" si="18"/>
        <v>58</v>
      </c>
      <c r="AO56" s="291"/>
      <c r="AP56" s="149">
        <f t="shared" si="2"/>
        <v>3</v>
      </c>
      <c r="AQ56" s="148"/>
      <c r="AR56" s="149">
        <v>21</v>
      </c>
      <c r="AS56" s="149">
        <v>24</v>
      </c>
      <c r="AT56" s="149">
        <f t="shared" si="42"/>
        <v>45</v>
      </c>
      <c r="AU56" s="294"/>
      <c r="AV56" s="149">
        <f t="shared" si="20"/>
        <v>5</v>
      </c>
      <c r="AW56" s="148">
        <v>10</v>
      </c>
      <c r="AX56" s="149">
        <v>20</v>
      </c>
      <c r="AY56" s="150">
        <f t="shared" si="21"/>
        <v>30</v>
      </c>
      <c r="AZ56" s="149">
        <v>20</v>
      </c>
      <c r="BA56" s="150">
        <f t="shared" si="22"/>
        <v>50</v>
      </c>
      <c r="BB56" s="291"/>
      <c r="BC56" s="149">
        <f t="shared" si="23"/>
        <v>3</v>
      </c>
      <c r="BD56" s="148">
        <v>7</v>
      </c>
      <c r="BE56" s="149">
        <v>22</v>
      </c>
      <c r="BF56" s="150">
        <f t="shared" si="24"/>
        <v>29</v>
      </c>
      <c r="BG56" s="149">
        <v>15</v>
      </c>
      <c r="BH56" s="149">
        <v>25</v>
      </c>
      <c r="BI56" s="150">
        <f t="shared" si="25"/>
        <v>69</v>
      </c>
      <c r="BJ56" s="294"/>
      <c r="BK56" s="149">
        <f t="shared" si="3"/>
        <v>3.5</v>
      </c>
      <c r="BL56" s="148">
        <v>10</v>
      </c>
      <c r="BM56" s="149">
        <v>10</v>
      </c>
      <c r="BN56" s="150">
        <f t="shared" si="26"/>
        <v>20</v>
      </c>
      <c r="BO56" s="149">
        <v>20</v>
      </c>
      <c r="BP56" s="162">
        <v>25</v>
      </c>
      <c r="BQ56" s="150">
        <f t="shared" si="27"/>
        <v>65</v>
      </c>
      <c r="BR56" s="291"/>
      <c r="BS56" s="149">
        <f t="shared" si="28"/>
        <v>3.5</v>
      </c>
      <c r="BT56" s="148">
        <v>9</v>
      </c>
      <c r="BU56" s="149">
        <v>21</v>
      </c>
      <c r="BV56" s="150">
        <f t="shared" si="29"/>
        <v>30</v>
      </c>
      <c r="BW56" s="149">
        <v>13</v>
      </c>
      <c r="BX56" s="162">
        <v>25</v>
      </c>
      <c r="BY56" s="150">
        <f t="shared" si="30"/>
        <v>68</v>
      </c>
      <c r="BZ56" s="294"/>
      <c r="CA56" s="149">
        <f t="shared" si="31"/>
        <v>3.5</v>
      </c>
      <c r="CB56" s="148">
        <v>5</v>
      </c>
      <c r="CC56" s="149">
        <v>30</v>
      </c>
      <c r="CD56" s="150">
        <f t="shared" si="32"/>
        <v>35</v>
      </c>
      <c r="CE56" s="149">
        <v>12</v>
      </c>
      <c r="CF56" s="149">
        <v>23</v>
      </c>
      <c r="CG56" s="150">
        <f t="shared" si="33"/>
        <v>70</v>
      </c>
      <c r="CH56" s="291"/>
      <c r="CI56" s="164">
        <f t="shared" si="34"/>
        <v>4</v>
      </c>
      <c r="CJ56" s="149" t="str">
        <f t="shared" si="4"/>
        <v>F</v>
      </c>
      <c r="CK56" s="165" t="str">
        <f t="shared" si="35"/>
        <v>F</v>
      </c>
      <c r="CL56" s="165" t="str">
        <f t="shared" si="36"/>
        <v>F</v>
      </c>
      <c r="CM56" s="37" t="str">
        <f t="shared" si="5"/>
        <v>NEED TO PROGRESS</v>
      </c>
      <c r="CN56" s="217">
        <f t="shared" si="6"/>
        <v>707</v>
      </c>
      <c r="CO56" s="37"/>
      <c r="CP56" s="40"/>
      <c r="CQ56" s="215">
        <f>'1ST_SEMESTER'!CN56</f>
        <v>613</v>
      </c>
      <c r="CR56" s="215">
        <f>'2ND_SEMESTER'!CN56</f>
        <v>608.70600000000002</v>
      </c>
      <c r="CS56" s="215">
        <f t="shared" si="37"/>
        <v>707</v>
      </c>
      <c r="CT56" s="215">
        <f t="shared" si="38"/>
        <v>642.90200000000004</v>
      </c>
      <c r="CU56" s="226" t="str">
        <f>'1ST_SEMESTER'!CK56</f>
        <v>F</v>
      </c>
      <c r="CV56" s="226" t="str">
        <f>'2ND_SEMESTER'!CK56</f>
        <v>F</v>
      </c>
      <c r="CW56" s="226" t="str">
        <f t="shared" si="39"/>
        <v>F</v>
      </c>
      <c r="CX56" s="226" t="e">
        <f t="shared" si="40"/>
        <v>#DIV/0!</v>
      </c>
    </row>
    <row r="57" spans="1:102" s="197" customFormat="1" ht="27" customHeight="1">
      <c r="A57" s="144">
        <v>50</v>
      </c>
      <c r="B57" s="192">
        <v>40</v>
      </c>
      <c r="C57" s="177" t="s">
        <v>284</v>
      </c>
      <c r="D57" s="57" t="s">
        <v>285</v>
      </c>
      <c r="E57" s="57" t="s">
        <v>286</v>
      </c>
      <c r="F57" s="58" t="s">
        <v>287</v>
      </c>
      <c r="G57" s="148">
        <v>14</v>
      </c>
      <c r="H57" s="149">
        <v>31</v>
      </c>
      <c r="I57" s="150">
        <f t="shared" si="7"/>
        <v>45</v>
      </c>
      <c r="J57" s="149">
        <v>13</v>
      </c>
      <c r="K57" s="150">
        <f t="shared" si="41"/>
        <v>58</v>
      </c>
      <c r="L57" s="148">
        <v>20</v>
      </c>
      <c r="M57" s="149">
        <v>38</v>
      </c>
      <c r="N57" s="150">
        <f t="shared" si="8"/>
        <v>58</v>
      </c>
      <c r="O57" s="149">
        <v>13</v>
      </c>
      <c r="P57" s="150">
        <f t="shared" si="9"/>
        <v>71</v>
      </c>
      <c r="Q57" s="150">
        <f t="shared" si="10"/>
        <v>129</v>
      </c>
      <c r="R57" s="291"/>
      <c r="S57" s="149">
        <f t="shared" si="11"/>
        <v>3.5</v>
      </c>
      <c r="T57" s="148">
        <v>18</v>
      </c>
      <c r="U57" s="149">
        <v>54</v>
      </c>
      <c r="V57" s="150">
        <f t="shared" si="12"/>
        <v>72</v>
      </c>
      <c r="W57" s="149">
        <v>16</v>
      </c>
      <c r="X57" s="149">
        <v>39</v>
      </c>
      <c r="Y57" s="150">
        <f t="shared" si="13"/>
        <v>55</v>
      </c>
      <c r="Z57" s="150">
        <f t="shared" si="14"/>
        <v>127</v>
      </c>
      <c r="AA57" s="291"/>
      <c r="AB57" s="149">
        <f t="shared" si="0"/>
        <v>3.5</v>
      </c>
      <c r="AC57" s="148">
        <v>17</v>
      </c>
      <c r="AD57" s="149">
        <v>22</v>
      </c>
      <c r="AE57" s="150">
        <f t="shared" si="15"/>
        <v>39</v>
      </c>
      <c r="AF57" s="149">
        <v>17</v>
      </c>
      <c r="AG57" s="150">
        <f t="shared" si="16"/>
        <v>56</v>
      </c>
      <c r="AH57" s="291"/>
      <c r="AI57" s="149">
        <f t="shared" si="1"/>
        <v>3</v>
      </c>
      <c r="AJ57" s="148">
        <v>18</v>
      </c>
      <c r="AK57" s="149">
        <v>39</v>
      </c>
      <c r="AL57" s="150">
        <f t="shared" si="17"/>
        <v>57</v>
      </c>
      <c r="AM57" s="149">
        <v>18</v>
      </c>
      <c r="AN57" s="150">
        <f t="shared" si="18"/>
        <v>75</v>
      </c>
      <c r="AO57" s="291"/>
      <c r="AP57" s="149">
        <f t="shared" si="2"/>
        <v>4</v>
      </c>
      <c r="AQ57" s="148"/>
      <c r="AR57" s="149">
        <v>21</v>
      </c>
      <c r="AS57" s="149">
        <v>24</v>
      </c>
      <c r="AT57" s="149">
        <f t="shared" si="42"/>
        <v>45</v>
      </c>
      <c r="AU57" s="294"/>
      <c r="AV57" s="149">
        <f t="shared" si="20"/>
        <v>5</v>
      </c>
      <c r="AW57" s="148">
        <v>12</v>
      </c>
      <c r="AX57" s="149">
        <v>20</v>
      </c>
      <c r="AY57" s="150">
        <f t="shared" si="21"/>
        <v>32</v>
      </c>
      <c r="AZ57" s="149">
        <v>12</v>
      </c>
      <c r="BA57" s="150">
        <f t="shared" si="22"/>
        <v>44</v>
      </c>
      <c r="BB57" s="291"/>
      <c r="BC57" s="149">
        <f t="shared" si="23"/>
        <v>2</v>
      </c>
      <c r="BD57" s="148">
        <v>6</v>
      </c>
      <c r="BE57" s="149">
        <v>16</v>
      </c>
      <c r="BF57" s="150">
        <f t="shared" si="24"/>
        <v>22</v>
      </c>
      <c r="BG57" s="149">
        <v>10</v>
      </c>
      <c r="BH57" s="149">
        <v>25</v>
      </c>
      <c r="BI57" s="150">
        <f t="shared" si="25"/>
        <v>57</v>
      </c>
      <c r="BJ57" s="294"/>
      <c r="BK57" s="149">
        <f t="shared" si="3"/>
        <v>3</v>
      </c>
      <c r="BL57" s="148">
        <v>7</v>
      </c>
      <c r="BM57" s="149">
        <v>16</v>
      </c>
      <c r="BN57" s="150">
        <f t="shared" si="26"/>
        <v>23</v>
      </c>
      <c r="BO57" s="149">
        <v>10</v>
      </c>
      <c r="BP57" s="162">
        <v>25</v>
      </c>
      <c r="BQ57" s="150">
        <f t="shared" si="27"/>
        <v>58</v>
      </c>
      <c r="BR57" s="291"/>
      <c r="BS57" s="149">
        <f t="shared" si="28"/>
        <v>3</v>
      </c>
      <c r="BT57" s="148">
        <v>7</v>
      </c>
      <c r="BU57" s="149">
        <v>25</v>
      </c>
      <c r="BV57" s="150">
        <f t="shared" si="29"/>
        <v>32</v>
      </c>
      <c r="BW57" s="149">
        <v>15</v>
      </c>
      <c r="BX57" s="162">
        <v>25</v>
      </c>
      <c r="BY57" s="150">
        <f t="shared" si="30"/>
        <v>72</v>
      </c>
      <c r="BZ57" s="294"/>
      <c r="CA57" s="149">
        <f t="shared" si="31"/>
        <v>4</v>
      </c>
      <c r="CB57" s="148">
        <v>6</v>
      </c>
      <c r="CC57" s="149">
        <v>13</v>
      </c>
      <c r="CD57" s="150">
        <f t="shared" si="32"/>
        <v>19</v>
      </c>
      <c r="CE57" s="149">
        <v>13</v>
      </c>
      <c r="CF57" s="149">
        <v>23</v>
      </c>
      <c r="CG57" s="150">
        <f t="shared" si="33"/>
        <v>55</v>
      </c>
      <c r="CH57" s="291"/>
      <c r="CI57" s="164" t="str">
        <f t="shared" si="34"/>
        <v>0</v>
      </c>
      <c r="CJ57" s="149">
        <f t="shared" si="4"/>
        <v>29</v>
      </c>
      <c r="CK57" s="165">
        <f t="shared" si="35"/>
        <v>3.2222222222222223</v>
      </c>
      <c r="CL57" s="165" t="str">
        <f t="shared" si="36"/>
        <v>B</v>
      </c>
      <c r="CM57" s="37" t="str">
        <f t="shared" si="5"/>
        <v>GOOD</v>
      </c>
      <c r="CN57" s="217">
        <f t="shared" si="6"/>
        <v>718</v>
      </c>
      <c r="CO57" s="37"/>
      <c r="CP57" s="40"/>
      <c r="CQ57" s="215">
        <f>'1ST_SEMESTER'!CN57</f>
        <v>628</v>
      </c>
      <c r="CR57" s="215">
        <f>'2ND_SEMESTER'!CN57</f>
        <v>670.13599999999997</v>
      </c>
      <c r="CS57" s="215">
        <f t="shared" si="37"/>
        <v>718</v>
      </c>
      <c r="CT57" s="215">
        <f t="shared" si="38"/>
        <v>672.04533333333336</v>
      </c>
      <c r="CU57" s="226" t="str">
        <f>'1ST_SEMESTER'!CK57</f>
        <v>F</v>
      </c>
      <c r="CV57" s="226">
        <f>'2ND_SEMESTER'!CK57</f>
        <v>3</v>
      </c>
      <c r="CW57" s="226">
        <f t="shared" si="39"/>
        <v>3.2222222222222223</v>
      </c>
      <c r="CX57" s="226">
        <f t="shared" si="40"/>
        <v>3.1111111111111112</v>
      </c>
    </row>
    <row r="58" spans="1:102" s="197" customFormat="1" ht="27" customHeight="1">
      <c r="A58" s="144">
        <v>51</v>
      </c>
      <c r="B58" s="192">
        <v>43</v>
      </c>
      <c r="C58" s="177" t="s">
        <v>288</v>
      </c>
      <c r="D58" s="57" t="s">
        <v>289</v>
      </c>
      <c r="E58" s="57" t="s">
        <v>290</v>
      </c>
      <c r="F58" s="58" t="s">
        <v>291</v>
      </c>
      <c r="G58" s="148">
        <v>20</v>
      </c>
      <c r="H58" s="149">
        <v>41</v>
      </c>
      <c r="I58" s="150">
        <f t="shared" si="7"/>
        <v>61</v>
      </c>
      <c r="J58" s="149">
        <v>20</v>
      </c>
      <c r="K58" s="150">
        <f t="shared" si="41"/>
        <v>81</v>
      </c>
      <c r="L58" s="148">
        <v>20</v>
      </c>
      <c r="M58" s="149">
        <v>43</v>
      </c>
      <c r="N58" s="150">
        <f t="shared" si="8"/>
        <v>63</v>
      </c>
      <c r="O58" s="149">
        <v>25</v>
      </c>
      <c r="P58" s="150">
        <f t="shared" si="9"/>
        <v>88</v>
      </c>
      <c r="Q58" s="150">
        <f t="shared" si="10"/>
        <v>169</v>
      </c>
      <c r="R58" s="291"/>
      <c r="S58" s="149">
        <f t="shared" si="11"/>
        <v>5</v>
      </c>
      <c r="T58" s="148">
        <v>19</v>
      </c>
      <c r="U58" s="149">
        <v>42</v>
      </c>
      <c r="V58" s="150">
        <f t="shared" si="12"/>
        <v>61</v>
      </c>
      <c r="W58" s="149">
        <v>19</v>
      </c>
      <c r="X58" s="149">
        <v>36</v>
      </c>
      <c r="Y58" s="150">
        <f t="shared" si="13"/>
        <v>55</v>
      </c>
      <c r="Z58" s="150">
        <f t="shared" si="14"/>
        <v>116</v>
      </c>
      <c r="AA58" s="291"/>
      <c r="AB58" s="149">
        <f t="shared" si="0"/>
        <v>3</v>
      </c>
      <c r="AC58" s="148">
        <v>19</v>
      </c>
      <c r="AD58" s="149">
        <v>31</v>
      </c>
      <c r="AE58" s="150">
        <f t="shared" si="15"/>
        <v>50</v>
      </c>
      <c r="AF58" s="149">
        <v>17</v>
      </c>
      <c r="AG58" s="150">
        <f t="shared" si="16"/>
        <v>67</v>
      </c>
      <c r="AH58" s="291"/>
      <c r="AI58" s="149">
        <f t="shared" si="1"/>
        <v>3.5</v>
      </c>
      <c r="AJ58" s="148">
        <v>20</v>
      </c>
      <c r="AK58" s="149">
        <v>44</v>
      </c>
      <c r="AL58" s="150">
        <f t="shared" si="17"/>
        <v>64</v>
      </c>
      <c r="AM58" s="149">
        <v>24</v>
      </c>
      <c r="AN58" s="150">
        <f t="shared" si="18"/>
        <v>88</v>
      </c>
      <c r="AO58" s="291"/>
      <c r="AP58" s="149">
        <f t="shared" si="2"/>
        <v>5</v>
      </c>
      <c r="AQ58" s="148"/>
      <c r="AR58" s="149">
        <v>20</v>
      </c>
      <c r="AS58" s="149">
        <v>24</v>
      </c>
      <c r="AT58" s="149">
        <f t="shared" si="42"/>
        <v>44</v>
      </c>
      <c r="AU58" s="294"/>
      <c r="AV58" s="149">
        <f t="shared" si="20"/>
        <v>5</v>
      </c>
      <c r="AW58" s="148">
        <v>14</v>
      </c>
      <c r="AX58" s="149">
        <v>25</v>
      </c>
      <c r="AY58" s="150">
        <f t="shared" si="21"/>
        <v>39</v>
      </c>
      <c r="AZ58" s="149">
        <v>20</v>
      </c>
      <c r="BA58" s="150">
        <f t="shared" si="22"/>
        <v>59</v>
      </c>
      <c r="BB58" s="291"/>
      <c r="BC58" s="149">
        <f t="shared" si="23"/>
        <v>3</v>
      </c>
      <c r="BD58" s="148">
        <v>6</v>
      </c>
      <c r="BE58" s="149">
        <v>16</v>
      </c>
      <c r="BF58" s="150">
        <f t="shared" si="24"/>
        <v>22</v>
      </c>
      <c r="BG58" s="149">
        <v>10</v>
      </c>
      <c r="BH58" s="149">
        <v>25</v>
      </c>
      <c r="BI58" s="150">
        <f t="shared" si="25"/>
        <v>57</v>
      </c>
      <c r="BJ58" s="294"/>
      <c r="BK58" s="149">
        <f t="shared" si="3"/>
        <v>3</v>
      </c>
      <c r="BL58" s="148">
        <v>10</v>
      </c>
      <c r="BM58" s="149">
        <v>22</v>
      </c>
      <c r="BN58" s="150">
        <f t="shared" si="26"/>
        <v>32</v>
      </c>
      <c r="BO58" s="149">
        <v>15</v>
      </c>
      <c r="BP58" s="162">
        <v>25</v>
      </c>
      <c r="BQ58" s="150">
        <f t="shared" si="27"/>
        <v>72</v>
      </c>
      <c r="BR58" s="291"/>
      <c r="BS58" s="149">
        <f t="shared" si="28"/>
        <v>4</v>
      </c>
      <c r="BT58" s="148">
        <v>9</v>
      </c>
      <c r="BU58" s="149">
        <v>29</v>
      </c>
      <c r="BV58" s="150">
        <f t="shared" si="29"/>
        <v>38</v>
      </c>
      <c r="BW58" s="149">
        <v>17</v>
      </c>
      <c r="BX58" s="162">
        <v>25</v>
      </c>
      <c r="BY58" s="150">
        <f t="shared" si="30"/>
        <v>80</v>
      </c>
      <c r="BZ58" s="294"/>
      <c r="CA58" s="149">
        <f t="shared" si="31"/>
        <v>5</v>
      </c>
      <c r="CB58" s="148">
        <v>9</v>
      </c>
      <c r="CC58" s="149">
        <v>23</v>
      </c>
      <c r="CD58" s="150">
        <f t="shared" si="32"/>
        <v>32</v>
      </c>
      <c r="CE58" s="149">
        <v>11</v>
      </c>
      <c r="CF58" s="149">
        <v>23</v>
      </c>
      <c r="CG58" s="150">
        <f t="shared" si="33"/>
        <v>66</v>
      </c>
      <c r="CH58" s="291"/>
      <c r="CI58" s="164">
        <f t="shared" si="34"/>
        <v>3.5</v>
      </c>
      <c r="CJ58" s="149">
        <f t="shared" si="4"/>
        <v>38</v>
      </c>
      <c r="CK58" s="165">
        <f t="shared" si="35"/>
        <v>4.2222222222222223</v>
      </c>
      <c r="CL58" s="165" t="str">
        <f t="shared" si="36"/>
        <v>A</v>
      </c>
      <c r="CM58" s="37" t="str">
        <f t="shared" si="5"/>
        <v>BETTER</v>
      </c>
      <c r="CN58" s="217">
        <f t="shared" si="6"/>
        <v>818</v>
      </c>
      <c r="CO58" s="37"/>
      <c r="CP58" s="40"/>
      <c r="CQ58" s="215">
        <f>'1ST_SEMESTER'!CN58</f>
        <v>621</v>
      </c>
      <c r="CR58" s="215">
        <f>'2ND_SEMESTER'!CN58</f>
        <v>672.56200000000001</v>
      </c>
      <c r="CS58" s="215">
        <f t="shared" si="37"/>
        <v>818</v>
      </c>
      <c r="CT58" s="215">
        <f t="shared" si="38"/>
        <v>703.85399999999993</v>
      </c>
      <c r="CU58" s="226" t="str">
        <f>'1ST_SEMESTER'!CK58</f>
        <v>F</v>
      </c>
      <c r="CV58" s="226">
        <f>'2ND_SEMESTER'!CK58</f>
        <v>3.3888888888888888</v>
      </c>
      <c r="CW58" s="226">
        <f t="shared" si="39"/>
        <v>4.2222222222222223</v>
      </c>
      <c r="CX58" s="226">
        <f t="shared" si="40"/>
        <v>3.8055555555555554</v>
      </c>
    </row>
    <row r="59" spans="1:102" s="197" customFormat="1" ht="27" customHeight="1">
      <c r="A59" s="144">
        <v>52</v>
      </c>
      <c r="B59" s="192">
        <v>45</v>
      </c>
      <c r="C59" s="177" t="s">
        <v>292</v>
      </c>
      <c r="D59" s="57" t="s">
        <v>293</v>
      </c>
      <c r="E59" s="57" t="s">
        <v>294</v>
      </c>
      <c r="F59" s="58" t="s">
        <v>295</v>
      </c>
      <c r="G59" s="148">
        <v>18</v>
      </c>
      <c r="H59" s="149">
        <v>36</v>
      </c>
      <c r="I59" s="150">
        <f t="shared" si="7"/>
        <v>54</v>
      </c>
      <c r="J59" s="149">
        <v>20</v>
      </c>
      <c r="K59" s="150">
        <f t="shared" si="41"/>
        <v>74</v>
      </c>
      <c r="L59" s="148">
        <v>20</v>
      </c>
      <c r="M59" s="149">
        <v>39</v>
      </c>
      <c r="N59" s="150">
        <f t="shared" si="8"/>
        <v>59</v>
      </c>
      <c r="O59" s="149">
        <v>20</v>
      </c>
      <c r="P59" s="150">
        <f t="shared" si="9"/>
        <v>79</v>
      </c>
      <c r="Q59" s="150">
        <f t="shared" si="10"/>
        <v>153</v>
      </c>
      <c r="R59" s="291"/>
      <c r="S59" s="149">
        <f t="shared" si="11"/>
        <v>4</v>
      </c>
      <c r="T59" s="148">
        <v>16</v>
      </c>
      <c r="U59" s="149">
        <v>37</v>
      </c>
      <c r="V59" s="150">
        <f t="shared" si="12"/>
        <v>53</v>
      </c>
      <c r="W59" s="149">
        <v>15</v>
      </c>
      <c r="X59" s="149">
        <v>32</v>
      </c>
      <c r="Y59" s="150">
        <f t="shared" si="13"/>
        <v>47</v>
      </c>
      <c r="Z59" s="150">
        <f t="shared" si="14"/>
        <v>100</v>
      </c>
      <c r="AA59" s="291"/>
      <c r="AB59" s="149">
        <f t="shared" si="0"/>
        <v>3</v>
      </c>
      <c r="AC59" s="148">
        <v>17</v>
      </c>
      <c r="AD59" s="149">
        <v>20</v>
      </c>
      <c r="AE59" s="150">
        <f t="shared" si="15"/>
        <v>37</v>
      </c>
      <c r="AF59" s="149">
        <v>15</v>
      </c>
      <c r="AG59" s="150">
        <f t="shared" si="16"/>
        <v>52</v>
      </c>
      <c r="AH59" s="291"/>
      <c r="AI59" s="149">
        <f t="shared" si="1"/>
        <v>3</v>
      </c>
      <c r="AJ59" s="148">
        <v>18</v>
      </c>
      <c r="AK59" s="149">
        <v>39</v>
      </c>
      <c r="AL59" s="150">
        <f t="shared" si="17"/>
        <v>57</v>
      </c>
      <c r="AM59" s="149">
        <v>20</v>
      </c>
      <c r="AN59" s="150">
        <f t="shared" si="18"/>
        <v>77</v>
      </c>
      <c r="AO59" s="291"/>
      <c r="AP59" s="149">
        <f t="shared" si="2"/>
        <v>4</v>
      </c>
      <c r="AQ59" s="148"/>
      <c r="AR59" s="149">
        <v>21</v>
      </c>
      <c r="AS59" s="149">
        <v>24</v>
      </c>
      <c r="AT59" s="149">
        <f t="shared" si="42"/>
        <v>45</v>
      </c>
      <c r="AU59" s="294"/>
      <c r="AV59" s="149">
        <f t="shared" si="20"/>
        <v>5</v>
      </c>
      <c r="AW59" s="148">
        <v>11</v>
      </c>
      <c r="AX59" s="149">
        <v>20</v>
      </c>
      <c r="AY59" s="150">
        <f t="shared" si="21"/>
        <v>31</v>
      </c>
      <c r="AZ59" s="149">
        <v>13</v>
      </c>
      <c r="BA59" s="150">
        <f t="shared" si="22"/>
        <v>44</v>
      </c>
      <c r="BB59" s="291"/>
      <c r="BC59" s="149">
        <f t="shared" si="23"/>
        <v>2</v>
      </c>
      <c r="BD59" s="148">
        <v>6</v>
      </c>
      <c r="BE59" s="149">
        <v>16</v>
      </c>
      <c r="BF59" s="150">
        <f t="shared" si="24"/>
        <v>22</v>
      </c>
      <c r="BG59" s="149">
        <v>10</v>
      </c>
      <c r="BH59" s="149">
        <v>25</v>
      </c>
      <c r="BI59" s="150">
        <f t="shared" si="25"/>
        <v>57</v>
      </c>
      <c r="BJ59" s="294"/>
      <c r="BK59" s="149">
        <f t="shared" si="3"/>
        <v>3</v>
      </c>
      <c r="BL59" s="148">
        <v>7</v>
      </c>
      <c r="BM59" s="149">
        <v>27</v>
      </c>
      <c r="BN59" s="150">
        <f t="shared" si="26"/>
        <v>34</v>
      </c>
      <c r="BO59" s="149">
        <v>21</v>
      </c>
      <c r="BP59" s="162">
        <v>25</v>
      </c>
      <c r="BQ59" s="150">
        <f t="shared" si="27"/>
        <v>80</v>
      </c>
      <c r="BR59" s="291"/>
      <c r="BS59" s="149">
        <f t="shared" si="28"/>
        <v>5</v>
      </c>
      <c r="BT59" s="148">
        <v>9</v>
      </c>
      <c r="BU59" s="149">
        <v>21</v>
      </c>
      <c r="BV59" s="150">
        <f t="shared" si="29"/>
        <v>30</v>
      </c>
      <c r="BW59" s="149">
        <v>16</v>
      </c>
      <c r="BX59" s="162">
        <v>25</v>
      </c>
      <c r="BY59" s="150">
        <f t="shared" si="30"/>
        <v>71</v>
      </c>
      <c r="BZ59" s="294"/>
      <c r="CA59" s="149">
        <f t="shared" si="31"/>
        <v>4</v>
      </c>
      <c r="CB59" s="148">
        <v>8</v>
      </c>
      <c r="CC59" s="149">
        <v>22</v>
      </c>
      <c r="CD59" s="150">
        <f t="shared" si="32"/>
        <v>30</v>
      </c>
      <c r="CE59" s="149">
        <v>14</v>
      </c>
      <c r="CF59" s="149">
        <v>23</v>
      </c>
      <c r="CG59" s="150">
        <f t="shared" si="33"/>
        <v>67</v>
      </c>
      <c r="CH59" s="291"/>
      <c r="CI59" s="164">
        <f t="shared" si="34"/>
        <v>3.5</v>
      </c>
      <c r="CJ59" s="149">
        <f t="shared" si="4"/>
        <v>34.5</v>
      </c>
      <c r="CK59" s="165">
        <f t="shared" si="35"/>
        <v>3.8333333333333335</v>
      </c>
      <c r="CL59" s="165" t="str">
        <f t="shared" si="36"/>
        <v>A-</v>
      </c>
      <c r="CM59" s="37" t="str">
        <f t="shared" si="5"/>
        <v>GOOD</v>
      </c>
      <c r="CN59" s="217">
        <f t="shared" si="6"/>
        <v>746</v>
      </c>
      <c r="CO59" s="37"/>
      <c r="CP59" s="40"/>
      <c r="CQ59" s="215">
        <f>'1ST_SEMESTER'!CN59</f>
        <v>702</v>
      </c>
      <c r="CR59" s="215">
        <f>'2ND_SEMESTER'!CN59</f>
        <v>759.70600000000002</v>
      </c>
      <c r="CS59" s="215">
        <f t="shared" si="37"/>
        <v>746</v>
      </c>
      <c r="CT59" s="215">
        <f t="shared" si="38"/>
        <v>735.90200000000004</v>
      </c>
      <c r="CU59" s="226" t="str">
        <f>'1ST_SEMESTER'!CK59</f>
        <v>F</v>
      </c>
      <c r="CV59" s="226">
        <f>'2ND_SEMESTER'!CK59</f>
        <v>3.8888888888888888</v>
      </c>
      <c r="CW59" s="226">
        <f t="shared" si="39"/>
        <v>3.8333333333333335</v>
      </c>
      <c r="CX59" s="226">
        <f t="shared" si="40"/>
        <v>3.8611111111111112</v>
      </c>
    </row>
    <row r="60" spans="1:102" s="197" customFormat="1" ht="27" customHeight="1">
      <c r="A60" s="144">
        <v>53</v>
      </c>
      <c r="B60" s="192">
        <v>48</v>
      </c>
      <c r="C60" s="178" t="s">
        <v>296</v>
      </c>
      <c r="D60" s="57" t="s">
        <v>297</v>
      </c>
      <c r="E60" s="57" t="s">
        <v>298</v>
      </c>
      <c r="F60" s="58" t="s">
        <v>299</v>
      </c>
      <c r="G60" s="148">
        <v>17</v>
      </c>
      <c r="H60" s="149">
        <v>26</v>
      </c>
      <c r="I60" s="150">
        <f t="shared" si="7"/>
        <v>43</v>
      </c>
      <c r="J60" s="149">
        <v>19</v>
      </c>
      <c r="K60" s="150">
        <f t="shared" si="41"/>
        <v>62</v>
      </c>
      <c r="L60" s="148">
        <v>19</v>
      </c>
      <c r="M60" s="149">
        <v>33</v>
      </c>
      <c r="N60" s="150">
        <f t="shared" si="8"/>
        <v>52</v>
      </c>
      <c r="O60" s="149">
        <v>21</v>
      </c>
      <c r="P60" s="150">
        <f t="shared" si="9"/>
        <v>73</v>
      </c>
      <c r="Q60" s="150">
        <f t="shared" si="10"/>
        <v>135</v>
      </c>
      <c r="R60" s="291"/>
      <c r="S60" s="149">
        <f t="shared" si="11"/>
        <v>3.5</v>
      </c>
      <c r="T60" s="148">
        <v>16</v>
      </c>
      <c r="U60" s="149">
        <v>37</v>
      </c>
      <c r="V60" s="150">
        <f t="shared" si="12"/>
        <v>53</v>
      </c>
      <c r="W60" s="149">
        <v>19</v>
      </c>
      <c r="X60" s="149">
        <v>43</v>
      </c>
      <c r="Y60" s="150">
        <f t="shared" si="13"/>
        <v>62</v>
      </c>
      <c r="Z60" s="150">
        <f t="shared" si="14"/>
        <v>115</v>
      </c>
      <c r="AA60" s="291"/>
      <c r="AB60" s="149">
        <f t="shared" si="0"/>
        <v>3</v>
      </c>
      <c r="AC60" s="148">
        <v>19</v>
      </c>
      <c r="AD60" s="149">
        <v>20</v>
      </c>
      <c r="AE60" s="150">
        <f t="shared" si="15"/>
        <v>39</v>
      </c>
      <c r="AF60" s="149">
        <v>18</v>
      </c>
      <c r="AG60" s="150">
        <f t="shared" si="16"/>
        <v>57</v>
      </c>
      <c r="AH60" s="291"/>
      <c r="AI60" s="149">
        <f t="shared" si="1"/>
        <v>3</v>
      </c>
      <c r="AJ60" s="148">
        <v>16</v>
      </c>
      <c r="AK60" s="149">
        <v>39</v>
      </c>
      <c r="AL60" s="150">
        <f t="shared" si="17"/>
        <v>55</v>
      </c>
      <c r="AM60" s="149">
        <v>22</v>
      </c>
      <c r="AN60" s="150">
        <f t="shared" si="18"/>
        <v>77</v>
      </c>
      <c r="AO60" s="291"/>
      <c r="AP60" s="149">
        <f t="shared" si="2"/>
        <v>4</v>
      </c>
      <c r="AQ60" s="148"/>
      <c r="AR60" s="149">
        <v>20</v>
      </c>
      <c r="AS60" s="149">
        <v>24</v>
      </c>
      <c r="AT60" s="149">
        <f t="shared" si="42"/>
        <v>44</v>
      </c>
      <c r="AU60" s="294"/>
      <c r="AV60" s="149">
        <f t="shared" si="20"/>
        <v>5</v>
      </c>
      <c r="AW60" s="148">
        <v>10</v>
      </c>
      <c r="AX60" s="149">
        <v>22</v>
      </c>
      <c r="AY60" s="150">
        <f t="shared" si="21"/>
        <v>32</v>
      </c>
      <c r="AZ60" s="149">
        <v>22</v>
      </c>
      <c r="BA60" s="150">
        <f t="shared" si="22"/>
        <v>54</v>
      </c>
      <c r="BB60" s="291"/>
      <c r="BC60" s="149">
        <f t="shared" si="23"/>
        <v>3</v>
      </c>
      <c r="BD60" s="148">
        <v>7</v>
      </c>
      <c r="BE60" s="149">
        <v>16</v>
      </c>
      <c r="BF60" s="150">
        <f t="shared" si="24"/>
        <v>23</v>
      </c>
      <c r="BG60" s="149">
        <v>12</v>
      </c>
      <c r="BH60" s="149">
        <v>25</v>
      </c>
      <c r="BI60" s="150">
        <f t="shared" si="25"/>
        <v>60</v>
      </c>
      <c r="BJ60" s="294"/>
      <c r="BK60" s="149">
        <f t="shared" si="3"/>
        <v>3.5</v>
      </c>
      <c r="BL60" s="148">
        <v>8</v>
      </c>
      <c r="BM60" s="149">
        <v>16</v>
      </c>
      <c r="BN60" s="150">
        <f t="shared" si="26"/>
        <v>24</v>
      </c>
      <c r="BO60" s="149">
        <v>17</v>
      </c>
      <c r="BP60" s="162">
        <v>25</v>
      </c>
      <c r="BQ60" s="150">
        <f t="shared" si="27"/>
        <v>66</v>
      </c>
      <c r="BR60" s="291"/>
      <c r="BS60" s="149">
        <f t="shared" si="28"/>
        <v>3.5</v>
      </c>
      <c r="BT60" s="148">
        <v>8</v>
      </c>
      <c r="BU60" s="149">
        <v>19</v>
      </c>
      <c r="BV60" s="150">
        <f t="shared" si="29"/>
        <v>27</v>
      </c>
      <c r="BW60" s="149">
        <v>13</v>
      </c>
      <c r="BX60" s="162">
        <v>25</v>
      </c>
      <c r="BY60" s="150">
        <f t="shared" si="30"/>
        <v>65</v>
      </c>
      <c r="BZ60" s="294"/>
      <c r="CA60" s="149">
        <f t="shared" si="31"/>
        <v>3.5</v>
      </c>
      <c r="CB60" s="148">
        <v>6</v>
      </c>
      <c r="CC60" s="149">
        <v>38</v>
      </c>
      <c r="CD60" s="150">
        <f t="shared" si="32"/>
        <v>44</v>
      </c>
      <c r="CE60" s="149">
        <v>17</v>
      </c>
      <c r="CF60" s="149">
        <v>23</v>
      </c>
      <c r="CG60" s="150">
        <f t="shared" si="33"/>
        <v>84</v>
      </c>
      <c r="CH60" s="291"/>
      <c r="CI60" s="164">
        <f t="shared" si="34"/>
        <v>5</v>
      </c>
      <c r="CJ60" s="149">
        <f t="shared" si="4"/>
        <v>35</v>
      </c>
      <c r="CK60" s="165">
        <f t="shared" si="35"/>
        <v>3.8888888888888888</v>
      </c>
      <c r="CL60" s="165" t="str">
        <f t="shared" si="36"/>
        <v>A-</v>
      </c>
      <c r="CM60" s="37" t="str">
        <f t="shared" si="5"/>
        <v>GOOD</v>
      </c>
      <c r="CN60" s="217">
        <f t="shared" si="6"/>
        <v>757</v>
      </c>
      <c r="CO60" s="37"/>
      <c r="CP60" s="40"/>
      <c r="CQ60" s="215">
        <f>'1ST_SEMESTER'!CN60</f>
        <v>572</v>
      </c>
      <c r="CR60" s="215">
        <f>'2ND_SEMESTER'!CN60</f>
        <v>680.42200000000003</v>
      </c>
      <c r="CS60" s="215">
        <f t="shared" si="37"/>
        <v>757</v>
      </c>
      <c r="CT60" s="215">
        <f t="shared" si="38"/>
        <v>669.8073333333333</v>
      </c>
      <c r="CU60" s="226" t="str">
        <f>'1ST_SEMESTER'!CK60</f>
        <v>F</v>
      </c>
      <c r="CV60" s="226">
        <f>'2ND_SEMESTER'!CK60</f>
        <v>3.3333333333333335</v>
      </c>
      <c r="CW60" s="226">
        <f t="shared" si="39"/>
        <v>3.8888888888888888</v>
      </c>
      <c r="CX60" s="226">
        <f t="shared" si="40"/>
        <v>3.6111111111111112</v>
      </c>
    </row>
    <row r="61" spans="1:102" s="197" customFormat="1" ht="27" customHeight="1">
      <c r="A61" s="144">
        <v>54</v>
      </c>
      <c r="B61" s="192">
        <v>50</v>
      </c>
      <c r="C61" s="177" t="s">
        <v>300</v>
      </c>
      <c r="D61" s="57" t="s">
        <v>301</v>
      </c>
      <c r="E61" s="57" t="s">
        <v>302</v>
      </c>
      <c r="F61" s="58" t="s">
        <v>303</v>
      </c>
      <c r="G61" s="148">
        <v>14</v>
      </c>
      <c r="H61" s="149">
        <v>21</v>
      </c>
      <c r="I61" s="150">
        <f t="shared" si="7"/>
        <v>35</v>
      </c>
      <c r="J61" s="149">
        <v>21</v>
      </c>
      <c r="K61" s="150">
        <f t="shared" si="41"/>
        <v>56</v>
      </c>
      <c r="L61" s="148">
        <v>18</v>
      </c>
      <c r="M61" s="149">
        <v>25</v>
      </c>
      <c r="N61" s="150">
        <f t="shared" si="8"/>
        <v>43</v>
      </c>
      <c r="O61" s="149">
        <v>24</v>
      </c>
      <c r="P61" s="150">
        <f t="shared" si="9"/>
        <v>67</v>
      </c>
      <c r="Q61" s="150">
        <f t="shared" si="10"/>
        <v>123</v>
      </c>
      <c r="R61" s="291"/>
      <c r="S61" s="149">
        <f t="shared" si="11"/>
        <v>3.5</v>
      </c>
      <c r="T61" s="148">
        <v>16</v>
      </c>
      <c r="U61" s="149">
        <v>51</v>
      </c>
      <c r="V61" s="150">
        <f t="shared" si="12"/>
        <v>67</v>
      </c>
      <c r="W61" s="149">
        <v>15</v>
      </c>
      <c r="X61" s="149">
        <v>30</v>
      </c>
      <c r="Y61" s="150">
        <f t="shared" si="13"/>
        <v>45</v>
      </c>
      <c r="Z61" s="150">
        <f t="shared" si="14"/>
        <v>112</v>
      </c>
      <c r="AA61" s="291"/>
      <c r="AB61" s="149">
        <f t="shared" si="0"/>
        <v>3</v>
      </c>
      <c r="AC61" s="148">
        <v>16</v>
      </c>
      <c r="AD61" s="149">
        <v>12</v>
      </c>
      <c r="AE61" s="150">
        <f t="shared" si="15"/>
        <v>28</v>
      </c>
      <c r="AF61" s="149">
        <v>12</v>
      </c>
      <c r="AG61" s="150">
        <f t="shared" si="16"/>
        <v>40</v>
      </c>
      <c r="AH61" s="291"/>
      <c r="AI61" s="149">
        <f t="shared" si="1"/>
        <v>2</v>
      </c>
      <c r="AJ61" s="148">
        <v>4</v>
      </c>
      <c r="AK61" s="149">
        <v>34</v>
      </c>
      <c r="AL61" s="150">
        <f t="shared" si="17"/>
        <v>38</v>
      </c>
      <c r="AM61" s="149">
        <v>17</v>
      </c>
      <c r="AN61" s="150">
        <f t="shared" si="18"/>
        <v>55</v>
      </c>
      <c r="AO61" s="291"/>
      <c r="AP61" s="149">
        <f t="shared" si="2"/>
        <v>3</v>
      </c>
      <c r="AQ61" s="148"/>
      <c r="AR61" s="149">
        <v>19</v>
      </c>
      <c r="AS61" s="149">
        <v>24</v>
      </c>
      <c r="AT61" s="149">
        <f t="shared" si="42"/>
        <v>43</v>
      </c>
      <c r="AU61" s="294"/>
      <c r="AV61" s="149">
        <f t="shared" si="20"/>
        <v>5</v>
      </c>
      <c r="AW61" s="148">
        <v>9</v>
      </c>
      <c r="AX61" s="149">
        <v>22</v>
      </c>
      <c r="AY61" s="150">
        <f t="shared" si="21"/>
        <v>31</v>
      </c>
      <c r="AZ61" s="149">
        <v>15</v>
      </c>
      <c r="BA61" s="150">
        <f t="shared" si="22"/>
        <v>46</v>
      </c>
      <c r="BB61" s="291"/>
      <c r="BC61" s="149">
        <f t="shared" si="23"/>
        <v>2</v>
      </c>
      <c r="BD61" s="148">
        <v>7</v>
      </c>
      <c r="BE61" s="149">
        <v>16</v>
      </c>
      <c r="BF61" s="150">
        <f t="shared" si="24"/>
        <v>23</v>
      </c>
      <c r="BG61" s="149">
        <v>10</v>
      </c>
      <c r="BH61" s="149">
        <v>25</v>
      </c>
      <c r="BI61" s="150">
        <f t="shared" si="25"/>
        <v>58</v>
      </c>
      <c r="BJ61" s="294"/>
      <c r="BK61" s="149">
        <f t="shared" si="3"/>
        <v>3</v>
      </c>
      <c r="BL61" s="148">
        <v>7</v>
      </c>
      <c r="BM61" s="149">
        <v>16</v>
      </c>
      <c r="BN61" s="150">
        <f t="shared" si="26"/>
        <v>23</v>
      </c>
      <c r="BO61" s="149">
        <v>17</v>
      </c>
      <c r="BP61" s="162">
        <v>25</v>
      </c>
      <c r="BQ61" s="150">
        <f t="shared" si="27"/>
        <v>65</v>
      </c>
      <c r="BR61" s="291"/>
      <c r="BS61" s="149">
        <f t="shared" si="28"/>
        <v>3.5</v>
      </c>
      <c r="BT61" s="148">
        <v>7</v>
      </c>
      <c r="BU61" s="149">
        <v>14</v>
      </c>
      <c r="BV61" s="150">
        <f t="shared" si="29"/>
        <v>21</v>
      </c>
      <c r="BW61" s="149">
        <v>18</v>
      </c>
      <c r="BX61" s="162">
        <v>25</v>
      </c>
      <c r="BY61" s="150">
        <f t="shared" si="30"/>
        <v>64</v>
      </c>
      <c r="BZ61" s="294"/>
      <c r="CA61" s="149">
        <f t="shared" si="31"/>
        <v>3.5</v>
      </c>
      <c r="CB61" s="148">
        <v>6</v>
      </c>
      <c r="CC61" s="149">
        <v>13</v>
      </c>
      <c r="CD61" s="150">
        <f t="shared" si="32"/>
        <v>19</v>
      </c>
      <c r="CE61" s="149">
        <v>8</v>
      </c>
      <c r="CF61" s="149">
        <v>23</v>
      </c>
      <c r="CG61" s="150">
        <f t="shared" si="33"/>
        <v>50</v>
      </c>
      <c r="CH61" s="291"/>
      <c r="CI61" s="164" t="str">
        <f t="shared" si="34"/>
        <v>0</v>
      </c>
      <c r="CJ61" s="149">
        <f t="shared" si="4"/>
        <v>26.5</v>
      </c>
      <c r="CK61" s="165">
        <f t="shared" si="35"/>
        <v>2.9444444444444446</v>
      </c>
      <c r="CL61" s="165" t="str">
        <f t="shared" si="36"/>
        <v>C</v>
      </c>
      <c r="CM61" s="37" t="str">
        <f t="shared" si="5"/>
        <v>GOOD</v>
      </c>
      <c r="CN61" s="217">
        <f t="shared" si="6"/>
        <v>656</v>
      </c>
      <c r="CO61" s="37"/>
      <c r="CP61" s="40"/>
      <c r="CQ61" s="215">
        <f>'1ST_SEMESTER'!CN61</f>
        <v>675</v>
      </c>
      <c r="CR61" s="215">
        <f>'2ND_SEMESTER'!CN61</f>
        <v>699.56399999999996</v>
      </c>
      <c r="CS61" s="215">
        <f t="shared" si="37"/>
        <v>656</v>
      </c>
      <c r="CT61" s="215">
        <f t="shared" si="38"/>
        <v>676.85466666666662</v>
      </c>
      <c r="CU61" s="226">
        <f>'1ST_SEMESTER'!CK61</f>
        <v>3.1666666666666665</v>
      </c>
      <c r="CV61" s="226">
        <f>'2ND_SEMESTER'!CK61</f>
        <v>3.6111111111111112</v>
      </c>
      <c r="CW61" s="226">
        <f t="shared" si="39"/>
        <v>2.9444444444444446</v>
      </c>
      <c r="CX61" s="226">
        <f t="shared" si="40"/>
        <v>3.2407407407407405</v>
      </c>
    </row>
    <row r="62" spans="1:102" s="197" customFormat="1" ht="27" customHeight="1">
      <c r="A62" s="144">
        <v>55</v>
      </c>
      <c r="B62" s="192">
        <v>54</v>
      </c>
      <c r="C62" s="177" t="s">
        <v>304</v>
      </c>
      <c r="D62" s="57" t="s">
        <v>305</v>
      </c>
      <c r="E62" s="57" t="s">
        <v>306</v>
      </c>
      <c r="F62" s="58" t="s">
        <v>307</v>
      </c>
      <c r="G62" s="148">
        <v>20</v>
      </c>
      <c r="H62" s="149">
        <v>39</v>
      </c>
      <c r="I62" s="150">
        <f t="shared" si="7"/>
        <v>59</v>
      </c>
      <c r="J62" s="149">
        <v>22</v>
      </c>
      <c r="K62" s="150">
        <f t="shared" si="41"/>
        <v>81</v>
      </c>
      <c r="L62" s="148">
        <v>19</v>
      </c>
      <c r="M62" s="149">
        <v>36</v>
      </c>
      <c r="N62" s="150">
        <f t="shared" si="8"/>
        <v>55</v>
      </c>
      <c r="O62" s="149">
        <v>17</v>
      </c>
      <c r="P62" s="150">
        <f t="shared" si="9"/>
        <v>72</v>
      </c>
      <c r="Q62" s="150">
        <f t="shared" si="10"/>
        <v>153</v>
      </c>
      <c r="R62" s="291"/>
      <c r="S62" s="149">
        <f t="shared" si="11"/>
        <v>4</v>
      </c>
      <c r="T62" s="148">
        <v>16</v>
      </c>
      <c r="U62" s="149">
        <v>42</v>
      </c>
      <c r="V62" s="150">
        <f t="shared" si="12"/>
        <v>58</v>
      </c>
      <c r="W62" s="149">
        <v>16</v>
      </c>
      <c r="X62" s="149">
        <v>37</v>
      </c>
      <c r="Y62" s="150">
        <f t="shared" si="13"/>
        <v>53</v>
      </c>
      <c r="Z62" s="150">
        <f t="shared" si="14"/>
        <v>111</v>
      </c>
      <c r="AA62" s="291"/>
      <c r="AB62" s="149">
        <f t="shared" si="0"/>
        <v>3</v>
      </c>
      <c r="AC62" s="148">
        <v>18</v>
      </c>
      <c r="AD62" s="149">
        <v>25</v>
      </c>
      <c r="AE62" s="150">
        <f t="shared" si="15"/>
        <v>43</v>
      </c>
      <c r="AF62" s="149">
        <v>15</v>
      </c>
      <c r="AG62" s="150">
        <f t="shared" si="16"/>
        <v>58</v>
      </c>
      <c r="AH62" s="291"/>
      <c r="AI62" s="149">
        <f t="shared" si="1"/>
        <v>3</v>
      </c>
      <c r="AJ62" s="148">
        <v>17</v>
      </c>
      <c r="AK62" s="149">
        <v>44</v>
      </c>
      <c r="AL62" s="150">
        <f t="shared" si="17"/>
        <v>61</v>
      </c>
      <c r="AM62" s="149">
        <v>19</v>
      </c>
      <c r="AN62" s="150">
        <f t="shared" si="18"/>
        <v>80</v>
      </c>
      <c r="AO62" s="291"/>
      <c r="AP62" s="149">
        <f t="shared" si="2"/>
        <v>5</v>
      </c>
      <c r="AQ62" s="148"/>
      <c r="AR62" s="149">
        <v>23</v>
      </c>
      <c r="AS62" s="149">
        <v>24</v>
      </c>
      <c r="AT62" s="149">
        <f t="shared" si="42"/>
        <v>47</v>
      </c>
      <c r="AU62" s="294"/>
      <c r="AV62" s="149">
        <f t="shared" si="20"/>
        <v>5</v>
      </c>
      <c r="AW62" s="148">
        <v>16</v>
      </c>
      <c r="AX62" s="149">
        <v>33</v>
      </c>
      <c r="AY62" s="150">
        <f t="shared" si="21"/>
        <v>49</v>
      </c>
      <c r="AZ62" s="149">
        <v>16</v>
      </c>
      <c r="BA62" s="150">
        <f t="shared" si="22"/>
        <v>65</v>
      </c>
      <c r="BB62" s="291"/>
      <c r="BC62" s="149">
        <f t="shared" si="23"/>
        <v>3.5</v>
      </c>
      <c r="BD62" s="148">
        <v>8</v>
      </c>
      <c r="BE62" s="149">
        <v>16</v>
      </c>
      <c r="BF62" s="150">
        <f t="shared" si="24"/>
        <v>24</v>
      </c>
      <c r="BG62" s="149">
        <v>12</v>
      </c>
      <c r="BH62" s="149">
        <v>25</v>
      </c>
      <c r="BI62" s="150">
        <f t="shared" si="25"/>
        <v>61</v>
      </c>
      <c r="BJ62" s="294"/>
      <c r="BK62" s="149">
        <f t="shared" si="3"/>
        <v>3.5</v>
      </c>
      <c r="BL62" s="148">
        <v>8</v>
      </c>
      <c r="BM62" s="149">
        <v>15</v>
      </c>
      <c r="BN62" s="150">
        <f t="shared" si="26"/>
        <v>23</v>
      </c>
      <c r="BO62" s="149">
        <v>18</v>
      </c>
      <c r="BP62" s="162">
        <v>25</v>
      </c>
      <c r="BQ62" s="150">
        <f t="shared" si="27"/>
        <v>66</v>
      </c>
      <c r="BR62" s="291"/>
      <c r="BS62" s="149">
        <f t="shared" si="28"/>
        <v>3.5</v>
      </c>
      <c r="BT62" s="148">
        <v>9</v>
      </c>
      <c r="BU62" s="149">
        <v>18</v>
      </c>
      <c r="BV62" s="150">
        <f t="shared" si="29"/>
        <v>27</v>
      </c>
      <c r="BW62" s="149">
        <v>15</v>
      </c>
      <c r="BX62" s="162">
        <v>25</v>
      </c>
      <c r="BY62" s="150">
        <f t="shared" si="30"/>
        <v>67</v>
      </c>
      <c r="BZ62" s="294"/>
      <c r="CA62" s="149">
        <f t="shared" si="31"/>
        <v>3.5</v>
      </c>
      <c r="CB62" s="148">
        <v>8</v>
      </c>
      <c r="CC62" s="149">
        <v>30</v>
      </c>
      <c r="CD62" s="150">
        <f t="shared" si="32"/>
        <v>38</v>
      </c>
      <c r="CE62" s="149">
        <v>23</v>
      </c>
      <c r="CF62" s="149">
        <v>25</v>
      </c>
      <c r="CG62" s="150">
        <f t="shared" si="33"/>
        <v>86</v>
      </c>
      <c r="CH62" s="291"/>
      <c r="CI62" s="164">
        <f t="shared" si="34"/>
        <v>5</v>
      </c>
      <c r="CJ62" s="149">
        <f t="shared" si="4"/>
        <v>37</v>
      </c>
      <c r="CK62" s="165">
        <f t="shared" si="35"/>
        <v>4.1111111111111107</v>
      </c>
      <c r="CL62" s="165" t="str">
        <f t="shared" si="36"/>
        <v>A</v>
      </c>
      <c r="CM62" s="37" t="str">
        <f t="shared" si="5"/>
        <v>BETTER</v>
      </c>
      <c r="CN62" s="217">
        <f t="shared" si="6"/>
        <v>794</v>
      </c>
      <c r="CO62" s="37"/>
      <c r="CP62" s="40"/>
      <c r="CQ62" s="215">
        <f>'1ST_SEMESTER'!CN62</f>
        <v>448</v>
      </c>
      <c r="CR62" s="215">
        <f>'2ND_SEMESTER'!CN62</f>
        <v>643.85</v>
      </c>
      <c r="CS62" s="215">
        <f t="shared" si="37"/>
        <v>794</v>
      </c>
      <c r="CT62" s="215">
        <f t="shared" si="38"/>
        <v>628.61666666666667</v>
      </c>
      <c r="CU62" s="226" t="str">
        <f>'1ST_SEMESTER'!CK62</f>
        <v>F</v>
      </c>
      <c r="CV62" s="226" t="str">
        <f>'2ND_SEMESTER'!CK62</f>
        <v>F</v>
      </c>
      <c r="CW62" s="226">
        <f t="shared" si="39"/>
        <v>4.1111111111111107</v>
      </c>
      <c r="CX62" s="226">
        <f t="shared" si="40"/>
        <v>4.1111111111111107</v>
      </c>
    </row>
    <row r="63" spans="1:102" s="197" customFormat="1" ht="27" customHeight="1" thickBot="1">
      <c r="A63" s="144">
        <v>56</v>
      </c>
      <c r="B63" s="192">
        <v>56</v>
      </c>
      <c r="C63" s="177" t="s">
        <v>415</v>
      </c>
      <c r="D63" s="57"/>
      <c r="E63" s="57"/>
      <c r="F63" s="58"/>
      <c r="G63" s="148">
        <v>16</v>
      </c>
      <c r="H63" s="149">
        <v>29</v>
      </c>
      <c r="I63" s="150">
        <f t="shared" si="7"/>
        <v>45</v>
      </c>
      <c r="J63" s="149">
        <v>18</v>
      </c>
      <c r="K63" s="150">
        <f t="shared" si="41"/>
        <v>63</v>
      </c>
      <c r="L63" s="148">
        <v>19</v>
      </c>
      <c r="M63" s="149">
        <v>38</v>
      </c>
      <c r="N63" s="150">
        <f t="shared" si="8"/>
        <v>57</v>
      </c>
      <c r="O63" s="149">
        <v>18</v>
      </c>
      <c r="P63" s="150">
        <f t="shared" si="9"/>
        <v>75</v>
      </c>
      <c r="Q63" s="150">
        <f t="shared" si="10"/>
        <v>138</v>
      </c>
      <c r="R63" s="291"/>
      <c r="S63" s="149">
        <f t="shared" si="11"/>
        <v>3.5</v>
      </c>
      <c r="T63" s="148">
        <v>12</v>
      </c>
      <c r="U63" s="149">
        <v>36</v>
      </c>
      <c r="V63" s="150">
        <f t="shared" si="12"/>
        <v>48</v>
      </c>
      <c r="W63" s="149">
        <v>13</v>
      </c>
      <c r="X63" s="149">
        <v>30</v>
      </c>
      <c r="Y63" s="150">
        <f t="shared" si="13"/>
        <v>43</v>
      </c>
      <c r="Z63" s="150">
        <f t="shared" si="14"/>
        <v>91</v>
      </c>
      <c r="AA63" s="291"/>
      <c r="AB63" s="149">
        <f t="shared" si="0"/>
        <v>2</v>
      </c>
      <c r="AC63" s="148">
        <v>13</v>
      </c>
      <c r="AD63" s="149">
        <v>6</v>
      </c>
      <c r="AE63" s="150">
        <f t="shared" si="15"/>
        <v>19</v>
      </c>
      <c r="AF63" s="149">
        <v>13</v>
      </c>
      <c r="AG63" s="150">
        <f t="shared" si="16"/>
        <v>32</v>
      </c>
      <c r="AH63" s="291"/>
      <c r="AI63" s="149" t="str">
        <f t="shared" si="1"/>
        <v>F</v>
      </c>
      <c r="AJ63" s="148">
        <v>15</v>
      </c>
      <c r="AK63" s="149">
        <v>37</v>
      </c>
      <c r="AL63" s="150">
        <f t="shared" si="17"/>
        <v>52</v>
      </c>
      <c r="AM63" s="149">
        <v>13</v>
      </c>
      <c r="AN63" s="150">
        <f t="shared" si="18"/>
        <v>65</v>
      </c>
      <c r="AO63" s="291"/>
      <c r="AP63" s="149">
        <f t="shared" si="2"/>
        <v>3.5</v>
      </c>
      <c r="AQ63" s="148"/>
      <c r="AR63" s="149">
        <v>17</v>
      </c>
      <c r="AS63" s="149">
        <v>20</v>
      </c>
      <c r="AT63" s="149">
        <f t="shared" si="42"/>
        <v>37</v>
      </c>
      <c r="AU63" s="294"/>
      <c r="AV63" s="149">
        <f t="shared" si="20"/>
        <v>4</v>
      </c>
      <c r="AW63" s="148">
        <v>9</v>
      </c>
      <c r="AX63" s="149">
        <v>20</v>
      </c>
      <c r="AY63" s="150">
        <f t="shared" si="21"/>
        <v>29</v>
      </c>
      <c r="AZ63" s="149">
        <v>21</v>
      </c>
      <c r="BA63" s="150">
        <f t="shared" si="22"/>
        <v>50</v>
      </c>
      <c r="BB63" s="291"/>
      <c r="BC63" s="149">
        <f t="shared" si="23"/>
        <v>3</v>
      </c>
      <c r="BD63" s="148">
        <v>6</v>
      </c>
      <c r="BE63" s="149">
        <v>16</v>
      </c>
      <c r="BF63" s="150">
        <f t="shared" si="24"/>
        <v>22</v>
      </c>
      <c r="BG63" s="149">
        <v>19</v>
      </c>
      <c r="BH63" s="149">
        <v>25</v>
      </c>
      <c r="BI63" s="150">
        <f t="shared" si="25"/>
        <v>66</v>
      </c>
      <c r="BJ63" s="294"/>
      <c r="BK63" s="149">
        <f t="shared" si="3"/>
        <v>3.5</v>
      </c>
      <c r="BL63" s="148">
        <v>6</v>
      </c>
      <c r="BM63" s="149">
        <v>8</v>
      </c>
      <c r="BN63" s="150">
        <f t="shared" si="26"/>
        <v>14</v>
      </c>
      <c r="BO63" s="149">
        <v>18</v>
      </c>
      <c r="BP63" s="162">
        <v>25</v>
      </c>
      <c r="BQ63" s="150">
        <f t="shared" si="27"/>
        <v>57</v>
      </c>
      <c r="BR63" s="291"/>
      <c r="BS63" s="149" t="str">
        <f t="shared" si="28"/>
        <v>F</v>
      </c>
      <c r="BT63" s="148">
        <v>9</v>
      </c>
      <c r="BU63" s="149">
        <v>19</v>
      </c>
      <c r="BV63" s="150">
        <f t="shared" si="29"/>
        <v>28</v>
      </c>
      <c r="BW63" s="149">
        <v>13</v>
      </c>
      <c r="BX63" s="162">
        <v>25</v>
      </c>
      <c r="BY63" s="150">
        <f t="shared" si="30"/>
        <v>66</v>
      </c>
      <c r="BZ63" s="294"/>
      <c r="CA63" s="149">
        <f t="shared" si="31"/>
        <v>3.5</v>
      </c>
      <c r="CB63" s="148">
        <v>8</v>
      </c>
      <c r="CC63" s="149">
        <v>29</v>
      </c>
      <c r="CD63" s="150">
        <f t="shared" si="32"/>
        <v>37</v>
      </c>
      <c r="CE63" s="149">
        <v>22</v>
      </c>
      <c r="CF63" s="149">
        <v>25</v>
      </c>
      <c r="CG63" s="150">
        <f t="shared" si="33"/>
        <v>84</v>
      </c>
      <c r="CH63" s="291"/>
      <c r="CI63" s="164">
        <f t="shared" si="34"/>
        <v>5</v>
      </c>
      <c r="CJ63" s="149" t="str">
        <f t="shared" si="4"/>
        <v>F</v>
      </c>
      <c r="CK63" s="165" t="str">
        <f t="shared" si="35"/>
        <v>F</v>
      </c>
      <c r="CL63" s="165" t="str">
        <f t="shared" si="36"/>
        <v>F</v>
      </c>
      <c r="CM63" s="37" t="str">
        <f t="shared" si="5"/>
        <v>NEED TO PROGRESS</v>
      </c>
      <c r="CN63" s="218">
        <f t="shared" si="6"/>
        <v>686</v>
      </c>
      <c r="CO63" s="128"/>
      <c r="CP63" s="84"/>
      <c r="CQ63" s="215">
        <f>'1ST_SEMESTER'!CN63</f>
        <v>655</v>
      </c>
      <c r="CR63" s="215">
        <f>'2ND_SEMESTER'!CN63</f>
        <v>753.99</v>
      </c>
      <c r="CS63" s="215">
        <f t="shared" si="37"/>
        <v>686</v>
      </c>
      <c r="CT63" s="215">
        <f t="shared" si="38"/>
        <v>698.32999999999993</v>
      </c>
      <c r="CU63" s="226">
        <f>'1ST_SEMESTER'!CK63</f>
        <v>3.2777777777777777</v>
      </c>
      <c r="CV63" s="226">
        <f>'2ND_SEMESTER'!CK63</f>
        <v>4</v>
      </c>
      <c r="CW63" s="226" t="str">
        <f t="shared" si="39"/>
        <v>F</v>
      </c>
      <c r="CX63" s="226">
        <f t="shared" si="40"/>
        <v>3.6388888888888888</v>
      </c>
    </row>
    <row r="64" spans="1:102" s="197" customFormat="1" ht="27" customHeight="1" thickTop="1">
      <c r="A64" s="144">
        <v>57</v>
      </c>
      <c r="B64" s="192">
        <v>63</v>
      </c>
      <c r="C64" s="177" t="s">
        <v>308</v>
      </c>
      <c r="D64" s="57" t="s">
        <v>309</v>
      </c>
      <c r="E64" s="57" t="s">
        <v>310</v>
      </c>
      <c r="F64" s="58" t="s">
        <v>311</v>
      </c>
      <c r="G64" s="148">
        <v>16</v>
      </c>
      <c r="H64" s="149">
        <v>27</v>
      </c>
      <c r="I64" s="150">
        <f t="shared" si="7"/>
        <v>43</v>
      </c>
      <c r="J64" s="149">
        <v>21</v>
      </c>
      <c r="K64" s="150">
        <f t="shared" si="41"/>
        <v>64</v>
      </c>
      <c r="L64" s="148">
        <v>19</v>
      </c>
      <c r="M64" s="149">
        <v>34</v>
      </c>
      <c r="N64" s="150">
        <f t="shared" si="8"/>
        <v>53</v>
      </c>
      <c r="O64" s="149">
        <v>21</v>
      </c>
      <c r="P64" s="150">
        <f t="shared" si="9"/>
        <v>74</v>
      </c>
      <c r="Q64" s="150">
        <f t="shared" si="10"/>
        <v>138</v>
      </c>
      <c r="R64" s="291"/>
      <c r="S64" s="149">
        <f t="shared" si="11"/>
        <v>3.5</v>
      </c>
      <c r="T64" s="148">
        <v>11</v>
      </c>
      <c r="U64" s="149">
        <v>44</v>
      </c>
      <c r="V64" s="150">
        <f t="shared" si="12"/>
        <v>55</v>
      </c>
      <c r="W64" s="149">
        <v>17</v>
      </c>
      <c r="X64" s="149">
        <v>34</v>
      </c>
      <c r="Y64" s="150">
        <f t="shared" si="13"/>
        <v>51</v>
      </c>
      <c r="Z64" s="150">
        <f t="shared" si="14"/>
        <v>106</v>
      </c>
      <c r="AA64" s="291"/>
      <c r="AB64" s="149">
        <f t="shared" si="0"/>
        <v>3</v>
      </c>
      <c r="AC64" s="148">
        <v>16</v>
      </c>
      <c r="AD64" s="149">
        <v>13</v>
      </c>
      <c r="AE64" s="150">
        <f t="shared" si="15"/>
        <v>29</v>
      </c>
      <c r="AF64" s="149">
        <v>12</v>
      </c>
      <c r="AG64" s="150">
        <f t="shared" si="16"/>
        <v>41</v>
      </c>
      <c r="AH64" s="291"/>
      <c r="AI64" s="149">
        <f t="shared" si="1"/>
        <v>2</v>
      </c>
      <c r="AJ64" s="148">
        <v>15</v>
      </c>
      <c r="AK64" s="149">
        <v>25</v>
      </c>
      <c r="AL64" s="150">
        <f t="shared" si="17"/>
        <v>40</v>
      </c>
      <c r="AM64" s="149">
        <v>20</v>
      </c>
      <c r="AN64" s="150">
        <f t="shared" si="18"/>
        <v>60</v>
      </c>
      <c r="AO64" s="291"/>
      <c r="AP64" s="149">
        <f t="shared" si="2"/>
        <v>3.5</v>
      </c>
      <c r="AQ64" s="148"/>
      <c r="AR64" s="149">
        <v>21</v>
      </c>
      <c r="AS64" s="149">
        <v>25</v>
      </c>
      <c r="AT64" s="149">
        <f t="shared" si="42"/>
        <v>46</v>
      </c>
      <c r="AU64" s="294"/>
      <c r="AV64" s="149">
        <f t="shared" si="20"/>
        <v>5</v>
      </c>
      <c r="AW64" s="148">
        <v>11</v>
      </c>
      <c r="AX64" s="149">
        <v>22</v>
      </c>
      <c r="AY64" s="150">
        <f t="shared" si="21"/>
        <v>33</v>
      </c>
      <c r="AZ64" s="149">
        <v>18</v>
      </c>
      <c r="BA64" s="150">
        <f t="shared" si="22"/>
        <v>51</v>
      </c>
      <c r="BB64" s="291"/>
      <c r="BC64" s="149">
        <f t="shared" si="23"/>
        <v>3</v>
      </c>
      <c r="BD64" s="148">
        <v>6</v>
      </c>
      <c r="BE64" s="149">
        <v>22</v>
      </c>
      <c r="BF64" s="150">
        <f t="shared" si="24"/>
        <v>28</v>
      </c>
      <c r="BG64" s="149">
        <v>13</v>
      </c>
      <c r="BH64" s="149">
        <v>25</v>
      </c>
      <c r="BI64" s="150">
        <f t="shared" si="25"/>
        <v>66</v>
      </c>
      <c r="BJ64" s="294"/>
      <c r="BK64" s="149">
        <f t="shared" si="3"/>
        <v>3.5</v>
      </c>
      <c r="BL64" s="148">
        <v>8</v>
      </c>
      <c r="BM64" s="149">
        <v>12</v>
      </c>
      <c r="BN64" s="150">
        <f t="shared" si="26"/>
        <v>20</v>
      </c>
      <c r="BO64" s="149">
        <v>17</v>
      </c>
      <c r="BP64" s="162">
        <v>25</v>
      </c>
      <c r="BQ64" s="150">
        <f t="shared" si="27"/>
        <v>62</v>
      </c>
      <c r="BR64" s="291"/>
      <c r="BS64" s="149">
        <f t="shared" si="28"/>
        <v>3.5</v>
      </c>
      <c r="BT64" s="148">
        <v>8</v>
      </c>
      <c r="BU64" s="149">
        <v>18</v>
      </c>
      <c r="BV64" s="150">
        <f t="shared" si="29"/>
        <v>26</v>
      </c>
      <c r="BW64" s="149">
        <v>15</v>
      </c>
      <c r="BX64" s="162">
        <v>25</v>
      </c>
      <c r="BY64" s="150">
        <f t="shared" si="30"/>
        <v>66</v>
      </c>
      <c r="BZ64" s="294"/>
      <c r="CA64" s="149">
        <f t="shared" si="31"/>
        <v>3.5</v>
      </c>
      <c r="CB64" s="148">
        <v>7</v>
      </c>
      <c r="CC64" s="149">
        <v>24</v>
      </c>
      <c r="CD64" s="150">
        <f t="shared" si="32"/>
        <v>31</v>
      </c>
      <c r="CE64" s="149">
        <v>22</v>
      </c>
      <c r="CF64" s="149">
        <v>25</v>
      </c>
      <c r="CG64" s="150">
        <f t="shared" si="33"/>
        <v>78</v>
      </c>
      <c r="CH64" s="291"/>
      <c r="CI64" s="164">
        <f t="shared" si="34"/>
        <v>4</v>
      </c>
      <c r="CJ64" s="149">
        <f t="shared" si="4"/>
        <v>32.5</v>
      </c>
      <c r="CK64" s="165">
        <f t="shared" si="35"/>
        <v>3.6111111111111112</v>
      </c>
      <c r="CL64" s="165" t="str">
        <f t="shared" si="36"/>
        <v>A-</v>
      </c>
      <c r="CM64" s="37" t="str">
        <f t="shared" si="5"/>
        <v>GOOD</v>
      </c>
      <c r="CN64" s="221">
        <f t="shared" si="6"/>
        <v>714</v>
      </c>
      <c r="CO64" s="93"/>
      <c r="CP64" s="94"/>
      <c r="CQ64" s="215">
        <f>'1ST_SEMESTER'!CN64</f>
        <v>581</v>
      </c>
      <c r="CR64" s="215">
        <f>'2ND_SEMESTER'!CN64</f>
        <v>701.99199999999996</v>
      </c>
      <c r="CS64" s="215">
        <f t="shared" si="37"/>
        <v>714</v>
      </c>
      <c r="CT64" s="215">
        <f t="shared" si="38"/>
        <v>665.66399999999999</v>
      </c>
      <c r="CU64" s="226">
        <f>'1ST_SEMESTER'!CK64</f>
        <v>2.7222222222222223</v>
      </c>
      <c r="CV64" s="226">
        <f>'2ND_SEMESTER'!CK64</f>
        <v>3.8333333333333335</v>
      </c>
      <c r="CW64" s="226">
        <f t="shared" si="39"/>
        <v>3.6111111111111112</v>
      </c>
      <c r="CX64" s="226">
        <f t="shared" si="40"/>
        <v>3.3888888888888888</v>
      </c>
    </row>
    <row r="65" spans="1:102" s="197" customFormat="1" ht="27" customHeight="1">
      <c r="A65" s="144">
        <v>58</v>
      </c>
      <c r="B65" s="192">
        <v>65</v>
      </c>
      <c r="C65" s="178" t="s">
        <v>312</v>
      </c>
      <c r="D65" s="59" t="s">
        <v>313</v>
      </c>
      <c r="E65" s="59" t="s">
        <v>314</v>
      </c>
      <c r="F65" s="60" t="s">
        <v>315</v>
      </c>
      <c r="G65" s="148">
        <v>13</v>
      </c>
      <c r="H65" s="149">
        <v>21</v>
      </c>
      <c r="I65" s="150">
        <f t="shared" si="7"/>
        <v>34</v>
      </c>
      <c r="J65" s="149">
        <v>18</v>
      </c>
      <c r="K65" s="150">
        <f t="shared" si="41"/>
        <v>52</v>
      </c>
      <c r="L65" s="148">
        <v>19</v>
      </c>
      <c r="M65" s="149">
        <v>36</v>
      </c>
      <c r="N65" s="150">
        <f t="shared" si="8"/>
        <v>55</v>
      </c>
      <c r="O65" s="149">
        <v>19</v>
      </c>
      <c r="P65" s="150">
        <f t="shared" si="9"/>
        <v>74</v>
      </c>
      <c r="Q65" s="150">
        <f t="shared" si="10"/>
        <v>126</v>
      </c>
      <c r="R65" s="291"/>
      <c r="S65" s="149">
        <f t="shared" si="11"/>
        <v>3.5</v>
      </c>
      <c r="T65" s="148">
        <v>13</v>
      </c>
      <c r="U65" s="149">
        <v>41</v>
      </c>
      <c r="V65" s="150">
        <f t="shared" si="12"/>
        <v>54</v>
      </c>
      <c r="W65" s="149">
        <v>17</v>
      </c>
      <c r="X65" s="149">
        <v>32</v>
      </c>
      <c r="Y65" s="150">
        <f t="shared" si="13"/>
        <v>49</v>
      </c>
      <c r="Z65" s="150">
        <f t="shared" si="14"/>
        <v>103</v>
      </c>
      <c r="AA65" s="291"/>
      <c r="AB65" s="149">
        <f t="shared" si="0"/>
        <v>3</v>
      </c>
      <c r="AC65" s="148">
        <v>17</v>
      </c>
      <c r="AD65" s="149">
        <v>29</v>
      </c>
      <c r="AE65" s="150">
        <f t="shared" si="15"/>
        <v>46</v>
      </c>
      <c r="AF65" s="149">
        <v>12</v>
      </c>
      <c r="AG65" s="150">
        <f t="shared" si="16"/>
        <v>58</v>
      </c>
      <c r="AH65" s="291"/>
      <c r="AI65" s="149">
        <f t="shared" si="1"/>
        <v>3</v>
      </c>
      <c r="AJ65" s="148">
        <v>12</v>
      </c>
      <c r="AK65" s="149">
        <v>23</v>
      </c>
      <c r="AL65" s="150">
        <f t="shared" si="17"/>
        <v>35</v>
      </c>
      <c r="AM65" s="149">
        <v>20</v>
      </c>
      <c r="AN65" s="150">
        <f t="shared" si="18"/>
        <v>55</v>
      </c>
      <c r="AO65" s="291"/>
      <c r="AP65" s="149">
        <f t="shared" si="2"/>
        <v>3</v>
      </c>
      <c r="AQ65" s="148"/>
      <c r="AR65" s="149">
        <v>17</v>
      </c>
      <c r="AS65" s="149">
        <v>22</v>
      </c>
      <c r="AT65" s="149">
        <f t="shared" si="42"/>
        <v>39</v>
      </c>
      <c r="AU65" s="294"/>
      <c r="AV65" s="149">
        <f t="shared" si="20"/>
        <v>4</v>
      </c>
      <c r="AW65" s="148">
        <v>11</v>
      </c>
      <c r="AX65" s="149">
        <v>20</v>
      </c>
      <c r="AY65" s="150">
        <f t="shared" si="21"/>
        <v>31</v>
      </c>
      <c r="AZ65" s="149">
        <v>19</v>
      </c>
      <c r="BA65" s="150">
        <f t="shared" si="22"/>
        <v>50</v>
      </c>
      <c r="BB65" s="291"/>
      <c r="BC65" s="149">
        <f t="shared" si="23"/>
        <v>3</v>
      </c>
      <c r="BD65" s="148">
        <v>7</v>
      </c>
      <c r="BE65" s="149">
        <v>16</v>
      </c>
      <c r="BF65" s="150">
        <f t="shared" si="24"/>
        <v>23</v>
      </c>
      <c r="BG65" s="149">
        <v>12</v>
      </c>
      <c r="BH65" s="149">
        <v>25</v>
      </c>
      <c r="BI65" s="150">
        <f t="shared" si="25"/>
        <v>60</v>
      </c>
      <c r="BJ65" s="294"/>
      <c r="BK65" s="149">
        <f t="shared" si="3"/>
        <v>3.5</v>
      </c>
      <c r="BL65" s="148">
        <v>9</v>
      </c>
      <c r="BM65" s="149">
        <v>11</v>
      </c>
      <c r="BN65" s="150">
        <f t="shared" si="26"/>
        <v>20</v>
      </c>
      <c r="BO65" s="149">
        <v>13</v>
      </c>
      <c r="BP65" s="162">
        <v>25</v>
      </c>
      <c r="BQ65" s="150">
        <f t="shared" si="27"/>
        <v>58</v>
      </c>
      <c r="BR65" s="291"/>
      <c r="BS65" s="149">
        <f t="shared" si="28"/>
        <v>3</v>
      </c>
      <c r="BT65" s="148">
        <v>8</v>
      </c>
      <c r="BU65" s="149">
        <v>12</v>
      </c>
      <c r="BV65" s="150">
        <f t="shared" si="29"/>
        <v>20</v>
      </c>
      <c r="BW65" s="149">
        <v>13</v>
      </c>
      <c r="BX65" s="162">
        <v>25</v>
      </c>
      <c r="BY65" s="150">
        <f t="shared" si="30"/>
        <v>58</v>
      </c>
      <c r="BZ65" s="294"/>
      <c r="CA65" s="149">
        <f t="shared" si="31"/>
        <v>3</v>
      </c>
      <c r="CB65" s="148">
        <v>7</v>
      </c>
      <c r="CC65" s="149">
        <v>14</v>
      </c>
      <c r="CD65" s="150">
        <f t="shared" si="32"/>
        <v>21</v>
      </c>
      <c r="CE65" s="149">
        <v>20</v>
      </c>
      <c r="CF65" s="149">
        <v>25</v>
      </c>
      <c r="CG65" s="150">
        <f t="shared" si="33"/>
        <v>66</v>
      </c>
      <c r="CH65" s="291"/>
      <c r="CI65" s="164">
        <f t="shared" si="34"/>
        <v>3.5</v>
      </c>
      <c r="CJ65" s="149">
        <f t="shared" si="4"/>
        <v>30.5</v>
      </c>
      <c r="CK65" s="165">
        <f t="shared" si="35"/>
        <v>3.3888888888888888</v>
      </c>
      <c r="CL65" s="165" t="str">
        <f t="shared" si="36"/>
        <v>B</v>
      </c>
      <c r="CM65" s="37" t="str">
        <f t="shared" si="5"/>
        <v>GOOD</v>
      </c>
      <c r="CN65" s="217">
        <f t="shared" si="6"/>
        <v>673</v>
      </c>
      <c r="CO65" s="37"/>
      <c r="CP65" s="40"/>
      <c r="CQ65" s="215">
        <f>'1ST_SEMESTER'!CN65</f>
        <v>500</v>
      </c>
      <c r="CR65" s="215">
        <f>'2ND_SEMESTER'!CN65</f>
        <v>677.13599999999997</v>
      </c>
      <c r="CS65" s="215">
        <f t="shared" si="37"/>
        <v>673</v>
      </c>
      <c r="CT65" s="215">
        <f t="shared" si="38"/>
        <v>616.71199999999999</v>
      </c>
      <c r="CU65" s="226" t="str">
        <f>'1ST_SEMESTER'!CK65</f>
        <v>F</v>
      </c>
      <c r="CV65" s="226">
        <f>'2ND_SEMESTER'!CK65</f>
        <v>3.3333333333333335</v>
      </c>
      <c r="CW65" s="226">
        <f t="shared" si="39"/>
        <v>3.3888888888888888</v>
      </c>
      <c r="CX65" s="226">
        <f t="shared" si="40"/>
        <v>3.3611111111111112</v>
      </c>
    </row>
    <row r="66" spans="1:102" s="197" customFormat="1" ht="27" customHeight="1">
      <c r="A66" s="144">
        <v>59</v>
      </c>
      <c r="B66" s="192">
        <v>66</v>
      </c>
      <c r="C66" s="178" t="s">
        <v>316</v>
      </c>
      <c r="D66" s="59" t="s">
        <v>317</v>
      </c>
      <c r="E66" s="59" t="s">
        <v>318</v>
      </c>
      <c r="F66" s="60" t="s">
        <v>319</v>
      </c>
      <c r="G66" s="148">
        <v>15</v>
      </c>
      <c r="H66" s="149">
        <v>21</v>
      </c>
      <c r="I66" s="150">
        <f t="shared" si="7"/>
        <v>36</v>
      </c>
      <c r="J66" s="149">
        <v>17</v>
      </c>
      <c r="K66" s="150">
        <f t="shared" si="41"/>
        <v>53</v>
      </c>
      <c r="L66" s="148">
        <v>20</v>
      </c>
      <c r="M66" s="149">
        <v>37</v>
      </c>
      <c r="N66" s="150">
        <f t="shared" si="8"/>
        <v>57</v>
      </c>
      <c r="O66" s="149">
        <v>14</v>
      </c>
      <c r="P66" s="150">
        <f t="shared" si="9"/>
        <v>71</v>
      </c>
      <c r="Q66" s="150">
        <f t="shared" si="10"/>
        <v>124</v>
      </c>
      <c r="R66" s="291"/>
      <c r="S66" s="149">
        <f t="shared" si="11"/>
        <v>3.5</v>
      </c>
      <c r="T66" s="148">
        <v>16</v>
      </c>
      <c r="U66" s="149">
        <v>45</v>
      </c>
      <c r="V66" s="150">
        <f t="shared" si="12"/>
        <v>61</v>
      </c>
      <c r="W66" s="149">
        <v>17</v>
      </c>
      <c r="X66" s="149">
        <v>34</v>
      </c>
      <c r="Y66" s="150">
        <f t="shared" si="13"/>
        <v>51</v>
      </c>
      <c r="Z66" s="150">
        <f t="shared" si="14"/>
        <v>112</v>
      </c>
      <c r="AA66" s="291"/>
      <c r="AB66" s="149">
        <f t="shared" si="0"/>
        <v>3</v>
      </c>
      <c r="AC66" s="148">
        <v>17</v>
      </c>
      <c r="AD66" s="149">
        <v>20</v>
      </c>
      <c r="AE66" s="150">
        <f t="shared" si="15"/>
        <v>37</v>
      </c>
      <c r="AF66" s="149">
        <v>19</v>
      </c>
      <c r="AG66" s="150">
        <f t="shared" si="16"/>
        <v>56</v>
      </c>
      <c r="AH66" s="291"/>
      <c r="AI66" s="149">
        <f t="shared" si="1"/>
        <v>3</v>
      </c>
      <c r="AJ66" s="148">
        <v>15</v>
      </c>
      <c r="AK66" s="149">
        <v>27</v>
      </c>
      <c r="AL66" s="150">
        <f t="shared" si="17"/>
        <v>42</v>
      </c>
      <c r="AM66" s="149">
        <v>21</v>
      </c>
      <c r="AN66" s="150">
        <f t="shared" si="18"/>
        <v>63</v>
      </c>
      <c r="AO66" s="291"/>
      <c r="AP66" s="149">
        <f t="shared" si="2"/>
        <v>3.5</v>
      </c>
      <c r="AQ66" s="148"/>
      <c r="AR66" s="149">
        <v>23</v>
      </c>
      <c r="AS66" s="149">
        <v>22</v>
      </c>
      <c r="AT66" s="149">
        <f t="shared" si="42"/>
        <v>45</v>
      </c>
      <c r="AU66" s="294"/>
      <c r="AV66" s="149">
        <f t="shared" si="20"/>
        <v>5</v>
      </c>
      <c r="AW66" s="148">
        <v>10</v>
      </c>
      <c r="AX66" s="149">
        <v>20</v>
      </c>
      <c r="AY66" s="150">
        <f t="shared" si="21"/>
        <v>30</v>
      </c>
      <c r="AZ66" s="149">
        <v>19</v>
      </c>
      <c r="BA66" s="150">
        <f t="shared" si="22"/>
        <v>49</v>
      </c>
      <c r="BB66" s="291"/>
      <c r="BC66" s="149">
        <f t="shared" si="23"/>
        <v>2</v>
      </c>
      <c r="BD66" s="148">
        <v>6</v>
      </c>
      <c r="BE66" s="149">
        <v>9</v>
      </c>
      <c r="BF66" s="150">
        <f t="shared" si="24"/>
        <v>15</v>
      </c>
      <c r="BG66" s="149">
        <v>11</v>
      </c>
      <c r="BH66" s="149">
        <v>25</v>
      </c>
      <c r="BI66" s="150">
        <f t="shared" si="25"/>
        <v>51</v>
      </c>
      <c r="BJ66" s="294"/>
      <c r="BK66" s="149" t="str">
        <f t="shared" si="3"/>
        <v>F</v>
      </c>
      <c r="BL66" s="148">
        <v>7</v>
      </c>
      <c r="BM66" s="149">
        <v>15</v>
      </c>
      <c r="BN66" s="150">
        <f t="shared" si="26"/>
        <v>22</v>
      </c>
      <c r="BO66" s="149">
        <v>15</v>
      </c>
      <c r="BP66" s="162">
        <v>25</v>
      </c>
      <c r="BQ66" s="150">
        <f t="shared" si="27"/>
        <v>62</v>
      </c>
      <c r="BR66" s="291"/>
      <c r="BS66" s="149">
        <f t="shared" si="28"/>
        <v>3.5</v>
      </c>
      <c r="BT66" s="148">
        <v>8</v>
      </c>
      <c r="BU66" s="149">
        <v>22</v>
      </c>
      <c r="BV66" s="150">
        <f t="shared" si="29"/>
        <v>30</v>
      </c>
      <c r="BW66" s="149">
        <v>13</v>
      </c>
      <c r="BX66" s="162">
        <v>25</v>
      </c>
      <c r="BY66" s="150">
        <f t="shared" si="30"/>
        <v>68</v>
      </c>
      <c r="BZ66" s="294"/>
      <c r="CA66" s="149">
        <f t="shared" si="31"/>
        <v>3.5</v>
      </c>
      <c r="CB66" s="148">
        <v>5</v>
      </c>
      <c r="CC66" s="149">
        <v>11</v>
      </c>
      <c r="CD66" s="150">
        <f t="shared" si="32"/>
        <v>16</v>
      </c>
      <c r="CE66" s="149">
        <v>10</v>
      </c>
      <c r="CF66" s="149">
        <v>24</v>
      </c>
      <c r="CG66" s="150">
        <f t="shared" si="33"/>
        <v>50</v>
      </c>
      <c r="CH66" s="291"/>
      <c r="CI66" s="164" t="str">
        <f t="shared" si="34"/>
        <v>0</v>
      </c>
      <c r="CJ66" s="149" t="str">
        <f t="shared" si="4"/>
        <v>F</v>
      </c>
      <c r="CK66" s="165" t="str">
        <f t="shared" si="35"/>
        <v>F</v>
      </c>
      <c r="CL66" s="165" t="str">
        <f t="shared" si="36"/>
        <v>F</v>
      </c>
      <c r="CM66" s="37" t="str">
        <f t="shared" si="5"/>
        <v>NEED TO PROGRESS</v>
      </c>
      <c r="CN66" s="217">
        <f t="shared" si="6"/>
        <v>680</v>
      </c>
      <c r="CO66" s="37"/>
      <c r="CP66" s="40"/>
      <c r="CQ66" s="215">
        <f>'1ST_SEMESTER'!CN66</f>
        <v>641</v>
      </c>
      <c r="CR66" s="215">
        <f>'2ND_SEMESTER'!CN66</f>
        <v>672.13400000000001</v>
      </c>
      <c r="CS66" s="215">
        <f t="shared" si="37"/>
        <v>680</v>
      </c>
      <c r="CT66" s="215">
        <f t="shared" si="38"/>
        <v>664.37800000000004</v>
      </c>
      <c r="CU66" s="226" t="str">
        <f>'1ST_SEMESTER'!CK66</f>
        <v>F</v>
      </c>
      <c r="CV66" s="226" t="str">
        <f>'2ND_SEMESTER'!CK66</f>
        <v>F</v>
      </c>
      <c r="CW66" s="226" t="str">
        <f t="shared" si="39"/>
        <v>F</v>
      </c>
      <c r="CX66" s="226" t="e">
        <f t="shared" si="40"/>
        <v>#DIV/0!</v>
      </c>
    </row>
    <row r="67" spans="1:102" s="197" customFormat="1" ht="27" customHeight="1">
      <c r="A67" s="144">
        <v>60</v>
      </c>
      <c r="B67" s="192">
        <v>70</v>
      </c>
      <c r="C67" s="177" t="s">
        <v>320</v>
      </c>
      <c r="D67" s="57" t="s">
        <v>321</v>
      </c>
      <c r="E67" s="57" t="s">
        <v>322</v>
      </c>
      <c r="F67" s="58" t="s">
        <v>323</v>
      </c>
      <c r="G67" s="148">
        <v>12</v>
      </c>
      <c r="H67" s="149">
        <v>30</v>
      </c>
      <c r="I67" s="150">
        <f t="shared" si="7"/>
        <v>42</v>
      </c>
      <c r="J67" s="149">
        <v>12</v>
      </c>
      <c r="K67" s="150">
        <f t="shared" si="41"/>
        <v>54</v>
      </c>
      <c r="L67" s="148">
        <v>15</v>
      </c>
      <c r="M67" s="149">
        <v>34</v>
      </c>
      <c r="N67" s="150">
        <f t="shared" si="8"/>
        <v>49</v>
      </c>
      <c r="O67" s="149">
        <v>14</v>
      </c>
      <c r="P67" s="150">
        <f t="shared" si="9"/>
        <v>63</v>
      </c>
      <c r="Q67" s="150">
        <f t="shared" si="10"/>
        <v>117</v>
      </c>
      <c r="R67" s="291"/>
      <c r="S67" s="149">
        <f t="shared" si="11"/>
        <v>3</v>
      </c>
      <c r="T67" s="148">
        <v>13</v>
      </c>
      <c r="U67" s="149">
        <v>40</v>
      </c>
      <c r="V67" s="150">
        <f t="shared" si="12"/>
        <v>53</v>
      </c>
      <c r="W67" s="149">
        <v>16</v>
      </c>
      <c r="X67" s="149">
        <v>26</v>
      </c>
      <c r="Y67" s="150">
        <f t="shared" si="13"/>
        <v>42</v>
      </c>
      <c r="Z67" s="150">
        <f t="shared" si="14"/>
        <v>95</v>
      </c>
      <c r="AA67" s="291"/>
      <c r="AB67" s="149">
        <f t="shared" si="0"/>
        <v>2</v>
      </c>
      <c r="AC67" s="148">
        <v>14</v>
      </c>
      <c r="AD67" s="149">
        <v>20</v>
      </c>
      <c r="AE67" s="150">
        <f t="shared" si="15"/>
        <v>34</v>
      </c>
      <c r="AF67" s="149">
        <v>15</v>
      </c>
      <c r="AG67" s="150">
        <f t="shared" si="16"/>
        <v>49</v>
      </c>
      <c r="AH67" s="291"/>
      <c r="AI67" s="149">
        <f t="shared" si="1"/>
        <v>2</v>
      </c>
      <c r="AJ67" s="148">
        <v>12</v>
      </c>
      <c r="AK67" s="149">
        <v>34</v>
      </c>
      <c r="AL67" s="150">
        <f t="shared" si="17"/>
        <v>46</v>
      </c>
      <c r="AM67" s="149">
        <v>20</v>
      </c>
      <c r="AN67" s="150">
        <f t="shared" si="18"/>
        <v>66</v>
      </c>
      <c r="AO67" s="291"/>
      <c r="AP67" s="149">
        <f t="shared" si="2"/>
        <v>3.5</v>
      </c>
      <c r="AQ67" s="148"/>
      <c r="AR67" s="149">
        <v>21</v>
      </c>
      <c r="AS67" s="149">
        <v>22</v>
      </c>
      <c r="AT67" s="149">
        <f t="shared" si="42"/>
        <v>43</v>
      </c>
      <c r="AU67" s="294"/>
      <c r="AV67" s="149">
        <f t="shared" si="20"/>
        <v>5</v>
      </c>
      <c r="AW67" s="148">
        <v>10</v>
      </c>
      <c r="AX67" s="149">
        <v>24</v>
      </c>
      <c r="AY67" s="150">
        <f t="shared" si="21"/>
        <v>34</v>
      </c>
      <c r="AZ67" s="149">
        <v>18</v>
      </c>
      <c r="BA67" s="150">
        <f t="shared" si="22"/>
        <v>52</v>
      </c>
      <c r="BB67" s="291"/>
      <c r="BC67" s="149">
        <f t="shared" si="23"/>
        <v>3</v>
      </c>
      <c r="BD67" s="148">
        <v>6</v>
      </c>
      <c r="BE67" s="149">
        <v>16</v>
      </c>
      <c r="BF67" s="150">
        <f t="shared" si="24"/>
        <v>22</v>
      </c>
      <c r="BG67" s="149">
        <v>12</v>
      </c>
      <c r="BH67" s="149">
        <v>25</v>
      </c>
      <c r="BI67" s="150">
        <f t="shared" si="25"/>
        <v>59</v>
      </c>
      <c r="BJ67" s="294"/>
      <c r="BK67" s="149">
        <f t="shared" si="3"/>
        <v>3</v>
      </c>
      <c r="BL67" s="148">
        <v>7</v>
      </c>
      <c r="BM67" s="149">
        <v>13</v>
      </c>
      <c r="BN67" s="150">
        <f t="shared" si="26"/>
        <v>20</v>
      </c>
      <c r="BO67" s="149">
        <v>15</v>
      </c>
      <c r="BP67" s="162">
        <v>25</v>
      </c>
      <c r="BQ67" s="150">
        <f t="shared" si="27"/>
        <v>60</v>
      </c>
      <c r="BR67" s="291"/>
      <c r="BS67" s="149">
        <f t="shared" si="28"/>
        <v>3.5</v>
      </c>
      <c r="BT67" s="148">
        <v>7</v>
      </c>
      <c r="BU67" s="149">
        <v>18</v>
      </c>
      <c r="BV67" s="150">
        <f t="shared" si="29"/>
        <v>25</v>
      </c>
      <c r="BW67" s="149">
        <v>12</v>
      </c>
      <c r="BX67" s="162">
        <v>25</v>
      </c>
      <c r="BY67" s="150">
        <f t="shared" si="30"/>
        <v>62</v>
      </c>
      <c r="BZ67" s="294"/>
      <c r="CA67" s="149">
        <f t="shared" si="31"/>
        <v>3.5</v>
      </c>
      <c r="CB67" s="148">
        <v>7</v>
      </c>
      <c r="CC67" s="149">
        <v>24</v>
      </c>
      <c r="CD67" s="150">
        <f t="shared" si="32"/>
        <v>31</v>
      </c>
      <c r="CE67" s="149">
        <v>22</v>
      </c>
      <c r="CF67" s="149">
        <v>25</v>
      </c>
      <c r="CG67" s="150">
        <f t="shared" si="33"/>
        <v>78</v>
      </c>
      <c r="CH67" s="291"/>
      <c r="CI67" s="164">
        <f t="shared" si="34"/>
        <v>4</v>
      </c>
      <c r="CJ67" s="149">
        <f t="shared" si="4"/>
        <v>30.5</v>
      </c>
      <c r="CK67" s="165">
        <f t="shared" si="35"/>
        <v>3.3888888888888888</v>
      </c>
      <c r="CL67" s="165" t="str">
        <f t="shared" si="36"/>
        <v>B</v>
      </c>
      <c r="CM67" s="37" t="str">
        <f t="shared" si="5"/>
        <v>GOOD</v>
      </c>
      <c r="CN67" s="217">
        <f t="shared" si="6"/>
        <v>681</v>
      </c>
      <c r="CO67" s="37"/>
      <c r="CP67" s="40"/>
      <c r="CQ67" s="215">
        <f>'1ST_SEMESTER'!CN67</f>
        <v>596</v>
      </c>
      <c r="CR67" s="215">
        <f>'2ND_SEMESTER'!CN67</f>
        <v>605.56399999999996</v>
      </c>
      <c r="CS67" s="215">
        <f t="shared" si="37"/>
        <v>681</v>
      </c>
      <c r="CT67" s="215">
        <f t="shared" si="38"/>
        <v>627.52133333333325</v>
      </c>
      <c r="CU67" s="226" t="str">
        <f>'1ST_SEMESTER'!CK67</f>
        <v>F</v>
      </c>
      <c r="CV67" s="226">
        <f>'2ND_SEMESTER'!CK67</f>
        <v>3.0555555555555554</v>
      </c>
      <c r="CW67" s="226">
        <f t="shared" si="39"/>
        <v>3.3888888888888888</v>
      </c>
      <c r="CX67" s="226">
        <f t="shared" si="40"/>
        <v>3.2222222222222223</v>
      </c>
    </row>
    <row r="68" spans="1:102" s="197" customFormat="1" ht="27" customHeight="1">
      <c r="A68" s="144">
        <v>61</v>
      </c>
      <c r="B68" s="192">
        <v>71</v>
      </c>
      <c r="C68" s="177" t="s">
        <v>324</v>
      </c>
      <c r="D68" s="57" t="s">
        <v>325</v>
      </c>
      <c r="E68" s="57" t="s">
        <v>326</v>
      </c>
      <c r="F68" s="58" t="s">
        <v>327</v>
      </c>
      <c r="G68" s="148">
        <v>11</v>
      </c>
      <c r="H68" s="149">
        <v>0</v>
      </c>
      <c r="I68" s="150">
        <f t="shared" si="7"/>
        <v>11</v>
      </c>
      <c r="J68" s="149">
        <v>12</v>
      </c>
      <c r="K68" s="150">
        <f t="shared" si="41"/>
        <v>23</v>
      </c>
      <c r="L68" s="148">
        <v>18</v>
      </c>
      <c r="M68" s="149">
        <v>32</v>
      </c>
      <c r="N68" s="150">
        <f t="shared" si="8"/>
        <v>50</v>
      </c>
      <c r="O68" s="149">
        <v>12</v>
      </c>
      <c r="P68" s="150">
        <f t="shared" si="9"/>
        <v>62</v>
      </c>
      <c r="Q68" s="150">
        <f t="shared" si="10"/>
        <v>85</v>
      </c>
      <c r="R68" s="291"/>
      <c r="S68" s="149">
        <f t="shared" si="11"/>
        <v>2</v>
      </c>
      <c r="T68" s="148">
        <v>11</v>
      </c>
      <c r="U68" s="149">
        <v>36</v>
      </c>
      <c r="V68" s="150">
        <f t="shared" si="12"/>
        <v>47</v>
      </c>
      <c r="W68" s="149">
        <v>16</v>
      </c>
      <c r="X68" s="149">
        <v>19</v>
      </c>
      <c r="Y68" s="150">
        <f t="shared" si="13"/>
        <v>35</v>
      </c>
      <c r="Z68" s="150">
        <f t="shared" si="14"/>
        <v>82</v>
      </c>
      <c r="AA68" s="291"/>
      <c r="AB68" s="149">
        <f t="shared" si="0"/>
        <v>2</v>
      </c>
      <c r="AC68" s="148">
        <v>11</v>
      </c>
      <c r="AD68" s="149">
        <v>2</v>
      </c>
      <c r="AE68" s="150">
        <f t="shared" si="15"/>
        <v>13</v>
      </c>
      <c r="AF68" s="149">
        <v>12</v>
      </c>
      <c r="AG68" s="150">
        <f t="shared" si="16"/>
        <v>25</v>
      </c>
      <c r="AH68" s="291"/>
      <c r="AI68" s="149" t="str">
        <f t="shared" si="1"/>
        <v>F</v>
      </c>
      <c r="AJ68" s="148">
        <v>10</v>
      </c>
      <c r="AK68" s="149">
        <v>13</v>
      </c>
      <c r="AL68" s="150">
        <f t="shared" si="17"/>
        <v>23</v>
      </c>
      <c r="AM68" s="149">
        <v>12</v>
      </c>
      <c r="AN68" s="150">
        <f t="shared" si="18"/>
        <v>35</v>
      </c>
      <c r="AO68" s="291"/>
      <c r="AP68" s="149" t="str">
        <f t="shared" si="2"/>
        <v>F</v>
      </c>
      <c r="AQ68" s="148"/>
      <c r="AR68" s="149">
        <v>16</v>
      </c>
      <c r="AS68" s="149">
        <v>22</v>
      </c>
      <c r="AT68" s="149">
        <f t="shared" si="42"/>
        <v>38</v>
      </c>
      <c r="AU68" s="294"/>
      <c r="AV68" s="149">
        <f t="shared" si="20"/>
        <v>4</v>
      </c>
      <c r="AW68" s="148">
        <v>9</v>
      </c>
      <c r="AX68" s="149">
        <v>19</v>
      </c>
      <c r="AY68" s="150">
        <f t="shared" si="21"/>
        <v>28</v>
      </c>
      <c r="AZ68" s="149">
        <v>22</v>
      </c>
      <c r="BA68" s="150">
        <f t="shared" si="22"/>
        <v>50</v>
      </c>
      <c r="BB68" s="291"/>
      <c r="BC68" s="149">
        <f t="shared" si="23"/>
        <v>3</v>
      </c>
      <c r="BD68" s="148">
        <v>4</v>
      </c>
      <c r="BE68" s="149">
        <v>4</v>
      </c>
      <c r="BF68" s="150">
        <f t="shared" si="24"/>
        <v>8</v>
      </c>
      <c r="BG68" s="149">
        <v>11</v>
      </c>
      <c r="BH68" s="149">
        <v>25</v>
      </c>
      <c r="BI68" s="150">
        <f t="shared" si="25"/>
        <v>44</v>
      </c>
      <c r="BJ68" s="294"/>
      <c r="BK68" s="149" t="str">
        <f t="shared" si="3"/>
        <v>F</v>
      </c>
      <c r="BL68" s="148">
        <v>2</v>
      </c>
      <c r="BM68" s="149">
        <v>12</v>
      </c>
      <c r="BN68" s="150">
        <f t="shared" si="26"/>
        <v>14</v>
      </c>
      <c r="BO68" s="149">
        <v>15</v>
      </c>
      <c r="BP68" s="162">
        <v>25</v>
      </c>
      <c r="BQ68" s="150">
        <f t="shared" si="27"/>
        <v>54</v>
      </c>
      <c r="BR68" s="291"/>
      <c r="BS68" s="149" t="str">
        <f t="shared" si="28"/>
        <v>F</v>
      </c>
      <c r="BT68" s="148">
        <v>7</v>
      </c>
      <c r="BU68" s="149">
        <v>14</v>
      </c>
      <c r="BV68" s="150">
        <f t="shared" si="29"/>
        <v>21</v>
      </c>
      <c r="BW68" s="149">
        <v>13</v>
      </c>
      <c r="BX68" s="162">
        <v>25</v>
      </c>
      <c r="BY68" s="150">
        <f t="shared" si="30"/>
        <v>59</v>
      </c>
      <c r="BZ68" s="294"/>
      <c r="CA68" s="149">
        <f t="shared" si="31"/>
        <v>3</v>
      </c>
      <c r="CB68" s="148">
        <v>5</v>
      </c>
      <c r="CC68" s="149">
        <v>13</v>
      </c>
      <c r="CD68" s="150">
        <f t="shared" si="32"/>
        <v>18</v>
      </c>
      <c r="CE68" s="149">
        <v>10</v>
      </c>
      <c r="CF68" s="149">
        <v>24</v>
      </c>
      <c r="CG68" s="150">
        <f t="shared" si="33"/>
        <v>52</v>
      </c>
      <c r="CH68" s="291"/>
      <c r="CI68" s="164" t="str">
        <f t="shared" si="34"/>
        <v>0</v>
      </c>
      <c r="CJ68" s="149" t="str">
        <f t="shared" si="4"/>
        <v>F</v>
      </c>
      <c r="CK68" s="165" t="str">
        <f t="shared" si="35"/>
        <v>F</v>
      </c>
      <c r="CL68" s="165" t="str">
        <f t="shared" si="36"/>
        <v>F</v>
      </c>
      <c r="CM68" s="37" t="str">
        <f t="shared" si="5"/>
        <v>NEED TO PROGRESS</v>
      </c>
      <c r="CN68" s="217">
        <f t="shared" si="6"/>
        <v>524</v>
      </c>
      <c r="CO68" s="37"/>
      <c r="CP68" s="40"/>
      <c r="CQ68" s="215">
        <f>'1ST_SEMESTER'!CN68</f>
        <v>457</v>
      </c>
      <c r="CR68" s="215">
        <f>'2ND_SEMESTER'!CN68</f>
        <v>461.70600000000002</v>
      </c>
      <c r="CS68" s="215">
        <f t="shared" si="37"/>
        <v>524</v>
      </c>
      <c r="CT68" s="215">
        <f t="shared" si="38"/>
        <v>480.90200000000004</v>
      </c>
      <c r="CU68" s="226" t="str">
        <f>'1ST_SEMESTER'!CK68</f>
        <v>F</v>
      </c>
      <c r="CV68" s="226" t="str">
        <f>'2ND_SEMESTER'!CK68</f>
        <v>F</v>
      </c>
      <c r="CW68" s="226" t="str">
        <f t="shared" si="39"/>
        <v>F</v>
      </c>
      <c r="CX68" s="226" t="e">
        <f t="shared" si="40"/>
        <v>#DIV/0!</v>
      </c>
    </row>
    <row r="69" spans="1:102" s="197" customFormat="1" ht="27" customHeight="1">
      <c r="A69" s="144">
        <v>62</v>
      </c>
      <c r="B69" s="192">
        <v>72</v>
      </c>
      <c r="C69" s="191" t="s">
        <v>328</v>
      </c>
      <c r="D69" s="59" t="s">
        <v>329</v>
      </c>
      <c r="E69" s="59" t="s">
        <v>330</v>
      </c>
      <c r="F69" s="60" t="s">
        <v>331</v>
      </c>
      <c r="G69" s="148">
        <v>20</v>
      </c>
      <c r="H69" s="149">
        <v>39</v>
      </c>
      <c r="I69" s="150">
        <f t="shared" si="7"/>
        <v>59</v>
      </c>
      <c r="J69" s="149">
        <v>15</v>
      </c>
      <c r="K69" s="150">
        <f t="shared" si="41"/>
        <v>74</v>
      </c>
      <c r="L69" s="148">
        <v>20</v>
      </c>
      <c r="M69" s="149">
        <v>39</v>
      </c>
      <c r="N69" s="150">
        <f t="shared" si="8"/>
        <v>59</v>
      </c>
      <c r="O69" s="149">
        <v>16</v>
      </c>
      <c r="P69" s="150">
        <f t="shared" si="9"/>
        <v>75</v>
      </c>
      <c r="Q69" s="150">
        <f t="shared" si="10"/>
        <v>149</v>
      </c>
      <c r="R69" s="291"/>
      <c r="S69" s="149">
        <f t="shared" si="11"/>
        <v>4</v>
      </c>
      <c r="T69" s="148">
        <v>16</v>
      </c>
      <c r="U69" s="149">
        <v>36</v>
      </c>
      <c r="V69" s="150">
        <f t="shared" si="12"/>
        <v>52</v>
      </c>
      <c r="W69" s="149">
        <v>16</v>
      </c>
      <c r="X69" s="149">
        <v>26</v>
      </c>
      <c r="Y69" s="150">
        <f t="shared" si="13"/>
        <v>42</v>
      </c>
      <c r="Z69" s="150">
        <f t="shared" si="14"/>
        <v>94</v>
      </c>
      <c r="AA69" s="291"/>
      <c r="AB69" s="149">
        <f t="shared" si="0"/>
        <v>2</v>
      </c>
      <c r="AC69" s="148">
        <v>14</v>
      </c>
      <c r="AD69" s="149">
        <v>14</v>
      </c>
      <c r="AE69" s="150">
        <f t="shared" si="15"/>
        <v>28</v>
      </c>
      <c r="AF69" s="149">
        <v>12</v>
      </c>
      <c r="AG69" s="150">
        <f t="shared" si="16"/>
        <v>40</v>
      </c>
      <c r="AH69" s="291"/>
      <c r="AI69" s="149">
        <f t="shared" si="1"/>
        <v>2</v>
      </c>
      <c r="AJ69" s="148">
        <v>18</v>
      </c>
      <c r="AK69" s="149">
        <v>22</v>
      </c>
      <c r="AL69" s="150">
        <f t="shared" si="17"/>
        <v>40</v>
      </c>
      <c r="AM69" s="149">
        <v>19</v>
      </c>
      <c r="AN69" s="150">
        <f t="shared" si="18"/>
        <v>59</v>
      </c>
      <c r="AO69" s="291"/>
      <c r="AP69" s="149">
        <f t="shared" si="2"/>
        <v>3</v>
      </c>
      <c r="AQ69" s="148"/>
      <c r="AR69" s="149">
        <v>23</v>
      </c>
      <c r="AS69" s="149">
        <v>22</v>
      </c>
      <c r="AT69" s="149">
        <f t="shared" si="42"/>
        <v>45</v>
      </c>
      <c r="AU69" s="294"/>
      <c r="AV69" s="149">
        <f t="shared" si="20"/>
        <v>5</v>
      </c>
      <c r="AW69" s="148">
        <v>9</v>
      </c>
      <c r="AX69" s="149">
        <v>21</v>
      </c>
      <c r="AY69" s="150">
        <f t="shared" si="21"/>
        <v>30</v>
      </c>
      <c r="AZ69" s="149">
        <v>14</v>
      </c>
      <c r="BA69" s="150">
        <f t="shared" si="22"/>
        <v>44</v>
      </c>
      <c r="BB69" s="291"/>
      <c r="BC69" s="149">
        <f t="shared" si="23"/>
        <v>2</v>
      </c>
      <c r="BD69" s="148">
        <v>7</v>
      </c>
      <c r="BE69" s="149">
        <v>17</v>
      </c>
      <c r="BF69" s="150">
        <f t="shared" si="24"/>
        <v>24</v>
      </c>
      <c r="BG69" s="149">
        <v>18</v>
      </c>
      <c r="BH69" s="149">
        <v>25</v>
      </c>
      <c r="BI69" s="150">
        <f t="shared" si="25"/>
        <v>67</v>
      </c>
      <c r="BJ69" s="294"/>
      <c r="BK69" s="149">
        <f t="shared" si="3"/>
        <v>3.5</v>
      </c>
      <c r="BL69" s="148">
        <v>7</v>
      </c>
      <c r="BM69" s="149">
        <v>13</v>
      </c>
      <c r="BN69" s="150">
        <f t="shared" si="26"/>
        <v>20</v>
      </c>
      <c r="BO69" s="149">
        <v>16</v>
      </c>
      <c r="BP69" s="162">
        <v>25</v>
      </c>
      <c r="BQ69" s="150">
        <f t="shared" si="27"/>
        <v>61</v>
      </c>
      <c r="BR69" s="291"/>
      <c r="BS69" s="149">
        <f t="shared" si="28"/>
        <v>3.5</v>
      </c>
      <c r="BT69" s="148">
        <v>8</v>
      </c>
      <c r="BU69" s="149">
        <v>26</v>
      </c>
      <c r="BV69" s="150">
        <f t="shared" si="29"/>
        <v>34</v>
      </c>
      <c r="BW69" s="149">
        <v>12</v>
      </c>
      <c r="BX69" s="162">
        <v>25</v>
      </c>
      <c r="BY69" s="150">
        <f t="shared" si="30"/>
        <v>71</v>
      </c>
      <c r="BZ69" s="294"/>
      <c r="CA69" s="149">
        <f t="shared" si="31"/>
        <v>4</v>
      </c>
      <c r="CB69" s="148">
        <v>6</v>
      </c>
      <c r="CC69" s="149">
        <v>29</v>
      </c>
      <c r="CD69" s="150">
        <f t="shared" si="32"/>
        <v>35</v>
      </c>
      <c r="CE69" s="149">
        <v>13</v>
      </c>
      <c r="CF69" s="149">
        <v>23</v>
      </c>
      <c r="CG69" s="150">
        <f t="shared" si="33"/>
        <v>71</v>
      </c>
      <c r="CH69" s="291"/>
      <c r="CI69" s="164">
        <f t="shared" si="34"/>
        <v>4</v>
      </c>
      <c r="CJ69" s="149">
        <f t="shared" si="4"/>
        <v>31</v>
      </c>
      <c r="CK69" s="165">
        <f t="shared" si="35"/>
        <v>3.4444444444444446</v>
      </c>
      <c r="CL69" s="165" t="str">
        <f t="shared" si="36"/>
        <v>B</v>
      </c>
      <c r="CM69" s="37" t="str">
        <f t="shared" si="5"/>
        <v>GOOD</v>
      </c>
      <c r="CN69" s="217">
        <f t="shared" si="6"/>
        <v>701</v>
      </c>
      <c r="CO69" s="37"/>
      <c r="CP69" s="40"/>
      <c r="CQ69" s="215">
        <f>'1ST_SEMESTER'!CN69</f>
        <v>565</v>
      </c>
      <c r="CR69" s="215">
        <f>'2ND_SEMESTER'!CN69</f>
        <v>617.27600000000007</v>
      </c>
      <c r="CS69" s="215">
        <f t="shared" si="37"/>
        <v>701</v>
      </c>
      <c r="CT69" s="215">
        <f t="shared" si="38"/>
        <v>627.75866666666673</v>
      </c>
      <c r="CU69" s="226" t="str">
        <f>'1ST_SEMESTER'!CK69</f>
        <v>F</v>
      </c>
      <c r="CV69" s="226" t="str">
        <f>'2ND_SEMESTER'!CK69</f>
        <v>F</v>
      </c>
      <c r="CW69" s="226">
        <f t="shared" si="39"/>
        <v>3.4444444444444446</v>
      </c>
      <c r="CX69" s="226">
        <f t="shared" si="40"/>
        <v>3.4444444444444446</v>
      </c>
    </row>
    <row r="70" spans="1:102" s="198" customFormat="1" ht="27" customHeight="1">
      <c r="A70" s="181">
        <v>63</v>
      </c>
      <c r="B70" s="117">
        <v>75</v>
      </c>
      <c r="C70" s="118" t="s">
        <v>332</v>
      </c>
      <c r="D70" s="69" t="s">
        <v>321</v>
      </c>
      <c r="E70" s="69" t="s">
        <v>333</v>
      </c>
      <c r="F70" s="70" t="s">
        <v>334</v>
      </c>
      <c r="G70" s="148">
        <v>16</v>
      </c>
      <c r="H70" s="149">
        <v>27</v>
      </c>
      <c r="I70" s="150">
        <f t="shared" si="7"/>
        <v>43</v>
      </c>
      <c r="J70" s="149">
        <v>12</v>
      </c>
      <c r="K70" s="150">
        <f t="shared" si="41"/>
        <v>55</v>
      </c>
      <c r="L70" s="148">
        <v>20</v>
      </c>
      <c r="M70" s="149">
        <v>29</v>
      </c>
      <c r="N70" s="150">
        <f t="shared" si="8"/>
        <v>49</v>
      </c>
      <c r="O70" s="149">
        <v>18</v>
      </c>
      <c r="P70" s="150">
        <f t="shared" si="9"/>
        <v>67</v>
      </c>
      <c r="Q70" s="150">
        <f t="shared" si="10"/>
        <v>122</v>
      </c>
      <c r="R70" s="291"/>
      <c r="S70" s="149">
        <f t="shared" si="11"/>
        <v>3.5</v>
      </c>
      <c r="T70" s="148">
        <v>17</v>
      </c>
      <c r="U70" s="149">
        <v>28</v>
      </c>
      <c r="V70" s="150">
        <f t="shared" si="12"/>
        <v>45</v>
      </c>
      <c r="W70" s="149">
        <v>15</v>
      </c>
      <c r="X70" s="149">
        <v>26</v>
      </c>
      <c r="Y70" s="150">
        <f t="shared" si="13"/>
        <v>41</v>
      </c>
      <c r="Z70" s="150">
        <f t="shared" si="14"/>
        <v>86</v>
      </c>
      <c r="AA70" s="291"/>
      <c r="AB70" s="149">
        <f t="shared" si="0"/>
        <v>2</v>
      </c>
      <c r="AC70" s="148">
        <v>16</v>
      </c>
      <c r="AD70" s="149">
        <v>20</v>
      </c>
      <c r="AE70" s="150">
        <f t="shared" si="15"/>
        <v>36</v>
      </c>
      <c r="AF70" s="149">
        <v>12</v>
      </c>
      <c r="AG70" s="150">
        <f t="shared" si="16"/>
        <v>48</v>
      </c>
      <c r="AH70" s="291"/>
      <c r="AI70" s="149">
        <f t="shared" si="1"/>
        <v>2</v>
      </c>
      <c r="AJ70" s="148">
        <v>16</v>
      </c>
      <c r="AK70" s="149">
        <v>22</v>
      </c>
      <c r="AL70" s="150">
        <f t="shared" si="17"/>
        <v>38</v>
      </c>
      <c r="AM70" s="149">
        <v>17</v>
      </c>
      <c r="AN70" s="150">
        <f t="shared" si="18"/>
        <v>55</v>
      </c>
      <c r="AO70" s="291"/>
      <c r="AP70" s="149">
        <f t="shared" si="2"/>
        <v>3</v>
      </c>
      <c r="AQ70" s="148"/>
      <c r="AR70" s="149">
        <v>23</v>
      </c>
      <c r="AS70" s="149">
        <v>24</v>
      </c>
      <c r="AT70" s="149">
        <f t="shared" si="42"/>
        <v>47</v>
      </c>
      <c r="AU70" s="294"/>
      <c r="AV70" s="149">
        <f t="shared" si="20"/>
        <v>5</v>
      </c>
      <c r="AW70" s="148">
        <v>10</v>
      </c>
      <c r="AX70" s="149">
        <v>20</v>
      </c>
      <c r="AY70" s="150">
        <f t="shared" si="21"/>
        <v>30</v>
      </c>
      <c r="AZ70" s="149">
        <v>16</v>
      </c>
      <c r="BA70" s="150">
        <f t="shared" si="22"/>
        <v>46</v>
      </c>
      <c r="BB70" s="291"/>
      <c r="BC70" s="149">
        <f t="shared" si="23"/>
        <v>2</v>
      </c>
      <c r="BD70" s="148">
        <v>8</v>
      </c>
      <c r="BE70" s="149">
        <v>17</v>
      </c>
      <c r="BF70" s="150">
        <f t="shared" si="24"/>
        <v>25</v>
      </c>
      <c r="BG70" s="149">
        <v>18</v>
      </c>
      <c r="BH70" s="149">
        <v>25</v>
      </c>
      <c r="BI70" s="150">
        <f t="shared" si="25"/>
        <v>68</v>
      </c>
      <c r="BJ70" s="294"/>
      <c r="BK70" s="149">
        <f t="shared" si="3"/>
        <v>3.5</v>
      </c>
      <c r="BL70" s="148">
        <v>8</v>
      </c>
      <c r="BM70" s="149">
        <v>12</v>
      </c>
      <c r="BN70" s="150">
        <f t="shared" si="26"/>
        <v>20</v>
      </c>
      <c r="BO70" s="149">
        <v>15</v>
      </c>
      <c r="BP70" s="162">
        <v>25</v>
      </c>
      <c r="BQ70" s="150">
        <f t="shared" si="27"/>
        <v>60</v>
      </c>
      <c r="BR70" s="291"/>
      <c r="BS70" s="149">
        <f t="shared" si="28"/>
        <v>3.5</v>
      </c>
      <c r="BT70" s="148">
        <v>8</v>
      </c>
      <c r="BU70" s="149">
        <v>17</v>
      </c>
      <c r="BV70" s="150">
        <f t="shared" si="29"/>
        <v>25</v>
      </c>
      <c r="BW70" s="149">
        <v>12</v>
      </c>
      <c r="BX70" s="162">
        <v>25</v>
      </c>
      <c r="BY70" s="150">
        <f t="shared" si="30"/>
        <v>62</v>
      </c>
      <c r="BZ70" s="294"/>
      <c r="CA70" s="149">
        <f t="shared" si="31"/>
        <v>3.5</v>
      </c>
      <c r="CB70" s="148">
        <v>9</v>
      </c>
      <c r="CC70" s="149">
        <v>25</v>
      </c>
      <c r="CD70" s="150">
        <f t="shared" si="32"/>
        <v>34</v>
      </c>
      <c r="CE70" s="149">
        <v>10</v>
      </c>
      <c r="CF70" s="149">
        <v>23</v>
      </c>
      <c r="CG70" s="150">
        <f t="shared" si="33"/>
        <v>67</v>
      </c>
      <c r="CH70" s="291"/>
      <c r="CI70" s="164">
        <f t="shared" si="34"/>
        <v>3.5</v>
      </c>
      <c r="CJ70" s="149">
        <f t="shared" si="4"/>
        <v>29.5</v>
      </c>
      <c r="CK70" s="165">
        <f t="shared" si="35"/>
        <v>3.2777777777777777</v>
      </c>
      <c r="CL70" s="165" t="str">
        <f t="shared" si="36"/>
        <v>B</v>
      </c>
      <c r="CM70" s="37" t="str">
        <f t="shared" si="5"/>
        <v>GOOD</v>
      </c>
      <c r="CN70" s="217">
        <f t="shared" si="6"/>
        <v>661</v>
      </c>
      <c r="CO70" s="37"/>
      <c r="CP70" s="40"/>
      <c r="CQ70" s="215">
        <f>'1ST_SEMESTER'!CN70</f>
        <v>525</v>
      </c>
      <c r="CR70" s="215">
        <f>'2ND_SEMESTER'!CN70</f>
        <v>218</v>
      </c>
      <c r="CS70" s="215">
        <f t="shared" si="37"/>
        <v>661</v>
      </c>
      <c r="CT70" s="215">
        <f t="shared" si="38"/>
        <v>468</v>
      </c>
      <c r="CU70" s="226" t="str">
        <f>'1ST_SEMESTER'!CK70</f>
        <v>F</v>
      </c>
      <c r="CV70" s="226" t="str">
        <f>'2ND_SEMESTER'!CK70</f>
        <v>F</v>
      </c>
      <c r="CW70" s="226">
        <f t="shared" si="39"/>
        <v>3.2777777777777777</v>
      </c>
      <c r="CX70" s="226">
        <f t="shared" si="40"/>
        <v>3.2777777777777777</v>
      </c>
    </row>
    <row r="71" spans="1:102" s="198" customFormat="1" ht="27" customHeight="1">
      <c r="A71" s="181">
        <v>64</v>
      </c>
      <c r="B71" s="117">
        <v>79</v>
      </c>
      <c r="C71" s="118" t="s">
        <v>335</v>
      </c>
      <c r="D71" s="69"/>
      <c r="E71" s="69"/>
      <c r="F71" s="70"/>
      <c r="G71" s="148">
        <v>13</v>
      </c>
      <c r="H71" s="149">
        <v>21</v>
      </c>
      <c r="I71" s="150">
        <f t="shared" si="7"/>
        <v>34</v>
      </c>
      <c r="J71" s="148">
        <v>18</v>
      </c>
      <c r="K71" s="150">
        <f t="shared" si="41"/>
        <v>52</v>
      </c>
      <c r="L71" s="148">
        <v>19</v>
      </c>
      <c r="M71" s="149">
        <v>29</v>
      </c>
      <c r="N71" s="150">
        <f t="shared" si="8"/>
        <v>48</v>
      </c>
      <c r="O71" s="149">
        <v>19</v>
      </c>
      <c r="P71" s="150">
        <f t="shared" si="9"/>
        <v>67</v>
      </c>
      <c r="Q71" s="150">
        <f t="shared" si="10"/>
        <v>119</v>
      </c>
      <c r="R71" s="291"/>
      <c r="S71" s="149">
        <f t="shared" si="11"/>
        <v>3</v>
      </c>
      <c r="T71" s="148">
        <v>12</v>
      </c>
      <c r="U71" s="150">
        <v>36</v>
      </c>
      <c r="V71" s="150">
        <f t="shared" si="12"/>
        <v>48</v>
      </c>
      <c r="W71" s="148">
        <v>16</v>
      </c>
      <c r="X71" s="150">
        <v>28</v>
      </c>
      <c r="Y71" s="150">
        <f t="shared" si="13"/>
        <v>44</v>
      </c>
      <c r="Z71" s="150">
        <f t="shared" si="14"/>
        <v>92</v>
      </c>
      <c r="AA71" s="291"/>
      <c r="AB71" s="149">
        <f t="shared" si="0"/>
        <v>2</v>
      </c>
      <c r="AC71" s="148">
        <v>16</v>
      </c>
      <c r="AD71" s="149">
        <v>8</v>
      </c>
      <c r="AE71" s="150">
        <f t="shared" si="15"/>
        <v>24</v>
      </c>
      <c r="AF71" s="149">
        <v>17</v>
      </c>
      <c r="AG71" s="150">
        <f t="shared" si="16"/>
        <v>41</v>
      </c>
      <c r="AH71" s="291"/>
      <c r="AI71" s="149" t="str">
        <f t="shared" si="1"/>
        <v>F</v>
      </c>
      <c r="AJ71" s="148">
        <v>13</v>
      </c>
      <c r="AK71" s="149">
        <v>28</v>
      </c>
      <c r="AL71" s="150">
        <f t="shared" si="17"/>
        <v>41</v>
      </c>
      <c r="AM71" s="149">
        <v>10</v>
      </c>
      <c r="AN71" s="150">
        <f t="shared" si="18"/>
        <v>51</v>
      </c>
      <c r="AO71" s="291"/>
      <c r="AP71" s="149" t="str">
        <f t="shared" si="2"/>
        <v>F</v>
      </c>
      <c r="AQ71" s="148"/>
      <c r="AR71" s="149">
        <v>23</v>
      </c>
      <c r="AS71" s="149">
        <v>24</v>
      </c>
      <c r="AT71" s="149">
        <f t="shared" si="42"/>
        <v>47</v>
      </c>
      <c r="AU71" s="294"/>
      <c r="AV71" s="149">
        <f t="shared" si="20"/>
        <v>5</v>
      </c>
      <c r="AW71" s="148">
        <v>8</v>
      </c>
      <c r="AX71" s="149">
        <v>20</v>
      </c>
      <c r="AY71" s="150">
        <f t="shared" si="21"/>
        <v>28</v>
      </c>
      <c r="AZ71" s="149">
        <v>17</v>
      </c>
      <c r="BA71" s="150">
        <f t="shared" si="22"/>
        <v>45</v>
      </c>
      <c r="BB71" s="291"/>
      <c r="BC71" s="149">
        <f t="shared" si="23"/>
        <v>2</v>
      </c>
      <c r="BD71" s="148">
        <v>6</v>
      </c>
      <c r="BE71" s="149">
        <v>22</v>
      </c>
      <c r="BF71" s="150">
        <f t="shared" si="24"/>
        <v>28</v>
      </c>
      <c r="BG71" s="149">
        <v>10</v>
      </c>
      <c r="BH71" s="149">
        <v>25</v>
      </c>
      <c r="BI71" s="150">
        <f t="shared" si="25"/>
        <v>63</v>
      </c>
      <c r="BJ71" s="294"/>
      <c r="BK71" s="149">
        <f t="shared" si="3"/>
        <v>3.5</v>
      </c>
      <c r="BL71" s="148">
        <v>6</v>
      </c>
      <c r="BM71" s="149">
        <v>11</v>
      </c>
      <c r="BN71" s="150">
        <f t="shared" si="26"/>
        <v>17</v>
      </c>
      <c r="BO71" s="149">
        <v>18</v>
      </c>
      <c r="BP71" s="162">
        <v>25</v>
      </c>
      <c r="BQ71" s="150">
        <f t="shared" si="27"/>
        <v>60</v>
      </c>
      <c r="BR71" s="291"/>
      <c r="BS71" s="149" t="str">
        <f t="shared" si="28"/>
        <v>F</v>
      </c>
      <c r="BT71" s="148">
        <v>5</v>
      </c>
      <c r="BU71" s="149">
        <v>5</v>
      </c>
      <c r="BV71" s="150">
        <f t="shared" si="29"/>
        <v>10</v>
      </c>
      <c r="BW71" s="149">
        <v>17</v>
      </c>
      <c r="BX71" s="162">
        <v>25</v>
      </c>
      <c r="BY71" s="150">
        <f t="shared" si="30"/>
        <v>52</v>
      </c>
      <c r="BZ71" s="294"/>
      <c r="CA71" s="149" t="str">
        <f t="shared" si="31"/>
        <v>F</v>
      </c>
      <c r="CB71" s="148">
        <v>3</v>
      </c>
      <c r="CC71" s="149">
        <v>14</v>
      </c>
      <c r="CD71" s="150">
        <f t="shared" si="32"/>
        <v>17</v>
      </c>
      <c r="CE71" s="149">
        <v>17</v>
      </c>
      <c r="CF71" s="149">
        <v>25</v>
      </c>
      <c r="CG71" s="150">
        <f t="shared" si="33"/>
        <v>59</v>
      </c>
      <c r="CH71" s="291"/>
      <c r="CI71" s="164" t="str">
        <f t="shared" si="34"/>
        <v>0</v>
      </c>
      <c r="CJ71" s="149" t="str">
        <f t="shared" si="4"/>
        <v>F</v>
      </c>
      <c r="CK71" s="165" t="str">
        <f t="shared" si="35"/>
        <v>F</v>
      </c>
      <c r="CL71" s="165" t="str">
        <f t="shared" si="36"/>
        <v>F</v>
      </c>
      <c r="CM71" s="37" t="str">
        <f t="shared" si="5"/>
        <v>NEED TO PROGRESS</v>
      </c>
      <c r="CN71" s="217">
        <f t="shared" si="6"/>
        <v>629</v>
      </c>
      <c r="CO71" s="37"/>
      <c r="CP71" s="40"/>
      <c r="CQ71" s="215">
        <f>'1ST_SEMESTER'!CN71</f>
        <v>0</v>
      </c>
      <c r="CR71" s="215">
        <f>'2ND_SEMESTER'!CN71</f>
        <v>386.13800000000003</v>
      </c>
      <c r="CS71" s="215">
        <f t="shared" si="37"/>
        <v>629</v>
      </c>
      <c r="CT71" s="215">
        <f t="shared" si="38"/>
        <v>338.37933333333336</v>
      </c>
      <c r="CU71" s="226" t="str">
        <f>'1ST_SEMESTER'!CK71</f>
        <v>F</v>
      </c>
      <c r="CV71" s="226" t="str">
        <f>'2ND_SEMESTER'!CK71</f>
        <v>F</v>
      </c>
      <c r="CW71" s="226" t="str">
        <f t="shared" si="39"/>
        <v>F</v>
      </c>
      <c r="CX71" s="226" t="e">
        <f t="shared" si="40"/>
        <v>#DIV/0!</v>
      </c>
    </row>
    <row r="72" spans="1:102" s="198" customFormat="1" ht="27" customHeight="1">
      <c r="A72" s="181">
        <v>65</v>
      </c>
      <c r="B72" s="117">
        <v>87</v>
      </c>
      <c r="C72" s="118" t="s">
        <v>336</v>
      </c>
      <c r="D72" s="69" t="s">
        <v>337</v>
      </c>
      <c r="E72" s="69" t="s">
        <v>338</v>
      </c>
      <c r="F72" s="70" t="s">
        <v>339</v>
      </c>
      <c r="G72" s="148">
        <v>17</v>
      </c>
      <c r="H72" s="149">
        <v>30</v>
      </c>
      <c r="I72" s="150">
        <f t="shared" si="7"/>
        <v>47</v>
      </c>
      <c r="J72" s="149">
        <v>17</v>
      </c>
      <c r="K72" s="150">
        <f t="shared" si="41"/>
        <v>64</v>
      </c>
      <c r="L72" s="148">
        <v>19</v>
      </c>
      <c r="M72" s="149">
        <v>31</v>
      </c>
      <c r="N72" s="150">
        <f t="shared" si="8"/>
        <v>50</v>
      </c>
      <c r="O72" s="149">
        <v>19</v>
      </c>
      <c r="P72" s="150">
        <f t="shared" si="9"/>
        <v>69</v>
      </c>
      <c r="Q72" s="150">
        <f t="shared" si="10"/>
        <v>133</v>
      </c>
      <c r="R72" s="291"/>
      <c r="S72" s="149">
        <f t="shared" si="11"/>
        <v>3.5</v>
      </c>
      <c r="T72" s="148">
        <v>13</v>
      </c>
      <c r="U72" s="149">
        <v>37</v>
      </c>
      <c r="V72" s="150">
        <f t="shared" si="12"/>
        <v>50</v>
      </c>
      <c r="W72" s="149">
        <v>15</v>
      </c>
      <c r="X72" s="149">
        <v>28</v>
      </c>
      <c r="Y72" s="150">
        <f t="shared" si="13"/>
        <v>43</v>
      </c>
      <c r="Z72" s="150">
        <f t="shared" si="14"/>
        <v>93</v>
      </c>
      <c r="AA72" s="291"/>
      <c r="AB72" s="149">
        <f t="shared" si="0"/>
        <v>2</v>
      </c>
      <c r="AC72" s="148">
        <v>17</v>
      </c>
      <c r="AD72" s="149">
        <v>20</v>
      </c>
      <c r="AE72" s="150">
        <f t="shared" si="15"/>
        <v>37</v>
      </c>
      <c r="AF72" s="149">
        <v>14</v>
      </c>
      <c r="AG72" s="150">
        <f t="shared" si="16"/>
        <v>51</v>
      </c>
      <c r="AH72" s="291"/>
      <c r="AI72" s="149">
        <f t="shared" ref="AI72:AI94" si="43">IF(AE72&lt;28,"F",IF(AF72&lt;12,"F",IF(AG72&lt;40,"F",IF(AG72&lt;50,2,IF(AG72&lt;60,3,IF(AG72&lt;70,3.5,IF(AG72&lt;80,4,5)))))))</f>
        <v>3</v>
      </c>
      <c r="AJ72" s="148">
        <v>13</v>
      </c>
      <c r="AK72" s="149">
        <v>29</v>
      </c>
      <c r="AL72" s="150">
        <f t="shared" si="17"/>
        <v>42</v>
      </c>
      <c r="AM72" s="149">
        <v>21</v>
      </c>
      <c r="AN72" s="150">
        <f t="shared" si="18"/>
        <v>63</v>
      </c>
      <c r="AO72" s="291"/>
      <c r="AP72" s="149">
        <f t="shared" ref="AP72:AP94" si="44">IF(AL72&lt;28,"F",IF(AM72&lt;12,"F",IF(AN72&lt;40,"F",IF(AN72&lt;50,2,IF(AN72&lt;60,3,IF(AN72&lt;70,3.5,IF(AN72&lt;80,4,5)))))))</f>
        <v>3.5</v>
      </c>
      <c r="AQ72" s="148"/>
      <c r="AR72" s="149">
        <v>23</v>
      </c>
      <c r="AS72" s="149">
        <v>24</v>
      </c>
      <c r="AT72" s="149">
        <f t="shared" si="42"/>
        <v>47</v>
      </c>
      <c r="AU72" s="294"/>
      <c r="AV72" s="149">
        <f t="shared" si="20"/>
        <v>5</v>
      </c>
      <c r="AW72" s="148">
        <v>12</v>
      </c>
      <c r="AX72" s="149">
        <v>21</v>
      </c>
      <c r="AY72" s="150">
        <f t="shared" si="21"/>
        <v>33</v>
      </c>
      <c r="AZ72" s="149">
        <v>23</v>
      </c>
      <c r="BA72" s="150">
        <f t="shared" si="22"/>
        <v>56</v>
      </c>
      <c r="BB72" s="291"/>
      <c r="BC72" s="149">
        <f t="shared" si="23"/>
        <v>3</v>
      </c>
      <c r="BD72" s="148">
        <v>7</v>
      </c>
      <c r="BE72" s="149">
        <v>22</v>
      </c>
      <c r="BF72" s="150">
        <f t="shared" si="24"/>
        <v>29</v>
      </c>
      <c r="BG72" s="149">
        <v>14</v>
      </c>
      <c r="BH72" s="149">
        <v>25</v>
      </c>
      <c r="BI72" s="150">
        <f t="shared" si="25"/>
        <v>68</v>
      </c>
      <c r="BJ72" s="294"/>
      <c r="BK72" s="149">
        <f t="shared" si="3"/>
        <v>3.5</v>
      </c>
      <c r="BL72" s="148">
        <v>7</v>
      </c>
      <c r="BM72" s="149">
        <v>14</v>
      </c>
      <c r="BN72" s="150">
        <f t="shared" si="26"/>
        <v>21</v>
      </c>
      <c r="BO72" s="149">
        <v>17</v>
      </c>
      <c r="BP72" s="162">
        <v>25</v>
      </c>
      <c r="BQ72" s="150">
        <f t="shared" si="27"/>
        <v>63</v>
      </c>
      <c r="BR72" s="291"/>
      <c r="BS72" s="149">
        <f t="shared" si="28"/>
        <v>3.5</v>
      </c>
      <c r="BT72" s="148">
        <v>8</v>
      </c>
      <c r="BU72" s="149">
        <v>18</v>
      </c>
      <c r="BV72" s="150">
        <f t="shared" si="29"/>
        <v>26</v>
      </c>
      <c r="BW72" s="149">
        <v>17</v>
      </c>
      <c r="BX72" s="162">
        <v>25</v>
      </c>
      <c r="BY72" s="150">
        <f t="shared" si="30"/>
        <v>68</v>
      </c>
      <c r="BZ72" s="294"/>
      <c r="CA72" s="149">
        <f t="shared" si="31"/>
        <v>3.5</v>
      </c>
      <c r="CB72" s="148">
        <v>7</v>
      </c>
      <c r="CC72" s="149">
        <v>20</v>
      </c>
      <c r="CD72" s="150">
        <f t="shared" si="32"/>
        <v>27</v>
      </c>
      <c r="CE72" s="149">
        <v>14</v>
      </c>
      <c r="CF72" s="149">
        <v>25</v>
      </c>
      <c r="CG72" s="150">
        <f t="shared" si="33"/>
        <v>66</v>
      </c>
      <c r="CH72" s="291"/>
      <c r="CI72" s="164">
        <f t="shared" si="34"/>
        <v>3.5</v>
      </c>
      <c r="CJ72" s="149">
        <f t="shared" ref="CJ72:CJ95" si="45">IF(S72="F","F",IF(AB72="F","F",IF(AI72="F","F",IF(AP72="F","F",IF(BC72="F","F",IF(BK72="F","F",IF(BS72="F","F",IF(CA72="F","F",IF(CI72="F","F",IF(AV72="F","F", IF(CI72&lt;=2,SUM(S72,AB72,AI72,AP72,AV72,BC72,BK72,BS72,CA72,CI72),IF(CI72&gt;=2,SUM(S72,AB72,AI72,AP72,BC72,BK72,AV72,BS72,CA72,CI72-2)))))))))))))</f>
        <v>32</v>
      </c>
      <c r="CK72" s="165">
        <f t="shared" si="35"/>
        <v>3.5555555555555554</v>
      </c>
      <c r="CL72" s="165" t="str">
        <f t="shared" si="36"/>
        <v>A-</v>
      </c>
      <c r="CM72" s="37" t="str">
        <f t="shared" ref="CM72:CM95" si="46">IF(CK72="F","NEED TO PROGRESS",IF(CK72&gt;=5,"BEST",IF(CK72&gt;=4,"BETTER",IF(CK72&gt;=2,"GOOD"))))</f>
        <v>GOOD</v>
      </c>
      <c r="CN72" s="217">
        <f t="shared" ref="CN72:CN95" si="47">Q72+Z72+AG72+AN72+AT72+BA72+BI72+BQ72+BY72+CG72</f>
        <v>708</v>
      </c>
      <c r="CO72" s="37"/>
      <c r="CP72" s="40"/>
      <c r="CQ72" s="215">
        <f>'1ST_SEMESTER'!CN72</f>
        <v>666</v>
      </c>
      <c r="CR72" s="215">
        <f>'2ND_SEMESTER'!CN72</f>
        <v>663.56399999999996</v>
      </c>
      <c r="CS72" s="215">
        <f t="shared" si="37"/>
        <v>708</v>
      </c>
      <c r="CT72" s="215">
        <f t="shared" si="38"/>
        <v>679.18799999999999</v>
      </c>
      <c r="CU72" s="226">
        <f>'1ST_SEMESTER'!CK72</f>
        <v>3.4444444444444446</v>
      </c>
      <c r="CV72" s="226">
        <f>'2ND_SEMESTER'!CK72</f>
        <v>3.3888888888888888</v>
      </c>
      <c r="CW72" s="226">
        <f t="shared" si="39"/>
        <v>3.5555555555555554</v>
      </c>
      <c r="CX72" s="226">
        <f t="shared" si="40"/>
        <v>3.4629629629629632</v>
      </c>
    </row>
    <row r="73" spans="1:102" s="198" customFormat="1" ht="27" customHeight="1">
      <c r="A73" s="181">
        <v>66</v>
      </c>
      <c r="B73" s="117">
        <v>99</v>
      </c>
      <c r="C73" s="179" t="s">
        <v>340</v>
      </c>
      <c r="D73" s="95" t="s">
        <v>341</v>
      </c>
      <c r="E73" s="95" t="s">
        <v>342</v>
      </c>
      <c r="F73" s="96" t="s">
        <v>343</v>
      </c>
      <c r="G73" s="148">
        <v>18</v>
      </c>
      <c r="H73" s="149">
        <v>20</v>
      </c>
      <c r="I73" s="150">
        <f t="shared" ref="I73:I95" si="48">H73+G73</f>
        <v>38</v>
      </c>
      <c r="J73" s="149">
        <v>13</v>
      </c>
      <c r="K73" s="150">
        <f t="shared" si="41"/>
        <v>51</v>
      </c>
      <c r="L73" s="148">
        <v>20</v>
      </c>
      <c r="M73" s="149">
        <v>33</v>
      </c>
      <c r="N73" s="150">
        <f t="shared" ref="N73:N95" si="49">M73+L73</f>
        <v>53</v>
      </c>
      <c r="O73" s="149">
        <v>22</v>
      </c>
      <c r="P73" s="150">
        <f t="shared" ref="P73:P95" si="50">N73+O73</f>
        <v>75</v>
      </c>
      <c r="Q73" s="150">
        <f t="shared" ref="Q73:Q95" si="51">K73+P73</f>
        <v>126</v>
      </c>
      <c r="R73" s="291"/>
      <c r="S73" s="149">
        <f t="shared" si="11"/>
        <v>3.5</v>
      </c>
      <c r="T73" s="148">
        <v>14</v>
      </c>
      <c r="U73" s="149">
        <v>46</v>
      </c>
      <c r="V73" s="150">
        <f t="shared" ref="V73:V95" si="52">U73+T73</f>
        <v>60</v>
      </c>
      <c r="W73" s="149">
        <v>16</v>
      </c>
      <c r="X73" s="149">
        <v>42</v>
      </c>
      <c r="Y73" s="150">
        <f t="shared" ref="Y73:Y95" si="53">W73+X73</f>
        <v>58</v>
      </c>
      <c r="Z73" s="150">
        <f t="shared" ref="Z73:Z95" si="54">V73+Y73</f>
        <v>118</v>
      </c>
      <c r="AA73" s="291"/>
      <c r="AB73" s="149">
        <f t="shared" si="0"/>
        <v>3</v>
      </c>
      <c r="AC73" s="148">
        <v>20</v>
      </c>
      <c r="AD73" s="149">
        <v>34</v>
      </c>
      <c r="AE73" s="150">
        <f t="shared" ref="AE73:AE95" si="55">AD73+AC73</f>
        <v>54</v>
      </c>
      <c r="AF73" s="149">
        <v>20</v>
      </c>
      <c r="AG73" s="150">
        <f t="shared" ref="AG73:AG95" si="56">AF73+AE73</f>
        <v>74</v>
      </c>
      <c r="AH73" s="291"/>
      <c r="AI73" s="149">
        <f t="shared" si="43"/>
        <v>4</v>
      </c>
      <c r="AJ73" s="148">
        <v>15</v>
      </c>
      <c r="AK73" s="149">
        <v>20</v>
      </c>
      <c r="AL73" s="150">
        <f t="shared" ref="AL73:AL95" si="57">AK73+AJ73</f>
        <v>35</v>
      </c>
      <c r="AM73" s="149">
        <v>23</v>
      </c>
      <c r="AN73" s="150">
        <f t="shared" ref="AN73:AN95" si="58">AL73+AM73</f>
        <v>58</v>
      </c>
      <c r="AO73" s="291"/>
      <c r="AP73" s="149">
        <f t="shared" si="44"/>
        <v>3</v>
      </c>
      <c r="AQ73" s="148"/>
      <c r="AR73" s="149">
        <v>24</v>
      </c>
      <c r="AS73" s="149">
        <v>24</v>
      </c>
      <c r="AT73" s="149">
        <f t="shared" si="42"/>
        <v>48</v>
      </c>
      <c r="AU73" s="294"/>
      <c r="AV73" s="149">
        <f t="shared" si="20"/>
        <v>5</v>
      </c>
      <c r="AW73" s="148">
        <v>12</v>
      </c>
      <c r="AX73" s="149">
        <v>22</v>
      </c>
      <c r="AY73" s="150">
        <f t="shared" ref="AY73:AY95" si="59">AX73+AW73</f>
        <v>34</v>
      </c>
      <c r="AZ73" s="149">
        <v>20</v>
      </c>
      <c r="BA73" s="150">
        <f t="shared" ref="BA73:BA95" si="60">AY73+AZ73</f>
        <v>54</v>
      </c>
      <c r="BB73" s="291"/>
      <c r="BC73" s="149">
        <f t="shared" si="23"/>
        <v>3</v>
      </c>
      <c r="BD73" s="148">
        <v>7</v>
      </c>
      <c r="BE73" s="149">
        <v>34</v>
      </c>
      <c r="BF73" s="150">
        <f t="shared" ref="BF73:BF95" si="61">BE73+BD73</f>
        <v>41</v>
      </c>
      <c r="BG73" s="149">
        <v>12</v>
      </c>
      <c r="BH73" s="149">
        <v>25</v>
      </c>
      <c r="BI73" s="150">
        <f t="shared" ref="BI73:BI95" si="62">BF73+BG73+BH73</f>
        <v>78</v>
      </c>
      <c r="BJ73" s="294"/>
      <c r="BK73" s="149">
        <f t="shared" si="3"/>
        <v>4</v>
      </c>
      <c r="BL73" s="148">
        <v>8</v>
      </c>
      <c r="BM73" s="149">
        <v>21</v>
      </c>
      <c r="BN73" s="150">
        <f t="shared" ref="BN73:BN95" si="63">BM73+BL73</f>
        <v>29</v>
      </c>
      <c r="BO73" s="149">
        <v>17</v>
      </c>
      <c r="BP73" s="162">
        <v>25</v>
      </c>
      <c r="BQ73" s="150">
        <f t="shared" ref="BQ73:BQ95" si="64">BN73+BO73+BP73</f>
        <v>71</v>
      </c>
      <c r="BR73" s="291"/>
      <c r="BS73" s="149">
        <f t="shared" ref="BS73:BS95" si="65">IF(BN73&lt;20,"F",IF(BO73&lt;10,"F",IF(BP73&lt;10,"F",IF(BQ73&lt;40,"F",IF(BQ73&lt;50,2,IF(BQ73&lt;60,3,IF(BQ73&lt;70,3.5,IF(BQ73&lt;80,4,5))))))))</f>
        <v>4</v>
      </c>
      <c r="BT73" s="148">
        <v>8</v>
      </c>
      <c r="BU73" s="149">
        <v>19</v>
      </c>
      <c r="BV73" s="150">
        <f t="shared" ref="BV73:BV95" si="66">BU73+BT73</f>
        <v>27</v>
      </c>
      <c r="BW73" s="149">
        <v>20</v>
      </c>
      <c r="BX73" s="162">
        <v>25</v>
      </c>
      <c r="BY73" s="150">
        <f t="shared" ref="BY73:BY95" si="67">BV73+BW73+BX73</f>
        <v>72</v>
      </c>
      <c r="BZ73" s="294"/>
      <c r="CA73" s="149">
        <f t="shared" ref="CA73:CA95" si="68">IF(BV73&lt;20,"F",IF(BW73&lt;10,"F",IF(BX73&lt;10,"F",IF(BY73&lt;40,"F",IF(BY73&lt;50,2,IF(BY73&lt;60,3,IF(BY73&lt;70,3.5,IF(BY73&lt;80,4,5))))))))</f>
        <v>4</v>
      </c>
      <c r="CB73" s="148">
        <v>9</v>
      </c>
      <c r="CC73" s="149">
        <v>36</v>
      </c>
      <c r="CD73" s="150">
        <f t="shared" ref="CD73:CD95" si="69">CC73+CB73</f>
        <v>45</v>
      </c>
      <c r="CE73" s="149">
        <v>18</v>
      </c>
      <c r="CF73" s="149">
        <v>23</v>
      </c>
      <c r="CG73" s="150">
        <f t="shared" ref="CG73:CG95" si="70">CD73+CE73+CF73</f>
        <v>86</v>
      </c>
      <c r="CH73" s="291"/>
      <c r="CI73" s="164">
        <f t="shared" ref="CI73:CI95" si="71">IF(CD73&lt;20,"0",IF(CE73&lt;10,"0",IF(CF73&lt;10,"0",IF(CG73&lt;40,"0",IF(CG73&lt;50,2,IF(CG73&lt;60,3,IF(CG73&lt;70,3.5,IF(CG73&lt;80,4,5))))))))</f>
        <v>5</v>
      </c>
      <c r="CJ73" s="149">
        <f t="shared" si="45"/>
        <v>36.5</v>
      </c>
      <c r="CK73" s="165">
        <f t="shared" ref="CK73:CK95" si="72">IF(CJ73="F","F",IF(CJ73&gt;=45,5,IF(CJ73&lt;45,CJ73/9)))</f>
        <v>4.0555555555555554</v>
      </c>
      <c r="CL73" s="165" t="str">
        <f t="shared" ref="CL73:CL95" si="73">IF(CK73="F","F",IF(CK73&lt;2.5,"D",IF(CK73&lt;3,"C",IF(CK73&lt;3.5,"B",IF(CK73&lt;4,"A-",IF(CK73&lt;5,"A","A+"))))))</f>
        <v>A</v>
      </c>
      <c r="CM73" s="37" t="str">
        <f t="shared" si="46"/>
        <v>BETTER</v>
      </c>
      <c r="CN73" s="217">
        <f t="shared" si="47"/>
        <v>785</v>
      </c>
      <c r="CO73" s="37"/>
      <c r="CP73" s="40"/>
      <c r="CQ73" s="215">
        <f>'1ST_SEMESTER'!CN73</f>
        <v>640</v>
      </c>
      <c r="CR73" s="215">
        <f>'2ND_SEMESTER'!CN73</f>
        <v>723.13400000000001</v>
      </c>
      <c r="CS73" s="215">
        <f t="shared" ref="CS73:CS95" si="74">CN73</f>
        <v>785</v>
      </c>
      <c r="CT73" s="215">
        <f t="shared" ref="CT73:CT95" si="75">AVERAGE(CQ73:CS73)</f>
        <v>716.04466666666667</v>
      </c>
      <c r="CU73" s="226" t="str">
        <f>'1ST_SEMESTER'!CK73</f>
        <v>F</v>
      </c>
      <c r="CV73" s="226">
        <f>'2ND_SEMESTER'!CK73</f>
        <v>3.8888888888888888</v>
      </c>
      <c r="CW73" s="226">
        <f t="shared" ref="CW73:CW95" si="76">CK73</f>
        <v>4.0555555555555554</v>
      </c>
      <c r="CX73" s="226">
        <f t="shared" ref="CX73:CX95" si="77">AVERAGE(CU73:CW73)</f>
        <v>3.9722222222222223</v>
      </c>
    </row>
    <row r="74" spans="1:102" s="198" customFormat="1" ht="27" customHeight="1">
      <c r="A74" s="181">
        <v>67</v>
      </c>
      <c r="B74" s="117">
        <v>109</v>
      </c>
      <c r="C74" s="118" t="s">
        <v>344</v>
      </c>
      <c r="D74" s="69" t="s">
        <v>345</v>
      </c>
      <c r="E74" s="69" t="s">
        <v>346</v>
      </c>
      <c r="F74" s="70" t="s">
        <v>347</v>
      </c>
      <c r="G74" s="148">
        <v>14</v>
      </c>
      <c r="H74" s="149">
        <v>25</v>
      </c>
      <c r="I74" s="150">
        <f t="shared" si="48"/>
        <v>39</v>
      </c>
      <c r="J74" s="149">
        <v>17</v>
      </c>
      <c r="K74" s="150">
        <f t="shared" ref="K74:K82" si="78">I74+J74</f>
        <v>56</v>
      </c>
      <c r="L74" s="148">
        <v>20</v>
      </c>
      <c r="M74" s="149">
        <v>31</v>
      </c>
      <c r="N74" s="150">
        <f t="shared" si="49"/>
        <v>51</v>
      </c>
      <c r="O74" s="149">
        <v>13</v>
      </c>
      <c r="P74" s="150">
        <f t="shared" si="50"/>
        <v>64</v>
      </c>
      <c r="Q74" s="150">
        <f t="shared" si="51"/>
        <v>120</v>
      </c>
      <c r="R74" s="291"/>
      <c r="S74" s="149">
        <f t="shared" si="11"/>
        <v>3.5</v>
      </c>
      <c r="T74" s="148">
        <v>14</v>
      </c>
      <c r="U74" s="149">
        <v>44</v>
      </c>
      <c r="V74" s="150">
        <f t="shared" si="52"/>
        <v>58</v>
      </c>
      <c r="W74" s="149">
        <v>16</v>
      </c>
      <c r="X74" s="149">
        <v>40</v>
      </c>
      <c r="Y74" s="150">
        <f t="shared" si="53"/>
        <v>56</v>
      </c>
      <c r="Z74" s="150">
        <f t="shared" si="54"/>
        <v>114</v>
      </c>
      <c r="AA74" s="291"/>
      <c r="AB74" s="149">
        <f t="shared" si="0"/>
        <v>3</v>
      </c>
      <c r="AC74" s="148">
        <v>18</v>
      </c>
      <c r="AD74" s="149">
        <v>23</v>
      </c>
      <c r="AE74" s="150">
        <f t="shared" si="55"/>
        <v>41</v>
      </c>
      <c r="AF74" s="149">
        <v>12</v>
      </c>
      <c r="AG74" s="150">
        <f t="shared" si="56"/>
        <v>53</v>
      </c>
      <c r="AH74" s="291"/>
      <c r="AI74" s="149">
        <f t="shared" si="43"/>
        <v>3</v>
      </c>
      <c r="AJ74" s="148">
        <v>15</v>
      </c>
      <c r="AK74" s="149">
        <v>27</v>
      </c>
      <c r="AL74" s="150">
        <f t="shared" si="57"/>
        <v>42</v>
      </c>
      <c r="AM74" s="149">
        <v>21</v>
      </c>
      <c r="AN74" s="150">
        <f t="shared" si="58"/>
        <v>63</v>
      </c>
      <c r="AO74" s="291"/>
      <c r="AP74" s="149">
        <f t="shared" si="44"/>
        <v>3.5</v>
      </c>
      <c r="AQ74" s="148"/>
      <c r="AR74" s="149">
        <v>21</v>
      </c>
      <c r="AS74" s="149">
        <v>22</v>
      </c>
      <c r="AT74" s="149">
        <f t="shared" si="42"/>
        <v>43</v>
      </c>
      <c r="AU74" s="294"/>
      <c r="AV74" s="149">
        <f t="shared" si="20"/>
        <v>5</v>
      </c>
      <c r="AW74" s="148">
        <v>13</v>
      </c>
      <c r="AX74" s="149">
        <v>24</v>
      </c>
      <c r="AY74" s="150">
        <f t="shared" si="59"/>
        <v>37</v>
      </c>
      <c r="AZ74" s="149">
        <v>20</v>
      </c>
      <c r="BA74" s="150">
        <f t="shared" si="60"/>
        <v>57</v>
      </c>
      <c r="BB74" s="291"/>
      <c r="BC74" s="149">
        <f t="shared" si="23"/>
        <v>3</v>
      </c>
      <c r="BD74" s="148">
        <v>7</v>
      </c>
      <c r="BE74" s="149">
        <v>23</v>
      </c>
      <c r="BF74" s="150">
        <f t="shared" si="61"/>
        <v>30</v>
      </c>
      <c r="BG74" s="149">
        <v>16</v>
      </c>
      <c r="BH74" s="149">
        <v>25</v>
      </c>
      <c r="BI74" s="150">
        <f t="shared" si="62"/>
        <v>71</v>
      </c>
      <c r="BJ74" s="294"/>
      <c r="BK74" s="149">
        <f t="shared" si="3"/>
        <v>4</v>
      </c>
      <c r="BL74" s="148">
        <v>9</v>
      </c>
      <c r="BM74" s="149">
        <v>14</v>
      </c>
      <c r="BN74" s="150">
        <f t="shared" si="63"/>
        <v>23</v>
      </c>
      <c r="BO74" s="149">
        <v>22</v>
      </c>
      <c r="BP74" s="162">
        <v>25</v>
      </c>
      <c r="BQ74" s="150">
        <f t="shared" si="64"/>
        <v>70</v>
      </c>
      <c r="BR74" s="291"/>
      <c r="BS74" s="149">
        <f t="shared" si="65"/>
        <v>4</v>
      </c>
      <c r="BT74" s="148">
        <v>8</v>
      </c>
      <c r="BU74" s="149">
        <v>22</v>
      </c>
      <c r="BV74" s="150">
        <f t="shared" si="66"/>
        <v>30</v>
      </c>
      <c r="BW74" s="149">
        <v>13</v>
      </c>
      <c r="BX74" s="162">
        <v>25</v>
      </c>
      <c r="BY74" s="150">
        <f t="shared" si="67"/>
        <v>68</v>
      </c>
      <c r="BZ74" s="294"/>
      <c r="CA74" s="149">
        <f t="shared" si="68"/>
        <v>3.5</v>
      </c>
      <c r="CB74" s="148">
        <v>8</v>
      </c>
      <c r="CC74" s="149">
        <v>29</v>
      </c>
      <c r="CD74" s="150">
        <f t="shared" si="69"/>
        <v>37</v>
      </c>
      <c r="CE74" s="149">
        <v>15</v>
      </c>
      <c r="CF74" s="149">
        <v>23</v>
      </c>
      <c r="CG74" s="150">
        <f t="shared" si="70"/>
        <v>75</v>
      </c>
      <c r="CH74" s="291"/>
      <c r="CI74" s="164">
        <f t="shared" si="71"/>
        <v>4</v>
      </c>
      <c r="CJ74" s="149">
        <f t="shared" si="45"/>
        <v>34.5</v>
      </c>
      <c r="CK74" s="165">
        <f t="shared" si="72"/>
        <v>3.8333333333333335</v>
      </c>
      <c r="CL74" s="165" t="str">
        <f t="shared" si="73"/>
        <v>A-</v>
      </c>
      <c r="CM74" s="37" t="str">
        <f t="shared" si="46"/>
        <v>GOOD</v>
      </c>
      <c r="CN74" s="217">
        <f t="shared" si="47"/>
        <v>734</v>
      </c>
      <c r="CO74" s="37"/>
      <c r="CP74" s="40"/>
      <c r="CQ74" s="215">
        <f>'1ST_SEMESTER'!CN74</f>
        <v>655</v>
      </c>
      <c r="CR74" s="215">
        <f>'2ND_SEMESTER'!CN74</f>
        <v>627.56399999999996</v>
      </c>
      <c r="CS74" s="215">
        <f t="shared" si="74"/>
        <v>734</v>
      </c>
      <c r="CT74" s="215">
        <f t="shared" si="75"/>
        <v>672.18799999999999</v>
      </c>
      <c r="CU74" s="226">
        <f>'1ST_SEMESTER'!CK74</f>
        <v>2.9444444444444446</v>
      </c>
      <c r="CV74" s="226">
        <f>'2ND_SEMESTER'!CK74</f>
        <v>3.1666666666666665</v>
      </c>
      <c r="CW74" s="226">
        <f t="shared" si="76"/>
        <v>3.8333333333333335</v>
      </c>
      <c r="CX74" s="226">
        <f t="shared" si="77"/>
        <v>3.3148148148148149</v>
      </c>
    </row>
    <row r="75" spans="1:102" s="198" customFormat="1" ht="27" customHeight="1">
      <c r="A75" s="181">
        <v>68</v>
      </c>
      <c r="B75" s="117">
        <v>113</v>
      </c>
      <c r="C75" s="118" t="s">
        <v>348</v>
      </c>
      <c r="D75" s="69" t="s">
        <v>349</v>
      </c>
      <c r="E75" s="69" t="s">
        <v>350</v>
      </c>
      <c r="F75" s="70" t="s">
        <v>351</v>
      </c>
      <c r="G75" s="148">
        <v>13</v>
      </c>
      <c r="H75" s="149">
        <v>32</v>
      </c>
      <c r="I75" s="150">
        <f t="shared" si="48"/>
        <v>45</v>
      </c>
      <c r="J75" s="149">
        <v>12</v>
      </c>
      <c r="K75" s="150">
        <f t="shared" si="78"/>
        <v>57</v>
      </c>
      <c r="L75" s="148">
        <v>19</v>
      </c>
      <c r="M75" s="149">
        <v>28</v>
      </c>
      <c r="N75" s="150">
        <f t="shared" si="49"/>
        <v>47</v>
      </c>
      <c r="O75" s="149">
        <v>16</v>
      </c>
      <c r="P75" s="150">
        <f t="shared" si="50"/>
        <v>63</v>
      </c>
      <c r="Q75" s="150">
        <f t="shared" si="51"/>
        <v>120</v>
      </c>
      <c r="R75" s="291"/>
      <c r="S75" s="149">
        <f t="shared" si="11"/>
        <v>3.5</v>
      </c>
      <c r="T75" s="148">
        <v>13</v>
      </c>
      <c r="U75" s="149">
        <v>27</v>
      </c>
      <c r="V75" s="150">
        <f t="shared" si="52"/>
        <v>40</v>
      </c>
      <c r="W75" s="149">
        <v>14</v>
      </c>
      <c r="X75" s="149">
        <v>13</v>
      </c>
      <c r="Y75" s="150">
        <f t="shared" si="53"/>
        <v>27</v>
      </c>
      <c r="Z75" s="150">
        <f t="shared" si="54"/>
        <v>67</v>
      </c>
      <c r="AA75" s="291"/>
      <c r="AB75" s="149" t="str">
        <f t="shared" si="0"/>
        <v>F</v>
      </c>
      <c r="AC75" s="148">
        <v>16</v>
      </c>
      <c r="AD75" s="149">
        <v>20</v>
      </c>
      <c r="AE75" s="150">
        <f t="shared" si="55"/>
        <v>36</v>
      </c>
      <c r="AF75" s="149">
        <v>12</v>
      </c>
      <c r="AG75" s="150">
        <f t="shared" si="56"/>
        <v>48</v>
      </c>
      <c r="AH75" s="291"/>
      <c r="AI75" s="149">
        <f t="shared" si="43"/>
        <v>2</v>
      </c>
      <c r="AJ75" s="148">
        <v>14</v>
      </c>
      <c r="AK75" s="149">
        <v>20</v>
      </c>
      <c r="AL75" s="150">
        <f t="shared" si="57"/>
        <v>34</v>
      </c>
      <c r="AM75" s="149">
        <v>11</v>
      </c>
      <c r="AN75" s="150">
        <f t="shared" si="58"/>
        <v>45</v>
      </c>
      <c r="AO75" s="291"/>
      <c r="AP75" s="149" t="str">
        <f t="shared" si="44"/>
        <v>F</v>
      </c>
      <c r="AQ75" s="148"/>
      <c r="AR75" s="149">
        <v>17</v>
      </c>
      <c r="AS75" s="149">
        <v>22</v>
      </c>
      <c r="AT75" s="149">
        <f t="shared" si="42"/>
        <v>39</v>
      </c>
      <c r="AU75" s="294"/>
      <c r="AV75" s="149">
        <f t="shared" si="20"/>
        <v>4</v>
      </c>
      <c r="AW75" s="148">
        <v>8</v>
      </c>
      <c r="AX75" s="149">
        <v>20</v>
      </c>
      <c r="AY75" s="150">
        <f t="shared" si="59"/>
        <v>28</v>
      </c>
      <c r="AZ75" s="149">
        <v>12</v>
      </c>
      <c r="BA75" s="150">
        <f t="shared" si="60"/>
        <v>40</v>
      </c>
      <c r="BB75" s="291"/>
      <c r="BC75" s="149">
        <f t="shared" si="23"/>
        <v>2</v>
      </c>
      <c r="BD75" s="148">
        <v>7</v>
      </c>
      <c r="BE75" s="149">
        <v>19</v>
      </c>
      <c r="BF75" s="150">
        <f t="shared" si="61"/>
        <v>26</v>
      </c>
      <c r="BG75" s="149">
        <v>10</v>
      </c>
      <c r="BH75" s="149">
        <v>25</v>
      </c>
      <c r="BI75" s="150">
        <f t="shared" si="62"/>
        <v>61</v>
      </c>
      <c r="BJ75" s="294"/>
      <c r="BK75" s="149">
        <f t="shared" si="3"/>
        <v>3.5</v>
      </c>
      <c r="BL75" s="148">
        <v>7</v>
      </c>
      <c r="BM75" s="149">
        <v>13</v>
      </c>
      <c r="BN75" s="150">
        <f t="shared" si="63"/>
        <v>20</v>
      </c>
      <c r="BO75" s="149">
        <v>16</v>
      </c>
      <c r="BP75" s="162">
        <v>25</v>
      </c>
      <c r="BQ75" s="150">
        <f t="shared" si="64"/>
        <v>61</v>
      </c>
      <c r="BR75" s="291"/>
      <c r="BS75" s="149">
        <f t="shared" si="65"/>
        <v>3.5</v>
      </c>
      <c r="BT75" s="148">
        <v>7</v>
      </c>
      <c r="BU75" s="149">
        <v>18</v>
      </c>
      <c r="BV75" s="150">
        <f t="shared" si="66"/>
        <v>25</v>
      </c>
      <c r="BW75" s="149">
        <v>12</v>
      </c>
      <c r="BX75" s="162">
        <v>25</v>
      </c>
      <c r="BY75" s="150">
        <f t="shared" si="67"/>
        <v>62</v>
      </c>
      <c r="BZ75" s="294"/>
      <c r="CA75" s="149">
        <f t="shared" si="68"/>
        <v>3.5</v>
      </c>
      <c r="CB75" s="148">
        <v>7</v>
      </c>
      <c r="CC75" s="149">
        <v>21</v>
      </c>
      <c r="CD75" s="150">
        <f t="shared" si="69"/>
        <v>28</v>
      </c>
      <c r="CE75" s="149">
        <v>14</v>
      </c>
      <c r="CF75" s="149">
        <v>25</v>
      </c>
      <c r="CG75" s="150">
        <f t="shared" si="70"/>
        <v>67</v>
      </c>
      <c r="CH75" s="291"/>
      <c r="CI75" s="164">
        <f t="shared" si="71"/>
        <v>3.5</v>
      </c>
      <c r="CJ75" s="149" t="str">
        <f t="shared" si="45"/>
        <v>F</v>
      </c>
      <c r="CK75" s="165" t="str">
        <f t="shared" si="72"/>
        <v>F</v>
      </c>
      <c r="CL75" s="165" t="str">
        <f t="shared" si="73"/>
        <v>F</v>
      </c>
      <c r="CM75" s="37" t="str">
        <f t="shared" si="46"/>
        <v>NEED TO PROGRESS</v>
      </c>
      <c r="CN75" s="217">
        <f t="shared" si="47"/>
        <v>610</v>
      </c>
      <c r="CO75" s="37"/>
      <c r="CP75" s="40"/>
      <c r="CQ75" s="215">
        <f>'1ST_SEMESTER'!CN75</f>
        <v>473</v>
      </c>
      <c r="CR75" s="215">
        <f>'2ND_SEMESTER'!CN75</f>
        <v>517.13599999999997</v>
      </c>
      <c r="CS75" s="215">
        <f t="shared" si="74"/>
        <v>610</v>
      </c>
      <c r="CT75" s="215">
        <f t="shared" si="75"/>
        <v>533.37866666666662</v>
      </c>
      <c r="CU75" s="226" t="str">
        <f>'1ST_SEMESTER'!CK75</f>
        <v>F</v>
      </c>
      <c r="CV75" s="226" t="str">
        <f>'2ND_SEMESTER'!CK75</f>
        <v>F</v>
      </c>
      <c r="CW75" s="226" t="str">
        <f t="shared" si="76"/>
        <v>F</v>
      </c>
      <c r="CX75" s="226" t="e">
        <f t="shared" si="77"/>
        <v>#DIV/0!</v>
      </c>
    </row>
    <row r="76" spans="1:102" s="198" customFormat="1" ht="27" customHeight="1">
      <c r="A76" s="181">
        <v>69</v>
      </c>
      <c r="B76" s="117">
        <v>114</v>
      </c>
      <c r="C76" s="118" t="s">
        <v>352</v>
      </c>
      <c r="D76" s="69" t="s">
        <v>353</v>
      </c>
      <c r="E76" s="69" t="s">
        <v>354</v>
      </c>
      <c r="F76" s="70" t="s">
        <v>355</v>
      </c>
      <c r="G76" s="148">
        <v>13</v>
      </c>
      <c r="H76" s="149">
        <v>23</v>
      </c>
      <c r="I76" s="150">
        <f t="shared" si="48"/>
        <v>36</v>
      </c>
      <c r="J76" s="149">
        <v>12</v>
      </c>
      <c r="K76" s="150">
        <f t="shared" si="78"/>
        <v>48</v>
      </c>
      <c r="L76" s="148">
        <v>19</v>
      </c>
      <c r="M76" s="149">
        <v>31</v>
      </c>
      <c r="N76" s="150">
        <f t="shared" si="49"/>
        <v>50</v>
      </c>
      <c r="O76" s="149">
        <v>23</v>
      </c>
      <c r="P76" s="150">
        <f t="shared" si="50"/>
        <v>73</v>
      </c>
      <c r="Q76" s="150">
        <f t="shared" si="51"/>
        <v>121</v>
      </c>
      <c r="R76" s="291"/>
      <c r="S76" s="149">
        <f t="shared" si="11"/>
        <v>3.5</v>
      </c>
      <c r="T76" s="148">
        <v>13</v>
      </c>
      <c r="U76" s="149">
        <v>36</v>
      </c>
      <c r="V76" s="150">
        <f t="shared" si="52"/>
        <v>49</v>
      </c>
      <c r="W76" s="149">
        <v>18</v>
      </c>
      <c r="X76" s="149">
        <v>32</v>
      </c>
      <c r="Y76" s="150">
        <f t="shared" si="53"/>
        <v>50</v>
      </c>
      <c r="Z76" s="150">
        <f t="shared" si="54"/>
        <v>99</v>
      </c>
      <c r="AA76" s="291"/>
      <c r="AB76" s="149">
        <f t="shared" si="0"/>
        <v>2</v>
      </c>
      <c r="AC76" s="148">
        <v>16</v>
      </c>
      <c r="AD76" s="149">
        <v>23</v>
      </c>
      <c r="AE76" s="150">
        <f t="shared" si="55"/>
        <v>39</v>
      </c>
      <c r="AF76" s="149">
        <v>12</v>
      </c>
      <c r="AG76" s="150">
        <f t="shared" si="56"/>
        <v>51</v>
      </c>
      <c r="AH76" s="291"/>
      <c r="AI76" s="149">
        <f t="shared" si="43"/>
        <v>3</v>
      </c>
      <c r="AJ76" s="148">
        <v>13</v>
      </c>
      <c r="AK76" s="149">
        <v>25</v>
      </c>
      <c r="AL76" s="150">
        <f t="shared" si="57"/>
        <v>38</v>
      </c>
      <c r="AM76" s="149">
        <v>20</v>
      </c>
      <c r="AN76" s="150">
        <f t="shared" si="58"/>
        <v>58</v>
      </c>
      <c r="AO76" s="291"/>
      <c r="AP76" s="149">
        <f t="shared" si="44"/>
        <v>3</v>
      </c>
      <c r="AQ76" s="148"/>
      <c r="AR76" s="149">
        <v>17</v>
      </c>
      <c r="AS76" s="149">
        <v>22</v>
      </c>
      <c r="AT76" s="149">
        <f t="shared" si="42"/>
        <v>39</v>
      </c>
      <c r="AU76" s="294"/>
      <c r="AV76" s="149">
        <f t="shared" si="20"/>
        <v>4</v>
      </c>
      <c r="AW76" s="148">
        <v>10</v>
      </c>
      <c r="AX76" s="149">
        <v>24</v>
      </c>
      <c r="AY76" s="150">
        <f t="shared" si="59"/>
        <v>34</v>
      </c>
      <c r="AZ76" s="149">
        <v>18</v>
      </c>
      <c r="BA76" s="150">
        <f t="shared" si="60"/>
        <v>52</v>
      </c>
      <c r="BB76" s="291"/>
      <c r="BC76" s="149">
        <f t="shared" si="23"/>
        <v>3</v>
      </c>
      <c r="BD76" s="148">
        <v>7</v>
      </c>
      <c r="BE76" s="149">
        <v>17</v>
      </c>
      <c r="BF76" s="150">
        <f t="shared" si="61"/>
        <v>24</v>
      </c>
      <c r="BG76" s="149">
        <v>12</v>
      </c>
      <c r="BH76" s="149">
        <v>25</v>
      </c>
      <c r="BI76" s="150">
        <f t="shared" si="62"/>
        <v>61</v>
      </c>
      <c r="BJ76" s="294"/>
      <c r="BK76" s="149">
        <f t="shared" si="3"/>
        <v>3.5</v>
      </c>
      <c r="BL76" s="148">
        <v>7</v>
      </c>
      <c r="BM76" s="149">
        <v>14</v>
      </c>
      <c r="BN76" s="150">
        <f t="shared" si="63"/>
        <v>21</v>
      </c>
      <c r="BO76" s="149">
        <v>16</v>
      </c>
      <c r="BP76" s="162">
        <v>25</v>
      </c>
      <c r="BQ76" s="150">
        <f t="shared" si="64"/>
        <v>62</v>
      </c>
      <c r="BR76" s="291"/>
      <c r="BS76" s="149">
        <f t="shared" si="65"/>
        <v>3.5</v>
      </c>
      <c r="BT76" s="148">
        <v>7</v>
      </c>
      <c r="BU76" s="149">
        <v>18</v>
      </c>
      <c r="BV76" s="150">
        <f t="shared" si="66"/>
        <v>25</v>
      </c>
      <c r="BW76" s="149">
        <v>17</v>
      </c>
      <c r="BX76" s="162">
        <v>25</v>
      </c>
      <c r="BY76" s="150">
        <f t="shared" si="67"/>
        <v>67</v>
      </c>
      <c r="BZ76" s="294"/>
      <c r="CA76" s="149">
        <f t="shared" si="68"/>
        <v>3.5</v>
      </c>
      <c r="CB76" s="148">
        <v>7</v>
      </c>
      <c r="CC76" s="149">
        <v>7</v>
      </c>
      <c r="CD76" s="150">
        <f t="shared" si="69"/>
        <v>14</v>
      </c>
      <c r="CE76" s="149">
        <v>12</v>
      </c>
      <c r="CF76" s="149">
        <v>25</v>
      </c>
      <c r="CG76" s="150">
        <f t="shared" si="70"/>
        <v>51</v>
      </c>
      <c r="CH76" s="291"/>
      <c r="CI76" s="164" t="str">
        <f t="shared" si="71"/>
        <v>0</v>
      </c>
      <c r="CJ76" s="149">
        <f t="shared" si="45"/>
        <v>27</v>
      </c>
      <c r="CK76" s="165">
        <f t="shared" si="72"/>
        <v>3</v>
      </c>
      <c r="CL76" s="165" t="str">
        <f t="shared" si="73"/>
        <v>B</v>
      </c>
      <c r="CM76" s="37" t="str">
        <f t="shared" si="46"/>
        <v>GOOD</v>
      </c>
      <c r="CN76" s="217">
        <f t="shared" si="47"/>
        <v>661</v>
      </c>
      <c r="CO76" s="37"/>
      <c r="CP76" s="40"/>
      <c r="CQ76" s="215">
        <f>'1ST_SEMESTER'!CN76</f>
        <v>601</v>
      </c>
      <c r="CR76" s="215">
        <f>'2ND_SEMESTER'!CN76</f>
        <v>402.13800000000003</v>
      </c>
      <c r="CS76" s="215">
        <f t="shared" si="74"/>
        <v>661</v>
      </c>
      <c r="CT76" s="215">
        <f t="shared" si="75"/>
        <v>554.71266666666668</v>
      </c>
      <c r="CU76" s="226" t="str">
        <f>'1ST_SEMESTER'!CK76</f>
        <v>F</v>
      </c>
      <c r="CV76" s="226" t="str">
        <f>'2ND_SEMESTER'!CK76</f>
        <v>F</v>
      </c>
      <c r="CW76" s="226">
        <f t="shared" si="76"/>
        <v>3</v>
      </c>
      <c r="CX76" s="226">
        <f t="shared" si="77"/>
        <v>3</v>
      </c>
    </row>
    <row r="77" spans="1:102" s="198" customFormat="1" ht="27" customHeight="1">
      <c r="A77" s="181">
        <v>70</v>
      </c>
      <c r="B77" s="117">
        <v>117</v>
      </c>
      <c r="C77" s="118" t="s">
        <v>356</v>
      </c>
      <c r="D77" s="69" t="s">
        <v>357</v>
      </c>
      <c r="E77" s="69" t="s">
        <v>358</v>
      </c>
      <c r="F77" s="70" t="s">
        <v>359</v>
      </c>
      <c r="G77" s="148">
        <v>14</v>
      </c>
      <c r="H77" s="149">
        <v>30</v>
      </c>
      <c r="I77" s="150">
        <f t="shared" si="48"/>
        <v>44</v>
      </c>
      <c r="J77" s="149">
        <v>18</v>
      </c>
      <c r="K77" s="150">
        <f t="shared" si="78"/>
        <v>62</v>
      </c>
      <c r="L77" s="148">
        <v>20</v>
      </c>
      <c r="M77" s="149">
        <v>43</v>
      </c>
      <c r="N77" s="150">
        <f t="shared" si="49"/>
        <v>63</v>
      </c>
      <c r="O77" s="149">
        <v>23</v>
      </c>
      <c r="P77" s="150">
        <f t="shared" si="50"/>
        <v>86</v>
      </c>
      <c r="Q77" s="150">
        <f t="shared" si="51"/>
        <v>148</v>
      </c>
      <c r="R77" s="291"/>
      <c r="S77" s="149">
        <f t="shared" si="11"/>
        <v>4</v>
      </c>
      <c r="T77" s="148">
        <v>13</v>
      </c>
      <c r="U77" s="149">
        <v>37</v>
      </c>
      <c r="V77" s="150">
        <f t="shared" si="52"/>
        <v>50</v>
      </c>
      <c r="W77" s="149">
        <v>13</v>
      </c>
      <c r="X77" s="149">
        <v>30</v>
      </c>
      <c r="Y77" s="150">
        <f t="shared" si="53"/>
        <v>43</v>
      </c>
      <c r="Z77" s="150">
        <f t="shared" si="54"/>
        <v>93</v>
      </c>
      <c r="AA77" s="291"/>
      <c r="AB77" s="149">
        <f t="shared" si="0"/>
        <v>2</v>
      </c>
      <c r="AC77" s="148">
        <v>17</v>
      </c>
      <c r="AD77" s="149">
        <v>26</v>
      </c>
      <c r="AE77" s="150">
        <f t="shared" si="55"/>
        <v>43</v>
      </c>
      <c r="AF77" s="149">
        <v>15</v>
      </c>
      <c r="AG77" s="150">
        <f t="shared" si="56"/>
        <v>58</v>
      </c>
      <c r="AH77" s="291"/>
      <c r="AI77" s="149">
        <f t="shared" si="43"/>
        <v>3</v>
      </c>
      <c r="AJ77" s="148">
        <v>16</v>
      </c>
      <c r="AK77" s="149">
        <v>29</v>
      </c>
      <c r="AL77" s="150">
        <f t="shared" si="57"/>
        <v>45</v>
      </c>
      <c r="AM77" s="149">
        <v>18</v>
      </c>
      <c r="AN77" s="150">
        <f t="shared" si="58"/>
        <v>63</v>
      </c>
      <c r="AO77" s="291"/>
      <c r="AP77" s="149">
        <f t="shared" si="44"/>
        <v>3.5</v>
      </c>
      <c r="AQ77" s="148"/>
      <c r="AR77" s="149">
        <v>21</v>
      </c>
      <c r="AS77" s="149">
        <v>22</v>
      </c>
      <c r="AT77" s="149">
        <f t="shared" si="42"/>
        <v>43</v>
      </c>
      <c r="AU77" s="294"/>
      <c r="AV77" s="149">
        <f t="shared" si="20"/>
        <v>5</v>
      </c>
      <c r="AW77" s="148">
        <v>12</v>
      </c>
      <c r="AX77" s="149">
        <v>29</v>
      </c>
      <c r="AY77" s="150">
        <f t="shared" si="59"/>
        <v>41</v>
      </c>
      <c r="AZ77" s="149">
        <v>21</v>
      </c>
      <c r="BA77" s="150">
        <f t="shared" si="60"/>
        <v>62</v>
      </c>
      <c r="BB77" s="291"/>
      <c r="BC77" s="149">
        <f t="shared" si="23"/>
        <v>3.5</v>
      </c>
      <c r="BD77" s="148">
        <v>8</v>
      </c>
      <c r="BE77" s="149">
        <v>24</v>
      </c>
      <c r="BF77" s="150">
        <f t="shared" si="61"/>
        <v>32</v>
      </c>
      <c r="BG77" s="149">
        <v>13</v>
      </c>
      <c r="BH77" s="149">
        <v>25</v>
      </c>
      <c r="BI77" s="150">
        <f t="shared" si="62"/>
        <v>70</v>
      </c>
      <c r="BJ77" s="294"/>
      <c r="BK77" s="149">
        <f t="shared" si="3"/>
        <v>4</v>
      </c>
      <c r="BL77" s="148">
        <v>7</v>
      </c>
      <c r="BM77" s="149">
        <v>15</v>
      </c>
      <c r="BN77" s="150">
        <f t="shared" si="63"/>
        <v>22</v>
      </c>
      <c r="BO77" s="149">
        <v>16</v>
      </c>
      <c r="BP77" s="162">
        <v>25</v>
      </c>
      <c r="BQ77" s="150">
        <f t="shared" si="64"/>
        <v>63</v>
      </c>
      <c r="BR77" s="291"/>
      <c r="BS77" s="149">
        <f t="shared" si="65"/>
        <v>3.5</v>
      </c>
      <c r="BT77" s="148">
        <v>7</v>
      </c>
      <c r="BU77" s="149">
        <v>18</v>
      </c>
      <c r="BV77" s="150">
        <f t="shared" si="66"/>
        <v>25</v>
      </c>
      <c r="BW77" s="149">
        <v>18</v>
      </c>
      <c r="BX77" s="162">
        <v>25</v>
      </c>
      <c r="BY77" s="150">
        <f t="shared" si="67"/>
        <v>68</v>
      </c>
      <c r="BZ77" s="294"/>
      <c r="CA77" s="149">
        <f t="shared" si="68"/>
        <v>3.5</v>
      </c>
      <c r="CB77" s="148">
        <v>6</v>
      </c>
      <c r="CC77" s="149">
        <v>19</v>
      </c>
      <c r="CD77" s="150">
        <f t="shared" si="69"/>
        <v>25</v>
      </c>
      <c r="CE77" s="149">
        <v>18</v>
      </c>
      <c r="CF77" s="149">
        <v>25</v>
      </c>
      <c r="CG77" s="150">
        <f t="shared" si="70"/>
        <v>68</v>
      </c>
      <c r="CH77" s="291"/>
      <c r="CI77" s="164">
        <f t="shared" si="71"/>
        <v>3.5</v>
      </c>
      <c r="CJ77" s="149">
        <f t="shared" si="45"/>
        <v>33.5</v>
      </c>
      <c r="CK77" s="165">
        <f t="shared" si="72"/>
        <v>3.7222222222222223</v>
      </c>
      <c r="CL77" s="165" t="str">
        <f t="shared" si="73"/>
        <v>A-</v>
      </c>
      <c r="CM77" s="37" t="str">
        <f t="shared" si="46"/>
        <v>GOOD</v>
      </c>
      <c r="CN77" s="217">
        <f t="shared" si="47"/>
        <v>736</v>
      </c>
      <c r="CO77" s="37"/>
      <c r="CP77" s="40"/>
      <c r="CQ77" s="215">
        <f>'1ST_SEMESTER'!CN77</f>
        <v>578</v>
      </c>
      <c r="CR77" s="215">
        <f>'2ND_SEMESTER'!CN77</f>
        <v>681.846</v>
      </c>
      <c r="CS77" s="215">
        <f t="shared" si="74"/>
        <v>736</v>
      </c>
      <c r="CT77" s="215">
        <f t="shared" si="75"/>
        <v>665.28200000000004</v>
      </c>
      <c r="CU77" s="226" t="str">
        <f>'1ST_SEMESTER'!CK77</f>
        <v>F</v>
      </c>
      <c r="CV77" s="226" t="str">
        <f>'2ND_SEMESTER'!CK77</f>
        <v>F</v>
      </c>
      <c r="CW77" s="226">
        <f t="shared" si="76"/>
        <v>3.7222222222222223</v>
      </c>
      <c r="CX77" s="226">
        <f t="shared" si="77"/>
        <v>3.7222222222222223</v>
      </c>
    </row>
    <row r="78" spans="1:102" s="198" customFormat="1" ht="27" customHeight="1">
      <c r="A78" s="181">
        <v>71</v>
      </c>
      <c r="B78" s="117">
        <v>118</v>
      </c>
      <c r="C78" s="118" t="s">
        <v>360</v>
      </c>
      <c r="D78" s="69" t="s">
        <v>361</v>
      </c>
      <c r="E78" s="69" t="s">
        <v>362</v>
      </c>
      <c r="F78" s="70" t="s">
        <v>363</v>
      </c>
      <c r="G78" s="148">
        <v>16</v>
      </c>
      <c r="H78" s="149">
        <v>26</v>
      </c>
      <c r="I78" s="150">
        <f t="shared" si="48"/>
        <v>42</v>
      </c>
      <c r="J78" s="149">
        <v>25</v>
      </c>
      <c r="K78" s="150">
        <f t="shared" si="78"/>
        <v>67</v>
      </c>
      <c r="L78" s="148">
        <v>20</v>
      </c>
      <c r="M78" s="149">
        <v>37</v>
      </c>
      <c r="N78" s="150">
        <f t="shared" si="49"/>
        <v>57</v>
      </c>
      <c r="O78" s="149">
        <v>29</v>
      </c>
      <c r="P78" s="150">
        <f t="shared" si="50"/>
        <v>86</v>
      </c>
      <c r="Q78" s="150">
        <f t="shared" si="51"/>
        <v>153</v>
      </c>
      <c r="R78" s="291"/>
      <c r="S78" s="149">
        <f t="shared" si="11"/>
        <v>4</v>
      </c>
      <c r="T78" s="148">
        <v>16</v>
      </c>
      <c r="U78" s="149">
        <v>41</v>
      </c>
      <c r="V78" s="150">
        <f t="shared" si="52"/>
        <v>57</v>
      </c>
      <c r="W78" s="149">
        <v>19</v>
      </c>
      <c r="X78" s="149">
        <v>46</v>
      </c>
      <c r="Y78" s="150">
        <f t="shared" si="53"/>
        <v>65</v>
      </c>
      <c r="Z78" s="150">
        <f t="shared" si="54"/>
        <v>122</v>
      </c>
      <c r="AA78" s="291"/>
      <c r="AB78" s="149">
        <f t="shared" si="0"/>
        <v>3.5</v>
      </c>
      <c r="AC78" s="148">
        <v>20</v>
      </c>
      <c r="AD78" s="149">
        <v>36</v>
      </c>
      <c r="AE78" s="150">
        <f t="shared" si="55"/>
        <v>56</v>
      </c>
      <c r="AF78" s="149">
        <v>21</v>
      </c>
      <c r="AG78" s="150">
        <f t="shared" si="56"/>
        <v>77</v>
      </c>
      <c r="AH78" s="291"/>
      <c r="AI78" s="149">
        <f t="shared" si="43"/>
        <v>4</v>
      </c>
      <c r="AJ78" s="148">
        <v>18</v>
      </c>
      <c r="AK78" s="149">
        <v>32</v>
      </c>
      <c r="AL78" s="150">
        <f t="shared" si="57"/>
        <v>50</v>
      </c>
      <c r="AM78" s="149">
        <v>23</v>
      </c>
      <c r="AN78" s="150">
        <f t="shared" si="58"/>
        <v>73</v>
      </c>
      <c r="AO78" s="291"/>
      <c r="AP78" s="149">
        <f t="shared" si="44"/>
        <v>4</v>
      </c>
      <c r="AQ78" s="148"/>
      <c r="AR78" s="149">
        <v>21</v>
      </c>
      <c r="AS78" s="149">
        <v>22</v>
      </c>
      <c r="AT78" s="149">
        <f t="shared" si="42"/>
        <v>43</v>
      </c>
      <c r="AU78" s="294"/>
      <c r="AV78" s="149">
        <f t="shared" si="20"/>
        <v>5</v>
      </c>
      <c r="AW78" s="148">
        <v>14</v>
      </c>
      <c r="AX78" s="149">
        <v>35</v>
      </c>
      <c r="AY78" s="150">
        <f t="shared" si="59"/>
        <v>49</v>
      </c>
      <c r="AZ78" s="149">
        <v>24</v>
      </c>
      <c r="BA78" s="150">
        <f t="shared" si="60"/>
        <v>73</v>
      </c>
      <c r="BB78" s="291"/>
      <c r="BC78" s="149">
        <f t="shared" si="23"/>
        <v>4</v>
      </c>
      <c r="BD78" s="148">
        <v>7</v>
      </c>
      <c r="BE78" s="149">
        <v>26</v>
      </c>
      <c r="BF78" s="150">
        <f t="shared" si="61"/>
        <v>33</v>
      </c>
      <c r="BG78" s="149">
        <v>16</v>
      </c>
      <c r="BH78" s="149">
        <v>25</v>
      </c>
      <c r="BI78" s="150">
        <f t="shared" si="62"/>
        <v>74</v>
      </c>
      <c r="BJ78" s="294"/>
      <c r="BK78" s="149">
        <f t="shared" si="3"/>
        <v>4</v>
      </c>
      <c r="BL78" s="148">
        <v>9</v>
      </c>
      <c r="BM78" s="149">
        <v>30</v>
      </c>
      <c r="BN78" s="150">
        <f t="shared" si="63"/>
        <v>39</v>
      </c>
      <c r="BO78" s="149">
        <v>19</v>
      </c>
      <c r="BP78" s="162">
        <v>25</v>
      </c>
      <c r="BQ78" s="150">
        <f t="shared" si="64"/>
        <v>83</v>
      </c>
      <c r="BR78" s="291"/>
      <c r="BS78" s="149">
        <f t="shared" si="65"/>
        <v>5</v>
      </c>
      <c r="BT78" s="148">
        <v>8</v>
      </c>
      <c r="BU78" s="149">
        <v>16</v>
      </c>
      <c r="BV78" s="150">
        <f t="shared" si="66"/>
        <v>24</v>
      </c>
      <c r="BW78" s="149">
        <v>16</v>
      </c>
      <c r="BX78" s="162">
        <v>25</v>
      </c>
      <c r="BY78" s="150">
        <f t="shared" si="67"/>
        <v>65</v>
      </c>
      <c r="BZ78" s="294"/>
      <c r="CA78" s="149">
        <f t="shared" si="68"/>
        <v>3.5</v>
      </c>
      <c r="CB78" s="148">
        <v>9</v>
      </c>
      <c r="CC78" s="149">
        <v>35</v>
      </c>
      <c r="CD78" s="150">
        <f t="shared" si="69"/>
        <v>44</v>
      </c>
      <c r="CE78" s="149">
        <v>17</v>
      </c>
      <c r="CF78" s="149">
        <v>23</v>
      </c>
      <c r="CG78" s="150">
        <f t="shared" si="70"/>
        <v>84</v>
      </c>
      <c r="CH78" s="291"/>
      <c r="CI78" s="164">
        <f t="shared" si="71"/>
        <v>5</v>
      </c>
      <c r="CJ78" s="149">
        <f t="shared" si="45"/>
        <v>40</v>
      </c>
      <c r="CK78" s="165">
        <f t="shared" si="72"/>
        <v>4.4444444444444446</v>
      </c>
      <c r="CL78" s="165" t="str">
        <f t="shared" si="73"/>
        <v>A</v>
      </c>
      <c r="CM78" s="37" t="str">
        <f t="shared" si="46"/>
        <v>BETTER</v>
      </c>
      <c r="CN78" s="217">
        <f t="shared" si="47"/>
        <v>847</v>
      </c>
      <c r="CO78" s="37"/>
      <c r="CP78" s="40"/>
      <c r="CQ78" s="215">
        <f>'1ST_SEMESTER'!CN78</f>
        <v>569</v>
      </c>
      <c r="CR78" s="215">
        <f>'2ND_SEMESTER'!CN78</f>
        <v>749.56200000000001</v>
      </c>
      <c r="CS78" s="215">
        <f t="shared" si="74"/>
        <v>847</v>
      </c>
      <c r="CT78" s="215">
        <f t="shared" si="75"/>
        <v>721.85399999999993</v>
      </c>
      <c r="CU78" s="226" t="str">
        <f>'1ST_SEMESTER'!CK78</f>
        <v>F</v>
      </c>
      <c r="CV78" s="226">
        <f>'2ND_SEMESTER'!CK78</f>
        <v>4.0555555555555554</v>
      </c>
      <c r="CW78" s="226">
        <f t="shared" si="76"/>
        <v>4.4444444444444446</v>
      </c>
      <c r="CX78" s="226">
        <f t="shared" si="77"/>
        <v>4.25</v>
      </c>
    </row>
    <row r="79" spans="1:102" s="198" customFormat="1" ht="27" customHeight="1">
      <c r="A79" s="181">
        <v>72</v>
      </c>
      <c r="B79" s="117">
        <v>122</v>
      </c>
      <c r="C79" s="118" t="s">
        <v>364</v>
      </c>
      <c r="D79" s="69" t="s">
        <v>365</v>
      </c>
      <c r="E79" s="69" t="s">
        <v>366</v>
      </c>
      <c r="F79" s="70" t="s">
        <v>367</v>
      </c>
      <c r="G79" s="148">
        <v>13</v>
      </c>
      <c r="H79" s="149">
        <v>0</v>
      </c>
      <c r="I79" s="150">
        <f t="shared" si="48"/>
        <v>13</v>
      </c>
      <c r="J79" s="149">
        <v>0</v>
      </c>
      <c r="K79" s="150">
        <f t="shared" si="78"/>
        <v>13</v>
      </c>
      <c r="L79" s="148">
        <v>19</v>
      </c>
      <c r="M79" s="149">
        <v>0</v>
      </c>
      <c r="N79" s="150">
        <f t="shared" si="49"/>
        <v>19</v>
      </c>
      <c r="O79" s="149">
        <v>0</v>
      </c>
      <c r="P79" s="150">
        <f t="shared" si="50"/>
        <v>19</v>
      </c>
      <c r="Q79" s="150">
        <f t="shared" si="51"/>
        <v>32</v>
      </c>
      <c r="R79" s="291"/>
      <c r="S79" s="149" t="str">
        <f t="shared" si="11"/>
        <v>F</v>
      </c>
      <c r="T79" s="148">
        <v>16</v>
      </c>
      <c r="U79" s="149">
        <v>52</v>
      </c>
      <c r="V79" s="150">
        <f t="shared" si="52"/>
        <v>68</v>
      </c>
      <c r="W79" s="149">
        <v>18</v>
      </c>
      <c r="X79" s="149">
        <v>32</v>
      </c>
      <c r="Y79" s="150">
        <f t="shared" si="53"/>
        <v>50</v>
      </c>
      <c r="Z79" s="150">
        <f t="shared" si="54"/>
        <v>118</v>
      </c>
      <c r="AA79" s="291"/>
      <c r="AB79" s="149">
        <f t="shared" si="0"/>
        <v>3</v>
      </c>
      <c r="AC79" s="148">
        <v>19</v>
      </c>
      <c r="AD79" s="149">
        <v>0</v>
      </c>
      <c r="AE79" s="150">
        <f t="shared" si="55"/>
        <v>19</v>
      </c>
      <c r="AF79" s="149">
        <v>0</v>
      </c>
      <c r="AG79" s="150">
        <f t="shared" si="56"/>
        <v>19</v>
      </c>
      <c r="AH79" s="291"/>
      <c r="AI79" s="149" t="str">
        <f t="shared" si="43"/>
        <v>F</v>
      </c>
      <c r="AJ79" s="148">
        <v>15</v>
      </c>
      <c r="AK79" s="149">
        <v>0</v>
      </c>
      <c r="AL79" s="150">
        <f t="shared" si="57"/>
        <v>15</v>
      </c>
      <c r="AM79" s="149">
        <v>0</v>
      </c>
      <c r="AN79" s="150">
        <f t="shared" si="58"/>
        <v>15</v>
      </c>
      <c r="AO79" s="291"/>
      <c r="AP79" s="149" t="str">
        <f t="shared" si="44"/>
        <v>F</v>
      </c>
      <c r="AQ79" s="148"/>
      <c r="AR79" s="149">
        <v>0</v>
      </c>
      <c r="AS79" s="149">
        <v>0</v>
      </c>
      <c r="AT79" s="149">
        <f t="shared" si="42"/>
        <v>0</v>
      </c>
      <c r="AU79" s="294"/>
      <c r="AV79" s="149" t="str">
        <f t="shared" si="20"/>
        <v>F</v>
      </c>
      <c r="AW79" s="148">
        <v>11</v>
      </c>
      <c r="AX79" s="149">
        <v>0</v>
      </c>
      <c r="AY79" s="150">
        <f t="shared" si="59"/>
        <v>11</v>
      </c>
      <c r="AZ79" s="149">
        <v>0</v>
      </c>
      <c r="BA79" s="150">
        <f t="shared" si="60"/>
        <v>11</v>
      </c>
      <c r="BB79" s="291"/>
      <c r="BC79" s="149" t="str">
        <f t="shared" si="23"/>
        <v>F</v>
      </c>
      <c r="BD79" s="148">
        <v>6</v>
      </c>
      <c r="BE79" s="149">
        <v>0</v>
      </c>
      <c r="BF79" s="150">
        <f t="shared" si="61"/>
        <v>6</v>
      </c>
      <c r="BG79" s="149">
        <v>0</v>
      </c>
      <c r="BH79" s="149">
        <v>25</v>
      </c>
      <c r="BI79" s="150">
        <f t="shared" si="62"/>
        <v>31</v>
      </c>
      <c r="BJ79" s="294"/>
      <c r="BK79" s="149" t="str">
        <f t="shared" si="3"/>
        <v>F</v>
      </c>
      <c r="BL79" s="148">
        <v>7</v>
      </c>
      <c r="BM79" s="149">
        <v>0</v>
      </c>
      <c r="BN79" s="150">
        <f t="shared" si="63"/>
        <v>7</v>
      </c>
      <c r="BO79" s="149">
        <v>0</v>
      </c>
      <c r="BP79" s="149">
        <v>0</v>
      </c>
      <c r="BQ79" s="150">
        <f t="shared" si="64"/>
        <v>7</v>
      </c>
      <c r="BR79" s="291"/>
      <c r="BS79" s="149" t="str">
        <f t="shared" si="65"/>
        <v>F</v>
      </c>
      <c r="BT79" s="148">
        <v>8</v>
      </c>
      <c r="BU79" s="149">
        <v>0</v>
      </c>
      <c r="BV79" s="150">
        <f t="shared" si="66"/>
        <v>8</v>
      </c>
      <c r="BW79" s="149">
        <v>0</v>
      </c>
      <c r="BX79" s="162">
        <v>25</v>
      </c>
      <c r="BY79" s="150">
        <f t="shared" si="67"/>
        <v>33</v>
      </c>
      <c r="BZ79" s="294"/>
      <c r="CA79" s="149" t="str">
        <f t="shared" si="68"/>
        <v>F</v>
      </c>
      <c r="CB79" s="148">
        <v>6</v>
      </c>
      <c r="CC79" s="149">
        <v>0</v>
      </c>
      <c r="CD79" s="150">
        <f t="shared" si="69"/>
        <v>6</v>
      </c>
      <c r="CE79" s="149">
        <v>0</v>
      </c>
      <c r="CF79" s="149">
        <v>0</v>
      </c>
      <c r="CG79" s="150">
        <f t="shared" si="70"/>
        <v>6</v>
      </c>
      <c r="CH79" s="291"/>
      <c r="CI79" s="164" t="str">
        <f t="shared" si="71"/>
        <v>0</v>
      </c>
      <c r="CJ79" s="149" t="str">
        <f t="shared" si="45"/>
        <v>F</v>
      </c>
      <c r="CK79" s="165" t="str">
        <f t="shared" si="72"/>
        <v>F</v>
      </c>
      <c r="CL79" s="165" t="str">
        <f t="shared" si="73"/>
        <v>F</v>
      </c>
      <c r="CM79" s="37" t="str">
        <f t="shared" si="46"/>
        <v>NEED TO PROGRESS</v>
      </c>
      <c r="CN79" s="217">
        <f t="shared" si="47"/>
        <v>272</v>
      </c>
      <c r="CO79" s="37"/>
      <c r="CP79" s="40"/>
      <c r="CQ79" s="215">
        <f>'1ST_SEMESTER'!CN79</f>
        <v>604</v>
      </c>
      <c r="CR79" s="215">
        <f>'2ND_SEMESTER'!CN79</f>
        <v>727.84799999999996</v>
      </c>
      <c r="CS79" s="215">
        <f t="shared" si="74"/>
        <v>272</v>
      </c>
      <c r="CT79" s="215">
        <f t="shared" si="75"/>
        <v>534.61599999999999</v>
      </c>
      <c r="CU79" s="226" t="str">
        <f>'1ST_SEMESTER'!CK79</f>
        <v>F</v>
      </c>
      <c r="CV79" s="226">
        <f>'2ND_SEMESTER'!CK79</f>
        <v>3.8333333333333335</v>
      </c>
      <c r="CW79" s="226" t="str">
        <f t="shared" si="76"/>
        <v>F</v>
      </c>
      <c r="CX79" s="226">
        <f t="shared" si="77"/>
        <v>3.8333333333333335</v>
      </c>
    </row>
    <row r="80" spans="1:102" s="198" customFormat="1" ht="27" customHeight="1">
      <c r="A80" s="181">
        <v>73</v>
      </c>
      <c r="B80" s="117">
        <v>131</v>
      </c>
      <c r="C80" s="118" t="s">
        <v>368</v>
      </c>
      <c r="D80" s="69" t="s">
        <v>369</v>
      </c>
      <c r="E80" s="69" t="s">
        <v>370</v>
      </c>
      <c r="F80" s="70" t="s">
        <v>371</v>
      </c>
      <c r="G80" s="148">
        <v>0</v>
      </c>
      <c r="H80" s="152">
        <v>0</v>
      </c>
      <c r="I80" s="151">
        <f t="shared" si="48"/>
        <v>0</v>
      </c>
      <c r="J80" s="152">
        <v>0</v>
      </c>
      <c r="K80" s="151">
        <f t="shared" si="78"/>
        <v>0</v>
      </c>
      <c r="L80" s="148">
        <v>0</v>
      </c>
      <c r="M80" s="152">
        <v>0</v>
      </c>
      <c r="N80" s="151">
        <f t="shared" si="49"/>
        <v>0</v>
      </c>
      <c r="O80" s="152">
        <v>0</v>
      </c>
      <c r="P80" s="151">
        <f t="shared" si="50"/>
        <v>0</v>
      </c>
      <c r="Q80" s="151">
        <f t="shared" si="51"/>
        <v>0</v>
      </c>
      <c r="R80" s="291"/>
      <c r="S80" s="152" t="str">
        <f t="shared" si="11"/>
        <v>F</v>
      </c>
      <c r="T80" s="148">
        <v>0</v>
      </c>
      <c r="U80" s="152">
        <v>0</v>
      </c>
      <c r="V80" s="151">
        <f t="shared" si="52"/>
        <v>0</v>
      </c>
      <c r="W80" s="152">
        <v>0</v>
      </c>
      <c r="X80" s="152">
        <v>0</v>
      </c>
      <c r="Y80" s="151">
        <f t="shared" si="53"/>
        <v>0</v>
      </c>
      <c r="Z80" s="151">
        <f t="shared" si="54"/>
        <v>0</v>
      </c>
      <c r="AA80" s="291"/>
      <c r="AB80" s="152" t="str">
        <f t="shared" si="0"/>
        <v>F</v>
      </c>
      <c r="AC80" s="148">
        <v>0</v>
      </c>
      <c r="AD80" s="152">
        <v>0</v>
      </c>
      <c r="AE80" s="151">
        <f t="shared" si="55"/>
        <v>0</v>
      </c>
      <c r="AF80" s="152">
        <v>0</v>
      </c>
      <c r="AG80" s="151">
        <f t="shared" si="56"/>
        <v>0</v>
      </c>
      <c r="AH80" s="291"/>
      <c r="AI80" s="152" t="str">
        <f t="shared" si="43"/>
        <v>F</v>
      </c>
      <c r="AJ80" s="148">
        <v>0</v>
      </c>
      <c r="AK80" s="152">
        <v>0</v>
      </c>
      <c r="AL80" s="151">
        <f t="shared" si="57"/>
        <v>0</v>
      </c>
      <c r="AM80" s="152">
        <v>0</v>
      </c>
      <c r="AN80" s="151">
        <f t="shared" si="58"/>
        <v>0</v>
      </c>
      <c r="AO80" s="291"/>
      <c r="AP80" s="152" t="str">
        <f t="shared" si="44"/>
        <v>F</v>
      </c>
      <c r="AQ80" s="148"/>
      <c r="AR80" s="152">
        <v>0</v>
      </c>
      <c r="AS80" s="152">
        <v>0</v>
      </c>
      <c r="AT80" s="152">
        <f t="shared" si="42"/>
        <v>0</v>
      </c>
      <c r="AU80" s="294"/>
      <c r="AV80" s="152" t="str">
        <f t="shared" si="20"/>
        <v>F</v>
      </c>
      <c r="AW80" s="148">
        <v>0</v>
      </c>
      <c r="AX80" s="152">
        <v>0</v>
      </c>
      <c r="AY80" s="151">
        <f t="shared" si="59"/>
        <v>0</v>
      </c>
      <c r="AZ80" s="152">
        <v>0</v>
      </c>
      <c r="BA80" s="151">
        <f t="shared" si="60"/>
        <v>0</v>
      </c>
      <c r="BB80" s="291"/>
      <c r="BC80" s="152" t="str">
        <f t="shared" si="23"/>
        <v>F</v>
      </c>
      <c r="BD80" s="148">
        <v>0</v>
      </c>
      <c r="BE80" s="152">
        <v>0</v>
      </c>
      <c r="BF80" s="151">
        <f t="shared" si="61"/>
        <v>0</v>
      </c>
      <c r="BG80" s="152">
        <v>0</v>
      </c>
      <c r="BH80" s="152">
        <v>0</v>
      </c>
      <c r="BI80" s="151">
        <f t="shared" si="62"/>
        <v>0</v>
      </c>
      <c r="BJ80" s="294"/>
      <c r="BK80" s="152" t="str">
        <f t="shared" si="3"/>
        <v>F</v>
      </c>
      <c r="BL80" s="148">
        <v>0</v>
      </c>
      <c r="BM80" s="152">
        <v>0</v>
      </c>
      <c r="BN80" s="151">
        <f t="shared" si="63"/>
        <v>0</v>
      </c>
      <c r="BO80" s="152"/>
      <c r="BP80" s="152"/>
      <c r="BQ80" s="151">
        <f t="shared" si="64"/>
        <v>0</v>
      </c>
      <c r="BR80" s="291"/>
      <c r="BS80" s="152" t="str">
        <f t="shared" si="65"/>
        <v>F</v>
      </c>
      <c r="BT80" s="148"/>
      <c r="BU80" s="152">
        <v>0</v>
      </c>
      <c r="BV80" s="151">
        <f t="shared" si="66"/>
        <v>0</v>
      </c>
      <c r="BW80" s="152">
        <v>0</v>
      </c>
      <c r="BX80" s="152">
        <v>0</v>
      </c>
      <c r="BY80" s="151">
        <f t="shared" si="67"/>
        <v>0</v>
      </c>
      <c r="BZ80" s="294"/>
      <c r="CA80" s="152" t="str">
        <f t="shared" si="68"/>
        <v>F</v>
      </c>
      <c r="CB80" s="148"/>
      <c r="CC80" s="152"/>
      <c r="CD80" s="151">
        <f t="shared" si="69"/>
        <v>0</v>
      </c>
      <c r="CE80" s="152"/>
      <c r="CF80" s="152"/>
      <c r="CG80" s="151">
        <f t="shared" si="70"/>
        <v>0</v>
      </c>
      <c r="CH80" s="291"/>
      <c r="CI80" s="164" t="str">
        <f t="shared" si="71"/>
        <v>0</v>
      </c>
      <c r="CJ80" s="152" t="str">
        <f t="shared" si="45"/>
        <v>F</v>
      </c>
      <c r="CK80" s="165" t="str">
        <f t="shared" si="72"/>
        <v>F</v>
      </c>
      <c r="CL80" s="165" t="str">
        <f t="shared" si="73"/>
        <v>F</v>
      </c>
      <c r="CM80" s="37" t="str">
        <f t="shared" si="46"/>
        <v>NEED TO PROGRESS</v>
      </c>
      <c r="CN80" s="217">
        <f t="shared" si="47"/>
        <v>0</v>
      </c>
      <c r="CO80" s="37"/>
      <c r="CP80" s="40"/>
      <c r="CQ80" s="215">
        <f>'1ST_SEMESTER'!CN80</f>
        <v>650</v>
      </c>
      <c r="CR80" s="215">
        <f>'2ND_SEMESTER'!CN80</f>
        <v>218</v>
      </c>
      <c r="CS80" s="215">
        <f t="shared" si="74"/>
        <v>0</v>
      </c>
      <c r="CT80" s="215">
        <f t="shared" si="75"/>
        <v>289.33333333333331</v>
      </c>
      <c r="CU80" s="226" t="str">
        <f>'1ST_SEMESTER'!CK80</f>
        <v>F</v>
      </c>
      <c r="CV80" s="226" t="str">
        <f>'2ND_SEMESTER'!CK80</f>
        <v>F</v>
      </c>
      <c r="CW80" s="226" t="str">
        <f t="shared" si="76"/>
        <v>F</v>
      </c>
      <c r="CX80" s="226" t="e">
        <f t="shared" si="77"/>
        <v>#DIV/0!</v>
      </c>
    </row>
    <row r="81" spans="1:102" s="198" customFormat="1" ht="27" customHeight="1">
      <c r="A81" s="181">
        <v>74</v>
      </c>
      <c r="B81" s="117">
        <v>137</v>
      </c>
      <c r="C81" s="118" t="s">
        <v>372</v>
      </c>
      <c r="D81" s="69" t="s">
        <v>373</v>
      </c>
      <c r="E81" s="69" t="s">
        <v>374</v>
      </c>
      <c r="F81" s="70" t="s">
        <v>375</v>
      </c>
      <c r="G81" s="148">
        <v>16</v>
      </c>
      <c r="H81" s="151">
        <v>30</v>
      </c>
      <c r="I81" s="151">
        <f t="shared" si="48"/>
        <v>46</v>
      </c>
      <c r="J81" s="152">
        <v>15</v>
      </c>
      <c r="K81" s="151">
        <f t="shared" si="78"/>
        <v>61</v>
      </c>
      <c r="L81" s="148">
        <v>19</v>
      </c>
      <c r="M81" s="152">
        <v>39</v>
      </c>
      <c r="N81" s="151">
        <f t="shared" si="49"/>
        <v>58</v>
      </c>
      <c r="O81" s="152">
        <v>23</v>
      </c>
      <c r="P81" s="151">
        <f t="shared" si="50"/>
        <v>81</v>
      </c>
      <c r="Q81" s="151">
        <f t="shared" si="51"/>
        <v>142</v>
      </c>
      <c r="R81" s="291"/>
      <c r="S81" s="152">
        <f t="shared" si="11"/>
        <v>4</v>
      </c>
      <c r="T81" s="148">
        <v>14</v>
      </c>
      <c r="U81" s="152">
        <v>38</v>
      </c>
      <c r="V81" s="151">
        <f t="shared" si="52"/>
        <v>52</v>
      </c>
      <c r="W81" s="152">
        <v>19</v>
      </c>
      <c r="X81" s="152">
        <v>32</v>
      </c>
      <c r="Y81" s="151">
        <f t="shared" si="53"/>
        <v>51</v>
      </c>
      <c r="Z81" s="151">
        <f t="shared" si="54"/>
        <v>103</v>
      </c>
      <c r="AA81" s="291"/>
      <c r="AB81" s="152">
        <f t="shared" si="0"/>
        <v>3</v>
      </c>
      <c r="AC81" s="148">
        <v>17</v>
      </c>
      <c r="AD81" s="152">
        <v>28</v>
      </c>
      <c r="AE81" s="151">
        <f t="shared" si="55"/>
        <v>45</v>
      </c>
      <c r="AF81" s="152">
        <v>19</v>
      </c>
      <c r="AG81" s="151">
        <f t="shared" si="56"/>
        <v>64</v>
      </c>
      <c r="AH81" s="291"/>
      <c r="AI81" s="152">
        <f t="shared" si="43"/>
        <v>3.5</v>
      </c>
      <c r="AJ81" s="148">
        <v>15</v>
      </c>
      <c r="AK81" s="152">
        <v>34</v>
      </c>
      <c r="AL81" s="151">
        <f t="shared" si="57"/>
        <v>49</v>
      </c>
      <c r="AM81" s="152">
        <v>18</v>
      </c>
      <c r="AN81" s="151">
        <f t="shared" si="58"/>
        <v>67</v>
      </c>
      <c r="AO81" s="291"/>
      <c r="AP81" s="152">
        <f t="shared" si="44"/>
        <v>3.5</v>
      </c>
      <c r="AQ81" s="148"/>
      <c r="AR81" s="152">
        <v>21</v>
      </c>
      <c r="AS81" s="152">
        <v>22</v>
      </c>
      <c r="AT81" s="152">
        <f t="shared" si="42"/>
        <v>43</v>
      </c>
      <c r="AU81" s="294"/>
      <c r="AV81" s="152">
        <f t="shared" si="20"/>
        <v>5</v>
      </c>
      <c r="AW81" s="148">
        <v>11</v>
      </c>
      <c r="AX81" s="152">
        <v>20</v>
      </c>
      <c r="AY81" s="151">
        <f t="shared" si="59"/>
        <v>31</v>
      </c>
      <c r="AZ81" s="152">
        <v>17</v>
      </c>
      <c r="BA81" s="151">
        <f t="shared" si="60"/>
        <v>48</v>
      </c>
      <c r="BB81" s="291"/>
      <c r="BC81" s="152">
        <f t="shared" si="23"/>
        <v>2</v>
      </c>
      <c r="BD81" s="148">
        <v>7</v>
      </c>
      <c r="BE81" s="152">
        <v>22</v>
      </c>
      <c r="BF81" s="151">
        <f t="shared" si="61"/>
        <v>29</v>
      </c>
      <c r="BG81" s="152">
        <v>12</v>
      </c>
      <c r="BH81" s="152">
        <v>25</v>
      </c>
      <c r="BI81" s="151">
        <f t="shared" si="62"/>
        <v>66</v>
      </c>
      <c r="BJ81" s="294"/>
      <c r="BK81" s="152">
        <f t="shared" si="3"/>
        <v>3.5</v>
      </c>
      <c r="BL81" s="148">
        <v>9</v>
      </c>
      <c r="BM81" s="152">
        <v>30</v>
      </c>
      <c r="BN81" s="151">
        <f t="shared" si="63"/>
        <v>39</v>
      </c>
      <c r="BO81" s="152">
        <v>16</v>
      </c>
      <c r="BP81" s="152">
        <v>25</v>
      </c>
      <c r="BQ81" s="151">
        <f t="shared" si="64"/>
        <v>80</v>
      </c>
      <c r="BR81" s="291"/>
      <c r="BS81" s="152">
        <f t="shared" si="65"/>
        <v>5</v>
      </c>
      <c r="BT81" s="148">
        <v>8</v>
      </c>
      <c r="BU81" s="152">
        <v>28</v>
      </c>
      <c r="BV81" s="151">
        <f t="shared" si="66"/>
        <v>36</v>
      </c>
      <c r="BW81" s="152">
        <v>14</v>
      </c>
      <c r="BX81" s="152">
        <v>25</v>
      </c>
      <c r="BY81" s="151">
        <f t="shared" si="67"/>
        <v>75</v>
      </c>
      <c r="BZ81" s="294"/>
      <c r="CA81" s="152">
        <f t="shared" si="68"/>
        <v>4</v>
      </c>
      <c r="CB81" s="148">
        <v>6</v>
      </c>
      <c r="CC81" s="152">
        <v>25</v>
      </c>
      <c r="CD81" s="151">
        <f t="shared" si="69"/>
        <v>31</v>
      </c>
      <c r="CE81" s="152">
        <v>13</v>
      </c>
      <c r="CF81" s="152">
        <v>23</v>
      </c>
      <c r="CG81" s="151">
        <f t="shared" si="70"/>
        <v>67</v>
      </c>
      <c r="CH81" s="291"/>
      <c r="CI81" s="164">
        <f t="shared" si="71"/>
        <v>3.5</v>
      </c>
      <c r="CJ81" s="152">
        <f t="shared" si="45"/>
        <v>35</v>
      </c>
      <c r="CK81" s="165">
        <f t="shared" si="72"/>
        <v>3.8888888888888888</v>
      </c>
      <c r="CL81" s="165" t="str">
        <f t="shared" si="73"/>
        <v>A-</v>
      </c>
      <c r="CM81" s="37" t="str">
        <f t="shared" si="46"/>
        <v>GOOD</v>
      </c>
      <c r="CN81" s="217">
        <f t="shared" si="47"/>
        <v>755</v>
      </c>
      <c r="CO81" s="37"/>
      <c r="CP81" s="40"/>
      <c r="CQ81" s="215">
        <f>'1ST_SEMESTER'!CN81</f>
        <v>587</v>
      </c>
      <c r="CR81" s="215">
        <f>'2ND_SEMESTER'!CN81</f>
        <v>703.13599999999997</v>
      </c>
      <c r="CS81" s="215">
        <f t="shared" si="74"/>
        <v>755</v>
      </c>
      <c r="CT81" s="215">
        <f t="shared" si="75"/>
        <v>681.71199999999999</v>
      </c>
      <c r="CU81" s="226" t="str">
        <f>'1ST_SEMESTER'!CK81</f>
        <v>F</v>
      </c>
      <c r="CV81" s="226">
        <f>'2ND_SEMESTER'!CK81</f>
        <v>3.6111111111111112</v>
      </c>
      <c r="CW81" s="226">
        <f t="shared" si="76"/>
        <v>3.8888888888888888</v>
      </c>
      <c r="CX81" s="226">
        <f t="shared" si="77"/>
        <v>3.75</v>
      </c>
    </row>
    <row r="82" spans="1:102" s="198" customFormat="1" ht="27" customHeight="1">
      <c r="A82" s="181">
        <v>75</v>
      </c>
      <c r="B82" s="117">
        <v>140</v>
      </c>
      <c r="C82" s="118" t="s">
        <v>376</v>
      </c>
      <c r="D82" s="69" t="s">
        <v>377</v>
      </c>
      <c r="E82" s="69" t="s">
        <v>378</v>
      </c>
      <c r="F82" s="70" t="s">
        <v>379</v>
      </c>
      <c r="G82" s="148">
        <v>0</v>
      </c>
      <c r="H82" s="152">
        <v>0</v>
      </c>
      <c r="I82" s="151">
        <f t="shared" si="48"/>
        <v>0</v>
      </c>
      <c r="J82" s="152">
        <v>0</v>
      </c>
      <c r="K82" s="151">
        <f t="shared" si="78"/>
        <v>0</v>
      </c>
      <c r="L82" s="148">
        <v>0</v>
      </c>
      <c r="M82" s="152">
        <v>0</v>
      </c>
      <c r="N82" s="151">
        <f t="shared" si="49"/>
        <v>0</v>
      </c>
      <c r="O82" s="152">
        <v>0</v>
      </c>
      <c r="P82" s="151">
        <f t="shared" si="50"/>
        <v>0</v>
      </c>
      <c r="Q82" s="151">
        <f t="shared" si="51"/>
        <v>0</v>
      </c>
      <c r="R82" s="291"/>
      <c r="S82" s="152" t="str">
        <f t="shared" si="11"/>
        <v>F</v>
      </c>
      <c r="T82" s="148">
        <v>0</v>
      </c>
      <c r="U82" s="152">
        <v>0</v>
      </c>
      <c r="V82" s="151">
        <f t="shared" si="52"/>
        <v>0</v>
      </c>
      <c r="W82" s="152"/>
      <c r="X82" s="152">
        <v>0</v>
      </c>
      <c r="Y82" s="151">
        <f t="shared" si="53"/>
        <v>0</v>
      </c>
      <c r="Z82" s="151">
        <f t="shared" si="54"/>
        <v>0</v>
      </c>
      <c r="AA82" s="291"/>
      <c r="AB82" s="152" t="str">
        <f t="shared" si="0"/>
        <v>F</v>
      </c>
      <c r="AC82" s="148">
        <v>0</v>
      </c>
      <c r="AD82" s="152">
        <v>0</v>
      </c>
      <c r="AE82" s="151">
        <f t="shared" si="55"/>
        <v>0</v>
      </c>
      <c r="AF82" s="152">
        <v>0</v>
      </c>
      <c r="AG82" s="151">
        <f t="shared" si="56"/>
        <v>0</v>
      </c>
      <c r="AH82" s="291"/>
      <c r="AI82" s="152" t="str">
        <f t="shared" si="43"/>
        <v>F</v>
      </c>
      <c r="AJ82" s="148">
        <v>0</v>
      </c>
      <c r="AK82" s="152">
        <v>0</v>
      </c>
      <c r="AL82" s="151">
        <f t="shared" si="57"/>
        <v>0</v>
      </c>
      <c r="AM82" s="152">
        <v>0</v>
      </c>
      <c r="AN82" s="151">
        <f t="shared" si="58"/>
        <v>0</v>
      </c>
      <c r="AO82" s="291"/>
      <c r="AP82" s="152" t="str">
        <f t="shared" si="44"/>
        <v>F</v>
      </c>
      <c r="AQ82" s="148"/>
      <c r="AR82" s="152">
        <v>0</v>
      </c>
      <c r="AS82" s="152">
        <v>0</v>
      </c>
      <c r="AT82" s="152">
        <f t="shared" si="42"/>
        <v>0</v>
      </c>
      <c r="AU82" s="294"/>
      <c r="AV82" s="152" t="str">
        <f t="shared" si="20"/>
        <v>F</v>
      </c>
      <c r="AW82" s="148">
        <v>0</v>
      </c>
      <c r="AX82" s="152">
        <v>0</v>
      </c>
      <c r="AY82" s="151">
        <f t="shared" si="59"/>
        <v>0</v>
      </c>
      <c r="AZ82" s="152">
        <v>0</v>
      </c>
      <c r="BA82" s="151">
        <f t="shared" si="60"/>
        <v>0</v>
      </c>
      <c r="BB82" s="291"/>
      <c r="BC82" s="152" t="str">
        <f t="shared" si="23"/>
        <v>F</v>
      </c>
      <c r="BD82" s="148">
        <v>0</v>
      </c>
      <c r="BE82" s="152">
        <v>0</v>
      </c>
      <c r="BF82" s="151">
        <f t="shared" si="61"/>
        <v>0</v>
      </c>
      <c r="BG82" s="152">
        <v>0</v>
      </c>
      <c r="BH82" s="152">
        <v>0</v>
      </c>
      <c r="BI82" s="151">
        <f t="shared" si="62"/>
        <v>0</v>
      </c>
      <c r="BJ82" s="294"/>
      <c r="BK82" s="152" t="str">
        <f t="shared" si="3"/>
        <v>F</v>
      </c>
      <c r="BL82" s="148">
        <v>0</v>
      </c>
      <c r="BM82" s="152">
        <v>0</v>
      </c>
      <c r="BN82" s="151">
        <f t="shared" si="63"/>
        <v>0</v>
      </c>
      <c r="BO82" s="152">
        <v>0</v>
      </c>
      <c r="BP82" s="152">
        <v>0</v>
      </c>
      <c r="BQ82" s="151">
        <f t="shared" si="64"/>
        <v>0</v>
      </c>
      <c r="BR82" s="291"/>
      <c r="BS82" s="152" t="str">
        <f t="shared" si="65"/>
        <v>F</v>
      </c>
      <c r="BT82" s="148"/>
      <c r="BU82" s="152">
        <v>0</v>
      </c>
      <c r="BV82" s="151">
        <f t="shared" si="66"/>
        <v>0</v>
      </c>
      <c r="BW82" s="152">
        <v>0</v>
      </c>
      <c r="BX82" s="152">
        <v>0</v>
      </c>
      <c r="BY82" s="151">
        <f t="shared" si="67"/>
        <v>0</v>
      </c>
      <c r="BZ82" s="294"/>
      <c r="CA82" s="152" t="str">
        <f t="shared" si="68"/>
        <v>F</v>
      </c>
      <c r="CB82" s="148"/>
      <c r="CC82" s="152"/>
      <c r="CD82" s="151">
        <f t="shared" si="69"/>
        <v>0</v>
      </c>
      <c r="CE82" s="152"/>
      <c r="CF82" s="152"/>
      <c r="CG82" s="151">
        <f t="shared" si="70"/>
        <v>0</v>
      </c>
      <c r="CH82" s="291"/>
      <c r="CI82" s="164" t="str">
        <f t="shared" si="71"/>
        <v>0</v>
      </c>
      <c r="CJ82" s="152" t="str">
        <f t="shared" si="45"/>
        <v>F</v>
      </c>
      <c r="CK82" s="165" t="str">
        <f t="shared" si="72"/>
        <v>F</v>
      </c>
      <c r="CL82" s="165" t="str">
        <f t="shared" si="73"/>
        <v>F</v>
      </c>
      <c r="CM82" s="37" t="str">
        <f t="shared" si="46"/>
        <v>NEED TO PROGRESS</v>
      </c>
      <c r="CN82" s="217">
        <f t="shared" si="47"/>
        <v>0</v>
      </c>
      <c r="CO82" s="37"/>
      <c r="CP82" s="40"/>
      <c r="CQ82" s="215">
        <f>'1ST_SEMESTER'!CN82</f>
        <v>362</v>
      </c>
      <c r="CR82" s="215">
        <f>'2ND_SEMESTER'!CN82</f>
        <v>88</v>
      </c>
      <c r="CS82" s="215">
        <f t="shared" si="74"/>
        <v>0</v>
      </c>
      <c r="CT82" s="215">
        <f t="shared" si="75"/>
        <v>150</v>
      </c>
      <c r="CU82" s="226" t="str">
        <f>'1ST_SEMESTER'!CK82</f>
        <v>F</v>
      </c>
      <c r="CV82" s="226" t="str">
        <f>'2ND_SEMESTER'!CK82</f>
        <v>F</v>
      </c>
      <c r="CW82" s="226" t="str">
        <f t="shared" si="76"/>
        <v>F</v>
      </c>
      <c r="CX82" s="226" t="e">
        <f t="shared" si="77"/>
        <v>#DIV/0!</v>
      </c>
    </row>
    <row r="83" spans="1:102" s="198" customFormat="1" ht="27" customHeight="1">
      <c r="A83" s="181">
        <v>76</v>
      </c>
      <c r="B83" s="117">
        <v>141</v>
      </c>
      <c r="C83" s="118" t="s">
        <v>380</v>
      </c>
      <c r="D83" s="69" t="s">
        <v>381</v>
      </c>
      <c r="E83" s="69" t="s">
        <v>382</v>
      </c>
      <c r="F83" s="70" t="s">
        <v>383</v>
      </c>
      <c r="G83" s="148">
        <v>0</v>
      </c>
      <c r="H83" s="151">
        <v>0</v>
      </c>
      <c r="I83" s="151">
        <f t="shared" si="48"/>
        <v>0</v>
      </c>
      <c r="J83" s="152">
        <v>0</v>
      </c>
      <c r="K83" s="151">
        <f>I83+J83</f>
        <v>0</v>
      </c>
      <c r="L83" s="148">
        <v>0</v>
      </c>
      <c r="M83" s="152">
        <v>0</v>
      </c>
      <c r="N83" s="151">
        <f t="shared" si="49"/>
        <v>0</v>
      </c>
      <c r="O83" s="152">
        <v>0</v>
      </c>
      <c r="P83" s="151">
        <f t="shared" si="50"/>
        <v>0</v>
      </c>
      <c r="Q83" s="151">
        <f t="shared" si="51"/>
        <v>0</v>
      </c>
      <c r="R83" s="291"/>
      <c r="S83" s="152" t="str">
        <f t="shared" si="11"/>
        <v>F</v>
      </c>
      <c r="T83" s="148">
        <v>0</v>
      </c>
      <c r="U83" s="152">
        <v>0</v>
      </c>
      <c r="V83" s="151">
        <f t="shared" si="52"/>
        <v>0</v>
      </c>
      <c r="W83" s="152"/>
      <c r="X83" s="152">
        <v>0</v>
      </c>
      <c r="Y83" s="151">
        <f t="shared" si="53"/>
        <v>0</v>
      </c>
      <c r="Z83" s="151">
        <f t="shared" si="54"/>
        <v>0</v>
      </c>
      <c r="AA83" s="291"/>
      <c r="AB83" s="152" t="str">
        <f t="shared" si="0"/>
        <v>F</v>
      </c>
      <c r="AC83" s="148">
        <v>0</v>
      </c>
      <c r="AD83" s="152">
        <v>0</v>
      </c>
      <c r="AE83" s="151">
        <f t="shared" si="55"/>
        <v>0</v>
      </c>
      <c r="AF83" s="152">
        <v>0</v>
      </c>
      <c r="AG83" s="151">
        <f t="shared" si="56"/>
        <v>0</v>
      </c>
      <c r="AH83" s="291"/>
      <c r="AI83" s="152" t="str">
        <f t="shared" si="43"/>
        <v>F</v>
      </c>
      <c r="AJ83" s="148">
        <v>0</v>
      </c>
      <c r="AK83" s="152">
        <v>0</v>
      </c>
      <c r="AL83" s="151">
        <f t="shared" si="57"/>
        <v>0</v>
      </c>
      <c r="AM83" s="152">
        <v>0</v>
      </c>
      <c r="AN83" s="151">
        <f t="shared" si="58"/>
        <v>0</v>
      </c>
      <c r="AO83" s="291"/>
      <c r="AP83" s="152" t="str">
        <f t="shared" si="44"/>
        <v>F</v>
      </c>
      <c r="AQ83" s="148"/>
      <c r="AR83" s="152">
        <v>0</v>
      </c>
      <c r="AS83" s="152">
        <v>0</v>
      </c>
      <c r="AT83" s="152">
        <f t="shared" ref="AT83:AT95" si="79">SUM(AQ83:AS83)</f>
        <v>0</v>
      </c>
      <c r="AU83" s="294"/>
      <c r="AV83" s="152" t="str">
        <f t="shared" si="20"/>
        <v>F</v>
      </c>
      <c r="AW83" s="148"/>
      <c r="AX83" s="152">
        <v>0</v>
      </c>
      <c r="AY83" s="151">
        <f t="shared" si="59"/>
        <v>0</v>
      </c>
      <c r="AZ83" s="152">
        <v>0</v>
      </c>
      <c r="BA83" s="151">
        <f t="shared" si="60"/>
        <v>0</v>
      </c>
      <c r="BB83" s="291"/>
      <c r="BC83" s="152" t="str">
        <f t="shared" si="23"/>
        <v>F</v>
      </c>
      <c r="BD83" s="148">
        <v>0</v>
      </c>
      <c r="BE83" s="152">
        <v>0</v>
      </c>
      <c r="BF83" s="151">
        <f t="shared" si="61"/>
        <v>0</v>
      </c>
      <c r="BG83" s="152">
        <v>0</v>
      </c>
      <c r="BH83" s="152">
        <v>0</v>
      </c>
      <c r="BI83" s="151">
        <f t="shared" si="62"/>
        <v>0</v>
      </c>
      <c r="BJ83" s="294"/>
      <c r="BK83" s="152" t="str">
        <f t="shared" si="3"/>
        <v>F</v>
      </c>
      <c r="BL83" s="148">
        <v>0</v>
      </c>
      <c r="BM83" s="152">
        <v>0</v>
      </c>
      <c r="BN83" s="151">
        <f t="shared" si="63"/>
        <v>0</v>
      </c>
      <c r="BO83" s="152">
        <v>0</v>
      </c>
      <c r="BP83" s="152">
        <v>0</v>
      </c>
      <c r="BQ83" s="151">
        <f t="shared" si="64"/>
        <v>0</v>
      </c>
      <c r="BR83" s="291"/>
      <c r="BS83" s="152" t="str">
        <f t="shared" si="65"/>
        <v>F</v>
      </c>
      <c r="BT83" s="148"/>
      <c r="BU83" s="152">
        <v>0</v>
      </c>
      <c r="BV83" s="151">
        <f t="shared" si="66"/>
        <v>0</v>
      </c>
      <c r="BW83" s="152">
        <v>0</v>
      </c>
      <c r="BX83" s="152">
        <v>0</v>
      </c>
      <c r="BY83" s="151">
        <f t="shared" si="67"/>
        <v>0</v>
      </c>
      <c r="BZ83" s="294"/>
      <c r="CA83" s="152" t="str">
        <f t="shared" si="68"/>
        <v>F</v>
      </c>
      <c r="CB83" s="148"/>
      <c r="CC83" s="152"/>
      <c r="CD83" s="151">
        <f t="shared" si="69"/>
        <v>0</v>
      </c>
      <c r="CE83" s="152"/>
      <c r="CF83" s="152"/>
      <c r="CG83" s="151">
        <f t="shared" si="70"/>
        <v>0</v>
      </c>
      <c r="CH83" s="291"/>
      <c r="CI83" s="164" t="str">
        <f t="shared" si="71"/>
        <v>0</v>
      </c>
      <c r="CJ83" s="152" t="str">
        <f t="shared" si="45"/>
        <v>F</v>
      </c>
      <c r="CK83" s="165" t="str">
        <f t="shared" si="72"/>
        <v>F</v>
      </c>
      <c r="CL83" s="165" t="str">
        <f t="shared" si="73"/>
        <v>F</v>
      </c>
      <c r="CM83" s="37" t="str">
        <f t="shared" si="46"/>
        <v>NEED TO PROGRESS</v>
      </c>
      <c r="CN83" s="217">
        <f t="shared" si="47"/>
        <v>0</v>
      </c>
      <c r="CO83" s="37"/>
      <c r="CP83" s="40"/>
      <c r="CQ83" s="215">
        <f>'1ST_SEMESTER'!CN83</f>
        <v>481</v>
      </c>
      <c r="CR83" s="215">
        <f>'2ND_SEMESTER'!CN83</f>
        <v>88</v>
      </c>
      <c r="CS83" s="215">
        <f t="shared" si="74"/>
        <v>0</v>
      </c>
      <c r="CT83" s="215">
        <f t="shared" si="75"/>
        <v>189.66666666666666</v>
      </c>
      <c r="CU83" s="226" t="str">
        <f>'1ST_SEMESTER'!CK83</f>
        <v>F</v>
      </c>
      <c r="CV83" s="226" t="str">
        <f>'2ND_SEMESTER'!CK83</f>
        <v>F</v>
      </c>
      <c r="CW83" s="226" t="str">
        <f t="shared" si="76"/>
        <v>F</v>
      </c>
      <c r="CX83" s="226" t="e">
        <f t="shared" si="77"/>
        <v>#DIV/0!</v>
      </c>
    </row>
    <row r="84" spans="1:102" s="197" customFormat="1" ht="27" customHeight="1">
      <c r="A84" s="144">
        <v>77</v>
      </c>
      <c r="B84" s="192">
        <v>143</v>
      </c>
      <c r="C84" s="177" t="s">
        <v>384</v>
      </c>
      <c r="D84" s="57" t="s">
        <v>385</v>
      </c>
      <c r="E84" s="57" t="s">
        <v>386</v>
      </c>
      <c r="F84" s="58" t="s">
        <v>387</v>
      </c>
      <c r="G84" s="148">
        <v>20</v>
      </c>
      <c r="H84" s="149">
        <v>39</v>
      </c>
      <c r="I84" s="150">
        <f t="shared" si="48"/>
        <v>59</v>
      </c>
      <c r="J84" s="149">
        <v>17</v>
      </c>
      <c r="K84" s="150">
        <f t="shared" ref="K84:K95" si="80">I84+J84</f>
        <v>76</v>
      </c>
      <c r="L84" s="148">
        <v>20</v>
      </c>
      <c r="M84" s="149">
        <v>39</v>
      </c>
      <c r="N84" s="150">
        <f t="shared" si="49"/>
        <v>59</v>
      </c>
      <c r="O84" s="149">
        <v>19</v>
      </c>
      <c r="P84" s="150">
        <f t="shared" si="50"/>
        <v>78</v>
      </c>
      <c r="Q84" s="150">
        <f t="shared" si="51"/>
        <v>154</v>
      </c>
      <c r="R84" s="291"/>
      <c r="S84" s="149">
        <f t="shared" si="11"/>
        <v>4</v>
      </c>
      <c r="T84" s="148">
        <v>14</v>
      </c>
      <c r="U84" s="149">
        <v>48</v>
      </c>
      <c r="V84" s="150">
        <f t="shared" si="52"/>
        <v>62</v>
      </c>
      <c r="W84" s="149">
        <v>13</v>
      </c>
      <c r="X84" s="149">
        <v>27</v>
      </c>
      <c r="Y84" s="150">
        <f t="shared" si="53"/>
        <v>40</v>
      </c>
      <c r="Z84" s="150">
        <f t="shared" si="54"/>
        <v>102</v>
      </c>
      <c r="AA84" s="291"/>
      <c r="AB84" s="149">
        <f t="shared" si="0"/>
        <v>3</v>
      </c>
      <c r="AC84" s="148">
        <v>11</v>
      </c>
      <c r="AD84" s="149">
        <v>10</v>
      </c>
      <c r="AE84" s="150">
        <f t="shared" si="55"/>
        <v>21</v>
      </c>
      <c r="AF84" s="149">
        <v>14</v>
      </c>
      <c r="AG84" s="150">
        <f t="shared" si="56"/>
        <v>35</v>
      </c>
      <c r="AH84" s="291"/>
      <c r="AI84" s="149" t="str">
        <f t="shared" si="43"/>
        <v>F</v>
      </c>
      <c r="AJ84" s="148">
        <v>15</v>
      </c>
      <c r="AK84" s="149">
        <v>29</v>
      </c>
      <c r="AL84" s="150">
        <f t="shared" si="57"/>
        <v>44</v>
      </c>
      <c r="AM84" s="149">
        <v>19</v>
      </c>
      <c r="AN84" s="150">
        <f t="shared" si="58"/>
        <v>63</v>
      </c>
      <c r="AO84" s="291"/>
      <c r="AP84" s="149">
        <f t="shared" si="44"/>
        <v>3.5</v>
      </c>
      <c r="AQ84" s="148"/>
      <c r="AR84" s="149">
        <v>21</v>
      </c>
      <c r="AS84" s="149">
        <v>22</v>
      </c>
      <c r="AT84" s="149">
        <f t="shared" si="79"/>
        <v>43</v>
      </c>
      <c r="AU84" s="294"/>
      <c r="AV84" s="149">
        <f t="shared" si="20"/>
        <v>5</v>
      </c>
      <c r="AW84" s="148">
        <v>14</v>
      </c>
      <c r="AX84" s="149">
        <v>20</v>
      </c>
      <c r="AY84" s="150">
        <f t="shared" si="59"/>
        <v>34</v>
      </c>
      <c r="AZ84" s="149">
        <v>15</v>
      </c>
      <c r="BA84" s="150">
        <f t="shared" si="60"/>
        <v>49</v>
      </c>
      <c r="BB84" s="291"/>
      <c r="BC84" s="149">
        <f t="shared" si="23"/>
        <v>2</v>
      </c>
      <c r="BD84" s="148">
        <v>7</v>
      </c>
      <c r="BE84" s="149">
        <v>14</v>
      </c>
      <c r="BF84" s="150">
        <f t="shared" si="61"/>
        <v>21</v>
      </c>
      <c r="BG84" s="149">
        <v>10</v>
      </c>
      <c r="BH84" s="149">
        <v>25</v>
      </c>
      <c r="BI84" s="150">
        <f t="shared" si="62"/>
        <v>56</v>
      </c>
      <c r="BJ84" s="294"/>
      <c r="BK84" s="149">
        <f t="shared" si="3"/>
        <v>3</v>
      </c>
      <c r="BL84" s="148">
        <v>8</v>
      </c>
      <c r="BM84" s="149">
        <v>26</v>
      </c>
      <c r="BN84" s="150">
        <f t="shared" si="63"/>
        <v>34</v>
      </c>
      <c r="BO84" s="149">
        <v>16</v>
      </c>
      <c r="BP84" s="149">
        <v>25</v>
      </c>
      <c r="BQ84" s="150">
        <f t="shared" si="64"/>
        <v>75</v>
      </c>
      <c r="BR84" s="291"/>
      <c r="BS84" s="149">
        <f t="shared" si="65"/>
        <v>4</v>
      </c>
      <c r="BT84" s="148">
        <v>7</v>
      </c>
      <c r="BU84" s="149">
        <v>22</v>
      </c>
      <c r="BV84" s="150">
        <f t="shared" si="66"/>
        <v>29</v>
      </c>
      <c r="BW84" s="149">
        <v>13</v>
      </c>
      <c r="BX84" s="162">
        <v>25</v>
      </c>
      <c r="BY84" s="150">
        <f t="shared" si="67"/>
        <v>67</v>
      </c>
      <c r="BZ84" s="294"/>
      <c r="CA84" s="149">
        <f t="shared" si="68"/>
        <v>3.5</v>
      </c>
      <c r="CB84" s="148">
        <v>5</v>
      </c>
      <c r="CC84" s="149">
        <v>22</v>
      </c>
      <c r="CD84" s="150">
        <f t="shared" si="69"/>
        <v>27</v>
      </c>
      <c r="CE84" s="149">
        <v>13</v>
      </c>
      <c r="CF84" s="149">
        <v>23</v>
      </c>
      <c r="CG84" s="150">
        <f t="shared" si="70"/>
        <v>63</v>
      </c>
      <c r="CH84" s="291"/>
      <c r="CI84" s="164">
        <f t="shared" si="71"/>
        <v>3.5</v>
      </c>
      <c r="CJ84" s="149" t="str">
        <f t="shared" si="45"/>
        <v>F</v>
      </c>
      <c r="CK84" s="165" t="str">
        <f t="shared" si="72"/>
        <v>F</v>
      </c>
      <c r="CL84" s="165" t="str">
        <f t="shared" si="73"/>
        <v>F</v>
      </c>
      <c r="CM84" s="37" t="str">
        <f t="shared" si="46"/>
        <v>NEED TO PROGRESS</v>
      </c>
      <c r="CN84" s="217">
        <f t="shared" si="47"/>
        <v>707</v>
      </c>
      <c r="CO84" s="37"/>
      <c r="CP84" s="40"/>
      <c r="CQ84" s="215">
        <f>'1ST_SEMESTER'!CN84</f>
        <v>607</v>
      </c>
      <c r="CR84" s="215">
        <f>'2ND_SEMESTER'!CN84</f>
        <v>675.27600000000007</v>
      </c>
      <c r="CS84" s="215">
        <f t="shared" si="74"/>
        <v>707</v>
      </c>
      <c r="CT84" s="215">
        <f t="shared" si="75"/>
        <v>663.09199999999998</v>
      </c>
      <c r="CU84" s="226" t="str">
        <f>'1ST_SEMESTER'!CK84</f>
        <v>F</v>
      </c>
      <c r="CV84" s="226">
        <f>'2ND_SEMESTER'!CK84</f>
        <v>3.5</v>
      </c>
      <c r="CW84" s="226" t="str">
        <f t="shared" si="76"/>
        <v>F</v>
      </c>
      <c r="CX84" s="226">
        <f t="shared" si="77"/>
        <v>3.5</v>
      </c>
    </row>
    <row r="85" spans="1:102" s="197" customFormat="1" ht="27" customHeight="1">
      <c r="A85" s="144">
        <v>78</v>
      </c>
      <c r="B85" s="192">
        <v>147</v>
      </c>
      <c r="C85" s="177" t="s">
        <v>388</v>
      </c>
      <c r="D85" s="57" t="s">
        <v>389</v>
      </c>
      <c r="E85" s="57" t="s">
        <v>390</v>
      </c>
      <c r="F85" s="61" t="s">
        <v>391</v>
      </c>
      <c r="G85" s="148">
        <v>16</v>
      </c>
      <c r="H85" s="149">
        <v>26</v>
      </c>
      <c r="I85" s="150">
        <f t="shared" si="48"/>
        <v>42</v>
      </c>
      <c r="J85" s="149">
        <v>17</v>
      </c>
      <c r="K85" s="150">
        <f t="shared" si="80"/>
        <v>59</v>
      </c>
      <c r="L85" s="148">
        <v>19</v>
      </c>
      <c r="M85" s="149">
        <v>29</v>
      </c>
      <c r="N85" s="150">
        <f t="shared" si="49"/>
        <v>48</v>
      </c>
      <c r="O85" s="149">
        <v>16</v>
      </c>
      <c r="P85" s="150">
        <f t="shared" si="50"/>
        <v>64</v>
      </c>
      <c r="Q85" s="150">
        <f t="shared" si="51"/>
        <v>123</v>
      </c>
      <c r="R85" s="291"/>
      <c r="S85" s="149">
        <f t="shared" si="11"/>
        <v>3.5</v>
      </c>
      <c r="T85" s="148">
        <v>16</v>
      </c>
      <c r="U85" s="149">
        <v>47</v>
      </c>
      <c r="V85" s="150">
        <f t="shared" si="52"/>
        <v>63</v>
      </c>
      <c r="W85" s="149">
        <v>16</v>
      </c>
      <c r="X85" s="149">
        <v>42</v>
      </c>
      <c r="Y85" s="150">
        <f t="shared" si="53"/>
        <v>58</v>
      </c>
      <c r="Z85" s="150">
        <f t="shared" si="54"/>
        <v>121</v>
      </c>
      <c r="AA85" s="291"/>
      <c r="AB85" s="149">
        <f t="shared" si="0"/>
        <v>3.5</v>
      </c>
      <c r="AC85" s="148">
        <v>16</v>
      </c>
      <c r="AD85" s="149">
        <v>31</v>
      </c>
      <c r="AE85" s="150">
        <f t="shared" si="55"/>
        <v>47</v>
      </c>
      <c r="AF85" s="149">
        <v>12</v>
      </c>
      <c r="AG85" s="150">
        <f t="shared" si="56"/>
        <v>59</v>
      </c>
      <c r="AH85" s="291"/>
      <c r="AI85" s="149">
        <f t="shared" si="43"/>
        <v>3</v>
      </c>
      <c r="AJ85" s="148">
        <v>19</v>
      </c>
      <c r="AK85" s="149">
        <v>30</v>
      </c>
      <c r="AL85" s="150">
        <f t="shared" si="57"/>
        <v>49</v>
      </c>
      <c r="AM85" s="149">
        <v>23</v>
      </c>
      <c r="AN85" s="150">
        <f t="shared" si="58"/>
        <v>72</v>
      </c>
      <c r="AO85" s="291"/>
      <c r="AP85" s="149">
        <f t="shared" si="44"/>
        <v>4</v>
      </c>
      <c r="AQ85" s="148"/>
      <c r="AR85" s="149">
        <v>22</v>
      </c>
      <c r="AS85" s="149">
        <v>22</v>
      </c>
      <c r="AT85" s="149">
        <f t="shared" si="79"/>
        <v>44</v>
      </c>
      <c r="AU85" s="294"/>
      <c r="AV85" s="149">
        <f t="shared" si="20"/>
        <v>5</v>
      </c>
      <c r="AW85" s="148">
        <v>14</v>
      </c>
      <c r="AX85" s="149">
        <v>22</v>
      </c>
      <c r="AY85" s="150">
        <f t="shared" si="59"/>
        <v>36</v>
      </c>
      <c r="AZ85" s="149">
        <v>14</v>
      </c>
      <c r="BA85" s="150">
        <f t="shared" si="60"/>
        <v>50</v>
      </c>
      <c r="BB85" s="291"/>
      <c r="BC85" s="149">
        <f t="shared" si="23"/>
        <v>3</v>
      </c>
      <c r="BD85" s="148">
        <v>7</v>
      </c>
      <c r="BE85" s="149">
        <v>21</v>
      </c>
      <c r="BF85" s="150">
        <f t="shared" si="61"/>
        <v>28</v>
      </c>
      <c r="BG85" s="149">
        <v>12</v>
      </c>
      <c r="BH85" s="149">
        <v>25</v>
      </c>
      <c r="BI85" s="150">
        <f t="shared" si="62"/>
        <v>65</v>
      </c>
      <c r="BJ85" s="294"/>
      <c r="BK85" s="149">
        <f t="shared" si="3"/>
        <v>3.5</v>
      </c>
      <c r="BL85" s="148">
        <v>9</v>
      </c>
      <c r="BM85" s="149">
        <v>26</v>
      </c>
      <c r="BN85" s="150">
        <f t="shared" si="63"/>
        <v>35</v>
      </c>
      <c r="BO85" s="149">
        <v>17</v>
      </c>
      <c r="BP85" s="149">
        <v>25</v>
      </c>
      <c r="BQ85" s="150">
        <f t="shared" si="64"/>
        <v>77</v>
      </c>
      <c r="BR85" s="291"/>
      <c r="BS85" s="149">
        <f t="shared" si="65"/>
        <v>4</v>
      </c>
      <c r="BT85" s="148">
        <v>8</v>
      </c>
      <c r="BU85" s="149">
        <v>22</v>
      </c>
      <c r="BV85" s="150">
        <f t="shared" si="66"/>
        <v>30</v>
      </c>
      <c r="BW85" s="149">
        <v>13</v>
      </c>
      <c r="BX85" s="162">
        <v>25</v>
      </c>
      <c r="BY85" s="150">
        <f t="shared" si="67"/>
        <v>68</v>
      </c>
      <c r="BZ85" s="294"/>
      <c r="CA85" s="149">
        <f t="shared" si="68"/>
        <v>3.5</v>
      </c>
      <c r="CB85" s="148">
        <v>6</v>
      </c>
      <c r="CC85" s="149">
        <v>30</v>
      </c>
      <c r="CD85" s="150">
        <f t="shared" si="69"/>
        <v>36</v>
      </c>
      <c r="CE85" s="149">
        <v>14</v>
      </c>
      <c r="CF85" s="149">
        <v>23</v>
      </c>
      <c r="CG85" s="150">
        <f t="shared" si="70"/>
        <v>73</v>
      </c>
      <c r="CH85" s="291"/>
      <c r="CI85" s="164">
        <f t="shared" si="71"/>
        <v>4</v>
      </c>
      <c r="CJ85" s="149">
        <f t="shared" si="45"/>
        <v>35</v>
      </c>
      <c r="CK85" s="165">
        <f t="shared" si="72"/>
        <v>3.8888888888888888</v>
      </c>
      <c r="CL85" s="165" t="str">
        <f t="shared" si="73"/>
        <v>A-</v>
      </c>
      <c r="CM85" s="37" t="str">
        <f t="shared" si="46"/>
        <v>GOOD</v>
      </c>
      <c r="CN85" s="217">
        <f t="shared" si="47"/>
        <v>752</v>
      </c>
      <c r="CO85" s="37"/>
      <c r="CP85" s="40"/>
      <c r="CQ85" s="215">
        <f>'1ST_SEMESTER'!CN85</f>
        <v>617</v>
      </c>
      <c r="CR85" s="215">
        <f>'2ND_SEMESTER'!CN85</f>
        <v>660.42000000000007</v>
      </c>
      <c r="CS85" s="215">
        <f t="shared" si="74"/>
        <v>752</v>
      </c>
      <c r="CT85" s="215">
        <f t="shared" si="75"/>
        <v>676.47333333333336</v>
      </c>
      <c r="CU85" s="226" t="str">
        <f>'1ST_SEMESTER'!CK85</f>
        <v>F</v>
      </c>
      <c r="CV85" s="226" t="str">
        <f>'2ND_SEMESTER'!CK85</f>
        <v>F</v>
      </c>
      <c r="CW85" s="226">
        <f t="shared" si="76"/>
        <v>3.8888888888888888</v>
      </c>
      <c r="CX85" s="226">
        <f t="shared" si="77"/>
        <v>3.8888888888888888</v>
      </c>
    </row>
    <row r="86" spans="1:102" s="198" customFormat="1" ht="27" customHeight="1">
      <c r="A86" s="181">
        <v>79</v>
      </c>
      <c r="B86" s="117">
        <v>148</v>
      </c>
      <c r="C86" s="179" t="s">
        <v>392</v>
      </c>
      <c r="D86" s="95" t="s">
        <v>393</v>
      </c>
      <c r="E86" s="95" t="s">
        <v>394</v>
      </c>
      <c r="F86" s="109" t="s">
        <v>395</v>
      </c>
      <c r="G86" s="148">
        <v>19</v>
      </c>
      <c r="H86" s="152">
        <v>31</v>
      </c>
      <c r="I86" s="151">
        <f t="shared" si="48"/>
        <v>50</v>
      </c>
      <c r="J86" s="152">
        <v>16</v>
      </c>
      <c r="K86" s="151">
        <f t="shared" si="80"/>
        <v>66</v>
      </c>
      <c r="L86" s="148">
        <v>20</v>
      </c>
      <c r="M86" s="152">
        <v>36</v>
      </c>
      <c r="N86" s="151">
        <f t="shared" si="49"/>
        <v>56</v>
      </c>
      <c r="O86" s="152">
        <v>16</v>
      </c>
      <c r="P86" s="151">
        <f t="shared" si="50"/>
        <v>72</v>
      </c>
      <c r="Q86" s="151">
        <f t="shared" si="51"/>
        <v>138</v>
      </c>
      <c r="R86" s="291"/>
      <c r="S86" s="152">
        <f t="shared" si="11"/>
        <v>3.5</v>
      </c>
      <c r="T86" s="148">
        <v>16</v>
      </c>
      <c r="U86" s="152">
        <v>49</v>
      </c>
      <c r="V86" s="151">
        <f t="shared" si="52"/>
        <v>65</v>
      </c>
      <c r="W86" s="152">
        <v>16</v>
      </c>
      <c r="X86" s="152">
        <v>33</v>
      </c>
      <c r="Y86" s="151">
        <f t="shared" si="53"/>
        <v>49</v>
      </c>
      <c r="Z86" s="151">
        <f t="shared" si="54"/>
        <v>114</v>
      </c>
      <c r="AA86" s="291"/>
      <c r="AB86" s="152">
        <f t="shared" si="0"/>
        <v>3</v>
      </c>
      <c r="AC86" s="148">
        <v>17</v>
      </c>
      <c r="AD86" s="152">
        <v>20</v>
      </c>
      <c r="AE86" s="151">
        <f t="shared" si="55"/>
        <v>37</v>
      </c>
      <c r="AF86" s="152">
        <v>14</v>
      </c>
      <c r="AG86" s="151">
        <f t="shared" si="56"/>
        <v>51</v>
      </c>
      <c r="AH86" s="291"/>
      <c r="AI86" s="152">
        <f t="shared" si="43"/>
        <v>3</v>
      </c>
      <c r="AJ86" s="148">
        <v>19</v>
      </c>
      <c r="AK86" s="152">
        <v>37</v>
      </c>
      <c r="AL86" s="151">
        <f t="shared" si="57"/>
        <v>56</v>
      </c>
      <c r="AM86" s="152">
        <v>18</v>
      </c>
      <c r="AN86" s="151">
        <f t="shared" si="58"/>
        <v>74</v>
      </c>
      <c r="AO86" s="291"/>
      <c r="AP86" s="152">
        <f t="shared" si="44"/>
        <v>4</v>
      </c>
      <c r="AQ86" s="148"/>
      <c r="AR86" s="152">
        <v>21</v>
      </c>
      <c r="AS86" s="152">
        <v>22</v>
      </c>
      <c r="AT86" s="152">
        <f t="shared" si="79"/>
        <v>43</v>
      </c>
      <c r="AU86" s="294"/>
      <c r="AV86" s="152">
        <f t="shared" si="20"/>
        <v>5</v>
      </c>
      <c r="AW86" s="148">
        <v>14</v>
      </c>
      <c r="AX86" s="152">
        <v>26</v>
      </c>
      <c r="AY86" s="151">
        <f t="shared" si="59"/>
        <v>40</v>
      </c>
      <c r="AZ86" s="152">
        <v>14</v>
      </c>
      <c r="BA86" s="151">
        <f t="shared" si="60"/>
        <v>54</v>
      </c>
      <c r="BB86" s="291"/>
      <c r="BC86" s="152">
        <f t="shared" si="23"/>
        <v>3</v>
      </c>
      <c r="BD86" s="148">
        <v>7</v>
      </c>
      <c r="BE86" s="152">
        <v>20</v>
      </c>
      <c r="BF86" s="151">
        <f t="shared" si="61"/>
        <v>27</v>
      </c>
      <c r="BG86" s="152">
        <v>11</v>
      </c>
      <c r="BH86" s="152">
        <v>25</v>
      </c>
      <c r="BI86" s="151">
        <f t="shared" si="62"/>
        <v>63</v>
      </c>
      <c r="BJ86" s="294"/>
      <c r="BK86" s="152">
        <f t="shared" si="3"/>
        <v>3.5</v>
      </c>
      <c r="BL86" s="148">
        <v>8</v>
      </c>
      <c r="BM86" s="152">
        <v>22</v>
      </c>
      <c r="BN86" s="151">
        <f t="shared" si="63"/>
        <v>30</v>
      </c>
      <c r="BO86" s="152">
        <v>18</v>
      </c>
      <c r="BP86" s="152">
        <v>25</v>
      </c>
      <c r="BQ86" s="151">
        <f t="shared" si="64"/>
        <v>73</v>
      </c>
      <c r="BR86" s="291"/>
      <c r="BS86" s="152">
        <f t="shared" si="65"/>
        <v>4</v>
      </c>
      <c r="BT86" s="148">
        <v>8</v>
      </c>
      <c r="BU86" s="152">
        <v>21</v>
      </c>
      <c r="BV86" s="151">
        <f t="shared" si="66"/>
        <v>29</v>
      </c>
      <c r="BW86" s="152">
        <v>16</v>
      </c>
      <c r="BX86" s="152">
        <v>25</v>
      </c>
      <c r="BY86" s="151">
        <f t="shared" si="67"/>
        <v>70</v>
      </c>
      <c r="BZ86" s="294"/>
      <c r="CA86" s="152">
        <f t="shared" si="68"/>
        <v>4</v>
      </c>
      <c r="CB86" s="148">
        <v>7</v>
      </c>
      <c r="CC86" s="152">
        <v>24</v>
      </c>
      <c r="CD86" s="151">
        <f t="shared" si="69"/>
        <v>31</v>
      </c>
      <c r="CE86" s="152">
        <v>13</v>
      </c>
      <c r="CF86" s="152">
        <v>25</v>
      </c>
      <c r="CG86" s="151">
        <f t="shared" si="70"/>
        <v>69</v>
      </c>
      <c r="CH86" s="291"/>
      <c r="CI86" s="164">
        <f t="shared" si="71"/>
        <v>3.5</v>
      </c>
      <c r="CJ86" s="152">
        <f t="shared" si="45"/>
        <v>34.5</v>
      </c>
      <c r="CK86" s="165">
        <f t="shared" si="72"/>
        <v>3.8333333333333335</v>
      </c>
      <c r="CL86" s="165" t="str">
        <f t="shared" si="73"/>
        <v>A-</v>
      </c>
      <c r="CM86" s="37" t="str">
        <f t="shared" si="46"/>
        <v>GOOD</v>
      </c>
      <c r="CN86" s="217">
        <f t="shared" si="47"/>
        <v>749</v>
      </c>
      <c r="CO86" s="37"/>
      <c r="CP86" s="40"/>
      <c r="CQ86" s="215">
        <f>'1ST_SEMESTER'!CN86</f>
        <v>567</v>
      </c>
      <c r="CR86" s="215">
        <f>'2ND_SEMESTER'!CN86</f>
        <v>677.70600000000002</v>
      </c>
      <c r="CS86" s="215">
        <f t="shared" si="74"/>
        <v>749</v>
      </c>
      <c r="CT86" s="215">
        <f t="shared" si="75"/>
        <v>664.56866666666667</v>
      </c>
      <c r="CU86" s="226" t="str">
        <f>'1ST_SEMESTER'!CK86</f>
        <v>F</v>
      </c>
      <c r="CV86" s="226">
        <f>'2ND_SEMESTER'!CK86</f>
        <v>3.3333333333333335</v>
      </c>
      <c r="CW86" s="226">
        <f t="shared" si="76"/>
        <v>3.8333333333333335</v>
      </c>
      <c r="CX86" s="226">
        <f t="shared" si="77"/>
        <v>3.5833333333333335</v>
      </c>
    </row>
    <row r="87" spans="1:102" s="198" customFormat="1" ht="27" customHeight="1">
      <c r="A87" s="181">
        <v>80</v>
      </c>
      <c r="B87" s="117">
        <v>149</v>
      </c>
      <c r="C87" s="118" t="s">
        <v>396</v>
      </c>
      <c r="D87" s="69" t="s">
        <v>397</v>
      </c>
      <c r="E87" s="69" t="s">
        <v>398</v>
      </c>
      <c r="F87" s="98" t="s">
        <v>399</v>
      </c>
      <c r="G87" s="148">
        <v>0</v>
      </c>
      <c r="H87" s="152">
        <v>0</v>
      </c>
      <c r="I87" s="151">
        <f t="shared" si="48"/>
        <v>0</v>
      </c>
      <c r="J87" s="148">
        <v>0</v>
      </c>
      <c r="K87" s="151">
        <f t="shared" si="80"/>
        <v>0</v>
      </c>
      <c r="L87" s="148">
        <v>0</v>
      </c>
      <c r="M87" s="152">
        <v>0</v>
      </c>
      <c r="N87" s="151">
        <f t="shared" si="49"/>
        <v>0</v>
      </c>
      <c r="O87" s="152">
        <v>0</v>
      </c>
      <c r="P87" s="151">
        <f t="shared" si="50"/>
        <v>0</v>
      </c>
      <c r="Q87" s="151">
        <f t="shared" si="51"/>
        <v>0</v>
      </c>
      <c r="R87" s="291"/>
      <c r="S87" s="152" t="str">
        <f t="shared" si="11"/>
        <v>F</v>
      </c>
      <c r="T87" s="148">
        <v>0</v>
      </c>
      <c r="U87" s="151">
        <v>0</v>
      </c>
      <c r="V87" s="151">
        <f t="shared" si="52"/>
        <v>0</v>
      </c>
      <c r="W87" s="148">
        <v>0</v>
      </c>
      <c r="X87" s="151">
        <v>0</v>
      </c>
      <c r="Y87" s="151">
        <f t="shared" si="53"/>
        <v>0</v>
      </c>
      <c r="Z87" s="151">
        <f t="shared" si="54"/>
        <v>0</v>
      </c>
      <c r="AA87" s="291"/>
      <c r="AB87" s="152" t="str">
        <f t="shared" si="0"/>
        <v>F</v>
      </c>
      <c r="AC87" s="148">
        <v>0</v>
      </c>
      <c r="AD87" s="152">
        <v>0</v>
      </c>
      <c r="AE87" s="151">
        <f t="shared" si="55"/>
        <v>0</v>
      </c>
      <c r="AF87" s="152">
        <v>0</v>
      </c>
      <c r="AG87" s="151">
        <f t="shared" si="56"/>
        <v>0</v>
      </c>
      <c r="AH87" s="291"/>
      <c r="AI87" s="152" t="str">
        <f t="shared" si="43"/>
        <v>F</v>
      </c>
      <c r="AJ87" s="148">
        <v>0</v>
      </c>
      <c r="AK87" s="152">
        <v>0</v>
      </c>
      <c r="AL87" s="151">
        <f t="shared" si="57"/>
        <v>0</v>
      </c>
      <c r="AM87" s="152">
        <v>0</v>
      </c>
      <c r="AN87" s="151">
        <f t="shared" si="58"/>
        <v>0</v>
      </c>
      <c r="AO87" s="291"/>
      <c r="AP87" s="152" t="str">
        <f t="shared" si="44"/>
        <v>F</v>
      </c>
      <c r="AQ87" s="148"/>
      <c r="AR87" s="152">
        <v>0</v>
      </c>
      <c r="AS87" s="152">
        <v>0</v>
      </c>
      <c r="AT87" s="152">
        <f t="shared" si="79"/>
        <v>0</v>
      </c>
      <c r="AU87" s="294"/>
      <c r="AV87" s="152" t="str">
        <f t="shared" si="20"/>
        <v>F</v>
      </c>
      <c r="AW87" s="148">
        <v>0</v>
      </c>
      <c r="AX87" s="152">
        <v>0</v>
      </c>
      <c r="AY87" s="151">
        <f t="shared" si="59"/>
        <v>0</v>
      </c>
      <c r="AZ87" s="152">
        <v>0</v>
      </c>
      <c r="BA87" s="151">
        <f t="shared" si="60"/>
        <v>0</v>
      </c>
      <c r="BB87" s="291"/>
      <c r="BC87" s="152" t="str">
        <f t="shared" si="23"/>
        <v>F</v>
      </c>
      <c r="BD87" s="148">
        <v>0</v>
      </c>
      <c r="BE87" s="152">
        <v>0</v>
      </c>
      <c r="BF87" s="151">
        <f t="shared" si="61"/>
        <v>0</v>
      </c>
      <c r="BG87" s="152">
        <v>0</v>
      </c>
      <c r="BH87" s="152">
        <v>25</v>
      </c>
      <c r="BI87" s="151">
        <f t="shared" si="62"/>
        <v>25</v>
      </c>
      <c r="BJ87" s="294"/>
      <c r="BK87" s="152" t="str">
        <f t="shared" si="3"/>
        <v>F</v>
      </c>
      <c r="BL87" s="148">
        <v>0</v>
      </c>
      <c r="BM87" s="152">
        <v>0</v>
      </c>
      <c r="BN87" s="151">
        <f t="shared" si="63"/>
        <v>0</v>
      </c>
      <c r="BO87" s="152">
        <v>0</v>
      </c>
      <c r="BP87" s="152">
        <v>0</v>
      </c>
      <c r="BQ87" s="151">
        <f t="shared" si="64"/>
        <v>0</v>
      </c>
      <c r="BR87" s="291"/>
      <c r="BS87" s="152" t="str">
        <f t="shared" si="65"/>
        <v>F</v>
      </c>
      <c r="BT87" s="148">
        <v>0</v>
      </c>
      <c r="BU87" s="152">
        <v>0</v>
      </c>
      <c r="BV87" s="151">
        <f t="shared" si="66"/>
        <v>0</v>
      </c>
      <c r="BW87" s="152">
        <v>0</v>
      </c>
      <c r="BX87" s="152">
        <v>0</v>
      </c>
      <c r="BY87" s="151">
        <f t="shared" si="67"/>
        <v>0</v>
      </c>
      <c r="BZ87" s="294"/>
      <c r="CA87" s="152" t="str">
        <f t="shared" si="68"/>
        <v>F</v>
      </c>
      <c r="CB87" s="148"/>
      <c r="CC87" s="152"/>
      <c r="CD87" s="151">
        <f t="shared" si="69"/>
        <v>0</v>
      </c>
      <c r="CE87" s="152"/>
      <c r="CF87" s="152"/>
      <c r="CG87" s="151">
        <f t="shared" si="70"/>
        <v>0</v>
      </c>
      <c r="CH87" s="291"/>
      <c r="CI87" s="164" t="str">
        <f t="shared" si="71"/>
        <v>0</v>
      </c>
      <c r="CJ87" s="152" t="str">
        <f t="shared" si="45"/>
        <v>F</v>
      </c>
      <c r="CK87" s="165" t="str">
        <f t="shared" si="72"/>
        <v>F</v>
      </c>
      <c r="CL87" s="165" t="str">
        <f t="shared" si="73"/>
        <v>F</v>
      </c>
      <c r="CM87" s="37" t="str">
        <f t="shared" si="46"/>
        <v>NEED TO PROGRESS</v>
      </c>
      <c r="CN87" s="217">
        <f t="shared" si="47"/>
        <v>25</v>
      </c>
      <c r="CO87" s="37"/>
      <c r="CP87" s="40"/>
      <c r="CQ87" s="215">
        <f>'1ST_SEMESTER'!CN87</f>
        <v>92</v>
      </c>
      <c r="CR87" s="215">
        <f>'2ND_SEMESTER'!CN87</f>
        <v>664.70399999999995</v>
      </c>
      <c r="CS87" s="215">
        <f t="shared" si="74"/>
        <v>25</v>
      </c>
      <c r="CT87" s="215">
        <f t="shared" si="75"/>
        <v>260.56799999999998</v>
      </c>
      <c r="CU87" s="226" t="str">
        <f>'1ST_SEMESTER'!CK87</f>
        <v>F</v>
      </c>
      <c r="CV87" s="226" t="str">
        <f>'2ND_SEMESTER'!CK87</f>
        <v>F</v>
      </c>
      <c r="CW87" s="226" t="str">
        <f t="shared" si="76"/>
        <v>F</v>
      </c>
      <c r="CX87" s="226" t="e">
        <f t="shared" si="77"/>
        <v>#DIV/0!</v>
      </c>
    </row>
    <row r="88" spans="1:102" s="198" customFormat="1" ht="27" customHeight="1">
      <c r="A88" s="181">
        <v>81</v>
      </c>
      <c r="B88" s="117">
        <v>150</v>
      </c>
      <c r="C88" s="118" t="s">
        <v>63</v>
      </c>
      <c r="D88" s="69" t="s">
        <v>400</v>
      </c>
      <c r="E88" s="69" t="s">
        <v>401</v>
      </c>
      <c r="F88" s="98" t="s">
        <v>402</v>
      </c>
      <c r="G88" s="148">
        <v>20</v>
      </c>
      <c r="H88" s="152">
        <v>43</v>
      </c>
      <c r="I88" s="151">
        <f t="shared" si="48"/>
        <v>63</v>
      </c>
      <c r="J88" s="148">
        <v>19</v>
      </c>
      <c r="K88" s="151">
        <f t="shared" si="80"/>
        <v>82</v>
      </c>
      <c r="L88" s="148">
        <v>20</v>
      </c>
      <c r="M88" s="152">
        <v>41</v>
      </c>
      <c r="N88" s="151">
        <f t="shared" si="49"/>
        <v>61</v>
      </c>
      <c r="O88" s="152">
        <v>16</v>
      </c>
      <c r="P88" s="151">
        <f t="shared" si="50"/>
        <v>77</v>
      </c>
      <c r="Q88" s="151">
        <f t="shared" si="51"/>
        <v>159</v>
      </c>
      <c r="R88" s="291"/>
      <c r="S88" s="152">
        <f t="shared" si="11"/>
        <v>4</v>
      </c>
      <c r="T88" s="148">
        <v>18</v>
      </c>
      <c r="U88" s="151">
        <v>50</v>
      </c>
      <c r="V88" s="151">
        <f t="shared" si="52"/>
        <v>68</v>
      </c>
      <c r="W88" s="148">
        <v>14</v>
      </c>
      <c r="X88" s="151">
        <v>26</v>
      </c>
      <c r="Y88" s="151">
        <f t="shared" si="53"/>
        <v>40</v>
      </c>
      <c r="Z88" s="151">
        <f t="shared" si="54"/>
        <v>108</v>
      </c>
      <c r="AA88" s="291"/>
      <c r="AB88" s="152">
        <f t="shared" si="0"/>
        <v>3</v>
      </c>
      <c r="AC88" s="148">
        <v>17</v>
      </c>
      <c r="AD88" s="152">
        <v>23</v>
      </c>
      <c r="AE88" s="151">
        <f t="shared" si="55"/>
        <v>40</v>
      </c>
      <c r="AF88" s="152">
        <v>12</v>
      </c>
      <c r="AG88" s="151">
        <f t="shared" si="56"/>
        <v>52</v>
      </c>
      <c r="AH88" s="291"/>
      <c r="AI88" s="152">
        <f t="shared" si="43"/>
        <v>3</v>
      </c>
      <c r="AJ88" s="148">
        <v>20</v>
      </c>
      <c r="AK88" s="152">
        <v>47</v>
      </c>
      <c r="AL88" s="151">
        <f t="shared" si="57"/>
        <v>67</v>
      </c>
      <c r="AM88" s="152">
        <v>19</v>
      </c>
      <c r="AN88" s="151">
        <f t="shared" si="58"/>
        <v>86</v>
      </c>
      <c r="AO88" s="291"/>
      <c r="AP88" s="152">
        <f t="shared" si="44"/>
        <v>5</v>
      </c>
      <c r="AQ88" s="148"/>
      <c r="AR88" s="152">
        <v>20</v>
      </c>
      <c r="AS88" s="152">
        <v>22</v>
      </c>
      <c r="AT88" s="152">
        <f t="shared" si="79"/>
        <v>42</v>
      </c>
      <c r="AU88" s="294"/>
      <c r="AV88" s="152">
        <f t="shared" si="20"/>
        <v>5</v>
      </c>
      <c r="AW88" s="148">
        <v>12</v>
      </c>
      <c r="AX88" s="152">
        <v>21</v>
      </c>
      <c r="AY88" s="151">
        <f t="shared" si="59"/>
        <v>33</v>
      </c>
      <c r="AZ88" s="152">
        <v>21</v>
      </c>
      <c r="BA88" s="151">
        <f t="shared" si="60"/>
        <v>54</v>
      </c>
      <c r="BB88" s="291"/>
      <c r="BC88" s="152">
        <f t="shared" si="23"/>
        <v>3</v>
      </c>
      <c r="BD88" s="148">
        <v>6</v>
      </c>
      <c r="BE88" s="152">
        <v>16</v>
      </c>
      <c r="BF88" s="151">
        <f t="shared" si="61"/>
        <v>22</v>
      </c>
      <c r="BG88" s="152">
        <v>10</v>
      </c>
      <c r="BH88" s="152">
        <v>25</v>
      </c>
      <c r="BI88" s="151">
        <f t="shared" si="62"/>
        <v>57</v>
      </c>
      <c r="BJ88" s="294"/>
      <c r="BK88" s="152">
        <f t="shared" si="3"/>
        <v>3</v>
      </c>
      <c r="BL88" s="148">
        <v>7</v>
      </c>
      <c r="BM88" s="152">
        <v>14</v>
      </c>
      <c r="BN88" s="151">
        <f t="shared" si="63"/>
        <v>21</v>
      </c>
      <c r="BO88" s="152">
        <v>17</v>
      </c>
      <c r="BP88" s="152">
        <v>25</v>
      </c>
      <c r="BQ88" s="151">
        <f t="shared" si="64"/>
        <v>63</v>
      </c>
      <c r="BR88" s="291"/>
      <c r="BS88" s="152">
        <f t="shared" si="65"/>
        <v>3.5</v>
      </c>
      <c r="BT88" s="148">
        <v>7</v>
      </c>
      <c r="BU88" s="152">
        <v>30</v>
      </c>
      <c r="BV88" s="151">
        <f t="shared" si="66"/>
        <v>37</v>
      </c>
      <c r="BW88" s="152">
        <v>16</v>
      </c>
      <c r="BX88" s="152">
        <v>25</v>
      </c>
      <c r="BY88" s="151">
        <f t="shared" si="67"/>
        <v>78</v>
      </c>
      <c r="BZ88" s="294"/>
      <c r="CA88" s="152">
        <f t="shared" si="68"/>
        <v>4</v>
      </c>
      <c r="CB88" s="148">
        <v>6</v>
      </c>
      <c r="CC88" s="152">
        <v>3</v>
      </c>
      <c r="CD88" s="151">
        <f t="shared" si="69"/>
        <v>9</v>
      </c>
      <c r="CE88" s="152">
        <v>12</v>
      </c>
      <c r="CF88" s="152">
        <v>25</v>
      </c>
      <c r="CG88" s="151">
        <f t="shared" si="70"/>
        <v>46</v>
      </c>
      <c r="CH88" s="291"/>
      <c r="CI88" s="164" t="str">
        <f t="shared" si="71"/>
        <v>0</v>
      </c>
      <c r="CJ88" s="152">
        <f t="shared" si="45"/>
        <v>31.5</v>
      </c>
      <c r="CK88" s="165">
        <f t="shared" si="72"/>
        <v>3.5</v>
      </c>
      <c r="CL88" s="165" t="str">
        <f t="shared" si="73"/>
        <v>A-</v>
      </c>
      <c r="CM88" s="37" t="str">
        <f t="shared" si="46"/>
        <v>GOOD</v>
      </c>
      <c r="CN88" s="217">
        <f t="shared" si="47"/>
        <v>745</v>
      </c>
      <c r="CO88" s="37"/>
      <c r="CP88" s="40"/>
      <c r="CQ88" s="215">
        <f>'1ST_SEMESTER'!CN88</f>
        <v>0</v>
      </c>
      <c r="CR88" s="215">
        <f>'2ND_SEMESTER'!CN88</f>
        <v>662.27600000000007</v>
      </c>
      <c r="CS88" s="215">
        <f t="shared" si="74"/>
        <v>745</v>
      </c>
      <c r="CT88" s="215">
        <f t="shared" si="75"/>
        <v>469.09200000000004</v>
      </c>
      <c r="CU88" s="226" t="str">
        <f>'1ST_SEMESTER'!CK88</f>
        <v>F</v>
      </c>
      <c r="CV88" s="226">
        <f>'2ND_SEMESTER'!CK88</f>
        <v>3.1666666666666665</v>
      </c>
      <c r="CW88" s="226">
        <f t="shared" si="76"/>
        <v>3.5</v>
      </c>
      <c r="CX88" s="226">
        <f t="shared" si="77"/>
        <v>3.333333333333333</v>
      </c>
    </row>
    <row r="89" spans="1:102" s="198" customFormat="1" ht="27" customHeight="1">
      <c r="A89" s="181">
        <v>82</v>
      </c>
      <c r="B89" s="117">
        <v>151</v>
      </c>
      <c r="C89" s="118" t="s">
        <v>403</v>
      </c>
      <c r="D89" s="69" t="s">
        <v>404</v>
      </c>
      <c r="E89" s="69" t="s">
        <v>405</v>
      </c>
      <c r="F89" s="98" t="s">
        <v>406</v>
      </c>
      <c r="G89" s="148">
        <v>20</v>
      </c>
      <c r="H89" s="152">
        <v>38</v>
      </c>
      <c r="I89" s="151">
        <f t="shared" si="48"/>
        <v>58</v>
      </c>
      <c r="J89" s="148">
        <v>24</v>
      </c>
      <c r="K89" s="151">
        <f t="shared" si="80"/>
        <v>82</v>
      </c>
      <c r="L89" s="148">
        <v>20</v>
      </c>
      <c r="M89" s="152">
        <v>40</v>
      </c>
      <c r="N89" s="151">
        <f t="shared" si="49"/>
        <v>60</v>
      </c>
      <c r="O89" s="152">
        <v>22</v>
      </c>
      <c r="P89" s="151">
        <f t="shared" si="50"/>
        <v>82</v>
      </c>
      <c r="Q89" s="151">
        <f t="shared" si="51"/>
        <v>164</v>
      </c>
      <c r="R89" s="291"/>
      <c r="S89" s="152">
        <f t="shared" si="11"/>
        <v>5</v>
      </c>
      <c r="T89" s="148">
        <v>16</v>
      </c>
      <c r="U89" s="151">
        <v>48</v>
      </c>
      <c r="V89" s="151">
        <f t="shared" si="52"/>
        <v>64</v>
      </c>
      <c r="W89" s="148">
        <v>13</v>
      </c>
      <c r="X89" s="151">
        <v>17</v>
      </c>
      <c r="Y89" s="151">
        <f t="shared" si="53"/>
        <v>30</v>
      </c>
      <c r="Z89" s="151">
        <f t="shared" si="54"/>
        <v>94</v>
      </c>
      <c r="AA89" s="291"/>
      <c r="AB89" s="152">
        <f t="shared" si="0"/>
        <v>2</v>
      </c>
      <c r="AC89" s="148">
        <v>17</v>
      </c>
      <c r="AD89" s="152">
        <v>25</v>
      </c>
      <c r="AE89" s="151">
        <f t="shared" si="55"/>
        <v>42</v>
      </c>
      <c r="AF89" s="152">
        <v>18</v>
      </c>
      <c r="AG89" s="151">
        <f t="shared" si="56"/>
        <v>60</v>
      </c>
      <c r="AH89" s="291"/>
      <c r="AI89" s="152">
        <f t="shared" si="43"/>
        <v>3.5</v>
      </c>
      <c r="AJ89" s="148">
        <v>19</v>
      </c>
      <c r="AK89" s="152">
        <v>46</v>
      </c>
      <c r="AL89" s="151">
        <f t="shared" si="57"/>
        <v>65</v>
      </c>
      <c r="AM89" s="152">
        <v>18</v>
      </c>
      <c r="AN89" s="151">
        <f t="shared" si="58"/>
        <v>83</v>
      </c>
      <c r="AO89" s="291"/>
      <c r="AP89" s="152">
        <f t="shared" si="44"/>
        <v>5</v>
      </c>
      <c r="AQ89" s="148"/>
      <c r="AR89" s="152">
        <v>21</v>
      </c>
      <c r="AS89" s="152">
        <v>22</v>
      </c>
      <c r="AT89" s="152">
        <f t="shared" si="79"/>
        <v>43</v>
      </c>
      <c r="AU89" s="294"/>
      <c r="AV89" s="152">
        <f t="shared" si="20"/>
        <v>5</v>
      </c>
      <c r="AW89" s="148">
        <v>17</v>
      </c>
      <c r="AX89" s="152">
        <v>27</v>
      </c>
      <c r="AY89" s="151">
        <f t="shared" si="59"/>
        <v>44</v>
      </c>
      <c r="AZ89" s="152">
        <v>19</v>
      </c>
      <c r="BA89" s="151">
        <f t="shared" si="60"/>
        <v>63</v>
      </c>
      <c r="BB89" s="291"/>
      <c r="BC89" s="152">
        <f t="shared" si="23"/>
        <v>3.5</v>
      </c>
      <c r="BD89" s="148">
        <v>6</v>
      </c>
      <c r="BE89" s="152">
        <v>16</v>
      </c>
      <c r="BF89" s="151">
        <f t="shared" si="61"/>
        <v>22</v>
      </c>
      <c r="BG89" s="152">
        <v>11</v>
      </c>
      <c r="BH89" s="152">
        <v>25</v>
      </c>
      <c r="BI89" s="151">
        <f t="shared" si="62"/>
        <v>58</v>
      </c>
      <c r="BJ89" s="294"/>
      <c r="BK89" s="152">
        <f t="shared" si="3"/>
        <v>3</v>
      </c>
      <c r="BL89" s="148">
        <v>9</v>
      </c>
      <c r="BM89" s="152">
        <v>16</v>
      </c>
      <c r="BN89" s="151">
        <f t="shared" si="63"/>
        <v>25</v>
      </c>
      <c r="BO89" s="152">
        <v>16</v>
      </c>
      <c r="BP89" s="152">
        <v>25</v>
      </c>
      <c r="BQ89" s="151">
        <f t="shared" si="64"/>
        <v>66</v>
      </c>
      <c r="BR89" s="291"/>
      <c r="BS89" s="152">
        <f t="shared" si="65"/>
        <v>3.5</v>
      </c>
      <c r="BT89" s="148">
        <v>9</v>
      </c>
      <c r="BU89" s="152">
        <v>29</v>
      </c>
      <c r="BV89" s="151">
        <f t="shared" si="66"/>
        <v>38</v>
      </c>
      <c r="BW89" s="152">
        <v>15</v>
      </c>
      <c r="BX89" s="152">
        <v>25</v>
      </c>
      <c r="BY89" s="151">
        <f t="shared" si="67"/>
        <v>78</v>
      </c>
      <c r="BZ89" s="294"/>
      <c r="CA89" s="152">
        <f t="shared" si="68"/>
        <v>4</v>
      </c>
      <c r="CB89" s="148">
        <v>7</v>
      </c>
      <c r="CC89" s="152">
        <v>13</v>
      </c>
      <c r="CD89" s="151">
        <f t="shared" si="69"/>
        <v>20</v>
      </c>
      <c r="CE89" s="152">
        <v>11</v>
      </c>
      <c r="CF89" s="152">
        <v>24</v>
      </c>
      <c r="CG89" s="151">
        <f t="shared" si="70"/>
        <v>55</v>
      </c>
      <c r="CH89" s="291"/>
      <c r="CI89" s="164">
        <f t="shared" si="71"/>
        <v>3</v>
      </c>
      <c r="CJ89" s="152">
        <f t="shared" si="45"/>
        <v>35.5</v>
      </c>
      <c r="CK89" s="165">
        <f t="shared" si="72"/>
        <v>3.9444444444444446</v>
      </c>
      <c r="CL89" s="165" t="str">
        <f t="shared" si="73"/>
        <v>A-</v>
      </c>
      <c r="CM89" s="37" t="str">
        <f t="shared" si="46"/>
        <v>GOOD</v>
      </c>
      <c r="CN89" s="217">
        <f t="shared" si="47"/>
        <v>764</v>
      </c>
      <c r="CO89" s="37"/>
      <c r="CP89" s="40"/>
      <c r="CQ89" s="215">
        <f>'1ST_SEMESTER'!CN89</f>
        <v>0</v>
      </c>
      <c r="CR89" s="215">
        <f>'2ND_SEMESTER'!CN89</f>
        <v>489.84800000000001</v>
      </c>
      <c r="CS89" s="215">
        <f t="shared" si="74"/>
        <v>764</v>
      </c>
      <c r="CT89" s="215">
        <f t="shared" si="75"/>
        <v>417.9493333333333</v>
      </c>
      <c r="CU89" s="226" t="str">
        <f>'1ST_SEMESTER'!CK89</f>
        <v>F</v>
      </c>
      <c r="CV89" s="226" t="str">
        <f>'2ND_SEMESTER'!CK89</f>
        <v>F</v>
      </c>
      <c r="CW89" s="226">
        <f t="shared" si="76"/>
        <v>3.9444444444444446</v>
      </c>
      <c r="CX89" s="226">
        <f t="shared" si="77"/>
        <v>3.9444444444444446</v>
      </c>
    </row>
    <row r="90" spans="1:102" s="198" customFormat="1" ht="27" customHeight="1">
      <c r="A90" s="181">
        <v>83</v>
      </c>
      <c r="B90" s="117">
        <v>153</v>
      </c>
      <c r="C90" s="118" t="s">
        <v>407</v>
      </c>
      <c r="D90" s="69"/>
      <c r="E90" s="69"/>
      <c r="F90" s="98"/>
      <c r="G90" s="148">
        <v>20</v>
      </c>
      <c r="H90" s="152">
        <v>37</v>
      </c>
      <c r="I90" s="151">
        <f t="shared" si="48"/>
        <v>57</v>
      </c>
      <c r="J90" s="148">
        <v>24</v>
      </c>
      <c r="K90" s="151">
        <f t="shared" si="80"/>
        <v>81</v>
      </c>
      <c r="L90" s="148">
        <v>20</v>
      </c>
      <c r="M90" s="152">
        <v>36</v>
      </c>
      <c r="N90" s="151">
        <f t="shared" si="49"/>
        <v>56</v>
      </c>
      <c r="O90" s="152">
        <v>21</v>
      </c>
      <c r="P90" s="151">
        <f t="shared" si="50"/>
        <v>77</v>
      </c>
      <c r="Q90" s="151">
        <f t="shared" si="51"/>
        <v>158</v>
      </c>
      <c r="R90" s="291"/>
      <c r="S90" s="152">
        <f t="shared" si="11"/>
        <v>4</v>
      </c>
      <c r="T90" s="148">
        <v>19</v>
      </c>
      <c r="U90" s="151">
        <v>61</v>
      </c>
      <c r="V90" s="151">
        <f t="shared" si="52"/>
        <v>80</v>
      </c>
      <c r="W90" s="148">
        <v>18</v>
      </c>
      <c r="X90" s="151">
        <v>66</v>
      </c>
      <c r="Y90" s="151">
        <f t="shared" si="53"/>
        <v>84</v>
      </c>
      <c r="Z90" s="151">
        <f t="shared" si="54"/>
        <v>164</v>
      </c>
      <c r="AA90" s="291"/>
      <c r="AB90" s="152">
        <f t="shared" si="0"/>
        <v>5</v>
      </c>
      <c r="AC90" s="148">
        <v>20</v>
      </c>
      <c r="AD90" s="152">
        <v>29</v>
      </c>
      <c r="AE90" s="151">
        <f t="shared" si="55"/>
        <v>49</v>
      </c>
      <c r="AF90" s="152">
        <v>21</v>
      </c>
      <c r="AG90" s="151">
        <f t="shared" si="56"/>
        <v>70</v>
      </c>
      <c r="AH90" s="291"/>
      <c r="AI90" s="152">
        <f t="shared" si="43"/>
        <v>4</v>
      </c>
      <c r="AJ90" s="148">
        <v>20</v>
      </c>
      <c r="AK90" s="152">
        <v>42</v>
      </c>
      <c r="AL90" s="151">
        <f t="shared" si="57"/>
        <v>62</v>
      </c>
      <c r="AM90" s="152">
        <v>21</v>
      </c>
      <c r="AN90" s="151">
        <f t="shared" si="58"/>
        <v>83</v>
      </c>
      <c r="AO90" s="291"/>
      <c r="AP90" s="152">
        <f t="shared" si="44"/>
        <v>5</v>
      </c>
      <c r="AQ90" s="148"/>
      <c r="AR90" s="152">
        <v>20</v>
      </c>
      <c r="AS90" s="152">
        <v>22</v>
      </c>
      <c r="AT90" s="152">
        <f t="shared" si="79"/>
        <v>42</v>
      </c>
      <c r="AU90" s="294"/>
      <c r="AV90" s="152">
        <f t="shared" si="20"/>
        <v>5</v>
      </c>
      <c r="AW90" s="148">
        <v>15</v>
      </c>
      <c r="AX90" s="152">
        <v>39</v>
      </c>
      <c r="AY90" s="151">
        <f t="shared" si="59"/>
        <v>54</v>
      </c>
      <c r="AZ90" s="152">
        <v>21</v>
      </c>
      <c r="BA90" s="151">
        <f t="shared" si="60"/>
        <v>75</v>
      </c>
      <c r="BB90" s="291"/>
      <c r="BC90" s="152">
        <f t="shared" si="23"/>
        <v>4</v>
      </c>
      <c r="BD90" s="148">
        <v>8</v>
      </c>
      <c r="BE90" s="152">
        <v>30</v>
      </c>
      <c r="BF90" s="151">
        <f t="shared" si="61"/>
        <v>38</v>
      </c>
      <c r="BG90" s="152">
        <v>20</v>
      </c>
      <c r="BH90" s="152">
        <v>25</v>
      </c>
      <c r="BI90" s="151">
        <f t="shared" si="62"/>
        <v>83</v>
      </c>
      <c r="BJ90" s="294"/>
      <c r="BK90" s="152">
        <f t="shared" si="3"/>
        <v>5</v>
      </c>
      <c r="BL90" s="148">
        <v>10</v>
      </c>
      <c r="BM90" s="152">
        <v>33</v>
      </c>
      <c r="BN90" s="151">
        <f t="shared" si="63"/>
        <v>43</v>
      </c>
      <c r="BO90" s="152">
        <v>20</v>
      </c>
      <c r="BP90" s="152">
        <v>25</v>
      </c>
      <c r="BQ90" s="151">
        <f t="shared" si="64"/>
        <v>88</v>
      </c>
      <c r="BR90" s="291"/>
      <c r="BS90" s="152">
        <f t="shared" si="65"/>
        <v>5</v>
      </c>
      <c r="BT90" s="148">
        <v>9</v>
      </c>
      <c r="BU90" s="152">
        <v>38</v>
      </c>
      <c r="BV90" s="151">
        <f t="shared" si="66"/>
        <v>47</v>
      </c>
      <c r="BW90" s="152">
        <v>20</v>
      </c>
      <c r="BX90" s="152">
        <v>25</v>
      </c>
      <c r="BY90" s="151">
        <f t="shared" si="67"/>
        <v>92</v>
      </c>
      <c r="BZ90" s="294"/>
      <c r="CA90" s="152">
        <f t="shared" si="68"/>
        <v>5</v>
      </c>
      <c r="CB90" s="148">
        <v>9</v>
      </c>
      <c r="CC90" s="152">
        <v>38</v>
      </c>
      <c r="CD90" s="151">
        <f t="shared" si="69"/>
        <v>47</v>
      </c>
      <c r="CE90" s="152">
        <v>17</v>
      </c>
      <c r="CF90" s="152">
        <v>23</v>
      </c>
      <c r="CG90" s="151">
        <f t="shared" si="70"/>
        <v>87</v>
      </c>
      <c r="CH90" s="291"/>
      <c r="CI90" s="164">
        <f t="shared" si="71"/>
        <v>5</v>
      </c>
      <c r="CJ90" s="152">
        <f t="shared" si="45"/>
        <v>45</v>
      </c>
      <c r="CK90" s="165">
        <f t="shared" si="72"/>
        <v>5</v>
      </c>
      <c r="CL90" s="165" t="str">
        <f t="shared" si="73"/>
        <v>A+</v>
      </c>
      <c r="CM90" s="37" t="str">
        <f t="shared" si="46"/>
        <v>BEST</v>
      </c>
      <c r="CN90" s="217">
        <f t="shared" si="47"/>
        <v>942</v>
      </c>
      <c r="CO90" s="37"/>
      <c r="CP90" s="40"/>
      <c r="CQ90" s="215">
        <f>'1ST_SEMESTER'!CN90</f>
        <v>0</v>
      </c>
      <c r="CR90" s="215">
        <f>'2ND_SEMESTER'!CN90</f>
        <v>688.56200000000001</v>
      </c>
      <c r="CS90" s="215">
        <f t="shared" si="74"/>
        <v>942</v>
      </c>
      <c r="CT90" s="215">
        <f t="shared" si="75"/>
        <v>543.52066666666667</v>
      </c>
      <c r="CU90" s="226" t="str">
        <f>'1ST_SEMESTER'!CK90</f>
        <v>F</v>
      </c>
      <c r="CV90" s="226" t="str">
        <f>'2ND_SEMESTER'!CK90</f>
        <v>F</v>
      </c>
      <c r="CW90" s="226">
        <f t="shared" si="76"/>
        <v>5</v>
      </c>
      <c r="CX90" s="226">
        <f t="shared" si="77"/>
        <v>5</v>
      </c>
    </row>
    <row r="91" spans="1:102" s="198" customFormat="1" ht="27" customHeight="1">
      <c r="A91" s="181">
        <v>84</v>
      </c>
      <c r="B91" s="117">
        <v>154</v>
      </c>
      <c r="C91" s="118" t="s">
        <v>408</v>
      </c>
      <c r="D91" s="69"/>
      <c r="E91" s="69"/>
      <c r="F91" s="98"/>
      <c r="G91" s="148">
        <v>20</v>
      </c>
      <c r="H91" s="152">
        <v>34</v>
      </c>
      <c r="I91" s="151">
        <f t="shared" si="48"/>
        <v>54</v>
      </c>
      <c r="J91" s="148">
        <v>19</v>
      </c>
      <c r="K91" s="151">
        <f t="shared" si="80"/>
        <v>73</v>
      </c>
      <c r="L91" s="148">
        <v>20</v>
      </c>
      <c r="M91" s="152">
        <v>41</v>
      </c>
      <c r="N91" s="151">
        <f t="shared" si="49"/>
        <v>61</v>
      </c>
      <c r="O91" s="152">
        <v>23</v>
      </c>
      <c r="P91" s="151">
        <f t="shared" si="50"/>
        <v>84</v>
      </c>
      <c r="Q91" s="151">
        <f t="shared" si="51"/>
        <v>157</v>
      </c>
      <c r="R91" s="291"/>
      <c r="S91" s="152">
        <f t="shared" si="11"/>
        <v>4</v>
      </c>
      <c r="T91" s="148">
        <v>17</v>
      </c>
      <c r="U91" s="151">
        <v>53</v>
      </c>
      <c r="V91" s="151">
        <f t="shared" si="52"/>
        <v>70</v>
      </c>
      <c r="W91" s="148">
        <v>19</v>
      </c>
      <c r="X91" s="151">
        <v>51</v>
      </c>
      <c r="Y91" s="151">
        <f t="shared" si="53"/>
        <v>70</v>
      </c>
      <c r="Z91" s="151">
        <f t="shared" si="54"/>
        <v>140</v>
      </c>
      <c r="AA91" s="291"/>
      <c r="AB91" s="152">
        <f t="shared" si="0"/>
        <v>4</v>
      </c>
      <c r="AC91" s="148">
        <v>17</v>
      </c>
      <c r="AD91" s="152">
        <v>23</v>
      </c>
      <c r="AE91" s="151">
        <f t="shared" si="55"/>
        <v>40</v>
      </c>
      <c r="AF91" s="152">
        <v>15</v>
      </c>
      <c r="AG91" s="151">
        <f t="shared" si="56"/>
        <v>55</v>
      </c>
      <c r="AH91" s="291"/>
      <c r="AI91" s="152">
        <f t="shared" si="43"/>
        <v>3</v>
      </c>
      <c r="AJ91" s="148">
        <v>20</v>
      </c>
      <c r="AK91" s="152">
        <v>44</v>
      </c>
      <c r="AL91" s="151">
        <f t="shared" si="57"/>
        <v>64</v>
      </c>
      <c r="AM91" s="152">
        <v>21</v>
      </c>
      <c r="AN91" s="151">
        <f t="shared" si="58"/>
        <v>85</v>
      </c>
      <c r="AO91" s="291"/>
      <c r="AP91" s="152">
        <f t="shared" si="44"/>
        <v>5</v>
      </c>
      <c r="AQ91" s="148"/>
      <c r="AR91" s="152">
        <v>13</v>
      </c>
      <c r="AS91" s="152">
        <v>22</v>
      </c>
      <c r="AT91" s="152">
        <f t="shared" si="79"/>
        <v>35</v>
      </c>
      <c r="AU91" s="294"/>
      <c r="AV91" s="152">
        <f t="shared" si="20"/>
        <v>4</v>
      </c>
      <c r="AW91" s="148">
        <v>13</v>
      </c>
      <c r="AX91" s="152">
        <v>20</v>
      </c>
      <c r="AY91" s="151">
        <f t="shared" si="59"/>
        <v>33</v>
      </c>
      <c r="AZ91" s="152">
        <v>13</v>
      </c>
      <c r="BA91" s="151">
        <f t="shared" si="60"/>
        <v>46</v>
      </c>
      <c r="BB91" s="291"/>
      <c r="BC91" s="152">
        <f t="shared" si="23"/>
        <v>2</v>
      </c>
      <c r="BD91" s="148">
        <v>6</v>
      </c>
      <c r="BE91" s="152">
        <v>14</v>
      </c>
      <c r="BF91" s="151">
        <f t="shared" si="61"/>
        <v>20</v>
      </c>
      <c r="BG91" s="152">
        <v>10</v>
      </c>
      <c r="BH91" s="152">
        <v>25</v>
      </c>
      <c r="BI91" s="151">
        <f t="shared" si="62"/>
        <v>55</v>
      </c>
      <c r="BJ91" s="294"/>
      <c r="BK91" s="152">
        <f t="shared" si="3"/>
        <v>3</v>
      </c>
      <c r="BL91" s="148">
        <v>9</v>
      </c>
      <c r="BM91" s="152">
        <v>24</v>
      </c>
      <c r="BN91" s="151">
        <f t="shared" si="63"/>
        <v>33</v>
      </c>
      <c r="BO91" s="152">
        <v>15</v>
      </c>
      <c r="BP91" s="152">
        <v>25</v>
      </c>
      <c r="BQ91" s="151">
        <f t="shared" si="64"/>
        <v>73</v>
      </c>
      <c r="BR91" s="291"/>
      <c r="BS91" s="152">
        <f t="shared" si="65"/>
        <v>4</v>
      </c>
      <c r="BT91" s="148">
        <v>9</v>
      </c>
      <c r="BU91" s="152">
        <v>31</v>
      </c>
      <c r="BV91" s="151">
        <f t="shared" si="66"/>
        <v>40</v>
      </c>
      <c r="BW91" s="152">
        <v>17</v>
      </c>
      <c r="BX91" s="152">
        <v>25</v>
      </c>
      <c r="BY91" s="151">
        <f t="shared" si="67"/>
        <v>82</v>
      </c>
      <c r="BZ91" s="294"/>
      <c r="CA91" s="152">
        <f t="shared" si="68"/>
        <v>5</v>
      </c>
      <c r="CB91" s="148">
        <v>6</v>
      </c>
      <c r="CC91" s="152">
        <v>26</v>
      </c>
      <c r="CD91" s="151">
        <f t="shared" si="69"/>
        <v>32</v>
      </c>
      <c r="CE91" s="152">
        <v>15</v>
      </c>
      <c r="CF91" s="152">
        <v>23</v>
      </c>
      <c r="CG91" s="151">
        <f t="shared" si="70"/>
        <v>70</v>
      </c>
      <c r="CH91" s="291"/>
      <c r="CI91" s="164">
        <f t="shared" si="71"/>
        <v>4</v>
      </c>
      <c r="CJ91" s="152">
        <f t="shared" si="45"/>
        <v>36</v>
      </c>
      <c r="CK91" s="165">
        <f t="shared" si="72"/>
        <v>4</v>
      </c>
      <c r="CL91" s="165" t="str">
        <f t="shared" si="73"/>
        <v>A</v>
      </c>
      <c r="CM91" s="37" t="str">
        <f t="shared" si="46"/>
        <v>BETTER</v>
      </c>
      <c r="CN91" s="217">
        <f t="shared" si="47"/>
        <v>798</v>
      </c>
      <c r="CO91" s="37"/>
      <c r="CP91" s="40"/>
      <c r="CQ91" s="215">
        <f>'1ST_SEMESTER'!CN91</f>
        <v>0</v>
      </c>
      <c r="CR91" s="215">
        <f>'2ND_SEMESTER'!CN91</f>
        <v>557.846</v>
      </c>
      <c r="CS91" s="215">
        <f t="shared" si="74"/>
        <v>798</v>
      </c>
      <c r="CT91" s="215">
        <f t="shared" si="75"/>
        <v>451.94866666666667</v>
      </c>
      <c r="CU91" s="226" t="str">
        <f>'1ST_SEMESTER'!CK91</f>
        <v>F</v>
      </c>
      <c r="CV91" s="226" t="str">
        <f>'2ND_SEMESTER'!CK91</f>
        <v>F</v>
      </c>
      <c r="CW91" s="226">
        <f t="shared" si="76"/>
        <v>4</v>
      </c>
      <c r="CX91" s="226">
        <f t="shared" si="77"/>
        <v>4</v>
      </c>
    </row>
    <row r="92" spans="1:102" s="198" customFormat="1" ht="27" customHeight="1">
      <c r="A92" s="181">
        <v>85</v>
      </c>
      <c r="B92" s="117">
        <v>156</v>
      </c>
      <c r="C92" s="118" t="s">
        <v>409</v>
      </c>
      <c r="D92" s="69"/>
      <c r="E92" s="69"/>
      <c r="F92" s="98"/>
      <c r="G92" s="148">
        <v>9</v>
      </c>
      <c r="H92" s="152">
        <v>0</v>
      </c>
      <c r="I92" s="151">
        <f t="shared" si="48"/>
        <v>9</v>
      </c>
      <c r="J92" s="148">
        <v>12</v>
      </c>
      <c r="K92" s="151">
        <f t="shared" si="80"/>
        <v>21</v>
      </c>
      <c r="L92" s="148">
        <v>19</v>
      </c>
      <c r="M92" s="152">
        <v>25</v>
      </c>
      <c r="N92" s="151">
        <f t="shared" si="49"/>
        <v>44</v>
      </c>
      <c r="O92" s="152">
        <v>17</v>
      </c>
      <c r="P92" s="151">
        <f t="shared" si="50"/>
        <v>61</v>
      </c>
      <c r="Q92" s="151">
        <f t="shared" si="51"/>
        <v>82</v>
      </c>
      <c r="R92" s="291"/>
      <c r="S92" s="152" t="str">
        <f t="shared" si="11"/>
        <v>F</v>
      </c>
      <c r="T92" s="148">
        <v>13</v>
      </c>
      <c r="U92" s="151">
        <v>27</v>
      </c>
      <c r="V92" s="151">
        <f t="shared" si="52"/>
        <v>40</v>
      </c>
      <c r="W92" s="148">
        <v>13</v>
      </c>
      <c r="X92" s="151">
        <v>32</v>
      </c>
      <c r="Y92" s="151">
        <f t="shared" si="53"/>
        <v>45</v>
      </c>
      <c r="Z92" s="151">
        <f t="shared" si="54"/>
        <v>85</v>
      </c>
      <c r="AA92" s="291"/>
      <c r="AB92" s="152">
        <f t="shared" si="0"/>
        <v>2</v>
      </c>
      <c r="AC92" s="148">
        <v>11</v>
      </c>
      <c r="AD92" s="152">
        <v>0</v>
      </c>
      <c r="AE92" s="151">
        <f t="shared" si="55"/>
        <v>11</v>
      </c>
      <c r="AF92" s="152">
        <v>12</v>
      </c>
      <c r="AG92" s="151">
        <f t="shared" si="56"/>
        <v>23</v>
      </c>
      <c r="AH92" s="291"/>
      <c r="AI92" s="152" t="str">
        <f t="shared" si="43"/>
        <v>F</v>
      </c>
      <c r="AJ92" s="148">
        <v>6</v>
      </c>
      <c r="AK92" s="152">
        <v>11</v>
      </c>
      <c r="AL92" s="151">
        <f t="shared" si="57"/>
        <v>17</v>
      </c>
      <c r="AM92" s="152">
        <v>21</v>
      </c>
      <c r="AN92" s="151">
        <f t="shared" si="58"/>
        <v>38</v>
      </c>
      <c r="AO92" s="291"/>
      <c r="AP92" s="152" t="str">
        <f t="shared" si="44"/>
        <v>F</v>
      </c>
      <c r="AQ92" s="148"/>
      <c r="AR92" s="152">
        <v>23</v>
      </c>
      <c r="AS92" s="152">
        <v>23</v>
      </c>
      <c r="AT92" s="152">
        <f t="shared" si="79"/>
        <v>46</v>
      </c>
      <c r="AU92" s="294"/>
      <c r="AV92" s="152">
        <f t="shared" si="20"/>
        <v>5</v>
      </c>
      <c r="AW92" s="148">
        <v>9</v>
      </c>
      <c r="AX92" s="152">
        <v>19</v>
      </c>
      <c r="AY92" s="151">
        <f t="shared" si="59"/>
        <v>28</v>
      </c>
      <c r="AZ92" s="152">
        <v>21</v>
      </c>
      <c r="BA92" s="151">
        <f t="shared" si="60"/>
        <v>49</v>
      </c>
      <c r="BB92" s="291"/>
      <c r="BC92" s="152">
        <f t="shared" si="23"/>
        <v>2</v>
      </c>
      <c r="BD92" s="148">
        <v>4</v>
      </c>
      <c r="BE92" s="152">
        <v>16</v>
      </c>
      <c r="BF92" s="151">
        <f t="shared" si="61"/>
        <v>20</v>
      </c>
      <c r="BG92" s="152">
        <v>20</v>
      </c>
      <c r="BH92" s="152">
        <v>25</v>
      </c>
      <c r="BI92" s="151">
        <f t="shared" si="62"/>
        <v>65</v>
      </c>
      <c r="BJ92" s="294"/>
      <c r="BK92" s="152">
        <f t="shared" si="3"/>
        <v>3.5</v>
      </c>
      <c r="BL92" s="148">
        <v>6</v>
      </c>
      <c r="BM92" s="152">
        <v>5</v>
      </c>
      <c r="BN92" s="151">
        <f t="shared" si="63"/>
        <v>11</v>
      </c>
      <c r="BO92" s="152">
        <v>17</v>
      </c>
      <c r="BP92" s="152">
        <v>25</v>
      </c>
      <c r="BQ92" s="151">
        <f t="shared" si="64"/>
        <v>53</v>
      </c>
      <c r="BR92" s="291"/>
      <c r="BS92" s="152" t="str">
        <f t="shared" si="65"/>
        <v>F</v>
      </c>
      <c r="BT92" s="148">
        <v>3</v>
      </c>
      <c r="BU92" s="152">
        <v>9</v>
      </c>
      <c r="BV92" s="151">
        <f t="shared" si="66"/>
        <v>12</v>
      </c>
      <c r="BW92" s="152">
        <v>20</v>
      </c>
      <c r="BX92" s="152">
        <v>25</v>
      </c>
      <c r="BY92" s="151">
        <f t="shared" si="67"/>
        <v>57</v>
      </c>
      <c r="BZ92" s="294"/>
      <c r="CA92" s="152" t="str">
        <f t="shared" si="68"/>
        <v>F</v>
      </c>
      <c r="CB92" s="148">
        <v>3</v>
      </c>
      <c r="CC92" s="152">
        <v>2</v>
      </c>
      <c r="CD92" s="151">
        <f t="shared" si="69"/>
        <v>5</v>
      </c>
      <c r="CE92" s="152">
        <v>17</v>
      </c>
      <c r="CF92" s="152">
        <v>23</v>
      </c>
      <c r="CG92" s="151">
        <f t="shared" si="70"/>
        <v>45</v>
      </c>
      <c r="CH92" s="291"/>
      <c r="CI92" s="164" t="str">
        <f t="shared" si="71"/>
        <v>0</v>
      </c>
      <c r="CJ92" s="152" t="str">
        <f t="shared" si="45"/>
        <v>F</v>
      </c>
      <c r="CK92" s="165" t="str">
        <f t="shared" si="72"/>
        <v>F</v>
      </c>
      <c r="CL92" s="165" t="str">
        <f t="shared" si="73"/>
        <v>F</v>
      </c>
      <c r="CM92" s="37" t="str">
        <f t="shared" si="46"/>
        <v>NEED TO PROGRESS</v>
      </c>
      <c r="CN92" s="217">
        <f t="shared" si="47"/>
        <v>543</v>
      </c>
      <c r="CO92" s="37"/>
      <c r="CP92" s="40"/>
      <c r="CQ92" s="215">
        <f>'1ST_SEMESTER'!CN92</f>
        <v>0</v>
      </c>
      <c r="CR92" s="215">
        <f>'2ND_SEMESTER'!CN92</f>
        <v>324.13800000000003</v>
      </c>
      <c r="CS92" s="215">
        <f t="shared" si="74"/>
        <v>543</v>
      </c>
      <c r="CT92" s="215">
        <f t="shared" si="75"/>
        <v>289.04599999999999</v>
      </c>
      <c r="CU92" s="226" t="str">
        <f>'1ST_SEMESTER'!CK92</f>
        <v>F</v>
      </c>
      <c r="CV92" s="226" t="str">
        <f>'2ND_SEMESTER'!CK92</f>
        <v>F</v>
      </c>
      <c r="CW92" s="226" t="str">
        <f t="shared" si="76"/>
        <v>F</v>
      </c>
      <c r="CX92" s="226" t="e">
        <f t="shared" si="77"/>
        <v>#DIV/0!</v>
      </c>
    </row>
    <row r="93" spans="1:102" s="198" customFormat="1" ht="27" customHeight="1">
      <c r="A93" s="181">
        <v>86</v>
      </c>
      <c r="B93" s="117">
        <v>157</v>
      </c>
      <c r="C93" s="118" t="s">
        <v>410</v>
      </c>
      <c r="D93" s="69"/>
      <c r="E93" s="69"/>
      <c r="F93" s="98"/>
      <c r="G93" s="148">
        <v>17</v>
      </c>
      <c r="H93" s="152">
        <v>26</v>
      </c>
      <c r="I93" s="151">
        <f t="shared" si="48"/>
        <v>43</v>
      </c>
      <c r="J93" s="148">
        <v>16</v>
      </c>
      <c r="K93" s="151">
        <f t="shared" si="80"/>
        <v>59</v>
      </c>
      <c r="L93" s="148">
        <v>20</v>
      </c>
      <c r="M93" s="152">
        <v>40</v>
      </c>
      <c r="N93" s="151">
        <f t="shared" si="49"/>
        <v>60</v>
      </c>
      <c r="O93" s="152">
        <v>21</v>
      </c>
      <c r="P93" s="151">
        <f t="shared" si="50"/>
        <v>81</v>
      </c>
      <c r="Q93" s="151">
        <f t="shared" si="51"/>
        <v>140</v>
      </c>
      <c r="R93" s="291"/>
      <c r="S93" s="152">
        <f t="shared" si="11"/>
        <v>4</v>
      </c>
      <c r="T93" s="148">
        <v>15</v>
      </c>
      <c r="U93" s="151">
        <v>41</v>
      </c>
      <c r="V93" s="151">
        <f t="shared" si="52"/>
        <v>56</v>
      </c>
      <c r="W93" s="148">
        <v>16</v>
      </c>
      <c r="X93" s="151">
        <v>37</v>
      </c>
      <c r="Y93" s="151">
        <f t="shared" si="53"/>
        <v>53</v>
      </c>
      <c r="Z93" s="151">
        <f t="shared" si="54"/>
        <v>109</v>
      </c>
      <c r="AA93" s="291"/>
      <c r="AB93" s="152">
        <f t="shared" si="0"/>
        <v>3</v>
      </c>
      <c r="AC93" s="148">
        <v>17</v>
      </c>
      <c r="AD93" s="152">
        <v>11</v>
      </c>
      <c r="AE93" s="151">
        <f t="shared" si="55"/>
        <v>28</v>
      </c>
      <c r="AF93" s="152">
        <v>12</v>
      </c>
      <c r="AG93" s="151">
        <f t="shared" si="56"/>
        <v>40</v>
      </c>
      <c r="AH93" s="291"/>
      <c r="AI93" s="152">
        <f t="shared" si="43"/>
        <v>2</v>
      </c>
      <c r="AJ93" s="148">
        <v>17</v>
      </c>
      <c r="AK93" s="152">
        <v>30</v>
      </c>
      <c r="AL93" s="151">
        <f t="shared" si="57"/>
        <v>47</v>
      </c>
      <c r="AM93" s="152">
        <v>18</v>
      </c>
      <c r="AN93" s="151">
        <f t="shared" si="58"/>
        <v>65</v>
      </c>
      <c r="AO93" s="291"/>
      <c r="AP93" s="152">
        <f t="shared" si="44"/>
        <v>3.5</v>
      </c>
      <c r="AQ93" s="148"/>
      <c r="AR93" s="152">
        <v>23</v>
      </c>
      <c r="AS93" s="152">
        <v>23</v>
      </c>
      <c r="AT93" s="152">
        <f t="shared" si="79"/>
        <v>46</v>
      </c>
      <c r="AU93" s="294"/>
      <c r="AV93" s="152">
        <f t="shared" si="20"/>
        <v>5</v>
      </c>
      <c r="AW93" s="148">
        <v>13</v>
      </c>
      <c r="AX93" s="152">
        <v>20</v>
      </c>
      <c r="AY93" s="151">
        <f t="shared" si="59"/>
        <v>33</v>
      </c>
      <c r="AZ93" s="152">
        <v>22</v>
      </c>
      <c r="BA93" s="151">
        <f t="shared" si="60"/>
        <v>55</v>
      </c>
      <c r="BB93" s="291"/>
      <c r="BC93" s="152">
        <f t="shared" si="23"/>
        <v>3</v>
      </c>
      <c r="BD93" s="148">
        <v>8</v>
      </c>
      <c r="BE93" s="152">
        <v>18</v>
      </c>
      <c r="BF93" s="151">
        <f t="shared" si="61"/>
        <v>26</v>
      </c>
      <c r="BG93" s="152">
        <v>15</v>
      </c>
      <c r="BH93" s="152">
        <v>25</v>
      </c>
      <c r="BI93" s="151">
        <f t="shared" si="62"/>
        <v>66</v>
      </c>
      <c r="BJ93" s="294"/>
      <c r="BK93" s="152">
        <f t="shared" si="3"/>
        <v>3.5</v>
      </c>
      <c r="BL93" s="148">
        <v>8</v>
      </c>
      <c r="BM93" s="152">
        <v>12</v>
      </c>
      <c r="BN93" s="151">
        <f t="shared" si="63"/>
        <v>20</v>
      </c>
      <c r="BO93" s="152">
        <v>18</v>
      </c>
      <c r="BP93" s="152">
        <v>25</v>
      </c>
      <c r="BQ93" s="151">
        <f t="shared" si="64"/>
        <v>63</v>
      </c>
      <c r="BR93" s="291"/>
      <c r="BS93" s="152">
        <f t="shared" si="65"/>
        <v>3.5</v>
      </c>
      <c r="BT93" s="148">
        <v>7</v>
      </c>
      <c r="BU93" s="152">
        <v>14</v>
      </c>
      <c r="BV93" s="151">
        <f t="shared" si="66"/>
        <v>21</v>
      </c>
      <c r="BW93" s="152">
        <v>19</v>
      </c>
      <c r="BX93" s="152">
        <v>25</v>
      </c>
      <c r="BY93" s="151">
        <f t="shared" si="67"/>
        <v>65</v>
      </c>
      <c r="BZ93" s="294"/>
      <c r="CA93" s="152">
        <f t="shared" si="68"/>
        <v>3.5</v>
      </c>
      <c r="CB93" s="148">
        <v>6</v>
      </c>
      <c r="CC93" s="152">
        <v>10</v>
      </c>
      <c r="CD93" s="151">
        <f t="shared" si="69"/>
        <v>16</v>
      </c>
      <c r="CE93" s="152">
        <v>13</v>
      </c>
      <c r="CF93" s="152">
        <v>25</v>
      </c>
      <c r="CG93" s="151">
        <f t="shared" si="70"/>
        <v>54</v>
      </c>
      <c r="CH93" s="291"/>
      <c r="CI93" s="164" t="str">
        <f t="shared" si="71"/>
        <v>0</v>
      </c>
      <c r="CJ93" s="152">
        <f t="shared" si="45"/>
        <v>29</v>
      </c>
      <c r="CK93" s="165">
        <f t="shared" si="72"/>
        <v>3.2222222222222223</v>
      </c>
      <c r="CL93" s="165" t="str">
        <f t="shared" si="73"/>
        <v>B</v>
      </c>
      <c r="CM93" s="37" t="str">
        <f t="shared" si="46"/>
        <v>GOOD</v>
      </c>
      <c r="CN93" s="217">
        <f t="shared" si="47"/>
        <v>703</v>
      </c>
      <c r="CO93" s="37"/>
      <c r="CP93" s="40"/>
      <c r="CQ93" s="215">
        <f>'1ST_SEMESTER'!CN93</f>
        <v>0</v>
      </c>
      <c r="CR93" s="215">
        <f>'2ND_SEMESTER'!CN93</f>
        <v>450.27600000000001</v>
      </c>
      <c r="CS93" s="215">
        <f t="shared" si="74"/>
        <v>703</v>
      </c>
      <c r="CT93" s="215">
        <f t="shared" si="75"/>
        <v>384.42533333333336</v>
      </c>
      <c r="CU93" s="226" t="str">
        <f>'1ST_SEMESTER'!CK93</f>
        <v>F</v>
      </c>
      <c r="CV93" s="226" t="str">
        <f>'2ND_SEMESTER'!CK93</f>
        <v>F</v>
      </c>
      <c r="CW93" s="226">
        <f t="shared" si="76"/>
        <v>3.2222222222222223</v>
      </c>
      <c r="CX93" s="226">
        <f t="shared" si="77"/>
        <v>3.2222222222222223</v>
      </c>
    </row>
    <row r="94" spans="1:102" s="198" customFormat="1" ht="27" customHeight="1">
      <c r="A94" s="181">
        <v>87</v>
      </c>
      <c r="B94" s="117">
        <v>158</v>
      </c>
      <c r="C94" s="118" t="s">
        <v>411</v>
      </c>
      <c r="D94" s="69"/>
      <c r="E94" s="69"/>
      <c r="F94" s="98"/>
      <c r="G94" s="148">
        <v>19</v>
      </c>
      <c r="H94" s="152">
        <v>26</v>
      </c>
      <c r="I94" s="151">
        <f t="shared" si="48"/>
        <v>45</v>
      </c>
      <c r="J94" s="148">
        <v>16</v>
      </c>
      <c r="K94" s="151">
        <f t="shared" si="80"/>
        <v>61</v>
      </c>
      <c r="L94" s="148">
        <v>20</v>
      </c>
      <c r="M94" s="152">
        <v>37</v>
      </c>
      <c r="N94" s="151">
        <f t="shared" si="49"/>
        <v>57</v>
      </c>
      <c r="O94" s="152">
        <v>23</v>
      </c>
      <c r="P94" s="151">
        <f t="shared" si="50"/>
        <v>80</v>
      </c>
      <c r="Q94" s="151">
        <f t="shared" si="51"/>
        <v>141</v>
      </c>
      <c r="R94" s="291"/>
      <c r="S94" s="152">
        <f t="shared" si="11"/>
        <v>4</v>
      </c>
      <c r="T94" s="148">
        <v>16</v>
      </c>
      <c r="U94" s="151">
        <v>37</v>
      </c>
      <c r="V94" s="151">
        <f t="shared" si="52"/>
        <v>53</v>
      </c>
      <c r="W94" s="148">
        <v>16</v>
      </c>
      <c r="X94" s="151">
        <v>32</v>
      </c>
      <c r="Y94" s="151">
        <f t="shared" si="53"/>
        <v>48</v>
      </c>
      <c r="Z94" s="151">
        <f t="shared" si="54"/>
        <v>101</v>
      </c>
      <c r="AA94" s="291"/>
      <c r="AB94" s="152">
        <f t="shared" si="0"/>
        <v>3</v>
      </c>
      <c r="AC94" s="148">
        <v>18</v>
      </c>
      <c r="AD94" s="152">
        <v>20</v>
      </c>
      <c r="AE94" s="151">
        <f t="shared" si="55"/>
        <v>38</v>
      </c>
      <c r="AF94" s="152">
        <v>12</v>
      </c>
      <c r="AG94" s="151">
        <f t="shared" si="56"/>
        <v>50</v>
      </c>
      <c r="AH94" s="291"/>
      <c r="AI94" s="152">
        <f t="shared" si="43"/>
        <v>3</v>
      </c>
      <c r="AJ94" s="148">
        <v>18</v>
      </c>
      <c r="AK94" s="152">
        <v>29</v>
      </c>
      <c r="AL94" s="151">
        <f t="shared" si="57"/>
        <v>47</v>
      </c>
      <c r="AM94" s="152">
        <v>18</v>
      </c>
      <c r="AN94" s="151">
        <f t="shared" si="58"/>
        <v>65</v>
      </c>
      <c r="AO94" s="291"/>
      <c r="AP94" s="152">
        <f t="shared" si="44"/>
        <v>3.5</v>
      </c>
      <c r="AQ94" s="148"/>
      <c r="AR94" s="152">
        <v>23</v>
      </c>
      <c r="AS94" s="152">
        <v>23</v>
      </c>
      <c r="AT94" s="152">
        <f t="shared" si="79"/>
        <v>46</v>
      </c>
      <c r="AU94" s="294"/>
      <c r="AV94" s="152">
        <f t="shared" si="20"/>
        <v>5</v>
      </c>
      <c r="AW94" s="148">
        <v>13</v>
      </c>
      <c r="AX94" s="152">
        <v>21</v>
      </c>
      <c r="AY94" s="151">
        <f t="shared" si="59"/>
        <v>34</v>
      </c>
      <c r="AZ94" s="152">
        <v>21</v>
      </c>
      <c r="BA94" s="151">
        <f t="shared" si="60"/>
        <v>55</v>
      </c>
      <c r="BB94" s="291"/>
      <c r="BC94" s="152">
        <f t="shared" si="23"/>
        <v>3</v>
      </c>
      <c r="BD94" s="148">
        <v>7</v>
      </c>
      <c r="BE94" s="152">
        <v>16</v>
      </c>
      <c r="BF94" s="151">
        <f t="shared" si="61"/>
        <v>23</v>
      </c>
      <c r="BG94" s="152">
        <v>16</v>
      </c>
      <c r="BH94" s="152">
        <v>25</v>
      </c>
      <c r="BI94" s="151">
        <f t="shared" si="62"/>
        <v>64</v>
      </c>
      <c r="BJ94" s="294"/>
      <c r="BK94" s="152">
        <f t="shared" si="3"/>
        <v>3.5</v>
      </c>
      <c r="BL94" s="148">
        <v>7</v>
      </c>
      <c r="BM94" s="152">
        <v>13</v>
      </c>
      <c r="BN94" s="151">
        <f t="shared" si="63"/>
        <v>20</v>
      </c>
      <c r="BO94" s="152">
        <v>17</v>
      </c>
      <c r="BP94" s="152">
        <v>25</v>
      </c>
      <c r="BQ94" s="151">
        <f t="shared" si="64"/>
        <v>62</v>
      </c>
      <c r="BR94" s="291"/>
      <c r="BS94" s="152">
        <f t="shared" si="65"/>
        <v>3.5</v>
      </c>
      <c r="BT94" s="148">
        <v>8</v>
      </c>
      <c r="BU94" s="152">
        <v>14</v>
      </c>
      <c r="BV94" s="151">
        <f t="shared" si="66"/>
        <v>22</v>
      </c>
      <c r="BW94" s="152">
        <v>15</v>
      </c>
      <c r="BX94" s="152">
        <v>25</v>
      </c>
      <c r="BY94" s="151">
        <f t="shared" si="67"/>
        <v>62</v>
      </c>
      <c r="BZ94" s="294"/>
      <c r="CA94" s="152">
        <f t="shared" si="68"/>
        <v>3.5</v>
      </c>
      <c r="CB94" s="148">
        <v>5</v>
      </c>
      <c r="CC94" s="152">
        <v>4</v>
      </c>
      <c r="CD94" s="151">
        <f t="shared" si="69"/>
        <v>9</v>
      </c>
      <c r="CE94" s="152">
        <v>12</v>
      </c>
      <c r="CF94" s="152">
        <v>24</v>
      </c>
      <c r="CG94" s="151">
        <f t="shared" si="70"/>
        <v>45</v>
      </c>
      <c r="CH94" s="291"/>
      <c r="CI94" s="164" t="str">
        <f t="shared" si="71"/>
        <v>0</v>
      </c>
      <c r="CJ94" s="152">
        <f t="shared" si="45"/>
        <v>30</v>
      </c>
      <c r="CK94" s="165">
        <f t="shared" si="72"/>
        <v>3.3333333333333335</v>
      </c>
      <c r="CL94" s="165" t="str">
        <f t="shared" si="73"/>
        <v>B</v>
      </c>
      <c r="CM94" s="37" t="str">
        <f t="shared" si="46"/>
        <v>GOOD</v>
      </c>
      <c r="CN94" s="217">
        <f t="shared" si="47"/>
        <v>691</v>
      </c>
      <c r="CO94" s="37"/>
      <c r="CP94" s="40"/>
      <c r="CQ94" s="215">
        <f>'1ST_SEMESTER'!CN94</f>
        <v>0</v>
      </c>
      <c r="CR94" s="215">
        <f>'2ND_SEMESTER'!CN94</f>
        <v>478.27800000000002</v>
      </c>
      <c r="CS94" s="215">
        <f t="shared" si="74"/>
        <v>691</v>
      </c>
      <c r="CT94" s="215">
        <f t="shared" si="75"/>
        <v>389.75933333333336</v>
      </c>
      <c r="CU94" s="226" t="str">
        <f>'1ST_SEMESTER'!CK94</f>
        <v>F</v>
      </c>
      <c r="CV94" s="226" t="str">
        <f>'2ND_SEMESTER'!CK94</f>
        <v>F</v>
      </c>
      <c r="CW94" s="226">
        <f t="shared" si="76"/>
        <v>3.3333333333333335</v>
      </c>
      <c r="CX94" s="226">
        <f t="shared" si="77"/>
        <v>3.3333333333333335</v>
      </c>
    </row>
    <row r="95" spans="1:102" s="198" customFormat="1" ht="27" customHeight="1">
      <c r="A95" s="181">
        <v>88</v>
      </c>
      <c r="B95" s="117">
        <v>0</v>
      </c>
      <c r="C95" s="118"/>
      <c r="D95" s="69"/>
      <c r="E95" s="69"/>
      <c r="F95" s="98"/>
      <c r="G95" s="148">
        <v>0</v>
      </c>
      <c r="H95" s="152">
        <v>0</v>
      </c>
      <c r="I95" s="151">
        <f t="shared" si="48"/>
        <v>0</v>
      </c>
      <c r="J95" s="148"/>
      <c r="K95" s="151">
        <f t="shared" si="80"/>
        <v>0</v>
      </c>
      <c r="L95" s="148"/>
      <c r="M95" s="152"/>
      <c r="N95" s="151">
        <f t="shared" si="49"/>
        <v>0</v>
      </c>
      <c r="O95" s="152">
        <v>0</v>
      </c>
      <c r="P95" s="151">
        <f t="shared" si="50"/>
        <v>0</v>
      </c>
      <c r="Q95" s="151">
        <f t="shared" si="51"/>
        <v>0</v>
      </c>
      <c r="R95" s="291"/>
      <c r="S95" s="152" t="str">
        <f t="shared" si="11"/>
        <v>F</v>
      </c>
      <c r="T95" s="148">
        <v>0</v>
      </c>
      <c r="U95" s="151">
        <v>0</v>
      </c>
      <c r="V95" s="151">
        <f t="shared" si="52"/>
        <v>0</v>
      </c>
      <c r="W95" s="148">
        <v>0</v>
      </c>
      <c r="X95" s="151"/>
      <c r="Y95" s="151">
        <f t="shared" si="53"/>
        <v>0</v>
      </c>
      <c r="Z95" s="151">
        <f t="shared" si="54"/>
        <v>0</v>
      </c>
      <c r="AA95" s="291"/>
      <c r="AB95" s="152" t="str">
        <f t="shared" si="0"/>
        <v>F</v>
      </c>
      <c r="AC95" s="148">
        <v>0</v>
      </c>
      <c r="AD95" s="152">
        <v>0</v>
      </c>
      <c r="AE95" s="151">
        <f t="shared" si="55"/>
        <v>0</v>
      </c>
      <c r="AF95" s="152">
        <v>0</v>
      </c>
      <c r="AG95" s="151">
        <f t="shared" si="56"/>
        <v>0</v>
      </c>
      <c r="AH95" s="291"/>
      <c r="AI95" s="152" t="str">
        <f>IF(AE95&lt;28,"F",IF(AF95&lt;12,"F",IF(AG95&lt;40,"F",IF(AG95&lt;50,2,IF(AG95&lt;60,3,IF(AG95&lt;70,3.5,IF(AG95&lt;80,4,5)))))))</f>
        <v>F</v>
      </c>
      <c r="AJ95" s="148">
        <v>0</v>
      </c>
      <c r="AK95" s="152"/>
      <c r="AL95" s="151">
        <f t="shared" si="57"/>
        <v>0</v>
      </c>
      <c r="AM95" s="152"/>
      <c r="AN95" s="151">
        <f t="shared" si="58"/>
        <v>0</v>
      </c>
      <c r="AO95" s="291"/>
      <c r="AP95" s="152" t="str">
        <f>IF(AL95&lt;28,"F",IF(AM95&lt;12,"F",IF(AN95&lt;40,"F",IF(AN95&lt;50,2,IF(AN95&lt;60,3,IF(AN95&lt;70,3.5,IF(AN95&lt;80,4,5)))))))</f>
        <v>F</v>
      </c>
      <c r="AQ95" s="148"/>
      <c r="AR95" s="152"/>
      <c r="AS95" s="152"/>
      <c r="AT95" s="152">
        <f t="shared" si="79"/>
        <v>0</v>
      </c>
      <c r="AU95" s="294"/>
      <c r="AV95" s="152" t="str">
        <f t="shared" si="20"/>
        <v>F</v>
      </c>
      <c r="AW95" s="148">
        <v>0</v>
      </c>
      <c r="AX95" s="152">
        <v>0</v>
      </c>
      <c r="AY95" s="151">
        <f t="shared" si="59"/>
        <v>0</v>
      </c>
      <c r="AZ95" s="152">
        <v>0</v>
      </c>
      <c r="BA95" s="151">
        <f t="shared" si="60"/>
        <v>0</v>
      </c>
      <c r="BB95" s="291"/>
      <c r="BC95" s="152" t="str">
        <f t="shared" si="23"/>
        <v>F</v>
      </c>
      <c r="BD95" s="148">
        <v>0</v>
      </c>
      <c r="BE95" s="152">
        <v>0</v>
      </c>
      <c r="BF95" s="151">
        <f t="shared" si="61"/>
        <v>0</v>
      </c>
      <c r="BG95" s="152">
        <v>0</v>
      </c>
      <c r="BH95" s="152">
        <v>25</v>
      </c>
      <c r="BI95" s="151">
        <f t="shared" si="62"/>
        <v>25</v>
      </c>
      <c r="BJ95" s="294"/>
      <c r="BK95" s="152" t="str">
        <f t="shared" si="3"/>
        <v>F</v>
      </c>
      <c r="BL95" s="148">
        <v>0</v>
      </c>
      <c r="BM95" s="152"/>
      <c r="BN95" s="151">
        <f t="shared" si="63"/>
        <v>0</v>
      </c>
      <c r="BO95" s="152">
        <v>0</v>
      </c>
      <c r="BP95" s="152">
        <v>0</v>
      </c>
      <c r="BQ95" s="151">
        <f t="shared" si="64"/>
        <v>0</v>
      </c>
      <c r="BR95" s="291"/>
      <c r="BS95" s="152" t="str">
        <f t="shared" si="65"/>
        <v>F</v>
      </c>
      <c r="BT95" s="148"/>
      <c r="BU95" s="152"/>
      <c r="BV95" s="151">
        <f t="shared" si="66"/>
        <v>0</v>
      </c>
      <c r="BW95" s="152"/>
      <c r="BX95" s="152"/>
      <c r="BY95" s="151">
        <f t="shared" si="67"/>
        <v>0</v>
      </c>
      <c r="BZ95" s="294"/>
      <c r="CA95" s="152" t="str">
        <f t="shared" si="68"/>
        <v>F</v>
      </c>
      <c r="CB95" s="148"/>
      <c r="CC95" s="152"/>
      <c r="CD95" s="151">
        <f t="shared" si="69"/>
        <v>0</v>
      </c>
      <c r="CE95" s="152"/>
      <c r="CF95" s="152"/>
      <c r="CG95" s="151">
        <f t="shared" si="70"/>
        <v>0</v>
      </c>
      <c r="CH95" s="291"/>
      <c r="CI95" s="164" t="str">
        <f t="shared" si="71"/>
        <v>0</v>
      </c>
      <c r="CJ95" s="152" t="str">
        <f t="shared" si="45"/>
        <v>F</v>
      </c>
      <c r="CK95" s="165" t="str">
        <f t="shared" si="72"/>
        <v>F</v>
      </c>
      <c r="CL95" s="165" t="str">
        <f t="shared" si="73"/>
        <v>F</v>
      </c>
      <c r="CM95" s="37" t="str">
        <f t="shared" si="46"/>
        <v>NEED TO PROGRESS</v>
      </c>
      <c r="CN95" s="217">
        <f t="shared" si="47"/>
        <v>25</v>
      </c>
      <c r="CO95" s="37"/>
      <c r="CP95" s="40"/>
      <c r="CQ95" s="215">
        <f>'1ST_SEMESTER'!CN95</f>
        <v>0</v>
      </c>
      <c r="CR95" s="215">
        <f>'2ND_SEMESTER'!CN95</f>
        <v>0</v>
      </c>
      <c r="CS95" s="215">
        <f t="shared" si="74"/>
        <v>25</v>
      </c>
      <c r="CT95" s="215">
        <f t="shared" si="75"/>
        <v>8.3333333333333339</v>
      </c>
      <c r="CU95" s="226" t="str">
        <f>'1ST_SEMESTER'!CK95</f>
        <v>F</v>
      </c>
      <c r="CV95" s="226" t="str">
        <f>'2ND_SEMESTER'!CK95</f>
        <v>F</v>
      </c>
      <c r="CW95" s="226" t="str">
        <f t="shared" si="76"/>
        <v>F</v>
      </c>
      <c r="CX95" s="226" t="e">
        <f t="shared" si="77"/>
        <v>#DIV/0!</v>
      </c>
    </row>
    <row r="96" spans="1:102" s="197" customFormat="1">
      <c r="A96" s="193"/>
      <c r="B96" s="194"/>
      <c r="C96" s="194"/>
      <c r="D96" s="13"/>
      <c r="E96" s="13"/>
      <c r="F96" s="13"/>
      <c r="G96" s="63"/>
      <c r="H96" s="62"/>
      <c r="I96" s="64"/>
      <c r="J96" s="63"/>
      <c r="K96" s="64"/>
      <c r="L96" s="63"/>
      <c r="M96" s="62"/>
      <c r="N96" s="64"/>
      <c r="O96" s="62"/>
      <c r="P96" s="64"/>
      <c r="Q96" s="64"/>
      <c r="R96" s="64"/>
      <c r="S96" s="62"/>
      <c r="T96" s="63"/>
      <c r="U96" s="64"/>
      <c r="V96" s="64"/>
      <c r="W96" s="63"/>
      <c r="X96" s="64"/>
      <c r="Y96" s="64"/>
      <c r="Z96" s="64"/>
      <c r="AA96" s="64"/>
      <c r="AB96" s="62"/>
      <c r="AC96" s="63"/>
      <c r="AD96" s="62"/>
      <c r="AE96" s="64"/>
      <c r="AF96" s="62"/>
      <c r="AG96" s="64"/>
      <c r="AH96" s="64"/>
      <c r="AI96" s="62"/>
      <c r="AJ96" s="63"/>
      <c r="AK96" s="62"/>
      <c r="AL96" s="64"/>
      <c r="AM96" s="62"/>
      <c r="AN96" s="64"/>
      <c r="AO96" s="64"/>
      <c r="AP96" s="62"/>
      <c r="AQ96" s="63"/>
      <c r="AR96" s="62"/>
      <c r="AS96" s="62"/>
      <c r="AT96" s="62"/>
      <c r="AU96" s="62"/>
      <c r="AV96" s="62"/>
      <c r="AW96" s="63"/>
      <c r="AX96" s="62"/>
      <c r="AY96" s="64"/>
      <c r="AZ96" s="62"/>
      <c r="BA96" s="64"/>
      <c r="BB96" s="64"/>
      <c r="BC96" s="62"/>
      <c r="BD96" s="63"/>
      <c r="BE96" s="62"/>
      <c r="BF96" s="64"/>
      <c r="BG96" s="62"/>
      <c r="BH96" s="62"/>
      <c r="BI96" s="64"/>
      <c r="BJ96" s="62"/>
      <c r="BK96" s="62"/>
      <c r="BL96" s="63"/>
      <c r="BM96" s="62"/>
      <c r="BN96" s="64"/>
      <c r="BO96" s="62"/>
      <c r="BP96" s="62"/>
      <c r="BQ96" s="64"/>
      <c r="BR96" s="64"/>
      <c r="BS96" s="62"/>
      <c r="BT96" s="63"/>
      <c r="BU96" s="62"/>
      <c r="BV96" s="64"/>
      <c r="BW96" s="62"/>
      <c r="BX96" s="62"/>
      <c r="BY96" s="64"/>
      <c r="BZ96" s="62"/>
      <c r="CA96" s="62"/>
      <c r="CB96" s="63"/>
      <c r="CC96" s="62"/>
      <c r="CD96" s="64"/>
      <c r="CE96" s="62"/>
      <c r="CF96" s="62"/>
      <c r="CG96" s="64"/>
      <c r="CH96" s="64"/>
      <c r="CI96" s="172"/>
      <c r="CJ96" s="173"/>
      <c r="CK96" s="174"/>
      <c r="CL96" s="174"/>
      <c r="CM96" s="62"/>
      <c r="CN96" s="222"/>
      <c r="CO96" s="62"/>
      <c r="CP96" s="67"/>
      <c r="CQ96" s="216"/>
      <c r="CR96" s="216"/>
      <c r="CS96" s="216"/>
      <c r="CT96" s="216"/>
    </row>
    <row r="97" spans="1:98" s="197" customFormat="1">
      <c r="A97" s="193"/>
      <c r="B97" s="194"/>
      <c r="C97" s="194"/>
      <c r="D97" s="13"/>
      <c r="E97" s="13"/>
      <c r="F97" s="13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175"/>
      <c r="CJ97" s="175"/>
      <c r="CK97" s="175"/>
      <c r="CL97" s="175"/>
      <c r="CM97" s="43"/>
      <c r="CN97" s="223"/>
      <c r="CO97" s="52"/>
      <c r="CP97" s="43"/>
      <c r="CQ97" s="216"/>
      <c r="CR97" s="216"/>
      <c r="CS97" s="216"/>
      <c r="CT97" s="216"/>
    </row>
    <row r="98" spans="1:98" s="197" customFormat="1">
      <c r="A98" s="200">
        <v>0</v>
      </c>
      <c r="B98" s="55">
        <v>1</v>
      </c>
      <c r="C98" s="55">
        <v>2</v>
      </c>
      <c r="D98" s="55">
        <v>3</v>
      </c>
      <c r="E98" s="55">
        <v>4</v>
      </c>
      <c r="F98" s="55">
        <v>5</v>
      </c>
      <c r="G98" s="50">
        <v>6</v>
      </c>
      <c r="H98" s="50">
        <v>7</v>
      </c>
      <c r="I98" s="50">
        <v>8</v>
      </c>
      <c r="J98" s="50">
        <v>9</v>
      </c>
      <c r="K98" s="50">
        <v>10</v>
      </c>
      <c r="L98" s="50">
        <v>11</v>
      </c>
      <c r="M98" s="50">
        <v>12</v>
      </c>
      <c r="N98" s="50">
        <v>13</v>
      </c>
      <c r="O98" s="50">
        <v>14</v>
      </c>
      <c r="P98" s="50">
        <v>15</v>
      </c>
      <c r="Q98" s="50">
        <v>16</v>
      </c>
      <c r="R98" s="50">
        <v>17</v>
      </c>
      <c r="S98" s="50">
        <v>18</v>
      </c>
      <c r="T98" s="50">
        <v>19</v>
      </c>
      <c r="U98" s="50">
        <v>20</v>
      </c>
      <c r="V98" s="50">
        <v>21</v>
      </c>
      <c r="W98" s="50">
        <v>22</v>
      </c>
      <c r="X98" s="50">
        <v>23</v>
      </c>
      <c r="Y98" s="50">
        <v>24</v>
      </c>
      <c r="Z98" s="50">
        <v>25</v>
      </c>
      <c r="AA98" s="50">
        <v>26</v>
      </c>
      <c r="AB98" s="50">
        <v>27</v>
      </c>
      <c r="AC98" s="50">
        <v>28</v>
      </c>
      <c r="AD98" s="50">
        <v>29</v>
      </c>
      <c r="AE98" s="50">
        <v>30</v>
      </c>
      <c r="AF98" s="50">
        <v>31</v>
      </c>
      <c r="AG98" s="50">
        <v>32</v>
      </c>
      <c r="AH98" s="50">
        <v>33</v>
      </c>
      <c r="AI98" s="50">
        <v>34</v>
      </c>
      <c r="AJ98" s="50">
        <v>35</v>
      </c>
      <c r="AK98" s="50">
        <v>36</v>
      </c>
      <c r="AL98" s="50">
        <v>37</v>
      </c>
      <c r="AM98" s="50">
        <v>38</v>
      </c>
      <c r="AN98" s="50">
        <v>39</v>
      </c>
      <c r="AO98" s="50">
        <v>40</v>
      </c>
      <c r="AP98" s="50">
        <v>41</v>
      </c>
      <c r="AQ98" s="50">
        <v>42</v>
      </c>
      <c r="AR98" s="50">
        <v>43</v>
      </c>
      <c r="AS98" s="50">
        <v>44</v>
      </c>
      <c r="AT98" s="50">
        <v>45</v>
      </c>
      <c r="AU98" s="50">
        <v>46</v>
      </c>
      <c r="AV98" s="50">
        <v>47</v>
      </c>
      <c r="AW98" s="50">
        <v>48</v>
      </c>
      <c r="AX98" s="50">
        <v>49</v>
      </c>
      <c r="AY98" s="50">
        <v>50</v>
      </c>
      <c r="AZ98" s="50">
        <v>51</v>
      </c>
      <c r="BA98" s="50">
        <v>52</v>
      </c>
      <c r="BB98" s="50">
        <v>53</v>
      </c>
      <c r="BC98" s="50">
        <v>54</v>
      </c>
      <c r="BD98" s="50">
        <v>55</v>
      </c>
      <c r="BE98" s="50">
        <v>56</v>
      </c>
      <c r="BF98" s="50">
        <v>57</v>
      </c>
      <c r="BG98" s="50">
        <v>58</v>
      </c>
      <c r="BH98" s="50">
        <v>59</v>
      </c>
      <c r="BI98" s="50">
        <v>60</v>
      </c>
      <c r="BJ98" s="50">
        <v>61</v>
      </c>
      <c r="BK98" s="50">
        <v>62</v>
      </c>
      <c r="BL98" s="50">
        <v>63</v>
      </c>
      <c r="BM98" s="50">
        <v>64</v>
      </c>
      <c r="BN98" s="50">
        <v>65</v>
      </c>
      <c r="BO98" s="50">
        <v>66</v>
      </c>
      <c r="BP98" s="50">
        <v>67</v>
      </c>
      <c r="BQ98" s="50">
        <v>68</v>
      </c>
      <c r="BR98" s="50">
        <v>69</v>
      </c>
      <c r="BS98" s="50">
        <v>70</v>
      </c>
      <c r="BT98" s="50">
        <v>71</v>
      </c>
      <c r="BU98" s="50">
        <v>72</v>
      </c>
      <c r="BV98" s="50">
        <v>73</v>
      </c>
      <c r="BW98" s="50">
        <v>74</v>
      </c>
      <c r="BX98" s="50">
        <v>75</v>
      </c>
      <c r="BY98" s="50">
        <v>76</v>
      </c>
      <c r="BZ98" s="50">
        <v>77</v>
      </c>
      <c r="CA98" s="50">
        <v>78</v>
      </c>
      <c r="CB98" s="50">
        <v>79</v>
      </c>
      <c r="CC98" s="50">
        <v>80</v>
      </c>
      <c r="CD98" s="50">
        <v>81</v>
      </c>
      <c r="CE98" s="50">
        <v>82</v>
      </c>
      <c r="CF98" s="50">
        <v>83</v>
      </c>
      <c r="CG98" s="50">
        <v>84</v>
      </c>
      <c r="CH98" s="50">
        <v>85</v>
      </c>
      <c r="CI98" s="50">
        <v>86</v>
      </c>
      <c r="CJ98" s="50">
        <v>87</v>
      </c>
      <c r="CK98" s="50">
        <v>88</v>
      </c>
      <c r="CL98" s="50">
        <v>89</v>
      </c>
      <c r="CM98" s="50">
        <v>90</v>
      </c>
      <c r="CN98" s="224">
        <v>91</v>
      </c>
      <c r="CO98" s="50">
        <v>92</v>
      </c>
      <c r="CP98" s="50">
        <v>93</v>
      </c>
      <c r="CQ98" s="216"/>
      <c r="CR98" s="216"/>
      <c r="CS98" s="216"/>
      <c r="CT98" s="216"/>
    </row>
  </sheetData>
  <mergeCells count="77">
    <mergeCell ref="CV6:CV7"/>
    <mergeCell ref="CW6:CW7"/>
    <mergeCell ref="CX6:CX7"/>
    <mergeCell ref="CG6:CG7"/>
    <mergeCell ref="CH6:CH7"/>
    <mergeCell ref="CM6:CM7"/>
    <mergeCell ref="CN6:CN7"/>
    <mergeCell ref="CO6:CO7"/>
    <mergeCell ref="CP6:CP7"/>
    <mergeCell ref="CL6:CL7"/>
    <mergeCell ref="CK6:CK7"/>
    <mergeCell ref="CJ6:CJ7"/>
    <mergeCell ref="AH8:AH95"/>
    <mergeCell ref="AO8:AO95"/>
    <mergeCell ref="AU8:AU95"/>
    <mergeCell ref="BB8:BB95"/>
    <mergeCell ref="BJ8:BJ95"/>
    <mergeCell ref="BZ8:BZ95"/>
    <mergeCell ref="CH8:CH95"/>
    <mergeCell ref="BR6:BR7"/>
    <mergeCell ref="BT6:BX6"/>
    <mergeCell ref="BY6:BY7"/>
    <mergeCell ref="BZ6:BZ7"/>
    <mergeCell ref="CB6:CF6"/>
    <mergeCell ref="BS6:BS7"/>
    <mergeCell ref="CA6:CA7"/>
    <mergeCell ref="AW6:AZ6"/>
    <mergeCell ref="BR8:BR95"/>
    <mergeCell ref="BJ6:BJ7"/>
    <mergeCell ref="BL6:BP6"/>
    <mergeCell ref="BD6:BH6"/>
    <mergeCell ref="BI6:BI7"/>
    <mergeCell ref="BQ6:BQ7"/>
    <mergeCell ref="BK6:BK7"/>
    <mergeCell ref="S6:S7"/>
    <mergeCell ref="AO6:AO7"/>
    <mergeCell ref="AQ6:AS6"/>
    <mergeCell ref="AT6:AT7"/>
    <mergeCell ref="AU6:AU7"/>
    <mergeCell ref="K6:K7"/>
    <mergeCell ref="AC6:AF6"/>
    <mergeCell ref="R8:R95"/>
    <mergeCell ref="AA8:AA95"/>
    <mergeCell ref="CI6:CI7"/>
    <mergeCell ref="AV6:AV7"/>
    <mergeCell ref="AP6:AP7"/>
    <mergeCell ref="BC6:BC7"/>
    <mergeCell ref="BA6:BA7"/>
    <mergeCell ref="BB6:BB7"/>
    <mergeCell ref="T6:V6"/>
    <mergeCell ref="W6:Y6"/>
    <mergeCell ref="Z6:Z7"/>
    <mergeCell ref="AJ6:AM6"/>
    <mergeCell ref="AN6:AN7"/>
    <mergeCell ref="R6:R7"/>
    <mergeCell ref="CQ5:CU5"/>
    <mergeCell ref="CQ6:CQ7"/>
    <mergeCell ref="CR6:CR7"/>
    <mergeCell ref="CS6:CS7"/>
    <mergeCell ref="CT6:CT7"/>
    <mergeCell ref="CU6:CU7"/>
    <mergeCell ref="A1:CP5"/>
    <mergeCell ref="A6:A7"/>
    <mergeCell ref="B6:B7"/>
    <mergeCell ref="C6:C7"/>
    <mergeCell ref="D6:D7"/>
    <mergeCell ref="E6:E7"/>
    <mergeCell ref="F6:F7"/>
    <mergeCell ref="AG6:AG7"/>
    <mergeCell ref="AH6:AH7"/>
    <mergeCell ref="AI6:AI7"/>
    <mergeCell ref="AA6:AA7"/>
    <mergeCell ref="AB6:AB7"/>
    <mergeCell ref="G6:J6"/>
    <mergeCell ref="P6:P7"/>
    <mergeCell ref="Q6:Q7"/>
    <mergeCell ref="L6:O6"/>
  </mergeCells>
  <phoneticPr fontId="3" type="noConversion"/>
  <conditionalFormatting sqref="AA89:AA93 BZ89:BZ93 AU89:AU93">
    <cfRule type="cellIs" dxfId="0" priority="1" operator="lessThan">
      <formula>28</formula>
    </cfRule>
  </conditionalFormatting>
  <pageMargins left="0.23622047244094491" right="0.23622047244094491" top="0.74803149606299213" bottom="0.74803149606299213" header="0.31496062992125984" footer="0.31496062992125984"/>
  <pageSetup paperSize="9"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B1:AE39"/>
  <sheetViews>
    <sheetView tabSelected="1" workbookViewId="0">
      <selection activeCell="V30" sqref="V30"/>
    </sheetView>
  </sheetViews>
  <sheetFormatPr defaultRowHeight="15"/>
  <cols>
    <col min="1" max="1" width="2" customWidth="1"/>
    <col min="2" max="2" width="24.42578125" customWidth="1"/>
    <col min="3" max="3" width="5.5703125" customWidth="1"/>
    <col min="4" max="7" width="7.7109375" customWidth="1"/>
    <col min="8" max="8" width="8.28515625" customWidth="1"/>
    <col min="9" max="21" width="7.7109375" customWidth="1"/>
    <col min="22" max="22" width="8.140625" bestFit="1" customWidth="1"/>
    <col min="23" max="24" width="7.7109375" customWidth="1"/>
    <col min="25" max="25" width="10" customWidth="1"/>
    <col min="26" max="26" width="8.5703125" customWidth="1"/>
    <col min="27" max="27" width="8.42578125" customWidth="1"/>
    <col min="28" max="28" width="8.7109375" customWidth="1"/>
    <col min="29" max="29" width="9.85546875" customWidth="1"/>
    <col min="30" max="31" width="7.7109375" customWidth="1"/>
  </cols>
  <sheetData>
    <row r="1" spans="2:31" ht="11.25" customHeight="1">
      <c r="B1" s="322" t="s">
        <v>422</v>
      </c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3"/>
      <c r="AD1" s="323"/>
      <c r="AE1" s="323"/>
    </row>
    <row r="2" spans="2:31" ht="18.75" customHeight="1">
      <c r="B2" s="324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</row>
    <row r="3" spans="2:31" ht="24" customHeight="1">
      <c r="B3" s="324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  <c r="R3" s="325"/>
      <c r="S3" s="325"/>
      <c r="T3" s="325"/>
      <c r="U3" s="325"/>
      <c r="V3" s="325"/>
      <c r="W3" s="325"/>
      <c r="X3" s="325"/>
      <c r="Y3" s="325"/>
      <c r="Z3" s="325"/>
      <c r="AA3" s="325"/>
      <c r="AB3" s="325"/>
      <c r="AC3" s="325"/>
      <c r="AD3" s="325"/>
      <c r="AE3" s="325"/>
    </row>
    <row r="4" spans="2:31" ht="21.95" customHeight="1">
      <c r="B4" s="326"/>
      <c r="C4" s="327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  <c r="R4" s="327"/>
      <c r="S4" s="327"/>
      <c r="T4" s="327"/>
      <c r="U4" s="327"/>
      <c r="V4" s="327"/>
      <c r="W4" s="327"/>
      <c r="X4" s="327"/>
      <c r="Y4" s="327"/>
      <c r="Z4" s="327"/>
      <c r="AA4" s="327"/>
      <c r="AB4" s="327"/>
      <c r="AC4" s="327"/>
      <c r="AD4" s="327"/>
      <c r="AE4" s="327"/>
    </row>
    <row r="5" spans="2:31" ht="21.95" customHeight="1">
      <c r="B5" s="247" t="s">
        <v>72</v>
      </c>
      <c r="C5" s="44" t="s">
        <v>55</v>
      </c>
      <c r="D5" s="321" t="str">
        <f>IFERROR(VLOOKUP(D8,'1ST_SEMESTER'!B6:CO95,2,0),"PLEASE ENTER RIGHT ROLL")</f>
        <v>Rupok Saha</v>
      </c>
      <c r="E5" s="321"/>
      <c r="F5" s="321"/>
      <c r="G5" s="321"/>
      <c r="H5" s="321"/>
      <c r="I5" s="321"/>
      <c r="J5" s="321"/>
      <c r="K5" s="321"/>
      <c r="L5" s="228"/>
      <c r="M5" s="228"/>
      <c r="N5" s="45"/>
      <c r="O5" s="45"/>
      <c r="P5" s="45"/>
      <c r="Q5" s="45"/>
      <c r="R5" s="45"/>
      <c r="S5" s="45"/>
      <c r="T5" s="45"/>
      <c r="U5" s="45"/>
      <c r="V5" s="45"/>
      <c r="W5" s="231"/>
      <c r="X5" s="300" t="s">
        <v>85</v>
      </c>
      <c r="Y5" s="300"/>
      <c r="Z5" s="300"/>
      <c r="AA5" s="300"/>
      <c r="AB5" s="300"/>
      <c r="AC5" s="300"/>
      <c r="AD5" s="251" t="s">
        <v>421</v>
      </c>
      <c r="AE5" s="46" t="str">
        <f>IFERROR(VLOOKUP(D8,'3RD_SEMESTER'!B6:L96,133,0),"")</f>
        <v/>
      </c>
    </row>
    <row r="6" spans="2:31" ht="21.95" customHeight="1">
      <c r="B6" s="248" t="s">
        <v>73</v>
      </c>
      <c r="C6" s="42" t="s">
        <v>55</v>
      </c>
      <c r="D6" s="329" t="s">
        <v>60</v>
      </c>
      <c r="E6" s="329"/>
      <c r="F6" s="329"/>
      <c r="G6" s="329"/>
      <c r="H6" s="329"/>
      <c r="I6" s="329"/>
      <c r="J6" s="244"/>
      <c r="K6" s="244"/>
      <c r="L6" s="229"/>
      <c r="M6" s="229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7"/>
    </row>
    <row r="7" spans="2:31" ht="21.95" customHeight="1">
      <c r="B7" s="249" t="s">
        <v>74</v>
      </c>
      <c r="C7" s="42" t="s">
        <v>55</v>
      </c>
      <c r="D7" s="329" t="s">
        <v>414</v>
      </c>
      <c r="E7" s="329"/>
      <c r="F7" s="329"/>
      <c r="G7" s="329"/>
      <c r="H7" s="329"/>
      <c r="I7" s="329"/>
      <c r="J7" s="244"/>
      <c r="K7" s="244"/>
      <c r="L7" s="229"/>
      <c r="M7" s="229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7"/>
    </row>
    <row r="8" spans="2:31" ht="21.95" customHeight="1">
      <c r="B8" s="249" t="s">
        <v>75</v>
      </c>
      <c r="C8" s="42" t="s">
        <v>55</v>
      </c>
      <c r="D8" s="246">
        <v>97</v>
      </c>
      <c r="E8" s="244"/>
      <c r="F8" s="244"/>
      <c r="G8" s="244"/>
      <c r="H8" s="244"/>
      <c r="I8" s="244"/>
      <c r="J8" s="244"/>
      <c r="K8" s="244"/>
      <c r="L8" s="229"/>
      <c r="M8" s="229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7"/>
    </row>
    <row r="9" spans="2:31" ht="21.95" customHeight="1">
      <c r="B9" s="249" t="s">
        <v>76</v>
      </c>
      <c r="C9" s="42" t="s">
        <v>55</v>
      </c>
      <c r="D9" s="244" t="str">
        <f>IFERROR(VLOOKUP(D$8,'1ST_SEMESTER'!B$6:CO$99,3,0),"")</f>
        <v xml:space="preserve">Sree Ripon Shaha </v>
      </c>
      <c r="E9" s="244"/>
      <c r="F9" s="244"/>
      <c r="G9" s="244"/>
      <c r="H9" s="244"/>
      <c r="I9" s="244"/>
      <c r="J9" s="244"/>
      <c r="K9" s="244"/>
      <c r="L9" s="229"/>
      <c r="M9" s="229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7"/>
    </row>
    <row r="10" spans="2:31" ht="21.95" customHeight="1">
      <c r="B10" s="249" t="s">
        <v>77</v>
      </c>
      <c r="C10" s="42" t="s">
        <v>55</v>
      </c>
      <c r="D10" s="245" t="str">
        <f>IFERROR(VLOOKUP(D$8,'1ST_SEMESTER'!B$6:CO$99,4,0),"")</f>
        <v>Krishna Rani Shaha</v>
      </c>
      <c r="E10" s="245"/>
      <c r="F10" s="245"/>
      <c r="G10" s="246"/>
      <c r="H10" s="246"/>
      <c r="I10" s="246"/>
      <c r="J10" s="230"/>
      <c r="K10" s="246"/>
      <c r="L10" s="230"/>
      <c r="M10" s="229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7"/>
    </row>
    <row r="11" spans="2:31" ht="21.95" customHeight="1">
      <c r="B11" s="250" t="s">
        <v>78</v>
      </c>
      <c r="C11" s="232" t="s">
        <v>55</v>
      </c>
      <c r="D11" s="304" t="s">
        <v>413</v>
      </c>
      <c r="E11" s="304"/>
      <c r="F11" s="304"/>
      <c r="G11" s="304"/>
      <c r="H11" s="304"/>
      <c r="I11" s="304"/>
      <c r="J11" s="304"/>
      <c r="K11" s="304"/>
      <c r="L11" s="304"/>
      <c r="M11" s="304"/>
      <c r="N11" s="233"/>
      <c r="O11" s="233"/>
      <c r="P11" s="233"/>
      <c r="Q11" s="233"/>
      <c r="R11" s="233"/>
      <c r="S11" s="233"/>
      <c r="T11" s="233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47"/>
    </row>
    <row r="12" spans="2:31" ht="30" customHeight="1">
      <c r="B12" s="312" t="s">
        <v>79</v>
      </c>
      <c r="C12" s="312"/>
      <c r="D12" s="305" t="s">
        <v>18</v>
      </c>
      <c r="E12" s="310" t="s">
        <v>423</v>
      </c>
      <c r="F12" s="310"/>
      <c r="G12" s="310"/>
      <c r="H12" s="310"/>
      <c r="I12" s="310"/>
      <c r="J12" s="310"/>
      <c r="K12" s="305" t="s">
        <v>18</v>
      </c>
      <c r="L12" s="310" t="s">
        <v>424</v>
      </c>
      <c r="M12" s="310"/>
      <c r="N12" s="310"/>
      <c r="O12" s="310"/>
      <c r="P12" s="310"/>
      <c r="Q12" s="310"/>
      <c r="R12" s="305" t="s">
        <v>18</v>
      </c>
      <c r="S12" s="310" t="s">
        <v>425</v>
      </c>
      <c r="T12" s="310"/>
      <c r="U12" s="310"/>
      <c r="V12" s="310"/>
      <c r="W12" s="310"/>
      <c r="X12" s="310"/>
      <c r="Y12" s="310" t="s">
        <v>65</v>
      </c>
      <c r="Z12" s="310"/>
      <c r="AA12" s="310"/>
      <c r="AB12" s="310"/>
      <c r="AC12" s="310"/>
      <c r="AD12" s="310"/>
      <c r="AE12" s="310"/>
    </row>
    <row r="13" spans="2:31" ht="30" customHeight="1">
      <c r="B13" s="312"/>
      <c r="C13" s="312"/>
      <c r="D13" s="305"/>
      <c r="E13" s="310" t="s">
        <v>64</v>
      </c>
      <c r="F13" s="310"/>
      <c r="G13" s="310"/>
      <c r="H13" s="311" t="s">
        <v>1</v>
      </c>
      <c r="I13" s="311" t="s">
        <v>20</v>
      </c>
      <c r="J13" s="311" t="s">
        <v>2</v>
      </c>
      <c r="K13" s="305"/>
      <c r="L13" s="310" t="s">
        <v>64</v>
      </c>
      <c r="M13" s="310"/>
      <c r="N13" s="310"/>
      <c r="O13" s="311" t="s">
        <v>1</v>
      </c>
      <c r="P13" s="311" t="s">
        <v>20</v>
      </c>
      <c r="Q13" s="311" t="s">
        <v>2</v>
      </c>
      <c r="R13" s="305"/>
      <c r="S13" s="310" t="s">
        <v>64</v>
      </c>
      <c r="T13" s="310"/>
      <c r="U13" s="310"/>
      <c r="V13" s="311" t="s">
        <v>1</v>
      </c>
      <c r="W13" s="311" t="s">
        <v>20</v>
      </c>
      <c r="X13" s="311" t="s">
        <v>2</v>
      </c>
      <c r="Y13" s="320" t="s">
        <v>66</v>
      </c>
      <c r="Z13" s="320" t="s">
        <v>67</v>
      </c>
      <c r="AA13" s="320" t="s">
        <v>68</v>
      </c>
      <c r="AB13" s="320" t="s">
        <v>69</v>
      </c>
      <c r="AC13" s="311" t="s">
        <v>1</v>
      </c>
      <c r="AD13" s="311" t="s">
        <v>2</v>
      </c>
      <c r="AE13" s="311" t="s">
        <v>70</v>
      </c>
    </row>
    <row r="14" spans="2:31" ht="30" customHeight="1">
      <c r="B14" s="312"/>
      <c r="C14" s="312"/>
      <c r="D14" s="305"/>
      <c r="E14" s="311" t="s">
        <v>21</v>
      </c>
      <c r="F14" s="313" t="s">
        <v>22</v>
      </c>
      <c r="G14" s="311" t="s">
        <v>23</v>
      </c>
      <c r="H14" s="311"/>
      <c r="I14" s="311"/>
      <c r="J14" s="311"/>
      <c r="K14" s="305"/>
      <c r="L14" s="311" t="s">
        <v>21</v>
      </c>
      <c r="M14" s="313" t="s">
        <v>22</v>
      </c>
      <c r="N14" s="311" t="s">
        <v>23</v>
      </c>
      <c r="O14" s="311"/>
      <c r="P14" s="311"/>
      <c r="Q14" s="311"/>
      <c r="R14" s="305"/>
      <c r="S14" s="311" t="s">
        <v>21</v>
      </c>
      <c r="T14" s="313" t="s">
        <v>22</v>
      </c>
      <c r="U14" s="311" t="s">
        <v>23</v>
      </c>
      <c r="V14" s="311"/>
      <c r="W14" s="311"/>
      <c r="X14" s="311"/>
      <c r="Y14" s="320"/>
      <c r="Z14" s="320"/>
      <c r="AA14" s="320"/>
      <c r="AB14" s="320"/>
      <c r="AC14" s="311"/>
      <c r="AD14" s="311"/>
      <c r="AE14" s="311"/>
    </row>
    <row r="15" spans="2:31" ht="30" customHeight="1">
      <c r="B15" s="312"/>
      <c r="C15" s="312"/>
      <c r="D15" s="305"/>
      <c r="E15" s="311"/>
      <c r="F15" s="313"/>
      <c r="G15" s="311"/>
      <c r="H15" s="311"/>
      <c r="I15" s="311"/>
      <c r="J15" s="311"/>
      <c r="K15" s="305"/>
      <c r="L15" s="311"/>
      <c r="M15" s="313"/>
      <c r="N15" s="311"/>
      <c r="O15" s="311"/>
      <c r="P15" s="311"/>
      <c r="Q15" s="311"/>
      <c r="R15" s="305"/>
      <c r="S15" s="311"/>
      <c r="T15" s="313"/>
      <c r="U15" s="311"/>
      <c r="V15" s="311"/>
      <c r="W15" s="311"/>
      <c r="X15" s="311"/>
      <c r="Y15" s="320"/>
      <c r="Z15" s="320"/>
      <c r="AA15" s="320"/>
      <c r="AB15" s="320"/>
      <c r="AC15" s="311"/>
      <c r="AD15" s="311"/>
      <c r="AE15" s="311"/>
    </row>
    <row r="16" spans="2:31" ht="30" customHeight="1">
      <c r="B16" s="312"/>
      <c r="C16" s="312"/>
      <c r="D16" s="305"/>
      <c r="E16" s="311"/>
      <c r="F16" s="313"/>
      <c r="G16" s="311"/>
      <c r="H16" s="311"/>
      <c r="I16" s="311"/>
      <c r="J16" s="311"/>
      <c r="K16" s="305"/>
      <c r="L16" s="311"/>
      <c r="M16" s="313"/>
      <c r="N16" s="311"/>
      <c r="O16" s="311"/>
      <c r="P16" s="311"/>
      <c r="Q16" s="311"/>
      <c r="R16" s="305"/>
      <c r="S16" s="311"/>
      <c r="T16" s="313"/>
      <c r="U16" s="311"/>
      <c r="V16" s="311"/>
      <c r="W16" s="311"/>
      <c r="X16" s="311"/>
      <c r="Y16" s="320"/>
      <c r="Z16" s="320"/>
      <c r="AA16" s="320"/>
      <c r="AB16" s="320"/>
      <c r="AC16" s="311"/>
      <c r="AD16" s="311"/>
      <c r="AE16" s="311"/>
    </row>
    <row r="17" spans="2:31" ht="30" customHeight="1">
      <c r="B17" s="312"/>
      <c r="C17" s="312"/>
      <c r="D17" s="305"/>
      <c r="E17" s="311"/>
      <c r="F17" s="313"/>
      <c r="G17" s="311"/>
      <c r="H17" s="311"/>
      <c r="I17" s="311"/>
      <c r="J17" s="311"/>
      <c r="K17" s="305"/>
      <c r="L17" s="311"/>
      <c r="M17" s="313"/>
      <c r="N17" s="311"/>
      <c r="O17" s="311"/>
      <c r="P17" s="311"/>
      <c r="Q17" s="311"/>
      <c r="R17" s="305"/>
      <c r="S17" s="311"/>
      <c r="T17" s="313"/>
      <c r="U17" s="311"/>
      <c r="V17" s="311"/>
      <c r="W17" s="311"/>
      <c r="X17" s="311"/>
      <c r="Y17" s="320"/>
      <c r="Z17" s="320"/>
      <c r="AA17" s="320"/>
      <c r="AB17" s="320"/>
      <c r="AC17" s="311"/>
      <c r="AD17" s="311"/>
      <c r="AE17" s="311"/>
    </row>
    <row r="18" spans="2:31" ht="32.1" customHeight="1">
      <c r="B18" s="315" t="s">
        <v>24</v>
      </c>
      <c r="C18" s="315"/>
      <c r="D18" s="234">
        <f>IFERROR(VLOOKUP(D$8,'1ST_SEMESTER'!B$6:CO$99,6,0),"")</f>
        <v>13</v>
      </c>
      <c r="E18" s="234">
        <f>IFERROR(VLOOKUP(D$8,'1ST_SEMESTER'!B$6:CO$99,7,0),"")</f>
        <v>26</v>
      </c>
      <c r="F18" s="234">
        <f>IFERROR(VLOOKUP(D$8,'1ST_SEMESTER'!B$6:CO$99,9,0),"")</f>
        <v>22</v>
      </c>
      <c r="G18" s="307"/>
      <c r="H18" s="302">
        <f>IFERROR(VLOOKUP(D$8,'1ST_SEMESTER'!B$6:CO$99,16,0),"")</f>
        <v>146</v>
      </c>
      <c r="I18" s="308">
        <f>'1ST_SEMESTER'!R8</f>
        <v>174</v>
      </c>
      <c r="J18" s="302">
        <f>IFERROR(VLOOKUP(D$8,'1ST_SEMESTER'!B$6:CO$99,18,0),"")</f>
        <v>4</v>
      </c>
      <c r="K18" s="234">
        <f>IFERROR(VLOOKUP(D$8,'2ND_SEMESTER'!B$6:CO$99,6,0),"")</f>
        <v>15</v>
      </c>
      <c r="L18" s="234">
        <f>IFERROR(VLOOKUP(D$8,'2ND_SEMESTER'!B$6:CO$99,7,0),"")</f>
        <v>29</v>
      </c>
      <c r="M18" s="234">
        <f>IFERROR(VLOOKUP(D$8,'2ND_SEMESTER'!B$6:CO$99,9,0),"")</f>
        <v>23</v>
      </c>
      <c r="N18" s="307"/>
      <c r="O18" s="308">
        <f>IFERROR(VLOOKUP(D$8,'2ND_SEMESTER'!B$6:CO$99,16,0),"")</f>
        <v>142</v>
      </c>
      <c r="P18" s="308">
        <f>'2ND_SEMESTER'!R8</f>
        <v>181</v>
      </c>
      <c r="Q18" s="302">
        <f>IFERROR(VLOOKUP(D$8,'2ND_SEMESTER'!B$6:CO$99,18,0),"")</f>
        <v>4</v>
      </c>
      <c r="R18" s="234">
        <f>IFERROR(VLOOKUP(D$8,'3RD_SEMESTER'!B$6:CO$99,6,0),"")</f>
        <v>17</v>
      </c>
      <c r="S18" s="234">
        <f>IFERROR(VLOOKUP(D$8,'3RD_SEMESTER'!B$6:CO$99,7,0),"")</f>
        <v>27</v>
      </c>
      <c r="T18" s="234">
        <f>IFERROR(VLOOKUP(D$8,'3RD_SEMESTER'!B$6:CO$99,9,0),"")</f>
        <v>25</v>
      </c>
      <c r="U18" s="307"/>
      <c r="V18" s="302">
        <f>IFERROR(VLOOKUP(D$8,'3RD_SEMESTER'!B$6:CO$99,16,0),"")</f>
        <v>153</v>
      </c>
      <c r="W18" s="308">
        <f>'3RD_SEMESTER'!R8</f>
        <v>176</v>
      </c>
      <c r="X18" s="302">
        <f>IFERROR(VLOOKUP(D$8,'3RD_SEMESTER'!B$6:CO$99,18,0),"")</f>
        <v>4</v>
      </c>
      <c r="Y18" s="235">
        <f t="shared" ref="Y18:AA19" si="0">SUM(D18,K18,R18)/3</f>
        <v>15</v>
      </c>
      <c r="Z18" s="235">
        <f t="shared" si="0"/>
        <v>27.333333333333332</v>
      </c>
      <c r="AA18" s="235">
        <f t="shared" si="0"/>
        <v>23.333333333333332</v>
      </c>
      <c r="AB18" s="302"/>
      <c r="AC18" s="303">
        <f>SUM(Y18:AA19)</f>
        <v>147</v>
      </c>
      <c r="AD18" s="303">
        <f>IF(AC18&lt;80,"F",IF(AC18&lt;100,2,IF(AC18&lt;120,3,IF(AC18&lt;140,3.5,IF(AC18&lt;160,4,5)))))</f>
        <v>4</v>
      </c>
      <c r="AE18" s="319">
        <f>IF(AD18="F","F",IF(AD20="F","F",IF(AD22="F","F",IF(AD23="F","F",IF(AD24="F","F",IF(AD25="F","F",IF(AD26="F","F",IF(AD27="F","F",IF(AD28="F","F",IF(SUM(AD18:AD30)&gt;45,5,SUM(AD18:AD30)/9))))))))))</f>
        <v>4.5555555555555554</v>
      </c>
    </row>
    <row r="19" spans="2:31" ht="32.1" customHeight="1">
      <c r="B19" s="315" t="s">
        <v>25</v>
      </c>
      <c r="C19" s="315"/>
      <c r="D19" s="234">
        <f>IFERROR(VLOOKUP(D$8,'1ST_SEMESTER'!B$6:CO$99,11,0),"")</f>
        <v>19</v>
      </c>
      <c r="E19" s="234">
        <f>IFERROR(VLOOKUP(D$8,'1ST_SEMESTER'!B$6:CO$99,12,0),"")</f>
        <v>41</v>
      </c>
      <c r="F19" s="234">
        <f>IFERROR(VLOOKUP(D$8,'1ST_SEMESTER'!B$6:CO$99,14,0),"")</f>
        <v>25</v>
      </c>
      <c r="G19" s="307"/>
      <c r="H19" s="302"/>
      <c r="I19" s="308"/>
      <c r="J19" s="302"/>
      <c r="K19" s="234">
        <f>IFERROR(VLOOKUP(D$8,'2ND_SEMESTER'!B$6:CO$99,11,0),"")</f>
        <v>17</v>
      </c>
      <c r="L19" s="234">
        <f>IFERROR(VLOOKUP(D$8,'2ND_SEMESTER'!B$6:CO$99,12,0),"")</f>
        <v>35</v>
      </c>
      <c r="M19" s="234">
        <f>IFERROR(VLOOKUP(D$8,'2ND_SEMESTER'!B$6:CO$99,14,0),"")</f>
        <v>23</v>
      </c>
      <c r="N19" s="307"/>
      <c r="O19" s="308"/>
      <c r="P19" s="308"/>
      <c r="Q19" s="302"/>
      <c r="R19" s="234">
        <f>IFERROR(VLOOKUP(D$8,'3RD_SEMESTER'!B$6:CO$99,11,0),"")</f>
        <v>16</v>
      </c>
      <c r="S19" s="234">
        <f>IFERROR(VLOOKUP(D$8,'3RD_SEMESTER'!B$6:CO$99,12,0),"")</f>
        <v>41</v>
      </c>
      <c r="T19" s="234">
        <f>IFERROR(VLOOKUP(D$8,'3RD_SEMESTER'!B$6:CO$99,14,0),"")</f>
        <v>27</v>
      </c>
      <c r="U19" s="307"/>
      <c r="V19" s="302"/>
      <c r="W19" s="308"/>
      <c r="X19" s="302"/>
      <c r="Y19" s="235">
        <f t="shared" si="0"/>
        <v>17.333333333333332</v>
      </c>
      <c r="Z19" s="235">
        <f t="shared" si="0"/>
        <v>39</v>
      </c>
      <c r="AA19" s="235">
        <f t="shared" si="0"/>
        <v>25</v>
      </c>
      <c r="AB19" s="302"/>
      <c r="AC19" s="303"/>
      <c r="AD19" s="303">
        <f t="shared" ref="AD19:AD21" si="1">SUM(J19,Q19,X19)/3</f>
        <v>0</v>
      </c>
      <c r="AE19" s="319"/>
    </row>
    <row r="20" spans="2:31" ht="32.1" customHeight="1">
      <c r="B20" s="315" t="s">
        <v>26</v>
      </c>
      <c r="C20" s="315"/>
      <c r="D20" s="234">
        <f>IFERROR(VLOOKUP(D$8,'1ST_SEMESTER'!B$6:CO$99,19,0),"")</f>
        <v>13</v>
      </c>
      <c r="E20" s="234">
        <f>IFERROR(VLOOKUP(D$8,'1ST_SEMESTER'!B$6:CO$99,20,0),"")</f>
        <v>58</v>
      </c>
      <c r="F20" s="308"/>
      <c r="G20" s="307"/>
      <c r="H20" s="302">
        <f>IFERROR(VLOOKUP(D$8,'1ST_SEMESTER'!B$6:CO$99,25,0),"")</f>
        <v>158</v>
      </c>
      <c r="I20" s="308">
        <f>'1ST_SEMESTER'!AA8</f>
        <v>174</v>
      </c>
      <c r="J20" s="302">
        <f>IFERROR(VLOOKUP(D$8,'1ST_SEMESTER'!B$6:CO$99,27,0),"")</f>
        <v>4</v>
      </c>
      <c r="K20" s="234">
        <f>IFERROR(VLOOKUP(D$8,'2ND_SEMESTER'!B$6:CO$99,19,0),"")</f>
        <v>13</v>
      </c>
      <c r="L20" s="234">
        <f>IFERROR(VLOOKUP(D$8,'2ND_SEMESTER'!B$6:CO$99,20,0),"")</f>
        <v>65</v>
      </c>
      <c r="M20" s="308"/>
      <c r="N20" s="307"/>
      <c r="O20" s="308">
        <f>IFERROR(VLOOKUP(D$8,'2ND_SEMESTER'!B$6:CO$99,25,0),"")</f>
        <v>148</v>
      </c>
      <c r="P20" s="308">
        <f>'2ND_SEMESTER'!AA8</f>
        <v>180</v>
      </c>
      <c r="Q20" s="302">
        <f>IFERROR(VLOOKUP(D$8,'2ND_SEMESTER'!B$6:CO$99,27,0),"")</f>
        <v>4</v>
      </c>
      <c r="R20" s="234">
        <f>IFERROR(VLOOKUP(D$8,'3RD_SEMESTER'!B$6:CO$99,19,0),"")</f>
        <v>20</v>
      </c>
      <c r="S20" s="234">
        <f>IFERROR(VLOOKUP(D$8,'3RD_SEMESTER'!B$6:CO$99,20,0),"")</f>
        <v>64</v>
      </c>
      <c r="T20" s="308"/>
      <c r="U20" s="307"/>
      <c r="V20" s="302">
        <f>IFERROR(VLOOKUP(D$8,'3RD_SEMESTER'!B$6:CO$99,25,0),"")</f>
        <v>162</v>
      </c>
      <c r="W20" s="308">
        <f>'3RD_SEMESTER'!AA8</f>
        <v>173</v>
      </c>
      <c r="X20" s="302">
        <f>IFERROR(VLOOKUP(D$8,'3RD_SEMESTER'!B$6:CO$99,27,0),"")</f>
        <v>5</v>
      </c>
      <c r="Y20" s="235">
        <f t="shared" ref="Y20:Z23" si="2">SUM(D20,K20,R20)/3</f>
        <v>15.333333333333334</v>
      </c>
      <c r="Z20" s="235">
        <f t="shared" si="2"/>
        <v>62.333333333333336</v>
      </c>
      <c r="AA20" s="303"/>
      <c r="AB20" s="302"/>
      <c r="AC20" s="303">
        <f>SUM(Y20:Z21)</f>
        <v>156</v>
      </c>
      <c r="AD20" s="303">
        <f>IF(AC20&lt;80,"F",IF(AC20&lt;100,2,IF(AC20&lt;120,3,IF(AC20&lt;140,3.5,IF(AC20&lt;160,4,5)))))</f>
        <v>4</v>
      </c>
      <c r="AE20" s="319"/>
    </row>
    <row r="21" spans="2:31" ht="32.1" customHeight="1">
      <c r="B21" s="315" t="s">
        <v>27</v>
      </c>
      <c r="C21" s="315"/>
      <c r="D21" s="234">
        <f>IFERROR(VLOOKUP(D$8,'1ST_SEMESTER'!B$6:CO$99,22,0),"")</f>
        <v>16</v>
      </c>
      <c r="E21" s="234">
        <f>IFERROR(VLOOKUP(D$8,'1ST_SEMESTER'!B$6:CO$99,23,0),"")</f>
        <v>71</v>
      </c>
      <c r="F21" s="308"/>
      <c r="G21" s="307"/>
      <c r="H21" s="302"/>
      <c r="I21" s="308"/>
      <c r="J21" s="302"/>
      <c r="K21" s="234">
        <f>IFERROR(VLOOKUP(D$8,'2ND_SEMESTER'!B$6:CO$99,22,0),"")</f>
        <v>17</v>
      </c>
      <c r="L21" s="234">
        <f>IFERROR(VLOOKUP(D$8,'2ND_SEMESTER'!B$6:CO$99,23,0),"")</f>
        <v>53</v>
      </c>
      <c r="M21" s="308"/>
      <c r="N21" s="307"/>
      <c r="O21" s="308"/>
      <c r="P21" s="308"/>
      <c r="Q21" s="302"/>
      <c r="R21" s="234">
        <f>IFERROR(VLOOKUP(D$8,'3RD_SEMESTER'!B$6:CO$99,22,0),"")</f>
        <v>18</v>
      </c>
      <c r="S21" s="234">
        <f>IFERROR(VLOOKUP(D$8,'3RD_SEMESTER'!B$6:CO$99,23,0),"")</f>
        <v>60</v>
      </c>
      <c r="T21" s="308"/>
      <c r="U21" s="307"/>
      <c r="V21" s="302"/>
      <c r="W21" s="308"/>
      <c r="X21" s="302"/>
      <c r="Y21" s="235">
        <f t="shared" si="2"/>
        <v>17</v>
      </c>
      <c r="Z21" s="235">
        <f t="shared" si="2"/>
        <v>61.333333333333336</v>
      </c>
      <c r="AA21" s="303"/>
      <c r="AB21" s="302"/>
      <c r="AC21" s="303"/>
      <c r="AD21" s="303">
        <f t="shared" si="1"/>
        <v>0</v>
      </c>
      <c r="AE21" s="319"/>
    </row>
    <row r="22" spans="2:31" ht="32.1" customHeight="1">
      <c r="B22" s="315" t="s">
        <v>28</v>
      </c>
      <c r="C22" s="315"/>
      <c r="D22" s="234">
        <f>IFERROR(VLOOKUP(D$8,'1ST_SEMESTER'!B$6:CO$99,28,0),"")</f>
        <v>11</v>
      </c>
      <c r="E22" s="234">
        <f>IFERROR(VLOOKUP(D$8,'1ST_SEMESTER'!B$6:CO$99,29,0),"")</f>
        <v>24</v>
      </c>
      <c r="F22" s="234">
        <f>IFERROR(VLOOKUP(D$8,'1ST_SEMESTER'!B$6:CO$99,31,0),"")</f>
        <v>22</v>
      </c>
      <c r="G22" s="307"/>
      <c r="H22" s="236">
        <f>IFERROR(VLOOKUP(D$8,'1ST_SEMESTER'!B$6:CO$99,32,0),"")</f>
        <v>57</v>
      </c>
      <c r="I22" s="234">
        <f>'1ST_SEMESTER'!AH8</f>
        <v>87</v>
      </c>
      <c r="J22" s="236">
        <f>IFERROR(VLOOKUP(D$8,'1ST_SEMESTER'!B$6:CO$99,34,0),"")</f>
        <v>3</v>
      </c>
      <c r="K22" s="234">
        <f>IFERROR(VLOOKUP(D$8,'2ND_SEMESTER'!B$6:CO$99,28,0),"")</f>
        <v>18</v>
      </c>
      <c r="L22" s="234">
        <f>IFERROR(VLOOKUP(D$8,'2ND_SEMESTER'!B$6:CO$99,29,0),"")</f>
        <v>27</v>
      </c>
      <c r="M22" s="234">
        <f>IFERROR(VLOOKUP(D$8,'2ND_SEMESTER'!B$6:CO$99,31,0),"")</f>
        <v>29</v>
      </c>
      <c r="N22" s="307"/>
      <c r="O22" s="234">
        <f>IFERROR(VLOOKUP(D$8,'2ND_SEMESTER'!B$6:CO$99,32,0),"")</f>
        <v>74</v>
      </c>
      <c r="P22" s="234">
        <f>'2ND_SEMESTER'!AH8</f>
        <v>94</v>
      </c>
      <c r="Q22" s="236">
        <f>IFERROR(VLOOKUP(D$8,'2ND_SEMESTER'!B$6:CO$99,34,0),"")</f>
        <v>4</v>
      </c>
      <c r="R22" s="234">
        <f>IFERROR(VLOOKUP(D$8,'3RD_SEMESTER'!B$6:CO$99,28,0),"")</f>
        <v>20</v>
      </c>
      <c r="S22" s="234">
        <f>IFERROR(VLOOKUP(D$8,'3RD_SEMESTER'!B$6:CO$99,29,0),"")</f>
        <v>32</v>
      </c>
      <c r="T22" s="234">
        <f>IFERROR(VLOOKUP(D$8,'3RD_SEMESTER'!B$6:CO$99,31,0),"")</f>
        <v>16</v>
      </c>
      <c r="U22" s="307"/>
      <c r="V22" s="236">
        <f>IFERROR(VLOOKUP(D$8,'3RD_SEMESTER'!B$6:CO$99,32,0),"")</f>
        <v>68</v>
      </c>
      <c r="W22" s="234">
        <f>'3RD_SEMESTER'!AH8</f>
        <v>95</v>
      </c>
      <c r="X22" s="236">
        <f>IFERROR(VLOOKUP(D$8,'3RD_SEMESTER'!B$6:CO$99,34,0),"")</f>
        <v>3.5</v>
      </c>
      <c r="Y22" s="235">
        <f t="shared" si="2"/>
        <v>16.333333333333332</v>
      </c>
      <c r="Z22" s="235">
        <f t="shared" si="2"/>
        <v>27.666666666666668</v>
      </c>
      <c r="AA22" s="235">
        <f t="shared" ref="AA22:AA28" si="3">SUM(F22,M22,T22)/3</f>
        <v>22.333333333333332</v>
      </c>
      <c r="AB22" s="302"/>
      <c r="AC22" s="235">
        <f>SUM(Y22:AA22)</f>
        <v>66.333333333333329</v>
      </c>
      <c r="AD22" s="235">
        <f>IF(AC22&lt;40,"F",IF(AC22&lt;50,2,IF(AC22&lt;60,3,IF(AC22&lt;70,3.5,IF(AC22&lt;80,4,5)))))</f>
        <v>3.5</v>
      </c>
      <c r="AE22" s="319"/>
    </row>
    <row r="23" spans="2:31" ht="32.1" customHeight="1">
      <c r="B23" s="315" t="s">
        <v>80</v>
      </c>
      <c r="C23" s="315"/>
      <c r="D23" s="234">
        <f>IFERROR(VLOOKUP(D$8,'1ST_SEMESTER'!B$6:CO$99,35,0),"")</f>
        <v>18</v>
      </c>
      <c r="E23" s="234">
        <f>IFERROR(VLOOKUP(D$8,'1ST_SEMESTER'!B$6:CO$99,36,0),"")</f>
        <v>45</v>
      </c>
      <c r="F23" s="234">
        <f>IFERROR(VLOOKUP(D$8,'1ST_SEMESTER'!B$6:CO$99,38,0),"")</f>
        <v>22</v>
      </c>
      <c r="G23" s="307"/>
      <c r="H23" s="236">
        <f>IFERROR(VLOOKUP(D$8,'1ST_SEMESTER'!B$6:CO$99,39,0),"")</f>
        <v>85</v>
      </c>
      <c r="I23" s="234">
        <f>'1ST_SEMESTER'!AO8</f>
        <v>98</v>
      </c>
      <c r="J23" s="236">
        <f>IFERROR(VLOOKUP(D$8,'1ST_SEMESTER'!B$6:CO$99,41,0),"")</f>
        <v>5</v>
      </c>
      <c r="K23" s="234">
        <f>IFERROR(VLOOKUP(D$8,'2ND_SEMESTER'!B$6:CO$99,35,0),"")</f>
        <v>20</v>
      </c>
      <c r="L23" s="234">
        <f>IFERROR(VLOOKUP(D$8,'2ND_SEMESTER'!B$6:CO$99,36,0),"")</f>
        <v>41</v>
      </c>
      <c r="M23" s="234">
        <f>IFERROR(VLOOKUP(D$8,'2ND_SEMESTER'!B$6:CO$99,38,0),"")</f>
        <v>20</v>
      </c>
      <c r="N23" s="307"/>
      <c r="O23" s="234">
        <f>IFERROR(VLOOKUP(D$8,'2ND_SEMESTER'!B$6:CO$99,39,0),"")</f>
        <v>81</v>
      </c>
      <c r="P23" s="234">
        <f>'2ND_SEMESTER'!AO8</f>
        <v>98</v>
      </c>
      <c r="Q23" s="236">
        <f>IFERROR(VLOOKUP(D$8,'2ND_SEMESTER'!B$6:CO$99,41,0),"")</f>
        <v>5</v>
      </c>
      <c r="R23" s="234">
        <f>IFERROR(VLOOKUP(D$8,'3RD_SEMESTER'!B$6:CO$99,35,0),"")</f>
        <v>20</v>
      </c>
      <c r="S23" s="234">
        <f>IFERROR(VLOOKUP(D$8,'3RD_SEMESTER'!B$6:CO$99,36,0),"")</f>
        <v>43</v>
      </c>
      <c r="T23" s="234">
        <f>IFERROR(VLOOKUP(D$8,'3RD_SEMESTER'!B$6:CO$99,38,0),"")</f>
        <v>30</v>
      </c>
      <c r="U23" s="307"/>
      <c r="V23" s="236">
        <f>IFERROR(VLOOKUP(D$8,'3RD_SEMESTER'!B$6:CO$99,39,0),"")</f>
        <v>93</v>
      </c>
      <c r="W23" s="234">
        <f>'3RD_SEMESTER'!AO8</f>
        <v>97</v>
      </c>
      <c r="X23" s="236">
        <f>IFERROR(VLOOKUP(D$8,'3RD_SEMESTER'!B$6:CO$99,41,0),"")</f>
        <v>5</v>
      </c>
      <c r="Y23" s="235">
        <f t="shared" si="2"/>
        <v>19.333333333333332</v>
      </c>
      <c r="Z23" s="235">
        <f t="shared" si="2"/>
        <v>43</v>
      </c>
      <c r="AA23" s="235">
        <f t="shared" si="3"/>
        <v>24</v>
      </c>
      <c r="AB23" s="302"/>
      <c r="AC23" s="235">
        <f>SUM(Y23:AA23)</f>
        <v>86.333333333333329</v>
      </c>
      <c r="AD23" s="235">
        <f t="shared" ref="AD23:AD28" si="4">IF(AC23&lt;40,"F",IF(AC23&lt;50,2,IF(AC23&lt;60,3,IF(AC23&lt;70,3.5,IF(AC23&lt;80,4,5)))))</f>
        <v>5</v>
      </c>
      <c r="AE23" s="319"/>
    </row>
    <row r="24" spans="2:31" ht="32.1" customHeight="1">
      <c r="B24" s="315" t="s">
        <v>4</v>
      </c>
      <c r="C24" s="315"/>
      <c r="D24" s="234">
        <f>IFERROR(VLOOKUP(D$8,'1ST_SEMESTER'!B$6:CO$99,42,0),"")</f>
        <v>0</v>
      </c>
      <c r="E24" s="234"/>
      <c r="F24" s="234">
        <f>IFERROR(VLOOKUP(D$8,'1ST_SEMESTER'!B$6:CO$99,43,0),"")</f>
        <v>24</v>
      </c>
      <c r="G24" s="234">
        <f>IFERROR(VLOOKUP(D$8,'1ST_SEMESTER'!B$6:CO$99,44,0),"")</f>
        <v>25</v>
      </c>
      <c r="H24" s="236">
        <f>IFERROR(VLOOKUP(D$8,'1ST_SEMESTER'!B$6:CO$99,45,0),"")</f>
        <v>49</v>
      </c>
      <c r="I24" s="234">
        <f>'1ST_SEMESTER'!AU8</f>
        <v>50</v>
      </c>
      <c r="J24" s="236">
        <f>IFERROR(VLOOKUP(D$8,'1ST_SEMESTER'!B$6:CO$99,47,0),"")</f>
        <v>5</v>
      </c>
      <c r="K24" s="234">
        <f>IFERROR(VLOOKUP(D$8,'2ND_SEMESTER'!B$6:CO$99,42,0),"")</f>
        <v>0</v>
      </c>
      <c r="L24" s="234"/>
      <c r="M24" s="234">
        <f>IFERROR(VLOOKUP(D$8,'2ND_SEMESTER'!B$6:CO$99,43,0),"")</f>
        <v>20</v>
      </c>
      <c r="N24" s="234">
        <f>IFERROR(VLOOKUP(D$8,'2ND_SEMESTER'!B$6:CO$99,44,0),"")</f>
        <v>25</v>
      </c>
      <c r="O24" s="234">
        <f>IFERROR(VLOOKUP(D$8,'2ND_SEMESTER'!B$6:CO$99,45,0),"")</f>
        <v>45</v>
      </c>
      <c r="P24" s="234">
        <f>'2ND_SEMESTER'!AU8</f>
        <v>50</v>
      </c>
      <c r="Q24" s="236">
        <f>IFERROR(VLOOKUP(D$8,'2ND_SEMESTER'!B$6:CO$99,47,0),"")</f>
        <v>5</v>
      </c>
      <c r="R24" s="234">
        <f>IFERROR(VLOOKUP(D$8,'3RD_SEMESTER'!B$6:CO$99,42,0),"")</f>
        <v>0</v>
      </c>
      <c r="S24" s="234"/>
      <c r="T24" s="234">
        <f>IFERROR(VLOOKUP(D$8,'3RD_SEMESTER'!B$6:CO$99,43,0),"")</f>
        <v>20</v>
      </c>
      <c r="U24" s="234">
        <f>IFERROR(VLOOKUP(D$8,'3RD_SEMESTER'!B$6:CO$99,44,0),"")</f>
        <v>24</v>
      </c>
      <c r="V24" s="236">
        <f>IFERROR(VLOOKUP(D$8,'3RD_SEMESTER'!B$6:CO$99,45,0),"")</f>
        <v>44</v>
      </c>
      <c r="W24" s="234">
        <f>'3RD_SEMESTER'!AU8</f>
        <v>48</v>
      </c>
      <c r="X24" s="236">
        <f>IFERROR(VLOOKUP(D$8,'3RD_SEMESTER'!B$6:CO$99,47,0),"")</f>
        <v>5</v>
      </c>
      <c r="Y24" s="235">
        <f>SUM(D24,K24,R24)/3</f>
        <v>0</v>
      </c>
      <c r="Z24" s="235"/>
      <c r="AA24" s="235">
        <f t="shared" si="3"/>
        <v>21.333333333333332</v>
      </c>
      <c r="AB24" s="235">
        <f>SUM(G24,N24,U24)/3</f>
        <v>24.666666666666668</v>
      </c>
      <c r="AC24" s="235">
        <f>SUM(Y24+AA24+AB24)</f>
        <v>46</v>
      </c>
      <c r="AD24" s="235">
        <f>IF(AC24&lt;20,"F",IF(AC24&lt;25,2,IF(AC24&lt;30,3,IF(AC24&lt;35,3.5,IF(AC24&lt;40,4,5)))))</f>
        <v>5</v>
      </c>
      <c r="AE24" s="319"/>
    </row>
    <row r="25" spans="2:31" ht="32.1" customHeight="1">
      <c r="B25" s="315" t="s">
        <v>48</v>
      </c>
      <c r="C25" s="315"/>
      <c r="D25" s="234">
        <f>IFERROR(VLOOKUP(D$8,'1ST_SEMESTER'!B$6:CO$99,48,0),"")</f>
        <v>16</v>
      </c>
      <c r="E25" s="234">
        <f>IFERROR(VLOOKUP(D$8,'1ST_SEMESTER'!B$6:CO$99,49,0),"")</f>
        <v>27</v>
      </c>
      <c r="F25" s="234">
        <f>IFERROR(VLOOKUP(D$8,'1ST_SEMESTER'!B$6:CO$99,51,0),"")</f>
        <v>25</v>
      </c>
      <c r="G25" s="234"/>
      <c r="H25" s="236">
        <f>IFERROR(VLOOKUP(D$8,'1ST_SEMESTER'!B$6:CO$99,52,0),"")</f>
        <v>68</v>
      </c>
      <c r="I25" s="234">
        <f>'1ST_SEMESTER'!BB8</f>
        <v>88</v>
      </c>
      <c r="J25" s="236">
        <f>IFERROR(VLOOKUP(D$8,'1ST_SEMESTER'!B$6:CO$99,54,0),"")</f>
        <v>3.5</v>
      </c>
      <c r="K25" s="234">
        <f>IFERROR(VLOOKUP(D$8,'2ND_SEMESTER'!B$6:CO$99,48,0),"")</f>
        <v>13</v>
      </c>
      <c r="L25" s="234">
        <f>IFERROR(VLOOKUP(D$8,'2ND_SEMESTER'!B$6:CO$99,49,0),"")</f>
        <v>21</v>
      </c>
      <c r="M25" s="234">
        <f>IFERROR(VLOOKUP(D$8,'2ND_SEMESTER'!B$6:CO$99,51,0),"")</f>
        <v>26</v>
      </c>
      <c r="N25" s="234"/>
      <c r="O25" s="234">
        <f>IFERROR(VLOOKUP(D$8,'2ND_SEMESTER'!B$6:CO$99,52,0),"")</f>
        <v>60</v>
      </c>
      <c r="P25" s="234">
        <f>'2ND_SEMESTER'!BB8</f>
        <v>85</v>
      </c>
      <c r="Q25" s="236">
        <f>IFERROR(VLOOKUP(D$8,'2ND_SEMESTER'!B$6:CO$99,54,0),"")</f>
        <v>3.5</v>
      </c>
      <c r="R25" s="234">
        <f>IFERROR(VLOOKUP(D$8,'3RD_SEMESTER'!B$6:CO$99,48,0),"")</f>
        <v>13</v>
      </c>
      <c r="S25" s="234">
        <f>IFERROR(VLOOKUP(D$8,'3RD_SEMESTER'!B$6:CO$99,49,0),"")</f>
        <v>24</v>
      </c>
      <c r="T25" s="234">
        <f>IFERROR(VLOOKUP(D$8,'3RD_SEMESTER'!B$6:CO$99,51,0),"")</f>
        <v>25</v>
      </c>
      <c r="U25" s="234"/>
      <c r="V25" s="236">
        <f>IFERROR(VLOOKUP(D$8,'3RD_SEMESTER'!B$6:CO$99,52,0),"")</f>
        <v>62</v>
      </c>
      <c r="W25" s="234">
        <f>'3RD_SEMESTER'!BB8</f>
        <v>91</v>
      </c>
      <c r="X25" s="236">
        <f>IFERROR(VLOOKUP(D$8,'3RD_SEMESTER'!B$6:CO$99,54,0),"")</f>
        <v>3.5</v>
      </c>
      <c r="Y25" s="235">
        <f>SUM(D25,K25,R25)/3</f>
        <v>14</v>
      </c>
      <c r="Z25" s="235">
        <f>SUM(E25,L25,S25)/3</f>
        <v>24</v>
      </c>
      <c r="AA25" s="235">
        <f t="shared" si="3"/>
        <v>25.333333333333332</v>
      </c>
      <c r="AB25" s="235"/>
      <c r="AC25" s="235">
        <f>SUM(Y25:AA25)</f>
        <v>63.333333333333329</v>
      </c>
      <c r="AD25" s="235">
        <f t="shared" si="4"/>
        <v>3.5</v>
      </c>
      <c r="AE25" s="319"/>
    </row>
    <row r="26" spans="2:31" ht="32.1" customHeight="1">
      <c r="B26" s="315" t="s">
        <v>41</v>
      </c>
      <c r="C26" s="315"/>
      <c r="D26" s="234">
        <f>IFERROR(VLOOKUP(D$8,'1ST_SEMESTER'!B$6:CO$99,55,0),"")</f>
        <v>6</v>
      </c>
      <c r="E26" s="234">
        <f>IFERROR(VLOOKUP(D$8,'1ST_SEMESTER'!B$6:CO$99,56,0),"")</f>
        <v>36</v>
      </c>
      <c r="F26" s="234">
        <f>IFERROR(VLOOKUP(D$8,'1ST_SEMESTER'!B$6:CO$99,58,0),"")</f>
        <v>16</v>
      </c>
      <c r="G26" s="234">
        <f>IFERROR(VLOOKUP(D$8,'1ST_SEMESTER'!B$6:CO$99,59,0),"")</f>
        <v>25</v>
      </c>
      <c r="H26" s="236">
        <f>IFERROR(VLOOKUP(D$8,'1ST_SEMESTER'!B$6:CO$99,60,0),"")</f>
        <v>83</v>
      </c>
      <c r="I26" s="234">
        <f>'1ST_SEMESTER'!BJ8</f>
        <v>96</v>
      </c>
      <c r="J26" s="236">
        <f>IFERROR(VLOOKUP(D$8,'1ST_SEMESTER'!B$6:CO$99,62,0),"")</f>
        <v>5</v>
      </c>
      <c r="K26" s="234">
        <f>IFERROR(VLOOKUP(D$8,'2ND_SEMESTER'!B$6:CO$99,55,0),"")</f>
        <v>10</v>
      </c>
      <c r="L26" s="234">
        <f>IFERROR(VLOOKUP(D$8,'2ND_SEMESTER'!B$6:CO$99,56,0),"")</f>
        <v>35</v>
      </c>
      <c r="M26" s="234">
        <f>IFERROR(VLOOKUP(D$8,'2ND_SEMESTER'!B$6:CO$99,58,0),"")</f>
        <v>16</v>
      </c>
      <c r="N26" s="234">
        <f>IFERROR(VLOOKUP(D$8,'2ND_SEMESTER'!B$6:CO$99,59,0),"")</f>
        <v>25</v>
      </c>
      <c r="O26" s="234">
        <f>IFERROR(VLOOKUP(D$8,'2ND_SEMESTER'!B$6:CO$99,60,0),"")</f>
        <v>86</v>
      </c>
      <c r="P26" s="234">
        <f>'2ND_SEMESTER'!BJ8</f>
        <v>95</v>
      </c>
      <c r="Q26" s="236">
        <f>IFERROR(VLOOKUP(D$8,'2ND_SEMESTER'!B$6:CO$99,62,0),"")</f>
        <v>5</v>
      </c>
      <c r="R26" s="234">
        <f>IFERROR(VLOOKUP(D$8,'3RD_SEMESTER'!B$6:CO$99,55,0),"")</f>
        <v>9</v>
      </c>
      <c r="S26" s="234">
        <f>IFERROR(VLOOKUP(D$8,'3RD_SEMESTER'!B$6:CO$99,56,0),"")</f>
        <v>32</v>
      </c>
      <c r="T26" s="234">
        <f>IFERROR(VLOOKUP(D$8,'3RD_SEMESTER'!B$6:CO$99,58,0),"")</f>
        <v>23</v>
      </c>
      <c r="U26" s="234">
        <f>IFERROR(VLOOKUP(D$8,'3RD_SEMESTER'!B$6:CO$99,59,0),"")</f>
        <v>25</v>
      </c>
      <c r="V26" s="236">
        <f>IFERROR(VLOOKUP(D$8,'3RD_SEMESTER'!B$6:CO$99,60,0),"")</f>
        <v>89</v>
      </c>
      <c r="W26" s="234">
        <f>'3RD_SEMESTER'!BJ8</f>
        <v>100</v>
      </c>
      <c r="X26" s="236">
        <f>IFERROR(VLOOKUP(D$8,'3RD_SEMESTER'!B$6:CO$99,62,0),"")</f>
        <v>5</v>
      </c>
      <c r="Y26" s="235">
        <f>SUM(D26,K26,R26)/3</f>
        <v>8.3333333333333339</v>
      </c>
      <c r="Z26" s="235">
        <f>SUM(E26,L26,S26)/3</f>
        <v>34.333333333333336</v>
      </c>
      <c r="AA26" s="235">
        <f t="shared" si="3"/>
        <v>18.333333333333332</v>
      </c>
      <c r="AB26" s="235">
        <f>SUM(G26,N26,U26)/3</f>
        <v>25</v>
      </c>
      <c r="AC26" s="235">
        <f>SUM(Y26:AB26)</f>
        <v>86</v>
      </c>
      <c r="AD26" s="235">
        <f t="shared" si="4"/>
        <v>5</v>
      </c>
      <c r="AE26" s="319"/>
    </row>
    <row r="27" spans="2:31" ht="32.1" customHeight="1">
      <c r="B27" s="315" t="s">
        <v>42</v>
      </c>
      <c r="C27" s="315"/>
      <c r="D27" s="234">
        <f>IFERROR(VLOOKUP(D$8,'1ST_SEMESTER'!B$6:CO$99,63,0),"")</f>
        <v>6</v>
      </c>
      <c r="E27" s="234">
        <f>IFERROR(VLOOKUP(D$8,'1ST_SEMESTER'!B$6:CO$99,64,0),"")</f>
        <v>26</v>
      </c>
      <c r="F27" s="234">
        <f>IFERROR(VLOOKUP(D$8,'1ST_SEMESTER'!B$6:CO$99,66,0),"")</f>
        <v>18</v>
      </c>
      <c r="G27" s="234">
        <f>IFERROR(VLOOKUP(D$8,'1ST_SEMESTER'!B$6:CO$99,67,0),"")</f>
        <v>22</v>
      </c>
      <c r="H27" s="236">
        <f>IFERROR(VLOOKUP(D$8,'1ST_SEMESTER'!B$6:CO$99,68,0),"")</f>
        <v>72</v>
      </c>
      <c r="I27" s="234">
        <f>'1ST_SEMESTER'!BR8</f>
        <v>99</v>
      </c>
      <c r="J27" s="236">
        <f>IFERROR(VLOOKUP(D$8,'1ST_SEMESTER'!B$6:CO$99,70,0),"")</f>
        <v>4</v>
      </c>
      <c r="K27" s="234">
        <f>IFERROR(VLOOKUP(D$8,'2ND_SEMESTER'!B$6:CO$99,63,0),"")</f>
        <v>8</v>
      </c>
      <c r="L27" s="234">
        <f>IFERROR(VLOOKUP(D$8,'2ND_SEMESTER'!B$6:CO$99,64,0),"")</f>
        <v>31</v>
      </c>
      <c r="M27" s="234">
        <f>IFERROR(VLOOKUP(D$8,'2ND_SEMESTER'!B$6:CO$99,66,0),"")</f>
        <v>22</v>
      </c>
      <c r="N27" s="234">
        <f>IFERROR(VLOOKUP(D$8,'2ND_SEMESTER'!B$6:CO$99,67,0),"")</f>
        <v>25</v>
      </c>
      <c r="O27" s="234">
        <f>IFERROR(VLOOKUP(D$8,'2ND_SEMESTER'!B$6:CO$99,68,0),"")</f>
        <v>86</v>
      </c>
      <c r="P27" s="234">
        <f>'2ND_SEMESTER'!BR8</f>
        <v>93</v>
      </c>
      <c r="Q27" s="236">
        <f>IFERROR(VLOOKUP(D$8,'2ND_SEMESTER'!B$6:CO$99,70,0),"")</f>
        <v>5</v>
      </c>
      <c r="R27" s="234">
        <f>IFERROR(VLOOKUP(D$8,'3RD_SEMESTER'!B$6:CO$99,63,0),"")</f>
        <v>10</v>
      </c>
      <c r="S27" s="234">
        <f>IFERROR(VLOOKUP(D$8,'3RD_SEMESTER'!B$6:CO$99,64,0),"")</f>
        <v>33</v>
      </c>
      <c r="T27" s="234">
        <f>IFERROR(VLOOKUP(D$8,'3RD_SEMESTER'!B$6:CO$99,66,0),"")</f>
        <v>23</v>
      </c>
      <c r="U27" s="234">
        <f>IFERROR(VLOOKUP(D$8,'3RD_SEMESTER'!B$6:CO$99,67,0),"")</f>
        <v>25</v>
      </c>
      <c r="V27" s="236">
        <f>IFERROR(VLOOKUP(D$8,'3RD_SEMESTER'!B$6:CO$99,68,0),"")</f>
        <v>91</v>
      </c>
      <c r="W27" s="234">
        <f>'3RD_SEMESTER'!BR8</f>
        <v>98</v>
      </c>
      <c r="X27" s="236">
        <f>IFERROR(VLOOKUP(D$8,'3RD_SEMESTER'!B$6:CO$99,70,0),"")</f>
        <v>5</v>
      </c>
      <c r="Y27" s="235">
        <f>SUM(D27,K27,R27)/3</f>
        <v>8</v>
      </c>
      <c r="Z27" s="235">
        <f>SUM(E27,L27,S27)/3</f>
        <v>30</v>
      </c>
      <c r="AA27" s="235">
        <f t="shared" si="3"/>
        <v>21</v>
      </c>
      <c r="AB27" s="235">
        <f>SUM(G27,N27,U27)/3</f>
        <v>24</v>
      </c>
      <c r="AC27" s="235">
        <f t="shared" ref="AC27:AC28" si="5">SUM(Y27:AB27)</f>
        <v>83</v>
      </c>
      <c r="AD27" s="235">
        <f t="shared" si="4"/>
        <v>5</v>
      </c>
      <c r="AE27" s="319"/>
    </row>
    <row r="28" spans="2:31" ht="32.1" customHeight="1">
      <c r="B28" s="315" t="s">
        <v>61</v>
      </c>
      <c r="C28" s="315"/>
      <c r="D28" s="234">
        <f>IFERROR(VLOOKUP(D$8,'1ST_SEMESTER'!B$6:CO$99,71,0),"")</f>
        <v>8</v>
      </c>
      <c r="E28" s="234">
        <f>IFERROR(VLOOKUP(D$8,'1ST_SEMESTER'!B$6:CO$99,72,0),"")</f>
        <v>22</v>
      </c>
      <c r="F28" s="234">
        <f>IFERROR(VLOOKUP(D$8,'1ST_SEMESTER'!B$6:CO$99,74,0),"")</f>
        <v>18</v>
      </c>
      <c r="G28" s="234">
        <f>IFERROR(VLOOKUP(D$8,'1ST_SEMESTER'!B$6:CO$99,75,0),"")</f>
        <v>22</v>
      </c>
      <c r="H28" s="236">
        <f>IFERROR(VLOOKUP(D$8,'1ST_SEMESTER'!B$6:CO$99,76,0),"")</f>
        <v>70</v>
      </c>
      <c r="I28" s="234">
        <f>'1ST_SEMESTER'!BZ8</f>
        <v>94</v>
      </c>
      <c r="J28" s="236">
        <f>IFERROR(VLOOKUP(D$8,'1ST_SEMESTER'!B$6:CO$99,78,0),"")</f>
        <v>4</v>
      </c>
      <c r="K28" s="234">
        <f>IFERROR(VLOOKUP(D$8,'2ND_SEMESTER'!B$6:CO$99,71,0),"")</f>
        <v>9</v>
      </c>
      <c r="L28" s="234">
        <f>IFERROR(VLOOKUP(D$8,'2ND_SEMESTER'!B$6:CO$99,72,0),"")</f>
        <v>30</v>
      </c>
      <c r="M28" s="234">
        <f>IFERROR(VLOOKUP(D$8,'2ND_SEMESTER'!B$6:CO$99,74,0),"")</f>
        <v>16</v>
      </c>
      <c r="N28" s="234">
        <f>IFERROR(VLOOKUP(D$8,'2ND_SEMESTER'!B$6:CO$99,75,0),"")</f>
        <v>23</v>
      </c>
      <c r="O28" s="234">
        <f>IFERROR(VLOOKUP(D$8,'2ND_SEMESTER'!B$6:CO$99,76,0),"")</f>
        <v>78</v>
      </c>
      <c r="P28" s="234">
        <f>'2ND_SEMESTER'!BZ8</f>
        <v>92</v>
      </c>
      <c r="Q28" s="236">
        <f>IFERROR(VLOOKUP(D$8,'2ND_SEMESTER'!B$6:CO$99,78,0),"")</f>
        <v>4</v>
      </c>
      <c r="R28" s="234">
        <f>IFERROR(VLOOKUP(D$8,'3RD_SEMESTER'!B$6:CO$99,6,0),"")</f>
        <v>17</v>
      </c>
      <c r="S28" s="234">
        <f>IFERROR(VLOOKUP(D$8,'3RD_SEMESTER'!B$6:CO$99,72,0),"")</f>
        <v>22</v>
      </c>
      <c r="T28" s="234">
        <f>IFERROR(VLOOKUP(D$8,'3RD_SEMESTER'!B$6:CO$99,74,0),"")</f>
        <v>15</v>
      </c>
      <c r="U28" s="234">
        <f>IFERROR(VLOOKUP(D$8,'3RD_SEMESTER'!B$6:CO$99,75,0),"")</f>
        <v>25</v>
      </c>
      <c r="V28" s="236">
        <f>IFERROR(VLOOKUP(D$8,'3RD_SEMESTER'!B$6:CO$99,76,0),"")</f>
        <v>70</v>
      </c>
      <c r="W28" s="234">
        <f>'3RD_SEMESTER'!BZ8</f>
        <v>96</v>
      </c>
      <c r="X28" s="236">
        <f>IFERROR(VLOOKUP(D$8,'3RD_SEMESTER'!B$6:CO$99,78,0),"")</f>
        <v>4</v>
      </c>
      <c r="Y28" s="235">
        <f>SUM(D28,K28,R28)/3</f>
        <v>11.333333333333334</v>
      </c>
      <c r="Z28" s="235">
        <f>SUM(E28,L28,S28)/3</f>
        <v>24.666666666666668</v>
      </c>
      <c r="AA28" s="235">
        <f t="shared" si="3"/>
        <v>16.333333333333332</v>
      </c>
      <c r="AB28" s="235">
        <f>SUM(G28,N28,U28)/3</f>
        <v>23.333333333333332</v>
      </c>
      <c r="AC28" s="235">
        <f t="shared" si="5"/>
        <v>75.666666666666657</v>
      </c>
      <c r="AD28" s="235">
        <f t="shared" si="4"/>
        <v>4</v>
      </c>
      <c r="AE28" s="319"/>
    </row>
    <row r="29" spans="2:31" ht="32.1" customHeight="1">
      <c r="B29" s="316" t="s">
        <v>30</v>
      </c>
      <c r="C29" s="317"/>
      <c r="D29" s="318"/>
      <c r="E29" s="318"/>
      <c r="F29" s="318"/>
      <c r="G29" s="318"/>
      <c r="H29" s="318"/>
      <c r="I29" s="318"/>
      <c r="J29" s="243" t="s">
        <v>32</v>
      </c>
      <c r="K29" s="306"/>
      <c r="L29" s="306"/>
      <c r="M29" s="306"/>
      <c r="N29" s="306"/>
      <c r="O29" s="306"/>
      <c r="P29" s="306"/>
      <c r="Q29" s="243" t="s">
        <v>32</v>
      </c>
      <c r="R29" s="306"/>
      <c r="S29" s="306"/>
      <c r="T29" s="306"/>
      <c r="U29" s="306"/>
      <c r="V29" s="306"/>
      <c r="W29" s="306"/>
      <c r="X29" s="243" t="s">
        <v>32</v>
      </c>
      <c r="Y29" s="328"/>
      <c r="Z29" s="328"/>
      <c r="AA29" s="328"/>
      <c r="AB29" s="328"/>
      <c r="AC29" s="328"/>
      <c r="AD29" s="227" t="s">
        <v>71</v>
      </c>
      <c r="AE29" s="319"/>
    </row>
    <row r="30" spans="2:31" ht="32.1" customHeight="1">
      <c r="B30" s="315" t="s">
        <v>426</v>
      </c>
      <c r="C30" s="315"/>
      <c r="D30" s="237">
        <f>IFERROR(VLOOKUP(D$8,'1ST_SEMESTER'!B$6:CO$99,79,0),"")</f>
        <v>8</v>
      </c>
      <c r="E30" s="237">
        <f>IFERROR(VLOOKUP(D$8,'1ST_SEMESTER'!B$6:CO$99,80,0),"")</f>
        <v>26</v>
      </c>
      <c r="F30" s="237">
        <f>IFERROR(VLOOKUP(D$8,'1ST_SEMESTER'!B$6:CO$99,82,0),"")</f>
        <v>23</v>
      </c>
      <c r="G30" s="237">
        <f>IFERROR(VLOOKUP(D$8,'1ST_SEMESTER'!B$6:CO$99,83,0),"")</f>
        <v>23</v>
      </c>
      <c r="H30" s="238">
        <f>IFERROR(VLOOKUP(D$8,'1ST_SEMESTER'!B$6:CO$99,84,0),"")</f>
        <v>80</v>
      </c>
      <c r="I30" s="237">
        <f>'1ST_SEMESTER'!CH8</f>
        <v>91</v>
      </c>
      <c r="J30" s="238">
        <f>IF(H30&lt;50,2,IF(H30&lt;60,3-2,IF(H30&lt;70,3.5-2,IF(H30&lt;80,4-2,5-2))))</f>
        <v>3</v>
      </c>
      <c r="K30" s="237">
        <f>IFERROR(VLOOKUP(D$8,'2ND_SEMESTER'!B$6:CO$99,79,0),"")</f>
        <v>9</v>
      </c>
      <c r="L30" s="237">
        <f>IFERROR(VLOOKUP(D$8,'2ND_SEMESTER'!B$6:CO$99,80,0),"")</f>
        <v>30</v>
      </c>
      <c r="M30" s="237">
        <f>IFERROR(VLOOKUP(D$8,'2ND_SEMESTER'!B$6:CO$99,82,0),"")</f>
        <v>17</v>
      </c>
      <c r="N30" s="237">
        <f>IFERROR(VLOOKUP(D$8,'2ND_SEMESTER'!B$6:CO$99,83,0),"")</f>
        <v>23</v>
      </c>
      <c r="O30" s="238">
        <f>IFERROR(VLOOKUP(D$8,'2ND_SEMESTER'!B$6:CO$99,84,0),"")</f>
        <v>79</v>
      </c>
      <c r="P30" s="237">
        <f>'2ND_SEMESTER'!CH8</f>
        <v>88</v>
      </c>
      <c r="Q30" s="238">
        <f>IF(O30&lt;50,2,IF(O30&lt;60,3-2,IF(O30&lt;70,3.5-2,IF(O30&lt;80,4-2,5-2))))</f>
        <v>2</v>
      </c>
      <c r="R30" s="237">
        <f>IFERROR(VLOOKUP(D$8,'3RD_SEMESTER'!B$6:CO$99,79,0),"")</f>
        <v>7</v>
      </c>
      <c r="S30" s="237">
        <f>IFERROR(VLOOKUP(D$8,'3RD_SEMESTER'!B$6:CO$99,80,0),"")</f>
        <v>29</v>
      </c>
      <c r="T30" s="237">
        <f>IFERROR(VLOOKUP(D$8,'3RD_SEMESTER'!B$6:CO$99,82,0),"")</f>
        <v>10</v>
      </c>
      <c r="U30" s="237">
        <f>IFERROR(VLOOKUP(D$8,'3RD_SEMESTER'!B$6:CO$99,83,0),"")</f>
        <v>23</v>
      </c>
      <c r="V30" s="238">
        <f>IFERROR(VLOOKUP(D$8,'3RD_SEMESTER'!B$6:CO$99,84,0),"")</f>
        <v>69</v>
      </c>
      <c r="W30" s="237">
        <f>'3RD_SEMESTER'!CH8</f>
        <v>91</v>
      </c>
      <c r="X30" s="238">
        <f>IF(V30&lt;50,2,IF(V30&lt;60,3-2,IF(V30&lt;70,3.5-2,IF(V30&lt;80,4-2,5-2))))</f>
        <v>1.5</v>
      </c>
      <c r="Y30" s="239">
        <f t="shared" ref="Y30" si="6">SUM(D30,K30,R30)/3</f>
        <v>8</v>
      </c>
      <c r="Z30" s="239">
        <f>SUM(E30,L30,S30)/3</f>
        <v>28.333333333333332</v>
      </c>
      <c r="AA30" s="239">
        <f>SUM(F30,M30,T30)/3</f>
        <v>16.666666666666668</v>
      </c>
      <c r="AB30" s="239">
        <f>SUM(G30,N30,U30)/3</f>
        <v>23</v>
      </c>
      <c r="AC30" s="239">
        <f>SUM(Y30:AB30)</f>
        <v>76</v>
      </c>
      <c r="AD30" s="252">
        <f>IF(AC30&lt;40,"F",IF(AC30&lt;50-2,2,IF(AC30&lt;60,3-2,IF(AC30&lt;70,3.5-2,IF(AC30&lt;80,4-2,5-2)))))</f>
        <v>2</v>
      </c>
      <c r="AE30" s="319"/>
    </row>
    <row r="31" spans="2:31" ht="32.1" customHeight="1">
      <c r="B31" s="314" t="s">
        <v>427</v>
      </c>
      <c r="C31" s="314"/>
      <c r="D31" s="240"/>
      <c r="E31" s="241"/>
      <c r="F31" s="240"/>
      <c r="G31" s="241"/>
      <c r="H31" s="242">
        <f>IFERROR(H18+H20+H22+H23+H24+H25+H26+H27+H28+H30,"")</f>
        <v>868</v>
      </c>
      <c r="I31" s="309"/>
      <c r="J31" s="309"/>
      <c r="K31" s="240"/>
      <c r="L31" s="241"/>
      <c r="M31" s="240"/>
      <c r="N31" s="241"/>
      <c r="O31" s="242">
        <f>IFERROR(O18+O20+O22+O23+O24+O25+O26+O27+O28+O30,"")</f>
        <v>879</v>
      </c>
      <c r="P31" s="309"/>
      <c r="Q31" s="309"/>
      <c r="R31" s="240"/>
      <c r="S31" s="241"/>
      <c r="T31" s="240"/>
      <c r="U31" s="241"/>
      <c r="V31" s="242">
        <f>IFERROR(V18+V20+V22+V23+V24+V25+V26+V27+V28+V30,"")</f>
        <v>901</v>
      </c>
      <c r="W31" s="309"/>
      <c r="X31" s="309"/>
      <c r="Y31" s="301"/>
      <c r="Z31" s="301"/>
      <c r="AA31" s="301"/>
      <c r="AB31" s="301"/>
      <c r="AC31" s="242">
        <f>IFERROR(SUM(AC18:AC30),"")</f>
        <v>885.66666666666663</v>
      </c>
      <c r="AD31" s="301"/>
      <c r="AE31" s="301"/>
    </row>
    <row r="39" spans="2:28">
      <c r="B39" s="48" t="s">
        <v>78</v>
      </c>
      <c r="L39" t="s">
        <v>86</v>
      </c>
      <c r="N39" s="30"/>
      <c r="O39" s="49" t="s">
        <v>87</v>
      </c>
      <c r="AB39" s="49" t="s">
        <v>88</v>
      </c>
    </row>
  </sheetData>
  <mergeCells count="96">
    <mergeCell ref="AD31:AE31"/>
    <mergeCell ref="D5:K5"/>
    <mergeCell ref="B1:AE4"/>
    <mergeCell ref="AD18:AD19"/>
    <mergeCell ref="AD20:AD21"/>
    <mergeCell ref="Y29:AC29"/>
    <mergeCell ref="D6:I6"/>
    <mergeCell ref="D7:I7"/>
    <mergeCell ref="R29:W29"/>
    <mergeCell ref="W31:X31"/>
    <mergeCell ref="Y12:AE12"/>
    <mergeCell ref="Y13:Y17"/>
    <mergeCell ref="Z13:Z17"/>
    <mergeCell ref="X13:X17"/>
    <mergeCell ref="Q13:Q17"/>
    <mergeCell ref="J13:J17"/>
    <mergeCell ref="AC13:AC17"/>
    <mergeCell ref="AD13:AD17"/>
    <mergeCell ref="L14:L17"/>
    <mergeCell ref="M14:M17"/>
    <mergeCell ref="N14:N17"/>
    <mergeCell ref="S14:S17"/>
    <mergeCell ref="T14:T17"/>
    <mergeCell ref="U14:U17"/>
    <mergeCell ref="AE13:AE17"/>
    <mergeCell ref="O20:O21"/>
    <mergeCell ref="U18:U23"/>
    <mergeCell ref="V18:V19"/>
    <mergeCell ref="W18:W19"/>
    <mergeCell ref="X18:X19"/>
    <mergeCell ref="T20:T21"/>
    <mergeCell ref="V20:V21"/>
    <mergeCell ref="W20:W21"/>
    <mergeCell ref="X20:X21"/>
    <mergeCell ref="P13:P17"/>
    <mergeCell ref="AC18:AC19"/>
    <mergeCell ref="AC20:AC21"/>
    <mergeCell ref="AE18:AE30"/>
    <mergeCell ref="AA13:AA17"/>
    <mergeCell ref="AB13:AB17"/>
    <mergeCell ref="P20:P21"/>
    <mergeCell ref="Q20:Q21"/>
    <mergeCell ref="L12:Q12"/>
    <mergeCell ref="L13:N13"/>
    <mergeCell ref="O13:O17"/>
    <mergeCell ref="P18:P19"/>
    <mergeCell ref="Q18:Q19"/>
    <mergeCell ref="B18:C18"/>
    <mergeCell ref="H20:H21"/>
    <mergeCell ref="I20:I21"/>
    <mergeCell ref="B28:C28"/>
    <mergeCell ref="B20:C20"/>
    <mergeCell ref="G18:G23"/>
    <mergeCell ref="H18:H19"/>
    <mergeCell ref="I18:I19"/>
    <mergeCell ref="B31:C31"/>
    <mergeCell ref="I31:J31"/>
    <mergeCell ref="J18:J19"/>
    <mergeCell ref="J20:J21"/>
    <mergeCell ref="B21:C21"/>
    <mergeCell ref="B22:C22"/>
    <mergeCell ref="F20:F21"/>
    <mergeCell ref="B29:C29"/>
    <mergeCell ref="D29:I29"/>
    <mergeCell ref="B23:C23"/>
    <mergeCell ref="B24:C24"/>
    <mergeCell ref="B25:C25"/>
    <mergeCell ref="B26:C26"/>
    <mergeCell ref="B27:C27"/>
    <mergeCell ref="B30:C30"/>
    <mergeCell ref="B19:C19"/>
    <mergeCell ref="B12:C17"/>
    <mergeCell ref="D12:D17"/>
    <mergeCell ref="E14:E17"/>
    <mergeCell ref="F14:F17"/>
    <mergeCell ref="G14:G17"/>
    <mergeCell ref="E12:J12"/>
    <mergeCell ref="E13:G13"/>
    <mergeCell ref="H13:H17"/>
    <mergeCell ref="I13:I17"/>
    <mergeCell ref="X5:AC5"/>
    <mergeCell ref="Y31:AB31"/>
    <mergeCell ref="AB18:AB23"/>
    <mergeCell ref="AA20:AA21"/>
    <mergeCell ref="D11:M11"/>
    <mergeCell ref="K12:K17"/>
    <mergeCell ref="K29:P29"/>
    <mergeCell ref="N18:N23"/>
    <mergeCell ref="O18:O19"/>
    <mergeCell ref="M20:M21"/>
    <mergeCell ref="P31:Q31"/>
    <mergeCell ref="R12:R17"/>
    <mergeCell ref="S12:X12"/>
    <mergeCell ref="S13:U13"/>
    <mergeCell ref="V13:V17"/>
    <mergeCell ref="W13:W17"/>
  </mergeCells>
  <phoneticPr fontId="3" type="noConversion"/>
  <printOptions horizontalCentered="1" verticalCentered="1"/>
  <pageMargins left="0" right="0" top="0" bottom="0" header="0" footer="0"/>
  <pageSetup paperSize="9" scale="55" orientation="landscape" r:id="rId1"/>
  <headerFooter alignWithMargins="0"/>
  <ignoredErrors>
    <ignoredError sqref="K19:L19 AC24:AD24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O43"/>
  <sheetViews>
    <sheetView topLeftCell="A25" zoomScale="80" zoomScaleNormal="80" workbookViewId="0">
      <selection activeCell="J6" sqref="J6:L6"/>
    </sheetView>
  </sheetViews>
  <sheetFormatPr defaultRowHeight="15"/>
  <cols>
    <col min="1" max="1" width="10.5703125" customWidth="1"/>
    <col min="2" max="2" width="9.85546875" customWidth="1"/>
    <col min="3" max="3" width="10.140625" customWidth="1"/>
    <col min="4" max="4" width="8.7109375" style="22"/>
    <col min="5" max="5" width="7.42578125" customWidth="1"/>
    <col min="6" max="6" width="5.5703125" style="22" customWidth="1"/>
    <col min="7" max="7" width="7.42578125" customWidth="1"/>
    <col min="8" max="8" width="10.85546875" customWidth="1"/>
    <col min="10" max="10" width="7.5703125" style="22" customWidth="1"/>
    <col min="11" max="11" width="7.140625" customWidth="1"/>
    <col min="12" max="12" width="10.28515625" customWidth="1"/>
  </cols>
  <sheetData>
    <row r="1" spans="1:15" ht="26.45" customHeight="1"/>
    <row r="2" spans="1:15" ht="18.95" customHeight="1">
      <c r="A2" s="383" t="s">
        <v>62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</row>
    <row r="3" spans="1:15" ht="20.100000000000001" customHeight="1">
      <c r="A3" s="383"/>
      <c r="B3" s="383"/>
      <c r="C3" s="383"/>
      <c r="D3" s="383"/>
      <c r="E3" s="383"/>
      <c r="F3" s="383"/>
      <c r="G3" s="383"/>
      <c r="H3" s="383"/>
      <c r="I3" s="383"/>
      <c r="J3" s="383"/>
      <c r="K3" s="383"/>
      <c r="L3" s="383"/>
    </row>
    <row r="4" spans="1:15" ht="24.95" customHeight="1">
      <c r="A4" s="383"/>
      <c r="B4" s="383"/>
      <c r="C4" s="383"/>
      <c r="D4" s="383"/>
      <c r="E4" s="383"/>
      <c r="F4" s="383"/>
      <c r="G4" s="383"/>
      <c r="H4" s="383"/>
      <c r="I4" s="383"/>
      <c r="J4" s="383"/>
      <c r="K4" s="383"/>
      <c r="L4" s="383"/>
      <c r="O4" s="13"/>
    </row>
    <row r="5" spans="1:15" ht="21.95" customHeight="1">
      <c r="A5" s="384"/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</row>
    <row r="6" spans="1:15" ht="24" customHeight="1">
      <c r="A6" s="377" t="s">
        <v>36</v>
      </c>
      <c r="B6" s="378"/>
      <c r="C6" s="379" t="str">
        <f>VLOOKUP($J$6,'2ND_SEMESTER'!$B$6:$F$95,2,0)</f>
        <v xml:space="preserve">Imtiaz Ahmed Ratul </v>
      </c>
      <c r="D6" s="379"/>
      <c r="E6" s="379"/>
      <c r="F6" s="379"/>
      <c r="G6" s="380" t="s">
        <v>0</v>
      </c>
      <c r="H6" s="380"/>
      <c r="I6" s="18" t="s">
        <v>55</v>
      </c>
      <c r="J6" s="379">
        <v>2</v>
      </c>
      <c r="K6" s="379"/>
      <c r="L6" s="381"/>
    </row>
    <row r="7" spans="1:15" ht="20.100000000000001" customHeight="1">
      <c r="A7" s="377" t="s">
        <v>37</v>
      </c>
      <c r="B7" s="378"/>
      <c r="C7" s="379" t="str">
        <f>VLOOKUP($J$6,'2ND_SEMESTER'!$B$6:$F$95,3,0)</f>
        <v xml:space="preserve">Faishal Ahmed Jani </v>
      </c>
      <c r="D7" s="379"/>
      <c r="E7" s="379"/>
      <c r="F7" s="379"/>
      <c r="G7" s="380" t="s">
        <v>56</v>
      </c>
      <c r="H7" s="380"/>
      <c r="I7" s="18" t="s">
        <v>55</v>
      </c>
      <c r="J7" s="379" t="e">
        <f>'2ND_SEMESTER'!#REF!</f>
        <v>#REF!</v>
      </c>
      <c r="K7" s="379"/>
      <c r="L7" s="381"/>
    </row>
    <row r="8" spans="1:15" ht="20.100000000000001" customHeight="1">
      <c r="A8" s="377" t="s">
        <v>38</v>
      </c>
      <c r="B8" s="378"/>
      <c r="C8" s="379" t="str">
        <f>VLOOKUP($J$6,'2ND_SEMESTER'!$B$6:$F$95,4,0)</f>
        <v xml:space="preserve">Israt Jahan Rosy </v>
      </c>
      <c r="D8" s="379"/>
      <c r="E8" s="379"/>
      <c r="F8" s="379"/>
      <c r="G8" s="380" t="s">
        <v>57</v>
      </c>
      <c r="H8" s="380"/>
      <c r="I8" s="18" t="s">
        <v>55</v>
      </c>
      <c r="J8" s="379" t="e">
        <f>'2ND_SEMESTER'!#REF!</f>
        <v>#REF!</v>
      </c>
      <c r="K8" s="379"/>
      <c r="L8" s="381"/>
    </row>
    <row r="9" spans="1:15" ht="20.100000000000001" customHeight="1">
      <c r="A9" s="377" t="s">
        <v>39</v>
      </c>
      <c r="B9" s="378"/>
      <c r="C9" s="379" t="e">
        <f>'2ND_SEMESTER'!#REF!</f>
        <v>#REF!</v>
      </c>
      <c r="D9" s="379"/>
      <c r="E9" s="379"/>
      <c r="F9" s="379"/>
      <c r="G9" s="382" t="s">
        <v>58</v>
      </c>
      <c r="H9" s="382"/>
      <c r="I9" s="19" t="s">
        <v>55</v>
      </c>
      <c r="J9" s="379" t="e">
        <f>'2ND_SEMESTER'!#REF!</f>
        <v>#REF!</v>
      </c>
      <c r="K9" s="379"/>
      <c r="L9" s="381"/>
    </row>
    <row r="10" spans="1:15" ht="20.100000000000001" customHeight="1">
      <c r="A10" s="356" t="s">
        <v>40</v>
      </c>
      <c r="B10" s="357"/>
      <c r="C10" s="358" t="e">
        <f>'2ND_SEMESTER'!#REF!</f>
        <v>#REF!</v>
      </c>
      <c r="D10" s="358"/>
      <c r="E10" s="358"/>
      <c r="F10" s="358"/>
      <c r="G10" s="374" t="s">
        <v>59</v>
      </c>
      <c r="H10" s="374"/>
      <c r="I10" s="20" t="s">
        <v>55</v>
      </c>
      <c r="J10" s="359" t="e">
        <f>VLOOKUP($J$6,'2ND_SEMESTER'!$B$6:$F$95,128,0)</f>
        <v>#REF!</v>
      </c>
      <c r="K10" s="359"/>
      <c r="L10" s="360" t="e">
        <f>VLOOKUP($J$6,'2ND_SEMESTER'!$B$6:$F$95,10,0)</f>
        <v>#REF!</v>
      </c>
    </row>
    <row r="11" spans="1:15">
      <c r="A11" s="361" t="s">
        <v>17</v>
      </c>
      <c r="B11" s="362"/>
      <c r="C11" s="363"/>
      <c r="D11" s="369" t="s">
        <v>18</v>
      </c>
      <c r="E11" s="385" t="s">
        <v>21</v>
      </c>
      <c r="F11" s="387" t="s">
        <v>22</v>
      </c>
      <c r="G11" s="386" t="s">
        <v>23</v>
      </c>
      <c r="H11" s="371" t="s">
        <v>19</v>
      </c>
      <c r="I11" s="371" t="s">
        <v>20</v>
      </c>
      <c r="J11" s="372" t="s">
        <v>2</v>
      </c>
      <c r="K11" s="375" t="s">
        <v>54</v>
      </c>
      <c r="L11" s="375" t="s">
        <v>6</v>
      </c>
    </row>
    <row r="12" spans="1:15" ht="14.45" customHeight="1">
      <c r="A12" s="364"/>
      <c r="B12" s="365"/>
      <c r="C12" s="363"/>
      <c r="D12" s="369"/>
      <c r="E12" s="386"/>
      <c r="F12" s="388"/>
      <c r="G12" s="386"/>
      <c r="H12" s="371"/>
      <c r="I12" s="371"/>
      <c r="J12" s="372"/>
      <c r="K12" s="375"/>
      <c r="L12" s="375"/>
    </row>
    <row r="13" spans="1:15">
      <c r="A13" s="364"/>
      <c r="B13" s="365"/>
      <c r="C13" s="363"/>
      <c r="D13" s="369"/>
      <c r="E13" s="386"/>
      <c r="F13" s="388"/>
      <c r="G13" s="386"/>
      <c r="H13" s="371"/>
      <c r="I13" s="371"/>
      <c r="J13" s="372"/>
      <c r="K13" s="375"/>
      <c r="L13" s="375"/>
    </row>
    <row r="14" spans="1:15">
      <c r="A14" s="364"/>
      <c r="B14" s="365"/>
      <c r="C14" s="363"/>
      <c r="D14" s="369"/>
      <c r="E14" s="386"/>
      <c r="F14" s="388"/>
      <c r="G14" s="386"/>
      <c r="H14" s="371"/>
      <c r="I14" s="371"/>
      <c r="J14" s="372"/>
      <c r="K14" s="375"/>
      <c r="L14" s="375"/>
    </row>
    <row r="15" spans="1:15">
      <c r="A15" s="364"/>
      <c r="B15" s="365"/>
      <c r="C15" s="363"/>
      <c r="D15" s="369"/>
      <c r="E15" s="386"/>
      <c r="F15" s="388"/>
      <c r="G15" s="386"/>
      <c r="H15" s="371"/>
      <c r="I15" s="371"/>
      <c r="J15" s="372"/>
      <c r="K15" s="375"/>
      <c r="L15" s="375"/>
    </row>
    <row r="16" spans="1:15">
      <c r="A16" s="364"/>
      <c r="B16" s="365"/>
      <c r="C16" s="363"/>
      <c r="D16" s="369"/>
      <c r="E16" s="386"/>
      <c r="F16" s="388"/>
      <c r="G16" s="386"/>
      <c r="H16" s="371"/>
      <c r="I16" s="371"/>
      <c r="J16" s="372"/>
      <c r="K16" s="375"/>
      <c r="L16" s="375"/>
    </row>
    <row r="17" spans="1:15">
      <c r="A17" s="364"/>
      <c r="B17" s="365"/>
      <c r="C17" s="363"/>
      <c r="D17" s="369"/>
      <c r="E17" s="386"/>
      <c r="F17" s="388"/>
      <c r="G17" s="386"/>
      <c r="H17" s="371"/>
      <c r="I17" s="371"/>
      <c r="J17" s="372"/>
      <c r="K17" s="375"/>
      <c r="L17" s="375"/>
    </row>
    <row r="18" spans="1:15">
      <c r="A18" s="366"/>
      <c r="B18" s="367"/>
      <c r="C18" s="368"/>
      <c r="D18" s="370"/>
      <c r="E18" s="386"/>
      <c r="F18" s="388"/>
      <c r="G18" s="386"/>
      <c r="H18" s="371"/>
      <c r="I18" s="371"/>
      <c r="J18" s="373"/>
      <c r="K18" s="376"/>
      <c r="L18" s="376"/>
    </row>
    <row r="19" spans="1:15" ht="24.95" customHeight="1">
      <c r="A19" s="334" t="s">
        <v>24</v>
      </c>
      <c r="B19" s="334"/>
      <c r="C19" s="334"/>
      <c r="D19" s="15" t="e">
        <f>VLOOKUP($J$6,'2ND_SEMESTER'!$B$6:$F$95,6,0)</f>
        <v>#REF!</v>
      </c>
      <c r="E19" s="15" t="e">
        <f>VLOOKUP($J$6,'2ND_SEMESTER'!$B$6:$F$95,8,0)</f>
        <v>#REF!</v>
      </c>
      <c r="F19" s="15" t="e">
        <f>VLOOKUP($J$6,'2ND_SEMESTER'!$B$6:$F$95,10,0)</f>
        <v>#REF!</v>
      </c>
      <c r="G19" s="353"/>
      <c r="H19" s="347" t="e">
        <f>VLOOKUP($J$6,'2ND_SEMESTER'!$B$6:$F$95,20,0)</f>
        <v>#REF!</v>
      </c>
      <c r="I19" s="347" t="e">
        <f>'2ND_SEMESTER'!#REF!</f>
        <v>#REF!</v>
      </c>
      <c r="J19" s="347" t="e">
        <f>VLOOKUP($J$6,'2ND_SEMESTER'!$B$6:$F$95,22,0)</f>
        <v>#REF!</v>
      </c>
      <c r="K19" s="347" t="e">
        <f t="shared" ref="K19:K29" si="0">IF(J19="F","F",IF(J19&lt;2.5,"D",IF(J19&lt;3,"C",IF(J19&lt;3.5,"B",IF(J19&lt;4,"A-",IF(J19&lt;5,"A","A+"))))))</f>
        <v>#REF!</v>
      </c>
      <c r="L19" s="349" t="str">
        <f>IFERROR(VLOOKUP($J$6,'2ND_SEMESTER'!$B$6:$F$95,123,0),"")</f>
        <v/>
      </c>
    </row>
    <row r="20" spans="1:15" ht="24.95" customHeight="1">
      <c r="A20" s="334" t="s">
        <v>25</v>
      </c>
      <c r="B20" s="334"/>
      <c r="C20" s="334"/>
      <c r="D20" s="15" t="e">
        <f>VLOOKUP($J$6,'2ND_SEMESTER'!$B$6:$F$95,13,0)</f>
        <v>#REF!</v>
      </c>
      <c r="E20" s="15" t="e">
        <f>VLOOKUP($J$6,'2ND_SEMESTER'!$B$6:$F$95,15,0)</f>
        <v>#REF!</v>
      </c>
      <c r="F20" s="15" t="e">
        <f>VLOOKUP($J$6,'2ND_SEMESTER'!$B$6:$F$95,17,0)</f>
        <v>#REF!</v>
      </c>
      <c r="G20" s="354"/>
      <c r="H20" s="348"/>
      <c r="I20" s="348"/>
      <c r="J20" s="348"/>
      <c r="K20" s="348" t="str">
        <f t="shared" si="0"/>
        <v>D</v>
      </c>
      <c r="L20" s="349" t="e">
        <f>VLOOKUP($J$6,'2ND_SEMESTER'!$B$6:$F$95,47,0)</f>
        <v>#REF!</v>
      </c>
    </row>
    <row r="21" spans="1:15" ht="24.95" customHeight="1">
      <c r="A21" s="334" t="s">
        <v>26</v>
      </c>
      <c r="B21" s="334"/>
      <c r="C21" s="334"/>
      <c r="D21" s="15" t="e">
        <f>VLOOKUP($J$6,'2ND_SEMESTER'!$B$6:$F$95,23,0)</f>
        <v>#REF!</v>
      </c>
      <c r="E21" s="15" t="e">
        <f>VLOOKUP($J$6,'2ND_SEMESTER'!$B$6:$F$95,25,0)</f>
        <v>#REF!</v>
      </c>
      <c r="F21" s="23"/>
      <c r="G21" s="354"/>
      <c r="H21" s="347" t="e">
        <f>VLOOKUP($J$6,'2ND_SEMESTER'!$B$6:$F$95,32,0)</f>
        <v>#REF!</v>
      </c>
      <c r="I21" s="347" t="e">
        <f>'2ND_SEMESTER'!#REF!</f>
        <v>#REF!</v>
      </c>
      <c r="J21" s="347" t="e">
        <f>VLOOKUP($J$6,'2ND_SEMESTER'!$B$6:$F$95,34,0)</f>
        <v>#REF!</v>
      </c>
      <c r="K21" s="347" t="e">
        <f t="shared" si="0"/>
        <v>#REF!</v>
      </c>
      <c r="L21" s="349" t="e">
        <f>VLOOKUP($J$6,'2ND_SEMESTER'!$B$6:$F$95,47,0)</f>
        <v>#REF!</v>
      </c>
      <c r="O21" s="13"/>
    </row>
    <row r="22" spans="1:15" ht="24.95" customHeight="1">
      <c r="A22" s="334" t="s">
        <v>27</v>
      </c>
      <c r="B22" s="334"/>
      <c r="C22" s="334"/>
      <c r="D22" s="15" t="e">
        <f>VLOOKUP($J$6,'2ND_SEMESTER'!$B$6:$F$95,27,0)</f>
        <v>#REF!</v>
      </c>
      <c r="E22" s="15" t="e">
        <f>VLOOKUP($J$6,'2ND_SEMESTER'!$B$6:$F$95,29,0)</f>
        <v>#REF!</v>
      </c>
      <c r="F22" s="24"/>
      <c r="G22" s="354"/>
      <c r="H22" s="348"/>
      <c r="I22" s="348"/>
      <c r="J22" s="348"/>
      <c r="K22" s="348" t="str">
        <f t="shared" si="0"/>
        <v>D</v>
      </c>
      <c r="L22" s="349" t="e">
        <f>VLOOKUP($J$6,'2ND_SEMESTER'!$B$6:$F$95,47,0)</f>
        <v>#REF!</v>
      </c>
    </row>
    <row r="23" spans="1:15" ht="24.95" customHeight="1">
      <c r="A23" s="334" t="s">
        <v>28</v>
      </c>
      <c r="B23" s="334"/>
      <c r="C23" s="334"/>
      <c r="D23" s="15" t="e">
        <f>VLOOKUP($J$6,'2ND_SEMESTER'!$B$6:$F$95,35,0)</f>
        <v>#REF!</v>
      </c>
      <c r="E23" s="15" t="e">
        <f>VLOOKUP($J$6,'2ND_SEMESTER'!$B$6:$F$95,37,0)</f>
        <v>#REF!</v>
      </c>
      <c r="F23" s="15" t="e">
        <f>VLOOKUP($J$6,'2ND_SEMESTER'!$B$6:$F$95,39,0)</f>
        <v>#REF!</v>
      </c>
      <c r="G23" s="354"/>
      <c r="H23" s="15" t="e">
        <f>VLOOKUP($J$6,'2ND_SEMESTER'!$B$6:$F$95,42,0)</f>
        <v>#REF!</v>
      </c>
      <c r="I23" s="15" t="e">
        <f>'2ND_SEMESTER'!#REF!</f>
        <v>#REF!</v>
      </c>
      <c r="J23" s="15" t="e">
        <f>VLOOKUP($J$6,'2ND_SEMESTER'!$B$6:$F$95,44,0)</f>
        <v>#REF!</v>
      </c>
      <c r="K23" s="15" t="e">
        <f t="shared" si="0"/>
        <v>#REF!</v>
      </c>
      <c r="L23" s="349" t="e">
        <f>VLOOKUP($J$6,'2ND_SEMESTER'!$B$6:$F$95,47,0)</f>
        <v>#REF!</v>
      </c>
    </row>
    <row r="24" spans="1:15" ht="24.95" customHeight="1">
      <c r="A24" s="334" t="s">
        <v>29</v>
      </c>
      <c r="B24" s="334"/>
      <c r="C24" s="334"/>
      <c r="D24" s="15" t="e">
        <f>VLOOKUP($J$6,'2ND_SEMESTER'!$B$6:$F$95,45,0)</f>
        <v>#REF!</v>
      </c>
      <c r="E24" s="15" t="e">
        <f>VLOOKUP($J$6,'2ND_SEMESTER'!$B$6:$F$95,47,0)</f>
        <v>#REF!</v>
      </c>
      <c r="F24" s="15" t="e">
        <f>VLOOKUP($J$6,'2ND_SEMESTER'!$B$6:$F$95,49,0)</f>
        <v>#REF!</v>
      </c>
      <c r="G24" s="355"/>
      <c r="H24" s="15" t="e">
        <f>VLOOKUP($J$6,'2ND_SEMESTER'!$B$6:$F$95,52,0)</f>
        <v>#REF!</v>
      </c>
      <c r="I24" s="15" t="e">
        <f>'2ND_SEMESTER'!#REF!</f>
        <v>#REF!</v>
      </c>
      <c r="J24" s="15" t="e">
        <f>VLOOKUP($J$6,'2ND_SEMESTER'!$B$6:$F$95,54,0)</f>
        <v>#REF!</v>
      </c>
      <c r="K24" s="15" t="e">
        <f t="shared" si="0"/>
        <v>#REF!</v>
      </c>
      <c r="L24" s="349" t="e">
        <f>VLOOKUP($J$6,'2ND_SEMESTER'!$B$6:$F$95,47,0)</f>
        <v>#REF!</v>
      </c>
    </row>
    <row r="25" spans="1:15" ht="24.95" customHeight="1">
      <c r="A25" s="334" t="s">
        <v>4</v>
      </c>
      <c r="B25" s="334"/>
      <c r="C25" s="334"/>
      <c r="D25" s="15"/>
      <c r="E25" s="12"/>
      <c r="F25" s="15" t="e">
        <f>VLOOKUP($J$6,'2ND_SEMESTER'!$B$6:$F$95,56,0)</f>
        <v>#REF!</v>
      </c>
      <c r="G25" s="11" t="e">
        <f>VLOOKUP($J$6,'2ND_SEMESTER'!$B$6:$F$95,58,0)</f>
        <v>#REF!</v>
      </c>
      <c r="H25" s="15" t="e">
        <f>VLOOKUP($J$6,'2ND_SEMESTER'!$B$6:$F$95,61,0)</f>
        <v>#REF!</v>
      </c>
      <c r="I25" s="15" t="e">
        <f>'2ND_SEMESTER'!#REF!</f>
        <v>#REF!</v>
      </c>
      <c r="J25" s="15" t="e">
        <f>VLOOKUP($J$6,'2ND_SEMESTER'!$B$6:$F$95,63,0)</f>
        <v>#REF!</v>
      </c>
      <c r="K25" s="15" t="e">
        <f t="shared" si="0"/>
        <v>#REF!</v>
      </c>
      <c r="L25" s="349" t="e">
        <f>VLOOKUP($J$6,'2ND_SEMESTER'!$B$6:$F$95,47,0)</f>
        <v>#REF!</v>
      </c>
    </row>
    <row r="26" spans="1:15" ht="24.95" customHeight="1">
      <c r="A26" s="334" t="s">
        <v>48</v>
      </c>
      <c r="B26" s="334"/>
      <c r="C26" s="334"/>
      <c r="D26" s="15" t="e">
        <f>VLOOKUP($J$6,'2ND_SEMESTER'!$B$6:$F$95,64,0)</f>
        <v>#REF!</v>
      </c>
      <c r="E26" s="15" t="e">
        <f>VLOOKUP($J$6,'2ND_SEMESTER'!$B$6:$F$95,66,0)</f>
        <v>#REF!</v>
      </c>
      <c r="F26" s="15" t="e">
        <f>VLOOKUP($J$6,'2ND_SEMESTER'!$B$6:$F$95,68,0)</f>
        <v>#REF!</v>
      </c>
      <c r="G26" s="9"/>
      <c r="H26" s="15" t="e">
        <f>VLOOKUP($J$6,'2ND_SEMESTER'!$B$6:$F$95,71,0)</f>
        <v>#REF!</v>
      </c>
      <c r="I26" s="15" t="e">
        <f>'2ND_SEMESTER'!#REF!</f>
        <v>#REF!</v>
      </c>
      <c r="J26" s="15" t="e">
        <f>VLOOKUP($J$6,'2ND_SEMESTER'!$B$6:$F$95,73,0)</f>
        <v>#REF!</v>
      </c>
      <c r="K26" s="15" t="e">
        <f t="shared" si="0"/>
        <v>#REF!</v>
      </c>
      <c r="L26" s="349" t="e">
        <f>VLOOKUP($J$6,'2ND_SEMESTER'!$B$6:$F$95,47,0)</f>
        <v>#REF!</v>
      </c>
    </row>
    <row r="27" spans="1:15" ht="24.95" customHeight="1">
      <c r="A27" s="334" t="s">
        <v>41</v>
      </c>
      <c r="B27" s="334"/>
      <c r="C27" s="334"/>
      <c r="D27" s="15" t="e">
        <f>VLOOKUP($J$6,'2ND_SEMESTER'!$B$6:$F$95,74,0)</f>
        <v>#REF!</v>
      </c>
      <c r="E27" s="15" t="e">
        <f>VLOOKUP($J$6,'2ND_SEMESTER'!$B$6:$F$95,76,0)</f>
        <v>#REF!</v>
      </c>
      <c r="F27" s="15" t="e">
        <f>VLOOKUP($J$6,'2ND_SEMESTER'!$B$6:$F$95,78,0)</f>
        <v>#REF!</v>
      </c>
      <c r="G27" s="11" t="e">
        <f>VLOOKUP($J$6,'2ND_SEMESTER'!$B$6:$F$95,80,0)</f>
        <v>#REF!</v>
      </c>
      <c r="H27" s="15" t="e">
        <f>VLOOKUP($J$6,'2ND_SEMESTER'!$B$6:$F$95,83,0)</f>
        <v>#REF!</v>
      </c>
      <c r="I27" s="15" t="e">
        <f>'2ND_SEMESTER'!#REF!</f>
        <v>#REF!</v>
      </c>
      <c r="J27" s="15" t="e">
        <f>VLOOKUP($J$6,'2ND_SEMESTER'!$B$6:$F$95,85,0)</f>
        <v>#REF!</v>
      </c>
      <c r="K27" s="15" t="e">
        <f t="shared" si="0"/>
        <v>#REF!</v>
      </c>
      <c r="L27" s="349" t="e">
        <f>VLOOKUP($J$6,'2ND_SEMESTER'!$B$6:$F$95,47,0)</f>
        <v>#REF!</v>
      </c>
    </row>
    <row r="28" spans="1:15" ht="24.95" customHeight="1">
      <c r="A28" s="334" t="s">
        <v>42</v>
      </c>
      <c r="B28" s="334"/>
      <c r="C28" s="334"/>
      <c r="D28" s="15" t="e">
        <f>VLOOKUP($J$6,'2ND_SEMESTER'!$B$6:$F$95,86,0)</f>
        <v>#REF!</v>
      </c>
      <c r="E28" s="15" t="e">
        <f>VLOOKUP($J$6,'2ND_SEMESTER'!$B$6:$F$95,88,0)</f>
        <v>#REF!</v>
      </c>
      <c r="F28" s="15" t="e">
        <f>VLOOKUP($J$6,'2ND_SEMESTER'!$B$6:$F$95,90,0)</f>
        <v>#REF!</v>
      </c>
      <c r="G28" s="11" t="e">
        <f>VLOOKUP($J$6,'2ND_SEMESTER'!$B$6:$F$95,92,0)</f>
        <v>#REF!</v>
      </c>
      <c r="H28" s="15" t="e">
        <f>VLOOKUP($J$6,'2ND_SEMESTER'!$B$6:$F$95,95,0)</f>
        <v>#REF!</v>
      </c>
      <c r="I28" s="15" t="e">
        <f>'2ND_SEMESTER'!#REF!</f>
        <v>#REF!</v>
      </c>
      <c r="J28" s="15" t="e">
        <f>VLOOKUP($J$6,'2ND_SEMESTER'!$B$6:$F$95,97,0)</f>
        <v>#REF!</v>
      </c>
      <c r="K28" s="15" t="e">
        <f t="shared" si="0"/>
        <v>#REF!</v>
      </c>
      <c r="L28" s="349" t="e">
        <f>VLOOKUP($J$6,'2ND_SEMESTER'!$B$6:$F$95,47,0)</f>
        <v>#REF!</v>
      </c>
    </row>
    <row r="29" spans="1:15" ht="24.95" customHeight="1">
      <c r="A29" s="334" t="s">
        <v>61</v>
      </c>
      <c r="B29" s="334"/>
      <c r="C29" s="334"/>
      <c r="D29" s="15" t="e">
        <f>VLOOKUP($J$6,'2ND_SEMESTER'!$B$6:$F$95,98,0)</f>
        <v>#REF!</v>
      </c>
      <c r="E29" s="15" t="e">
        <f>VLOOKUP($J$6,'2ND_SEMESTER'!$B$6:$F$95,100,0)</f>
        <v>#REF!</v>
      </c>
      <c r="F29" s="15" t="e">
        <f>VLOOKUP($J$6,'2ND_SEMESTER'!$B$6:$F$95,102,0)</f>
        <v>#REF!</v>
      </c>
      <c r="G29" s="11" t="e">
        <f>VLOOKUP($J$6,'2ND_SEMESTER'!$B$6:$F$95,104,0)</f>
        <v>#REF!</v>
      </c>
      <c r="H29" s="15" t="e">
        <f>VLOOKUP($J$6,'2ND_SEMESTER'!$B$6:$F$95,107,0)</f>
        <v>#REF!</v>
      </c>
      <c r="I29" s="15" t="e">
        <f>'2ND_SEMESTER'!#REF!</f>
        <v>#REF!</v>
      </c>
      <c r="J29" s="15" t="e">
        <f>VLOOKUP($J$6,'2ND_SEMESTER'!$B$6:$F$95,109,0)</f>
        <v>#REF!</v>
      </c>
      <c r="K29" s="15" t="e">
        <f t="shared" si="0"/>
        <v>#REF!</v>
      </c>
      <c r="L29" s="349" t="e">
        <f>VLOOKUP($J$6,'2ND_SEMESTER'!$B$6:$F$95,47,0)</f>
        <v>#REF!</v>
      </c>
    </row>
    <row r="30" spans="1:15" ht="15.75">
      <c r="A30" s="343" t="s">
        <v>30</v>
      </c>
      <c r="B30" s="344"/>
      <c r="C30" s="344"/>
      <c r="D30" s="344"/>
      <c r="E30" s="344"/>
      <c r="F30" s="344"/>
      <c r="G30" s="344"/>
      <c r="H30" s="344"/>
      <c r="I30" s="345"/>
      <c r="J30" s="330" t="s">
        <v>32</v>
      </c>
      <c r="K30" s="331"/>
      <c r="L30" s="349" t="e">
        <f>VLOOKUP($J$6,'2ND_SEMESTER'!$B$6:$F$95,47,0)</f>
        <v>#REF!</v>
      </c>
    </row>
    <row r="31" spans="1:15" ht="24.95" customHeight="1">
      <c r="A31" s="334" t="s">
        <v>50</v>
      </c>
      <c r="B31" s="334"/>
      <c r="C31" s="334"/>
      <c r="D31" s="15" t="e">
        <f>VLOOKUP($J$6,'2ND_SEMESTER'!$B$6:$F$95,110,0)</f>
        <v>#REF!</v>
      </c>
      <c r="E31" s="15" t="e">
        <f>VLOOKUP($J$6,'2ND_SEMESTER'!$B$6:$F$95,112,0)</f>
        <v>#REF!</v>
      </c>
      <c r="F31" s="15" t="e">
        <f>VLOOKUP($J$6,'2ND_SEMESTER'!$B$6:$F$95,114,0)</f>
        <v>#REF!</v>
      </c>
      <c r="G31" s="11" t="e">
        <f>VLOOKUP($J$6,'2ND_SEMESTER'!$B$6:$F$95,116,0)</f>
        <v>#REF!</v>
      </c>
      <c r="H31" s="15" t="e">
        <f>VLOOKUP($J$6,'2ND_SEMESTER'!$B$6:$F$95,119,0)</f>
        <v>#REF!</v>
      </c>
      <c r="I31" s="16" t="e">
        <f>'2ND_SEMESTER'!#REF!</f>
        <v>#REF!</v>
      </c>
      <c r="J31" s="16" t="e">
        <f>VLOOKUP($J$6,'2ND_SEMESTER'!$B$6:$F$95,121,0)</f>
        <v>#REF!</v>
      </c>
      <c r="K31" s="16" t="e">
        <f>IF(J31="F","F",IF(J31&lt;2.5,"D",IF(J31&lt;3,"C",IF(J31&lt;3.5,"B",IF(J31&lt;4,"A-",IF(J31&lt;5,"A","A+"))))))</f>
        <v>#REF!</v>
      </c>
      <c r="L31" s="349" t="e">
        <f>VLOOKUP($J$6,'2ND_SEMESTER'!$B$6:$F$95,47,0)</f>
        <v>#REF!</v>
      </c>
    </row>
    <row r="32" spans="1:15" ht="24.95" customHeight="1">
      <c r="A32" s="335" t="s">
        <v>31</v>
      </c>
      <c r="B32" s="336"/>
      <c r="C32" s="337"/>
      <c r="D32" s="29"/>
      <c r="E32" s="14"/>
      <c r="F32" s="25"/>
      <c r="G32" s="14"/>
      <c r="H32" s="15" t="e">
        <f>H19+H21+H23+H24+H25+H26+H27+H28+H29+H31</f>
        <v>#REF!</v>
      </c>
      <c r="I32" s="350"/>
      <c r="J32" s="351"/>
      <c r="K32" s="352"/>
      <c r="L32" s="349" t="e">
        <f>VLOOKUP($J$6,'2ND_SEMESTER'!$B$6:$F$95,47,0)</f>
        <v>#REF!</v>
      </c>
    </row>
    <row r="33" spans="1:12">
      <c r="A33" s="10"/>
      <c r="B33" s="4"/>
      <c r="C33" s="4"/>
      <c r="D33" s="26"/>
      <c r="E33" s="4"/>
      <c r="F33" s="26"/>
      <c r="G33" s="4"/>
      <c r="H33" s="4"/>
      <c r="I33" s="1"/>
      <c r="J33" s="27"/>
      <c r="K33" s="1"/>
      <c r="L33" s="3"/>
    </row>
    <row r="34" spans="1:12" ht="19.5" customHeight="1">
      <c r="A34" s="338" t="s">
        <v>33</v>
      </c>
      <c r="B34" s="339"/>
      <c r="C34" s="339"/>
      <c r="D34" s="339"/>
      <c r="E34" s="346" t="str">
        <f>IFERROR(VLOOKUP($J$6,'2ND_SEMESTER'!$B$6:$F$95,125,0),"")</f>
        <v/>
      </c>
      <c r="F34" s="346" t="e">
        <f>VLOOKUP($J$6,'2ND_SEMESTER'!$B$6:$F$95,90,0)</f>
        <v>#REF!</v>
      </c>
      <c r="G34" s="346" t="e">
        <f>VLOOKUP($J$6,'2ND_SEMESTER'!$B$6:$F$95,90,0)</f>
        <v>#REF!</v>
      </c>
      <c r="H34" s="346" t="e">
        <f>VLOOKUP($J$6,'2ND_SEMESTER'!$B$6:$F$95,90,0)</f>
        <v>#REF!</v>
      </c>
      <c r="I34" s="1"/>
      <c r="J34" s="27"/>
      <c r="K34" s="1"/>
      <c r="L34" s="2"/>
    </row>
    <row r="35" spans="1:12">
      <c r="A35" s="5"/>
      <c r="B35" s="1"/>
      <c r="C35" s="1"/>
      <c r="D35" s="27"/>
      <c r="E35" s="1"/>
      <c r="F35" s="27"/>
      <c r="G35" s="1"/>
      <c r="H35" s="1"/>
      <c r="I35" s="1"/>
      <c r="J35" s="27"/>
      <c r="K35" s="1"/>
      <c r="L35" s="2"/>
    </row>
    <row r="36" spans="1:12" ht="19.5" customHeight="1">
      <c r="A36" s="340" t="s">
        <v>34</v>
      </c>
      <c r="B36" s="341"/>
      <c r="C36" s="341"/>
      <c r="D36" s="341"/>
      <c r="E36" s="342" t="str">
        <f>IFERROR(VLOOKUP($J$6,'2ND_SEMESTER'!$B$6:$F$95,127,0),"")</f>
        <v/>
      </c>
      <c r="F36" s="342" t="e">
        <f>VLOOKUP($J$6,'2ND_SEMESTER'!$B$6:$F$95,101,0)</f>
        <v>#REF!</v>
      </c>
      <c r="G36" s="1"/>
      <c r="H36" s="1"/>
      <c r="I36" s="1"/>
      <c r="J36" s="27"/>
      <c r="K36" s="1"/>
      <c r="L36" s="17"/>
    </row>
    <row r="37" spans="1:12">
      <c r="A37" s="5"/>
      <c r="B37" s="1"/>
      <c r="C37" s="1"/>
      <c r="D37" s="27"/>
      <c r="E37" s="1"/>
      <c r="F37" s="27"/>
      <c r="G37" s="1"/>
      <c r="H37" s="1"/>
      <c r="I37" s="1"/>
      <c r="J37" s="27"/>
      <c r="K37" s="1"/>
      <c r="L37" s="2"/>
    </row>
    <row r="38" spans="1:12">
      <c r="A38" s="5"/>
      <c r="B38" s="1"/>
      <c r="C38" s="1"/>
      <c r="D38" s="27"/>
      <c r="E38" s="1"/>
      <c r="F38" s="27"/>
      <c r="G38" s="1"/>
      <c r="H38" s="1"/>
      <c r="I38" s="21"/>
      <c r="J38" s="332" t="s">
        <v>35</v>
      </c>
      <c r="K38" s="332"/>
      <c r="L38" s="333"/>
    </row>
    <row r="39" spans="1:12">
      <c r="A39" s="5"/>
      <c r="B39" s="1"/>
      <c r="C39" s="1"/>
      <c r="D39" s="27"/>
      <c r="E39" s="1"/>
      <c r="F39" s="27"/>
      <c r="G39" s="1"/>
      <c r="H39" s="1"/>
      <c r="I39" s="1"/>
      <c r="J39" s="27"/>
      <c r="K39" s="1"/>
      <c r="L39" s="2"/>
    </row>
    <row r="40" spans="1:12" hidden="1">
      <c r="A40" s="5"/>
      <c r="B40" s="1"/>
      <c r="C40" s="1"/>
      <c r="D40" s="27"/>
      <c r="E40" s="1"/>
      <c r="F40" s="27"/>
      <c r="G40" s="1"/>
      <c r="H40" s="1"/>
      <c r="I40" s="1"/>
      <c r="J40" s="27"/>
      <c r="K40" s="1"/>
      <c r="L40" s="2"/>
    </row>
    <row r="41" spans="1:12">
      <c r="A41" s="5"/>
      <c r="B41" s="1"/>
      <c r="C41" s="1"/>
      <c r="D41" s="27"/>
      <c r="E41" s="1"/>
      <c r="F41" s="27"/>
      <c r="G41" s="1"/>
      <c r="H41" s="1"/>
      <c r="I41" s="1"/>
      <c r="J41" s="27"/>
      <c r="K41" s="1"/>
      <c r="L41" s="2"/>
    </row>
    <row r="42" spans="1:12">
      <c r="A42" s="5"/>
      <c r="B42" s="1"/>
      <c r="C42" s="1"/>
      <c r="D42" s="27"/>
      <c r="E42" s="1"/>
      <c r="F42" s="27"/>
      <c r="G42" s="1"/>
      <c r="H42" s="1"/>
      <c r="I42" s="1"/>
      <c r="J42" s="27"/>
      <c r="K42" s="1"/>
      <c r="L42" s="2"/>
    </row>
    <row r="43" spans="1:12">
      <c r="A43" s="6"/>
      <c r="B43" s="7"/>
      <c r="C43" s="7"/>
      <c r="D43" s="28"/>
      <c r="E43" s="7"/>
      <c r="F43" s="28"/>
      <c r="G43" s="7"/>
      <c r="H43" s="7"/>
      <c r="I43" s="7"/>
      <c r="J43" s="28"/>
      <c r="K43" s="7"/>
      <c r="L43" s="8"/>
    </row>
  </sheetData>
  <mergeCells count="62">
    <mergeCell ref="K19:K20"/>
    <mergeCell ref="K21:K22"/>
    <mergeCell ref="K11:K18"/>
    <mergeCell ref="E11:E18"/>
    <mergeCell ref="F11:F18"/>
    <mergeCell ref="G11:G18"/>
    <mergeCell ref="A7:B7"/>
    <mergeCell ref="C7:F7"/>
    <mergeCell ref="G7:H7"/>
    <mergeCell ref="J7:L7"/>
    <mergeCell ref="A2:L5"/>
    <mergeCell ref="A6:B6"/>
    <mergeCell ref="C6:F6"/>
    <mergeCell ref="G6:H6"/>
    <mergeCell ref="J6:L6"/>
    <mergeCell ref="A8:B8"/>
    <mergeCell ref="C8:F8"/>
    <mergeCell ref="G8:H8"/>
    <mergeCell ref="J8:L8"/>
    <mergeCell ref="A9:B9"/>
    <mergeCell ref="C9:F9"/>
    <mergeCell ref="J9:L9"/>
    <mergeCell ref="G9:H9"/>
    <mergeCell ref="A10:B10"/>
    <mergeCell ref="C10:F10"/>
    <mergeCell ref="J10:L10"/>
    <mergeCell ref="A11:C18"/>
    <mergeCell ref="D11:D18"/>
    <mergeCell ref="H11:H18"/>
    <mergeCell ref="I11:I18"/>
    <mergeCell ref="J11:J18"/>
    <mergeCell ref="G10:H10"/>
    <mergeCell ref="L11:L18"/>
    <mergeCell ref="A19:C19"/>
    <mergeCell ref="I19:I20"/>
    <mergeCell ref="J19:J20"/>
    <mergeCell ref="L19:L32"/>
    <mergeCell ref="A20:C20"/>
    <mergeCell ref="A21:C21"/>
    <mergeCell ref="I21:I22"/>
    <mergeCell ref="J21:J22"/>
    <mergeCell ref="A22:C22"/>
    <mergeCell ref="A23:C23"/>
    <mergeCell ref="A24:C24"/>
    <mergeCell ref="I32:K32"/>
    <mergeCell ref="H19:H20"/>
    <mergeCell ref="H21:H22"/>
    <mergeCell ref="G19:G24"/>
    <mergeCell ref="A25:C25"/>
    <mergeCell ref="J30:K30"/>
    <mergeCell ref="J38:L38"/>
    <mergeCell ref="A26:C26"/>
    <mergeCell ref="A32:C32"/>
    <mergeCell ref="A34:D34"/>
    <mergeCell ref="A36:D36"/>
    <mergeCell ref="E36:F36"/>
    <mergeCell ref="A27:C27"/>
    <mergeCell ref="A28:C28"/>
    <mergeCell ref="A29:C29"/>
    <mergeCell ref="A30:I30"/>
    <mergeCell ref="A31:C31"/>
    <mergeCell ref="E34:H34"/>
  </mergeCells>
  <pageMargins left="0.45" right="0.2" top="0.25" bottom="0.5" header="0.25" footer="0.5"/>
  <pageSetup paperSize="9" scale="92" orientation="portrait" r:id="rId1"/>
  <ignoredErrors>
    <ignoredError sqref="I19 I21 I23:I26 I27:I29" formula="1"/>
    <ignoredError sqref="D26:F26 H26 J26:K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Annual_EXAM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2025-12-24T07:55:20Z</cp:lastPrinted>
  <dcterms:created xsi:type="dcterms:W3CDTF">2020-11-16T04:30:11Z</dcterms:created>
  <dcterms:modified xsi:type="dcterms:W3CDTF">2025-12-30T06:44:06Z</dcterms:modified>
</cp:coreProperties>
</file>