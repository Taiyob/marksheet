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Default Extension="jpeg" ContentType="image/jpeg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75" yWindow="-135" windowWidth="29040" windowHeight="8010"/>
  </bookViews>
  <sheets>
    <sheet name="1st_Semester" sheetId="3" r:id="rId1"/>
    <sheet name="2nd_Semester" sheetId="1" r:id="rId2"/>
    <sheet name=" 3rd_Semester" sheetId="4" r:id="rId3"/>
    <sheet name="ANNUAL_RESULT" sheetId="5" r:id="rId4"/>
    <sheet name="Result card " sheetId="2" r:id="rId5"/>
  </sheets>
  <externalReferences>
    <externalReference r:id="rId6"/>
    <externalReference r:id="rId7"/>
  </externalReferenc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5" i="5"/>
  <c r="Q25"/>
  <c r="C9"/>
  <c r="BZ9" i="4"/>
  <c r="BZ10"/>
  <c r="BZ11"/>
  <c r="BZ12"/>
  <c r="BZ13"/>
  <c r="BZ14"/>
  <c r="BZ15"/>
  <c r="BZ16"/>
  <c r="BZ17"/>
  <c r="BZ18"/>
  <c r="BZ19"/>
  <c r="BZ20"/>
  <c r="BZ21"/>
  <c r="BZ22"/>
  <c r="BZ23"/>
  <c r="BZ24"/>
  <c r="BZ25"/>
  <c r="BZ26"/>
  <c r="BZ27"/>
  <c r="BZ28"/>
  <c r="BZ29"/>
  <c r="BZ30"/>
  <c r="BZ31"/>
  <c r="BZ32"/>
  <c r="BZ33"/>
  <c r="BZ34"/>
  <c r="BZ35"/>
  <c r="BZ36"/>
  <c r="BZ37"/>
  <c r="BZ38"/>
  <c r="BZ39"/>
  <c r="BZ40"/>
  <c r="BZ41"/>
  <c r="BZ42"/>
  <c r="BZ43"/>
  <c r="BZ44"/>
  <c r="BZ45"/>
  <c r="BZ46"/>
  <c r="BZ47"/>
  <c r="BZ48"/>
  <c r="BZ49"/>
  <c r="BZ50"/>
  <c r="BZ51"/>
  <c r="BZ52"/>
  <c r="BZ53"/>
  <c r="BZ54"/>
  <c r="BZ55"/>
  <c r="BZ56"/>
  <c r="BZ57"/>
  <c r="BZ58"/>
  <c r="BZ59"/>
  <c r="BZ60"/>
  <c r="BZ61"/>
  <c r="BZ62"/>
  <c r="BZ63"/>
  <c r="BZ64"/>
  <c r="BZ65"/>
  <c r="BZ66"/>
  <c r="BZ67"/>
  <c r="BZ68"/>
  <c r="BZ69"/>
  <c r="BZ70"/>
  <c r="BZ71"/>
  <c r="BZ72"/>
  <c r="BZ73"/>
  <c r="BZ74"/>
  <c r="BZ75"/>
  <c r="BZ76"/>
  <c r="BZ77"/>
  <c r="BZ78"/>
  <c r="BZ79"/>
  <c r="BZ80"/>
  <c r="BZ81"/>
  <c r="BZ82"/>
  <c r="BZ83"/>
  <c r="BZ84"/>
  <c r="BZ85"/>
  <c r="BZ86"/>
  <c r="BZ87"/>
  <c r="BY9"/>
  <c r="BY10"/>
  <c r="BY11"/>
  <c r="BY12"/>
  <c r="BY13"/>
  <c r="BY14"/>
  <c r="BY16"/>
  <c r="BY17"/>
  <c r="BY18"/>
  <c r="BY19"/>
  <c r="BY20"/>
  <c r="BY21"/>
  <c r="BY22"/>
  <c r="BY23"/>
  <c r="BY25"/>
  <c r="BY26"/>
  <c r="BY27"/>
  <c r="BY28"/>
  <c r="BY29"/>
  <c r="BY30"/>
  <c r="BY31"/>
  <c r="BY32"/>
  <c r="BY33"/>
  <c r="BY34"/>
  <c r="BY35"/>
  <c r="BY36"/>
  <c r="BY37"/>
  <c r="BY38"/>
  <c r="BY39"/>
  <c r="BY40"/>
  <c r="BY41"/>
  <c r="BY42"/>
  <c r="BY43"/>
  <c r="BY44"/>
  <c r="BY45"/>
  <c r="BY46"/>
  <c r="BY47"/>
  <c r="BY48"/>
  <c r="BY49"/>
  <c r="BY50"/>
  <c r="BY51"/>
  <c r="BY52"/>
  <c r="BY53"/>
  <c r="BY54"/>
  <c r="BY55"/>
  <c r="BY56"/>
  <c r="BY57"/>
  <c r="BY58"/>
  <c r="BY59"/>
  <c r="BY60"/>
  <c r="BY61"/>
  <c r="BY62"/>
  <c r="BY63"/>
  <c r="BY64"/>
  <c r="BY65"/>
  <c r="BY66"/>
  <c r="BY67"/>
  <c r="BY68"/>
  <c r="BY69"/>
  <c r="BY70"/>
  <c r="BY71"/>
  <c r="BY72"/>
  <c r="BY73"/>
  <c r="BY74"/>
  <c r="BY75"/>
  <c r="BY76"/>
  <c r="BY77"/>
  <c r="BY78"/>
  <c r="BY79"/>
  <c r="BY80"/>
  <c r="BY81"/>
  <c r="BY82"/>
  <c r="BY83"/>
  <c r="BY84"/>
  <c r="BY85"/>
  <c r="BY86"/>
  <c r="BY87"/>
  <c r="BT8" i="1"/>
  <c r="BP8"/>
  <c r="BQ9"/>
  <c r="BQ10"/>
  <c r="BQ11"/>
  <c r="BQ12"/>
  <c r="BQ13"/>
  <c r="BQ14"/>
  <c r="BQ15"/>
  <c r="BQ16"/>
  <c r="BQ17"/>
  <c r="BQ18"/>
  <c r="BQ19"/>
  <c r="BQ20"/>
  <c r="BQ21"/>
  <c r="BQ22"/>
  <c r="BQ23"/>
  <c r="BQ24"/>
  <c r="BQ25"/>
  <c r="BQ26"/>
  <c r="BQ27"/>
  <c r="BQ28"/>
  <c r="BQ29"/>
  <c r="BQ30"/>
  <c r="BQ31"/>
  <c r="BQ32"/>
  <c r="BQ33"/>
  <c r="BQ34"/>
  <c r="BQ35"/>
  <c r="BQ36"/>
  <c r="BQ37"/>
  <c r="BQ38"/>
  <c r="BQ39"/>
  <c r="BQ40"/>
  <c r="BQ41"/>
  <c r="BQ42"/>
  <c r="BQ43"/>
  <c r="BQ44"/>
  <c r="BQ45"/>
  <c r="BQ46"/>
  <c r="BQ47"/>
  <c r="BQ48"/>
  <c r="BQ49"/>
  <c r="BQ50"/>
  <c r="BQ51"/>
  <c r="BQ52"/>
  <c r="BQ53"/>
  <c r="BQ54"/>
  <c r="BQ55"/>
  <c r="BQ56"/>
  <c r="BQ57"/>
  <c r="BQ58"/>
  <c r="BQ59"/>
  <c r="BQ60"/>
  <c r="BQ61"/>
  <c r="BQ62"/>
  <c r="BQ63"/>
  <c r="BQ64"/>
  <c r="BQ65"/>
  <c r="BQ66"/>
  <c r="BQ67"/>
  <c r="BQ68"/>
  <c r="BQ69"/>
  <c r="BQ70"/>
  <c r="BQ71"/>
  <c r="BQ72"/>
  <c r="BQ73"/>
  <c r="BQ74"/>
  <c r="BQ75"/>
  <c r="BQ76"/>
  <c r="BQ77"/>
  <c r="BQ78"/>
  <c r="BQ79"/>
  <c r="BQ80"/>
  <c r="BQ81"/>
  <c r="BQ82"/>
  <c r="BQ83"/>
  <c r="BQ84"/>
  <c r="BQ85"/>
  <c r="BQ86"/>
  <c r="BQ87"/>
  <c r="BQ8"/>
  <c r="BZ8" i="4" s="1"/>
  <c r="BT9" i="1" l="1"/>
  <c r="BT10"/>
  <c r="BV10" i="4" s="1"/>
  <c r="BT11" i="1"/>
  <c r="BT12"/>
  <c r="BT13"/>
  <c r="BT14"/>
  <c r="BV14" i="4" s="1"/>
  <c r="BT15" i="1"/>
  <c r="BT16"/>
  <c r="BT17"/>
  <c r="BT18"/>
  <c r="BT19"/>
  <c r="BV19" i="4" s="1"/>
  <c r="BT20" i="1"/>
  <c r="BT21"/>
  <c r="BT22"/>
  <c r="BV22" i="4" s="1"/>
  <c r="BT23" i="1"/>
  <c r="BT24"/>
  <c r="BT25"/>
  <c r="BT26"/>
  <c r="BV26" i="4" s="1"/>
  <c r="BT27" i="1"/>
  <c r="BT28"/>
  <c r="BT29"/>
  <c r="BT30"/>
  <c r="BT31"/>
  <c r="BV31" i="4" s="1"/>
  <c r="BT32" i="1"/>
  <c r="BT33"/>
  <c r="BT34"/>
  <c r="BV34" i="4" s="1"/>
  <c r="BT35" i="1"/>
  <c r="BT36"/>
  <c r="BT37"/>
  <c r="BT38"/>
  <c r="BV38" i="4" s="1"/>
  <c r="BT39" i="1"/>
  <c r="BT40"/>
  <c r="BT41"/>
  <c r="BT42"/>
  <c r="BT43"/>
  <c r="BV43" i="4" s="1"/>
  <c r="BT44" i="1"/>
  <c r="BT45"/>
  <c r="BT46"/>
  <c r="BV46" i="4" s="1"/>
  <c r="BT47" i="1"/>
  <c r="BT48"/>
  <c r="BT49"/>
  <c r="BT50"/>
  <c r="BV50" i="4" s="1"/>
  <c r="BT51" i="1"/>
  <c r="BT52"/>
  <c r="BT53"/>
  <c r="BT54"/>
  <c r="BT55"/>
  <c r="BV55" i="4" s="1"/>
  <c r="BT56" i="1"/>
  <c r="BT57"/>
  <c r="BT58"/>
  <c r="BV58" i="4" s="1"/>
  <c r="BT59" i="1"/>
  <c r="BT60"/>
  <c r="BT61"/>
  <c r="BT62"/>
  <c r="BV62" i="4" s="1"/>
  <c r="BT63" i="1"/>
  <c r="BT64"/>
  <c r="BT65"/>
  <c r="BT66"/>
  <c r="BT67"/>
  <c r="BV67" i="4" s="1"/>
  <c r="BT68" i="1"/>
  <c r="BT69"/>
  <c r="BT70"/>
  <c r="BV70" i="4" s="1"/>
  <c r="BT71" i="1"/>
  <c r="BT72"/>
  <c r="BT73"/>
  <c r="BT74"/>
  <c r="BV74" i="4" s="1"/>
  <c r="BT75" i="1"/>
  <c r="BT76"/>
  <c r="BT77"/>
  <c r="BT78"/>
  <c r="BT79"/>
  <c r="BV79" i="4" s="1"/>
  <c r="BT80" i="1"/>
  <c r="BT81"/>
  <c r="BT82"/>
  <c r="BV82" i="4" s="1"/>
  <c r="BT83" i="1"/>
  <c r="BT84"/>
  <c r="BT85"/>
  <c r="BT86"/>
  <c r="BV86" i="4" s="1"/>
  <c r="BT87" i="1"/>
  <c r="BV8" i="4"/>
  <c r="BU9"/>
  <c r="BU10"/>
  <c r="BU11"/>
  <c r="BU12"/>
  <c r="BU13"/>
  <c r="BU14"/>
  <c r="BU16"/>
  <c r="BU17"/>
  <c r="BU18"/>
  <c r="BU19"/>
  <c r="BU20"/>
  <c r="BU21"/>
  <c r="BU22"/>
  <c r="BU23"/>
  <c r="BU25"/>
  <c r="BU26"/>
  <c r="BU27"/>
  <c r="BU28"/>
  <c r="BU29"/>
  <c r="BU30"/>
  <c r="BU31"/>
  <c r="BU32"/>
  <c r="BU33"/>
  <c r="BU34"/>
  <c r="BU35"/>
  <c r="BU36"/>
  <c r="BU37"/>
  <c r="BU38"/>
  <c r="BU39"/>
  <c r="BU40"/>
  <c r="BU41"/>
  <c r="BU42"/>
  <c r="BU43"/>
  <c r="BU44"/>
  <c r="BU45"/>
  <c r="BU46"/>
  <c r="BU47"/>
  <c r="BU48"/>
  <c r="BU49"/>
  <c r="BU50"/>
  <c r="BU51"/>
  <c r="BU52"/>
  <c r="BU53"/>
  <c r="BU54"/>
  <c r="BU55"/>
  <c r="BU56"/>
  <c r="BU57"/>
  <c r="BU58"/>
  <c r="BU59"/>
  <c r="BU60"/>
  <c r="BU61"/>
  <c r="BU62"/>
  <c r="BU63"/>
  <c r="BU64"/>
  <c r="BU65"/>
  <c r="BU66"/>
  <c r="BU67"/>
  <c r="BU68"/>
  <c r="BU69"/>
  <c r="BU70"/>
  <c r="BU71"/>
  <c r="BU72"/>
  <c r="BU73"/>
  <c r="BU74"/>
  <c r="BU75"/>
  <c r="BU76"/>
  <c r="BU77"/>
  <c r="BU78"/>
  <c r="BU79"/>
  <c r="BU80"/>
  <c r="BU81"/>
  <c r="BU82"/>
  <c r="BU83"/>
  <c r="BU84"/>
  <c r="BU85"/>
  <c r="BU86"/>
  <c r="BU87"/>
  <c r="BV9"/>
  <c r="BV11"/>
  <c r="BV12"/>
  <c r="BV13"/>
  <c r="BV15"/>
  <c r="BV16"/>
  <c r="BV17"/>
  <c r="BV18"/>
  <c r="BV20"/>
  <c r="BV21"/>
  <c r="BV23"/>
  <c r="BV24"/>
  <c r="BV25"/>
  <c r="BV27"/>
  <c r="BV28"/>
  <c r="BV29"/>
  <c r="BV30"/>
  <c r="BV32"/>
  <c r="BV33"/>
  <c r="BV35"/>
  <c r="BV36"/>
  <c r="BV37"/>
  <c r="BV39"/>
  <c r="BV40"/>
  <c r="BV41"/>
  <c r="BV42"/>
  <c r="BV44"/>
  <c r="BV45"/>
  <c r="BV47"/>
  <c r="BV48"/>
  <c r="BV49"/>
  <c r="BV51"/>
  <c r="BV52"/>
  <c r="BV53"/>
  <c r="BV54"/>
  <c r="BV56"/>
  <c r="BV57"/>
  <c r="BV59"/>
  <c r="BV60"/>
  <c r="BV61"/>
  <c r="BV63"/>
  <c r="BV64"/>
  <c r="BV65"/>
  <c r="BV66"/>
  <c r="BV68"/>
  <c r="BV69"/>
  <c r="BV71"/>
  <c r="BV72"/>
  <c r="BV73"/>
  <c r="BV75"/>
  <c r="BV76"/>
  <c r="BV77"/>
  <c r="BV78"/>
  <c r="BV80"/>
  <c r="BV81"/>
  <c r="BV83"/>
  <c r="BV84"/>
  <c r="BV85"/>
  <c r="BV87"/>
  <c r="AS9"/>
  <c r="AS1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"/>
  <c r="AU17" l="1"/>
  <c r="AU18"/>
  <c r="AU19"/>
  <c r="AU20"/>
  <c r="AU22"/>
  <c r="AU25"/>
  <c r="AU27"/>
  <c r="AU28"/>
  <c r="AU29"/>
  <c r="AU30"/>
  <c r="AU31"/>
  <c r="AU32"/>
  <c r="AU33"/>
  <c r="AU34"/>
  <c r="AU35"/>
  <c r="AU36"/>
  <c r="AU37"/>
  <c r="AU41"/>
  <c r="AU42"/>
  <c r="AU43"/>
  <c r="AU44"/>
  <c r="AU49"/>
  <c r="AU52"/>
  <c r="AU53"/>
  <c r="AU54"/>
  <c r="AU55"/>
  <c r="AU56"/>
  <c r="AU65"/>
  <c r="AU66"/>
  <c r="AU67"/>
  <c r="AU68"/>
  <c r="AU79"/>
  <c r="AU83"/>
  <c r="AU84"/>
  <c r="AU86"/>
  <c r="BL51"/>
  <c r="BM51" s="1"/>
  <c r="BL52"/>
  <c r="BM52" s="1"/>
  <c r="BL53"/>
  <c r="BM53" s="1"/>
  <c r="BL54"/>
  <c r="BM54" s="1"/>
  <c r="BL55"/>
  <c r="BM55" s="1"/>
  <c r="BL56"/>
  <c r="BM56" s="1"/>
  <c r="BL57"/>
  <c r="BM57" s="1"/>
  <c r="BL58"/>
  <c r="BM58" s="1"/>
  <c r="BL59"/>
  <c r="BM59" s="1"/>
  <c r="BL60"/>
  <c r="BM60" s="1"/>
  <c r="BL61"/>
  <c r="BM61" s="1"/>
  <c r="BL62"/>
  <c r="BM62" s="1"/>
  <c r="BL63"/>
  <c r="BM63" s="1"/>
  <c r="BL64"/>
  <c r="BM64" s="1"/>
  <c r="BL65"/>
  <c r="BM65" s="1"/>
  <c r="BL66"/>
  <c r="BM66" s="1"/>
  <c r="BL67"/>
  <c r="BM67" s="1"/>
  <c r="BL68"/>
  <c r="BM68" s="1"/>
  <c r="BL69"/>
  <c r="BM69" s="1"/>
  <c r="BL70"/>
  <c r="BM70" s="1"/>
  <c r="BL71"/>
  <c r="BM71" s="1"/>
  <c r="BL72"/>
  <c r="BM72" s="1"/>
  <c r="BL73"/>
  <c r="BM73" s="1"/>
  <c r="BL74"/>
  <c r="BM74" s="1"/>
  <c r="BL75"/>
  <c r="BM75" s="1"/>
  <c r="BL76"/>
  <c r="BM76" s="1"/>
  <c r="BL77"/>
  <c r="BM77" s="1"/>
  <c r="BL78"/>
  <c r="BM78" s="1"/>
  <c r="BL79"/>
  <c r="BM79" s="1"/>
  <c r="BL80"/>
  <c r="BM80" s="1"/>
  <c r="BL81"/>
  <c r="BM81" s="1"/>
  <c r="BL82"/>
  <c r="BM82" s="1"/>
  <c r="BL83"/>
  <c r="BM83" s="1"/>
  <c r="BL84"/>
  <c r="BM84" s="1"/>
  <c r="BL85"/>
  <c r="BM85" s="1"/>
  <c r="BL86"/>
  <c r="BM86" s="1"/>
  <c r="BL87"/>
  <c r="BM87" s="1"/>
  <c r="BL49"/>
  <c r="BM49" s="1"/>
  <c r="BL50"/>
  <c r="BM50" s="1"/>
  <c r="BL9"/>
  <c r="BM9" s="1"/>
  <c r="BL10"/>
  <c r="BM10" s="1"/>
  <c r="BL11"/>
  <c r="BM11" s="1"/>
  <c r="BL12"/>
  <c r="BM12" s="1"/>
  <c r="BL13"/>
  <c r="BM13" s="1"/>
  <c r="BL14"/>
  <c r="BM14" s="1"/>
  <c r="BL15"/>
  <c r="BM15" s="1"/>
  <c r="BL16"/>
  <c r="BM16" s="1"/>
  <c r="BL17"/>
  <c r="BM17" s="1"/>
  <c r="BL18"/>
  <c r="BM18" s="1"/>
  <c r="BL19"/>
  <c r="BM19" s="1"/>
  <c r="BL20"/>
  <c r="BM20" s="1"/>
  <c r="BL21"/>
  <c r="BM21" s="1"/>
  <c r="BL22"/>
  <c r="BM22" s="1"/>
  <c r="BL23"/>
  <c r="BM23" s="1"/>
  <c r="BL24"/>
  <c r="BM24" s="1"/>
  <c r="BL25"/>
  <c r="BM25" s="1"/>
  <c r="BL26"/>
  <c r="BM26" s="1"/>
  <c r="BL27"/>
  <c r="BM27" s="1"/>
  <c r="BL28"/>
  <c r="BM28" s="1"/>
  <c r="BL29"/>
  <c r="BM29" s="1"/>
  <c r="BL30"/>
  <c r="BM30" s="1"/>
  <c r="BL31"/>
  <c r="BM31" s="1"/>
  <c r="BL32"/>
  <c r="BM32" s="1"/>
  <c r="BL33"/>
  <c r="BM33" s="1"/>
  <c r="BL34"/>
  <c r="BM34" s="1"/>
  <c r="BL35"/>
  <c r="BM35" s="1"/>
  <c r="BL36"/>
  <c r="BM36" s="1"/>
  <c r="BL37"/>
  <c r="BM37" s="1"/>
  <c r="BL38"/>
  <c r="BM38" s="1"/>
  <c r="BL39"/>
  <c r="BM39" s="1"/>
  <c r="BL40"/>
  <c r="BM40" s="1"/>
  <c r="BL41"/>
  <c r="BM41" s="1"/>
  <c r="BL42"/>
  <c r="BM42" s="1"/>
  <c r="BL43"/>
  <c r="BM43" s="1"/>
  <c r="BL44"/>
  <c r="BM44" s="1"/>
  <c r="BL45"/>
  <c r="BM45" s="1"/>
  <c r="BL46"/>
  <c r="BM46" s="1"/>
  <c r="BL47"/>
  <c r="BM47" s="1"/>
  <c r="BL48"/>
  <c r="BM48" s="1"/>
  <c r="BE52"/>
  <c r="BE53"/>
  <c r="BE54"/>
  <c r="BE55"/>
  <c r="BE56"/>
  <c r="BE57"/>
  <c r="BE58"/>
  <c r="BE59"/>
  <c r="BE60"/>
  <c r="BE61"/>
  <c r="BE62"/>
  <c r="BE63"/>
  <c r="BE64"/>
  <c r="BE65"/>
  <c r="BE66"/>
  <c r="BE67"/>
  <c r="BE68"/>
  <c r="BE69"/>
  <c r="BE70"/>
  <c r="BE71"/>
  <c r="BE72"/>
  <c r="BE73"/>
  <c r="BE74"/>
  <c r="BE75"/>
  <c r="BE76"/>
  <c r="BE77"/>
  <c r="BE78"/>
  <c r="BE79"/>
  <c r="BE80"/>
  <c r="BE81"/>
  <c r="BE82"/>
  <c r="BE83"/>
  <c r="BE84"/>
  <c r="BE85"/>
  <c r="BE86"/>
  <c r="BE87"/>
  <c r="BE49"/>
  <c r="BE50"/>
  <c r="BE51"/>
  <c r="BE9"/>
  <c r="BE10"/>
  <c r="BE11"/>
  <c r="BE12"/>
  <c r="BE13"/>
  <c r="BE14"/>
  <c r="BE15"/>
  <c r="BE16"/>
  <c r="BE17"/>
  <c r="BE18"/>
  <c r="BE19"/>
  <c r="BE20"/>
  <c r="BE21"/>
  <c r="BE22"/>
  <c r="BE23"/>
  <c r="BE24"/>
  <c r="BE25"/>
  <c r="BE26"/>
  <c r="BE27"/>
  <c r="BE28"/>
  <c r="BE29"/>
  <c r="BE30"/>
  <c r="BE31"/>
  <c r="BE32"/>
  <c r="BE33"/>
  <c r="BE34"/>
  <c r="BE35"/>
  <c r="BE36"/>
  <c r="BE37"/>
  <c r="BE38"/>
  <c r="BE39"/>
  <c r="BE40"/>
  <c r="BE41"/>
  <c r="BE42"/>
  <c r="BE43"/>
  <c r="BE44"/>
  <c r="BE45"/>
  <c r="BE46"/>
  <c r="BE47"/>
  <c r="BE48"/>
  <c r="AX51"/>
  <c r="AZ51" s="1"/>
  <c r="AX52"/>
  <c r="AZ52" s="1"/>
  <c r="AX53"/>
  <c r="AZ53" s="1"/>
  <c r="AX54"/>
  <c r="AZ54" s="1"/>
  <c r="AX55"/>
  <c r="AZ55" s="1"/>
  <c r="AX56"/>
  <c r="AZ56" s="1"/>
  <c r="AX57"/>
  <c r="AZ57" s="1"/>
  <c r="AX58"/>
  <c r="AZ58" s="1"/>
  <c r="AX59"/>
  <c r="AZ59" s="1"/>
  <c r="AX60"/>
  <c r="AZ60" s="1"/>
  <c r="AX61"/>
  <c r="AZ61" s="1"/>
  <c r="AX62"/>
  <c r="AZ62" s="1"/>
  <c r="AX63"/>
  <c r="AZ63" s="1"/>
  <c r="AX64"/>
  <c r="AZ64" s="1"/>
  <c r="AX65"/>
  <c r="AZ65" s="1"/>
  <c r="AX66"/>
  <c r="AZ66" s="1"/>
  <c r="AX67"/>
  <c r="AZ67" s="1"/>
  <c r="AX68"/>
  <c r="AZ68" s="1"/>
  <c r="AX69"/>
  <c r="AZ69" s="1"/>
  <c r="AX70"/>
  <c r="AZ70" s="1"/>
  <c r="AX71"/>
  <c r="AZ71" s="1"/>
  <c r="AX72"/>
  <c r="AZ72" s="1"/>
  <c r="AX73"/>
  <c r="AZ73" s="1"/>
  <c r="AX74"/>
  <c r="AZ74" s="1"/>
  <c r="AX75"/>
  <c r="AZ75" s="1"/>
  <c r="AX76"/>
  <c r="AZ76" s="1"/>
  <c r="AX77"/>
  <c r="AZ77" s="1"/>
  <c r="AX78"/>
  <c r="AZ78" s="1"/>
  <c r="AX79"/>
  <c r="AZ79" s="1"/>
  <c r="AX80"/>
  <c r="AZ80" s="1"/>
  <c r="AX81"/>
  <c r="AZ81" s="1"/>
  <c r="AX82"/>
  <c r="AZ82" s="1"/>
  <c r="AX83"/>
  <c r="AZ83" s="1"/>
  <c r="AX84"/>
  <c r="AZ84" s="1"/>
  <c r="AX85"/>
  <c r="AZ85" s="1"/>
  <c r="AX86"/>
  <c r="AZ86" s="1"/>
  <c r="AX87"/>
  <c r="AZ87" s="1"/>
  <c r="AX49"/>
  <c r="AZ49" s="1"/>
  <c r="AX50"/>
  <c r="AZ50" s="1"/>
  <c r="AX9"/>
  <c r="AZ9" s="1"/>
  <c r="AX10"/>
  <c r="AZ10" s="1"/>
  <c r="AX11"/>
  <c r="AZ11" s="1"/>
  <c r="AX12"/>
  <c r="AZ12" s="1"/>
  <c r="AX13"/>
  <c r="AZ13" s="1"/>
  <c r="AX14"/>
  <c r="AZ14" s="1"/>
  <c r="AX15"/>
  <c r="AZ15" s="1"/>
  <c r="AX16"/>
  <c r="AZ16" s="1"/>
  <c r="AX17"/>
  <c r="AZ17" s="1"/>
  <c r="AX18"/>
  <c r="AZ18" s="1"/>
  <c r="AX19"/>
  <c r="AZ19" s="1"/>
  <c r="AX20"/>
  <c r="AZ20" s="1"/>
  <c r="AU21"/>
  <c r="AX21"/>
  <c r="AZ21" s="1"/>
  <c r="AX22"/>
  <c r="AZ22" s="1"/>
  <c r="AX23"/>
  <c r="AZ23" s="1"/>
  <c r="AX24"/>
  <c r="AZ24" s="1"/>
  <c r="AX25"/>
  <c r="AZ25" s="1"/>
  <c r="AX26"/>
  <c r="AZ26" s="1"/>
  <c r="AX27"/>
  <c r="AZ27" s="1"/>
  <c r="AX28"/>
  <c r="AZ28" s="1"/>
  <c r="AX29"/>
  <c r="AZ29" s="1"/>
  <c r="AX30"/>
  <c r="AZ30" s="1"/>
  <c r="AX31"/>
  <c r="AZ31" s="1"/>
  <c r="AX32"/>
  <c r="AZ32" s="1"/>
  <c r="AX33"/>
  <c r="AZ33" s="1"/>
  <c r="AX34"/>
  <c r="AZ34" s="1"/>
  <c r="AX35"/>
  <c r="AZ35" s="1"/>
  <c r="AX36"/>
  <c r="AZ36" s="1"/>
  <c r="AX37"/>
  <c r="AZ37" s="1"/>
  <c r="AX38"/>
  <c r="AZ38" s="1"/>
  <c r="AU39"/>
  <c r="AX39"/>
  <c r="AZ39" s="1"/>
  <c r="AU40"/>
  <c r="AX40"/>
  <c r="AZ40" s="1"/>
  <c r="AX41"/>
  <c r="AZ41" s="1"/>
  <c r="AX42"/>
  <c r="AZ42" s="1"/>
  <c r="AX43"/>
  <c r="AZ43" s="1"/>
  <c r="AX44"/>
  <c r="AZ44" s="1"/>
  <c r="AU45"/>
  <c r="AX45"/>
  <c r="AZ45" s="1"/>
  <c r="AX46"/>
  <c r="AZ46" s="1"/>
  <c r="AU47"/>
  <c r="AX47"/>
  <c r="AZ47" s="1"/>
  <c r="AX48"/>
  <c r="AZ48" s="1"/>
  <c r="AU23"/>
  <c r="AU24"/>
  <c r="AU26"/>
  <c r="AU38"/>
  <c r="AU46"/>
  <c r="AU48"/>
  <c r="AU50"/>
  <c r="AU51"/>
  <c r="AU57"/>
  <c r="AU58"/>
  <c r="AU59"/>
  <c r="AU60"/>
  <c r="AP61"/>
  <c r="AU61"/>
  <c r="AU62"/>
  <c r="AU63"/>
  <c r="AU64"/>
  <c r="AU69"/>
  <c r="AU70"/>
  <c r="AU71"/>
  <c r="AU72"/>
  <c r="AU73"/>
  <c r="AU74"/>
  <c r="AU75"/>
  <c r="AU76"/>
  <c r="AU77"/>
  <c r="AU78"/>
  <c r="AU80"/>
  <c r="AU81"/>
  <c r="AU82"/>
  <c r="AU85"/>
  <c r="AU87"/>
  <c r="AU9"/>
  <c r="AU10"/>
  <c r="AU11"/>
  <c r="AU12"/>
  <c r="AU13"/>
  <c r="AU14"/>
  <c r="AU15"/>
  <c r="AU16"/>
  <c r="AL50"/>
  <c r="AN50" s="1"/>
  <c r="AP50" s="1"/>
  <c r="AL51"/>
  <c r="AN51" s="1"/>
  <c r="AP51" s="1"/>
  <c r="AL52"/>
  <c r="AN52" s="1"/>
  <c r="AP52" s="1"/>
  <c r="AL53"/>
  <c r="AN53" s="1"/>
  <c r="AP53" s="1"/>
  <c r="AL54"/>
  <c r="AN54" s="1"/>
  <c r="AP54" s="1"/>
  <c r="AL55"/>
  <c r="AN55" s="1"/>
  <c r="AP55" s="1"/>
  <c r="AL56"/>
  <c r="AN56" s="1"/>
  <c r="AP56" s="1"/>
  <c r="AL57"/>
  <c r="AN57" s="1"/>
  <c r="AP57" s="1"/>
  <c r="AL58"/>
  <c r="AN58" s="1"/>
  <c r="AP58" s="1"/>
  <c r="AL59"/>
  <c r="AN59" s="1"/>
  <c r="AP59" s="1"/>
  <c r="AL60"/>
  <c r="AN60" s="1"/>
  <c r="AP60" s="1"/>
  <c r="AL61"/>
  <c r="AN61" s="1"/>
  <c r="AL62"/>
  <c r="AN62" s="1"/>
  <c r="AP62" s="1"/>
  <c r="AL63"/>
  <c r="AN63" s="1"/>
  <c r="AP63" s="1"/>
  <c r="AL64"/>
  <c r="AN64" s="1"/>
  <c r="AP64" s="1"/>
  <c r="AL65"/>
  <c r="AN65" s="1"/>
  <c r="AP65" s="1"/>
  <c r="AL66"/>
  <c r="AN66" s="1"/>
  <c r="AP66" s="1"/>
  <c r="AL67"/>
  <c r="AN67" s="1"/>
  <c r="AP67" s="1"/>
  <c r="AL68"/>
  <c r="AN68" s="1"/>
  <c r="AP68" s="1"/>
  <c r="AL69"/>
  <c r="AN69" s="1"/>
  <c r="AP69" s="1"/>
  <c r="AL70"/>
  <c r="AN70" s="1"/>
  <c r="AP70" s="1"/>
  <c r="AL71"/>
  <c r="AN71" s="1"/>
  <c r="AP71" s="1"/>
  <c r="AL72"/>
  <c r="AN72" s="1"/>
  <c r="AP72" s="1"/>
  <c r="AL73"/>
  <c r="AN73" s="1"/>
  <c r="AP73" s="1"/>
  <c r="AL74"/>
  <c r="AN74" s="1"/>
  <c r="AP74" s="1"/>
  <c r="AL75"/>
  <c r="AN75" s="1"/>
  <c r="AP75" s="1"/>
  <c r="AL76"/>
  <c r="AN76" s="1"/>
  <c r="AP76" s="1"/>
  <c r="AL77"/>
  <c r="AN77" s="1"/>
  <c r="AP77" s="1"/>
  <c r="AL78"/>
  <c r="AN78" s="1"/>
  <c r="AP78" s="1"/>
  <c r="AL79"/>
  <c r="AN79" s="1"/>
  <c r="AP79" s="1"/>
  <c r="AL80"/>
  <c r="AN80" s="1"/>
  <c r="AP80" s="1"/>
  <c r="AL81"/>
  <c r="AN81" s="1"/>
  <c r="AP81" s="1"/>
  <c r="AL82"/>
  <c r="AN82" s="1"/>
  <c r="AP82" s="1"/>
  <c r="AL83"/>
  <c r="AN83" s="1"/>
  <c r="AP83" s="1"/>
  <c r="AL84"/>
  <c r="AN84" s="1"/>
  <c r="AP84" s="1"/>
  <c r="AL85"/>
  <c r="AN85" s="1"/>
  <c r="AP85" s="1"/>
  <c r="AL86"/>
  <c r="AN86" s="1"/>
  <c r="AP86" s="1"/>
  <c r="AL87"/>
  <c r="AN87" s="1"/>
  <c r="AP87" s="1"/>
  <c r="AL49"/>
  <c r="AN49" s="1"/>
  <c r="AP49" s="1"/>
  <c r="AL20"/>
  <c r="AN20" s="1"/>
  <c r="AP20" s="1"/>
  <c r="AL21"/>
  <c r="AN21" s="1"/>
  <c r="AP21" s="1"/>
  <c r="AL22"/>
  <c r="AN22" s="1"/>
  <c r="AP22" s="1"/>
  <c r="AL23"/>
  <c r="AN23" s="1"/>
  <c r="AP23" s="1"/>
  <c r="AL24"/>
  <c r="AN24" s="1"/>
  <c r="AP24" s="1"/>
  <c r="AL25"/>
  <c r="AN25" s="1"/>
  <c r="AP25" s="1"/>
  <c r="AL26"/>
  <c r="AN26" s="1"/>
  <c r="AP26" s="1"/>
  <c r="AL27"/>
  <c r="AN27" s="1"/>
  <c r="AP27" s="1"/>
  <c r="AL28"/>
  <c r="AN28" s="1"/>
  <c r="AP28" s="1"/>
  <c r="AL29"/>
  <c r="AN29" s="1"/>
  <c r="AP29" s="1"/>
  <c r="AL30"/>
  <c r="AN30" s="1"/>
  <c r="AP30" s="1"/>
  <c r="AL31"/>
  <c r="AN31" s="1"/>
  <c r="AP31" s="1"/>
  <c r="AL32"/>
  <c r="AN32" s="1"/>
  <c r="AP32" s="1"/>
  <c r="AL33"/>
  <c r="AN33" s="1"/>
  <c r="AP33" s="1"/>
  <c r="AL34"/>
  <c r="AN34" s="1"/>
  <c r="AP34" s="1"/>
  <c r="AL35"/>
  <c r="AN35" s="1"/>
  <c r="AP35" s="1"/>
  <c r="AL36"/>
  <c r="AN36" s="1"/>
  <c r="AP36" s="1"/>
  <c r="AL37"/>
  <c r="AN37" s="1"/>
  <c r="AP37" s="1"/>
  <c r="AL38"/>
  <c r="AN38" s="1"/>
  <c r="AP38" s="1"/>
  <c r="AL39"/>
  <c r="AN39" s="1"/>
  <c r="AP39" s="1"/>
  <c r="AL40"/>
  <c r="AN40" s="1"/>
  <c r="AP40" s="1"/>
  <c r="AL41"/>
  <c r="AN41" s="1"/>
  <c r="AP41" s="1"/>
  <c r="AL42"/>
  <c r="AN42" s="1"/>
  <c r="AP42" s="1"/>
  <c r="AL43"/>
  <c r="AN43" s="1"/>
  <c r="AP43" s="1"/>
  <c r="AL44"/>
  <c r="AN44" s="1"/>
  <c r="AP44" s="1"/>
  <c r="AL45"/>
  <c r="AN45" s="1"/>
  <c r="AP45" s="1"/>
  <c r="AL46"/>
  <c r="AN46" s="1"/>
  <c r="AP46" s="1"/>
  <c r="AL47"/>
  <c r="AN47" s="1"/>
  <c r="AP47" s="1"/>
  <c r="AL48"/>
  <c r="AN48" s="1"/>
  <c r="AP48" s="1"/>
  <c r="AL19"/>
  <c r="AN19" s="1"/>
  <c r="AP19" s="1"/>
  <c r="AL9"/>
  <c r="AN9" s="1"/>
  <c r="AP9" s="1"/>
  <c r="AL10"/>
  <c r="AN10" s="1"/>
  <c r="AP10" s="1"/>
  <c r="AL11"/>
  <c r="AN11" s="1"/>
  <c r="AP11" s="1"/>
  <c r="AL12"/>
  <c r="AN12" s="1"/>
  <c r="AP12" s="1"/>
  <c r="AL13"/>
  <c r="AN13" s="1"/>
  <c r="AP13" s="1"/>
  <c r="AL14"/>
  <c r="AN14" s="1"/>
  <c r="AP14" s="1"/>
  <c r="AL15"/>
  <c r="AN15" s="1"/>
  <c r="AP15" s="1"/>
  <c r="AL16"/>
  <c r="AN16" s="1"/>
  <c r="AP16" s="1"/>
  <c r="AL17"/>
  <c r="AN17" s="1"/>
  <c r="AP17" s="1"/>
  <c r="AL18"/>
  <c r="AN18" s="1"/>
  <c r="AP18" s="1"/>
  <c r="AE50"/>
  <c r="AG50" s="1"/>
  <c r="AI50" s="1"/>
  <c r="AE51"/>
  <c r="AG51" s="1"/>
  <c r="AI51" s="1"/>
  <c r="AE52"/>
  <c r="AG52" s="1"/>
  <c r="AI52" s="1"/>
  <c r="AE53"/>
  <c r="AG53" s="1"/>
  <c r="AI53" s="1"/>
  <c r="AE54"/>
  <c r="AG54" s="1"/>
  <c r="AI54" s="1"/>
  <c r="AE55"/>
  <c r="AG55" s="1"/>
  <c r="AI55" s="1"/>
  <c r="AE56"/>
  <c r="AG56" s="1"/>
  <c r="AI56" s="1"/>
  <c r="AE57"/>
  <c r="AG57" s="1"/>
  <c r="AI57" s="1"/>
  <c r="AE58"/>
  <c r="AG58" s="1"/>
  <c r="AI58" s="1"/>
  <c r="AE59"/>
  <c r="AG59" s="1"/>
  <c r="AI59" s="1"/>
  <c r="AE60"/>
  <c r="AG60" s="1"/>
  <c r="AI60" s="1"/>
  <c r="AE61"/>
  <c r="AG61" s="1"/>
  <c r="AI61" s="1"/>
  <c r="AE62"/>
  <c r="AG62" s="1"/>
  <c r="AI62" s="1"/>
  <c r="AE63"/>
  <c r="AG63" s="1"/>
  <c r="AI63" s="1"/>
  <c r="AE64"/>
  <c r="AG64" s="1"/>
  <c r="AI64" s="1"/>
  <c r="AE65"/>
  <c r="AG65" s="1"/>
  <c r="AI65" s="1"/>
  <c r="AE66"/>
  <c r="AG66" s="1"/>
  <c r="AI66" s="1"/>
  <c r="AE67"/>
  <c r="AG67" s="1"/>
  <c r="AI67" s="1"/>
  <c r="AE68"/>
  <c r="AG68" s="1"/>
  <c r="AI68" s="1"/>
  <c r="AE69"/>
  <c r="AG69" s="1"/>
  <c r="AI69" s="1"/>
  <c r="AE70"/>
  <c r="AG70" s="1"/>
  <c r="AI70" s="1"/>
  <c r="AE71"/>
  <c r="AG71" s="1"/>
  <c r="AI71" s="1"/>
  <c r="AE72"/>
  <c r="AG72" s="1"/>
  <c r="AI72" s="1"/>
  <c r="AE73"/>
  <c r="AG73" s="1"/>
  <c r="AI73" s="1"/>
  <c r="AE74"/>
  <c r="AG74" s="1"/>
  <c r="AI74" s="1"/>
  <c r="AE75"/>
  <c r="AG75" s="1"/>
  <c r="AI75" s="1"/>
  <c r="AE76"/>
  <c r="AG76" s="1"/>
  <c r="AI76" s="1"/>
  <c r="AE77"/>
  <c r="AG77" s="1"/>
  <c r="AI77" s="1"/>
  <c r="AE78"/>
  <c r="AG78" s="1"/>
  <c r="AI78" s="1"/>
  <c r="AE79"/>
  <c r="AG79" s="1"/>
  <c r="AI79" s="1"/>
  <c r="AE80"/>
  <c r="AG80" s="1"/>
  <c r="AI80" s="1"/>
  <c r="AE81"/>
  <c r="AG81" s="1"/>
  <c r="AI81" s="1"/>
  <c r="AE82"/>
  <c r="AG82" s="1"/>
  <c r="AI82" s="1"/>
  <c r="AE83"/>
  <c r="AG83" s="1"/>
  <c r="AI83" s="1"/>
  <c r="AE84"/>
  <c r="AG84" s="1"/>
  <c r="AI84" s="1"/>
  <c r="AE85"/>
  <c r="AG85" s="1"/>
  <c r="AI85" s="1"/>
  <c r="AE86"/>
  <c r="AG86" s="1"/>
  <c r="AI86" s="1"/>
  <c r="AE87"/>
  <c r="AG87" s="1"/>
  <c r="AI87" s="1"/>
  <c r="AE49"/>
  <c r="AG49" s="1"/>
  <c r="AI49" s="1"/>
  <c r="AE9"/>
  <c r="AG9" s="1"/>
  <c r="AI9" s="1"/>
  <c r="AE10"/>
  <c r="AG10" s="1"/>
  <c r="AI10" s="1"/>
  <c r="AE11"/>
  <c r="AG11" s="1"/>
  <c r="AI11" s="1"/>
  <c r="AE12"/>
  <c r="AG12" s="1"/>
  <c r="AI12" s="1"/>
  <c r="AE13"/>
  <c r="AG13" s="1"/>
  <c r="AI13" s="1"/>
  <c r="AE14"/>
  <c r="AG14" s="1"/>
  <c r="AI14" s="1"/>
  <c r="AE15"/>
  <c r="AG15" s="1"/>
  <c r="AI15" s="1"/>
  <c r="AE16"/>
  <c r="AG16" s="1"/>
  <c r="AI16" s="1"/>
  <c r="AE17"/>
  <c r="AG17" s="1"/>
  <c r="AI17" s="1"/>
  <c r="AE18"/>
  <c r="AG18" s="1"/>
  <c r="AI18" s="1"/>
  <c r="AE19"/>
  <c r="AG19" s="1"/>
  <c r="AI19" s="1"/>
  <c r="AE20"/>
  <c r="AG20" s="1"/>
  <c r="AI20" s="1"/>
  <c r="AE21"/>
  <c r="AG21" s="1"/>
  <c r="AI21" s="1"/>
  <c r="AE22"/>
  <c r="AG22" s="1"/>
  <c r="AI22" s="1"/>
  <c r="AE23"/>
  <c r="AG23" s="1"/>
  <c r="AI23" s="1"/>
  <c r="AE24"/>
  <c r="AG24" s="1"/>
  <c r="AI24" s="1"/>
  <c r="AE25"/>
  <c r="AG25" s="1"/>
  <c r="AI25" s="1"/>
  <c r="AE26"/>
  <c r="AG26" s="1"/>
  <c r="AI26" s="1"/>
  <c r="AE27"/>
  <c r="AG27" s="1"/>
  <c r="AI27" s="1"/>
  <c r="AE28"/>
  <c r="AG28" s="1"/>
  <c r="AI28" s="1"/>
  <c r="AE29"/>
  <c r="AG29" s="1"/>
  <c r="AI29" s="1"/>
  <c r="AE30"/>
  <c r="AG30" s="1"/>
  <c r="AI30" s="1"/>
  <c r="AE31"/>
  <c r="AG31" s="1"/>
  <c r="AI31" s="1"/>
  <c r="AE32"/>
  <c r="AG32" s="1"/>
  <c r="AI32" s="1"/>
  <c r="AE33"/>
  <c r="AG33" s="1"/>
  <c r="AI33" s="1"/>
  <c r="AE34"/>
  <c r="AG34" s="1"/>
  <c r="AI34" s="1"/>
  <c r="AE35"/>
  <c r="AG35" s="1"/>
  <c r="AI35" s="1"/>
  <c r="AE36"/>
  <c r="AG36" s="1"/>
  <c r="AI36" s="1"/>
  <c r="AE37"/>
  <c r="AG37" s="1"/>
  <c r="AI37" s="1"/>
  <c r="AE38"/>
  <c r="AG38" s="1"/>
  <c r="AI38" s="1"/>
  <c r="AE39"/>
  <c r="AG39" s="1"/>
  <c r="AI39" s="1"/>
  <c r="AE40"/>
  <c r="AG40" s="1"/>
  <c r="AI40" s="1"/>
  <c r="AE41"/>
  <c r="AG41" s="1"/>
  <c r="AI41" s="1"/>
  <c r="AE42"/>
  <c r="AG42" s="1"/>
  <c r="AI42" s="1"/>
  <c r="AE43"/>
  <c r="AG43" s="1"/>
  <c r="AI43" s="1"/>
  <c r="AE44"/>
  <c r="AG44" s="1"/>
  <c r="AI44" s="1"/>
  <c r="AE45"/>
  <c r="AG45" s="1"/>
  <c r="AI45" s="1"/>
  <c r="AE46"/>
  <c r="AG46" s="1"/>
  <c r="AI46" s="1"/>
  <c r="AE47"/>
  <c r="AG47" s="1"/>
  <c r="AI47" s="1"/>
  <c r="AE48"/>
  <c r="AG48" s="1"/>
  <c r="AI48" s="1"/>
  <c r="AE8"/>
  <c r="U50"/>
  <c r="X50"/>
  <c r="U51"/>
  <c r="X51"/>
  <c r="U52"/>
  <c r="X52"/>
  <c r="U53"/>
  <c r="X53"/>
  <c r="U54"/>
  <c r="X54"/>
  <c r="U55"/>
  <c r="X55"/>
  <c r="U56"/>
  <c r="X56"/>
  <c r="U57"/>
  <c r="X57"/>
  <c r="U58"/>
  <c r="X58"/>
  <c r="U59"/>
  <c r="X59"/>
  <c r="U60"/>
  <c r="X60"/>
  <c r="U61"/>
  <c r="X61"/>
  <c r="U62"/>
  <c r="X62"/>
  <c r="U63"/>
  <c r="X63"/>
  <c r="U64"/>
  <c r="X64"/>
  <c r="U65"/>
  <c r="X65"/>
  <c r="U66"/>
  <c r="X66"/>
  <c r="U67"/>
  <c r="X67"/>
  <c r="U68"/>
  <c r="X68"/>
  <c r="U69"/>
  <c r="X69"/>
  <c r="U70"/>
  <c r="X70"/>
  <c r="U71"/>
  <c r="X71"/>
  <c r="U72"/>
  <c r="X72"/>
  <c r="U73"/>
  <c r="X73"/>
  <c r="U74"/>
  <c r="X74"/>
  <c r="U75"/>
  <c r="X75"/>
  <c r="U76"/>
  <c r="X76"/>
  <c r="U77"/>
  <c r="X77"/>
  <c r="U78"/>
  <c r="X78"/>
  <c r="U79"/>
  <c r="X79"/>
  <c r="U80"/>
  <c r="X80"/>
  <c r="U81"/>
  <c r="X81"/>
  <c r="U82"/>
  <c r="X82"/>
  <c r="U83"/>
  <c r="X83"/>
  <c r="U84"/>
  <c r="X84"/>
  <c r="U85"/>
  <c r="X85"/>
  <c r="U86"/>
  <c r="X86"/>
  <c r="U87"/>
  <c r="X87"/>
  <c r="U49"/>
  <c r="X49"/>
  <c r="U9"/>
  <c r="X9"/>
  <c r="U10"/>
  <c r="X10"/>
  <c r="U11"/>
  <c r="X11"/>
  <c r="U12"/>
  <c r="X12"/>
  <c r="U13"/>
  <c r="X13"/>
  <c r="U14"/>
  <c r="X14"/>
  <c r="U15"/>
  <c r="X15"/>
  <c r="U16"/>
  <c r="X16"/>
  <c r="U17"/>
  <c r="X17"/>
  <c r="U18"/>
  <c r="X18"/>
  <c r="U19"/>
  <c r="X19"/>
  <c r="U20"/>
  <c r="X20"/>
  <c r="U21"/>
  <c r="X21"/>
  <c r="U22"/>
  <c r="X22"/>
  <c r="U23"/>
  <c r="X23"/>
  <c r="U24"/>
  <c r="X24"/>
  <c r="U25"/>
  <c r="X25"/>
  <c r="U26"/>
  <c r="X26"/>
  <c r="U27"/>
  <c r="X27"/>
  <c r="U28"/>
  <c r="Y28" s="1"/>
  <c r="X28"/>
  <c r="U29"/>
  <c r="X29"/>
  <c r="U30"/>
  <c r="X30"/>
  <c r="U31"/>
  <c r="X31"/>
  <c r="U32"/>
  <c r="X32"/>
  <c r="U33"/>
  <c r="X33"/>
  <c r="U34"/>
  <c r="X34"/>
  <c r="U35"/>
  <c r="X35"/>
  <c r="U36"/>
  <c r="X36"/>
  <c r="U37"/>
  <c r="X37"/>
  <c r="U38"/>
  <c r="X38"/>
  <c r="U39"/>
  <c r="X39"/>
  <c r="U40"/>
  <c r="X40"/>
  <c r="U41"/>
  <c r="X41"/>
  <c r="U42"/>
  <c r="X42"/>
  <c r="U43"/>
  <c r="X43"/>
  <c r="U44"/>
  <c r="X44"/>
  <c r="U45"/>
  <c r="X45"/>
  <c r="U46"/>
  <c r="X46"/>
  <c r="U47"/>
  <c r="X47"/>
  <c r="U48"/>
  <c r="X48"/>
  <c r="BL24" i="1"/>
  <c r="BL25"/>
  <c r="I48"/>
  <c r="I49"/>
  <c r="I50"/>
  <c r="I51"/>
  <c r="I52"/>
  <c r="I53"/>
  <c r="I54"/>
  <c r="I55"/>
  <c r="I56"/>
  <c r="I57"/>
  <c r="BE87"/>
  <c r="BE85"/>
  <c r="BE84"/>
  <c r="BE83"/>
  <c r="BE82"/>
  <c r="BE81"/>
  <c r="BE80"/>
  <c r="BE79"/>
  <c r="BE78"/>
  <c r="BE77"/>
  <c r="BE76"/>
  <c r="BE75"/>
  <c r="BE74"/>
  <c r="BE73"/>
  <c r="BE72"/>
  <c r="BE71"/>
  <c r="BE70"/>
  <c r="BE69"/>
  <c r="BE68"/>
  <c r="BE67"/>
  <c r="BE66"/>
  <c r="BE65"/>
  <c r="BE64"/>
  <c r="BE63"/>
  <c r="BE62"/>
  <c r="BE61"/>
  <c r="BE60"/>
  <c r="BE59"/>
  <c r="BE58"/>
  <c r="BE57"/>
  <c r="BE56"/>
  <c r="BE55"/>
  <c r="BE54"/>
  <c r="BE53"/>
  <c r="BE52"/>
  <c r="BE51"/>
  <c r="BE50"/>
  <c r="BE49"/>
  <c r="BE48"/>
  <c r="AX87"/>
  <c r="AX86"/>
  <c r="AX85"/>
  <c r="AX84"/>
  <c r="AX83"/>
  <c r="AX82"/>
  <c r="AX81"/>
  <c r="AX80"/>
  <c r="AX79"/>
  <c r="AX77"/>
  <c r="AX76"/>
  <c r="AX75"/>
  <c r="AX74"/>
  <c r="AX73"/>
  <c r="AX72"/>
  <c r="AX71"/>
  <c r="AX70"/>
  <c r="AX69"/>
  <c r="AX68"/>
  <c r="AX67"/>
  <c r="AX66"/>
  <c r="AX65"/>
  <c r="AX64"/>
  <c r="AX63"/>
  <c r="AX62"/>
  <c r="AX60"/>
  <c r="AX59"/>
  <c r="AX58"/>
  <c r="AX57"/>
  <c r="AX56"/>
  <c r="AX55"/>
  <c r="AX54"/>
  <c r="AX53"/>
  <c r="AX52"/>
  <c r="AX51"/>
  <c r="AX50"/>
  <c r="AX49"/>
  <c r="AX48"/>
  <c r="AL87"/>
  <c r="AL86"/>
  <c r="AL85"/>
  <c r="AL84"/>
  <c r="AL83"/>
  <c r="AL82"/>
  <c r="AL81"/>
  <c r="AL80"/>
  <c r="AL79"/>
  <c r="AL78"/>
  <c r="AL77"/>
  <c r="AL76"/>
  <c r="AL75"/>
  <c r="AL74"/>
  <c r="AL73"/>
  <c r="AL72"/>
  <c r="AL71"/>
  <c r="AL70"/>
  <c r="AL69"/>
  <c r="AL68"/>
  <c r="AL67"/>
  <c r="AL66"/>
  <c r="AL65"/>
  <c r="AL64"/>
  <c r="AL63"/>
  <c r="AL62"/>
  <c r="AL61"/>
  <c r="AL60"/>
  <c r="AL59"/>
  <c r="AL58"/>
  <c r="AL57"/>
  <c r="AL56"/>
  <c r="AL55"/>
  <c r="AL54"/>
  <c r="AL53"/>
  <c r="AL52"/>
  <c r="AL51"/>
  <c r="AL50"/>
  <c r="AL49"/>
  <c r="AL48"/>
  <c r="AE87"/>
  <c r="AE86"/>
  <c r="AE85"/>
  <c r="AE84"/>
  <c r="AE83"/>
  <c r="AE82"/>
  <c r="AE81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54"/>
  <c r="AE53"/>
  <c r="AE52"/>
  <c r="AE51"/>
  <c r="AE50"/>
  <c r="AE49"/>
  <c r="AE48"/>
  <c r="X87"/>
  <c r="U87"/>
  <c r="X86"/>
  <c r="U86"/>
  <c r="X85"/>
  <c r="U85"/>
  <c r="X84"/>
  <c r="U84"/>
  <c r="X83"/>
  <c r="U83"/>
  <c r="X82"/>
  <c r="U82"/>
  <c r="X81"/>
  <c r="U81"/>
  <c r="X80"/>
  <c r="U80"/>
  <c r="X79"/>
  <c r="U79"/>
  <c r="X78"/>
  <c r="U78"/>
  <c r="X77"/>
  <c r="U77"/>
  <c r="X76"/>
  <c r="U76"/>
  <c r="X75"/>
  <c r="U75"/>
  <c r="X74"/>
  <c r="U74"/>
  <c r="X73"/>
  <c r="U73"/>
  <c r="X72"/>
  <c r="U72"/>
  <c r="X71"/>
  <c r="U71"/>
  <c r="X70"/>
  <c r="U70"/>
  <c r="X69"/>
  <c r="U69"/>
  <c r="X68"/>
  <c r="U68"/>
  <c r="X67"/>
  <c r="U67"/>
  <c r="X66"/>
  <c r="U66"/>
  <c r="X65"/>
  <c r="U65"/>
  <c r="X64"/>
  <c r="U64"/>
  <c r="X63"/>
  <c r="U63"/>
  <c r="X62"/>
  <c r="U62"/>
  <c r="X61"/>
  <c r="U61"/>
  <c r="X60"/>
  <c r="U60"/>
  <c r="X59"/>
  <c r="U59"/>
  <c r="X58"/>
  <c r="U58"/>
  <c r="X57"/>
  <c r="U57"/>
  <c r="X56"/>
  <c r="U56"/>
  <c r="X55"/>
  <c r="U55"/>
  <c r="X54"/>
  <c r="U54"/>
  <c r="X53"/>
  <c r="U53"/>
  <c r="X52"/>
  <c r="U52"/>
  <c r="X51"/>
  <c r="U51"/>
  <c r="X50"/>
  <c r="U50"/>
  <c r="X49"/>
  <c r="U49"/>
  <c r="X48"/>
  <c r="U4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Y14" i="4" l="1"/>
  <c r="Y82"/>
  <c r="Y58"/>
  <c r="Y87"/>
  <c r="Y81"/>
  <c r="Y75"/>
  <c r="Y69"/>
  <c r="Y63"/>
  <c r="Y57"/>
  <c r="Y51"/>
  <c r="Y36"/>
  <c r="Y24"/>
  <c r="Y12"/>
  <c r="Y70"/>
  <c r="Y45"/>
  <c r="Y83"/>
  <c r="Y65"/>
  <c r="Y53"/>
  <c r="Y86"/>
  <c r="Y85"/>
  <c r="Y79"/>
  <c r="Y78"/>
  <c r="Y77"/>
  <c r="Y74"/>
  <c r="Y73"/>
  <c r="Y71"/>
  <c r="Y67"/>
  <c r="Y66"/>
  <c r="Y62"/>
  <c r="Y61"/>
  <c r="Y59"/>
  <c r="Y55"/>
  <c r="Y54"/>
  <c r="Y50"/>
  <c r="Y48"/>
  <c r="Y76"/>
  <c r="Y84"/>
  <c r="Y80"/>
  <c r="Y72"/>
  <c r="Y68"/>
  <c r="Y60"/>
  <c r="Y56"/>
  <c r="Y39"/>
  <c r="Y27"/>
  <c r="Y15"/>
  <c r="Y52"/>
  <c r="Y47"/>
  <c r="Y35"/>
  <c r="Y23"/>
  <c r="Y11"/>
  <c r="Y64"/>
  <c r="Y43"/>
  <c r="Y31"/>
  <c r="Y19"/>
  <c r="Y49"/>
  <c r="Y44"/>
  <c r="Y40"/>
  <c r="Y38"/>
  <c r="Y25"/>
  <c r="Y16"/>
  <c r="Y13"/>
  <c r="Y10"/>
  <c r="Y9"/>
  <c r="Y46"/>
  <c r="Y42"/>
  <c r="Y41"/>
  <c r="Y37"/>
  <c r="Y34"/>
  <c r="Y33"/>
  <c r="Y32"/>
  <c r="Y30"/>
  <c r="Y29"/>
  <c r="Y26"/>
  <c r="Y22"/>
  <c r="Y21"/>
  <c r="Y20"/>
  <c r="Y18"/>
  <c r="Y17"/>
  <c r="BE47" i="1"/>
  <c r="BE46"/>
  <c r="BE45"/>
  <c r="BE44"/>
  <c r="BE43"/>
  <c r="BE42"/>
  <c r="BE41"/>
  <c r="BE40"/>
  <c r="BE39"/>
  <c r="BE38"/>
  <c r="BE37"/>
  <c r="BE36"/>
  <c r="BE35"/>
  <c r="BE34"/>
  <c r="BE33"/>
  <c r="BE32"/>
  <c r="BE31"/>
  <c r="BE30"/>
  <c r="BE29"/>
  <c r="BE28"/>
  <c r="BE27"/>
  <c r="BE26"/>
  <c r="BE25"/>
  <c r="BE24"/>
  <c r="BE23"/>
  <c r="BE22"/>
  <c r="BE21"/>
  <c r="BE20"/>
  <c r="BE19"/>
  <c r="BE18"/>
  <c r="BE17"/>
  <c r="BE16"/>
  <c r="BE15"/>
  <c r="BE14"/>
  <c r="BE13"/>
  <c r="BE12"/>
  <c r="BE11"/>
  <c r="BE10"/>
  <c r="BE9"/>
  <c r="BE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L47"/>
  <c r="AL46"/>
  <c r="AL45"/>
  <c r="AL44"/>
  <c r="AL43"/>
  <c r="AL42"/>
  <c r="AL41"/>
  <c r="AL40"/>
  <c r="AL39"/>
  <c r="AL38"/>
  <c r="AL37"/>
  <c r="AL36"/>
  <c r="AL35"/>
  <c r="AL34"/>
  <c r="AL33"/>
  <c r="AL32"/>
  <c r="AL31"/>
  <c r="AL30"/>
  <c r="AL29"/>
  <c r="AL28"/>
  <c r="AL27"/>
  <c r="AL2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7"/>
  <c r="AE16"/>
  <c r="AE15"/>
  <c r="AE14"/>
  <c r="AE13"/>
  <c r="AE12"/>
  <c r="AE11"/>
  <c r="AE10"/>
  <c r="AE9"/>
  <c r="AE8"/>
  <c r="U47"/>
  <c r="U46"/>
  <c r="U45"/>
  <c r="U44"/>
  <c r="U43"/>
  <c r="U42"/>
  <c r="U41"/>
  <c r="U40"/>
  <c r="U39"/>
  <c r="U38"/>
  <c r="U37"/>
  <c r="U36"/>
  <c r="U35"/>
  <c r="U34"/>
  <c r="U33"/>
  <c r="U32"/>
  <c r="U31"/>
  <c r="U30"/>
  <c r="U29"/>
  <c r="U28"/>
  <c r="U27"/>
  <c r="U26"/>
  <c r="U25"/>
  <c r="U24"/>
  <c r="U23"/>
  <c r="U22"/>
  <c r="U21"/>
  <c r="U20"/>
  <c r="U19"/>
  <c r="U18"/>
  <c r="U17"/>
  <c r="U16"/>
  <c r="U15"/>
  <c r="U14"/>
  <c r="U13"/>
  <c r="U12"/>
  <c r="U11"/>
  <c r="U10"/>
  <c r="U9"/>
  <c r="U8"/>
  <c r="I47"/>
  <c r="I46"/>
  <c r="I45"/>
  <c r="I44"/>
  <c r="I43"/>
  <c r="I42"/>
  <c r="I41"/>
  <c r="I40"/>
  <c r="I39"/>
  <c r="I38"/>
  <c r="I37"/>
  <c r="I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BE84" i="3" l="1"/>
  <c r="BE80"/>
  <c r="BE79"/>
  <c r="BE78"/>
  <c r="BE77"/>
  <c r="BE76"/>
  <c r="BE75"/>
  <c r="BE74"/>
  <c r="BE72"/>
  <c r="BE73"/>
  <c r="BE71"/>
  <c r="BE70"/>
  <c r="BE69"/>
  <c r="BE68"/>
  <c r="BE67"/>
  <c r="BE66"/>
  <c r="BE65"/>
  <c r="BE64"/>
  <c r="BE63"/>
  <c r="BE62"/>
  <c r="BE61"/>
  <c r="BE60"/>
  <c r="BE59"/>
  <c r="BE57"/>
  <c r="BE56"/>
  <c r="BE55"/>
  <c r="BE54"/>
  <c r="BE53"/>
  <c r="BE52"/>
  <c r="BE51"/>
  <c r="BE50"/>
  <c r="BE49"/>
  <c r="BE48"/>
  <c r="BE47"/>
  <c r="BE46"/>
  <c r="BE45"/>
  <c r="BE44"/>
  <c r="BE43"/>
  <c r="BE42"/>
  <c r="BE41"/>
  <c r="BE40"/>
  <c r="BE39"/>
  <c r="BE38"/>
  <c r="BE36"/>
  <c r="BE37"/>
  <c r="BE35"/>
  <c r="BE32"/>
  <c r="BE31"/>
  <c r="BE30"/>
  <c r="BE29"/>
  <c r="BE28"/>
  <c r="BE27"/>
  <c r="BE26"/>
  <c r="BE25"/>
  <c r="BE24"/>
  <c r="BE23"/>
  <c r="BE22"/>
  <c r="BE21"/>
  <c r="BE20"/>
  <c r="BE19"/>
  <c r="BE18"/>
  <c r="BE17"/>
  <c r="BE16"/>
  <c r="BE15"/>
  <c r="BE14"/>
  <c r="BE13"/>
  <c r="BE12"/>
  <c r="BE11"/>
  <c r="BE9"/>
  <c r="AX28"/>
  <c r="AX29"/>
  <c r="AX25"/>
  <c r="AX23"/>
  <c r="AX20"/>
  <c r="AX19"/>
  <c r="AX18"/>
  <c r="AX16"/>
  <c r="AX14"/>
  <c r="AX11"/>
  <c r="AZ9"/>
  <c r="AX9"/>
  <c r="BE10"/>
  <c r="BE8"/>
  <c r="AX84"/>
  <c r="AX83"/>
  <c r="AX82"/>
  <c r="AX81"/>
  <c r="AX80"/>
  <c r="AX79" l="1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7"/>
  <c r="AX56"/>
  <c r="AX55"/>
  <c r="AX54"/>
  <c r="AX53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4"/>
  <c r="AX35"/>
  <c r="AX33"/>
  <c r="AX32"/>
  <c r="AX31"/>
  <c r="AX30"/>
  <c r="AX27"/>
  <c r="AX26"/>
  <c r="AX24"/>
  <c r="AX22"/>
  <c r="AX21"/>
  <c r="AX17"/>
  <c r="AX15"/>
  <c r="AX13"/>
  <c r="AX12"/>
  <c r="AX10"/>
  <c r="AX8"/>
  <c r="AL84"/>
  <c r="AL83"/>
  <c r="AL82"/>
  <c r="AL81"/>
  <c r="AL74"/>
  <c r="AL77"/>
  <c r="AL80"/>
  <c r="AL79"/>
  <c r="AL78"/>
  <c r="AL76"/>
  <c r="AL75"/>
  <c r="AL72"/>
  <c r="AL73"/>
  <c r="AL71"/>
  <c r="AL70"/>
  <c r="AL69"/>
  <c r="AL68"/>
  <c r="AL67"/>
  <c r="AL66"/>
  <c r="AL65"/>
  <c r="AL64"/>
  <c r="AL63"/>
  <c r="AL62"/>
  <c r="AL61"/>
  <c r="AL60"/>
  <c r="AL59"/>
  <c r="AL57"/>
  <c r="AL56"/>
  <c r="AL55"/>
  <c r="AL54"/>
  <c r="AL53" l="1"/>
  <c r="AL52"/>
  <c r="AL51"/>
  <c r="AL50"/>
  <c r="AL49"/>
  <c r="AL48"/>
  <c r="AL47"/>
  <c r="AL46"/>
  <c r="AL45"/>
  <c r="AL44"/>
  <c r="AL43"/>
  <c r="AL42"/>
  <c r="AL41"/>
  <c r="AL40"/>
  <c r="AL39"/>
  <c r="AL38"/>
  <c r="AL37"/>
  <c r="AL36"/>
  <c r="AL35"/>
  <c r="AL34"/>
  <c r="AL33"/>
  <c r="AL32"/>
  <c r="AL31"/>
  <c r="AL30"/>
  <c r="AL29"/>
  <c r="AL28"/>
  <c r="AL27"/>
  <c r="AL26"/>
  <c r="AL25"/>
  <c r="AL24"/>
  <c r="AL23"/>
  <c r="AL22"/>
  <c r="AL21"/>
  <c r="AL20"/>
  <c r="AL19"/>
  <c r="AL18"/>
  <c r="AL17"/>
  <c r="AL16"/>
  <c r="AL15"/>
  <c r="AL14"/>
  <c r="AL13"/>
  <c r="AL12"/>
  <c r="AL11"/>
  <c r="AL10"/>
  <c r="AL9"/>
  <c r="AL8"/>
  <c r="AE84" l="1"/>
  <c r="AE83"/>
  <c r="AE82"/>
  <c r="AE81"/>
  <c r="AE80"/>
  <c r="AE79"/>
  <c r="AE78"/>
  <c r="AE77"/>
  <c r="AE76"/>
  <c r="AE75"/>
  <c r="AE73"/>
  <c r="AE74"/>
  <c r="AE72"/>
  <c r="AE71"/>
  <c r="AE70"/>
  <c r="AE69"/>
  <c r="AE68"/>
  <c r="AE67"/>
  <c r="AE66"/>
  <c r="AE65"/>
  <c r="AE64"/>
  <c r="AE63"/>
  <c r="AE62"/>
  <c r="AE61"/>
  <c r="AE60"/>
  <c r="AE59"/>
  <c r="AE57"/>
  <c r="AE56"/>
  <c r="AE55"/>
  <c r="AE54"/>
  <c r="AE53"/>
  <c r="AE52"/>
  <c r="AE51"/>
  <c r="AE50"/>
  <c r="AE49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8"/>
  <c r="AE29"/>
  <c r="AE27"/>
  <c r="AE26"/>
  <c r="AE25"/>
  <c r="AE23"/>
  <c r="AE22"/>
  <c r="AE21"/>
  <c r="AE20"/>
  <c r="AE19"/>
  <c r="AE18"/>
  <c r="AE17"/>
  <c r="AE16"/>
  <c r="AE14"/>
  <c r="AE13"/>
  <c r="AE12"/>
  <c r="AE11"/>
  <c r="AE10"/>
  <c r="AE9"/>
  <c r="AE8"/>
  <c r="U82"/>
  <c r="U81"/>
  <c r="U80"/>
  <c r="U79"/>
  <c r="U78"/>
  <c r="U77"/>
  <c r="U76"/>
  <c r="U75"/>
  <c r="U74"/>
  <c r="U73"/>
  <c r="U72" l="1"/>
  <c r="U71" l="1"/>
  <c r="U68"/>
  <c r="U70" l="1"/>
  <c r="U69"/>
  <c r="U67"/>
  <c r="U66"/>
  <c r="U65"/>
  <c r="U63"/>
  <c r="U61"/>
  <c r="U53"/>
  <c r="U51"/>
  <c r="U50"/>
  <c r="U49"/>
  <c r="U47" l="1"/>
  <c r="U45" l="1"/>
  <c r="U42"/>
  <c r="U41"/>
  <c r="U39"/>
  <c r="U36"/>
  <c r="U34"/>
  <c r="U33"/>
  <c r="U28" l="1"/>
  <c r="U29" l="1"/>
  <c r="U25"/>
  <c r="U23"/>
  <c r="U20"/>
  <c r="U19"/>
  <c r="U18"/>
  <c r="U16"/>
  <c r="U14"/>
  <c r="U11"/>
  <c r="U9"/>
  <c r="U64" l="1"/>
  <c r="U62"/>
  <c r="U84"/>
  <c r="X84"/>
  <c r="U46"/>
  <c r="I67" l="1"/>
  <c r="I63"/>
  <c r="I49"/>
  <c r="I34"/>
  <c r="I25"/>
  <c r="I19"/>
  <c r="K37"/>
  <c r="I37"/>
  <c r="I32"/>
  <c r="I24"/>
  <c r="I21"/>
  <c r="I88"/>
  <c r="K88" s="1"/>
  <c r="N88"/>
  <c r="O88" s="1"/>
  <c r="U88"/>
  <c r="X88"/>
  <c r="AE88"/>
  <c r="AG88" s="1"/>
  <c r="AI88" s="1"/>
  <c r="AL88"/>
  <c r="AN88" s="1"/>
  <c r="AP88" s="1"/>
  <c r="AS88"/>
  <c r="AU88" s="1"/>
  <c r="AX88"/>
  <c r="AZ88" s="1"/>
  <c r="BB88" s="1"/>
  <c r="BE88"/>
  <c r="BG88" s="1"/>
  <c r="BI88" s="1"/>
  <c r="BL88"/>
  <c r="I15"/>
  <c r="I13"/>
  <c r="I12"/>
  <c r="Y88" l="1"/>
  <c r="Z88" s="1"/>
  <c r="AB88" s="1"/>
  <c r="P88"/>
  <c r="R88" s="1"/>
  <c r="BP88" s="1"/>
  <c r="BQ88" s="1"/>
  <c r="BO88"/>
  <c r="BM88"/>
  <c r="BT88" l="1"/>
  <c r="BS88"/>
  <c r="BR88"/>
  <c r="Q26" i="5"/>
  <c r="Q24"/>
  <c r="Q23"/>
  <c r="Q22"/>
  <c r="Q21"/>
  <c r="Q20"/>
  <c r="Q19"/>
  <c r="Q18"/>
  <c r="P24"/>
  <c r="P23"/>
  <c r="P22"/>
  <c r="P21"/>
  <c r="O26"/>
  <c r="O25"/>
  <c r="O24"/>
  <c r="O22"/>
  <c r="O21"/>
  <c r="O20"/>
  <c r="O19"/>
  <c r="O18"/>
  <c r="O17"/>
  <c r="P17"/>
  <c r="Q17"/>
  <c r="L18"/>
  <c r="K24"/>
  <c r="K26"/>
  <c r="K25"/>
  <c r="K23"/>
  <c r="K22"/>
  <c r="K21"/>
  <c r="K20"/>
  <c r="K19"/>
  <c r="K18"/>
  <c r="K17"/>
  <c r="J25"/>
  <c r="J24"/>
  <c r="J23"/>
  <c r="J22"/>
  <c r="J21"/>
  <c r="J17"/>
  <c r="I26"/>
  <c r="I25"/>
  <c r="I24"/>
  <c r="I22"/>
  <c r="I21"/>
  <c r="I20"/>
  <c r="I19"/>
  <c r="I18"/>
  <c r="I17"/>
  <c r="C24"/>
  <c r="E26"/>
  <c r="E25"/>
  <c r="E24"/>
  <c r="E23"/>
  <c r="E22"/>
  <c r="E21"/>
  <c r="E20"/>
  <c r="E19"/>
  <c r="E17"/>
  <c r="E18"/>
  <c r="D25"/>
  <c r="D24"/>
  <c r="D23"/>
  <c r="D22"/>
  <c r="D21"/>
  <c r="D17"/>
  <c r="C26"/>
  <c r="C25"/>
  <c r="C22"/>
  <c r="C21"/>
  <c r="C20"/>
  <c r="C19"/>
  <c r="C18"/>
  <c r="C17"/>
  <c r="C10"/>
  <c r="C5"/>
  <c r="BL87" i="3"/>
  <c r="BM87" s="1"/>
  <c r="BE87"/>
  <c r="BG87" s="1"/>
  <c r="BI87" s="1"/>
  <c r="AX87"/>
  <c r="AZ87" s="1"/>
  <c r="BB87" s="1"/>
  <c r="AS87"/>
  <c r="AU87" s="1"/>
  <c r="AL87"/>
  <c r="AN87" s="1"/>
  <c r="AP87" s="1"/>
  <c r="AE87"/>
  <c r="AG87" s="1"/>
  <c r="AI87" s="1"/>
  <c r="X87"/>
  <c r="U87"/>
  <c r="N87"/>
  <c r="O87" s="1"/>
  <c r="I87"/>
  <c r="K87" s="1"/>
  <c r="BL86"/>
  <c r="BM86" s="1"/>
  <c r="BO86" s="1"/>
  <c r="BE86"/>
  <c r="BG86" s="1"/>
  <c r="BI86" s="1"/>
  <c r="AX86"/>
  <c r="AZ86" s="1"/>
  <c r="BB86" s="1"/>
  <c r="AS86"/>
  <c r="AU86" s="1"/>
  <c r="AL86"/>
  <c r="AN86" s="1"/>
  <c r="AP86" s="1"/>
  <c r="AE86"/>
  <c r="AG86" s="1"/>
  <c r="AI86" s="1"/>
  <c r="X86"/>
  <c r="U86"/>
  <c r="N86"/>
  <c r="O86" s="1"/>
  <c r="K86"/>
  <c r="I86"/>
  <c r="BL85"/>
  <c r="BM85" s="1"/>
  <c r="BO85" s="1"/>
  <c r="BE85"/>
  <c r="BG85" s="1"/>
  <c r="BI85" s="1"/>
  <c r="AX85"/>
  <c r="AZ85" s="1"/>
  <c r="BB85" s="1"/>
  <c r="AS85"/>
  <c r="AU85" s="1"/>
  <c r="AL85"/>
  <c r="AN85" s="1"/>
  <c r="AP85" s="1"/>
  <c r="AE85"/>
  <c r="AG85" s="1"/>
  <c r="AI85" s="1"/>
  <c r="X85"/>
  <c r="U85"/>
  <c r="N85"/>
  <c r="O85" s="1"/>
  <c r="I85"/>
  <c r="K85" s="1"/>
  <c r="BL84"/>
  <c r="BM84" s="1"/>
  <c r="BG84"/>
  <c r="BI84" s="1"/>
  <c r="AZ84"/>
  <c r="BB84" s="1"/>
  <c r="AS84"/>
  <c r="AU84" s="1"/>
  <c r="AN84"/>
  <c r="AP84" s="1"/>
  <c r="AG84"/>
  <c r="AI84" s="1"/>
  <c r="N84"/>
  <c r="O84" s="1"/>
  <c r="I84"/>
  <c r="K84" s="1"/>
  <c r="BL83"/>
  <c r="BM83" s="1"/>
  <c r="BG83"/>
  <c r="BI83" s="1"/>
  <c r="AZ83"/>
  <c r="BB83" s="1"/>
  <c r="AS83"/>
  <c r="AU83" s="1"/>
  <c r="AN83"/>
  <c r="AP83" s="1"/>
  <c r="AG83"/>
  <c r="AI83" s="1"/>
  <c r="X83"/>
  <c r="U83"/>
  <c r="N83"/>
  <c r="O83" s="1"/>
  <c r="I83"/>
  <c r="K83" s="1"/>
  <c r="BL82"/>
  <c r="BM82" s="1"/>
  <c r="BO82" s="1"/>
  <c r="BG82"/>
  <c r="BI82" s="1"/>
  <c r="AZ82"/>
  <c r="BB82" s="1"/>
  <c r="AS82"/>
  <c r="AU82" s="1"/>
  <c r="AN82"/>
  <c r="AP82" s="1"/>
  <c r="AG82"/>
  <c r="AI82" s="1"/>
  <c r="X82"/>
  <c r="N82"/>
  <c r="O82" s="1"/>
  <c r="I82"/>
  <c r="K82" s="1"/>
  <c r="BL81"/>
  <c r="BM81" s="1"/>
  <c r="BO81" s="1"/>
  <c r="BG81"/>
  <c r="BI81" s="1"/>
  <c r="AZ81"/>
  <c r="BB81" s="1"/>
  <c r="AS81"/>
  <c r="AU81" s="1"/>
  <c r="AN81"/>
  <c r="AP81" s="1"/>
  <c r="AG81"/>
  <c r="AI81" s="1"/>
  <c r="X81"/>
  <c r="N81"/>
  <c r="O81" s="1"/>
  <c r="I81"/>
  <c r="K81" s="1"/>
  <c r="BL80"/>
  <c r="BM80" s="1"/>
  <c r="BG80"/>
  <c r="BI80" s="1"/>
  <c r="AZ80"/>
  <c r="BB80" s="1"/>
  <c r="AS80"/>
  <c r="AU80" s="1"/>
  <c r="AN80"/>
  <c r="AP80" s="1"/>
  <c r="AG80"/>
  <c r="AI80" s="1"/>
  <c r="X80"/>
  <c r="N80"/>
  <c r="O80" s="1"/>
  <c r="I80"/>
  <c r="K80" s="1"/>
  <c r="BL79"/>
  <c r="BM79" s="1"/>
  <c r="BG79"/>
  <c r="BI79" s="1"/>
  <c r="AZ79"/>
  <c r="BB79" s="1"/>
  <c r="AS79"/>
  <c r="AU79" s="1"/>
  <c r="AN79"/>
  <c r="AP79" s="1"/>
  <c r="AG79"/>
  <c r="AI79" s="1"/>
  <c r="X79"/>
  <c r="N79"/>
  <c r="O79" s="1"/>
  <c r="I79"/>
  <c r="K79" s="1"/>
  <c r="BL78"/>
  <c r="BM78" s="1"/>
  <c r="BO78" s="1"/>
  <c r="BG78"/>
  <c r="BI78" s="1"/>
  <c r="AZ78"/>
  <c r="BB78" s="1"/>
  <c r="AS78"/>
  <c r="AU78" s="1"/>
  <c r="AN78"/>
  <c r="AP78" s="1"/>
  <c r="AG78"/>
  <c r="AI78" s="1"/>
  <c r="X78"/>
  <c r="N78"/>
  <c r="O78" s="1"/>
  <c r="K78"/>
  <c r="I78"/>
  <c r="BL77"/>
  <c r="BM77" s="1"/>
  <c r="BO77" s="1"/>
  <c r="BG77"/>
  <c r="BI77" s="1"/>
  <c r="AZ77"/>
  <c r="BB77" s="1"/>
  <c r="AS77"/>
  <c r="AU77" s="1"/>
  <c r="AN77"/>
  <c r="AP77" s="1"/>
  <c r="AG77"/>
  <c r="AI77" s="1"/>
  <c r="X77"/>
  <c r="N77"/>
  <c r="O77" s="1"/>
  <c r="I77"/>
  <c r="K77" s="1"/>
  <c r="BL76"/>
  <c r="BM76" s="1"/>
  <c r="BG76"/>
  <c r="BI76" s="1"/>
  <c r="AZ76"/>
  <c r="BB76" s="1"/>
  <c r="AS76"/>
  <c r="AU76" s="1"/>
  <c r="AN76"/>
  <c r="AP76" s="1"/>
  <c r="AG76"/>
  <c r="AI76" s="1"/>
  <c r="X76"/>
  <c r="N76"/>
  <c r="O76" s="1"/>
  <c r="I76"/>
  <c r="K76" s="1"/>
  <c r="BL75"/>
  <c r="BM75" s="1"/>
  <c r="BG75"/>
  <c r="BI75" s="1"/>
  <c r="AZ75"/>
  <c r="BB75" s="1"/>
  <c r="AS75"/>
  <c r="AU75" s="1"/>
  <c r="AN75"/>
  <c r="AP75" s="1"/>
  <c r="AG75"/>
  <c r="AI75" s="1"/>
  <c r="X75"/>
  <c r="N75"/>
  <c r="O75" s="1"/>
  <c r="I75"/>
  <c r="K75" s="1"/>
  <c r="BL74"/>
  <c r="BM74" s="1"/>
  <c r="BO74" s="1"/>
  <c r="BG74"/>
  <c r="BI74" s="1"/>
  <c r="AZ74"/>
  <c r="BB74" s="1"/>
  <c r="AS74"/>
  <c r="AU74" s="1"/>
  <c r="AN74"/>
  <c r="AP74" s="1"/>
  <c r="AG74"/>
  <c r="AI74" s="1"/>
  <c r="X74"/>
  <c r="N74"/>
  <c r="O74" s="1"/>
  <c r="I74"/>
  <c r="K74" s="1"/>
  <c r="BL73"/>
  <c r="BM73" s="1"/>
  <c r="BO73" s="1"/>
  <c r="BG73"/>
  <c r="BI73" s="1"/>
  <c r="AZ73"/>
  <c r="BB73" s="1"/>
  <c r="AS73"/>
  <c r="AU73" s="1"/>
  <c r="AN73"/>
  <c r="AP73" s="1"/>
  <c r="AG73"/>
  <c r="AI73" s="1"/>
  <c r="X73"/>
  <c r="N73"/>
  <c r="O73" s="1"/>
  <c r="I73"/>
  <c r="K73" s="1"/>
  <c r="BL72"/>
  <c r="BM72" s="1"/>
  <c r="BG72"/>
  <c r="BI72" s="1"/>
  <c r="AZ72"/>
  <c r="BB72" s="1"/>
  <c r="AS72"/>
  <c r="AU72" s="1"/>
  <c r="AN72"/>
  <c r="AP72" s="1"/>
  <c r="AG72"/>
  <c r="AI72" s="1"/>
  <c r="X72"/>
  <c r="N72"/>
  <c r="O72" s="1"/>
  <c r="I72"/>
  <c r="K72" s="1"/>
  <c r="BL71"/>
  <c r="BM71" s="1"/>
  <c r="BG71"/>
  <c r="BI71" s="1"/>
  <c r="AZ71"/>
  <c r="BB71" s="1"/>
  <c r="AS71"/>
  <c r="AU71" s="1"/>
  <c r="AN71"/>
  <c r="AP71" s="1"/>
  <c r="AG71"/>
  <c r="AI71" s="1"/>
  <c r="X71"/>
  <c r="N71"/>
  <c r="O71" s="1"/>
  <c r="I71"/>
  <c r="K71" s="1"/>
  <c r="BL70"/>
  <c r="BM70" s="1"/>
  <c r="BO70" s="1"/>
  <c r="BG70"/>
  <c r="BI70" s="1"/>
  <c r="AZ70"/>
  <c r="BB70" s="1"/>
  <c r="AS70"/>
  <c r="AU70" s="1"/>
  <c r="AN70"/>
  <c r="AP70" s="1"/>
  <c r="AG70"/>
  <c r="AI70" s="1"/>
  <c r="X70"/>
  <c r="N70"/>
  <c r="O70" s="1"/>
  <c r="I70"/>
  <c r="K70" s="1"/>
  <c r="BL69"/>
  <c r="BM69" s="1"/>
  <c r="BO69" s="1"/>
  <c r="BG69"/>
  <c r="BI69" s="1"/>
  <c r="AZ69"/>
  <c r="BB69" s="1"/>
  <c r="AS69"/>
  <c r="AU69" s="1"/>
  <c r="AN69"/>
  <c r="AP69" s="1"/>
  <c r="AG69"/>
  <c r="AI69" s="1"/>
  <c r="X69"/>
  <c r="N69"/>
  <c r="O69" s="1"/>
  <c r="I69"/>
  <c r="K69" s="1"/>
  <c r="BM68"/>
  <c r="BO68" s="1"/>
  <c r="BL68"/>
  <c r="BG68"/>
  <c r="BI68" s="1"/>
  <c r="AZ68"/>
  <c r="BB68" s="1"/>
  <c r="AS68"/>
  <c r="AU68" s="1"/>
  <c r="AN68"/>
  <c r="AP68" s="1"/>
  <c r="AG68"/>
  <c r="AI68" s="1"/>
  <c r="X68"/>
  <c r="N68"/>
  <c r="O68" s="1"/>
  <c r="I68"/>
  <c r="K68" s="1"/>
  <c r="BL67"/>
  <c r="BM67" s="1"/>
  <c r="BG67"/>
  <c r="BI67" s="1"/>
  <c r="AZ67"/>
  <c r="BB67" s="1"/>
  <c r="AS67"/>
  <c r="AU67" s="1"/>
  <c r="AN67"/>
  <c r="AP67" s="1"/>
  <c r="AG67"/>
  <c r="AI67" s="1"/>
  <c r="X67"/>
  <c r="N67"/>
  <c r="O67" s="1"/>
  <c r="K67"/>
  <c r="BL66"/>
  <c r="BM66" s="1"/>
  <c r="BO66" s="1"/>
  <c r="BG66"/>
  <c r="BI66" s="1"/>
  <c r="AZ66"/>
  <c r="BB66" s="1"/>
  <c r="AS66"/>
  <c r="AU66" s="1"/>
  <c r="AN66"/>
  <c r="AP66" s="1"/>
  <c r="AG66"/>
  <c r="AI66" s="1"/>
  <c r="X66"/>
  <c r="N66"/>
  <c r="O66" s="1"/>
  <c r="I66"/>
  <c r="K66" s="1"/>
  <c r="BL65"/>
  <c r="BM65" s="1"/>
  <c r="BO65" s="1"/>
  <c r="BG65"/>
  <c r="BI65" s="1"/>
  <c r="AZ65"/>
  <c r="BB65" s="1"/>
  <c r="AS65"/>
  <c r="AU65" s="1"/>
  <c r="AN65"/>
  <c r="AP65" s="1"/>
  <c r="AG65"/>
  <c r="AI65" s="1"/>
  <c r="X65"/>
  <c r="N65"/>
  <c r="O65" s="1"/>
  <c r="I65"/>
  <c r="K65" s="1"/>
  <c r="BL64"/>
  <c r="BM64" s="1"/>
  <c r="BO64" s="1"/>
  <c r="BG64"/>
  <c r="BI64" s="1"/>
  <c r="AZ64"/>
  <c r="BB64" s="1"/>
  <c r="AS64"/>
  <c r="AU64" s="1"/>
  <c r="AN64"/>
  <c r="AP64" s="1"/>
  <c r="AG64"/>
  <c r="AI64" s="1"/>
  <c r="X64"/>
  <c r="N64"/>
  <c r="O64" s="1"/>
  <c r="I64"/>
  <c r="K64" s="1"/>
  <c r="BL63"/>
  <c r="BM63" s="1"/>
  <c r="BG63"/>
  <c r="BI63" s="1"/>
  <c r="AZ63"/>
  <c r="BB63" s="1"/>
  <c r="AS63"/>
  <c r="AU63" s="1"/>
  <c r="AN63"/>
  <c r="AP63" s="1"/>
  <c r="AG63"/>
  <c r="AI63" s="1"/>
  <c r="X63"/>
  <c r="Y63"/>
  <c r="Z63" s="1"/>
  <c r="AB63" s="1"/>
  <c r="N63"/>
  <c r="O63" s="1"/>
  <c r="K63"/>
  <c r="BL62"/>
  <c r="BM62" s="1"/>
  <c r="BG62"/>
  <c r="BI62" s="1"/>
  <c r="AZ62"/>
  <c r="BB62" s="1"/>
  <c r="AS62"/>
  <c r="AU62" s="1"/>
  <c r="AN62"/>
  <c r="AP62" s="1"/>
  <c r="AG62"/>
  <c r="AI62" s="1"/>
  <c r="X62"/>
  <c r="N62"/>
  <c r="O62" s="1"/>
  <c r="I62"/>
  <c r="K62" s="1"/>
  <c r="BL61"/>
  <c r="BM61" s="1"/>
  <c r="BO61" s="1"/>
  <c r="BG61"/>
  <c r="BI61" s="1"/>
  <c r="AZ61"/>
  <c r="BB61" s="1"/>
  <c r="AS61"/>
  <c r="AU61" s="1"/>
  <c r="AN61"/>
  <c r="AP61" s="1"/>
  <c r="AG61"/>
  <c r="AI61" s="1"/>
  <c r="X61"/>
  <c r="N61"/>
  <c r="O61" s="1"/>
  <c r="I61"/>
  <c r="K61" s="1"/>
  <c r="BL60"/>
  <c r="BM60" s="1"/>
  <c r="BG60"/>
  <c r="BI60" s="1"/>
  <c r="AZ60"/>
  <c r="BB60" s="1"/>
  <c r="AS60"/>
  <c r="AU60" s="1"/>
  <c r="AN60"/>
  <c r="AP60" s="1"/>
  <c r="AG60"/>
  <c r="AI60" s="1"/>
  <c r="X60"/>
  <c r="U60"/>
  <c r="N60"/>
  <c r="O60" s="1"/>
  <c r="I60"/>
  <c r="K60" s="1"/>
  <c r="BL59"/>
  <c r="BM59" s="1"/>
  <c r="BG59"/>
  <c r="BI59" s="1"/>
  <c r="AZ59"/>
  <c r="BB59" s="1"/>
  <c r="AS59"/>
  <c r="AU59" s="1"/>
  <c r="AN59"/>
  <c r="AP59" s="1"/>
  <c r="AG59"/>
  <c r="AI59" s="1"/>
  <c r="X59"/>
  <c r="U59"/>
  <c r="N59"/>
  <c r="O59" s="1"/>
  <c r="I59"/>
  <c r="K59" s="1"/>
  <c r="BL58"/>
  <c r="BM58" s="1"/>
  <c r="BO58" s="1"/>
  <c r="BE58"/>
  <c r="BG58" s="1"/>
  <c r="BI58" s="1"/>
  <c r="AX58"/>
  <c r="AZ58" s="1"/>
  <c r="BB58" s="1"/>
  <c r="AS58"/>
  <c r="AU58" s="1"/>
  <c r="AL58"/>
  <c r="AN58" s="1"/>
  <c r="AP58" s="1"/>
  <c r="AE58"/>
  <c r="AG58" s="1"/>
  <c r="AI58" s="1"/>
  <c r="X58"/>
  <c r="U58"/>
  <c r="N58"/>
  <c r="O58" s="1"/>
  <c r="I58"/>
  <c r="K58" s="1"/>
  <c r="BL57"/>
  <c r="BM57" s="1"/>
  <c r="BO57" s="1"/>
  <c r="BG57"/>
  <c r="BI57" s="1"/>
  <c r="AZ57"/>
  <c r="BB57" s="1"/>
  <c r="AS57"/>
  <c r="AU57" s="1"/>
  <c r="AN57"/>
  <c r="AP57" s="1"/>
  <c r="AG57"/>
  <c r="AI57" s="1"/>
  <c r="X57"/>
  <c r="U57"/>
  <c r="N57"/>
  <c r="O57" s="1"/>
  <c r="I57"/>
  <c r="K57" s="1"/>
  <c r="BL56"/>
  <c r="BM56" s="1"/>
  <c r="BO56" s="1"/>
  <c r="BG56"/>
  <c r="BI56" s="1"/>
  <c r="AZ56"/>
  <c r="BB56" s="1"/>
  <c r="AS56"/>
  <c r="AU56" s="1"/>
  <c r="AN56"/>
  <c r="AP56" s="1"/>
  <c r="AG56"/>
  <c r="AI56" s="1"/>
  <c r="X56"/>
  <c r="U56"/>
  <c r="N56"/>
  <c r="O56" s="1"/>
  <c r="I56"/>
  <c r="K56" s="1"/>
  <c r="BL55"/>
  <c r="BM55" s="1"/>
  <c r="BG55"/>
  <c r="BI55" s="1"/>
  <c r="AZ55"/>
  <c r="BB55" s="1"/>
  <c r="AS55"/>
  <c r="AU55" s="1"/>
  <c r="AN55"/>
  <c r="AP55" s="1"/>
  <c r="AG55"/>
  <c r="AI55" s="1"/>
  <c r="X55"/>
  <c r="U55"/>
  <c r="N55"/>
  <c r="O55" s="1"/>
  <c r="I55"/>
  <c r="K55" s="1"/>
  <c r="BL54"/>
  <c r="BM54" s="1"/>
  <c r="BG54"/>
  <c r="BI54" s="1"/>
  <c r="AZ54"/>
  <c r="BB54" s="1"/>
  <c r="AS54"/>
  <c r="AU54" s="1"/>
  <c r="AN54"/>
  <c r="AP54" s="1"/>
  <c r="AG54"/>
  <c r="AI54" s="1"/>
  <c r="X54"/>
  <c r="U54"/>
  <c r="N54"/>
  <c r="O54" s="1"/>
  <c r="I54"/>
  <c r="K54" s="1"/>
  <c r="BL53"/>
  <c r="BM53" s="1"/>
  <c r="BO53" s="1"/>
  <c r="BG53"/>
  <c r="BI53" s="1"/>
  <c r="AZ53"/>
  <c r="BB53" s="1"/>
  <c r="AS53"/>
  <c r="AU53" s="1"/>
  <c r="AN53"/>
  <c r="AP53" s="1"/>
  <c r="AG53"/>
  <c r="AI53" s="1"/>
  <c r="X53"/>
  <c r="N53"/>
  <c r="O53" s="1"/>
  <c r="I53"/>
  <c r="K53" s="1"/>
  <c r="BL52"/>
  <c r="BM52" s="1"/>
  <c r="BG52"/>
  <c r="BI52" s="1"/>
  <c r="AZ52"/>
  <c r="BB52" s="1"/>
  <c r="AS52"/>
  <c r="AU52" s="1"/>
  <c r="AN52"/>
  <c r="AP52" s="1"/>
  <c r="AG52"/>
  <c r="AI52" s="1"/>
  <c r="X52"/>
  <c r="U52"/>
  <c r="N52"/>
  <c r="O52" s="1"/>
  <c r="I52"/>
  <c r="K52" s="1"/>
  <c r="BL51"/>
  <c r="BM51" s="1"/>
  <c r="BG51"/>
  <c r="BI51" s="1"/>
  <c r="AZ51"/>
  <c r="BB51" s="1"/>
  <c r="AS51"/>
  <c r="AU51" s="1"/>
  <c r="AN51"/>
  <c r="AP51" s="1"/>
  <c r="AG51"/>
  <c r="AI51" s="1"/>
  <c r="X51"/>
  <c r="N51"/>
  <c r="O51" s="1"/>
  <c r="I51"/>
  <c r="K51" s="1"/>
  <c r="BL50"/>
  <c r="BM50" s="1"/>
  <c r="BO50" s="1"/>
  <c r="BG50"/>
  <c r="BI50" s="1"/>
  <c r="AZ50"/>
  <c r="BB50" s="1"/>
  <c r="AS50"/>
  <c r="AU50" s="1"/>
  <c r="AN50"/>
  <c r="AP50" s="1"/>
  <c r="AG50"/>
  <c r="AI50" s="1"/>
  <c r="X50"/>
  <c r="N50"/>
  <c r="O50" s="1"/>
  <c r="I50"/>
  <c r="K50" s="1"/>
  <c r="BL49"/>
  <c r="BM49" s="1"/>
  <c r="BO49" s="1"/>
  <c r="BG49"/>
  <c r="BI49" s="1"/>
  <c r="AZ49"/>
  <c r="BB49" s="1"/>
  <c r="AS49"/>
  <c r="AU49" s="1"/>
  <c r="AN49"/>
  <c r="AP49" s="1"/>
  <c r="AG49"/>
  <c r="AI49" s="1"/>
  <c r="X49"/>
  <c r="N49"/>
  <c r="O49" s="1"/>
  <c r="K49"/>
  <c r="BL48"/>
  <c r="BM48" s="1"/>
  <c r="BO48" s="1"/>
  <c r="BG48"/>
  <c r="BI48" s="1"/>
  <c r="AZ48"/>
  <c r="BB48" s="1"/>
  <c r="AS48"/>
  <c r="AU48" s="1"/>
  <c r="AN48"/>
  <c r="AP48" s="1"/>
  <c r="AG48"/>
  <c r="AI48" s="1"/>
  <c r="X48"/>
  <c r="U48"/>
  <c r="N48"/>
  <c r="O48" s="1"/>
  <c r="I48"/>
  <c r="K48" s="1"/>
  <c r="BL47"/>
  <c r="BM47" s="1"/>
  <c r="BG47"/>
  <c r="BI47" s="1"/>
  <c r="AZ47"/>
  <c r="BB47" s="1"/>
  <c r="AS47"/>
  <c r="AU47" s="1"/>
  <c r="AN47"/>
  <c r="AP47" s="1"/>
  <c r="AG47"/>
  <c r="AI47" s="1"/>
  <c r="X47"/>
  <c r="N47"/>
  <c r="O47" s="1"/>
  <c r="I47"/>
  <c r="K47" s="1"/>
  <c r="BL46"/>
  <c r="BM46" s="1"/>
  <c r="BO46" s="1"/>
  <c r="BG46"/>
  <c r="BI46" s="1"/>
  <c r="AZ46"/>
  <c r="BB46" s="1"/>
  <c r="AS46"/>
  <c r="AU46" s="1"/>
  <c r="AN46"/>
  <c r="AP46" s="1"/>
  <c r="AG46"/>
  <c r="AI46" s="1"/>
  <c r="X46"/>
  <c r="N46"/>
  <c r="O46" s="1"/>
  <c r="I46"/>
  <c r="K46" s="1"/>
  <c r="BL45"/>
  <c r="BM45" s="1"/>
  <c r="BO45" s="1"/>
  <c r="BG45"/>
  <c r="BI45" s="1"/>
  <c r="AZ45"/>
  <c r="BB45" s="1"/>
  <c r="AS45"/>
  <c r="AU45" s="1"/>
  <c r="AN45"/>
  <c r="AP45" s="1"/>
  <c r="AG45"/>
  <c r="AI45" s="1"/>
  <c r="X45"/>
  <c r="N45"/>
  <c r="O45" s="1"/>
  <c r="I45"/>
  <c r="K45" s="1"/>
  <c r="BL44"/>
  <c r="BM44" s="1"/>
  <c r="BO44" s="1"/>
  <c r="BG44"/>
  <c r="BI44" s="1"/>
  <c r="AZ44"/>
  <c r="BB44" s="1"/>
  <c r="AS44"/>
  <c r="AU44" s="1"/>
  <c r="AN44"/>
  <c r="AP44" s="1"/>
  <c r="AG44"/>
  <c r="AI44" s="1"/>
  <c r="X44"/>
  <c r="U44"/>
  <c r="N44"/>
  <c r="O44" s="1"/>
  <c r="I44"/>
  <c r="K44" s="1"/>
  <c r="BL43"/>
  <c r="BG43"/>
  <c r="BI43" s="1"/>
  <c r="AZ43"/>
  <c r="BB43" s="1"/>
  <c r="AS43"/>
  <c r="AU43" s="1"/>
  <c r="AN43"/>
  <c r="AP43" s="1"/>
  <c r="AG43"/>
  <c r="AI43" s="1"/>
  <c r="X43"/>
  <c r="U43"/>
  <c r="N43"/>
  <c r="O43" s="1"/>
  <c r="I43"/>
  <c r="K43" s="1"/>
  <c r="BL42"/>
  <c r="BM42" s="1"/>
  <c r="BG42"/>
  <c r="BI42" s="1"/>
  <c r="AZ42"/>
  <c r="BB42" s="1"/>
  <c r="AS42"/>
  <c r="AU42" s="1"/>
  <c r="AN42"/>
  <c r="AP42" s="1"/>
  <c r="AG42"/>
  <c r="AI42" s="1"/>
  <c r="X42"/>
  <c r="N42"/>
  <c r="O42" s="1"/>
  <c r="I42"/>
  <c r="K42" s="1"/>
  <c r="BL41"/>
  <c r="BM41" s="1"/>
  <c r="BO41" s="1"/>
  <c r="BG41"/>
  <c r="BI41" s="1"/>
  <c r="AZ41"/>
  <c r="BB41" s="1"/>
  <c r="AS41"/>
  <c r="AU41" s="1"/>
  <c r="AN41"/>
  <c r="AP41" s="1"/>
  <c r="AG41"/>
  <c r="AI41" s="1"/>
  <c r="X41"/>
  <c r="N41"/>
  <c r="O41" s="1"/>
  <c r="I41"/>
  <c r="K41" s="1"/>
  <c r="BL40"/>
  <c r="BM40" s="1"/>
  <c r="BG40"/>
  <c r="BI40" s="1"/>
  <c r="AZ40"/>
  <c r="BB40" s="1"/>
  <c r="AS40"/>
  <c r="AU40" s="1"/>
  <c r="AN40"/>
  <c r="AP40" s="1"/>
  <c r="AG40"/>
  <c r="AI40" s="1"/>
  <c r="X40"/>
  <c r="U40"/>
  <c r="N40"/>
  <c r="O40" s="1"/>
  <c r="I40"/>
  <c r="K40" s="1"/>
  <c r="BL39"/>
  <c r="BM39" s="1"/>
  <c r="BG39"/>
  <c r="BI39" s="1"/>
  <c r="AZ39"/>
  <c r="BB39" s="1"/>
  <c r="AS39"/>
  <c r="AU39" s="1"/>
  <c r="AN39"/>
  <c r="AP39" s="1"/>
  <c r="AG39"/>
  <c r="AI39" s="1"/>
  <c r="X39"/>
  <c r="N39"/>
  <c r="O39" s="1"/>
  <c r="I39"/>
  <c r="K39" s="1"/>
  <c r="BL38"/>
  <c r="BM38" s="1"/>
  <c r="BO38" s="1"/>
  <c r="BG38"/>
  <c r="BI38" s="1"/>
  <c r="AZ38"/>
  <c r="BB38" s="1"/>
  <c r="AS38"/>
  <c r="AU38" s="1"/>
  <c r="AN38"/>
  <c r="AP38" s="1"/>
  <c r="AG38"/>
  <c r="AI38" s="1"/>
  <c r="X38"/>
  <c r="U38"/>
  <c r="N38"/>
  <c r="O38" s="1"/>
  <c r="I38"/>
  <c r="K38" s="1"/>
  <c r="BL37"/>
  <c r="BM37" s="1"/>
  <c r="BO37" s="1"/>
  <c r="BG37"/>
  <c r="BI37" s="1"/>
  <c r="AZ37"/>
  <c r="BB37" s="1"/>
  <c r="AS37"/>
  <c r="AU37" s="1"/>
  <c r="AN37"/>
  <c r="AP37" s="1"/>
  <c r="AG37"/>
  <c r="AI37" s="1"/>
  <c r="X37"/>
  <c r="U37"/>
  <c r="N37"/>
  <c r="O37" s="1"/>
  <c r="BL36"/>
  <c r="BM36" s="1"/>
  <c r="BO36" s="1"/>
  <c r="BG36"/>
  <c r="BI36" s="1"/>
  <c r="AZ36"/>
  <c r="BB36" s="1"/>
  <c r="AS36"/>
  <c r="AU36" s="1"/>
  <c r="AN36"/>
  <c r="AP36" s="1"/>
  <c r="AG36"/>
  <c r="AI36" s="1"/>
  <c r="X36"/>
  <c r="N36"/>
  <c r="O36" s="1"/>
  <c r="I36"/>
  <c r="K36" s="1"/>
  <c r="BL35"/>
  <c r="BM35" s="1"/>
  <c r="BG35"/>
  <c r="BI35" s="1"/>
  <c r="AZ35"/>
  <c r="BB35" s="1"/>
  <c r="AS35"/>
  <c r="AU35" s="1"/>
  <c r="AN35"/>
  <c r="AP35" s="1"/>
  <c r="AG35"/>
  <c r="AI35" s="1"/>
  <c r="X35"/>
  <c r="U35"/>
  <c r="N35"/>
  <c r="O35" s="1"/>
  <c r="I35"/>
  <c r="K35" s="1"/>
  <c r="BL34"/>
  <c r="BM34" s="1"/>
  <c r="BG34"/>
  <c r="BI34" s="1"/>
  <c r="AZ34"/>
  <c r="BB34" s="1"/>
  <c r="AS34"/>
  <c r="AU34" s="1"/>
  <c r="AN34"/>
  <c r="AP34" s="1"/>
  <c r="AG34"/>
  <c r="AI34" s="1"/>
  <c r="X34"/>
  <c r="N34"/>
  <c r="O34" s="1"/>
  <c r="K34"/>
  <c r="BL33"/>
  <c r="BM33" s="1"/>
  <c r="BO33" s="1"/>
  <c r="BG33"/>
  <c r="BI33" s="1"/>
  <c r="AZ33"/>
  <c r="BB33" s="1"/>
  <c r="AS33"/>
  <c r="AU33" s="1"/>
  <c r="AN33"/>
  <c r="AP33" s="1"/>
  <c r="AG33"/>
  <c r="AI33" s="1"/>
  <c r="X33"/>
  <c r="Y33" s="1"/>
  <c r="Z33" s="1"/>
  <c r="AB33" s="1"/>
  <c r="N33"/>
  <c r="O33" s="1"/>
  <c r="I33"/>
  <c r="K33" s="1"/>
  <c r="BL32"/>
  <c r="BM32" s="1"/>
  <c r="BG32"/>
  <c r="BI32" s="1"/>
  <c r="AZ32"/>
  <c r="BB32" s="1"/>
  <c r="AS32"/>
  <c r="AU32" s="1"/>
  <c r="AN32"/>
  <c r="AP32" s="1"/>
  <c r="AG32"/>
  <c r="AI32" s="1"/>
  <c r="X32"/>
  <c r="U32"/>
  <c r="N32"/>
  <c r="O32" s="1"/>
  <c r="K32"/>
  <c r="BL31"/>
  <c r="BM31" s="1"/>
  <c r="BG31"/>
  <c r="BI31" s="1"/>
  <c r="AZ31"/>
  <c r="BB31" s="1"/>
  <c r="AS31"/>
  <c r="AU31" s="1"/>
  <c r="AN31"/>
  <c r="AP31" s="1"/>
  <c r="AG31"/>
  <c r="AI31" s="1"/>
  <c r="X31"/>
  <c r="U31"/>
  <c r="N31"/>
  <c r="O31" s="1"/>
  <c r="I31"/>
  <c r="K31" s="1"/>
  <c r="BL30"/>
  <c r="BM30" s="1"/>
  <c r="BO30" s="1"/>
  <c r="BG30"/>
  <c r="BI30" s="1"/>
  <c r="AZ30"/>
  <c r="BB30" s="1"/>
  <c r="AS30"/>
  <c r="AU30" s="1"/>
  <c r="AN30"/>
  <c r="AP30" s="1"/>
  <c r="AG30"/>
  <c r="AI30" s="1"/>
  <c r="X30"/>
  <c r="U30"/>
  <c r="N30"/>
  <c r="O30" s="1"/>
  <c r="I30"/>
  <c r="K30" s="1"/>
  <c r="BL29"/>
  <c r="BM29" s="1"/>
  <c r="BO29" s="1"/>
  <c r="BG29"/>
  <c r="BI29" s="1"/>
  <c r="AZ29"/>
  <c r="BB29" s="1"/>
  <c r="AS29"/>
  <c r="AU29" s="1"/>
  <c r="AN29"/>
  <c r="AP29" s="1"/>
  <c r="AG29"/>
  <c r="AI29" s="1"/>
  <c r="X29"/>
  <c r="N29"/>
  <c r="O29" s="1"/>
  <c r="I29"/>
  <c r="K29" s="1"/>
  <c r="BL28"/>
  <c r="BM28" s="1"/>
  <c r="BO28" s="1"/>
  <c r="BG28"/>
  <c r="BI28" s="1"/>
  <c r="AZ28"/>
  <c r="BB28" s="1"/>
  <c r="AS28"/>
  <c r="AU28" s="1"/>
  <c r="AN28"/>
  <c r="AP28" s="1"/>
  <c r="AG28"/>
  <c r="AI28" s="1"/>
  <c r="X28"/>
  <c r="N28"/>
  <c r="O28" s="1"/>
  <c r="I28"/>
  <c r="K28" s="1"/>
  <c r="BL27"/>
  <c r="BM27" s="1"/>
  <c r="BG27"/>
  <c r="BI27" s="1"/>
  <c r="AZ27"/>
  <c r="BB27" s="1"/>
  <c r="AS27"/>
  <c r="AU27" s="1"/>
  <c r="AN27"/>
  <c r="AP27" s="1"/>
  <c r="AG27"/>
  <c r="AI27" s="1"/>
  <c r="X27"/>
  <c r="U27"/>
  <c r="N27"/>
  <c r="O27" s="1"/>
  <c r="I27"/>
  <c r="K27" s="1"/>
  <c r="BL26"/>
  <c r="BM26" s="1"/>
  <c r="BO26" s="1"/>
  <c r="BG26"/>
  <c r="BI26" s="1"/>
  <c r="AZ26"/>
  <c r="BB26" s="1"/>
  <c r="AS26"/>
  <c r="AU26" s="1"/>
  <c r="AN26"/>
  <c r="AP26" s="1"/>
  <c r="AG26"/>
  <c r="AI26" s="1"/>
  <c r="X26"/>
  <c r="U26"/>
  <c r="N26"/>
  <c r="O26" s="1"/>
  <c r="I26"/>
  <c r="K26" s="1"/>
  <c r="BL25"/>
  <c r="BM25" s="1"/>
  <c r="BO25" s="1"/>
  <c r="BG25"/>
  <c r="BI25" s="1"/>
  <c r="AZ25"/>
  <c r="BB25" s="1"/>
  <c r="AS25"/>
  <c r="AU25" s="1"/>
  <c r="AN25"/>
  <c r="AP25" s="1"/>
  <c r="AG25"/>
  <c r="AI25" s="1"/>
  <c r="X25"/>
  <c r="N25"/>
  <c r="O25" s="1"/>
  <c r="K25"/>
  <c r="BL24"/>
  <c r="BM24" s="1"/>
  <c r="BG24"/>
  <c r="BI24" s="1"/>
  <c r="AZ24"/>
  <c r="BB24" s="1"/>
  <c r="AS24"/>
  <c r="AU24" s="1"/>
  <c r="AN24"/>
  <c r="AP24" s="1"/>
  <c r="AE24"/>
  <c r="AG24" s="1"/>
  <c r="AI24" s="1"/>
  <c r="X24"/>
  <c r="U24"/>
  <c r="N24"/>
  <c r="O24" s="1"/>
  <c r="K24"/>
  <c r="BL23"/>
  <c r="BG23"/>
  <c r="BI23" s="1"/>
  <c r="AZ23"/>
  <c r="BB23" s="1"/>
  <c r="AS23"/>
  <c r="AU23" s="1"/>
  <c r="AN23"/>
  <c r="AP23" s="1"/>
  <c r="AG23"/>
  <c r="AI23" s="1"/>
  <c r="X23"/>
  <c r="N23"/>
  <c r="O23" s="1"/>
  <c r="I23"/>
  <c r="K23" s="1"/>
  <c r="BL22"/>
  <c r="BM22" s="1"/>
  <c r="BG22"/>
  <c r="BI22" s="1"/>
  <c r="AZ22"/>
  <c r="BB22" s="1"/>
  <c r="AS22"/>
  <c r="AU22" s="1"/>
  <c r="AN22"/>
  <c r="AP22" s="1"/>
  <c r="AG22"/>
  <c r="AI22" s="1"/>
  <c r="X22"/>
  <c r="U22"/>
  <c r="N22"/>
  <c r="O22" s="1"/>
  <c r="I22"/>
  <c r="K22" s="1"/>
  <c r="BL21"/>
  <c r="BM21" s="1"/>
  <c r="BO21" s="1"/>
  <c r="BG21"/>
  <c r="BI21" s="1"/>
  <c r="AZ21"/>
  <c r="BB21" s="1"/>
  <c r="AS21"/>
  <c r="AU21" s="1"/>
  <c r="AN21"/>
  <c r="AP21" s="1"/>
  <c r="AG21"/>
  <c r="AI21" s="1"/>
  <c r="X21"/>
  <c r="U21"/>
  <c r="N21"/>
  <c r="O21" s="1"/>
  <c r="K21"/>
  <c r="BL20"/>
  <c r="BM20" s="1"/>
  <c r="BG20"/>
  <c r="BI20" s="1"/>
  <c r="AZ20"/>
  <c r="BB20" s="1"/>
  <c r="AS20"/>
  <c r="AU20" s="1"/>
  <c r="AN20"/>
  <c r="AP20" s="1"/>
  <c r="AG20"/>
  <c r="AI20" s="1"/>
  <c r="X20"/>
  <c r="N20"/>
  <c r="O20" s="1"/>
  <c r="I20"/>
  <c r="K20" s="1"/>
  <c r="BL19"/>
  <c r="BM19" s="1"/>
  <c r="BG19"/>
  <c r="BI19" s="1"/>
  <c r="AZ19"/>
  <c r="BB19" s="1"/>
  <c r="AS19"/>
  <c r="AU19" s="1"/>
  <c r="AN19"/>
  <c r="AP19" s="1"/>
  <c r="AG19"/>
  <c r="AI19" s="1"/>
  <c r="X19"/>
  <c r="N19"/>
  <c r="O19" s="1"/>
  <c r="K19"/>
  <c r="BL18"/>
  <c r="BM18" s="1"/>
  <c r="BG18"/>
  <c r="BI18" s="1"/>
  <c r="AZ18"/>
  <c r="BB18" s="1"/>
  <c r="AS18"/>
  <c r="AU18" s="1"/>
  <c r="AN18"/>
  <c r="AP18" s="1"/>
  <c r="AG18"/>
  <c r="AI18" s="1"/>
  <c r="X18"/>
  <c r="N18"/>
  <c r="O18" s="1"/>
  <c r="I18"/>
  <c r="K18" s="1"/>
  <c r="BL17"/>
  <c r="BM17" s="1"/>
  <c r="BO17" s="1"/>
  <c r="BG17"/>
  <c r="BI17" s="1"/>
  <c r="AZ17"/>
  <c r="BB17" s="1"/>
  <c r="AS17"/>
  <c r="AU17" s="1"/>
  <c r="AN17"/>
  <c r="AP17" s="1"/>
  <c r="AG17"/>
  <c r="AI17" s="1"/>
  <c r="X17"/>
  <c r="U17"/>
  <c r="N17"/>
  <c r="O17" s="1"/>
  <c r="I17"/>
  <c r="K17" s="1"/>
  <c r="BL16"/>
  <c r="BM16" s="1"/>
  <c r="BO16" s="1"/>
  <c r="BG16"/>
  <c r="BI16" s="1"/>
  <c r="AZ16"/>
  <c r="BB16" s="1"/>
  <c r="AS16"/>
  <c r="AU16" s="1"/>
  <c r="AN16"/>
  <c r="AP16" s="1"/>
  <c r="AG16"/>
  <c r="AI16" s="1"/>
  <c r="X16"/>
  <c r="N16"/>
  <c r="O16" s="1"/>
  <c r="I16"/>
  <c r="K16" s="1"/>
  <c r="BL15"/>
  <c r="BM15" s="1"/>
  <c r="BO15" s="1"/>
  <c r="BG15"/>
  <c r="BI15" s="1"/>
  <c r="AZ15"/>
  <c r="BB15" s="1"/>
  <c r="AS15"/>
  <c r="AU15" s="1"/>
  <c r="AN15"/>
  <c r="AP15" s="1"/>
  <c r="AE15"/>
  <c r="AG15" s="1"/>
  <c r="AI15" s="1"/>
  <c r="X15"/>
  <c r="U15"/>
  <c r="N15"/>
  <c r="O15" s="1"/>
  <c r="K15"/>
  <c r="BL14"/>
  <c r="BM14" s="1"/>
  <c r="BO14" s="1"/>
  <c r="BG14"/>
  <c r="BI14" s="1"/>
  <c r="AZ14"/>
  <c r="BB14" s="1"/>
  <c r="AS14"/>
  <c r="AU14" s="1"/>
  <c r="AN14"/>
  <c r="AP14" s="1"/>
  <c r="AG14"/>
  <c r="AI14" s="1"/>
  <c r="X14"/>
  <c r="N14"/>
  <c r="O14" s="1"/>
  <c r="I14"/>
  <c r="K14" s="1"/>
  <c r="BL13"/>
  <c r="BM13" s="1"/>
  <c r="BG13"/>
  <c r="BI13" s="1"/>
  <c r="AZ13"/>
  <c r="BB13" s="1"/>
  <c r="AS13"/>
  <c r="AU13" s="1"/>
  <c r="AN13"/>
  <c r="AP13" s="1"/>
  <c r="AG13"/>
  <c r="AI13" s="1"/>
  <c r="X13"/>
  <c r="U13"/>
  <c r="N13"/>
  <c r="O13" s="1"/>
  <c r="K13"/>
  <c r="BL12"/>
  <c r="BM12" s="1"/>
  <c r="BO12" s="1"/>
  <c r="BG12"/>
  <c r="BI12" s="1"/>
  <c r="AZ12"/>
  <c r="BB12" s="1"/>
  <c r="AS12"/>
  <c r="AU12" s="1"/>
  <c r="AN12"/>
  <c r="AP12" s="1"/>
  <c r="AG12"/>
  <c r="AI12" s="1"/>
  <c r="X12"/>
  <c r="U12"/>
  <c r="N12"/>
  <c r="O12" s="1"/>
  <c r="K12"/>
  <c r="BL11"/>
  <c r="BM11" s="1"/>
  <c r="BO11" s="1"/>
  <c r="BG11"/>
  <c r="BI11" s="1"/>
  <c r="AZ11"/>
  <c r="BB11" s="1"/>
  <c r="AS11"/>
  <c r="AU11" s="1"/>
  <c r="AN11"/>
  <c r="AP11" s="1"/>
  <c r="AG11"/>
  <c r="AI11" s="1"/>
  <c r="X11"/>
  <c r="N11"/>
  <c r="O11" s="1"/>
  <c r="I11"/>
  <c r="K11" s="1"/>
  <c r="BM10"/>
  <c r="BO10" s="1"/>
  <c r="BL10"/>
  <c r="BG10"/>
  <c r="BI10" s="1"/>
  <c r="AZ10"/>
  <c r="BB10" s="1"/>
  <c r="AS10"/>
  <c r="AU10" s="1"/>
  <c r="AN10"/>
  <c r="AP10" s="1"/>
  <c r="AG10"/>
  <c r="AI10" s="1"/>
  <c r="X10"/>
  <c r="U10"/>
  <c r="N10"/>
  <c r="O10" s="1"/>
  <c r="I10"/>
  <c r="K10" s="1"/>
  <c r="BL9"/>
  <c r="BM9" s="1"/>
  <c r="BG9"/>
  <c r="BI9" s="1"/>
  <c r="BB9"/>
  <c r="AS9"/>
  <c r="AU9" s="1"/>
  <c r="AN9"/>
  <c r="AP9" s="1"/>
  <c r="AG9"/>
  <c r="AI9" s="1"/>
  <c r="X9"/>
  <c r="Y9"/>
  <c r="Z9" s="1"/>
  <c r="AB9" s="1"/>
  <c r="N9"/>
  <c r="O9" s="1"/>
  <c r="I9"/>
  <c r="K9" s="1"/>
  <c r="BL8"/>
  <c r="BM8" s="1"/>
  <c r="BG8"/>
  <c r="AZ8"/>
  <c r="AS8"/>
  <c r="AN8"/>
  <c r="AG8"/>
  <c r="X8"/>
  <c r="U8"/>
  <c r="N8"/>
  <c r="O8" s="1"/>
  <c r="I8"/>
  <c r="K8" s="1"/>
  <c r="Y54" l="1"/>
  <c r="Z54" s="1"/>
  <c r="AB54" s="1"/>
  <c r="Y48"/>
  <c r="Z48" s="1"/>
  <c r="AB48" s="1"/>
  <c r="Y40"/>
  <c r="Z40" s="1"/>
  <c r="AB40" s="1"/>
  <c r="Y68"/>
  <c r="Z68" s="1"/>
  <c r="AB68" s="1"/>
  <c r="Y23"/>
  <c r="Z23" s="1"/>
  <c r="AB23" s="1"/>
  <c r="Y8"/>
  <c r="Z8" s="1"/>
  <c r="Y18"/>
  <c r="Z18" s="1"/>
  <c r="AB18" s="1"/>
  <c r="Y25"/>
  <c r="Z25" s="1"/>
  <c r="AB25" s="1"/>
  <c r="Y42"/>
  <c r="Z42" s="1"/>
  <c r="AB42" s="1"/>
  <c r="Y49"/>
  <c r="Z49" s="1"/>
  <c r="AB49" s="1"/>
  <c r="Y56"/>
  <c r="Z56" s="1"/>
  <c r="AB56" s="1"/>
  <c r="Y83"/>
  <c r="Z83" s="1"/>
  <c r="AB83" s="1"/>
  <c r="Y61"/>
  <c r="Z61" s="1"/>
  <c r="AB61" s="1"/>
  <c r="Y41"/>
  <c r="Z41" s="1"/>
  <c r="AB41" s="1"/>
  <c r="Y16"/>
  <c r="Z16" s="1"/>
  <c r="AB16" s="1"/>
  <c r="Y59"/>
  <c r="Z59" s="1"/>
  <c r="AB59" s="1"/>
  <c r="Y82"/>
  <c r="Z82" s="1"/>
  <c r="AB82" s="1"/>
  <c r="P77"/>
  <c r="R77" s="1"/>
  <c r="BP77" s="1"/>
  <c r="BQ77" s="1"/>
  <c r="Y37"/>
  <c r="Z37" s="1"/>
  <c r="AB37" s="1"/>
  <c r="Y52"/>
  <c r="Z52" s="1"/>
  <c r="AB52" s="1"/>
  <c r="Y69"/>
  <c r="Z69" s="1"/>
  <c r="AB69" s="1"/>
  <c r="Y20"/>
  <c r="Z20" s="1"/>
  <c r="AB20" s="1"/>
  <c r="Y21"/>
  <c r="Z21" s="1"/>
  <c r="AB21" s="1"/>
  <c r="Y65"/>
  <c r="Z65" s="1"/>
  <c r="AB65" s="1"/>
  <c r="Y26"/>
  <c r="Z26" s="1"/>
  <c r="AB26" s="1"/>
  <c r="Y53"/>
  <c r="Z53" s="1"/>
  <c r="AB53" s="1"/>
  <c r="P71"/>
  <c r="Y28"/>
  <c r="Z28" s="1"/>
  <c r="AB28" s="1"/>
  <c r="P52"/>
  <c r="R52" s="1"/>
  <c r="BP52" s="1"/>
  <c r="BQ52" s="1"/>
  <c r="Y13"/>
  <c r="Z13" s="1"/>
  <c r="AB13" s="1"/>
  <c r="Y43"/>
  <c r="Z43" s="1"/>
  <c r="AB43" s="1"/>
  <c r="Y57"/>
  <c r="Z57" s="1"/>
  <c r="AB57" s="1"/>
  <c r="Y78"/>
  <c r="Z78" s="1"/>
  <c r="AB78" s="1"/>
  <c r="Y81"/>
  <c r="Z81" s="1"/>
  <c r="AB81" s="1"/>
  <c r="Y45"/>
  <c r="Z45" s="1"/>
  <c r="AB45" s="1"/>
  <c r="Y38"/>
  <c r="Z38" s="1"/>
  <c r="AB38" s="1"/>
  <c r="Y44"/>
  <c r="Z44" s="1"/>
  <c r="AB44" s="1"/>
  <c r="Y66"/>
  <c r="Z66" s="1"/>
  <c r="AB66" s="1"/>
  <c r="Y22"/>
  <c r="Z22" s="1"/>
  <c r="AB22" s="1"/>
  <c r="Y32"/>
  <c r="Z32" s="1"/>
  <c r="AB32" s="1"/>
  <c r="Y34"/>
  <c r="Z34" s="1"/>
  <c r="AB34" s="1"/>
  <c r="Y36"/>
  <c r="Z36" s="1"/>
  <c r="AB36" s="1"/>
  <c r="Y39"/>
  <c r="Z39" s="1"/>
  <c r="AB39" s="1"/>
  <c r="Y60"/>
  <c r="Z60" s="1"/>
  <c r="AB60" s="1"/>
  <c r="Y62"/>
  <c r="Z62" s="1"/>
  <c r="AB62" s="1"/>
  <c r="Y75"/>
  <c r="Z75" s="1"/>
  <c r="AB75" s="1"/>
  <c r="Y19"/>
  <c r="Z19" s="1"/>
  <c r="AB19" s="1"/>
  <c r="Y24"/>
  <c r="Z24" s="1"/>
  <c r="AB24" s="1"/>
  <c r="Y58"/>
  <c r="Z58" s="1"/>
  <c r="AB58" s="1"/>
  <c r="Y64"/>
  <c r="Z64" s="1"/>
  <c r="AB64" s="1"/>
  <c r="Y72"/>
  <c r="Z72" s="1"/>
  <c r="AB72" s="1"/>
  <c r="Y87"/>
  <c r="Z87" s="1"/>
  <c r="AB87" s="1"/>
  <c r="AO8"/>
  <c r="G22" i="5" s="1"/>
  <c r="BO76" i="3"/>
  <c r="Y14"/>
  <c r="Z14" s="1"/>
  <c r="AB14" s="1"/>
  <c r="Y17"/>
  <c r="Z17" s="1"/>
  <c r="AB17" s="1"/>
  <c r="Y29"/>
  <c r="Z29" s="1"/>
  <c r="AB29" s="1"/>
  <c r="P32"/>
  <c r="R32" s="1"/>
  <c r="Y73"/>
  <c r="Z73" s="1"/>
  <c r="AB73" s="1"/>
  <c r="P87"/>
  <c r="AT8"/>
  <c r="G23" i="5" s="1"/>
  <c r="Y12" i="3"/>
  <c r="Z12" s="1"/>
  <c r="AB12" s="1"/>
  <c r="Y50"/>
  <c r="Z50" s="1"/>
  <c r="AB50" s="1"/>
  <c r="P72"/>
  <c r="Y84"/>
  <c r="Z84" s="1"/>
  <c r="AB84" s="1"/>
  <c r="Y85"/>
  <c r="Z85" s="1"/>
  <c r="AB85" s="1"/>
  <c r="Y46"/>
  <c r="Z46" s="1"/>
  <c r="AB46" s="1"/>
  <c r="Y77"/>
  <c r="Z77" s="1"/>
  <c r="AB77" s="1"/>
  <c r="P83"/>
  <c r="R83" s="1"/>
  <c r="BP83" s="1"/>
  <c r="BQ83" s="1"/>
  <c r="F25" i="5"/>
  <c r="BH8" i="3"/>
  <c r="G25" i="5" s="1"/>
  <c r="BA8" i="3"/>
  <c r="G24" i="5" s="1"/>
  <c r="F24"/>
  <c r="AH8" i="3"/>
  <c r="G21" i="5" s="1"/>
  <c r="P48" i="3"/>
  <c r="BT48" s="1"/>
  <c r="P80"/>
  <c r="R80" s="1"/>
  <c r="P10"/>
  <c r="R10" s="1"/>
  <c r="Y15"/>
  <c r="Z15" s="1"/>
  <c r="AB15" s="1"/>
  <c r="P19"/>
  <c r="R19" s="1"/>
  <c r="P21"/>
  <c r="BT21" s="1"/>
  <c r="P23"/>
  <c r="R23" s="1"/>
  <c r="P30"/>
  <c r="R30" s="1"/>
  <c r="BP30" s="1"/>
  <c r="BQ30" s="1"/>
  <c r="P41"/>
  <c r="Y47"/>
  <c r="Z47" s="1"/>
  <c r="AB47" s="1"/>
  <c r="P61"/>
  <c r="BT61" s="1"/>
  <c r="P63"/>
  <c r="BT63" s="1"/>
  <c r="P70"/>
  <c r="P73"/>
  <c r="R73" s="1"/>
  <c r="BP73" s="1"/>
  <c r="BQ73" s="1"/>
  <c r="P85"/>
  <c r="BO9"/>
  <c r="P12"/>
  <c r="R12" s="1"/>
  <c r="BO18"/>
  <c r="BO20"/>
  <c r="BO40"/>
  <c r="BO42"/>
  <c r="BO47"/>
  <c r="BO60"/>
  <c r="BO62"/>
  <c r="P68"/>
  <c r="BT68" s="1"/>
  <c r="BO72"/>
  <c r="BO79"/>
  <c r="BO84"/>
  <c r="F23" i="5"/>
  <c r="BO22" i="3"/>
  <c r="P28"/>
  <c r="AU8"/>
  <c r="H23" i="5" s="1"/>
  <c r="P17" i="3"/>
  <c r="Y27"/>
  <c r="Z27" s="1"/>
  <c r="AB27" s="1"/>
  <c r="P34"/>
  <c r="P45"/>
  <c r="BT45" s="1"/>
  <c r="P47"/>
  <c r="P54"/>
  <c r="Y67"/>
  <c r="Z67" s="1"/>
  <c r="AB67" s="1"/>
  <c r="Y74"/>
  <c r="Z74" s="1"/>
  <c r="AB74" s="1"/>
  <c r="Y79"/>
  <c r="Z79" s="1"/>
  <c r="AB79" s="1"/>
  <c r="P82"/>
  <c r="Y86"/>
  <c r="Z86" s="1"/>
  <c r="AB86" s="1"/>
  <c r="F22" i="5"/>
  <c r="BO67" i="3"/>
  <c r="F21" i="5"/>
  <c r="BO27" i="3"/>
  <c r="Y11"/>
  <c r="Z11" s="1"/>
  <c r="AB11" s="1"/>
  <c r="P13"/>
  <c r="R13" s="1"/>
  <c r="P25"/>
  <c r="BT25" s="1"/>
  <c r="Y31"/>
  <c r="Z31" s="1"/>
  <c r="AB31" s="1"/>
  <c r="P38"/>
  <c r="BT38" s="1"/>
  <c r="P49"/>
  <c r="BT49" s="1"/>
  <c r="Y51"/>
  <c r="Z51" s="1"/>
  <c r="AB51" s="1"/>
  <c r="P58"/>
  <c r="P65"/>
  <c r="BT65" s="1"/>
  <c r="Y76"/>
  <c r="Z76" s="1"/>
  <c r="AB76" s="1"/>
  <c r="P79"/>
  <c r="R79" s="1"/>
  <c r="P36"/>
  <c r="R36" s="1"/>
  <c r="BO51"/>
  <c r="P56"/>
  <c r="BT56" s="1"/>
  <c r="BO71"/>
  <c r="P74"/>
  <c r="P84"/>
  <c r="P86"/>
  <c r="R86" s="1"/>
  <c r="BP86" s="1"/>
  <c r="BQ86" s="1"/>
  <c r="BO31"/>
  <c r="P18"/>
  <c r="BT18" s="1"/>
  <c r="P22"/>
  <c r="BT22" s="1"/>
  <c r="P29"/>
  <c r="Y35"/>
  <c r="Z35" s="1"/>
  <c r="AB35" s="1"/>
  <c r="P42"/>
  <c r="BT42" s="1"/>
  <c r="P51"/>
  <c r="R51" s="1"/>
  <c r="BP51" s="1"/>
  <c r="BQ51" s="1"/>
  <c r="Y55"/>
  <c r="Z55" s="1"/>
  <c r="AB55" s="1"/>
  <c r="P62"/>
  <c r="P69"/>
  <c r="BT69" s="1"/>
  <c r="Y71"/>
  <c r="Z71" s="1"/>
  <c r="AB71" s="1"/>
  <c r="P20"/>
  <c r="BT20" s="1"/>
  <c r="BO35"/>
  <c r="P40"/>
  <c r="BO55"/>
  <c r="P60"/>
  <c r="R60" s="1"/>
  <c r="Y80"/>
  <c r="Z80" s="1"/>
  <c r="AB80" s="1"/>
  <c r="BO83"/>
  <c r="P33"/>
  <c r="BT33" s="1"/>
  <c r="P53"/>
  <c r="P76"/>
  <c r="R76" s="1"/>
  <c r="BP76" s="1"/>
  <c r="BQ76" s="1"/>
  <c r="P78"/>
  <c r="BT78" s="1"/>
  <c r="P81"/>
  <c r="BT81" s="1"/>
  <c r="P9"/>
  <c r="BT9" s="1"/>
  <c r="P14"/>
  <c r="R14" s="1"/>
  <c r="P46"/>
  <c r="R46" s="1"/>
  <c r="BP46" s="1"/>
  <c r="BQ46" s="1"/>
  <c r="Y10"/>
  <c r="Z10" s="1"/>
  <c r="AB10" s="1"/>
  <c r="BO13"/>
  <c r="P16"/>
  <c r="BO19"/>
  <c r="P24"/>
  <c r="R24" s="1"/>
  <c r="Y30"/>
  <c r="Z30" s="1"/>
  <c r="AB30" s="1"/>
  <c r="BO32"/>
  <c r="BO34"/>
  <c r="BO39"/>
  <c r="P44"/>
  <c r="BT44" s="1"/>
  <c r="BO52"/>
  <c r="BO54"/>
  <c r="BO59"/>
  <c r="P64"/>
  <c r="R64" s="1"/>
  <c r="Y70"/>
  <c r="Z70" s="1"/>
  <c r="AB70" s="1"/>
  <c r="BO80"/>
  <c r="BM23"/>
  <c r="P26"/>
  <c r="P37"/>
  <c r="BM43"/>
  <c r="BO43" s="1"/>
  <c r="P50"/>
  <c r="P57"/>
  <c r="BT57" s="1"/>
  <c r="P66"/>
  <c r="R66" s="1"/>
  <c r="BP66" s="1"/>
  <c r="BQ66" s="1"/>
  <c r="BO75"/>
  <c r="BO87"/>
  <c r="BO63"/>
  <c r="P8"/>
  <c r="F17" i="5" s="1"/>
  <c r="W26"/>
  <c r="U26"/>
  <c r="W24"/>
  <c r="W22"/>
  <c r="W20"/>
  <c r="V22"/>
  <c r="U22"/>
  <c r="F26"/>
  <c r="BO24" i="3"/>
  <c r="W25" i="5"/>
  <c r="V25"/>
  <c r="U19"/>
  <c r="U17"/>
  <c r="W18"/>
  <c r="U20"/>
  <c r="U18"/>
  <c r="W19"/>
  <c r="W21"/>
  <c r="V21"/>
  <c r="W23"/>
  <c r="W17"/>
  <c r="U21"/>
  <c r="V23"/>
  <c r="V17"/>
  <c r="V24"/>
  <c r="U24"/>
  <c r="U25"/>
  <c r="R70" i="3"/>
  <c r="BP70" s="1"/>
  <c r="BQ70" s="1"/>
  <c r="P43"/>
  <c r="BO8"/>
  <c r="R28"/>
  <c r="R68"/>
  <c r="P75"/>
  <c r="BT75" s="1"/>
  <c r="R47"/>
  <c r="BP47" s="1"/>
  <c r="BQ47" s="1"/>
  <c r="P15"/>
  <c r="P27"/>
  <c r="P67"/>
  <c r="BT67" s="1"/>
  <c r="AP8"/>
  <c r="H22" i="5" s="1"/>
  <c r="R42" i="3"/>
  <c r="BP42" s="1"/>
  <c r="BQ42" s="1"/>
  <c r="P31"/>
  <c r="AI8"/>
  <c r="H21" i="5" s="1"/>
  <c r="R22" i="3"/>
  <c r="R71"/>
  <c r="BP71" s="1"/>
  <c r="BQ71" s="1"/>
  <c r="P11"/>
  <c r="P35"/>
  <c r="P55"/>
  <c r="P39"/>
  <c r="P59"/>
  <c r="BI8"/>
  <c r="H25" i="5" s="1"/>
  <c r="BB8" i="3"/>
  <c r="H24" i="5" s="1"/>
  <c r="BG87" i="4"/>
  <c r="BI87" s="1"/>
  <c r="BB87"/>
  <c r="N87"/>
  <c r="O87" s="1"/>
  <c r="I87"/>
  <c r="K87" s="1"/>
  <c r="BG86"/>
  <c r="BI86" s="1"/>
  <c r="BB86"/>
  <c r="N86"/>
  <c r="O86" s="1"/>
  <c r="I86"/>
  <c r="K86" s="1"/>
  <c r="BO85"/>
  <c r="BG85"/>
  <c r="BI85" s="1"/>
  <c r="BB85"/>
  <c r="N85"/>
  <c r="O85" s="1"/>
  <c r="I85"/>
  <c r="K85" s="1"/>
  <c r="BG84"/>
  <c r="BI84" s="1"/>
  <c r="BB84"/>
  <c r="Z84"/>
  <c r="AB84" s="1"/>
  <c r="N84"/>
  <c r="O84" s="1"/>
  <c r="I84"/>
  <c r="K84" s="1"/>
  <c r="BG83"/>
  <c r="BI83" s="1"/>
  <c r="BB83"/>
  <c r="Z83"/>
  <c r="AB83" s="1"/>
  <c r="N83"/>
  <c r="O83" s="1"/>
  <c r="I83"/>
  <c r="K83" s="1"/>
  <c r="BG82"/>
  <c r="BI82" s="1"/>
  <c r="BB82"/>
  <c r="N82"/>
  <c r="O82" s="1"/>
  <c r="I82"/>
  <c r="K82" s="1"/>
  <c r="BO81"/>
  <c r="BG81"/>
  <c r="BI81" s="1"/>
  <c r="BB81"/>
  <c r="O81"/>
  <c r="N81"/>
  <c r="I81"/>
  <c r="K81" s="1"/>
  <c r="BG80"/>
  <c r="BI80" s="1"/>
  <c r="BB80"/>
  <c r="N80"/>
  <c r="O80" s="1"/>
  <c r="I80"/>
  <c r="K80" s="1"/>
  <c r="BG79"/>
  <c r="BI79" s="1"/>
  <c r="BB79"/>
  <c r="N79"/>
  <c r="O79" s="1"/>
  <c r="I79"/>
  <c r="K79" s="1"/>
  <c r="BO78"/>
  <c r="BG78"/>
  <c r="BI78" s="1"/>
  <c r="BB78"/>
  <c r="N78"/>
  <c r="O78" s="1"/>
  <c r="I78"/>
  <c r="K78" s="1"/>
  <c r="BO77"/>
  <c r="BG77"/>
  <c r="BI77" s="1"/>
  <c r="BB77"/>
  <c r="N77"/>
  <c r="O77" s="1"/>
  <c r="I77"/>
  <c r="K77" s="1"/>
  <c r="BG76"/>
  <c r="BI76" s="1"/>
  <c r="BB76"/>
  <c r="N76"/>
  <c r="O76" s="1"/>
  <c r="I76"/>
  <c r="K76" s="1"/>
  <c r="BG75"/>
  <c r="BI75" s="1"/>
  <c r="BB75"/>
  <c r="N75"/>
  <c r="O75" s="1"/>
  <c r="I75"/>
  <c r="K75" s="1"/>
  <c r="BG74"/>
  <c r="BI74" s="1"/>
  <c r="BB74"/>
  <c r="N74"/>
  <c r="O74" s="1"/>
  <c r="I74"/>
  <c r="K74" s="1"/>
  <c r="BO73"/>
  <c r="BG73"/>
  <c r="BI73" s="1"/>
  <c r="BB73"/>
  <c r="Z73"/>
  <c r="AB73" s="1"/>
  <c r="N73"/>
  <c r="O73" s="1"/>
  <c r="I73"/>
  <c r="K73" s="1"/>
  <c r="BG72"/>
  <c r="BI72" s="1"/>
  <c r="BB72"/>
  <c r="Z72"/>
  <c r="AB72" s="1"/>
  <c r="N72"/>
  <c r="O72" s="1"/>
  <c r="I72"/>
  <c r="K72" s="1"/>
  <c r="BG71"/>
  <c r="BI71" s="1"/>
  <c r="BB71"/>
  <c r="Z71"/>
  <c r="AB71" s="1"/>
  <c r="N71"/>
  <c r="O71" s="1"/>
  <c r="I71"/>
  <c r="K71" s="1"/>
  <c r="BG70"/>
  <c r="BI70" s="1"/>
  <c r="BB70"/>
  <c r="N70"/>
  <c r="O70" s="1"/>
  <c r="I70"/>
  <c r="K70" s="1"/>
  <c r="BO69"/>
  <c r="BG69"/>
  <c r="BB69"/>
  <c r="N69"/>
  <c r="O69" s="1"/>
  <c r="I69"/>
  <c r="K69" s="1"/>
  <c r="BG68"/>
  <c r="BI68" s="1"/>
  <c r="BB68"/>
  <c r="N68"/>
  <c r="O68" s="1"/>
  <c r="I68"/>
  <c r="K68" s="1"/>
  <c r="BG67"/>
  <c r="BI67" s="1"/>
  <c r="BB67"/>
  <c r="N67"/>
  <c r="O67" s="1"/>
  <c r="I67"/>
  <c r="K67" s="1"/>
  <c r="BO66"/>
  <c r="BG66"/>
  <c r="BI66" s="1"/>
  <c r="BB66"/>
  <c r="N66"/>
  <c r="O66" s="1"/>
  <c r="I66"/>
  <c r="K66" s="1"/>
  <c r="BO65"/>
  <c r="BG65"/>
  <c r="BI65" s="1"/>
  <c r="BB65"/>
  <c r="N65"/>
  <c r="O65" s="1"/>
  <c r="I65"/>
  <c r="K65" s="1"/>
  <c r="BG64"/>
  <c r="BI64" s="1"/>
  <c r="BB64"/>
  <c r="N64"/>
  <c r="O64" s="1"/>
  <c r="I64"/>
  <c r="K64" s="1"/>
  <c r="BG63"/>
  <c r="BI63" s="1"/>
  <c r="BB63"/>
  <c r="N63"/>
  <c r="O63" s="1"/>
  <c r="I63"/>
  <c r="K63" s="1"/>
  <c r="BG62"/>
  <c r="BI62" s="1"/>
  <c r="BB62"/>
  <c r="N62"/>
  <c r="O62" s="1"/>
  <c r="I62"/>
  <c r="K62" s="1"/>
  <c r="BO61"/>
  <c r="BG61"/>
  <c r="BI61" s="1"/>
  <c r="BB61"/>
  <c r="N61"/>
  <c r="O61" s="1"/>
  <c r="I61"/>
  <c r="K61" s="1"/>
  <c r="BG60"/>
  <c r="BI60" s="1"/>
  <c r="BB60"/>
  <c r="O60"/>
  <c r="N60"/>
  <c r="I60"/>
  <c r="K60" s="1"/>
  <c r="BO59"/>
  <c r="BG59"/>
  <c r="BI59" s="1"/>
  <c r="BB59"/>
  <c r="N59"/>
  <c r="O59" s="1"/>
  <c r="I59"/>
  <c r="K59" s="1"/>
  <c r="BO58"/>
  <c r="BG58"/>
  <c r="BI58" s="1"/>
  <c r="BB58"/>
  <c r="N58"/>
  <c r="O58" s="1"/>
  <c r="I58"/>
  <c r="K58" s="1"/>
  <c r="BO57"/>
  <c r="BG57"/>
  <c r="BI57" s="1"/>
  <c r="BB57"/>
  <c r="N57"/>
  <c r="O57" s="1"/>
  <c r="I57"/>
  <c r="K57" s="1"/>
  <c r="BG56"/>
  <c r="BI56" s="1"/>
  <c r="BB56"/>
  <c r="N56"/>
  <c r="O56" s="1"/>
  <c r="I56"/>
  <c r="K56" s="1"/>
  <c r="BO55"/>
  <c r="BG55"/>
  <c r="BI55" s="1"/>
  <c r="BB55"/>
  <c r="N55"/>
  <c r="O55" s="1"/>
  <c r="I55"/>
  <c r="K55" s="1"/>
  <c r="BG54"/>
  <c r="BI54" s="1"/>
  <c r="BB54"/>
  <c r="N54"/>
  <c r="O54" s="1"/>
  <c r="I54"/>
  <c r="K54" s="1"/>
  <c r="BO53"/>
  <c r="BG53"/>
  <c r="BI53" s="1"/>
  <c r="BB53"/>
  <c r="N53"/>
  <c r="O53" s="1"/>
  <c r="I53"/>
  <c r="K53" s="1"/>
  <c r="BG52"/>
  <c r="BI52" s="1"/>
  <c r="BB52"/>
  <c r="N52"/>
  <c r="O52" s="1"/>
  <c r="I52"/>
  <c r="K52" s="1"/>
  <c r="BO51"/>
  <c r="BG51"/>
  <c r="BI51" s="1"/>
  <c r="BB51"/>
  <c r="N51"/>
  <c r="O51" s="1"/>
  <c r="I51"/>
  <c r="K51" s="1"/>
  <c r="BO50"/>
  <c r="BG50"/>
  <c r="BI50" s="1"/>
  <c r="BB50"/>
  <c r="N50"/>
  <c r="O50" s="1"/>
  <c r="I50"/>
  <c r="K50" s="1"/>
  <c r="BO49"/>
  <c r="BG49"/>
  <c r="BI49" s="1"/>
  <c r="BB49"/>
  <c r="N49"/>
  <c r="O49" s="1"/>
  <c r="I49"/>
  <c r="K49" s="1"/>
  <c r="BG48"/>
  <c r="BI48" s="1"/>
  <c r="BB48"/>
  <c r="N48"/>
  <c r="O48" s="1"/>
  <c r="I48"/>
  <c r="K48" s="1"/>
  <c r="BO47"/>
  <c r="BG47"/>
  <c r="BI47" s="1"/>
  <c r="BB47"/>
  <c r="N47"/>
  <c r="O47" s="1"/>
  <c r="I47"/>
  <c r="K47" s="1"/>
  <c r="BO46"/>
  <c r="BG46"/>
  <c r="BI46" s="1"/>
  <c r="BB46"/>
  <c r="N46"/>
  <c r="O46" s="1"/>
  <c r="I46"/>
  <c r="K46" s="1"/>
  <c r="BO45"/>
  <c r="BG45"/>
  <c r="BI45" s="1"/>
  <c r="BB45"/>
  <c r="N45"/>
  <c r="O45" s="1"/>
  <c r="I45"/>
  <c r="K45" s="1"/>
  <c r="BG44"/>
  <c r="BI44" s="1"/>
  <c r="BB44"/>
  <c r="N44"/>
  <c r="O44" s="1"/>
  <c r="I44"/>
  <c r="K44" s="1"/>
  <c r="BO43"/>
  <c r="BG43"/>
  <c r="BI43" s="1"/>
  <c r="BB43"/>
  <c r="N43"/>
  <c r="O43" s="1"/>
  <c r="I43"/>
  <c r="K43" s="1"/>
  <c r="BO42"/>
  <c r="BG42"/>
  <c r="BI42" s="1"/>
  <c r="BB42"/>
  <c r="N42"/>
  <c r="O42" s="1"/>
  <c r="I42"/>
  <c r="K42" s="1"/>
  <c r="BO41"/>
  <c r="BG41"/>
  <c r="BI41" s="1"/>
  <c r="BB41"/>
  <c r="N41"/>
  <c r="O41" s="1"/>
  <c r="I41"/>
  <c r="K41" s="1"/>
  <c r="BG40"/>
  <c r="BI40" s="1"/>
  <c r="BB40"/>
  <c r="N40"/>
  <c r="O40" s="1"/>
  <c r="I40"/>
  <c r="K40" s="1"/>
  <c r="BO39"/>
  <c r="BG39"/>
  <c r="BI39" s="1"/>
  <c r="BB39"/>
  <c r="N39"/>
  <c r="O39" s="1"/>
  <c r="I39"/>
  <c r="K39" s="1"/>
  <c r="BG38"/>
  <c r="BI38" s="1"/>
  <c r="BB38"/>
  <c r="N38"/>
  <c r="O38" s="1"/>
  <c r="I38"/>
  <c r="K38" s="1"/>
  <c r="BO37"/>
  <c r="BG37"/>
  <c r="BI37" s="1"/>
  <c r="BB37"/>
  <c r="Z37"/>
  <c r="AB37" s="1"/>
  <c r="N37"/>
  <c r="O37" s="1"/>
  <c r="I37"/>
  <c r="K37" s="1"/>
  <c r="BG36"/>
  <c r="BI36" s="1"/>
  <c r="BB36"/>
  <c r="N36"/>
  <c r="O36" s="1"/>
  <c r="I36"/>
  <c r="K36" s="1"/>
  <c r="BO35"/>
  <c r="BG35"/>
  <c r="BI35" s="1"/>
  <c r="BB35"/>
  <c r="N35"/>
  <c r="O35" s="1"/>
  <c r="I35"/>
  <c r="K35" s="1"/>
  <c r="BG34"/>
  <c r="BI34" s="1"/>
  <c r="BB34"/>
  <c r="N34"/>
  <c r="O34" s="1"/>
  <c r="I34"/>
  <c r="K34" s="1"/>
  <c r="BO33"/>
  <c r="BG33"/>
  <c r="BI33" s="1"/>
  <c r="BB33"/>
  <c r="N33"/>
  <c r="O33" s="1"/>
  <c r="I33"/>
  <c r="K33" s="1"/>
  <c r="BG32"/>
  <c r="BI32" s="1"/>
  <c r="BB32"/>
  <c r="N32"/>
  <c r="O32" s="1"/>
  <c r="I32"/>
  <c r="K32" s="1"/>
  <c r="BO31"/>
  <c r="BG31"/>
  <c r="BI31" s="1"/>
  <c r="BB31"/>
  <c r="N31"/>
  <c r="O31" s="1"/>
  <c r="I31"/>
  <c r="K31" s="1"/>
  <c r="BO30"/>
  <c r="BG30"/>
  <c r="BI30" s="1"/>
  <c r="BB30"/>
  <c r="N30"/>
  <c r="O30" s="1"/>
  <c r="I30"/>
  <c r="K30" s="1"/>
  <c r="BO29"/>
  <c r="BG29"/>
  <c r="BI29" s="1"/>
  <c r="BB29"/>
  <c r="N29"/>
  <c r="O29" s="1"/>
  <c r="I29"/>
  <c r="K29" s="1"/>
  <c r="BG28"/>
  <c r="BI28" s="1"/>
  <c r="BB28"/>
  <c r="N28"/>
  <c r="O28" s="1"/>
  <c r="I28"/>
  <c r="K28" s="1"/>
  <c r="BO27"/>
  <c r="BG27"/>
  <c r="BI27" s="1"/>
  <c r="BB27"/>
  <c r="N27"/>
  <c r="O27" s="1"/>
  <c r="I27"/>
  <c r="K27" s="1"/>
  <c r="BO26"/>
  <c r="BG26"/>
  <c r="BI26" s="1"/>
  <c r="BB26"/>
  <c r="N26"/>
  <c r="O26" s="1"/>
  <c r="I26"/>
  <c r="K26" s="1"/>
  <c r="BO25"/>
  <c r="BG25"/>
  <c r="BI25" s="1"/>
  <c r="BB25"/>
  <c r="Z25"/>
  <c r="AB25" s="1"/>
  <c r="N25"/>
  <c r="O25" s="1"/>
  <c r="I25"/>
  <c r="K25" s="1"/>
  <c r="BG24"/>
  <c r="BI24" s="1"/>
  <c r="BB24"/>
  <c r="N24"/>
  <c r="O24" s="1"/>
  <c r="I24"/>
  <c r="K24" s="1"/>
  <c r="BO23"/>
  <c r="BG23"/>
  <c r="BI23" s="1"/>
  <c r="BB23"/>
  <c r="N23"/>
  <c r="O23" s="1"/>
  <c r="I23"/>
  <c r="K23" s="1"/>
  <c r="BO22"/>
  <c r="BG22"/>
  <c r="BI22" s="1"/>
  <c r="BB22"/>
  <c r="N22"/>
  <c r="O22" s="1"/>
  <c r="I22"/>
  <c r="K22" s="1"/>
  <c r="BO21"/>
  <c r="BG21"/>
  <c r="BI21" s="1"/>
  <c r="BB21"/>
  <c r="N21"/>
  <c r="O21" s="1"/>
  <c r="I21"/>
  <c r="K21" s="1"/>
  <c r="BG20"/>
  <c r="BI20" s="1"/>
  <c r="BB20"/>
  <c r="N20"/>
  <c r="O20" s="1"/>
  <c r="I20"/>
  <c r="K20" s="1"/>
  <c r="BO19"/>
  <c r="BG19"/>
  <c r="BI19" s="1"/>
  <c r="BB19"/>
  <c r="N19"/>
  <c r="O19" s="1"/>
  <c r="I19"/>
  <c r="K19" s="1"/>
  <c r="BG18"/>
  <c r="BI18" s="1"/>
  <c r="BB18"/>
  <c r="N18"/>
  <c r="O18" s="1"/>
  <c r="I18"/>
  <c r="K18" s="1"/>
  <c r="BO17"/>
  <c r="BG17"/>
  <c r="BI17" s="1"/>
  <c r="BB17"/>
  <c r="N17"/>
  <c r="O17" s="1"/>
  <c r="I17"/>
  <c r="K17" s="1"/>
  <c r="BG16"/>
  <c r="BI16" s="1"/>
  <c r="BB16"/>
  <c r="N16"/>
  <c r="O16" s="1"/>
  <c r="I16"/>
  <c r="K16" s="1"/>
  <c r="BO15"/>
  <c r="BG15"/>
  <c r="BI15" s="1"/>
  <c r="BB15"/>
  <c r="Z15"/>
  <c r="AB15" s="1"/>
  <c r="N15"/>
  <c r="O15" s="1"/>
  <c r="I15"/>
  <c r="K15" s="1"/>
  <c r="BG14"/>
  <c r="BI14" s="1"/>
  <c r="BB14"/>
  <c r="N14"/>
  <c r="O14" s="1"/>
  <c r="I14"/>
  <c r="K14" s="1"/>
  <c r="BO13"/>
  <c r="BG13"/>
  <c r="BI13" s="1"/>
  <c r="BB13"/>
  <c r="N13"/>
  <c r="O13" s="1"/>
  <c r="I13"/>
  <c r="K13" s="1"/>
  <c r="BG12"/>
  <c r="BI12" s="1"/>
  <c r="BB12"/>
  <c r="N12"/>
  <c r="O12" s="1"/>
  <c r="I12"/>
  <c r="K12" s="1"/>
  <c r="BO11"/>
  <c r="BG11"/>
  <c r="BI11" s="1"/>
  <c r="BB11"/>
  <c r="N11"/>
  <c r="O11" s="1"/>
  <c r="I11"/>
  <c r="K11" s="1"/>
  <c r="BO10"/>
  <c r="BG10"/>
  <c r="BI10" s="1"/>
  <c r="BB10"/>
  <c r="N10"/>
  <c r="O10" s="1"/>
  <c r="I10"/>
  <c r="K10" s="1"/>
  <c r="BO9"/>
  <c r="BG9"/>
  <c r="BI9" s="1"/>
  <c r="BB9"/>
  <c r="N9"/>
  <c r="O9" s="1"/>
  <c r="I9"/>
  <c r="K9" s="1"/>
  <c r="BL8"/>
  <c r="BM8" s="1"/>
  <c r="R26" i="5" s="1"/>
  <c r="BE8" i="4"/>
  <c r="BG8" s="1"/>
  <c r="R25" i="5" s="1"/>
  <c r="AX8" i="4"/>
  <c r="AZ8" s="1"/>
  <c r="R24" i="5" s="1"/>
  <c r="R23"/>
  <c r="AL8" i="4"/>
  <c r="AN8" s="1"/>
  <c r="R22" i="5" s="1"/>
  <c r="AG8" i="4"/>
  <c r="R21" i="5" s="1"/>
  <c r="X8" i="4"/>
  <c r="U8"/>
  <c r="N8"/>
  <c r="O8" s="1"/>
  <c r="I8"/>
  <c r="K8" s="1"/>
  <c r="BL87" i="1"/>
  <c r="BM87" s="1"/>
  <c r="BO87" s="1"/>
  <c r="BG87"/>
  <c r="BI87" s="1"/>
  <c r="AZ87"/>
  <c r="BB87" s="1"/>
  <c r="AS87"/>
  <c r="AU87" s="1"/>
  <c r="AN87"/>
  <c r="AP87" s="1"/>
  <c r="AG87"/>
  <c r="AI87" s="1"/>
  <c r="N87"/>
  <c r="O87" s="1"/>
  <c r="K87"/>
  <c r="BL86"/>
  <c r="BG86"/>
  <c r="BI86" s="1"/>
  <c r="AZ86"/>
  <c r="BB86" s="1"/>
  <c r="AS86"/>
  <c r="AU86" s="1"/>
  <c r="AN86"/>
  <c r="AP86" s="1"/>
  <c r="AG86"/>
  <c r="AI86" s="1"/>
  <c r="N86"/>
  <c r="O86" s="1"/>
  <c r="K86"/>
  <c r="BL85"/>
  <c r="BM85" s="1"/>
  <c r="BG85"/>
  <c r="BI85" s="1"/>
  <c r="AZ85"/>
  <c r="BB85" s="1"/>
  <c r="AS85"/>
  <c r="AU85" s="1"/>
  <c r="AN85"/>
  <c r="AP85" s="1"/>
  <c r="AG85"/>
  <c r="AI85" s="1"/>
  <c r="N85"/>
  <c r="O85" s="1"/>
  <c r="K85"/>
  <c r="BL84"/>
  <c r="BM84" s="1"/>
  <c r="BO84" s="1"/>
  <c r="BG84"/>
  <c r="BI84" s="1"/>
  <c r="AZ84"/>
  <c r="BB84" s="1"/>
  <c r="AS84"/>
  <c r="AU84" s="1"/>
  <c r="AN84"/>
  <c r="AP84" s="1"/>
  <c r="AG84"/>
  <c r="AI84" s="1"/>
  <c r="N84"/>
  <c r="O84" s="1"/>
  <c r="K84"/>
  <c r="BL83"/>
  <c r="BM83" s="1"/>
  <c r="BO83" s="1"/>
  <c r="BG83"/>
  <c r="BI83" s="1"/>
  <c r="AZ83"/>
  <c r="BB83" s="1"/>
  <c r="AS83"/>
  <c r="AU83" s="1"/>
  <c r="AN83"/>
  <c r="AP83" s="1"/>
  <c r="AG83"/>
  <c r="AI83" s="1"/>
  <c r="N83"/>
  <c r="O83" s="1"/>
  <c r="K83"/>
  <c r="BL82"/>
  <c r="BG82"/>
  <c r="BI82" s="1"/>
  <c r="AZ82"/>
  <c r="BB82" s="1"/>
  <c r="AS82"/>
  <c r="AU82" s="1"/>
  <c r="AN82"/>
  <c r="AP82" s="1"/>
  <c r="AG82"/>
  <c r="AI82" s="1"/>
  <c r="N82"/>
  <c r="O82" s="1"/>
  <c r="K82"/>
  <c r="BL81"/>
  <c r="BG81"/>
  <c r="BI81" s="1"/>
  <c r="AZ81"/>
  <c r="BB81" s="1"/>
  <c r="AS81"/>
  <c r="AU81" s="1"/>
  <c r="AN81"/>
  <c r="AP81" s="1"/>
  <c r="AG81"/>
  <c r="AI81" s="1"/>
  <c r="N81"/>
  <c r="O81" s="1"/>
  <c r="K81"/>
  <c r="BL80"/>
  <c r="BM80" s="1"/>
  <c r="BO80" s="1"/>
  <c r="BG80"/>
  <c r="BI80" s="1"/>
  <c r="AZ80"/>
  <c r="BB80" s="1"/>
  <c r="AS80"/>
  <c r="AU80" s="1"/>
  <c r="AN80"/>
  <c r="AP80" s="1"/>
  <c r="AG80"/>
  <c r="AI80" s="1"/>
  <c r="N80"/>
  <c r="O80" s="1"/>
  <c r="K80"/>
  <c r="BL79"/>
  <c r="BM79" s="1"/>
  <c r="BG79"/>
  <c r="BI79" s="1"/>
  <c r="AZ79"/>
  <c r="BB79" s="1"/>
  <c r="AS79"/>
  <c r="AU79" s="1"/>
  <c r="AN79"/>
  <c r="AP79" s="1"/>
  <c r="AG79"/>
  <c r="AI79" s="1"/>
  <c r="N79"/>
  <c r="O79" s="1"/>
  <c r="K79"/>
  <c r="BL78"/>
  <c r="BG78"/>
  <c r="BI78" s="1"/>
  <c r="AZ78"/>
  <c r="BB78" s="1"/>
  <c r="AS78"/>
  <c r="AU78" s="1"/>
  <c r="AN78"/>
  <c r="AP78" s="1"/>
  <c r="AG78"/>
  <c r="AI78" s="1"/>
  <c r="N78"/>
  <c r="O78" s="1"/>
  <c r="K78"/>
  <c r="BL77"/>
  <c r="BM77" s="1"/>
  <c r="BG77"/>
  <c r="BI77" s="1"/>
  <c r="AZ77"/>
  <c r="BB77" s="1"/>
  <c r="AS77"/>
  <c r="AU77" s="1"/>
  <c r="AN77"/>
  <c r="AP77" s="1"/>
  <c r="AG77"/>
  <c r="AI77" s="1"/>
  <c r="N77"/>
  <c r="O77" s="1"/>
  <c r="K77"/>
  <c r="BL76"/>
  <c r="BM76" s="1"/>
  <c r="BO76" s="1"/>
  <c r="BG76"/>
  <c r="BI76" s="1"/>
  <c r="AZ76"/>
  <c r="BB76" s="1"/>
  <c r="AS76"/>
  <c r="AU76" s="1"/>
  <c r="AN76"/>
  <c r="AP76" s="1"/>
  <c r="AG76"/>
  <c r="AI76" s="1"/>
  <c r="N76"/>
  <c r="O76" s="1"/>
  <c r="K76"/>
  <c r="BL75"/>
  <c r="BM75" s="1"/>
  <c r="BG75"/>
  <c r="BI75" s="1"/>
  <c r="AZ75"/>
  <c r="BB75" s="1"/>
  <c r="AS75"/>
  <c r="AU75" s="1"/>
  <c r="AN75"/>
  <c r="AP75" s="1"/>
  <c r="AG75"/>
  <c r="AI75" s="1"/>
  <c r="N75"/>
  <c r="O75" s="1"/>
  <c r="K75"/>
  <c r="BL74"/>
  <c r="BG74"/>
  <c r="BI74" s="1"/>
  <c r="AZ74"/>
  <c r="BB74" s="1"/>
  <c r="AS74"/>
  <c r="AU74" s="1"/>
  <c r="AN74"/>
  <c r="AP74" s="1"/>
  <c r="AG74"/>
  <c r="AI74" s="1"/>
  <c r="N74"/>
  <c r="O74" s="1"/>
  <c r="K74"/>
  <c r="BL73"/>
  <c r="BM73" s="1"/>
  <c r="BO73" s="1"/>
  <c r="BG73"/>
  <c r="BI73" s="1"/>
  <c r="AZ73"/>
  <c r="BB73" s="1"/>
  <c r="AS73"/>
  <c r="AU73" s="1"/>
  <c r="AN73"/>
  <c r="AP73" s="1"/>
  <c r="AG73"/>
  <c r="AI73" s="1"/>
  <c r="N73"/>
  <c r="O73" s="1"/>
  <c r="K73"/>
  <c r="BL72"/>
  <c r="BM72" s="1"/>
  <c r="BO72" s="1"/>
  <c r="BG72"/>
  <c r="BI72" s="1"/>
  <c r="AZ72"/>
  <c r="BB72" s="1"/>
  <c r="AS72"/>
  <c r="AU72" s="1"/>
  <c r="AN72"/>
  <c r="AP72" s="1"/>
  <c r="AG72"/>
  <c r="AI72" s="1"/>
  <c r="N72"/>
  <c r="O72" s="1"/>
  <c r="K72"/>
  <c r="BL71"/>
  <c r="BM71" s="1"/>
  <c r="BO71" s="1"/>
  <c r="BG71"/>
  <c r="BI71" s="1"/>
  <c r="AZ71"/>
  <c r="BB71" s="1"/>
  <c r="AS71"/>
  <c r="AU71" s="1"/>
  <c r="AN71"/>
  <c r="AP71" s="1"/>
  <c r="AG71"/>
  <c r="AI71" s="1"/>
  <c r="N71"/>
  <c r="O71" s="1"/>
  <c r="K71"/>
  <c r="BL70"/>
  <c r="BG70"/>
  <c r="BI70" s="1"/>
  <c r="AZ70"/>
  <c r="BB70" s="1"/>
  <c r="AS70"/>
  <c r="AU70" s="1"/>
  <c r="AN70"/>
  <c r="AP70" s="1"/>
  <c r="AG70"/>
  <c r="AI70" s="1"/>
  <c r="N70"/>
  <c r="O70" s="1"/>
  <c r="K70"/>
  <c r="BL69"/>
  <c r="BM69" s="1"/>
  <c r="BG69"/>
  <c r="BI69" s="1"/>
  <c r="AZ69"/>
  <c r="BB69" s="1"/>
  <c r="AS69"/>
  <c r="AU69" s="1"/>
  <c r="AN69"/>
  <c r="AP69" s="1"/>
  <c r="AG69"/>
  <c r="AI69" s="1"/>
  <c r="N69"/>
  <c r="O69" s="1"/>
  <c r="K69"/>
  <c r="BL68"/>
  <c r="BM68" s="1"/>
  <c r="BO68" s="1"/>
  <c r="BG68"/>
  <c r="BI68" s="1"/>
  <c r="AZ68"/>
  <c r="BB68" s="1"/>
  <c r="AS68"/>
  <c r="AU68" s="1"/>
  <c r="AN68"/>
  <c r="AP68" s="1"/>
  <c r="AG68"/>
  <c r="AI68" s="1"/>
  <c r="N68"/>
  <c r="O68" s="1"/>
  <c r="K68"/>
  <c r="BL67"/>
  <c r="BM67" s="1"/>
  <c r="BG67"/>
  <c r="BI67" s="1"/>
  <c r="AZ67"/>
  <c r="BB67" s="1"/>
  <c r="AS67"/>
  <c r="AU67" s="1"/>
  <c r="AN67"/>
  <c r="AP67" s="1"/>
  <c r="AG67"/>
  <c r="AI67" s="1"/>
  <c r="N67"/>
  <c r="O67" s="1"/>
  <c r="K67"/>
  <c r="BL66"/>
  <c r="BM66" s="1"/>
  <c r="BG66"/>
  <c r="BI66" s="1"/>
  <c r="AZ66"/>
  <c r="BB66" s="1"/>
  <c r="AS66"/>
  <c r="AU66" s="1"/>
  <c r="AN66"/>
  <c r="AP66" s="1"/>
  <c r="AG66"/>
  <c r="AI66" s="1"/>
  <c r="N66"/>
  <c r="O66" s="1"/>
  <c r="K66"/>
  <c r="BL65"/>
  <c r="BM65" s="1"/>
  <c r="BG65"/>
  <c r="BI65" s="1"/>
  <c r="AZ65"/>
  <c r="BB65" s="1"/>
  <c r="AS65"/>
  <c r="AU65" s="1"/>
  <c r="AN65"/>
  <c r="AP65" s="1"/>
  <c r="AG65"/>
  <c r="AI65" s="1"/>
  <c r="N65"/>
  <c r="O65" s="1"/>
  <c r="K65"/>
  <c r="BL64"/>
  <c r="BM64" s="1"/>
  <c r="BO64" s="1"/>
  <c r="BG64"/>
  <c r="BI64" s="1"/>
  <c r="AZ64"/>
  <c r="BB64" s="1"/>
  <c r="AS64"/>
  <c r="AU64" s="1"/>
  <c r="AN64"/>
  <c r="AP64" s="1"/>
  <c r="AG64"/>
  <c r="AI64" s="1"/>
  <c r="N64"/>
  <c r="O64" s="1"/>
  <c r="K64"/>
  <c r="BL63"/>
  <c r="BM63" s="1"/>
  <c r="BG63"/>
  <c r="BI63" s="1"/>
  <c r="AZ63"/>
  <c r="BB63" s="1"/>
  <c r="AS63"/>
  <c r="AU63" s="1"/>
  <c r="AN63"/>
  <c r="AP63" s="1"/>
  <c r="AG63"/>
  <c r="AI63" s="1"/>
  <c r="Y63"/>
  <c r="Z63" s="1"/>
  <c r="AB63" s="1"/>
  <c r="N63"/>
  <c r="O63" s="1"/>
  <c r="K63"/>
  <c r="BL62"/>
  <c r="BM62" s="1"/>
  <c r="BG62"/>
  <c r="BI62" s="1"/>
  <c r="AZ62"/>
  <c r="BB62" s="1"/>
  <c r="AS62"/>
  <c r="AU62" s="1"/>
  <c r="AN62"/>
  <c r="AP62" s="1"/>
  <c r="AG62"/>
  <c r="AI62" s="1"/>
  <c r="N62"/>
  <c r="O62" s="1"/>
  <c r="K62"/>
  <c r="BL61"/>
  <c r="BM61" s="1"/>
  <c r="BG61"/>
  <c r="BI61" s="1"/>
  <c r="AZ61"/>
  <c r="BB61" s="1"/>
  <c r="AS61"/>
  <c r="AU61" s="1"/>
  <c r="AN61"/>
  <c r="AP61" s="1"/>
  <c r="AG61"/>
  <c r="AI61" s="1"/>
  <c r="Y61"/>
  <c r="Z61" s="1"/>
  <c r="AB61" s="1"/>
  <c r="N61"/>
  <c r="O61" s="1"/>
  <c r="K61"/>
  <c r="BL60"/>
  <c r="BM60" s="1"/>
  <c r="BO60" s="1"/>
  <c r="BG60"/>
  <c r="BI60" s="1"/>
  <c r="AZ60"/>
  <c r="BB60" s="1"/>
  <c r="AS60"/>
  <c r="AU60" s="1"/>
  <c r="AN60"/>
  <c r="AP60" s="1"/>
  <c r="AG60"/>
  <c r="AI60" s="1"/>
  <c r="N60"/>
  <c r="O60" s="1"/>
  <c r="K60"/>
  <c r="BL59"/>
  <c r="BM59" s="1"/>
  <c r="BG59"/>
  <c r="BI59" s="1"/>
  <c r="AZ59"/>
  <c r="BB59" s="1"/>
  <c r="AS59"/>
  <c r="AU59" s="1"/>
  <c r="AN59"/>
  <c r="AP59" s="1"/>
  <c r="AG59"/>
  <c r="AI59" s="1"/>
  <c r="N59"/>
  <c r="O59" s="1"/>
  <c r="K59"/>
  <c r="BL58"/>
  <c r="BM58" s="1"/>
  <c r="BG58"/>
  <c r="BI58" s="1"/>
  <c r="AZ58"/>
  <c r="BB58" s="1"/>
  <c r="AS58"/>
  <c r="AU58" s="1"/>
  <c r="AN58"/>
  <c r="AP58" s="1"/>
  <c r="AG58"/>
  <c r="AI58" s="1"/>
  <c r="N58"/>
  <c r="O58" s="1"/>
  <c r="K58"/>
  <c r="BL57"/>
  <c r="BM57" s="1"/>
  <c r="BG57"/>
  <c r="BI57" s="1"/>
  <c r="AZ57"/>
  <c r="BB57" s="1"/>
  <c r="AS57"/>
  <c r="AU57" s="1"/>
  <c r="AN57"/>
  <c r="AP57" s="1"/>
  <c r="AG57"/>
  <c r="AI57" s="1"/>
  <c r="N57"/>
  <c r="O57" s="1"/>
  <c r="K57"/>
  <c r="BL56"/>
  <c r="BM56" s="1"/>
  <c r="BO56" s="1"/>
  <c r="BG56"/>
  <c r="BI56" s="1"/>
  <c r="AZ56"/>
  <c r="BB56" s="1"/>
  <c r="AS56"/>
  <c r="AU56" s="1"/>
  <c r="AN56"/>
  <c r="AP56" s="1"/>
  <c r="AG56"/>
  <c r="AI56" s="1"/>
  <c r="N56"/>
  <c r="O56" s="1"/>
  <c r="K56"/>
  <c r="BL55"/>
  <c r="BM55" s="1"/>
  <c r="BO55" s="1"/>
  <c r="BG55"/>
  <c r="BI55" s="1"/>
  <c r="AZ55"/>
  <c r="BB55" s="1"/>
  <c r="AS55"/>
  <c r="AU55" s="1"/>
  <c r="AN55"/>
  <c r="AP55" s="1"/>
  <c r="AG55"/>
  <c r="AI55" s="1"/>
  <c r="N55"/>
  <c r="O55" s="1"/>
  <c r="K55"/>
  <c r="BL54"/>
  <c r="BG54"/>
  <c r="BI54" s="1"/>
  <c r="AZ54"/>
  <c r="BB54" s="1"/>
  <c r="AS54"/>
  <c r="AU54" s="1"/>
  <c r="AN54"/>
  <c r="AP54" s="1"/>
  <c r="AG54"/>
  <c r="AI54" s="1"/>
  <c r="N54"/>
  <c r="O54" s="1"/>
  <c r="K54"/>
  <c r="BL53"/>
  <c r="BM53" s="1"/>
  <c r="BO53" s="1"/>
  <c r="BG53"/>
  <c r="BI53" s="1"/>
  <c r="AZ53"/>
  <c r="BB53" s="1"/>
  <c r="AS53"/>
  <c r="AU53" s="1"/>
  <c r="AN53"/>
  <c r="AP53" s="1"/>
  <c r="AG53"/>
  <c r="AI53" s="1"/>
  <c r="N53"/>
  <c r="O53" s="1"/>
  <c r="K53"/>
  <c r="BL52"/>
  <c r="BM52" s="1"/>
  <c r="BO52" s="1"/>
  <c r="BG52"/>
  <c r="BI52" s="1"/>
  <c r="AZ52"/>
  <c r="BB52" s="1"/>
  <c r="AS52"/>
  <c r="AU52" s="1"/>
  <c r="AN52"/>
  <c r="AP52" s="1"/>
  <c r="AG52"/>
  <c r="AI52" s="1"/>
  <c r="N52"/>
  <c r="O52" s="1"/>
  <c r="K52"/>
  <c r="BL51"/>
  <c r="BM51" s="1"/>
  <c r="BO51" s="1"/>
  <c r="BG51"/>
  <c r="BI51" s="1"/>
  <c r="AZ51"/>
  <c r="BB51" s="1"/>
  <c r="AS51"/>
  <c r="AU51" s="1"/>
  <c r="AN51"/>
  <c r="AP51" s="1"/>
  <c r="AG51"/>
  <c r="AI51" s="1"/>
  <c r="N51"/>
  <c r="O51" s="1"/>
  <c r="K51"/>
  <c r="BL50"/>
  <c r="BM50" s="1"/>
  <c r="BG50"/>
  <c r="BI50" s="1"/>
  <c r="AZ50"/>
  <c r="BB50" s="1"/>
  <c r="AS50"/>
  <c r="AU50" s="1"/>
  <c r="AN50"/>
  <c r="AP50" s="1"/>
  <c r="AG50"/>
  <c r="AI50" s="1"/>
  <c r="N50"/>
  <c r="O50" s="1"/>
  <c r="K50"/>
  <c r="BL49"/>
  <c r="BM49" s="1"/>
  <c r="BG49"/>
  <c r="BI49" s="1"/>
  <c r="AZ49"/>
  <c r="BB49" s="1"/>
  <c r="AS49"/>
  <c r="AU49" s="1"/>
  <c r="AN49"/>
  <c r="AP49" s="1"/>
  <c r="AG49"/>
  <c r="AI49" s="1"/>
  <c r="N49"/>
  <c r="O49" s="1"/>
  <c r="K49"/>
  <c r="BL48"/>
  <c r="BM48" s="1"/>
  <c r="BO48" s="1"/>
  <c r="BG48"/>
  <c r="BI48" s="1"/>
  <c r="AZ48"/>
  <c r="BB48" s="1"/>
  <c r="AS48"/>
  <c r="AU48" s="1"/>
  <c r="AN48"/>
  <c r="AP48" s="1"/>
  <c r="AG48"/>
  <c r="AI48" s="1"/>
  <c r="Y48"/>
  <c r="Z48" s="1"/>
  <c r="AB48" s="1"/>
  <c r="N48"/>
  <c r="O48" s="1"/>
  <c r="K48"/>
  <c r="BL47"/>
  <c r="BG47"/>
  <c r="BI47" s="1"/>
  <c r="AZ47"/>
  <c r="BB47" s="1"/>
  <c r="AS47"/>
  <c r="AU47" s="1"/>
  <c r="AN47"/>
  <c r="AP47" s="1"/>
  <c r="AG47"/>
  <c r="AI47" s="1"/>
  <c r="X47"/>
  <c r="N47"/>
  <c r="O47" s="1"/>
  <c r="K47"/>
  <c r="BL46"/>
  <c r="BM46" s="1"/>
  <c r="BO46" s="1"/>
  <c r="BG46"/>
  <c r="BI46" s="1"/>
  <c r="AZ46"/>
  <c r="BB46" s="1"/>
  <c r="AS46"/>
  <c r="AU46" s="1"/>
  <c r="AN46"/>
  <c r="AP46" s="1"/>
  <c r="AG46"/>
  <c r="AI46" s="1"/>
  <c r="X46"/>
  <c r="N46"/>
  <c r="O46" s="1"/>
  <c r="K46"/>
  <c r="BL45"/>
  <c r="BM45" s="1"/>
  <c r="BO45" s="1"/>
  <c r="BG45"/>
  <c r="BI45" s="1"/>
  <c r="AZ45"/>
  <c r="BB45" s="1"/>
  <c r="AS45"/>
  <c r="AU45" s="1"/>
  <c r="AN45"/>
  <c r="AP45" s="1"/>
  <c r="AG45"/>
  <c r="AI45" s="1"/>
  <c r="X45"/>
  <c r="N45"/>
  <c r="O45" s="1"/>
  <c r="K45"/>
  <c r="BL44"/>
  <c r="BM44" s="1"/>
  <c r="BO44" s="1"/>
  <c r="BG44"/>
  <c r="BI44" s="1"/>
  <c r="AZ44"/>
  <c r="BB44" s="1"/>
  <c r="AS44"/>
  <c r="AU44" s="1"/>
  <c r="AN44"/>
  <c r="AP44" s="1"/>
  <c r="AG44"/>
  <c r="AI44" s="1"/>
  <c r="X44"/>
  <c r="N44"/>
  <c r="O44" s="1"/>
  <c r="K44"/>
  <c r="BL43"/>
  <c r="BM43" s="1"/>
  <c r="BG43"/>
  <c r="BI43" s="1"/>
  <c r="AZ43"/>
  <c r="BB43" s="1"/>
  <c r="AS43"/>
  <c r="AU43" s="1"/>
  <c r="AN43"/>
  <c r="AP43" s="1"/>
  <c r="AG43"/>
  <c r="AI43" s="1"/>
  <c r="X43"/>
  <c r="N43"/>
  <c r="O43" s="1"/>
  <c r="K43"/>
  <c r="BL42"/>
  <c r="BM42" s="1"/>
  <c r="BG42"/>
  <c r="BI42" s="1"/>
  <c r="AZ42"/>
  <c r="BB42" s="1"/>
  <c r="AS42"/>
  <c r="AU42" s="1"/>
  <c r="AN42"/>
  <c r="AP42" s="1"/>
  <c r="AG42"/>
  <c r="AI42" s="1"/>
  <c r="X42"/>
  <c r="N42"/>
  <c r="O42" s="1"/>
  <c r="K42"/>
  <c r="BL41"/>
  <c r="BM41" s="1"/>
  <c r="BO41" s="1"/>
  <c r="BG41"/>
  <c r="BI41" s="1"/>
  <c r="AZ41"/>
  <c r="BB41" s="1"/>
  <c r="AS41"/>
  <c r="AU41" s="1"/>
  <c r="AN41"/>
  <c r="AP41" s="1"/>
  <c r="AG41"/>
  <c r="AI41" s="1"/>
  <c r="X41"/>
  <c r="N41"/>
  <c r="O41" s="1"/>
  <c r="K41"/>
  <c r="BL40"/>
  <c r="BM40" s="1"/>
  <c r="BG40"/>
  <c r="BI40" s="1"/>
  <c r="AZ40"/>
  <c r="BB40" s="1"/>
  <c r="AS40"/>
  <c r="AU40" s="1"/>
  <c r="AN40"/>
  <c r="AP40" s="1"/>
  <c r="AG40"/>
  <c r="AI40" s="1"/>
  <c r="X40"/>
  <c r="N40"/>
  <c r="O40" s="1"/>
  <c r="K40"/>
  <c r="BL39"/>
  <c r="BM39" s="1"/>
  <c r="BG39"/>
  <c r="BI39" s="1"/>
  <c r="AZ39"/>
  <c r="BB39" s="1"/>
  <c r="AS39"/>
  <c r="AU39" s="1"/>
  <c r="AN39"/>
  <c r="AP39" s="1"/>
  <c r="AG39"/>
  <c r="AI39" s="1"/>
  <c r="X39"/>
  <c r="N39"/>
  <c r="O39" s="1"/>
  <c r="K39"/>
  <c r="BL38"/>
  <c r="BM38" s="1"/>
  <c r="BG38"/>
  <c r="BI38" s="1"/>
  <c r="AZ38"/>
  <c r="BB38" s="1"/>
  <c r="AS38"/>
  <c r="AU38" s="1"/>
  <c r="AN38"/>
  <c r="AP38" s="1"/>
  <c r="AG38"/>
  <c r="AI38" s="1"/>
  <c r="X38"/>
  <c r="N38"/>
  <c r="O38" s="1"/>
  <c r="K38"/>
  <c r="BL37"/>
  <c r="BM37" s="1"/>
  <c r="BO37" s="1"/>
  <c r="BG37"/>
  <c r="BI37" s="1"/>
  <c r="AZ37"/>
  <c r="BB37" s="1"/>
  <c r="AS37"/>
  <c r="AU37" s="1"/>
  <c r="AN37"/>
  <c r="AP37" s="1"/>
  <c r="AG37"/>
  <c r="AI37" s="1"/>
  <c r="X37"/>
  <c r="N37"/>
  <c r="O37" s="1"/>
  <c r="K37"/>
  <c r="BL36"/>
  <c r="BM36" s="1"/>
  <c r="BG36"/>
  <c r="BI36" s="1"/>
  <c r="AZ36"/>
  <c r="BB36" s="1"/>
  <c r="AS36"/>
  <c r="AU36" s="1"/>
  <c r="AN36"/>
  <c r="AP36" s="1"/>
  <c r="AG36"/>
  <c r="AI36" s="1"/>
  <c r="X36"/>
  <c r="N36"/>
  <c r="O36" s="1"/>
  <c r="K36"/>
  <c r="BL35"/>
  <c r="BM35" s="1"/>
  <c r="BG35"/>
  <c r="BI35" s="1"/>
  <c r="AZ35"/>
  <c r="BB35" s="1"/>
  <c r="AS35"/>
  <c r="AU35" s="1"/>
  <c r="AN35"/>
  <c r="AP35" s="1"/>
  <c r="AG35"/>
  <c r="AI35" s="1"/>
  <c r="X35"/>
  <c r="N35"/>
  <c r="O35" s="1"/>
  <c r="K35"/>
  <c r="BL34"/>
  <c r="BM34" s="1"/>
  <c r="BG34"/>
  <c r="BI34" s="1"/>
  <c r="AZ34"/>
  <c r="BB34" s="1"/>
  <c r="AS34"/>
  <c r="AU34" s="1"/>
  <c r="AN34"/>
  <c r="AP34" s="1"/>
  <c r="AG34"/>
  <c r="AI34" s="1"/>
  <c r="X34"/>
  <c r="N34"/>
  <c r="O34" s="1"/>
  <c r="K34"/>
  <c r="BL33"/>
  <c r="BM33" s="1"/>
  <c r="BO33" s="1"/>
  <c r="BG33"/>
  <c r="BI33" s="1"/>
  <c r="AZ33"/>
  <c r="BB33" s="1"/>
  <c r="AS33"/>
  <c r="AU33" s="1"/>
  <c r="AN33"/>
  <c r="AP33" s="1"/>
  <c r="AG33"/>
  <c r="AI33" s="1"/>
  <c r="X33"/>
  <c r="N33"/>
  <c r="O33" s="1"/>
  <c r="K33"/>
  <c r="BL32"/>
  <c r="BM32" s="1"/>
  <c r="BG32"/>
  <c r="BI32" s="1"/>
  <c r="AZ32"/>
  <c r="BB32" s="1"/>
  <c r="AS32"/>
  <c r="AU32" s="1"/>
  <c r="AN32"/>
  <c r="AP32" s="1"/>
  <c r="AG32"/>
  <c r="AI32" s="1"/>
  <c r="X32"/>
  <c r="N32"/>
  <c r="O32" s="1"/>
  <c r="K32"/>
  <c r="BL31"/>
  <c r="BG31"/>
  <c r="BI31" s="1"/>
  <c r="AZ31"/>
  <c r="BB31" s="1"/>
  <c r="AS31"/>
  <c r="AU31" s="1"/>
  <c r="AN31"/>
  <c r="AP31" s="1"/>
  <c r="AG31"/>
  <c r="AI31" s="1"/>
  <c r="X31"/>
  <c r="N31"/>
  <c r="O31" s="1"/>
  <c r="K31"/>
  <c r="BL30"/>
  <c r="BM30" s="1"/>
  <c r="BO30" s="1"/>
  <c r="BG30"/>
  <c r="BI30" s="1"/>
  <c r="AZ30"/>
  <c r="BB30" s="1"/>
  <c r="AS30"/>
  <c r="AU30" s="1"/>
  <c r="AN30"/>
  <c r="AP30" s="1"/>
  <c r="AG30"/>
  <c r="AI30" s="1"/>
  <c r="X30"/>
  <c r="N30"/>
  <c r="O30" s="1"/>
  <c r="K30"/>
  <c r="BL29"/>
  <c r="BM29" s="1"/>
  <c r="BO29" s="1"/>
  <c r="BG29"/>
  <c r="BI29" s="1"/>
  <c r="AZ29"/>
  <c r="BB29" s="1"/>
  <c r="AS29"/>
  <c r="AU29" s="1"/>
  <c r="AN29"/>
  <c r="AP29" s="1"/>
  <c r="AG29"/>
  <c r="AI29" s="1"/>
  <c r="X29"/>
  <c r="N29"/>
  <c r="O29" s="1"/>
  <c r="K29"/>
  <c r="BL28"/>
  <c r="BM28" s="1"/>
  <c r="BO28" s="1"/>
  <c r="BG28"/>
  <c r="BI28" s="1"/>
  <c r="AZ28"/>
  <c r="BB28" s="1"/>
  <c r="AS28"/>
  <c r="AU28" s="1"/>
  <c r="AN28"/>
  <c r="AP28" s="1"/>
  <c r="AG28"/>
  <c r="AI28" s="1"/>
  <c r="X28"/>
  <c r="N28"/>
  <c r="O28" s="1"/>
  <c r="K28"/>
  <c r="BL27"/>
  <c r="BM27" s="1"/>
  <c r="BG27"/>
  <c r="BI27" s="1"/>
  <c r="AZ27"/>
  <c r="BB27" s="1"/>
  <c r="AS27"/>
  <c r="AU27" s="1"/>
  <c r="AN27"/>
  <c r="AP27" s="1"/>
  <c r="AG27"/>
  <c r="AI27" s="1"/>
  <c r="X27"/>
  <c r="N27"/>
  <c r="O27" s="1"/>
  <c r="K27"/>
  <c r="BL26"/>
  <c r="BM26" s="1"/>
  <c r="BG26"/>
  <c r="BI26" s="1"/>
  <c r="AZ26"/>
  <c r="BB26" s="1"/>
  <c r="AS26"/>
  <c r="AU26" s="1"/>
  <c r="AN26"/>
  <c r="AP26" s="1"/>
  <c r="AG26"/>
  <c r="AI26" s="1"/>
  <c r="X26"/>
  <c r="N26"/>
  <c r="O26" s="1"/>
  <c r="K26"/>
  <c r="BM25"/>
  <c r="BO25" s="1"/>
  <c r="BG25"/>
  <c r="BI25" s="1"/>
  <c r="AZ25"/>
  <c r="BB25" s="1"/>
  <c r="AS25"/>
  <c r="AU25" s="1"/>
  <c r="AN25"/>
  <c r="AP25" s="1"/>
  <c r="AG25"/>
  <c r="AI25" s="1"/>
  <c r="X25"/>
  <c r="N25"/>
  <c r="O25" s="1"/>
  <c r="K25"/>
  <c r="BM24"/>
  <c r="BG24"/>
  <c r="BI24" s="1"/>
  <c r="AZ24"/>
  <c r="BB24" s="1"/>
  <c r="AS24"/>
  <c r="AU24" s="1"/>
  <c r="AN24"/>
  <c r="AP24" s="1"/>
  <c r="AG24"/>
  <c r="AI24" s="1"/>
  <c r="X24"/>
  <c r="N24"/>
  <c r="O24" s="1"/>
  <c r="K24"/>
  <c r="BL23"/>
  <c r="BM23" s="1"/>
  <c r="BG23"/>
  <c r="BI23" s="1"/>
  <c r="AZ23"/>
  <c r="BB23" s="1"/>
  <c r="AS23"/>
  <c r="AU23" s="1"/>
  <c r="AN23"/>
  <c r="AP23" s="1"/>
  <c r="AG23"/>
  <c r="AI23" s="1"/>
  <c r="X23"/>
  <c r="N23"/>
  <c r="O23" s="1"/>
  <c r="K23"/>
  <c r="BL22"/>
  <c r="BM22" s="1"/>
  <c r="BG22"/>
  <c r="BI22" s="1"/>
  <c r="AZ22"/>
  <c r="BB22" s="1"/>
  <c r="AS22"/>
  <c r="AU22" s="1"/>
  <c r="AN22"/>
  <c r="AP22" s="1"/>
  <c r="AG22"/>
  <c r="AI22" s="1"/>
  <c r="X22"/>
  <c r="N22"/>
  <c r="O22" s="1"/>
  <c r="K22"/>
  <c r="BL21"/>
  <c r="BM21" s="1"/>
  <c r="BO21" s="1"/>
  <c r="BG21"/>
  <c r="BI21" s="1"/>
  <c r="AZ21"/>
  <c r="BB21" s="1"/>
  <c r="AS21"/>
  <c r="AU21" s="1"/>
  <c r="AN21"/>
  <c r="AP21" s="1"/>
  <c r="AG21"/>
  <c r="AI21" s="1"/>
  <c r="X21"/>
  <c r="N21"/>
  <c r="O21" s="1"/>
  <c r="K21"/>
  <c r="BL20"/>
  <c r="BM20" s="1"/>
  <c r="BG20"/>
  <c r="BI20" s="1"/>
  <c r="AZ20"/>
  <c r="BB20" s="1"/>
  <c r="AS20"/>
  <c r="AU20" s="1"/>
  <c r="AN20"/>
  <c r="AP20" s="1"/>
  <c r="AG20"/>
  <c r="AI20" s="1"/>
  <c r="X20"/>
  <c r="N20"/>
  <c r="O20" s="1"/>
  <c r="K20"/>
  <c r="BL19"/>
  <c r="BM19" s="1"/>
  <c r="BG19"/>
  <c r="BI19" s="1"/>
  <c r="AZ19"/>
  <c r="BB19" s="1"/>
  <c r="AS19"/>
  <c r="AU19" s="1"/>
  <c r="AN19"/>
  <c r="AP19" s="1"/>
  <c r="AG19"/>
  <c r="AI19" s="1"/>
  <c r="X19"/>
  <c r="N19"/>
  <c r="O19" s="1"/>
  <c r="K19"/>
  <c r="BL18"/>
  <c r="BM18" s="1"/>
  <c r="BG18"/>
  <c r="BI18" s="1"/>
  <c r="AZ18"/>
  <c r="BB18" s="1"/>
  <c r="AS18"/>
  <c r="AU18" s="1"/>
  <c r="AN18"/>
  <c r="AP18" s="1"/>
  <c r="AG18"/>
  <c r="AI18" s="1"/>
  <c r="X18"/>
  <c r="N18"/>
  <c r="O18" s="1"/>
  <c r="K18"/>
  <c r="BL17"/>
  <c r="BM17" s="1"/>
  <c r="BO17" s="1"/>
  <c r="BG17"/>
  <c r="BI17" s="1"/>
  <c r="AZ17"/>
  <c r="BB17" s="1"/>
  <c r="AS17"/>
  <c r="AU17" s="1"/>
  <c r="AN17"/>
  <c r="AP17" s="1"/>
  <c r="AG17"/>
  <c r="AI17" s="1"/>
  <c r="X17"/>
  <c r="N17"/>
  <c r="O17" s="1"/>
  <c r="K17"/>
  <c r="BL16"/>
  <c r="BM16" s="1"/>
  <c r="BO16" s="1"/>
  <c r="BG16"/>
  <c r="BI16" s="1"/>
  <c r="AZ16"/>
  <c r="BB16" s="1"/>
  <c r="AS16"/>
  <c r="AU16" s="1"/>
  <c r="AN16"/>
  <c r="AP16" s="1"/>
  <c r="AG16"/>
  <c r="AI16" s="1"/>
  <c r="X16"/>
  <c r="N16"/>
  <c r="O16" s="1"/>
  <c r="K16"/>
  <c r="BL15"/>
  <c r="BM15" s="1"/>
  <c r="BG15"/>
  <c r="BI15" s="1"/>
  <c r="AZ15"/>
  <c r="BB15" s="1"/>
  <c r="AS15"/>
  <c r="AU15" s="1"/>
  <c r="AN15"/>
  <c r="AP15" s="1"/>
  <c r="AG15"/>
  <c r="AI15" s="1"/>
  <c r="X15"/>
  <c r="N15"/>
  <c r="O15" s="1"/>
  <c r="K15"/>
  <c r="BL14"/>
  <c r="BM14" s="1"/>
  <c r="BG14"/>
  <c r="BI14" s="1"/>
  <c r="AZ14"/>
  <c r="BB14" s="1"/>
  <c r="AS14"/>
  <c r="AN14"/>
  <c r="AP14" s="1"/>
  <c r="AG14"/>
  <c r="AI14" s="1"/>
  <c r="X14"/>
  <c r="N14"/>
  <c r="O14" s="1"/>
  <c r="K14"/>
  <c r="BL13"/>
  <c r="BM13" s="1"/>
  <c r="BO13" s="1"/>
  <c r="BG13"/>
  <c r="BI13" s="1"/>
  <c r="AZ13"/>
  <c r="BB13" s="1"/>
  <c r="AS13"/>
  <c r="AU13" s="1"/>
  <c r="AN13"/>
  <c r="AP13" s="1"/>
  <c r="AG13"/>
  <c r="AI13" s="1"/>
  <c r="X13"/>
  <c r="N13"/>
  <c r="O13" s="1"/>
  <c r="K13"/>
  <c r="BL12"/>
  <c r="BM12" s="1"/>
  <c r="BG12"/>
  <c r="BI12" s="1"/>
  <c r="AZ12"/>
  <c r="BB12" s="1"/>
  <c r="AS12"/>
  <c r="AU12" s="1"/>
  <c r="AN12"/>
  <c r="AP12" s="1"/>
  <c r="AG12"/>
  <c r="AI12" s="1"/>
  <c r="X12"/>
  <c r="N12"/>
  <c r="O12" s="1"/>
  <c r="K12"/>
  <c r="BL11"/>
  <c r="BG11"/>
  <c r="BI11" s="1"/>
  <c r="AZ11"/>
  <c r="BB11" s="1"/>
  <c r="AS11"/>
  <c r="AU11" s="1"/>
  <c r="AN11"/>
  <c r="AP11" s="1"/>
  <c r="AG11"/>
  <c r="AI11" s="1"/>
  <c r="X11"/>
  <c r="N11"/>
  <c r="O11" s="1"/>
  <c r="K11"/>
  <c r="BL10"/>
  <c r="BM10" s="1"/>
  <c r="BO10" s="1"/>
  <c r="BG10"/>
  <c r="BI10" s="1"/>
  <c r="AZ10"/>
  <c r="BB10" s="1"/>
  <c r="AS10"/>
  <c r="AU10" s="1"/>
  <c r="AN10"/>
  <c r="AP10" s="1"/>
  <c r="AG10"/>
  <c r="AI10" s="1"/>
  <c r="X10"/>
  <c r="Y10" s="1"/>
  <c r="Z10" s="1"/>
  <c r="AB10" s="1"/>
  <c r="N10"/>
  <c r="O10" s="1"/>
  <c r="K10"/>
  <c r="BL9"/>
  <c r="BM9" s="1"/>
  <c r="BO9" s="1"/>
  <c r="BG9"/>
  <c r="BI9" s="1"/>
  <c r="AZ9"/>
  <c r="BB9" s="1"/>
  <c r="AS9"/>
  <c r="AU9" s="1"/>
  <c r="AN9"/>
  <c r="AP9" s="1"/>
  <c r="AG9"/>
  <c r="AI9" s="1"/>
  <c r="X9"/>
  <c r="N9"/>
  <c r="O9" s="1"/>
  <c r="K9"/>
  <c r="BL8"/>
  <c r="BM8" s="1"/>
  <c r="L26" i="5" s="1"/>
  <c r="BG8" i="1"/>
  <c r="L25" i="5" s="1"/>
  <c r="AZ8" i="1"/>
  <c r="L24" i="5" s="1"/>
  <c r="AS8" i="1"/>
  <c r="AN8"/>
  <c r="L22" i="5" s="1"/>
  <c r="AG8" i="1"/>
  <c r="L21" i="5" s="1"/>
  <c r="X8" i="1"/>
  <c r="N8"/>
  <c r="O8" s="1"/>
  <c r="K8"/>
  <c r="AB8" i="3" l="1"/>
  <c r="H19" i="5" s="1"/>
  <c r="BT8" i="3"/>
  <c r="BU8" i="4" s="1"/>
  <c r="P45"/>
  <c r="BI69"/>
  <c r="P41"/>
  <c r="P67"/>
  <c r="P78"/>
  <c r="P40"/>
  <c r="P29"/>
  <c r="P22"/>
  <c r="P80"/>
  <c r="P68"/>
  <c r="P49"/>
  <c r="P16"/>
  <c r="P14"/>
  <c r="BO18"/>
  <c r="P73"/>
  <c r="BT73" s="1"/>
  <c r="BW73" s="1"/>
  <c r="BX73" s="1"/>
  <c r="P55"/>
  <c r="Z59"/>
  <c r="AB59" s="1"/>
  <c r="P62"/>
  <c r="BO62"/>
  <c r="Z68"/>
  <c r="AB68" s="1"/>
  <c r="P79"/>
  <c r="Z10"/>
  <c r="AB10" s="1"/>
  <c r="P27"/>
  <c r="Z38"/>
  <c r="AB38" s="1"/>
  <c r="P60"/>
  <c r="Z85"/>
  <c r="AB85" s="1"/>
  <c r="Z24"/>
  <c r="AB24" s="1"/>
  <c r="P53"/>
  <c r="P69"/>
  <c r="R69" s="1"/>
  <c r="P72"/>
  <c r="Z77"/>
  <c r="AB77" s="1"/>
  <c r="Z9"/>
  <c r="AB9" s="1"/>
  <c r="P39"/>
  <c r="Z52"/>
  <c r="AB52" s="1"/>
  <c r="P59"/>
  <c r="BO70"/>
  <c r="Z75"/>
  <c r="AB75" s="1"/>
  <c r="Z76"/>
  <c r="AB76" s="1"/>
  <c r="P38"/>
  <c r="BT38" s="1"/>
  <c r="BW38" s="1"/>
  <c r="BX38" s="1"/>
  <c r="P85"/>
  <c r="Z20"/>
  <c r="AB20" s="1"/>
  <c r="Z22"/>
  <c r="AB22" s="1"/>
  <c r="P24"/>
  <c r="Z32"/>
  <c r="AB32" s="1"/>
  <c r="Z48"/>
  <c r="AB48" s="1"/>
  <c r="P52"/>
  <c r="BT52" s="1"/>
  <c r="BW52" s="1"/>
  <c r="BX52" s="1"/>
  <c r="Z65"/>
  <c r="AB65" s="1"/>
  <c r="P51"/>
  <c r="Z63"/>
  <c r="AB63" s="1"/>
  <c r="Z64"/>
  <c r="AB64" s="1"/>
  <c r="P76"/>
  <c r="P30"/>
  <c r="P31"/>
  <c r="P32"/>
  <c r="Z44"/>
  <c r="AB44" s="1"/>
  <c r="P50"/>
  <c r="Z56"/>
  <c r="AB56" s="1"/>
  <c r="Z80"/>
  <c r="AB80" s="1"/>
  <c r="P84"/>
  <c r="BT84" s="1"/>
  <c r="BW84" s="1"/>
  <c r="BX84" s="1"/>
  <c r="Y8"/>
  <c r="Z8" s="1"/>
  <c r="R19" i="5" s="1"/>
  <c r="P28" i="4"/>
  <c r="P34"/>
  <c r="P47"/>
  <c r="Z87"/>
  <c r="AB87" s="1"/>
  <c r="P42"/>
  <c r="BT42" s="1"/>
  <c r="BW42" s="1"/>
  <c r="BX42" s="1"/>
  <c r="P43"/>
  <c r="P44"/>
  <c r="P46"/>
  <c r="P64"/>
  <c r="P81"/>
  <c r="BO82"/>
  <c r="Y54" i="1"/>
  <c r="Z54" s="1"/>
  <c r="AB54" s="1"/>
  <c r="Y22"/>
  <c r="Z22" s="1"/>
  <c r="AB22" s="1"/>
  <c r="Y30"/>
  <c r="Z30" s="1"/>
  <c r="AB30" s="1"/>
  <c r="Y16"/>
  <c r="Z16" s="1"/>
  <c r="AB16" s="1"/>
  <c r="Y25"/>
  <c r="Z25" s="1"/>
  <c r="AB25" s="1"/>
  <c r="Y12"/>
  <c r="Z12" s="1"/>
  <c r="AB12" s="1"/>
  <c r="Y79"/>
  <c r="Z79" s="1"/>
  <c r="AB79" s="1"/>
  <c r="Y51"/>
  <c r="Z51" s="1"/>
  <c r="AB51" s="1"/>
  <c r="P19"/>
  <c r="P35"/>
  <c r="P8"/>
  <c r="L17" i="5" s="1"/>
  <c r="BP80" i="3"/>
  <c r="BQ80" s="1"/>
  <c r="BS80" s="1"/>
  <c r="BP19"/>
  <c r="BQ19" s="1"/>
  <c r="BS19" s="1"/>
  <c r="BT82"/>
  <c r="BP79"/>
  <c r="BQ79" s="1"/>
  <c r="BS79" s="1"/>
  <c r="BT74"/>
  <c r="BT72"/>
  <c r="BP68"/>
  <c r="BQ68" s="1"/>
  <c r="BS68" s="1"/>
  <c r="BT53"/>
  <c r="BT50"/>
  <c r="BT41"/>
  <c r="BP28"/>
  <c r="BQ28" s="1"/>
  <c r="BS28" s="1"/>
  <c r="BT28"/>
  <c r="BT16"/>
  <c r="BT54"/>
  <c r="BP64"/>
  <c r="BQ64" s="1"/>
  <c r="BS64" s="1"/>
  <c r="BP60"/>
  <c r="BQ60" s="1"/>
  <c r="BR60" s="1"/>
  <c r="BT84"/>
  <c r="BT40"/>
  <c r="BP36"/>
  <c r="BQ36" s="1"/>
  <c r="BS36" s="1"/>
  <c r="BT35"/>
  <c r="BP32"/>
  <c r="BQ32" s="1"/>
  <c r="BR32" s="1"/>
  <c r="BT59"/>
  <c r="BT55"/>
  <c r="BT26"/>
  <c r="BP24"/>
  <c r="BQ24" s="1"/>
  <c r="BP22"/>
  <c r="BQ22" s="1"/>
  <c r="BS22" s="1"/>
  <c r="BP13"/>
  <c r="BQ13" s="1"/>
  <c r="BS13" s="1"/>
  <c r="F19" i="5"/>
  <c r="F27" s="1"/>
  <c r="R48" i="3"/>
  <c r="BP48" s="1"/>
  <c r="BQ48" s="1"/>
  <c r="BS48" s="1"/>
  <c r="R21"/>
  <c r="BP21" s="1"/>
  <c r="BQ21" s="1"/>
  <c r="BR21" s="1"/>
  <c r="R9"/>
  <c r="BP9" s="1"/>
  <c r="BQ9" s="1"/>
  <c r="R74"/>
  <c r="BP74" s="1"/>
  <c r="BQ74" s="1"/>
  <c r="BS74" s="1"/>
  <c r="R72"/>
  <c r="BP72" s="1"/>
  <c r="BQ72" s="1"/>
  <c r="BR72" s="1"/>
  <c r="R65"/>
  <c r="BP65" s="1"/>
  <c r="BQ65" s="1"/>
  <c r="BS65" s="1"/>
  <c r="R57"/>
  <c r="BP57" s="1"/>
  <c r="BQ57" s="1"/>
  <c r="BS57" s="1"/>
  <c r="X25" i="5"/>
  <c r="R53" i="3"/>
  <c r="BP53" s="1"/>
  <c r="BQ53" s="1"/>
  <c r="BS53" s="1"/>
  <c r="R33"/>
  <c r="BP33" s="1"/>
  <c r="BQ33" s="1"/>
  <c r="BR33" s="1"/>
  <c r="R20"/>
  <c r="BP20" s="1"/>
  <c r="BQ20" s="1"/>
  <c r="BS20" s="1"/>
  <c r="R38"/>
  <c r="BP38" s="1"/>
  <c r="BQ38" s="1"/>
  <c r="BS38" s="1"/>
  <c r="X24" i="5"/>
  <c r="R26" i="3"/>
  <c r="BP26" s="1"/>
  <c r="BQ26" s="1"/>
  <c r="BR26" s="1"/>
  <c r="X21" i="5"/>
  <c r="X22"/>
  <c r="BP12" i="3"/>
  <c r="BQ12" s="1"/>
  <c r="BR12" s="1"/>
  <c r="BT37"/>
  <c r="BT66"/>
  <c r="BT58"/>
  <c r="BT34"/>
  <c r="BT13"/>
  <c r="BT85"/>
  <c r="BP10"/>
  <c r="BQ10" s="1"/>
  <c r="BR10" s="1"/>
  <c r="BT11"/>
  <c r="BT76"/>
  <c r="BT62"/>
  <c r="BT32"/>
  <c r="BT52"/>
  <c r="BT17"/>
  <c r="BT87"/>
  <c r="R49"/>
  <c r="BP49" s="1"/>
  <c r="BQ49" s="1"/>
  <c r="BR49" s="1"/>
  <c r="R62"/>
  <c r="BP62" s="1"/>
  <c r="BQ62" s="1"/>
  <c r="BR62" s="1"/>
  <c r="R58"/>
  <c r="BP58" s="1"/>
  <c r="BQ58" s="1"/>
  <c r="BS58" s="1"/>
  <c r="R84"/>
  <c r="BP84" s="1"/>
  <c r="BQ84" s="1"/>
  <c r="BR84" s="1"/>
  <c r="BT15"/>
  <c r="BU15" i="4" s="1"/>
  <c r="R45" i="3"/>
  <c r="BP45" s="1"/>
  <c r="BQ45" s="1"/>
  <c r="BS45" s="1"/>
  <c r="R87"/>
  <c r="BP87" s="1"/>
  <c r="BQ87" s="1"/>
  <c r="BR87" s="1"/>
  <c r="BT83"/>
  <c r="BT60"/>
  <c r="BT29"/>
  <c r="BT70"/>
  <c r="BT43"/>
  <c r="BT73"/>
  <c r="BT80"/>
  <c r="R16"/>
  <c r="BP16" s="1"/>
  <c r="BQ16" s="1"/>
  <c r="BR16" s="1"/>
  <c r="BN8"/>
  <c r="G26" i="5" s="1"/>
  <c r="BT71" i="3"/>
  <c r="R40"/>
  <c r="BP40" s="1"/>
  <c r="BQ40" s="1"/>
  <c r="BS40" s="1"/>
  <c r="R34"/>
  <c r="BP34" s="1"/>
  <c r="BQ34" s="1"/>
  <c r="BS34" s="1"/>
  <c r="BT77"/>
  <c r="R44"/>
  <c r="BP44" s="1"/>
  <c r="BQ44" s="1"/>
  <c r="BS44" s="1"/>
  <c r="R17"/>
  <c r="BP17" s="1"/>
  <c r="BQ17" s="1"/>
  <c r="BR17" s="1"/>
  <c r="R61"/>
  <c r="BP61" s="1"/>
  <c r="BQ61" s="1"/>
  <c r="BS61" s="1"/>
  <c r="BT64"/>
  <c r="R85"/>
  <c r="BP85" s="1"/>
  <c r="BQ85" s="1"/>
  <c r="BS85" s="1"/>
  <c r="R18"/>
  <c r="BP18" s="1"/>
  <c r="BQ18" s="1"/>
  <c r="BS18" s="1"/>
  <c r="R56"/>
  <c r="BP56" s="1"/>
  <c r="BQ56" s="1"/>
  <c r="BS56" s="1"/>
  <c r="R25"/>
  <c r="BP25" s="1"/>
  <c r="BQ25" s="1"/>
  <c r="BS25" s="1"/>
  <c r="R63"/>
  <c r="BP63" s="1"/>
  <c r="BQ63" s="1"/>
  <c r="BR63" s="1"/>
  <c r="BT36"/>
  <c r="BT12"/>
  <c r="BT19"/>
  <c r="BT24"/>
  <c r="BU24" i="4" s="1"/>
  <c r="BT51" i="3"/>
  <c r="BP14"/>
  <c r="BQ14" s="1"/>
  <c r="BS14" s="1"/>
  <c r="R29"/>
  <c r="BP29" s="1"/>
  <c r="BQ29" s="1"/>
  <c r="BS29" s="1"/>
  <c r="R54"/>
  <c r="BP54" s="1"/>
  <c r="BQ54" s="1"/>
  <c r="BS54" s="1"/>
  <c r="BT86"/>
  <c r="BO23"/>
  <c r="BP23" s="1"/>
  <c r="BQ23" s="1"/>
  <c r="BS23" s="1"/>
  <c r="BT39"/>
  <c r="BT14"/>
  <c r="BT46"/>
  <c r="BT47"/>
  <c r="R37"/>
  <c r="BP37" s="1"/>
  <c r="BQ37" s="1"/>
  <c r="BR37" s="1"/>
  <c r="R78"/>
  <c r="BP78" s="1"/>
  <c r="BQ78" s="1"/>
  <c r="BS78" s="1"/>
  <c r="R69"/>
  <c r="BP69" s="1"/>
  <c r="BQ69" s="1"/>
  <c r="BR69" s="1"/>
  <c r="R82"/>
  <c r="BP82" s="1"/>
  <c r="BQ82" s="1"/>
  <c r="BS82" s="1"/>
  <c r="R50"/>
  <c r="BP50" s="1"/>
  <c r="BQ50" s="1"/>
  <c r="BS50" s="1"/>
  <c r="R81"/>
  <c r="BP81" s="1"/>
  <c r="BQ81" s="1"/>
  <c r="BS81" s="1"/>
  <c r="BT31"/>
  <c r="BT27"/>
  <c r="R41"/>
  <c r="BP41" s="1"/>
  <c r="BQ41" s="1"/>
  <c r="BR41" s="1"/>
  <c r="BT23"/>
  <c r="BT30"/>
  <c r="AA8"/>
  <c r="G19" i="5" s="1"/>
  <c r="BT79" i="3"/>
  <c r="BT10"/>
  <c r="R8"/>
  <c r="H17" i="5" s="1"/>
  <c r="Q8" i="3"/>
  <c r="G17" i="5" s="1"/>
  <c r="Y28" i="1"/>
  <c r="Z28" s="1"/>
  <c r="AB28" s="1"/>
  <c r="Y46"/>
  <c r="Z46" s="1"/>
  <c r="AB46" s="1"/>
  <c r="Y53"/>
  <c r="Z53" s="1"/>
  <c r="AB53" s="1"/>
  <c r="P66"/>
  <c r="R66" s="1"/>
  <c r="BP66" s="1"/>
  <c r="Y67"/>
  <c r="Z67" s="1"/>
  <c r="AB67" s="1"/>
  <c r="Y76"/>
  <c r="Z76" s="1"/>
  <c r="AB76" s="1"/>
  <c r="BO65"/>
  <c r="Y13"/>
  <c r="Z13" s="1"/>
  <c r="AB13" s="1"/>
  <c r="Y33"/>
  <c r="Z33" s="1"/>
  <c r="AB33" s="1"/>
  <c r="Y49"/>
  <c r="Z49" s="1"/>
  <c r="AB49" s="1"/>
  <c r="Y55"/>
  <c r="Z55" s="1"/>
  <c r="AB55" s="1"/>
  <c r="Y69"/>
  <c r="Z69" s="1"/>
  <c r="AB69" s="1"/>
  <c r="BO75"/>
  <c r="Y14"/>
  <c r="Z14" s="1"/>
  <c r="AB14" s="1"/>
  <c r="Y23"/>
  <c r="Z23" s="1"/>
  <c r="AB23" s="1"/>
  <c r="Y34"/>
  <c r="Z34" s="1"/>
  <c r="AB34" s="1"/>
  <c r="Y56"/>
  <c r="Z56" s="1"/>
  <c r="AB56" s="1"/>
  <c r="Y81"/>
  <c r="Z81" s="1"/>
  <c r="AB81" s="1"/>
  <c r="Y83"/>
  <c r="Z83" s="1"/>
  <c r="AB83" s="1"/>
  <c r="Y15"/>
  <c r="Z15" s="1"/>
  <c r="AB15" s="1"/>
  <c r="Y35"/>
  <c r="Z35" s="1"/>
  <c r="AB35" s="1"/>
  <c r="Y64"/>
  <c r="Z64" s="1"/>
  <c r="AB64" s="1"/>
  <c r="Y71"/>
  <c r="Z71" s="1"/>
  <c r="AB71" s="1"/>
  <c r="Y26"/>
  <c r="Z26" s="1"/>
  <c r="AB26" s="1"/>
  <c r="Y36"/>
  <c r="Z36" s="1"/>
  <c r="AB36" s="1"/>
  <c r="Y44"/>
  <c r="Z44" s="1"/>
  <c r="AB44" s="1"/>
  <c r="P64"/>
  <c r="Y75"/>
  <c r="Z75" s="1"/>
  <c r="AB75" s="1"/>
  <c r="Y77"/>
  <c r="Z77" s="1"/>
  <c r="AB77" s="1"/>
  <c r="Y87"/>
  <c r="Z87" s="1"/>
  <c r="AB87" s="1"/>
  <c r="P15"/>
  <c r="Y40"/>
  <c r="Z40" s="1"/>
  <c r="AB40" s="1"/>
  <c r="P71"/>
  <c r="R71" s="1"/>
  <c r="P9"/>
  <c r="BO12"/>
  <c r="BO32"/>
  <c r="BO63"/>
  <c r="Y86"/>
  <c r="Z86" s="1"/>
  <c r="AB86" s="1"/>
  <c r="X26" i="5"/>
  <c r="Y32" i="1"/>
  <c r="Z32" s="1"/>
  <c r="AB32" s="1"/>
  <c r="BO42"/>
  <c r="BO18"/>
  <c r="P39"/>
  <c r="R39" s="1"/>
  <c r="Y47"/>
  <c r="Z47" s="1"/>
  <c r="AB47" s="1"/>
  <c r="Y59"/>
  <c r="Z59" s="1"/>
  <c r="AB59" s="1"/>
  <c r="P63"/>
  <c r="BO85"/>
  <c r="AT8"/>
  <c r="M23" i="5" s="1"/>
  <c r="BO38" i="1"/>
  <c r="Y60"/>
  <c r="Z60" s="1"/>
  <c r="AB60" s="1"/>
  <c r="AU8"/>
  <c r="N23" i="5" s="1"/>
  <c r="L23"/>
  <c r="X23" s="1"/>
  <c r="BO57" i="1"/>
  <c r="P46"/>
  <c r="P65"/>
  <c r="R65" s="1"/>
  <c r="P10"/>
  <c r="Y70"/>
  <c r="Z70" s="1"/>
  <c r="AB70" s="1"/>
  <c r="Y24"/>
  <c r="Z24" s="1"/>
  <c r="AB24" s="1"/>
  <c r="BO36"/>
  <c r="Y43"/>
  <c r="Z43" s="1"/>
  <c r="AB43" s="1"/>
  <c r="Y8"/>
  <c r="Z8" s="1"/>
  <c r="L19" i="5" s="1"/>
  <c r="Y20" i="1"/>
  <c r="Z20" s="1"/>
  <c r="AB20" s="1"/>
  <c r="P44"/>
  <c r="R44" s="1"/>
  <c r="P69"/>
  <c r="R69" s="1"/>
  <c r="P81"/>
  <c r="BM81"/>
  <c r="BO81" s="1"/>
  <c r="H26" i="5"/>
  <c r="P85" i="1"/>
  <c r="P26"/>
  <c r="R26" s="1"/>
  <c r="P57"/>
  <c r="R57" s="1"/>
  <c r="P82" i="4"/>
  <c r="P66"/>
  <c r="P70"/>
  <c r="P22" i="1"/>
  <c r="R22" s="1"/>
  <c r="BO24"/>
  <c r="BO26"/>
  <c r="P45"/>
  <c r="BO49"/>
  <c r="P59"/>
  <c r="R59" s="1"/>
  <c r="P72"/>
  <c r="R72" s="1"/>
  <c r="AU14"/>
  <c r="P16"/>
  <c r="R16" s="1"/>
  <c r="P18"/>
  <c r="P29"/>
  <c r="R29" s="1"/>
  <c r="P36"/>
  <c r="R36" s="1"/>
  <c r="P38"/>
  <c r="R38" s="1"/>
  <c r="Y42"/>
  <c r="Z42" s="1"/>
  <c r="AB42" s="1"/>
  <c r="P52"/>
  <c r="R52" s="1"/>
  <c r="P54"/>
  <c r="Y58"/>
  <c r="Z58" s="1"/>
  <c r="AB58" s="1"/>
  <c r="P84"/>
  <c r="P86"/>
  <c r="BH8"/>
  <c r="M25" i="5" s="1"/>
  <c r="BO58" i="1"/>
  <c r="P13"/>
  <c r="BO15"/>
  <c r="Y17"/>
  <c r="Z17" s="1"/>
  <c r="AB17" s="1"/>
  <c r="P33"/>
  <c r="BO35"/>
  <c r="Y37"/>
  <c r="Z37" s="1"/>
  <c r="AB37" s="1"/>
  <c r="P56"/>
  <c r="R56" s="1"/>
  <c r="Y62"/>
  <c r="Z62" s="1"/>
  <c r="AB62" s="1"/>
  <c r="P76"/>
  <c r="R76" s="1"/>
  <c r="Y78"/>
  <c r="Z78" s="1"/>
  <c r="AB78" s="1"/>
  <c r="P79"/>
  <c r="R79" s="1"/>
  <c r="P20"/>
  <c r="R20" s="1"/>
  <c r="P40"/>
  <c r="R40" s="1"/>
  <c r="P42"/>
  <c r="BO62"/>
  <c r="P67"/>
  <c r="R67" s="1"/>
  <c r="Y73"/>
  <c r="Z73" s="1"/>
  <c r="AB73" s="1"/>
  <c r="Y85"/>
  <c r="Z85" s="1"/>
  <c r="AB85" s="1"/>
  <c r="BA8"/>
  <c r="M24" i="5" s="1"/>
  <c r="Y19" i="1"/>
  <c r="Z19" s="1"/>
  <c r="AB19" s="1"/>
  <c r="P30"/>
  <c r="BO34"/>
  <c r="Y39"/>
  <c r="Z39" s="1"/>
  <c r="AB39" s="1"/>
  <c r="P49"/>
  <c r="P53"/>
  <c r="R53" s="1"/>
  <c r="P60"/>
  <c r="R60" s="1"/>
  <c r="Y66"/>
  <c r="Z66" s="1"/>
  <c r="AB66" s="1"/>
  <c r="P73"/>
  <c r="Y80"/>
  <c r="Z80" s="1"/>
  <c r="AB80" s="1"/>
  <c r="BO14"/>
  <c r="P17"/>
  <c r="R17" s="1"/>
  <c r="BO19"/>
  <c r="Y21"/>
  <c r="Z21" s="1"/>
  <c r="AB21" s="1"/>
  <c r="P24"/>
  <c r="P37"/>
  <c r="BO39"/>
  <c r="Y41"/>
  <c r="Z41" s="1"/>
  <c r="AB41" s="1"/>
  <c r="Y57"/>
  <c r="Z57" s="1"/>
  <c r="AB57" s="1"/>
  <c r="BO59"/>
  <c r="BO61"/>
  <c r="BO66"/>
  <c r="Y68"/>
  <c r="Z68" s="1"/>
  <c r="AB68" s="1"/>
  <c r="BO77"/>
  <c r="BO23"/>
  <c r="P28"/>
  <c r="R28" s="1"/>
  <c r="P51"/>
  <c r="R51" s="1"/>
  <c r="P77"/>
  <c r="R77" s="1"/>
  <c r="P80"/>
  <c r="R80" s="1"/>
  <c r="Y82"/>
  <c r="Z82" s="1"/>
  <c r="AB82" s="1"/>
  <c r="P83"/>
  <c r="P21"/>
  <c r="R21" s="1"/>
  <c r="P23"/>
  <c r="Y27"/>
  <c r="Z27" s="1"/>
  <c r="AB27" s="1"/>
  <c r="P41"/>
  <c r="BO43"/>
  <c r="Y45"/>
  <c r="Z45" s="1"/>
  <c r="AB45" s="1"/>
  <c r="Y50"/>
  <c r="Z50" s="1"/>
  <c r="AB50" s="1"/>
  <c r="P61"/>
  <c r="P68"/>
  <c r="P70"/>
  <c r="Y72"/>
  <c r="Z72" s="1"/>
  <c r="AB72" s="1"/>
  <c r="BO79"/>
  <c r="Y9"/>
  <c r="Z9" s="1"/>
  <c r="AB9" s="1"/>
  <c r="P12"/>
  <c r="Y18"/>
  <c r="Z18" s="1"/>
  <c r="AB18" s="1"/>
  <c r="BO20"/>
  <c r="BO22"/>
  <c r="BO27"/>
  <c r="Y29"/>
  <c r="Z29" s="1"/>
  <c r="AB29" s="1"/>
  <c r="P32"/>
  <c r="R32" s="1"/>
  <c r="P34"/>
  <c r="Y38"/>
  <c r="Z38" s="1"/>
  <c r="AB38" s="1"/>
  <c r="BO40"/>
  <c r="P48"/>
  <c r="BO50"/>
  <c r="Y52"/>
  <c r="Z52" s="1"/>
  <c r="AB52" s="1"/>
  <c r="P55"/>
  <c r="Y65"/>
  <c r="Z65" s="1"/>
  <c r="AB65" s="1"/>
  <c r="BO67"/>
  <c r="BO69"/>
  <c r="Y74"/>
  <c r="Z74" s="1"/>
  <c r="AB74" s="1"/>
  <c r="P75"/>
  <c r="Y84"/>
  <c r="Z84" s="1"/>
  <c r="AB84" s="1"/>
  <c r="P87"/>
  <c r="R87" s="1"/>
  <c r="P14"/>
  <c r="R14" s="1"/>
  <c r="Y11"/>
  <c r="Z11" s="1"/>
  <c r="AB11" s="1"/>
  <c r="BM11"/>
  <c r="BO11" s="1"/>
  <c r="P25"/>
  <c r="Y31"/>
  <c r="Z31" s="1"/>
  <c r="AB31" s="1"/>
  <c r="BM31"/>
  <c r="BO31" s="1"/>
  <c r="BM47"/>
  <c r="BO47" s="1"/>
  <c r="BM54"/>
  <c r="BO54" s="1"/>
  <c r="BM86"/>
  <c r="BO86" s="1"/>
  <c r="R59" i="3"/>
  <c r="BP59" s="1"/>
  <c r="BQ59" s="1"/>
  <c r="BR71"/>
  <c r="BS71"/>
  <c r="BR86"/>
  <c r="BS86"/>
  <c r="BR30"/>
  <c r="BS30"/>
  <c r="R15"/>
  <c r="BP15" s="1"/>
  <c r="BQ15" s="1"/>
  <c r="BY15" i="4" s="1"/>
  <c r="BR52" i="3"/>
  <c r="BS52"/>
  <c r="R75"/>
  <c r="BP75" s="1"/>
  <c r="BQ75" s="1"/>
  <c r="BR76"/>
  <c r="BS76"/>
  <c r="R31"/>
  <c r="BP31" s="1"/>
  <c r="BQ31" s="1"/>
  <c r="R27"/>
  <c r="BP27" s="1"/>
  <c r="BQ27" s="1"/>
  <c r="R43"/>
  <c r="BP43" s="1"/>
  <c r="BQ43" s="1"/>
  <c r="BR73"/>
  <c r="BS73"/>
  <c r="R67"/>
  <c r="BP67" s="1"/>
  <c r="BQ67" s="1"/>
  <c r="BR83"/>
  <c r="BS83"/>
  <c r="BR77"/>
  <c r="BS77"/>
  <c r="BR47"/>
  <c r="BS47"/>
  <c r="BR66"/>
  <c r="BS66"/>
  <c r="BR42"/>
  <c r="BS42"/>
  <c r="BR9"/>
  <c r="BS9"/>
  <c r="R11"/>
  <c r="BP11" s="1"/>
  <c r="BQ11" s="1"/>
  <c r="BR46"/>
  <c r="BS46"/>
  <c r="BR28"/>
  <c r="R35"/>
  <c r="BP35" s="1"/>
  <c r="BQ35" s="1"/>
  <c r="BR51"/>
  <c r="BS51"/>
  <c r="BR70"/>
  <c r="BS70"/>
  <c r="R39"/>
  <c r="BP39" s="1"/>
  <c r="BQ39" s="1"/>
  <c r="R55"/>
  <c r="BP55" s="1"/>
  <c r="BQ55" s="1"/>
  <c r="P48" i="4"/>
  <c r="P12"/>
  <c r="P36"/>
  <c r="P20"/>
  <c r="Z14"/>
  <c r="AB14" s="1"/>
  <c r="Z27"/>
  <c r="AB27" s="1"/>
  <c r="Z30"/>
  <c r="AB30" s="1"/>
  <c r="Z33"/>
  <c r="AB33" s="1"/>
  <c r="BO34"/>
  <c r="Z36"/>
  <c r="AB36" s="1"/>
  <c r="Z39"/>
  <c r="AB39" s="1"/>
  <c r="Z42"/>
  <c r="AB42" s="1"/>
  <c r="Z46"/>
  <c r="AB46" s="1"/>
  <c r="Z50"/>
  <c r="AB50" s="1"/>
  <c r="Z55"/>
  <c r="AB55" s="1"/>
  <c r="P58"/>
  <c r="BT58" s="1"/>
  <c r="BW58" s="1"/>
  <c r="BX58" s="1"/>
  <c r="Z62"/>
  <c r="AB62" s="1"/>
  <c r="Z69"/>
  <c r="AB69" s="1"/>
  <c r="BO74"/>
  <c r="Z81"/>
  <c r="AB81" s="1"/>
  <c r="BO86"/>
  <c r="BO14"/>
  <c r="Z13"/>
  <c r="AB13" s="1"/>
  <c r="Z16"/>
  <c r="AB16" s="1"/>
  <c r="Z19"/>
  <c r="AB19" s="1"/>
  <c r="Z23"/>
  <c r="AB23" s="1"/>
  <c r="Z26"/>
  <c r="AB26" s="1"/>
  <c r="Z29"/>
  <c r="AB29" s="1"/>
  <c r="P33"/>
  <c r="BT33" s="1"/>
  <c r="BW33" s="1"/>
  <c r="BX33" s="1"/>
  <c r="Z41"/>
  <c r="AB41" s="1"/>
  <c r="Z45"/>
  <c r="AB45" s="1"/>
  <c r="Z49"/>
  <c r="AB49" s="1"/>
  <c r="Z57"/>
  <c r="AB57" s="1"/>
  <c r="Z66"/>
  <c r="AB66" s="1"/>
  <c r="Z78"/>
  <c r="AB78" s="1"/>
  <c r="P9"/>
  <c r="BT9" s="1"/>
  <c r="BW9" s="1"/>
  <c r="BX9" s="1"/>
  <c r="Z11"/>
  <c r="AB11" s="1"/>
  <c r="P13"/>
  <c r="P19"/>
  <c r="P23"/>
  <c r="P26"/>
  <c r="BO38"/>
  <c r="Z54"/>
  <c r="AB54" s="1"/>
  <c r="BO54"/>
  <c r="P57"/>
  <c r="Z61"/>
  <c r="AB61" s="1"/>
  <c r="BO8"/>
  <c r="T26" i="5" s="1"/>
  <c r="Z18" i="4"/>
  <c r="AB18" s="1"/>
  <c r="Z21"/>
  <c r="AB21" s="1"/>
  <c r="Z28"/>
  <c r="AB28" s="1"/>
  <c r="Z35"/>
  <c r="AB35" s="1"/>
  <c r="Z40"/>
  <c r="AB40" s="1"/>
  <c r="Z70"/>
  <c r="AB70" s="1"/>
  <c r="Z82"/>
  <c r="AB82" s="1"/>
  <c r="P11"/>
  <c r="BT11" s="1"/>
  <c r="BW11" s="1"/>
  <c r="BX11" s="1"/>
  <c r="P54"/>
  <c r="P61"/>
  <c r="P18"/>
  <c r="P35"/>
  <c r="Z58"/>
  <c r="AB58" s="1"/>
  <c r="AT8"/>
  <c r="S23" i="5" s="1"/>
  <c r="Z12" i="4"/>
  <c r="AB12" s="1"/>
  <c r="Z17"/>
  <c r="AB17" s="1"/>
  <c r="Z31"/>
  <c r="AB31" s="1"/>
  <c r="Z34"/>
  <c r="AB34" s="1"/>
  <c r="P37"/>
  <c r="Z43"/>
  <c r="AB43" s="1"/>
  <c r="Z47"/>
  <c r="AB47" s="1"/>
  <c r="Z51"/>
  <c r="AB51" s="1"/>
  <c r="Z53"/>
  <c r="AB53" s="1"/>
  <c r="P63"/>
  <c r="BT63" s="1"/>
  <c r="BW63" s="1"/>
  <c r="BX63" s="1"/>
  <c r="Z74"/>
  <c r="AB74" s="1"/>
  <c r="Z86"/>
  <c r="AB86" s="1"/>
  <c r="P10"/>
  <c r="BT10" s="1"/>
  <c r="BW10" s="1"/>
  <c r="BX10" s="1"/>
  <c r="P15"/>
  <c r="P56"/>
  <c r="Z60"/>
  <c r="AB60" s="1"/>
  <c r="P65"/>
  <c r="BT65" s="1"/>
  <c r="BW65" s="1"/>
  <c r="BX65" s="1"/>
  <c r="Z67"/>
  <c r="AB67" s="1"/>
  <c r="P74"/>
  <c r="BT74" s="1"/>
  <c r="BW74" s="1"/>
  <c r="BX74" s="1"/>
  <c r="P77"/>
  <c r="BT77" s="1"/>
  <c r="BW77" s="1"/>
  <c r="BX77" s="1"/>
  <c r="Z79"/>
  <c r="AB79" s="1"/>
  <c r="P86"/>
  <c r="BT86" s="1"/>
  <c r="BW86" s="1"/>
  <c r="BX86" s="1"/>
  <c r="AH8"/>
  <c r="S21" i="5" s="1"/>
  <c r="P17" i="4"/>
  <c r="R42"/>
  <c r="R45"/>
  <c r="P71"/>
  <c r="BT71" s="1"/>
  <c r="BW71" s="1"/>
  <c r="BX71" s="1"/>
  <c r="P83"/>
  <c r="BT83" s="1"/>
  <c r="BW83" s="1"/>
  <c r="BX83" s="1"/>
  <c r="P8"/>
  <c r="P25"/>
  <c r="BT25" s="1"/>
  <c r="BW25" s="1"/>
  <c r="BX25" s="1"/>
  <c r="BH8"/>
  <c r="S25" i="5" s="1"/>
  <c r="P21" i="4"/>
  <c r="BT21" s="1"/>
  <c r="BW21" s="1"/>
  <c r="BX21" s="1"/>
  <c r="BA8"/>
  <c r="S24" i="5" s="1"/>
  <c r="BB8" i="4"/>
  <c r="T24" i="5" s="1"/>
  <c r="P75" i="4"/>
  <c r="BT75" s="1"/>
  <c r="BW75" s="1"/>
  <c r="BX75" s="1"/>
  <c r="P87"/>
  <c r="BT87" s="1"/>
  <c r="BW87" s="1"/>
  <c r="BX87" s="1"/>
  <c r="AO8"/>
  <c r="S22" i="5" s="1"/>
  <c r="AP8" i="4"/>
  <c r="T22" i="5" s="1"/>
  <c r="R16" i="4"/>
  <c r="R60"/>
  <c r="BO63"/>
  <c r="BO67"/>
  <c r="BO71"/>
  <c r="BO75"/>
  <c r="BO79"/>
  <c r="BO83"/>
  <c r="BO87"/>
  <c r="AU8"/>
  <c r="BO12"/>
  <c r="BO16"/>
  <c r="BO20"/>
  <c r="BO24"/>
  <c r="BO28"/>
  <c r="BO32"/>
  <c r="BO36"/>
  <c r="BO40"/>
  <c r="BO44"/>
  <c r="BO48"/>
  <c r="BO52"/>
  <c r="BO56"/>
  <c r="BO60"/>
  <c r="BO64"/>
  <c r="BO68"/>
  <c r="BO72"/>
  <c r="BO76"/>
  <c r="BO80"/>
  <c r="BO84"/>
  <c r="BI8"/>
  <c r="T25" i="5" s="1"/>
  <c r="AI8" i="4"/>
  <c r="T21" i="5" s="1"/>
  <c r="P74" i="1"/>
  <c r="R81"/>
  <c r="R46"/>
  <c r="R63"/>
  <c r="P58"/>
  <c r="AO8"/>
  <c r="M22" i="5" s="1"/>
  <c r="AP8" i="1"/>
  <c r="N22" i="5" s="1"/>
  <c r="AH8" i="1"/>
  <c r="M21" i="5" s="1"/>
  <c r="AI8" i="1"/>
  <c r="N21" i="5" s="1"/>
  <c r="P43" i="1"/>
  <c r="P62"/>
  <c r="P78"/>
  <c r="P27"/>
  <c r="R9"/>
  <c r="BO8"/>
  <c r="N26" i="5" s="1"/>
  <c r="R18" i="1"/>
  <c r="P11"/>
  <c r="P31"/>
  <c r="P47"/>
  <c r="R8"/>
  <c r="BO82"/>
  <c r="R33"/>
  <c r="P82"/>
  <c r="R15"/>
  <c r="R35"/>
  <c r="P50"/>
  <c r="BM70"/>
  <c r="BO70" s="1"/>
  <c r="BM74"/>
  <c r="BO74" s="1"/>
  <c r="BM78"/>
  <c r="BO78" s="1"/>
  <c r="BM82"/>
  <c r="BI8"/>
  <c r="N25" i="5" s="1"/>
  <c r="BB8" i="1"/>
  <c r="N24" i="5" s="1"/>
  <c r="BR24" i="3" l="1"/>
  <c r="BY24" i="4"/>
  <c r="BT76"/>
  <c r="BW76" s="1"/>
  <c r="BX76" s="1"/>
  <c r="R76"/>
  <c r="R19"/>
  <c r="BP19" s="1"/>
  <c r="BQ19" s="1"/>
  <c r="CA19" s="1"/>
  <c r="CB19" s="1"/>
  <c r="BT19"/>
  <c r="BW19" s="1"/>
  <c r="BX19" s="1"/>
  <c r="R36"/>
  <c r="BT36"/>
  <c r="BW36" s="1"/>
  <c r="BX36" s="1"/>
  <c r="R51"/>
  <c r="BT51"/>
  <c r="BW51" s="1"/>
  <c r="BX51" s="1"/>
  <c r="BT16"/>
  <c r="BW16" s="1"/>
  <c r="BX16" s="1"/>
  <c r="BT45"/>
  <c r="BW45" s="1"/>
  <c r="BX45" s="1"/>
  <c r="R20"/>
  <c r="BT20"/>
  <c r="BW20" s="1"/>
  <c r="BX20" s="1"/>
  <c r="R28"/>
  <c r="BP28" s="1"/>
  <c r="BQ28" s="1"/>
  <c r="CA28" s="1"/>
  <c r="CB28" s="1"/>
  <c r="BT28"/>
  <c r="BW28" s="1"/>
  <c r="BX28" s="1"/>
  <c r="R14"/>
  <c r="BP14" s="1"/>
  <c r="BQ14" s="1"/>
  <c r="CA14" s="1"/>
  <c r="CB14" s="1"/>
  <c r="BT14"/>
  <c r="BW14" s="1"/>
  <c r="BX14" s="1"/>
  <c r="BT60"/>
  <c r="BW60" s="1"/>
  <c r="BX60" s="1"/>
  <c r="R26"/>
  <c r="BT26"/>
  <c r="BW26" s="1"/>
  <c r="BX26" s="1"/>
  <c r="BT34"/>
  <c r="BW34" s="1"/>
  <c r="BX34" s="1"/>
  <c r="BT69"/>
  <c r="BW69" s="1"/>
  <c r="BX69" s="1"/>
  <c r="R47"/>
  <c r="BT47"/>
  <c r="BW47" s="1"/>
  <c r="BX47" s="1"/>
  <c r="BT41"/>
  <c r="BW41" s="1"/>
  <c r="BX41" s="1"/>
  <c r="R17" i="5"/>
  <c r="R27" s="1"/>
  <c r="BT8" i="4"/>
  <c r="BW8" s="1"/>
  <c r="BX8" s="1"/>
  <c r="R30"/>
  <c r="BP30" s="1"/>
  <c r="BT30"/>
  <c r="BW30" s="1"/>
  <c r="BX30" s="1"/>
  <c r="R85"/>
  <c r="BP85" s="1"/>
  <c r="BQ85" s="1"/>
  <c r="CA85" s="1"/>
  <c r="CB85" s="1"/>
  <c r="BT85"/>
  <c r="BW85" s="1"/>
  <c r="BX85" s="1"/>
  <c r="R53"/>
  <c r="BP53" s="1"/>
  <c r="BQ53" s="1"/>
  <c r="CA53" s="1"/>
  <c r="CB53" s="1"/>
  <c r="BT53"/>
  <c r="BW53" s="1"/>
  <c r="BX53" s="1"/>
  <c r="R55"/>
  <c r="BP55" s="1"/>
  <c r="BQ55" s="1"/>
  <c r="CA55" s="1"/>
  <c r="CB55" s="1"/>
  <c r="BT55"/>
  <c r="BW55" s="1"/>
  <c r="BX55" s="1"/>
  <c r="R67"/>
  <c r="BT67"/>
  <c r="BW67" s="1"/>
  <c r="BX67" s="1"/>
  <c r="R23"/>
  <c r="BP23" s="1"/>
  <c r="BQ23" s="1"/>
  <c r="CA23" s="1"/>
  <c r="CB23" s="1"/>
  <c r="BT23"/>
  <c r="BW23" s="1"/>
  <c r="BX23" s="1"/>
  <c r="R54"/>
  <c r="BP54" s="1"/>
  <c r="BQ54" s="1"/>
  <c r="CA54" s="1"/>
  <c r="CB54" s="1"/>
  <c r="BT54"/>
  <c r="BW54" s="1"/>
  <c r="BX54" s="1"/>
  <c r="R31"/>
  <c r="BP31" s="1"/>
  <c r="BQ31" s="1"/>
  <c r="CA31" s="1"/>
  <c r="CB31" s="1"/>
  <c r="BT31"/>
  <c r="BW31" s="1"/>
  <c r="BX31" s="1"/>
  <c r="R78"/>
  <c r="BP78" s="1"/>
  <c r="BQ78" s="1"/>
  <c r="CA78" s="1"/>
  <c r="CB78" s="1"/>
  <c r="BT78"/>
  <c r="BW78" s="1"/>
  <c r="BX78" s="1"/>
  <c r="R61"/>
  <c r="BP61" s="1"/>
  <c r="BQ61" s="1"/>
  <c r="CA61" s="1"/>
  <c r="CB61" s="1"/>
  <c r="BT61"/>
  <c r="BW61" s="1"/>
  <c r="BX61" s="1"/>
  <c r="R57"/>
  <c r="BT57"/>
  <c r="BW57" s="1"/>
  <c r="BX57" s="1"/>
  <c r="R43"/>
  <c r="BP43" s="1"/>
  <c r="BQ43" s="1"/>
  <c r="CA43" s="1"/>
  <c r="CB43" s="1"/>
  <c r="BT43"/>
  <c r="BW43" s="1"/>
  <c r="BX43" s="1"/>
  <c r="R32"/>
  <c r="BP32" s="1"/>
  <c r="BQ32" s="1"/>
  <c r="CA32" s="1"/>
  <c r="CB32" s="1"/>
  <c r="BT32"/>
  <c r="BW32" s="1"/>
  <c r="BX32" s="1"/>
  <c r="R72"/>
  <c r="BP72" s="1"/>
  <c r="BQ72" s="1"/>
  <c r="CA72" s="1"/>
  <c r="CB72" s="1"/>
  <c r="BT72"/>
  <c r="BW72" s="1"/>
  <c r="BX72" s="1"/>
  <c r="R62"/>
  <c r="BP62" s="1"/>
  <c r="BT62"/>
  <c r="BW62" s="1"/>
  <c r="BX62" s="1"/>
  <c r="BT40"/>
  <c r="BW40" s="1"/>
  <c r="BX40" s="1"/>
  <c r="R56"/>
  <c r="BT56"/>
  <c r="BW56" s="1"/>
  <c r="BX56" s="1"/>
  <c r="R37"/>
  <c r="BT37"/>
  <c r="BW37" s="1"/>
  <c r="BX37" s="1"/>
  <c r="R18"/>
  <c r="BT18"/>
  <c r="BW18" s="1"/>
  <c r="BX18" s="1"/>
  <c r="R44"/>
  <c r="BP44" s="1"/>
  <c r="BQ44" s="1"/>
  <c r="CA44" s="1"/>
  <c r="CB44" s="1"/>
  <c r="BT44"/>
  <c r="BW44" s="1"/>
  <c r="BX44" s="1"/>
  <c r="BT82"/>
  <c r="BW82" s="1"/>
  <c r="BX82" s="1"/>
  <c r="BT24"/>
  <c r="BW24" s="1"/>
  <c r="BX24" s="1"/>
  <c r="BT29"/>
  <c r="BW29" s="1"/>
  <c r="BX29" s="1"/>
  <c r="R35"/>
  <c r="BP35" s="1"/>
  <c r="BT35"/>
  <c r="BW35" s="1"/>
  <c r="BX35" s="1"/>
  <c r="R66"/>
  <c r="BT66"/>
  <c r="BW66" s="1"/>
  <c r="BX66" s="1"/>
  <c r="R46"/>
  <c r="BP46" s="1"/>
  <c r="BQ46" s="1"/>
  <c r="CA46" s="1"/>
  <c r="CB46" s="1"/>
  <c r="BT46"/>
  <c r="BW46" s="1"/>
  <c r="BX46" s="1"/>
  <c r="R22"/>
  <c r="BP22" s="1"/>
  <c r="BQ22" s="1"/>
  <c r="CA22" s="1"/>
  <c r="CB22" s="1"/>
  <c r="BT22"/>
  <c r="BW22" s="1"/>
  <c r="BX22" s="1"/>
  <c r="BT50"/>
  <c r="BW50" s="1"/>
  <c r="BX50" s="1"/>
  <c r="R70"/>
  <c r="BP70" s="1"/>
  <c r="BQ70" s="1"/>
  <c r="CA70" s="1"/>
  <c r="CB70" s="1"/>
  <c r="BT70"/>
  <c r="BW70" s="1"/>
  <c r="BX70" s="1"/>
  <c r="R39"/>
  <c r="BT39"/>
  <c r="BW39" s="1"/>
  <c r="BX39" s="1"/>
  <c r="R79"/>
  <c r="BT79"/>
  <c r="BW79" s="1"/>
  <c r="BX79" s="1"/>
  <c r="R80"/>
  <c r="BT80"/>
  <c r="BW80" s="1"/>
  <c r="BX80" s="1"/>
  <c r="BT64"/>
  <c r="BW64" s="1"/>
  <c r="BX64" s="1"/>
  <c r="R15"/>
  <c r="BP15" s="1"/>
  <c r="BQ15" s="1"/>
  <c r="CA15" s="1"/>
  <c r="CB15" s="1"/>
  <c r="BT15"/>
  <c r="BW15" s="1"/>
  <c r="BX15" s="1"/>
  <c r="R48"/>
  <c r="BP48" s="1"/>
  <c r="BQ48" s="1"/>
  <c r="CA48" s="1"/>
  <c r="CB48" s="1"/>
  <c r="BT48"/>
  <c r="BW48" s="1"/>
  <c r="BX48" s="1"/>
  <c r="R81"/>
  <c r="BT81"/>
  <c r="BW81" s="1"/>
  <c r="BX81" s="1"/>
  <c r="R68"/>
  <c r="BT68"/>
  <c r="BW68" s="1"/>
  <c r="BX68" s="1"/>
  <c r="BT17"/>
  <c r="BW17" s="1"/>
  <c r="BX17" s="1"/>
  <c r="R13"/>
  <c r="BT13"/>
  <c r="BW13" s="1"/>
  <c r="BX13" s="1"/>
  <c r="R12"/>
  <c r="BP12" s="1"/>
  <c r="BT12"/>
  <c r="BW12" s="1"/>
  <c r="BX12" s="1"/>
  <c r="R59"/>
  <c r="BP59" s="1"/>
  <c r="BQ59" s="1"/>
  <c r="CA59" s="1"/>
  <c r="CB59" s="1"/>
  <c r="BT59"/>
  <c r="BW59" s="1"/>
  <c r="BX59" s="1"/>
  <c r="R27"/>
  <c r="BT27"/>
  <c r="BW27" s="1"/>
  <c r="BX27" s="1"/>
  <c r="R49"/>
  <c r="BT49"/>
  <c r="BW49" s="1"/>
  <c r="BX49" s="1"/>
  <c r="R34"/>
  <c r="T23" i="5"/>
  <c r="Y23" s="1"/>
  <c r="R38" i="4"/>
  <c r="BP38" s="1"/>
  <c r="BQ38" s="1"/>
  <c r="CA38" s="1"/>
  <c r="CB38" s="1"/>
  <c r="R41"/>
  <c r="BP41" s="1"/>
  <c r="BQ41" s="1"/>
  <c r="CA41" s="1"/>
  <c r="CB41" s="1"/>
  <c r="R52"/>
  <c r="BP52" s="1"/>
  <c r="R84"/>
  <c r="BP84" s="1"/>
  <c r="BQ84" s="1"/>
  <c r="CA84" s="1"/>
  <c r="CB84" s="1"/>
  <c r="R73"/>
  <c r="BP73" s="1"/>
  <c r="BQ73" s="1"/>
  <c r="CA73" s="1"/>
  <c r="CB73" s="1"/>
  <c r="R64"/>
  <c r="BP64" s="1"/>
  <c r="BQ64" s="1"/>
  <c r="CA64" s="1"/>
  <c r="CB64" s="1"/>
  <c r="R40"/>
  <c r="BP40" s="1"/>
  <c r="BQ40" s="1"/>
  <c r="CA40" s="1"/>
  <c r="CB40" s="1"/>
  <c r="R29"/>
  <c r="BP29" s="1"/>
  <c r="BQ29" s="1"/>
  <c r="CA29" s="1"/>
  <c r="CB29" s="1"/>
  <c r="R24"/>
  <c r="BP24" s="1"/>
  <c r="BQ24" s="1"/>
  <c r="CA24" s="1"/>
  <c r="AA8"/>
  <c r="S19" i="5" s="1"/>
  <c r="AB8" i="4"/>
  <c r="T19" i="5" s="1"/>
  <c r="Y25"/>
  <c r="Y24"/>
  <c r="BP57" i="4"/>
  <c r="BQ57" s="1"/>
  <c r="CA57" s="1"/>
  <c r="CB57" s="1"/>
  <c r="BP81"/>
  <c r="BQ81" s="1"/>
  <c r="CA81" s="1"/>
  <c r="CB81" s="1"/>
  <c r="BP37"/>
  <c r="BQ37" s="1"/>
  <c r="CA37" s="1"/>
  <c r="CB37" s="1"/>
  <c r="BP76"/>
  <c r="BQ76" s="1"/>
  <c r="CA76" s="1"/>
  <c r="CB76" s="1"/>
  <c r="Y22" i="5"/>
  <c r="R10" i="4"/>
  <c r="R50"/>
  <c r="BP20"/>
  <c r="BQ20" s="1"/>
  <c r="CA20" s="1"/>
  <c r="CB20" s="1"/>
  <c r="BP47"/>
  <c r="BQ47" s="1"/>
  <c r="CA47" s="1"/>
  <c r="CB47" s="1"/>
  <c r="BP36"/>
  <c r="BQ36" s="1"/>
  <c r="CA36" s="1"/>
  <c r="CB36" s="1"/>
  <c r="Y21" i="5"/>
  <c r="BP80" i="4"/>
  <c r="BQ80" s="1"/>
  <c r="CA80" s="1"/>
  <c r="CB80" s="1"/>
  <c r="BP27"/>
  <c r="BQ27" s="1"/>
  <c r="CA27" s="1"/>
  <c r="CB27" s="1"/>
  <c r="BP18"/>
  <c r="BQ18" s="1"/>
  <c r="CA18" s="1"/>
  <c r="CB18" s="1"/>
  <c r="BN8"/>
  <c r="S26" i="5" s="1"/>
  <c r="BP51" i="4"/>
  <c r="BQ51" s="1"/>
  <c r="CA51" s="1"/>
  <c r="CB51" s="1"/>
  <c r="BP13"/>
  <c r="BP45"/>
  <c r="BQ45" s="1"/>
  <c r="CA45" s="1"/>
  <c r="CB45" s="1"/>
  <c r="BP66"/>
  <c r="BQ66" s="1"/>
  <c r="CA66" s="1"/>
  <c r="CB66" s="1"/>
  <c r="BP39"/>
  <c r="BQ39" s="1"/>
  <c r="CA39" s="1"/>
  <c r="CB39" s="1"/>
  <c r="BP67"/>
  <c r="BQ67" s="1"/>
  <c r="CA67" s="1"/>
  <c r="CB67" s="1"/>
  <c r="BP49"/>
  <c r="BQ49" s="1"/>
  <c r="CA49" s="1"/>
  <c r="CB49" s="1"/>
  <c r="BP69"/>
  <c r="BP26"/>
  <c r="BP42"/>
  <c r="BQ42" s="1"/>
  <c r="CA42" s="1"/>
  <c r="CB42" s="1"/>
  <c r="BP79"/>
  <c r="BQ79" s="1"/>
  <c r="CA79" s="1"/>
  <c r="CB79" s="1"/>
  <c r="BP56"/>
  <c r="BQ56" s="1"/>
  <c r="CA56" s="1"/>
  <c r="CB56" s="1"/>
  <c r="BP16"/>
  <c r="BP34"/>
  <c r="BQ34" s="1"/>
  <c r="CA34" s="1"/>
  <c r="CB34" s="1"/>
  <c r="BP60"/>
  <c r="BQ60" s="1"/>
  <c r="CA60" s="1"/>
  <c r="CB60" s="1"/>
  <c r="BP68"/>
  <c r="R10" i="1"/>
  <c r="BP10" s="1"/>
  <c r="R42"/>
  <c r="BP42" s="1"/>
  <c r="BP20"/>
  <c r="BR20" s="1"/>
  <c r="R75"/>
  <c r="BP75" s="1"/>
  <c r="BP80"/>
  <c r="BS80" s="1"/>
  <c r="BP67"/>
  <c r="BR67" s="1"/>
  <c r="BP65"/>
  <c r="BS65" s="1"/>
  <c r="BP56"/>
  <c r="BR56" s="1"/>
  <c r="R61"/>
  <c r="BP61" s="1"/>
  <c r="R70"/>
  <c r="BP70" s="1"/>
  <c r="BS70" s="1"/>
  <c r="R64"/>
  <c r="BP64" s="1"/>
  <c r="AB8"/>
  <c r="N19" i="5" s="1"/>
  <c r="R13" i="1"/>
  <c r="BP13" s="1"/>
  <c r="R12"/>
  <c r="BP12" s="1"/>
  <c r="R49"/>
  <c r="BP49" s="1"/>
  <c r="R73"/>
  <c r="BP73" s="1"/>
  <c r="R19"/>
  <c r="BP33"/>
  <c r="BP17"/>
  <c r="BP72"/>
  <c r="BP26"/>
  <c r="R37"/>
  <c r="BP40"/>
  <c r="BP18"/>
  <c r="BP14"/>
  <c r="BR14" s="1"/>
  <c r="BP63"/>
  <c r="BP81"/>
  <c r="BP28"/>
  <c r="BP79"/>
  <c r="BP16"/>
  <c r="BR16" s="1"/>
  <c r="BP22"/>
  <c r="BP9"/>
  <c r="BP76"/>
  <c r="BP32"/>
  <c r="BP29"/>
  <c r="BP38"/>
  <c r="BP53"/>
  <c r="BP87"/>
  <c r="BR87" s="1"/>
  <c r="BP36"/>
  <c r="BP15"/>
  <c r="BP57"/>
  <c r="BP35"/>
  <c r="BP44"/>
  <c r="BP60"/>
  <c r="BS60" s="1"/>
  <c r="BP69"/>
  <c r="BP19"/>
  <c r="BP21"/>
  <c r="BP52"/>
  <c r="BP51"/>
  <c r="BS51" s="1"/>
  <c r="BP39"/>
  <c r="Y26" i="5"/>
  <c r="BP77" i="1"/>
  <c r="BP71"/>
  <c r="BP46"/>
  <c r="BP59"/>
  <c r="R83"/>
  <c r="R24"/>
  <c r="N17" i="5"/>
  <c r="BR80" i="3"/>
  <c r="BR19"/>
  <c r="BR22"/>
  <c r="BR79"/>
  <c r="BR68"/>
  <c r="BR23"/>
  <c r="BR64"/>
  <c r="BS60"/>
  <c r="BR36"/>
  <c r="BS32"/>
  <c r="BR13"/>
  <c r="BS12"/>
  <c r="X19" i="5"/>
  <c r="BR74" i="3"/>
  <c r="BR53"/>
  <c r="BR48"/>
  <c r="BS26"/>
  <c r="BS21"/>
  <c r="BS16"/>
  <c r="BS72"/>
  <c r="BR65"/>
  <c r="BR57"/>
  <c r="BR50"/>
  <c r="BS33"/>
  <c r="BR20"/>
  <c r="BR38"/>
  <c r="BR18"/>
  <c r="BR25"/>
  <c r="BR56"/>
  <c r="BS84"/>
  <c r="BR61"/>
  <c r="BS62"/>
  <c r="BR54"/>
  <c r="BR85"/>
  <c r="BS10"/>
  <c r="BS69"/>
  <c r="BS17"/>
  <c r="BS41"/>
  <c r="BS63"/>
  <c r="BR81"/>
  <c r="BR14"/>
  <c r="BS49"/>
  <c r="BS87"/>
  <c r="BR58"/>
  <c r="BR29"/>
  <c r="BS24"/>
  <c r="BR34"/>
  <c r="BR40"/>
  <c r="BR45"/>
  <c r="BR44"/>
  <c r="BR82"/>
  <c r="BR78"/>
  <c r="BS37"/>
  <c r="BP8"/>
  <c r="BQ8" s="1"/>
  <c r="L27" i="5"/>
  <c r="R30" i="1"/>
  <c r="R65" i="4"/>
  <c r="R11"/>
  <c r="R74"/>
  <c r="R58"/>
  <c r="R41" i="1"/>
  <c r="Q8"/>
  <c r="M17" i="5" s="1"/>
  <c r="R84" i="1"/>
  <c r="BP84" s="1"/>
  <c r="BS84" s="1"/>
  <c r="R55"/>
  <c r="R34"/>
  <c r="R86"/>
  <c r="R85"/>
  <c r="R33" i="4"/>
  <c r="R63"/>
  <c r="R82"/>
  <c r="R77"/>
  <c r="R86"/>
  <c r="R9"/>
  <c r="R25" i="1"/>
  <c r="BS66"/>
  <c r="R48"/>
  <c r="R68"/>
  <c r="R54"/>
  <c r="AA8"/>
  <c r="M19" i="5" s="1"/>
  <c r="R23" i="1"/>
  <c r="BN8"/>
  <c r="M26" i="5" s="1"/>
  <c r="R45" i="1"/>
  <c r="BR59" i="3"/>
  <c r="BS59"/>
  <c r="BR39"/>
  <c r="BS39"/>
  <c r="BR67"/>
  <c r="BS67"/>
  <c r="BR43"/>
  <c r="BS43"/>
  <c r="BR15"/>
  <c r="BS15"/>
  <c r="BR11"/>
  <c r="BS11"/>
  <c r="BR31"/>
  <c r="BS31"/>
  <c r="BR55"/>
  <c r="BS55"/>
  <c r="BR75"/>
  <c r="BS75"/>
  <c r="BR27"/>
  <c r="BS27"/>
  <c r="BR35"/>
  <c r="BS35"/>
  <c r="BS53" i="4"/>
  <c r="R71"/>
  <c r="R83"/>
  <c r="R75"/>
  <c r="R17"/>
  <c r="Q8"/>
  <c r="S17" i="5" s="1"/>
  <c r="R8" i="4"/>
  <c r="BP8" s="1"/>
  <c r="BQ8" s="1"/>
  <c r="CA8" s="1"/>
  <c r="R87"/>
  <c r="R21"/>
  <c r="R25"/>
  <c r="R31" i="1"/>
  <c r="R47"/>
  <c r="R43"/>
  <c r="R62"/>
  <c r="R78"/>
  <c r="R58"/>
  <c r="R50"/>
  <c r="R82"/>
  <c r="R27"/>
  <c r="R74"/>
  <c r="R11"/>
  <c r="CB24" i="4" l="1"/>
  <c r="BS8" i="3"/>
  <c r="BY8" i="4"/>
  <c r="X17" i="5"/>
  <c r="X27" s="1"/>
  <c r="BR43" i="4"/>
  <c r="BR28"/>
  <c r="BQ52"/>
  <c r="BQ13"/>
  <c r="BS13" s="1"/>
  <c r="BQ12"/>
  <c r="CA12" s="1"/>
  <c r="CB12" s="1"/>
  <c r="BQ16"/>
  <c r="BR16" s="1"/>
  <c r="BQ69"/>
  <c r="CA69" s="1"/>
  <c r="CB69" s="1"/>
  <c r="BQ62"/>
  <c r="BQ35"/>
  <c r="BQ30"/>
  <c r="BQ26"/>
  <c r="BQ68"/>
  <c r="BS66"/>
  <c r="BR66"/>
  <c r="BS51"/>
  <c r="BR51"/>
  <c r="BR42"/>
  <c r="BS42"/>
  <c r="Y19" i="5"/>
  <c r="BR37" i="4"/>
  <c r="BS37"/>
  <c r="BS79"/>
  <c r="BR79"/>
  <c r="BR15"/>
  <c r="BS15"/>
  <c r="BS39"/>
  <c r="BR39"/>
  <c r="BS49"/>
  <c r="BR49"/>
  <c r="BS36"/>
  <c r="BR36"/>
  <c r="BS78"/>
  <c r="BR78"/>
  <c r="BS46"/>
  <c r="BR46"/>
  <c r="BS73"/>
  <c r="BR73"/>
  <c r="BS19"/>
  <c r="BR19"/>
  <c r="BR69"/>
  <c r="BS59"/>
  <c r="BR59"/>
  <c r="BR76"/>
  <c r="BS76"/>
  <c r="BS31"/>
  <c r="BR31"/>
  <c r="BS45"/>
  <c r="BR45"/>
  <c r="BS14"/>
  <c r="BR14"/>
  <c r="BR84"/>
  <c r="BS84"/>
  <c r="BS41"/>
  <c r="BR41"/>
  <c r="BS80"/>
  <c r="BR80"/>
  <c r="BS61"/>
  <c r="BR61"/>
  <c r="BS70"/>
  <c r="BR70"/>
  <c r="BS20"/>
  <c r="BR20"/>
  <c r="BR34"/>
  <c r="BS34"/>
  <c r="BS38"/>
  <c r="BR38"/>
  <c r="BR60"/>
  <c r="BS60"/>
  <c r="BR67"/>
  <c r="BS67"/>
  <c r="BS40"/>
  <c r="BR40"/>
  <c r="BR56"/>
  <c r="BS56"/>
  <c r="BR54"/>
  <c r="BS54"/>
  <c r="BS64"/>
  <c r="BR64"/>
  <c r="BS48"/>
  <c r="BR48"/>
  <c r="BS44"/>
  <c r="BR44"/>
  <c r="BS57"/>
  <c r="BR57"/>
  <c r="BS23"/>
  <c r="BR23"/>
  <c r="BR29"/>
  <c r="BS29"/>
  <c r="BS24"/>
  <c r="BR24"/>
  <c r="BS47"/>
  <c r="BR47"/>
  <c r="BS72"/>
  <c r="BR72"/>
  <c r="BS55"/>
  <c r="BR55"/>
  <c r="BS81"/>
  <c r="BR81"/>
  <c r="BS27"/>
  <c r="BR27"/>
  <c r="BS22"/>
  <c r="BR22"/>
  <c r="BS18"/>
  <c r="BR18"/>
  <c r="BS85"/>
  <c r="BR85"/>
  <c r="BS32"/>
  <c r="BR32"/>
  <c r="BP77"/>
  <c r="BQ77" s="1"/>
  <c r="CA77" s="1"/>
  <c r="CB77" s="1"/>
  <c r="BR12"/>
  <c r="BP50"/>
  <c r="BQ50" s="1"/>
  <c r="CA50" s="1"/>
  <c r="CB50" s="1"/>
  <c r="BR62"/>
  <c r="BP82"/>
  <c r="BQ82" s="1"/>
  <c r="CA82" s="1"/>
  <c r="CB82" s="1"/>
  <c r="BP86"/>
  <c r="BP21"/>
  <c r="BQ21" s="1"/>
  <c r="CA21" s="1"/>
  <c r="CB21" s="1"/>
  <c r="BP71"/>
  <c r="BQ71" s="1"/>
  <c r="CA71" s="1"/>
  <c r="CB71" s="1"/>
  <c r="BP25"/>
  <c r="BQ25" s="1"/>
  <c r="CA25" s="1"/>
  <c r="CB25" s="1"/>
  <c r="BP65"/>
  <c r="BQ65" s="1"/>
  <c r="CA65" s="1"/>
  <c r="CB65" s="1"/>
  <c r="BP11"/>
  <c r="BQ11" s="1"/>
  <c r="CA11" s="1"/>
  <c r="CB11" s="1"/>
  <c r="BP33"/>
  <c r="BP63"/>
  <c r="BQ63" s="1"/>
  <c r="CA63" s="1"/>
  <c r="CB63" s="1"/>
  <c r="BP58"/>
  <c r="BQ58" s="1"/>
  <c r="CA58" s="1"/>
  <c r="CB58" s="1"/>
  <c r="BP74"/>
  <c r="BQ74" s="1"/>
  <c r="CA74" s="1"/>
  <c r="CB74" s="1"/>
  <c r="BP17"/>
  <c r="BQ17" s="1"/>
  <c r="CA17" s="1"/>
  <c r="CB17" s="1"/>
  <c r="BS43"/>
  <c r="BP75"/>
  <c r="BQ75" s="1"/>
  <c r="CA75" s="1"/>
  <c r="CB75" s="1"/>
  <c r="BP87"/>
  <c r="BQ87" s="1"/>
  <c r="CA87" s="1"/>
  <c r="CB87" s="1"/>
  <c r="BP83"/>
  <c r="BQ83" s="1"/>
  <c r="CA83" s="1"/>
  <c r="CB83" s="1"/>
  <c r="BP9"/>
  <c r="BQ9" s="1"/>
  <c r="CA9" s="1"/>
  <c r="CB9" s="1"/>
  <c r="BP10"/>
  <c r="BQ10" s="1"/>
  <c r="CA10" s="1"/>
  <c r="CB10" s="1"/>
  <c r="BS8" i="1"/>
  <c r="BR65"/>
  <c r="BS20"/>
  <c r="BS61"/>
  <c r="BR61"/>
  <c r="BS28"/>
  <c r="BR28"/>
  <c r="BS21"/>
  <c r="BR21"/>
  <c r="BS87"/>
  <c r="BR70"/>
  <c r="BS16"/>
  <c r="BS52"/>
  <c r="BR52"/>
  <c r="BS35"/>
  <c r="BR35"/>
  <c r="BR12"/>
  <c r="BS12"/>
  <c r="BS29"/>
  <c r="BR29"/>
  <c r="BS79"/>
  <c r="BR79"/>
  <c r="BS26"/>
  <c r="BR26"/>
  <c r="BR64"/>
  <c r="BS64"/>
  <c r="BS40"/>
  <c r="BR40"/>
  <c r="BS53"/>
  <c r="BR53"/>
  <c r="BS69"/>
  <c r="BR69"/>
  <c r="BS76"/>
  <c r="BR76"/>
  <c r="BS18"/>
  <c r="BR18"/>
  <c r="BR42"/>
  <c r="BS42"/>
  <c r="BS13"/>
  <c r="BR13"/>
  <c r="BS32"/>
  <c r="BR32"/>
  <c r="BS57"/>
  <c r="BR57"/>
  <c r="BS81"/>
  <c r="BR81"/>
  <c r="BR38"/>
  <c r="BS38"/>
  <c r="BS49"/>
  <c r="BR49"/>
  <c r="BR60"/>
  <c r="BS14"/>
  <c r="BR15"/>
  <c r="BS15"/>
  <c r="BS33"/>
  <c r="BR33"/>
  <c r="BS75"/>
  <c r="BR75"/>
  <c r="BS22"/>
  <c r="BR22"/>
  <c r="BR17"/>
  <c r="BS17"/>
  <c r="BS9"/>
  <c r="BR9"/>
  <c r="BR72"/>
  <c r="BS72"/>
  <c r="BR39"/>
  <c r="BS39"/>
  <c r="BS63"/>
  <c r="BR63"/>
  <c r="BR77"/>
  <c r="BS77"/>
  <c r="BR73"/>
  <c r="BS73"/>
  <c r="BS71"/>
  <c r="BR71"/>
  <c r="BS19"/>
  <c r="BR19"/>
  <c r="BS46"/>
  <c r="BR46"/>
  <c r="BS10"/>
  <c r="BR10"/>
  <c r="BS44"/>
  <c r="BR44"/>
  <c r="BR59"/>
  <c r="BS59"/>
  <c r="BR36"/>
  <c r="BS36"/>
  <c r="BP27"/>
  <c r="BP82"/>
  <c r="BP37"/>
  <c r="BP11"/>
  <c r="BP78"/>
  <c r="BP55"/>
  <c r="BP62"/>
  <c r="BP74"/>
  <c r="BS74" s="1"/>
  <c r="BP31"/>
  <c r="BP54"/>
  <c r="BP25"/>
  <c r="BP34"/>
  <c r="BP86"/>
  <c r="BP23"/>
  <c r="BP85"/>
  <c r="BP30"/>
  <c r="BP48"/>
  <c r="BP47"/>
  <c r="BP45"/>
  <c r="BP41"/>
  <c r="BP83"/>
  <c r="BP58"/>
  <c r="BP68"/>
  <c r="BP24"/>
  <c r="BR51"/>
  <c r="BP50"/>
  <c r="BP43"/>
  <c r="BR8" i="3"/>
  <c r="BS56" i="1"/>
  <c r="BS67"/>
  <c r="BR84"/>
  <c r="BR80"/>
  <c r="BS8" i="4"/>
  <c r="T17" i="5"/>
  <c r="Y17" s="1"/>
  <c r="BR66" i="1"/>
  <c r="BS28" i="4"/>
  <c r="BR53"/>
  <c r="BS69" l="1"/>
  <c r="BS68"/>
  <c r="CA68"/>
  <c r="CB68" s="1"/>
  <c r="BR52"/>
  <c r="CA52"/>
  <c r="CB52" s="1"/>
  <c r="BR13"/>
  <c r="CA13"/>
  <c r="CB13" s="1"/>
  <c r="BS12"/>
  <c r="BS16"/>
  <c r="CA16"/>
  <c r="CB16" s="1"/>
  <c r="BS62"/>
  <c r="CA62"/>
  <c r="CB62" s="1"/>
  <c r="BR30"/>
  <c r="CA30"/>
  <c r="CB30" s="1"/>
  <c r="BS35"/>
  <c r="CA35"/>
  <c r="CB35" s="1"/>
  <c r="BR26"/>
  <c r="CA26"/>
  <c r="CB26" s="1"/>
  <c r="BS52"/>
  <c r="BR35"/>
  <c r="BQ33"/>
  <c r="BS30"/>
  <c r="BS26"/>
  <c r="BQ86"/>
  <c r="BR68"/>
  <c r="BS75"/>
  <c r="BR75"/>
  <c r="Z17" i="5"/>
  <c r="BS21" i="4"/>
  <c r="BR21"/>
  <c r="BR87"/>
  <c r="BS87"/>
  <c r="BS82"/>
  <c r="BR82"/>
  <c r="BR9"/>
  <c r="BS9"/>
  <c r="BS58"/>
  <c r="BR58"/>
  <c r="BS71"/>
  <c r="BR71"/>
  <c r="BS17"/>
  <c r="BR17"/>
  <c r="BS25"/>
  <c r="BR25"/>
  <c r="BS83"/>
  <c r="BR83"/>
  <c r="BS63"/>
  <c r="BR63"/>
  <c r="BS74"/>
  <c r="BR74"/>
  <c r="BS50"/>
  <c r="BR50"/>
  <c r="BR65"/>
  <c r="BS65"/>
  <c r="BS11"/>
  <c r="BR11"/>
  <c r="BS10"/>
  <c r="BR10"/>
  <c r="BR77"/>
  <c r="BS77"/>
  <c r="BR8" i="1"/>
  <c r="BR31"/>
  <c r="BS31"/>
  <c r="BR50"/>
  <c r="BS50"/>
  <c r="BR82"/>
  <c r="BS82"/>
  <c r="BS85"/>
  <c r="BR85"/>
  <c r="BS78"/>
  <c r="BR78"/>
  <c r="BR55"/>
  <c r="BS55"/>
  <c r="BR30"/>
  <c r="BS30"/>
  <c r="BS62"/>
  <c r="BR62"/>
  <c r="BS43"/>
  <c r="BR43"/>
  <c r="BS48"/>
  <c r="BR48"/>
  <c r="BS47"/>
  <c r="BR47"/>
  <c r="BS45"/>
  <c r="BR45"/>
  <c r="BR41"/>
  <c r="BS41"/>
  <c r="BS27"/>
  <c r="BR27"/>
  <c r="BR54"/>
  <c r="BS54"/>
  <c r="BR25"/>
  <c r="BS25"/>
  <c r="BS34"/>
  <c r="BR34"/>
  <c r="BS68"/>
  <c r="BR68"/>
  <c r="BR58"/>
  <c r="BS58"/>
  <c r="BS86"/>
  <c r="BR86"/>
  <c r="BS24"/>
  <c r="BR24"/>
  <c r="BR23"/>
  <c r="BS23"/>
  <c r="BS11"/>
  <c r="BR11"/>
  <c r="BR74"/>
  <c r="BS83"/>
  <c r="BR83"/>
  <c r="BS37"/>
  <c r="BR37"/>
  <c r="BR8" i="4"/>
  <c r="CB8" s="1"/>
  <c r="M21" i="2"/>
  <c r="M22"/>
  <c r="N22" s="1"/>
  <c r="E9"/>
  <c r="E8"/>
  <c r="E7"/>
  <c r="M27"/>
  <c r="N27" s="1"/>
  <c r="J27"/>
  <c r="K27"/>
  <c r="K24"/>
  <c r="K23"/>
  <c r="I27"/>
  <c r="I25"/>
  <c r="I24"/>
  <c r="I23"/>
  <c r="M26"/>
  <c r="N26" s="1"/>
  <c r="M25"/>
  <c r="N25" s="1"/>
  <c r="M24"/>
  <c r="N24" s="1"/>
  <c r="M23"/>
  <c r="N23" s="1"/>
  <c r="K26"/>
  <c r="K25"/>
  <c r="K22"/>
  <c r="J26"/>
  <c r="J25"/>
  <c r="J24"/>
  <c r="J23"/>
  <c r="J22"/>
  <c r="I26"/>
  <c r="I21"/>
  <c r="H26"/>
  <c r="H25"/>
  <c r="H24"/>
  <c r="H23"/>
  <c r="H22"/>
  <c r="H21"/>
  <c r="J21"/>
  <c r="G28"/>
  <c r="L10"/>
  <c r="L8"/>
  <c r="E11"/>
  <c r="E10"/>
  <c r="BS33" i="4" l="1"/>
  <c r="CA33"/>
  <c r="CB33" s="1"/>
  <c r="BR86"/>
  <c r="CA86"/>
  <c r="CB86" s="1"/>
  <c r="BR33"/>
  <c r="BS86"/>
  <c r="G30" i="2"/>
  <c r="K21" l="1"/>
  <c r="K28" s="1"/>
  <c r="N21"/>
  <c r="L22" l="1"/>
  <c r="O21" l="1"/>
  <c r="M30"/>
  <c r="L26"/>
  <c r="L23"/>
  <c r="L21"/>
  <c r="L25"/>
  <c r="L27"/>
  <c r="L24"/>
  <c r="H32" l="1"/>
</calcChain>
</file>

<file path=xl/sharedStrings.xml><?xml version="1.0" encoding="utf-8"?>
<sst xmlns="http://schemas.openxmlformats.org/spreadsheetml/2006/main" count="1293" uniqueCount="416">
  <si>
    <t>ROLL</t>
  </si>
  <si>
    <t>GP</t>
  </si>
  <si>
    <t>T-GP</t>
  </si>
  <si>
    <t>GPA</t>
  </si>
  <si>
    <t>CR</t>
  </si>
  <si>
    <t>SCIENCE</t>
  </si>
  <si>
    <t>BGS</t>
  </si>
  <si>
    <t>OB</t>
  </si>
  <si>
    <t>ICT</t>
  </si>
  <si>
    <t>TOTAL</t>
  </si>
  <si>
    <t>NAME OF SUBJECT</t>
  </si>
  <si>
    <t>FULL
MARKS</t>
  </si>
  <si>
    <t>TOTAL MARKS-100</t>
  </si>
  <si>
    <t>MATHEMATICS</t>
  </si>
  <si>
    <t>MT</t>
  </si>
  <si>
    <t>HIGHEST MARK</t>
  </si>
  <si>
    <t>MOTHER'S NAME</t>
  </si>
  <si>
    <t>GRAND TOTAL 
MARKS</t>
  </si>
  <si>
    <t xml:space="preserve"> STUDENT NAME</t>
  </si>
  <si>
    <t xml:space="preserve"> FATHER'S NAME</t>
  </si>
  <si>
    <t xml:space="preserve"> CLASS TEACHER</t>
  </si>
  <si>
    <t xml:space="preserve">        MOBILE NO.</t>
  </si>
  <si>
    <t xml:space="preserve">      SECTION</t>
  </si>
  <si>
    <t>RELIGION</t>
  </si>
  <si>
    <t>EIGHT</t>
  </si>
  <si>
    <t xml:space="preserve">BANGLA </t>
  </si>
  <si>
    <t xml:space="preserve">ENGLISH </t>
  </si>
  <si>
    <t>ENGLISH</t>
  </si>
  <si>
    <r>
      <t xml:space="preserve">           </t>
    </r>
    <r>
      <rPr>
        <b/>
        <sz val="10"/>
        <color theme="3" tint="0.39997558519241921"/>
        <rFont val="Times New Roman"/>
        <family val="1"/>
      </rPr>
      <t>CLASS</t>
    </r>
  </si>
  <si>
    <t>CONTINUOUS
ASSESMENT</t>
  </si>
  <si>
    <t>OBJECTIVE</t>
  </si>
  <si>
    <t xml:space="preserve">                                 TOTAL STUDENT'S</t>
  </si>
  <si>
    <r>
      <t xml:space="preserve">                           POSSITION</t>
    </r>
    <r>
      <rPr>
        <b/>
        <sz val="18"/>
        <rFont val="Tempus Sans ITC"/>
        <family val="5"/>
      </rPr>
      <t xml:space="preserve">: </t>
    </r>
  </si>
  <si>
    <r>
      <t xml:space="preserve">STUDENT BEHABIOURS AND SKILL </t>
    </r>
    <r>
      <rPr>
        <b/>
        <sz val="12"/>
        <rFont val="Tempus Sans ITC"/>
        <family val="5"/>
      </rPr>
      <t>:</t>
    </r>
  </si>
  <si>
    <t>CREATIVES</t>
  </si>
  <si>
    <r>
      <t xml:space="preserve">       </t>
    </r>
    <r>
      <rPr>
        <sz val="18"/>
        <rFont val="Times New Roman"/>
        <family val="1"/>
      </rPr>
      <t>AMIN CADET ACADEMY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2nd Semester Examination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- 2023</t>
    </r>
  </si>
  <si>
    <t>GRADE</t>
  </si>
  <si>
    <r>
      <t>WORKING DAYS</t>
    </r>
    <r>
      <rPr>
        <b/>
        <sz val="18"/>
        <rFont val="Tempus Sans ITC"/>
        <family val="5"/>
      </rPr>
      <t>:</t>
    </r>
  </si>
  <si>
    <t xml:space="preserve">     GRAND TOTAL MARKS</t>
  </si>
  <si>
    <t>Class Teacher                                    Co-Ordinator                                    Vice-Principal</t>
  </si>
  <si>
    <t xml:space="preserve">                                   Guardian</t>
  </si>
  <si>
    <t xml:space="preserve">Name Of The Student </t>
  </si>
  <si>
    <t>:</t>
  </si>
  <si>
    <t xml:space="preserve">Class </t>
  </si>
  <si>
    <t>Section</t>
  </si>
  <si>
    <t>Roll No.</t>
  </si>
  <si>
    <t xml:space="preserve">Father's Name </t>
  </si>
  <si>
    <t xml:space="preserve">Mother's Name </t>
  </si>
  <si>
    <t>Class Teacher</t>
  </si>
  <si>
    <t>Name of the Subjects</t>
  </si>
  <si>
    <t>CONTINUOUS
ASSESSMENT-20</t>
  </si>
  <si>
    <t>Final Result</t>
  </si>
  <si>
    <t>Term Exam</t>
  </si>
  <si>
    <t>HIGHEST MARKS</t>
  </si>
  <si>
    <t>Average Marks of Continuous Assesment</t>
  </si>
  <si>
    <t>Average Marks of  Creative</t>
  </si>
  <si>
    <t>C.GPA</t>
  </si>
  <si>
    <t>CREATIVE</t>
  </si>
  <si>
    <r>
      <rPr>
        <b/>
        <sz val="18"/>
        <color theme="1"/>
        <rFont val="Cambria"/>
        <family val="1"/>
        <scheme val="major"/>
      </rPr>
      <t>AMIN CADET RESIDENTIAL ACADEMY</t>
    </r>
    <r>
      <rPr>
        <b/>
        <sz val="11"/>
        <color theme="1"/>
        <rFont val="Cambria"/>
        <family val="1"/>
        <scheme val="major"/>
      </rPr>
      <t xml:space="preserve">
Amin Model Town, Savar Cantonment, Ashulia, Dhaka-1344.
Annual Examination Result -2025
</t>
    </r>
  </si>
  <si>
    <t>S.L</t>
  </si>
  <si>
    <t>Student's Name</t>
  </si>
  <si>
    <t>Fahther`s Name</t>
  </si>
  <si>
    <t>Mother's Name</t>
  </si>
  <si>
    <t>Mobile No.</t>
  </si>
  <si>
    <t>BANGLA -1ST</t>
  </si>
  <si>
    <t>TOTAL 100%</t>
  </si>
  <si>
    <t>BANGLA- 2ND</t>
  </si>
  <si>
    <t>H
MARK</t>
  </si>
  <si>
    <t>AGICULTURE</t>
  </si>
  <si>
    <t>BEHABIOUR</t>
  </si>
  <si>
    <t>RANK OF STUDENT</t>
  </si>
  <si>
    <t>WORKING 
DAYS</t>
  </si>
  <si>
    <t>MT+CR</t>
  </si>
  <si>
    <t>1st</t>
  </si>
  <si>
    <t>MT+80%</t>
  </si>
  <si>
    <t>2nd</t>
  </si>
  <si>
    <t>PR</t>
  </si>
  <si>
    <t xml:space="preserve">Kakoli Yasmin </t>
  </si>
  <si>
    <t xml:space="preserve">Shafiqul Islam </t>
  </si>
  <si>
    <t xml:space="preserve">Abdur Rahman </t>
  </si>
  <si>
    <t>Rabeya Khatun</t>
  </si>
  <si>
    <t>Nipa Akther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</si>
  <si>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2nd SEMESTER TABULATION SHEET-2025
CLASS- eight (padma &amp; palash)</t>
    </r>
  </si>
  <si>
    <t xml:space="preserve">Mahua Khan </t>
  </si>
  <si>
    <t xml:space="preserve">Md. Mizanur Rahman </t>
  </si>
  <si>
    <t>Maksutha Begum</t>
  </si>
  <si>
    <t xml:space="preserve">Prottasha Mollik Othoi </t>
  </si>
  <si>
    <t xml:space="preserve">Md. Zahid Hasan </t>
  </si>
  <si>
    <t xml:space="preserve">Mst. Ruma Aktar </t>
  </si>
  <si>
    <t>01963-270281       01934-591956</t>
  </si>
  <si>
    <t>Samiya Binte Kalim</t>
  </si>
  <si>
    <t>Kalim Rahman</t>
  </si>
  <si>
    <t xml:space="preserve">Hasina Akter </t>
  </si>
  <si>
    <t>01777-244922        01859-502050</t>
  </si>
  <si>
    <t>Md. Riyadul Islam</t>
  </si>
  <si>
    <t>Mohammad Ali</t>
  </si>
  <si>
    <t>Rehana Parvin</t>
  </si>
  <si>
    <t>01703-795660   01748-206732</t>
  </si>
  <si>
    <t xml:space="preserve">Halima Tuj Sadia </t>
  </si>
  <si>
    <t xml:space="preserve">Md. Monayem </t>
  </si>
  <si>
    <t xml:space="preserve">Mst. Salma Aktar </t>
  </si>
  <si>
    <t>01718-523362       01863-657887</t>
  </si>
  <si>
    <t>Md. Abrar Shahriar</t>
  </si>
  <si>
    <t>Md. Amirul Islam</t>
  </si>
  <si>
    <t>Mst. Lubna Rahman</t>
  </si>
  <si>
    <t>01732-151226   01923-736374</t>
  </si>
  <si>
    <t xml:space="preserve">Sumaiya Akter Mim </t>
  </si>
  <si>
    <t xml:space="preserve">Md. Monir Hossan </t>
  </si>
  <si>
    <t>Jesmin</t>
  </si>
  <si>
    <t>01939-751503     01611-911445</t>
  </si>
  <si>
    <t>Sreshthangshu Saha Swapno</t>
  </si>
  <si>
    <t>Samir Kumar Saha</t>
  </si>
  <si>
    <t>Shilpi Rani Saha</t>
  </si>
  <si>
    <t>01740-858388   01552-336105</t>
  </si>
  <si>
    <t>Habiba Hasan</t>
  </si>
  <si>
    <t>Md. Hasan</t>
  </si>
  <si>
    <t>Khadiza Akter</t>
  </si>
  <si>
    <t>01713-298055   01716-080949</t>
  </si>
  <si>
    <t>Nusrat Jahan Dola</t>
  </si>
  <si>
    <t>Md. Nuruzzaman</t>
  </si>
  <si>
    <t>Kazi Shakila Bithi Nishita</t>
  </si>
  <si>
    <t>01889-732938</t>
  </si>
  <si>
    <t>Md. Shakib Sheikh</t>
  </si>
  <si>
    <t>Md. Sokir Sheikh</t>
  </si>
  <si>
    <t>Mst. Rashida Khatun</t>
  </si>
  <si>
    <t>01754-343921   01779-735842</t>
  </si>
  <si>
    <t xml:space="preserve">Al Mubin </t>
  </si>
  <si>
    <t xml:space="preserve">Md. Rakibul Islam </t>
  </si>
  <si>
    <t xml:space="preserve">Mst. Fatema Aktar </t>
  </si>
  <si>
    <t>01751-354834                         01731-539373</t>
  </si>
  <si>
    <t>Md. Abdullah Al Mustaqim (Shin)</t>
  </si>
  <si>
    <t>Abdur Rouf Sagar</t>
  </si>
  <si>
    <t>Mst. Mousumi Akter</t>
  </si>
  <si>
    <t>01717-948278   01970-948278</t>
  </si>
  <si>
    <t>Mainul Hasan Sifat</t>
  </si>
  <si>
    <t xml:space="preserve">Mahi Uddin </t>
  </si>
  <si>
    <t>Salma Akter</t>
  </si>
  <si>
    <t>01645-138713</t>
  </si>
  <si>
    <t>Mahmud Hasan Samir</t>
  </si>
  <si>
    <t xml:space="preserve">Monira Akter </t>
  </si>
  <si>
    <t>Monir Hossain</t>
  </si>
  <si>
    <t xml:space="preserve">Lipi Begum </t>
  </si>
  <si>
    <t>01611-013113                    01925-928781</t>
  </si>
  <si>
    <t>Abdullah Al Abid</t>
  </si>
  <si>
    <t>Md. Al Amin Sheikh</t>
  </si>
  <si>
    <t>Mst. Jesmin Sultana</t>
  </si>
  <si>
    <t>01614-320318   01615-320318</t>
  </si>
  <si>
    <t>Abdur Rahman</t>
  </si>
  <si>
    <t>Md. Saidul Islam</t>
  </si>
  <si>
    <t>01870-945531 01612-357356</t>
  </si>
  <si>
    <t xml:space="preserve">Md. Nishad Mandal Zisan </t>
  </si>
  <si>
    <t xml:space="preserve">Md. Zahid Mondal </t>
  </si>
  <si>
    <t>01302-101328</t>
  </si>
  <si>
    <t>Afra Hossain Joeeta</t>
  </si>
  <si>
    <t>Muzzafor Hossain Joy</t>
  </si>
  <si>
    <t>Kakoly Akter</t>
  </si>
  <si>
    <t>01711379499 01918221404</t>
  </si>
  <si>
    <t>Md. Modasser Hossain Mugdho</t>
  </si>
  <si>
    <t>Md Soab Miah</t>
  </si>
  <si>
    <t>Mst. Nargis Akther</t>
  </si>
  <si>
    <t>01872-029372</t>
  </si>
  <si>
    <t xml:space="preserve">Mahin </t>
  </si>
  <si>
    <t xml:space="preserve">Maruf Mia </t>
  </si>
  <si>
    <t xml:space="preserve">Raihana Akter </t>
  </si>
  <si>
    <t>01776-495689  01712-236174</t>
  </si>
  <si>
    <t xml:space="preserve">Mst. Nurjahan Julashfi </t>
  </si>
  <si>
    <t>Md. Zahangir Alam</t>
  </si>
  <si>
    <t>Ayesha Khatun</t>
  </si>
  <si>
    <t>01707-748652</t>
  </si>
  <si>
    <t>Abdullah Zubayer</t>
  </si>
  <si>
    <t xml:space="preserve">Md. Helal Uddin </t>
  </si>
  <si>
    <t>Shahrin Naher</t>
  </si>
  <si>
    <t>01912-923539                          01916-502887</t>
  </si>
  <si>
    <t xml:space="preserve">Mst. Masrufa Mehedi Rim </t>
  </si>
  <si>
    <t xml:space="preserve">Md. Mehedi Hasan </t>
  </si>
  <si>
    <t xml:space="preserve">Mst. Riya Akter </t>
  </si>
  <si>
    <t>01718-082284</t>
  </si>
  <si>
    <t xml:space="preserve">Suayib Chowdhuri Jisan </t>
  </si>
  <si>
    <t xml:space="preserve">Md. Shihab Chowdhuri </t>
  </si>
  <si>
    <t xml:space="preserve">Anamika Choudhury </t>
  </si>
  <si>
    <t>01729-725129                              01602-292624</t>
  </si>
  <si>
    <t xml:space="preserve">Ummul Wara </t>
  </si>
  <si>
    <t xml:space="preserve">Md. Jahidul Islam </t>
  </si>
  <si>
    <t xml:space="preserve">Nisat Jaman Birste </t>
  </si>
  <si>
    <t>01305-551891        01701-422099</t>
  </si>
  <si>
    <t xml:space="preserve">Kazi Bijoy </t>
  </si>
  <si>
    <t>Jashim Uddin</t>
  </si>
  <si>
    <t>Akhlima Akter</t>
  </si>
  <si>
    <t>01854-723808                       01321-291610</t>
  </si>
  <si>
    <t xml:space="preserve">Md. Raiyan Talukder Rumel </t>
  </si>
  <si>
    <t xml:space="preserve">Md. Ratan Talukder </t>
  </si>
  <si>
    <t xml:space="preserve">Nargis Akter </t>
  </si>
  <si>
    <t>01757-438214      01725-412697</t>
  </si>
  <si>
    <t>Israt Jahan Tarifa</t>
  </si>
  <si>
    <t xml:space="preserve">Md Milon Madbar </t>
  </si>
  <si>
    <t xml:space="preserve">Mst. Ruma Akter </t>
  </si>
  <si>
    <t>01829-161690</t>
  </si>
  <si>
    <t xml:space="preserve">Ananna Sabrin </t>
  </si>
  <si>
    <t xml:space="preserve">Md Abdur Rouf </t>
  </si>
  <si>
    <t xml:space="preserve">Mst Rima Parvin </t>
  </si>
  <si>
    <t>01752-051307               01761-183601</t>
  </si>
  <si>
    <t xml:space="preserve">Md. Tanvir Udoy </t>
  </si>
  <si>
    <t xml:space="preserve">Zahid </t>
  </si>
  <si>
    <t xml:space="preserve">Fatema Akter Kanchan </t>
  </si>
  <si>
    <t>01930-060855 01987-939234</t>
  </si>
  <si>
    <t xml:space="preserve">Tausheya Islam </t>
  </si>
  <si>
    <t xml:space="preserve">Shapna </t>
  </si>
  <si>
    <t>01928-150100                            01643-247888</t>
  </si>
  <si>
    <t xml:space="preserve">Rubaiya Islam Rojoni </t>
  </si>
  <si>
    <t xml:space="preserve">Md. Rajjab Ali </t>
  </si>
  <si>
    <t xml:space="preserve">Sonia Akter </t>
  </si>
  <si>
    <t>01684-860951                    01711-623209</t>
  </si>
  <si>
    <t xml:space="preserve">Zobayer Ahammed Jim </t>
  </si>
  <si>
    <t xml:space="preserve">Ummy Habiba </t>
  </si>
  <si>
    <t>01736-732882                       01723-208719</t>
  </si>
  <si>
    <t xml:space="preserve">Md. Riyad Hossen </t>
  </si>
  <si>
    <t xml:space="preserve">Md. Abu Taher </t>
  </si>
  <si>
    <t xml:space="preserve">Mst. Rikta Begum </t>
  </si>
  <si>
    <t>01722-079230                    01771-678845</t>
  </si>
  <si>
    <t xml:space="preserve">Mohammad Alif Talukder </t>
  </si>
  <si>
    <t xml:space="preserve">Md. Hameyat Uddin Talukder </t>
  </si>
  <si>
    <t xml:space="preserve">Sultana Nasira </t>
  </si>
  <si>
    <t>01716-294941                   01790-423094</t>
  </si>
  <si>
    <t xml:space="preserve">Md. Mahmudul Mursalin Nirjhor </t>
  </si>
  <si>
    <t xml:space="preserve">Md. Rafiqul Islam </t>
  </si>
  <si>
    <t xml:space="preserve">Mahmuda Akter </t>
  </si>
  <si>
    <t>01842-062014</t>
  </si>
  <si>
    <t xml:space="preserve">Md. Arif Hossain Ratul </t>
  </si>
  <si>
    <t xml:space="preserve">Md. Hafijur Rahman </t>
  </si>
  <si>
    <t xml:space="preserve">Asma Akter </t>
  </si>
  <si>
    <t>01716-435331</t>
  </si>
  <si>
    <t xml:space="preserve">Md. Alvi Ahammed </t>
  </si>
  <si>
    <t xml:space="preserve">Md. Shamim Kabir </t>
  </si>
  <si>
    <t xml:space="preserve">Mst. Salma </t>
  </si>
  <si>
    <t>01711-346161     01911-699588</t>
  </si>
  <si>
    <t>Sayma Afroj</t>
  </si>
  <si>
    <t xml:space="preserve">Shohag </t>
  </si>
  <si>
    <t xml:space="preserve">Asia </t>
  </si>
  <si>
    <t>01782-738128</t>
  </si>
  <si>
    <t>Md Mahian Rahman Boron</t>
  </si>
  <si>
    <t>Md Mizanur Rahman</t>
  </si>
  <si>
    <t>Mst. Bali Akter</t>
  </si>
  <si>
    <t>01744-454130   01792-229433</t>
  </si>
  <si>
    <t>Abdulla</t>
  </si>
  <si>
    <t>Abdur Rahim</t>
  </si>
  <si>
    <t>Ayesha Siddika</t>
  </si>
  <si>
    <t>01322-690205       01328-062909</t>
  </si>
  <si>
    <t xml:space="preserve">Md. Tahsin Ahmed </t>
  </si>
  <si>
    <t xml:space="preserve">Md Mostak Ahmed </t>
  </si>
  <si>
    <t>01712-615903                   01793-941632</t>
  </si>
  <si>
    <t>Syed Tousif Hassan</t>
  </si>
  <si>
    <t>Syed Zahid Hassan</t>
  </si>
  <si>
    <t>Nazma Akter</t>
  </si>
  <si>
    <t>01718-538286
01767-749342</t>
  </si>
  <si>
    <t>Md. Younus</t>
  </si>
  <si>
    <t>Md. Bablu</t>
  </si>
  <si>
    <t>Taslima Begum</t>
  </si>
  <si>
    <t>01831-255434 01406-295807</t>
  </si>
  <si>
    <t>Sinthiya Hasan Simmi</t>
  </si>
  <si>
    <t>Hasan Mamun</t>
  </si>
  <si>
    <t>Suborna Akther</t>
  </si>
  <si>
    <t>01979-621626</t>
  </si>
  <si>
    <t>Rifat Miah</t>
  </si>
  <si>
    <t>Md. Shahinur Islam</t>
  </si>
  <si>
    <t>Lipi Akter</t>
  </si>
  <si>
    <t>01777-644298</t>
  </si>
  <si>
    <t xml:space="preserve">Omar Abdullah </t>
  </si>
  <si>
    <t>Jahangir Alam Sumon</t>
  </si>
  <si>
    <t xml:space="preserve">Shahanaz Alom </t>
  </si>
  <si>
    <t>01712-541996     01715-432674</t>
  </si>
  <si>
    <t xml:space="preserve">Jidan </t>
  </si>
  <si>
    <t xml:space="preserve">Shahjahan </t>
  </si>
  <si>
    <t xml:space="preserve">Mst. Hosne Ara Akter Maya </t>
  </si>
  <si>
    <t>01765-554331       01775-565557</t>
  </si>
  <si>
    <t xml:space="preserve">Md. Arafat Hossain </t>
  </si>
  <si>
    <t xml:space="preserve">Md. Sha Alam Molla </t>
  </si>
  <si>
    <t xml:space="preserve">Mst. Argina Akter </t>
  </si>
  <si>
    <t>01316-132517                   01620-818123</t>
  </si>
  <si>
    <t xml:space="preserve">Riadul Islam Fahad </t>
  </si>
  <si>
    <t>Seuli Begum</t>
  </si>
  <si>
    <t>01978-882361</t>
  </si>
  <si>
    <t xml:space="preserve">Sadia Akter </t>
  </si>
  <si>
    <t xml:space="preserve">Md. Akkas Mia </t>
  </si>
  <si>
    <t xml:space="preserve">Rubi Akter </t>
  </si>
  <si>
    <t>01886-664730                                    01746-664249</t>
  </si>
  <si>
    <t xml:space="preserve">Md. Tahamidur Rahman Sifat </t>
  </si>
  <si>
    <t xml:space="preserve">Md. Kamruzzaman </t>
  </si>
  <si>
    <t xml:space="preserve">Farzana Akter Mily </t>
  </si>
  <si>
    <t>01915-241514</t>
  </si>
  <si>
    <t xml:space="preserve">Arman </t>
  </si>
  <si>
    <t xml:space="preserve">Anowar </t>
  </si>
  <si>
    <t xml:space="preserve">Monalisa </t>
  </si>
  <si>
    <t>01792-847521     01936-868932</t>
  </si>
  <si>
    <t xml:space="preserve">Md. Siyam Rahman Sifat </t>
  </si>
  <si>
    <t>Abdul Ohab</t>
  </si>
  <si>
    <t xml:space="preserve">Some Begum </t>
  </si>
  <si>
    <t>01763-265050                      01792-115929</t>
  </si>
  <si>
    <t>Sinthia Islam Brishty</t>
  </si>
  <si>
    <t>Bahadur Kha</t>
  </si>
  <si>
    <t>01316-007819 01608-035270</t>
  </si>
  <si>
    <t xml:space="preserve">Mahati Mohammad Minhaz </t>
  </si>
  <si>
    <t xml:space="preserve">Md. Oliar Rahman </t>
  </si>
  <si>
    <t xml:space="preserve">Mst. Nasrin Naher </t>
  </si>
  <si>
    <t>01722-197674                                      01311-799761</t>
  </si>
  <si>
    <t xml:space="preserve">Md Tanbin Ahammad </t>
  </si>
  <si>
    <t xml:space="preserve">Md. Abdul Mottalib </t>
  </si>
  <si>
    <t xml:space="preserve">Merina </t>
  </si>
  <si>
    <t>01705-780809                        01568-120003</t>
  </si>
  <si>
    <t xml:space="preserve">Mst. Samiya Akter </t>
  </si>
  <si>
    <t xml:space="preserve">Solaman Mia </t>
  </si>
  <si>
    <t xml:space="preserve">Safily Begum </t>
  </si>
  <si>
    <t>01715-391389                      019075391389</t>
  </si>
  <si>
    <t xml:space="preserve">Lutfar Rahman </t>
  </si>
  <si>
    <t xml:space="preserve">Mst Taslima Akter </t>
  </si>
  <si>
    <t>01929-070256                   01749-466325</t>
  </si>
  <si>
    <t xml:space="preserve">Imtiaz Hossain </t>
  </si>
  <si>
    <t xml:space="preserve">Md. Faruk Hossen </t>
  </si>
  <si>
    <t xml:space="preserve">Sazeda Begum </t>
  </si>
  <si>
    <t>01747-402792                 01731-673248</t>
  </si>
  <si>
    <t xml:space="preserve">Md. Fahad Hossain </t>
  </si>
  <si>
    <t xml:space="preserve">Md. Shukur </t>
  </si>
  <si>
    <t xml:space="preserve">Forida Akter </t>
  </si>
  <si>
    <t>01638-297604                             01620-087660</t>
  </si>
  <si>
    <t>Yasin Ahmed</t>
  </si>
  <si>
    <t xml:space="preserve">Md. Salem </t>
  </si>
  <si>
    <t xml:space="preserve">Syeda Yeasmin </t>
  </si>
  <si>
    <t>01739-641604                  01760-066672</t>
  </si>
  <si>
    <t xml:space="preserve">Md Saymon Arafat </t>
  </si>
  <si>
    <t xml:space="preserve">Md. Bablu Miah </t>
  </si>
  <si>
    <t>Miss Yesmin Akter</t>
  </si>
  <si>
    <t>01790-842624     01790-842622</t>
  </si>
  <si>
    <t>Rownak Hossain</t>
  </si>
  <si>
    <t xml:space="preserve">Bayezid Hossain </t>
  </si>
  <si>
    <t xml:space="preserve">Shahida Yesmin </t>
  </si>
  <si>
    <t>01313-951693</t>
  </si>
  <si>
    <t xml:space="preserve">Mohammad Nihad Hosen </t>
  </si>
  <si>
    <t xml:space="preserve">Md Nazir Patwary </t>
  </si>
  <si>
    <t xml:space="preserve">Khadiza Begum </t>
  </si>
  <si>
    <t>01711-716233     01916-803533</t>
  </si>
  <si>
    <t xml:space="preserve">Moriom Akther Riya </t>
  </si>
  <si>
    <t xml:space="preserve">Md Rasal Hossain </t>
  </si>
  <si>
    <t xml:space="preserve">Mst. Salma Begum </t>
  </si>
  <si>
    <t xml:space="preserve">01929-564162 </t>
  </si>
  <si>
    <t xml:space="preserve">Md. Mafidul Alam </t>
  </si>
  <si>
    <t xml:space="preserve">Md. Mahbubul Alam </t>
  </si>
  <si>
    <t xml:space="preserve">Dil Afroze </t>
  </si>
  <si>
    <t>01779-528999                   01736-181876</t>
  </si>
  <si>
    <t xml:space="preserve">Kashfi Mahamud Rahat </t>
  </si>
  <si>
    <t xml:space="preserve">Md. Rabiul Awal </t>
  </si>
  <si>
    <t xml:space="preserve">Kulsum Akter Riya </t>
  </si>
  <si>
    <t>01978-607017      01939-771183</t>
  </si>
  <si>
    <t xml:space="preserve">Md. Tamim </t>
  </si>
  <si>
    <t xml:space="preserve">Md. Jahangir </t>
  </si>
  <si>
    <t xml:space="preserve">Arju </t>
  </si>
  <si>
    <t>01718-729346</t>
  </si>
  <si>
    <t xml:space="preserve">Ruhan Shanta </t>
  </si>
  <si>
    <t xml:space="preserve">Md. Hanif Mia </t>
  </si>
  <si>
    <t xml:space="preserve">Rupa Akter </t>
  </si>
  <si>
    <t>01777-778631      01716-269069</t>
  </si>
  <si>
    <t xml:space="preserve">Md. Fahim Fuad Aditto </t>
  </si>
  <si>
    <t xml:space="preserve">Md. Hannan Miah </t>
  </si>
  <si>
    <t xml:space="preserve">Momena Akter </t>
  </si>
  <si>
    <t>01728-116299     01882-053617</t>
  </si>
  <si>
    <t xml:space="preserve">Md. Mahim Islam </t>
  </si>
  <si>
    <t xml:space="preserve">Md. Johirul Islam </t>
  </si>
  <si>
    <t>Khadiza Akter Mousomi</t>
  </si>
  <si>
    <t>01796-524243                            01764-406664</t>
  </si>
  <si>
    <t>Israt Jahan Pinky</t>
  </si>
  <si>
    <t xml:space="preserve">Md. Bushir Ahammed </t>
  </si>
  <si>
    <t xml:space="preserve">Mst. Rozina Begum </t>
  </si>
  <si>
    <t>01722-910542                        01722-884993</t>
  </si>
  <si>
    <t>Md. Tamim Uddin</t>
  </si>
  <si>
    <t>Md. Asam Uddin</t>
  </si>
  <si>
    <t>Shafali Begum</t>
  </si>
  <si>
    <t>017175-67097 01721-891042</t>
  </si>
  <si>
    <t>Md. Alif Rahman</t>
  </si>
  <si>
    <t>Muklesur Rahman</t>
  </si>
  <si>
    <t>Sabia Parvin Asha</t>
  </si>
  <si>
    <t>01607037189 01926115090</t>
  </si>
  <si>
    <t>Md. Wasi Anan</t>
  </si>
  <si>
    <t>Nafisa Parvin Raisa</t>
  </si>
  <si>
    <t>Lamiul Islam Ratul</t>
  </si>
  <si>
    <t>Average Marks of OBJECTIVE</t>
  </si>
  <si>
    <t>BANGLA 1ST PAPER-100</t>
  </si>
  <si>
    <t>BANGLA 2ND PAPER-50</t>
  </si>
  <si>
    <t>ENGLISH 1ST PAPER-100</t>
  </si>
  <si>
    <t>ENGLISH 2ND PAPER-50</t>
  </si>
  <si>
    <t>G. MATHEMATICS-100</t>
  </si>
  <si>
    <t>RELIGION-100</t>
  </si>
  <si>
    <t>ICT-50</t>
  </si>
  <si>
    <t>SCIENCE-100</t>
  </si>
  <si>
    <t>BGS-100</t>
  </si>
  <si>
    <t>AGRICULTURE-50</t>
  </si>
  <si>
    <t>TOTAL MARKS - 800</t>
  </si>
  <si>
    <t>Co-Ordinator</t>
  </si>
  <si>
    <t>Principal(Acting)</t>
  </si>
  <si>
    <t>PADMA &amp; PALASH</t>
  </si>
  <si>
    <t>01626-206464             01626-206464</t>
  </si>
  <si>
    <r>
      <rPr>
        <b/>
        <sz val="28"/>
        <rFont val="Algerian"/>
        <family val="5"/>
      </rPr>
      <t>AMIN CADET RESIDENTIAL ACADEMY</t>
    </r>
    <r>
      <rPr>
        <sz val="28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 eight (padma &amp; palash)</t>
    </r>
  </si>
  <si>
    <t>Liamul Islam Ratul</t>
  </si>
  <si>
    <r>
      <rPr>
        <b/>
        <sz val="28"/>
        <rFont val="Algerian"/>
        <family val="5"/>
      </rPr>
      <t>AMIN CADET RESIDENTIAL ACADEMY</t>
    </r>
    <r>
      <rPr>
        <sz val="28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3rd SEMESTER TABULATION SHEET-2025
CLASS- eight (padma &amp; palash)</t>
    </r>
  </si>
  <si>
    <t>All Semester Total Marks</t>
  </si>
  <si>
    <t xml:space="preserve">1st </t>
  </si>
  <si>
    <t xml:space="preserve">2nd </t>
  </si>
  <si>
    <t xml:space="preserve">3rd </t>
  </si>
  <si>
    <t>Avg-Total</t>
  </si>
  <si>
    <t>1st semester</t>
  </si>
  <si>
    <t>2nd Semester</t>
  </si>
  <si>
    <t>3rd Semester</t>
  </si>
  <si>
    <t>Avarege</t>
  </si>
  <si>
    <t>RANK</t>
  </si>
  <si>
    <t>RAMPROSHAD SUTRODHAR &amp; SHIRIN AKTER</t>
  </si>
  <si>
    <r>
      <t>1</t>
    </r>
    <r>
      <rPr>
        <b/>
        <vertAlign val="superscript"/>
        <sz val="12"/>
        <color theme="1"/>
        <rFont val="Cambria"/>
        <family val="1"/>
        <scheme val="major"/>
      </rPr>
      <t xml:space="preserve">st  </t>
    </r>
    <r>
      <rPr>
        <b/>
        <sz val="12"/>
        <color theme="1"/>
        <rFont val="Cambria"/>
        <family val="1"/>
        <scheme val="major"/>
      </rPr>
      <t>Term Exam</t>
    </r>
  </si>
  <si>
    <r>
      <t>2</t>
    </r>
    <r>
      <rPr>
        <b/>
        <vertAlign val="superscript"/>
        <sz val="12"/>
        <color theme="1"/>
        <rFont val="Cambria"/>
        <family val="1"/>
        <scheme val="major"/>
      </rPr>
      <t>nd</t>
    </r>
    <r>
      <rPr>
        <b/>
        <sz val="12"/>
        <color theme="1"/>
        <rFont val="Cambria"/>
        <family val="1"/>
        <scheme val="major"/>
      </rPr>
      <t xml:space="preserve"> </t>
    </r>
    <r>
      <rPr>
        <b/>
        <vertAlign val="superscript"/>
        <sz val="12"/>
        <color theme="1"/>
        <rFont val="Cambria"/>
        <family val="1"/>
        <scheme val="major"/>
      </rPr>
      <t xml:space="preserve"> </t>
    </r>
    <r>
      <rPr>
        <b/>
        <sz val="12"/>
        <color theme="1"/>
        <rFont val="Cambria"/>
        <family val="1"/>
        <scheme val="major"/>
      </rPr>
      <t>Term Exam</t>
    </r>
  </si>
  <si>
    <r>
      <t>3</t>
    </r>
    <r>
      <rPr>
        <b/>
        <vertAlign val="superscript"/>
        <sz val="12"/>
        <color theme="1"/>
        <rFont val="Cambria"/>
        <family val="1"/>
        <scheme val="major"/>
      </rPr>
      <t xml:space="preserve">rd  </t>
    </r>
    <r>
      <rPr>
        <b/>
        <sz val="12"/>
        <color theme="1"/>
        <rFont val="Cambria"/>
        <family val="1"/>
        <scheme val="major"/>
      </rPr>
      <t>Term Exam</t>
    </r>
  </si>
  <si>
    <t>Final Position of The Examination :-</t>
  </si>
</sst>
</file>

<file path=xl/styles.xml><?xml version="1.0" encoding="utf-8"?>
<styleSheet xmlns="http://schemas.openxmlformats.org/spreadsheetml/2006/main">
  <numFmts count="4">
    <numFmt numFmtId="164" formatCode="00000\-0000"/>
    <numFmt numFmtId="165" formatCode="0.0"/>
    <numFmt numFmtId="166" formatCode="0.00;[Red]0.00"/>
    <numFmt numFmtId="167" formatCode="00"/>
  </numFmts>
  <fonts count="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 tint="-0.499984740745262"/>
      <name val="Times New Roman"/>
      <family val="1"/>
    </font>
    <font>
      <sz val="12"/>
      <color theme="2" tint="-0.499984740745262"/>
      <name val="Times New Roman"/>
      <family val="1"/>
    </font>
    <font>
      <b/>
      <sz val="16"/>
      <color theme="2" tint="-0.499984740745262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color rgb="FF00B0F0"/>
      <name val="Tempus Sans ITC"/>
      <family val="5"/>
    </font>
    <font>
      <b/>
      <sz val="11"/>
      <color rgb="FF00B0F0"/>
      <name val="Tempus Sans ITC"/>
      <family val="5"/>
    </font>
    <font>
      <b/>
      <sz val="11"/>
      <color rgb="FF00B0F0"/>
      <name val="Calibri"/>
      <family val="2"/>
      <scheme val="minor"/>
    </font>
    <font>
      <b/>
      <sz val="11"/>
      <color theme="1" tint="0.499984740745262"/>
      <name val="Tempus Sans ITC"/>
      <family val="5"/>
    </font>
    <font>
      <sz val="12"/>
      <color theme="1" tint="0.499984740745262"/>
      <name val="Times New Roman"/>
      <family val="1"/>
    </font>
    <font>
      <b/>
      <sz val="14"/>
      <color theme="1" tint="0.499984740745262"/>
      <name val="Times New Roman"/>
      <family val="1"/>
    </font>
    <font>
      <b/>
      <sz val="11"/>
      <color theme="1" tint="0.499984740745262"/>
      <name val="Times New Roman"/>
      <family val="1"/>
    </font>
    <font>
      <sz val="11"/>
      <color theme="1"/>
      <name val="Times New Roman"/>
      <family val="1"/>
    </font>
    <font>
      <b/>
      <sz val="8"/>
      <color theme="1"/>
      <name val="Times New Roman"/>
      <family val="1"/>
    </font>
    <font>
      <b/>
      <sz val="12"/>
      <color theme="1" tint="0.499984740745262"/>
      <name val="Times New Roman"/>
      <family val="1"/>
    </font>
    <font>
      <b/>
      <sz val="10"/>
      <color theme="3" tint="0.39997558519241921"/>
      <name val="Times New Roman"/>
      <family val="1"/>
    </font>
    <font>
      <b/>
      <sz val="10"/>
      <color rgb="FFFF0000"/>
      <name val="Times New Roman"/>
      <family val="1"/>
    </font>
    <font>
      <b/>
      <sz val="12"/>
      <name val="Tempus Sans ITC"/>
      <family val="5"/>
    </font>
    <font>
      <b/>
      <sz val="11"/>
      <name val="Tempus Sans ITC"/>
      <family val="5"/>
    </font>
    <font>
      <b/>
      <sz val="18"/>
      <name val="Tempus Sans ITC"/>
      <family val="5"/>
    </font>
    <font>
      <b/>
      <sz val="10"/>
      <name val="Tempus Sans ITC"/>
      <family val="5"/>
    </font>
    <font>
      <sz val="8"/>
      <color theme="1" tint="0.499984740745262"/>
      <name val="Lucida Handwriting"/>
      <family val="4"/>
    </font>
    <font>
      <sz val="8"/>
      <color rgb="FFFF0000"/>
      <name val="Lucida Handwriting"/>
      <family val="4"/>
    </font>
    <font>
      <b/>
      <sz val="9"/>
      <color theme="3" tint="0.39997558519241921"/>
      <name val="Times New Roman"/>
      <family val="1"/>
    </font>
    <font>
      <sz val="12"/>
      <name val="Times New Roman"/>
      <family val="1"/>
    </font>
    <font>
      <sz val="18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sz val="15"/>
      <name val="Times New Roman"/>
      <family val="1"/>
    </font>
    <font>
      <b/>
      <sz val="11"/>
      <color theme="1"/>
      <name val="Cambria"/>
      <family val="1"/>
      <scheme val="major"/>
    </font>
    <font>
      <b/>
      <sz val="18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u/>
      <sz val="11"/>
      <color theme="1"/>
      <name val="Cambria"/>
      <family val="1"/>
      <scheme val="major"/>
    </font>
    <font>
      <sz val="11"/>
      <color rgb="FFFF0000"/>
      <name val="Calibri"/>
      <family val="2"/>
      <scheme val="minor"/>
    </font>
    <font>
      <sz val="15"/>
      <color theme="1"/>
      <name val="Algerian"/>
      <family val="5"/>
    </font>
    <font>
      <b/>
      <sz val="28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b/>
      <sz val="10"/>
      <color theme="1"/>
      <name val="Cambria"/>
      <family val="1"/>
      <scheme val="major"/>
    </font>
    <font>
      <b/>
      <sz val="10"/>
      <color theme="1"/>
      <name val="Times New Roman"/>
      <family val="1"/>
    </font>
    <font>
      <b/>
      <sz val="8"/>
      <name val="Times New Roman"/>
      <family val="1"/>
    </font>
    <font>
      <sz val="8"/>
      <color theme="1"/>
      <name val="Times New Roman"/>
      <family val="1"/>
    </font>
    <font>
      <sz val="10"/>
      <color theme="1"/>
      <name val="Cambria"/>
      <family val="1"/>
      <scheme val="major"/>
    </font>
    <font>
      <sz val="10"/>
      <name val="Times New Roman"/>
      <family val="1"/>
    </font>
    <font>
      <sz val="10"/>
      <name val="Arial"/>
      <family val="2"/>
    </font>
    <font>
      <sz val="11"/>
      <name val="Calibri"/>
      <family val="2"/>
      <scheme val="minor"/>
    </font>
    <font>
      <b/>
      <sz val="28"/>
      <name val="Algerian"/>
      <family val="5"/>
    </font>
    <font>
      <sz val="28"/>
      <name val="Algerian"/>
      <family val="5"/>
    </font>
    <font>
      <b/>
      <sz val="10"/>
      <name val="Cambria"/>
      <family val="1"/>
      <scheme val="major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sz val="8"/>
      <name val="Times New Roman"/>
      <family val="1"/>
    </font>
    <font>
      <sz val="10"/>
      <name val="Cambria"/>
      <family val="1"/>
      <scheme val="major"/>
    </font>
    <font>
      <sz val="14"/>
      <name val="Arial"/>
      <family val="2"/>
    </font>
    <font>
      <sz val="14"/>
      <name val="Times New Roman"/>
      <family val="1"/>
    </font>
    <font>
      <sz val="14"/>
      <color theme="1"/>
      <name val="Times New Roman"/>
      <family val="1"/>
    </font>
    <font>
      <sz val="18"/>
      <color theme="1"/>
      <name val="Times New Roman"/>
      <family val="1"/>
    </font>
    <font>
      <sz val="13"/>
      <name val="Arial"/>
      <family val="2"/>
    </font>
    <font>
      <b/>
      <sz val="13"/>
      <name val="Arial"/>
      <family val="2"/>
    </font>
    <font>
      <sz val="8"/>
      <name val="Cambria"/>
      <family val="1"/>
    </font>
    <font>
      <sz val="12"/>
      <name val="Cambria"/>
      <family val="1"/>
    </font>
    <font>
      <sz val="10"/>
      <name val="Cambria"/>
      <family val="1"/>
    </font>
    <font>
      <b/>
      <sz val="11"/>
      <name val="Arial"/>
      <family val="2"/>
    </font>
    <font>
      <b/>
      <sz val="8"/>
      <name val="Cambria"/>
      <family val="1"/>
      <scheme val="maj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2"/>
      <color theme="1"/>
      <name val="Cambria"/>
      <family val="1"/>
      <scheme val="major"/>
    </font>
    <font>
      <b/>
      <sz val="12"/>
      <name val="Calibri"/>
      <family val="2"/>
      <scheme val="minor"/>
    </font>
    <font>
      <b/>
      <sz val="11"/>
      <color theme="1"/>
      <name val="Times New Roman"/>
      <family val="1"/>
    </font>
    <font>
      <b/>
      <vertAlign val="superscript"/>
      <sz val="12"/>
      <color theme="1"/>
      <name val="Cambria"/>
      <family val="1"/>
      <scheme val="major"/>
    </font>
    <font>
      <b/>
      <sz val="14"/>
      <color theme="1"/>
      <name val="Cambria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B050"/>
      </right>
      <top/>
      <bottom/>
      <diagonal/>
    </border>
    <border>
      <left style="thin">
        <color rgb="FF00B050"/>
      </left>
      <right/>
      <top style="thin">
        <color rgb="FF00B050"/>
      </top>
      <bottom/>
      <diagonal/>
    </border>
    <border>
      <left/>
      <right/>
      <top style="thin">
        <color rgb="FF00B050"/>
      </top>
      <bottom/>
      <diagonal/>
    </border>
    <border>
      <left/>
      <right style="thin">
        <color rgb="FF00B050"/>
      </right>
      <top style="thin">
        <color rgb="FF00B050"/>
      </top>
      <bottom/>
      <diagonal/>
    </border>
    <border>
      <left style="thin">
        <color rgb="FF00B050"/>
      </left>
      <right/>
      <top/>
      <bottom/>
      <diagonal/>
    </border>
    <border>
      <left style="thin">
        <color rgb="FF00B050"/>
      </left>
      <right/>
      <top/>
      <bottom style="thin">
        <color rgb="FF00B050"/>
      </bottom>
      <diagonal/>
    </border>
    <border>
      <left/>
      <right/>
      <top/>
      <bottom style="thin">
        <color rgb="FF00B050"/>
      </bottom>
      <diagonal/>
    </border>
    <border>
      <left/>
      <right style="thin">
        <color rgb="FF00B050"/>
      </right>
      <top/>
      <bottom style="thin">
        <color rgb="FF00B05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B050"/>
      </right>
      <top style="thin">
        <color indexed="64"/>
      </top>
      <bottom style="thin">
        <color indexed="64"/>
      </bottom>
      <diagonal/>
    </border>
    <border>
      <left/>
      <right style="thin">
        <color rgb="FF00B050"/>
      </right>
      <top style="thin">
        <color indexed="64"/>
      </top>
      <bottom/>
      <diagonal/>
    </border>
    <border>
      <left/>
      <right style="thin">
        <color rgb="FF00B05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6" fillId="0" borderId="0"/>
  </cellStyleXfs>
  <cellXfs count="269">
    <xf numFmtId="0" fontId="0" fillId="0" borderId="0" xfId="0"/>
    <xf numFmtId="0" fontId="0" fillId="0" borderId="4" xfId="0" applyBorder="1"/>
    <xf numFmtId="0" fontId="0" fillId="3" borderId="0" xfId="0" applyFill="1"/>
    <xf numFmtId="0" fontId="7" fillId="3" borderId="0" xfId="0" applyFont="1" applyFill="1" applyAlignment="1">
      <alignment horizontal="center" vertic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8" fillId="3" borderId="0" xfId="0" applyFont="1" applyFill="1" applyAlignment="1">
      <alignment horizontal="center"/>
    </xf>
    <xf numFmtId="0" fontId="8" fillId="3" borderId="0" xfId="0" applyFont="1" applyFill="1"/>
    <xf numFmtId="0" fontId="5" fillId="3" borderId="0" xfId="0" applyFont="1" applyFill="1" applyAlignment="1">
      <alignment horizontal="center"/>
    </xf>
    <xf numFmtId="0" fontId="16" fillId="3" borderId="0" xfId="0" applyFont="1" applyFill="1" applyAlignment="1">
      <alignment horizontal="left"/>
    </xf>
    <xf numFmtId="0" fontId="16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right" vertical="center"/>
    </xf>
    <xf numFmtId="0" fontId="16" fillId="3" borderId="22" xfId="0" applyFont="1" applyFill="1" applyBorder="1" applyAlignment="1">
      <alignment horizontal="left"/>
    </xf>
    <xf numFmtId="0" fontId="17" fillId="3" borderId="2" xfId="0" applyFont="1" applyFill="1" applyBorder="1" applyAlignment="1">
      <alignment horizontal="left"/>
    </xf>
    <xf numFmtId="0" fontId="16" fillId="3" borderId="3" xfId="0" applyFont="1" applyFill="1" applyBorder="1" applyAlignment="1">
      <alignment horizontal="left"/>
    </xf>
    <xf numFmtId="0" fontId="16" fillId="3" borderId="12" xfId="0" applyFont="1" applyFill="1" applyBorder="1" applyAlignment="1">
      <alignment horizontal="left"/>
    </xf>
    <xf numFmtId="0" fontId="16" fillId="3" borderId="24" xfId="0" applyFont="1" applyFill="1" applyBorder="1" applyAlignment="1">
      <alignment horizontal="left"/>
    </xf>
    <xf numFmtId="0" fontId="16" fillId="3" borderId="15" xfId="0" applyFont="1" applyFill="1" applyBorder="1" applyAlignment="1">
      <alignment horizontal="left"/>
    </xf>
    <xf numFmtId="0" fontId="16" fillId="3" borderId="16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center" vertical="center"/>
    </xf>
    <xf numFmtId="1" fontId="3" fillId="3" borderId="1" xfId="0" applyNumberFormat="1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1" fontId="15" fillId="3" borderId="1" xfId="0" applyNumberFormat="1" applyFont="1" applyFill="1" applyBorder="1" applyAlignment="1">
      <alignment horizontal="center" vertical="center"/>
    </xf>
    <xf numFmtId="1" fontId="10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textRotation="90" wrapText="1"/>
    </xf>
    <xf numFmtId="0" fontId="11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3" borderId="0" xfId="0" applyFont="1" applyFill="1"/>
    <xf numFmtId="0" fontId="0" fillId="0" borderId="0" xfId="0" applyAlignment="1">
      <alignment horizontal="left"/>
    </xf>
    <xf numFmtId="0" fontId="33" fillId="0" borderId="0" xfId="0" applyFont="1"/>
    <xf numFmtId="0" fontId="42" fillId="0" borderId="1" xfId="0" applyFont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left" vertical="center"/>
    </xf>
    <xf numFmtId="0" fontId="25" fillId="2" borderId="1" xfId="0" applyFont="1" applyFill="1" applyBorder="1" applyAlignment="1">
      <alignment horizontal="center" vertical="center" wrapText="1"/>
    </xf>
    <xf numFmtId="0" fontId="34" fillId="0" borderId="0" xfId="0" applyFont="1"/>
    <xf numFmtId="0" fontId="25" fillId="2" borderId="1" xfId="0" applyFont="1" applyFill="1" applyBorder="1" applyAlignment="1">
      <alignment horizontal="center" vertical="center"/>
    </xf>
    <xf numFmtId="0" fontId="45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left" vertical="center"/>
    </xf>
    <xf numFmtId="0" fontId="25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left" vertical="center" wrapText="1"/>
    </xf>
    <xf numFmtId="0" fontId="44" fillId="0" borderId="0" xfId="0" applyFont="1"/>
    <xf numFmtId="0" fontId="43" fillId="2" borderId="0" xfId="0" applyFont="1" applyFill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5" fillId="0" borderId="0" xfId="0" applyFont="1" applyBorder="1"/>
    <xf numFmtId="0" fontId="0" fillId="0" borderId="0" xfId="0" applyBorder="1"/>
    <xf numFmtId="0" fontId="25" fillId="0" borderId="1" xfId="0" applyFont="1" applyBorder="1" applyAlignment="1">
      <alignment horizontal="center" vertical="center"/>
    </xf>
    <xf numFmtId="0" fontId="45" fillId="0" borderId="1" xfId="0" applyFont="1" applyBorder="1" applyAlignment="1">
      <alignment horizontal="left" vertical="center"/>
    </xf>
    <xf numFmtId="0" fontId="45" fillId="0" borderId="1" xfId="0" applyFont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0" fillId="2" borderId="31" xfId="0" applyFont="1" applyFill="1" applyBorder="1" applyAlignment="1">
      <alignment horizontal="left" vertical="center"/>
    </xf>
    <xf numFmtId="0" fontId="32" fillId="2" borderId="32" xfId="0" applyFont="1" applyFill="1" applyBorder="1" applyAlignment="1">
      <alignment horizontal="center" vertical="center"/>
    </xf>
    <xf numFmtId="0" fontId="0" fillId="2" borderId="32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2" borderId="33" xfId="0" applyFill="1" applyBorder="1" applyAlignment="1">
      <alignment vertical="center"/>
    </xf>
    <xf numFmtId="0" fontId="30" fillId="2" borderId="27" xfId="0" applyFont="1" applyFill="1" applyBorder="1" applyAlignment="1">
      <alignment horizontal="left" vertical="center"/>
    </xf>
    <xf numFmtId="0" fontId="32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28" xfId="0" applyFill="1" applyBorder="1" applyAlignment="1">
      <alignment vertical="center"/>
    </xf>
    <xf numFmtId="0" fontId="30" fillId="2" borderId="27" xfId="0" applyFont="1" applyFill="1" applyBorder="1" applyAlignment="1">
      <alignment vertical="center"/>
    </xf>
    <xf numFmtId="0" fontId="33" fillId="0" borderId="0" xfId="0" applyFont="1" applyAlignment="1">
      <alignment horizontal="right"/>
    </xf>
    <xf numFmtId="0" fontId="14" fillId="0" borderId="1" xfId="0" applyFont="1" applyBorder="1" applyAlignment="1">
      <alignment horizontal="center" vertical="center" wrapText="1"/>
    </xf>
    <xf numFmtId="0" fontId="47" fillId="0" borderId="0" xfId="0" applyFont="1"/>
    <xf numFmtId="0" fontId="52" fillId="0" borderId="1" xfId="0" applyFont="1" applyBorder="1"/>
    <xf numFmtId="0" fontId="47" fillId="0" borderId="1" xfId="0" applyFont="1" applyBorder="1"/>
    <xf numFmtId="0" fontId="53" fillId="2" borderId="1" xfId="0" applyFont="1" applyFill="1" applyBorder="1" applyAlignment="1">
      <alignment horizontal="center" vertical="center"/>
    </xf>
    <xf numFmtId="0" fontId="47" fillId="2" borderId="0" xfId="0" applyFont="1" applyFill="1"/>
    <xf numFmtId="0" fontId="53" fillId="2" borderId="0" xfId="0" applyFont="1" applyFill="1" applyBorder="1" applyAlignment="1">
      <alignment horizontal="center" vertical="center"/>
    </xf>
    <xf numFmtId="2" fontId="55" fillId="2" borderId="1" xfId="1" applyNumberFormat="1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" fontId="58" fillId="2" borderId="1" xfId="0" applyNumberFormat="1" applyFont="1" applyFill="1" applyBorder="1" applyAlignment="1">
      <alignment horizontal="center" vertical="center"/>
    </xf>
    <xf numFmtId="167" fontId="59" fillId="0" borderId="1" xfId="2" applyNumberFormat="1" applyFont="1" applyBorder="1" applyAlignment="1">
      <alignment horizontal="center" vertical="center"/>
    </xf>
    <xf numFmtId="167" fontId="59" fillId="5" borderId="1" xfId="2" applyNumberFormat="1" applyFont="1" applyFill="1" applyBorder="1" applyAlignment="1">
      <alignment horizontal="center" vertical="center"/>
    </xf>
    <xf numFmtId="0" fontId="59" fillId="2" borderId="1" xfId="0" applyFont="1" applyFill="1" applyBorder="1" applyAlignment="1">
      <alignment horizontal="center" vertical="center"/>
    </xf>
    <xf numFmtId="0" fontId="59" fillId="0" borderId="1" xfId="0" applyFont="1" applyBorder="1" applyAlignment="1">
      <alignment horizontal="center" vertical="center"/>
    </xf>
    <xf numFmtId="167" fontId="60" fillId="0" borderId="1" xfId="2" applyNumberFormat="1" applyFont="1" applyBorder="1" applyAlignment="1">
      <alignment horizontal="center" vertical="center"/>
    </xf>
    <xf numFmtId="0" fontId="0" fillId="0" borderId="35" xfId="0" applyBorder="1"/>
    <xf numFmtId="167" fontId="60" fillId="5" borderId="1" xfId="2" applyNumberFormat="1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2" borderId="1" xfId="0" applyFont="1" applyFill="1" applyBorder="1" applyAlignment="1">
      <alignment horizontal="center" vertical="center"/>
    </xf>
    <xf numFmtId="0" fontId="62" fillId="2" borderId="1" xfId="0" applyFont="1" applyFill="1" applyBorder="1" applyAlignment="1">
      <alignment horizontal="left" vertical="center"/>
    </xf>
    <xf numFmtId="0" fontId="62" fillId="2" borderId="1" xfId="0" applyFont="1" applyFill="1" applyBorder="1" applyAlignment="1">
      <alignment horizontal="center" vertical="center" wrapText="1"/>
    </xf>
    <xf numFmtId="0" fontId="63" fillId="2" borderId="1" xfId="0" applyFont="1" applyFill="1" applyBorder="1" applyAlignment="1">
      <alignment horizontal="center" vertical="center"/>
    </xf>
    <xf numFmtId="2" fontId="63" fillId="2" borderId="1" xfId="1" applyNumberFormat="1" applyFont="1" applyFill="1" applyBorder="1" applyAlignment="1">
      <alignment horizontal="center" vertical="center"/>
    </xf>
    <xf numFmtId="1" fontId="63" fillId="2" borderId="1" xfId="0" applyNumberFormat="1" applyFont="1" applyFill="1" applyBorder="1" applyAlignment="1">
      <alignment horizontal="center" vertical="center"/>
    </xf>
    <xf numFmtId="0" fontId="63" fillId="0" borderId="1" xfId="0" applyFont="1" applyBorder="1" applyAlignment="1">
      <alignment horizontal="center" vertical="center"/>
    </xf>
    <xf numFmtId="0" fontId="62" fillId="2" borderId="1" xfId="0" applyFont="1" applyFill="1" applyBorder="1" applyAlignment="1">
      <alignment horizontal="left" vertical="center" wrapText="1"/>
    </xf>
    <xf numFmtId="0" fontId="63" fillId="2" borderId="1" xfId="0" applyFont="1" applyFill="1" applyBorder="1" applyAlignment="1">
      <alignment horizontal="left" vertical="center"/>
    </xf>
    <xf numFmtId="0" fontId="63" fillId="2" borderId="1" xfId="0" applyFont="1" applyFill="1" applyBorder="1" applyAlignment="1">
      <alignment horizontal="center" vertical="center" wrapText="1"/>
    </xf>
    <xf numFmtId="2" fontId="63" fillId="0" borderId="1" xfId="1" applyNumberFormat="1" applyFont="1" applyFill="1" applyBorder="1" applyAlignment="1">
      <alignment horizontal="center" vertical="center"/>
    </xf>
    <xf numFmtId="1" fontId="59" fillId="0" borderId="1" xfId="0" applyNumberFormat="1" applyFont="1" applyBorder="1" applyAlignment="1">
      <alignment horizontal="center" vertical="center"/>
    </xf>
    <xf numFmtId="1" fontId="59" fillId="2" borderId="1" xfId="0" applyNumberFormat="1" applyFont="1" applyFill="1" applyBorder="1" applyAlignment="1">
      <alignment horizontal="center" vertical="center"/>
    </xf>
    <xf numFmtId="0" fontId="59" fillId="5" borderId="1" xfId="0" applyFont="1" applyFill="1" applyBorder="1" applyAlignment="1">
      <alignment horizontal="center" vertical="center"/>
    </xf>
    <xf numFmtId="1" fontId="59" fillId="5" borderId="1" xfId="0" applyNumberFormat="1" applyFont="1" applyFill="1" applyBorder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25" fillId="0" borderId="25" xfId="0" applyFont="1" applyBorder="1" applyAlignment="1">
      <alignment horizontal="center" vertical="center"/>
    </xf>
    <xf numFmtId="0" fontId="25" fillId="0" borderId="25" xfId="0" applyFont="1" applyBorder="1" applyAlignment="1">
      <alignment horizontal="left" vertical="center"/>
    </xf>
    <xf numFmtId="0" fontId="25" fillId="0" borderId="25" xfId="0" applyFont="1" applyBorder="1" applyAlignment="1">
      <alignment horizontal="center" vertical="center" wrapText="1"/>
    </xf>
    <xf numFmtId="0" fontId="45" fillId="2" borderId="25" xfId="0" applyFont="1" applyFill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4" xfId="0" applyFont="1" applyBorder="1" applyAlignment="1">
      <alignment horizontal="left" vertical="center"/>
    </xf>
    <xf numFmtId="0" fontId="45" fillId="0" borderId="34" xfId="0" applyFont="1" applyBorder="1" applyAlignment="1">
      <alignment horizontal="center" vertical="center" wrapText="1"/>
    </xf>
    <xf numFmtId="0" fontId="45" fillId="2" borderId="34" xfId="0" applyFont="1" applyFill="1" applyBorder="1" applyAlignment="1">
      <alignment horizontal="center" vertical="center"/>
    </xf>
    <xf numFmtId="0" fontId="52" fillId="0" borderId="0" xfId="0" applyFont="1" applyBorder="1"/>
    <xf numFmtId="0" fontId="47" fillId="0" borderId="0" xfId="0" applyFont="1" applyBorder="1"/>
    <xf numFmtId="1" fontId="45" fillId="2" borderId="1" xfId="0" applyNumberFormat="1" applyFont="1" applyFill="1" applyBorder="1" applyAlignment="1">
      <alignment horizontal="center" vertical="center"/>
    </xf>
    <xf numFmtId="0" fontId="53" fillId="2" borderId="25" xfId="0" applyFont="1" applyFill="1" applyBorder="1" applyAlignment="1">
      <alignment horizontal="center" vertical="center"/>
    </xf>
    <xf numFmtId="0" fontId="53" fillId="2" borderId="34" xfId="0" applyFont="1" applyFill="1" applyBorder="1" applyAlignment="1">
      <alignment horizontal="center" vertical="center"/>
    </xf>
    <xf numFmtId="0" fontId="47" fillId="0" borderId="35" xfId="0" applyFont="1" applyBorder="1"/>
    <xf numFmtId="0" fontId="64" fillId="2" borderId="1" xfId="0" applyFont="1" applyFill="1" applyBorder="1" applyAlignment="1">
      <alignment horizontal="center" vertical="center"/>
    </xf>
    <xf numFmtId="1" fontId="64" fillId="2" borderId="1" xfId="0" applyNumberFormat="1" applyFont="1" applyFill="1" applyBorder="1" applyAlignment="1">
      <alignment horizontal="center" vertical="center"/>
    </xf>
    <xf numFmtId="2" fontId="64" fillId="2" borderId="1" xfId="1" applyNumberFormat="1" applyFont="1" applyFill="1" applyBorder="1" applyAlignment="1">
      <alignment horizontal="center" vertical="center"/>
    </xf>
    <xf numFmtId="0" fontId="64" fillId="2" borderId="25" xfId="0" applyFont="1" applyFill="1" applyBorder="1" applyAlignment="1">
      <alignment horizontal="center" vertical="center"/>
    </xf>
    <xf numFmtId="1" fontId="64" fillId="2" borderId="25" xfId="0" applyNumberFormat="1" applyFont="1" applyFill="1" applyBorder="1" applyAlignment="1">
      <alignment horizontal="center" vertical="center"/>
    </xf>
    <xf numFmtId="2" fontId="64" fillId="2" borderId="25" xfId="1" applyNumberFormat="1" applyFont="1" applyFill="1" applyBorder="1" applyAlignment="1">
      <alignment horizontal="center" vertical="center"/>
    </xf>
    <xf numFmtId="1" fontId="64" fillId="2" borderId="34" xfId="0" applyNumberFormat="1" applyFont="1" applyFill="1" applyBorder="1" applyAlignment="1">
      <alignment horizontal="center" vertical="center"/>
    </xf>
    <xf numFmtId="0" fontId="64" fillId="2" borderId="34" xfId="0" applyFont="1" applyFill="1" applyBorder="1" applyAlignment="1">
      <alignment horizontal="center" vertical="center"/>
    </xf>
    <xf numFmtId="2" fontId="64" fillId="2" borderId="34" xfId="1" applyNumberFormat="1" applyFont="1" applyFill="1" applyBorder="1" applyAlignment="1">
      <alignment horizontal="center" vertical="center"/>
    </xf>
    <xf numFmtId="0" fontId="64" fillId="0" borderId="1" xfId="0" applyFont="1" applyBorder="1" applyAlignment="1">
      <alignment horizontal="center" vertical="center"/>
    </xf>
    <xf numFmtId="1" fontId="64" fillId="0" borderId="1" xfId="0" applyNumberFormat="1" applyFont="1" applyBorder="1" applyAlignment="1">
      <alignment horizontal="center" vertical="center"/>
    </xf>
    <xf numFmtId="2" fontId="64" fillId="0" borderId="1" xfId="1" applyNumberFormat="1" applyFont="1" applyFill="1" applyBorder="1" applyAlignment="1">
      <alignment horizontal="center" vertical="center"/>
    </xf>
    <xf numFmtId="0" fontId="55" fillId="2" borderId="1" xfId="0" applyFont="1" applyFill="1" applyBorder="1" applyAlignment="1">
      <alignment horizontal="center" vertical="center"/>
    </xf>
    <xf numFmtId="1" fontId="55" fillId="2" borderId="1" xfId="0" applyNumberFormat="1" applyFont="1" applyFill="1" applyBorder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1" fontId="63" fillId="2" borderId="1" xfId="0" applyNumberFormat="1" applyFont="1" applyFill="1" applyBorder="1" applyAlignment="1">
      <alignment horizontal="center" vertical="center"/>
    </xf>
    <xf numFmtId="1" fontId="64" fillId="2" borderId="1" xfId="0" applyNumberFormat="1" applyFont="1" applyFill="1" applyBorder="1" applyAlignment="1">
      <alignment horizontal="center" vertical="center"/>
    </xf>
    <xf numFmtId="0" fontId="64" fillId="2" borderId="1" xfId="0" applyFont="1" applyFill="1" applyBorder="1" applyAlignment="1">
      <alignment horizontal="center" vertical="center"/>
    </xf>
    <xf numFmtId="0" fontId="53" fillId="2" borderId="14" xfId="0" applyFont="1" applyFill="1" applyBorder="1" applyAlignment="1">
      <alignment horizontal="center" vertical="center"/>
    </xf>
    <xf numFmtId="1" fontId="55" fillId="2" borderId="14" xfId="0" applyNumberFormat="1" applyFont="1" applyFill="1" applyBorder="1" applyAlignment="1">
      <alignment horizontal="center" vertical="center"/>
    </xf>
    <xf numFmtId="0" fontId="55" fillId="2" borderId="14" xfId="0" applyFont="1" applyFill="1" applyBorder="1" applyAlignment="1">
      <alignment horizontal="center" vertical="center"/>
    </xf>
    <xf numFmtId="0" fontId="57" fillId="2" borderId="1" xfId="0" applyFont="1" applyFill="1" applyBorder="1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1" fontId="57" fillId="2" borderId="1" xfId="0" applyNumberFormat="1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left" vertical="center" wrapText="1"/>
    </xf>
    <xf numFmtId="0" fontId="45" fillId="2" borderId="1" xfId="0" applyFont="1" applyFill="1" applyBorder="1" applyAlignment="1">
      <alignment horizontal="left" vertical="center"/>
    </xf>
    <xf numFmtId="0" fontId="47" fillId="2" borderId="0" xfId="0" applyFont="1" applyFill="1" applyAlignment="1">
      <alignment horizontal="center"/>
    </xf>
    <xf numFmtId="0" fontId="54" fillId="2" borderId="1" xfId="0" applyFont="1" applyFill="1" applyBorder="1" applyAlignment="1">
      <alignment horizontal="center" vertical="center" wrapText="1"/>
    </xf>
    <xf numFmtId="0" fontId="25" fillId="2" borderId="18" xfId="0" applyFont="1" applyFill="1" applyBorder="1" applyAlignment="1">
      <alignment horizontal="left" vertical="center"/>
    </xf>
    <xf numFmtId="0" fontId="54" fillId="2" borderId="0" xfId="0" applyFont="1" applyFill="1"/>
    <xf numFmtId="0" fontId="54" fillId="2" borderId="0" xfId="0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65" fillId="6" borderId="1" xfId="0" applyFont="1" applyFill="1" applyBorder="1" applyAlignment="1">
      <alignment horizontal="center" vertical="center"/>
    </xf>
    <xf numFmtId="0" fontId="65" fillId="6" borderId="1" xfId="0" applyFont="1" applyFill="1" applyBorder="1" applyAlignment="1">
      <alignment horizontal="center" vertical="center" wrapText="1"/>
    </xf>
    <xf numFmtId="1" fontId="67" fillId="2" borderId="1" xfId="0" applyNumberFormat="1" applyFont="1" applyFill="1" applyBorder="1" applyAlignment="1">
      <alignment horizontal="center" vertical="center"/>
    </xf>
    <xf numFmtId="0" fontId="54" fillId="2" borderId="0" xfId="0" applyFont="1" applyFill="1" applyAlignment="1">
      <alignment vertical="center"/>
    </xf>
    <xf numFmtId="0" fontId="53" fillId="2" borderId="0" xfId="0" applyFont="1" applyFill="1" applyAlignment="1">
      <alignment vertical="center"/>
    </xf>
    <xf numFmtId="1" fontId="66" fillId="0" borderId="1" xfId="0" applyNumberFormat="1" applyFont="1" applyBorder="1" applyAlignment="1">
      <alignment horizontal="center" vertical="center"/>
    </xf>
    <xf numFmtId="0" fontId="64" fillId="2" borderId="1" xfId="0" applyFont="1" applyFill="1" applyBorder="1" applyAlignment="1">
      <alignment horizontal="center" vertical="center"/>
    </xf>
    <xf numFmtId="0" fontId="64" fillId="0" borderId="1" xfId="0" applyFont="1" applyBorder="1" applyAlignment="1">
      <alignment vertical="center"/>
    </xf>
    <xf numFmtId="2" fontId="41" fillId="0" borderId="1" xfId="0" applyNumberFormat="1" applyFont="1" applyBorder="1" applyAlignment="1">
      <alignment horizontal="center" vertical="center"/>
    </xf>
    <xf numFmtId="0" fontId="30" fillId="2" borderId="32" xfId="0" applyFont="1" applyFill="1" applyBorder="1" applyAlignment="1">
      <alignment vertical="center"/>
    </xf>
    <xf numFmtId="0" fontId="30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68" fillId="2" borderId="0" xfId="0" applyFont="1" applyFill="1" applyAlignment="1">
      <alignment vertical="center"/>
    </xf>
    <xf numFmtId="1" fontId="70" fillId="2" borderId="0" xfId="0" applyNumberFormat="1" applyFont="1" applyFill="1" applyAlignment="1">
      <alignment horizontal="left" vertical="center"/>
    </xf>
    <xf numFmtId="0" fontId="30" fillId="2" borderId="0" xfId="0" applyFont="1" applyFill="1" applyAlignment="1">
      <alignment horizontal="left" vertical="center"/>
    </xf>
    <xf numFmtId="0" fontId="68" fillId="2" borderId="32" xfId="0" applyFont="1" applyFill="1" applyBorder="1" applyAlignment="1">
      <alignment vertical="center"/>
    </xf>
    <xf numFmtId="0" fontId="32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68" fillId="2" borderId="1" xfId="0" applyFont="1" applyFill="1" applyBorder="1" applyAlignment="1">
      <alignment horizontal="center" vertical="center"/>
    </xf>
    <xf numFmtId="1" fontId="68" fillId="2" borderId="1" xfId="0" applyNumberFormat="1" applyFont="1" applyFill="1" applyBorder="1" applyAlignment="1">
      <alignment horizontal="center" vertical="center"/>
    </xf>
    <xf numFmtId="2" fontId="68" fillId="2" borderId="1" xfId="0" applyNumberFormat="1" applyFont="1" applyFill="1" applyBorder="1" applyAlignment="1">
      <alignment horizontal="center" vertical="center"/>
    </xf>
    <xf numFmtId="165" fontId="68" fillId="2" borderId="1" xfId="0" applyNumberFormat="1" applyFont="1" applyFill="1" applyBorder="1" applyAlignment="1">
      <alignment horizontal="center" vertical="center"/>
    </xf>
    <xf numFmtId="1" fontId="68" fillId="4" borderId="1" xfId="0" applyNumberFormat="1" applyFont="1" applyFill="1" applyBorder="1"/>
    <xf numFmtId="0" fontId="68" fillId="4" borderId="1" xfId="0" applyFont="1" applyFill="1" applyBorder="1"/>
    <xf numFmtId="1" fontId="68" fillId="4" borderId="1" xfId="0" applyNumberFormat="1" applyFont="1" applyFill="1" applyBorder="1" applyAlignment="1">
      <alignment horizontal="center" vertical="center"/>
    </xf>
    <xf numFmtId="0" fontId="42" fillId="0" borderId="1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42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 wrapText="1"/>
    </xf>
    <xf numFmtId="0" fontId="55" fillId="2" borderId="1" xfId="0" applyFont="1" applyFill="1" applyBorder="1" applyAlignment="1">
      <alignment horizontal="center" vertical="center"/>
    </xf>
    <xf numFmtId="1" fontId="55" fillId="2" borderId="1" xfId="0" applyNumberFormat="1" applyFont="1" applyFill="1" applyBorder="1" applyAlignment="1">
      <alignment horizontal="center" vertical="center"/>
    </xf>
    <xf numFmtId="1" fontId="59" fillId="2" borderId="1" xfId="0" applyNumberFormat="1" applyFont="1" applyFill="1" applyBorder="1" applyAlignment="1">
      <alignment horizontal="center" vertical="center"/>
    </xf>
    <xf numFmtId="0" fontId="59" fillId="2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1" fontId="63" fillId="2" borderId="1" xfId="0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/>
    </xf>
    <xf numFmtId="1" fontId="64" fillId="2" borderId="1" xfId="0" applyNumberFormat="1" applyFont="1" applyFill="1" applyBorder="1" applyAlignment="1">
      <alignment horizontal="center" vertical="center"/>
    </xf>
    <xf numFmtId="0" fontId="64" fillId="2" borderId="1" xfId="0" applyFont="1" applyFill="1" applyBorder="1" applyAlignment="1">
      <alignment horizontal="center" vertical="center"/>
    </xf>
    <xf numFmtId="0" fontId="68" fillId="0" borderId="25" xfId="0" applyFont="1" applyBorder="1" applyAlignment="1">
      <alignment horizontal="center" vertical="center" wrapText="1"/>
    </xf>
    <xf numFmtId="0" fontId="68" fillId="0" borderId="14" xfId="0" applyFont="1" applyBorder="1" applyAlignment="1">
      <alignment horizontal="center" vertical="center" wrapText="1"/>
    </xf>
    <xf numFmtId="0" fontId="68" fillId="0" borderId="25" xfId="0" applyFont="1" applyBorder="1" applyAlignment="1">
      <alignment horizontal="center" vertical="center"/>
    </xf>
    <xf numFmtId="0" fontId="68" fillId="0" borderId="14" xfId="0" applyFont="1" applyBorder="1" applyAlignment="1">
      <alignment horizontal="center" vertical="center"/>
    </xf>
    <xf numFmtId="0" fontId="65" fillId="6" borderId="1" xfId="0" applyFont="1" applyFill="1" applyBorder="1" applyAlignment="1">
      <alignment horizontal="center"/>
    </xf>
    <xf numFmtId="166" fontId="68" fillId="2" borderId="1" xfId="0" applyNumberFormat="1" applyFont="1" applyFill="1" applyBorder="1" applyAlignment="1">
      <alignment horizontal="center" vertical="center"/>
    </xf>
    <xf numFmtId="0" fontId="68" fillId="2" borderId="1" xfId="0" applyFont="1" applyFill="1" applyBorder="1" applyAlignment="1">
      <alignment horizontal="center" vertical="center"/>
    </xf>
    <xf numFmtId="1" fontId="68" fillId="2" borderId="1" xfId="0" applyNumberFormat="1" applyFont="1" applyFill="1" applyBorder="1" applyAlignment="1">
      <alignment horizontal="center" vertical="center"/>
    </xf>
    <xf numFmtId="165" fontId="68" fillId="2" borderId="1" xfId="0" applyNumberFormat="1" applyFont="1" applyFill="1" applyBorder="1" applyAlignment="1">
      <alignment horizontal="center" vertical="center"/>
    </xf>
    <xf numFmtId="0" fontId="68" fillId="4" borderId="1" xfId="0" applyFont="1" applyFill="1" applyBorder="1" applyAlignment="1">
      <alignment horizontal="center"/>
    </xf>
    <xf numFmtId="0" fontId="68" fillId="4" borderId="1" xfId="0" applyFont="1" applyFill="1" applyBorder="1" applyAlignment="1">
      <alignment horizontal="center" vertical="center"/>
    </xf>
    <xf numFmtId="2" fontId="68" fillId="2" borderId="1" xfId="0" applyNumberFormat="1" applyFont="1" applyFill="1" applyBorder="1" applyAlignment="1">
      <alignment horizontal="center" vertical="center"/>
    </xf>
    <xf numFmtId="0" fontId="30" fillId="2" borderId="31" xfId="0" applyFont="1" applyFill="1" applyBorder="1" applyAlignment="1">
      <alignment horizontal="center" wrapText="1"/>
    </xf>
    <xf numFmtId="0" fontId="30" fillId="2" borderId="32" xfId="0" applyFont="1" applyFill="1" applyBorder="1" applyAlignment="1">
      <alignment horizontal="center" wrapText="1"/>
    </xf>
    <xf numFmtId="0" fontId="30" fillId="2" borderId="33" xfId="0" applyFont="1" applyFill="1" applyBorder="1" applyAlignment="1">
      <alignment horizontal="center" wrapText="1"/>
    </xf>
    <xf numFmtId="0" fontId="30" fillId="2" borderId="27" xfId="0" applyFont="1" applyFill="1" applyBorder="1" applyAlignment="1">
      <alignment horizontal="center" wrapText="1"/>
    </xf>
    <xf numFmtId="0" fontId="30" fillId="2" borderId="0" xfId="0" applyFont="1" applyFill="1" applyBorder="1" applyAlignment="1">
      <alignment horizontal="center" wrapText="1"/>
    </xf>
    <xf numFmtId="0" fontId="30" fillId="2" borderId="28" xfId="0" applyFont="1" applyFill="1" applyBorder="1" applyAlignment="1">
      <alignment horizontal="center" wrapText="1"/>
    </xf>
    <xf numFmtId="0" fontId="30" fillId="2" borderId="29" xfId="0" applyFont="1" applyFill="1" applyBorder="1" applyAlignment="1">
      <alignment horizontal="center" wrapText="1"/>
    </xf>
    <xf numFmtId="0" fontId="30" fillId="2" borderId="26" xfId="0" applyFont="1" applyFill="1" applyBorder="1" applyAlignment="1">
      <alignment horizontal="center" wrapText="1"/>
    </xf>
    <xf numFmtId="0" fontId="30" fillId="2" borderId="30" xfId="0" applyFont="1" applyFill="1" applyBorder="1" applyAlignment="1">
      <alignment horizontal="center" wrapText="1"/>
    </xf>
    <xf numFmtId="0" fontId="30" fillId="2" borderId="0" xfId="0" applyFont="1" applyFill="1" applyBorder="1" applyAlignment="1">
      <alignment horizontal="left" vertical="center"/>
    </xf>
    <xf numFmtId="0" fontId="68" fillId="2" borderId="1" xfId="0" applyFont="1" applyFill="1" applyBorder="1" applyAlignment="1">
      <alignment horizontal="center" vertical="center" wrapText="1"/>
    </xf>
    <xf numFmtId="1" fontId="68" fillId="2" borderId="1" xfId="0" applyNumberFormat="1" applyFont="1" applyFill="1" applyBorder="1" applyAlignment="1">
      <alignment horizontal="center" vertical="center" textRotation="90" wrapText="1"/>
    </xf>
    <xf numFmtId="0" fontId="68" fillId="2" borderId="1" xfId="0" applyFont="1" applyFill="1" applyBorder="1" applyAlignment="1">
      <alignment horizontal="center" vertical="center" textRotation="90"/>
    </xf>
    <xf numFmtId="0" fontId="68" fillId="2" borderId="1" xfId="0" applyFont="1" applyFill="1" applyBorder="1" applyAlignment="1">
      <alignment horizontal="center" vertical="center" textRotation="90" wrapText="1"/>
    </xf>
    <xf numFmtId="0" fontId="72" fillId="2" borderId="3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3" fillId="3" borderId="8" xfId="0" applyFon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9" fillId="3" borderId="8" xfId="0" applyFont="1" applyFill="1" applyBorder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21" fillId="3" borderId="8" xfId="0" applyFont="1" applyFill="1" applyBorder="1" applyAlignment="1">
      <alignment horizontal="left" vertical="center"/>
    </xf>
    <xf numFmtId="0" fontId="21" fillId="3" borderId="0" xfId="0" applyFont="1" applyFill="1" applyAlignment="1">
      <alignment horizontal="left" vertical="center"/>
    </xf>
    <xf numFmtId="0" fontId="25" fillId="3" borderId="5" xfId="0" applyFont="1" applyFill="1" applyBorder="1" applyAlignment="1">
      <alignment horizontal="center" vertical="center" wrapText="1"/>
    </xf>
    <xf numFmtId="0" fontId="25" fillId="3" borderId="6" xfId="0" applyFont="1" applyFill="1" applyBorder="1" applyAlignment="1">
      <alignment horizontal="center" vertical="center" wrapText="1"/>
    </xf>
    <xf numFmtId="0" fontId="25" fillId="3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center" vertical="center" wrapText="1"/>
    </xf>
    <xf numFmtId="0" fontId="25" fillId="3" borderId="0" xfId="0" applyFont="1" applyFill="1" applyAlignment="1">
      <alignment horizontal="center" vertical="center" wrapText="1"/>
    </xf>
    <xf numFmtId="0" fontId="25" fillId="3" borderId="4" xfId="0" applyFont="1" applyFill="1" applyBorder="1" applyAlignment="1">
      <alignment horizontal="center" vertical="center" wrapText="1"/>
    </xf>
    <xf numFmtId="0" fontId="22" fillId="3" borderId="0" xfId="0" applyFont="1" applyFill="1" applyAlignment="1">
      <alignment horizontal="left"/>
    </xf>
    <xf numFmtId="49" fontId="22" fillId="3" borderId="2" xfId="0" applyNumberFormat="1" applyFont="1" applyFill="1" applyBorder="1" applyAlignment="1">
      <alignment horizontal="left"/>
    </xf>
    <xf numFmtId="0" fontId="22" fillId="3" borderId="2" xfId="0" applyFont="1" applyFill="1" applyBorder="1" applyAlignment="1">
      <alignment horizontal="left"/>
    </xf>
    <xf numFmtId="0" fontId="22" fillId="3" borderId="23" xfId="0" applyFont="1" applyFill="1" applyBorder="1" applyAlignment="1">
      <alignment horizontal="left"/>
    </xf>
    <xf numFmtId="0" fontId="22" fillId="3" borderId="12" xfId="0" applyFont="1" applyFill="1" applyBorder="1" applyAlignment="1">
      <alignment horizontal="left"/>
    </xf>
    <xf numFmtId="0" fontId="23" fillId="3" borderId="0" xfId="0" applyFont="1" applyFill="1" applyAlignment="1">
      <alignment horizontal="left" vertical="center"/>
    </xf>
    <xf numFmtId="0" fontId="23" fillId="3" borderId="12" xfId="0" applyFont="1" applyFill="1" applyBorder="1" applyAlignment="1">
      <alignment horizontal="left" vertical="center"/>
    </xf>
    <xf numFmtId="0" fontId="24" fillId="3" borderId="0" xfId="0" applyFont="1" applyFill="1" applyAlignment="1">
      <alignment horizontal="center" vertical="top"/>
    </xf>
    <xf numFmtId="0" fontId="22" fillId="3" borderId="0" xfId="0" applyFont="1" applyFill="1" applyAlignment="1">
      <alignment horizontal="left" vertical="center"/>
    </xf>
    <xf numFmtId="0" fontId="22" fillId="3" borderId="12" xfId="0" applyFont="1" applyFill="1" applyBorder="1" applyAlignment="1">
      <alignment horizontal="left" vertical="center"/>
    </xf>
    <xf numFmtId="0" fontId="16" fillId="3" borderId="0" xfId="0" applyFont="1" applyFill="1" applyAlignment="1">
      <alignment horizontal="right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17" fillId="3" borderId="2" xfId="0" applyFont="1" applyFill="1" applyBorder="1" applyAlignment="1">
      <alignment horizontal="right"/>
    </xf>
    <xf numFmtId="0" fontId="12" fillId="3" borderId="1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textRotation="90" wrapText="1"/>
    </xf>
    <xf numFmtId="164" fontId="22" fillId="3" borderId="0" xfId="0" applyNumberFormat="1" applyFont="1" applyFill="1" applyAlignment="1">
      <alignment horizontal="left"/>
    </xf>
    <xf numFmtId="0" fontId="0" fillId="3" borderId="1" xfId="0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 textRotation="90" wrapText="1"/>
    </xf>
    <xf numFmtId="0" fontId="2" fillId="3" borderId="13" xfId="0" applyFont="1" applyFill="1" applyBorder="1" applyAlignment="1">
      <alignment horizontal="center" vertical="center" textRotation="90" wrapText="1"/>
    </xf>
    <xf numFmtId="0" fontId="2" fillId="3" borderId="14" xfId="0" applyFont="1" applyFill="1" applyBorder="1" applyAlignment="1">
      <alignment horizontal="center" vertical="center" textRotation="90" wrapText="1"/>
    </xf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25" xfId="0" applyFont="1" applyFill="1" applyBorder="1" applyAlignment="1">
      <alignment horizontal="center" vertical="center" textRotation="90"/>
    </xf>
    <xf numFmtId="0" fontId="2" fillId="3" borderId="13" xfId="0" applyFont="1" applyFill="1" applyBorder="1" applyAlignment="1">
      <alignment horizontal="center" vertical="center" textRotation="90"/>
    </xf>
    <xf numFmtId="0" fontId="2" fillId="3" borderId="14" xfId="0" applyFont="1" applyFill="1" applyBorder="1" applyAlignment="1">
      <alignment horizontal="center" vertical="center" textRotation="90"/>
    </xf>
  </cellXfs>
  <cellStyles count="3">
    <cellStyle name="Normal" xfId="0" builtinId="0"/>
    <cellStyle name="Normal 2" xfId="2"/>
    <cellStyle name="Percent" xfId="1" builtinId="5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9" defaultPivotStyle="PivotStyleLight16"/>
  <colors>
    <mruColors>
      <color rgb="FF66FF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62345</xdr:colOff>
      <xdr:row>0</xdr:row>
      <xdr:rowOff>195046</xdr:rowOff>
    </xdr:from>
    <xdr:to>
      <xdr:col>28</xdr:col>
      <xdr:colOff>103908</xdr:colOff>
      <xdr:row>4</xdr:row>
      <xdr:rowOff>142008</xdr:rowOff>
    </xdr:to>
    <xdr:pic>
      <xdr:nvPicPr>
        <xdr:cNvPr id="3" name="Picture 2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9891663" y="195046"/>
          <a:ext cx="1253836" cy="133241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62345</xdr:colOff>
      <xdr:row>0</xdr:row>
      <xdr:rowOff>195046</xdr:rowOff>
    </xdr:from>
    <xdr:to>
      <xdr:col>28</xdr:col>
      <xdr:colOff>103908</xdr:colOff>
      <xdr:row>4</xdr:row>
      <xdr:rowOff>142008</xdr:rowOff>
    </xdr:to>
    <xdr:pic>
      <xdr:nvPicPr>
        <xdr:cNvPr id="3" name="Picture 2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9960070" y="195046"/>
          <a:ext cx="1260763" cy="13566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228831</xdr:colOff>
      <xdr:row>0</xdr:row>
      <xdr:rowOff>239869</xdr:rowOff>
    </xdr:from>
    <xdr:to>
      <xdr:col>25</xdr:col>
      <xdr:colOff>423878</xdr:colOff>
      <xdr:row>4</xdr:row>
      <xdr:rowOff>186831</xdr:rowOff>
    </xdr:to>
    <xdr:pic>
      <xdr:nvPicPr>
        <xdr:cNvPr id="3" name="Picture 2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7445419" y="239869"/>
          <a:ext cx="1282018" cy="133649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420877</xdr:colOff>
      <xdr:row>29</xdr:row>
      <xdr:rowOff>132907</xdr:rowOff>
    </xdr:from>
    <xdr:to>
      <xdr:col>24</xdr:col>
      <xdr:colOff>48492</xdr:colOff>
      <xdr:row>32</xdr:row>
      <xdr:rowOff>24925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357DF0A3-09A0-0AA3-FCE5-293C6A6C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2056481" y="9075733"/>
          <a:ext cx="456872" cy="1156046"/>
        </a:xfrm>
        <a:prstGeom prst="rect">
          <a:avLst/>
        </a:prstGeom>
      </xdr:spPr>
    </xdr:pic>
    <xdr:clientData/>
  </xdr:twoCellAnchor>
  <xdr:twoCellAnchor editAs="oneCell">
    <xdr:from>
      <xdr:col>6</xdr:col>
      <xdr:colOff>66452</xdr:colOff>
      <xdr:row>0</xdr:row>
      <xdr:rowOff>55378</xdr:rowOff>
    </xdr:from>
    <xdr:to>
      <xdr:col>7</xdr:col>
      <xdr:colOff>331183</xdr:colOff>
      <xdr:row>3</xdr:row>
      <xdr:rowOff>188285</xdr:rowOff>
    </xdr:to>
    <xdr:pic>
      <xdr:nvPicPr>
        <xdr:cNvPr id="4" name="Picture 3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3976132" y="55378"/>
          <a:ext cx="752057" cy="84174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0</xdr:colOff>
      <xdr:row>30</xdr:row>
      <xdr:rowOff>22152</xdr:rowOff>
    </xdr:from>
    <xdr:to>
      <xdr:col>13</xdr:col>
      <xdr:colOff>0</xdr:colOff>
      <xdr:row>32</xdr:row>
      <xdr:rowOff>22153</xdr:rowOff>
    </xdr:to>
    <xdr:pic>
      <xdr:nvPicPr>
        <xdr:cNvPr id="5" name="Picture 4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346308" y="9502850"/>
          <a:ext cx="974651" cy="3765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886238</xdr:colOff>
      <xdr:row>1</xdr:row>
      <xdr:rowOff>121264</xdr:rowOff>
    </xdr:from>
    <xdr:to>
      <xdr:col>4</xdr:col>
      <xdr:colOff>284367</xdr:colOff>
      <xdr:row>4</xdr:row>
      <xdr:rowOff>182217</xdr:rowOff>
    </xdr:to>
    <xdr:pic>
      <xdr:nvPicPr>
        <xdr:cNvPr id="3" name="Picture 2" descr="logo.png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434" y="444286"/>
          <a:ext cx="541129" cy="632453"/>
        </a:xfrm>
        <a:prstGeom prst="rect">
          <a:avLst/>
        </a:prstGeom>
        <a:ln>
          <a:noFill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MPLETE%20CLASS-8RESULTSHEET-202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MPLETE%20CLASS-8L-RESULTSHEET-2025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1st_Semester"/>
      <sheetName val="2nd_Semester"/>
      <sheetName val=" 3rd_Semester"/>
      <sheetName val="ANNUAL_RESULT"/>
      <sheetName val="Result card "/>
    </sheetNames>
    <sheetDataSet>
      <sheetData sheetId="0">
        <row r="6">
          <cell r="B6" t="str">
            <v>ROLL</v>
          </cell>
          <cell r="C6" t="str">
            <v>Student's Name</v>
          </cell>
          <cell r="D6" t="str">
            <v>Fahther`s Name</v>
          </cell>
          <cell r="E6" t="str">
            <v>Mother's Name</v>
          </cell>
          <cell r="F6" t="str">
            <v>Mobile No.</v>
          </cell>
          <cell r="G6" t="str">
            <v>BANGLA -1ST</v>
          </cell>
          <cell r="H6">
            <v>0</v>
          </cell>
          <cell r="I6">
            <v>0</v>
          </cell>
          <cell r="J6">
            <v>0</v>
          </cell>
          <cell r="K6" t="str">
            <v>TOTAL 100%</v>
          </cell>
          <cell r="L6" t="str">
            <v>BANGLA- 2ND</v>
          </cell>
          <cell r="M6">
            <v>0</v>
          </cell>
          <cell r="N6">
            <v>0</v>
          </cell>
          <cell r="O6" t="str">
            <v>TOTAL 100%</v>
          </cell>
          <cell r="P6" t="str">
            <v>TOTAL</v>
          </cell>
          <cell r="Q6" t="str">
            <v>H
MARK</v>
          </cell>
          <cell r="R6" t="str">
            <v>GP</v>
          </cell>
          <cell r="S6" t="str">
            <v>ENGLISH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TOTAL 100%</v>
          </cell>
          <cell r="Z6" t="str">
            <v>TOTAL</v>
          </cell>
          <cell r="AA6" t="str">
            <v>H
MARK</v>
          </cell>
          <cell r="AB6" t="str">
            <v>GP</v>
          </cell>
          <cell r="AC6" t="str">
            <v>MATHEMATICS</v>
          </cell>
          <cell r="AD6">
            <v>0</v>
          </cell>
          <cell r="AE6">
            <v>0</v>
          </cell>
          <cell r="AF6">
            <v>0</v>
          </cell>
          <cell r="AG6" t="str">
            <v>TOTAL</v>
          </cell>
          <cell r="AH6" t="str">
            <v>H
MARK</v>
          </cell>
          <cell r="AI6" t="str">
            <v>GP</v>
          </cell>
          <cell r="AJ6" t="str">
            <v>RELIGION</v>
          </cell>
          <cell r="AK6">
            <v>0</v>
          </cell>
          <cell r="AL6">
            <v>0</v>
          </cell>
          <cell r="AM6">
            <v>0</v>
          </cell>
          <cell r="AN6" t="str">
            <v>TOTAL</v>
          </cell>
          <cell r="AO6" t="str">
            <v>H
MARK</v>
          </cell>
          <cell r="AP6" t="str">
            <v>GP</v>
          </cell>
          <cell r="AQ6" t="str">
            <v>ICT</v>
          </cell>
          <cell r="AR6">
            <v>0</v>
          </cell>
          <cell r="AS6" t="str">
            <v>TOTAL</v>
          </cell>
          <cell r="AT6" t="str">
            <v>H
MARK</v>
          </cell>
          <cell r="AU6" t="str">
            <v>GP</v>
          </cell>
          <cell r="AV6" t="str">
            <v>SCIENCE</v>
          </cell>
          <cell r="AW6">
            <v>0</v>
          </cell>
          <cell r="AX6">
            <v>0</v>
          </cell>
          <cell r="AY6">
            <v>0</v>
          </cell>
          <cell r="AZ6" t="str">
            <v>TOTAL</v>
          </cell>
          <cell r="BA6" t="str">
            <v>H
MARK</v>
          </cell>
          <cell r="BB6" t="str">
            <v>GP</v>
          </cell>
          <cell r="BC6" t="str">
            <v>BGS</v>
          </cell>
          <cell r="BD6">
            <v>0</v>
          </cell>
          <cell r="BE6">
            <v>0</v>
          </cell>
          <cell r="BF6">
            <v>0</v>
          </cell>
          <cell r="BG6" t="str">
            <v>TOTAL</v>
          </cell>
          <cell r="BH6" t="str">
            <v>H
MARK</v>
          </cell>
          <cell r="BI6" t="str">
            <v>GP</v>
          </cell>
          <cell r="BJ6" t="str">
            <v>AGICULTURE</v>
          </cell>
          <cell r="BK6">
            <v>0</v>
          </cell>
          <cell r="BL6">
            <v>0</v>
          </cell>
          <cell r="BM6" t="str">
            <v>TOTAL</v>
          </cell>
          <cell r="BN6" t="str">
            <v>H
MARK</v>
          </cell>
          <cell r="BO6" t="str">
            <v>GP</v>
          </cell>
          <cell r="BP6" t="str">
            <v>T-GP</v>
          </cell>
          <cell r="BQ6" t="str">
            <v>GPA</v>
          </cell>
          <cell r="BR6" t="str">
            <v>GRADE</v>
          </cell>
          <cell r="BS6" t="str">
            <v>BEHABIOUR</v>
          </cell>
          <cell r="BT6" t="str">
            <v>GRAND TOTAL 
MARKS</v>
          </cell>
          <cell r="BU6" t="str">
            <v>RANK OF STUDENT</v>
          </cell>
          <cell r="BV6" t="str">
            <v>WORKING 
DAYS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str">
            <v>MT</v>
          </cell>
          <cell r="H7" t="str">
            <v>CR</v>
          </cell>
          <cell r="I7" t="str">
            <v>MT+CR</v>
          </cell>
          <cell r="J7" t="str">
            <v>OB</v>
          </cell>
          <cell r="K7">
            <v>0</v>
          </cell>
          <cell r="L7" t="str">
            <v>MT</v>
          </cell>
          <cell r="M7" t="str">
            <v>CR</v>
          </cell>
          <cell r="N7" t="str">
            <v>MT+CR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 t="str">
            <v>MT</v>
          </cell>
          <cell r="T7" t="str">
            <v>1st</v>
          </cell>
          <cell r="U7" t="str">
            <v>MT+80%</v>
          </cell>
          <cell r="V7" t="str">
            <v>MT</v>
          </cell>
          <cell r="W7" t="str">
            <v>2nd</v>
          </cell>
          <cell r="X7" t="str">
            <v>MT+80%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 t="str">
            <v>MT</v>
          </cell>
          <cell r="AD7" t="str">
            <v>CR</v>
          </cell>
          <cell r="AE7" t="str">
            <v>MT+CR</v>
          </cell>
          <cell r="AF7" t="str">
            <v>OB</v>
          </cell>
          <cell r="AG7">
            <v>0</v>
          </cell>
          <cell r="AH7">
            <v>0</v>
          </cell>
          <cell r="AI7">
            <v>0</v>
          </cell>
          <cell r="AJ7" t="str">
            <v>MT</v>
          </cell>
          <cell r="AK7" t="str">
            <v>CR</v>
          </cell>
          <cell r="AL7" t="str">
            <v>MT+CR</v>
          </cell>
          <cell r="AM7" t="str">
            <v>OB</v>
          </cell>
          <cell r="AN7">
            <v>0</v>
          </cell>
          <cell r="AO7">
            <v>0</v>
          </cell>
          <cell r="AP7">
            <v>0</v>
          </cell>
          <cell r="AQ7" t="str">
            <v>OB</v>
          </cell>
          <cell r="AR7" t="str">
            <v>PR</v>
          </cell>
          <cell r="AS7">
            <v>0</v>
          </cell>
          <cell r="AT7">
            <v>0</v>
          </cell>
          <cell r="AU7">
            <v>0</v>
          </cell>
          <cell r="AV7" t="str">
            <v>MT</v>
          </cell>
          <cell r="AW7" t="str">
            <v>CR</v>
          </cell>
          <cell r="AX7" t="str">
            <v>MT+CR</v>
          </cell>
          <cell r="AY7" t="str">
            <v>OB</v>
          </cell>
          <cell r="AZ7">
            <v>0</v>
          </cell>
          <cell r="BA7">
            <v>0</v>
          </cell>
          <cell r="BB7">
            <v>0</v>
          </cell>
          <cell r="BC7" t="str">
            <v>MT</v>
          </cell>
          <cell r="BD7" t="str">
            <v>CR</v>
          </cell>
          <cell r="BE7" t="str">
            <v>MT+CR</v>
          </cell>
          <cell r="BF7" t="str">
            <v>OB</v>
          </cell>
          <cell r="BG7">
            <v>0</v>
          </cell>
          <cell r="BH7">
            <v>0</v>
          </cell>
          <cell r="BI7">
            <v>0</v>
          </cell>
          <cell r="BJ7" t="str">
            <v>MT</v>
          </cell>
          <cell r="BK7" t="str">
            <v>CR</v>
          </cell>
          <cell r="BL7" t="str">
            <v>MT+CR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</row>
        <row r="8">
          <cell r="B8">
            <v>1</v>
          </cell>
          <cell r="C8" t="str">
            <v xml:space="preserve">Mahua Khan </v>
          </cell>
          <cell r="D8" t="str">
            <v xml:space="preserve">Md. Mizanur Rahman </v>
          </cell>
          <cell r="E8" t="str">
            <v>Maksutha Begum</v>
          </cell>
          <cell r="F8">
            <v>1605562549</v>
          </cell>
          <cell r="G8">
            <v>17</v>
          </cell>
          <cell r="H8">
            <v>46</v>
          </cell>
          <cell r="I8">
            <v>63</v>
          </cell>
          <cell r="J8">
            <v>29</v>
          </cell>
          <cell r="K8">
            <v>92</v>
          </cell>
          <cell r="L8">
            <v>10</v>
          </cell>
          <cell r="M8">
            <v>39</v>
          </cell>
          <cell r="N8">
            <v>49</v>
          </cell>
          <cell r="O8">
            <v>49</v>
          </cell>
          <cell r="P8">
            <v>141</v>
          </cell>
          <cell r="Q8">
            <v>141</v>
          </cell>
          <cell r="R8">
            <v>5</v>
          </cell>
          <cell r="S8">
            <v>20</v>
          </cell>
          <cell r="T8">
            <v>80</v>
          </cell>
          <cell r="U8">
            <v>100</v>
          </cell>
          <cell r="V8">
            <v>10</v>
          </cell>
          <cell r="W8">
            <v>38</v>
          </cell>
          <cell r="X8">
            <v>48</v>
          </cell>
          <cell r="Y8">
            <v>148</v>
          </cell>
          <cell r="Z8">
            <v>148</v>
          </cell>
          <cell r="AA8">
            <v>148</v>
          </cell>
          <cell r="AB8">
            <v>5</v>
          </cell>
          <cell r="AC8">
            <v>20</v>
          </cell>
          <cell r="AD8">
            <v>46</v>
          </cell>
          <cell r="AE8">
            <v>66</v>
          </cell>
          <cell r="AF8">
            <v>30</v>
          </cell>
          <cell r="AG8">
            <v>96</v>
          </cell>
          <cell r="AH8">
            <v>98</v>
          </cell>
          <cell r="AI8">
            <v>5</v>
          </cell>
          <cell r="AJ8">
            <v>20</v>
          </cell>
          <cell r="AK8">
            <v>50</v>
          </cell>
          <cell r="AL8">
            <v>70</v>
          </cell>
          <cell r="AM8">
            <v>27</v>
          </cell>
          <cell r="AN8">
            <v>97</v>
          </cell>
          <cell r="AO8">
            <v>97</v>
          </cell>
          <cell r="AP8">
            <v>5</v>
          </cell>
          <cell r="AQ8">
            <v>20</v>
          </cell>
          <cell r="AR8">
            <v>25</v>
          </cell>
          <cell r="AS8">
            <v>45</v>
          </cell>
          <cell r="AT8">
            <v>45</v>
          </cell>
          <cell r="AU8">
            <v>5</v>
          </cell>
          <cell r="AV8">
            <v>20</v>
          </cell>
          <cell r="AW8">
            <v>50</v>
          </cell>
          <cell r="AX8">
            <v>70</v>
          </cell>
          <cell r="AY8">
            <v>30</v>
          </cell>
          <cell r="AZ8">
            <v>100</v>
          </cell>
          <cell r="BA8">
            <v>100</v>
          </cell>
          <cell r="BB8">
            <v>5</v>
          </cell>
          <cell r="BC8">
            <v>20</v>
          </cell>
          <cell r="BD8">
            <v>48</v>
          </cell>
          <cell r="BE8">
            <v>68</v>
          </cell>
          <cell r="BF8">
            <v>30</v>
          </cell>
          <cell r="BG8">
            <v>98</v>
          </cell>
          <cell r="BH8">
            <v>98</v>
          </cell>
          <cell r="BI8">
            <v>5</v>
          </cell>
          <cell r="BJ8">
            <v>10</v>
          </cell>
          <cell r="BK8">
            <v>32</v>
          </cell>
          <cell r="BL8">
            <v>42</v>
          </cell>
          <cell r="BM8">
            <v>42</v>
          </cell>
          <cell r="BN8">
            <v>42</v>
          </cell>
          <cell r="BO8">
            <v>5</v>
          </cell>
          <cell r="BP8">
            <v>35</v>
          </cell>
          <cell r="BQ8">
            <v>5</v>
          </cell>
          <cell r="BR8" t="str">
            <v>A+</v>
          </cell>
          <cell r="BS8" t="str">
            <v>BEST</v>
          </cell>
          <cell r="BT8">
            <v>725</v>
          </cell>
          <cell r="BU8">
            <v>1</v>
          </cell>
          <cell r="BV8">
            <v>70</v>
          </cell>
        </row>
        <row r="9">
          <cell r="B9">
            <v>2</v>
          </cell>
          <cell r="C9" t="str">
            <v xml:space="preserve">Prottasha Mollik Othoi </v>
          </cell>
          <cell r="D9" t="str">
            <v xml:space="preserve">Md. Zahid Hasan </v>
          </cell>
          <cell r="E9" t="str">
            <v xml:space="preserve">Mst. Ruma Aktar </v>
          </cell>
          <cell r="F9" t="str">
            <v>01963-270281       01934-591956</v>
          </cell>
          <cell r="G9">
            <v>20</v>
          </cell>
          <cell r="H9">
            <v>46</v>
          </cell>
          <cell r="I9">
            <v>66</v>
          </cell>
          <cell r="J9">
            <v>21</v>
          </cell>
          <cell r="K9">
            <v>87</v>
          </cell>
          <cell r="L9">
            <v>10</v>
          </cell>
          <cell r="M9">
            <v>35</v>
          </cell>
          <cell r="N9">
            <v>45</v>
          </cell>
          <cell r="O9">
            <v>45</v>
          </cell>
          <cell r="P9">
            <v>132</v>
          </cell>
          <cell r="Q9">
            <v>0</v>
          </cell>
          <cell r="R9">
            <v>5</v>
          </cell>
          <cell r="S9">
            <v>19</v>
          </cell>
          <cell r="T9">
            <v>73</v>
          </cell>
          <cell r="U9">
            <v>92</v>
          </cell>
          <cell r="V9">
            <v>7</v>
          </cell>
          <cell r="W9">
            <v>32</v>
          </cell>
          <cell r="X9">
            <v>39</v>
          </cell>
          <cell r="Y9">
            <v>131</v>
          </cell>
          <cell r="Z9">
            <v>131</v>
          </cell>
          <cell r="AA9">
            <v>0</v>
          </cell>
          <cell r="AB9">
            <v>5</v>
          </cell>
          <cell r="AC9">
            <v>14</v>
          </cell>
          <cell r="AD9">
            <v>35</v>
          </cell>
          <cell r="AE9">
            <v>49</v>
          </cell>
          <cell r="AF9">
            <v>20</v>
          </cell>
          <cell r="AG9">
            <v>69</v>
          </cell>
          <cell r="AH9">
            <v>0</v>
          </cell>
          <cell r="AI9">
            <v>3.5</v>
          </cell>
          <cell r="AJ9">
            <v>20</v>
          </cell>
          <cell r="AK9">
            <v>41</v>
          </cell>
          <cell r="AL9">
            <v>61</v>
          </cell>
          <cell r="AM9">
            <v>22</v>
          </cell>
          <cell r="AN9">
            <v>83</v>
          </cell>
          <cell r="AO9">
            <v>0</v>
          </cell>
          <cell r="AP9">
            <v>5</v>
          </cell>
          <cell r="AQ9">
            <v>20</v>
          </cell>
          <cell r="AR9">
            <v>25</v>
          </cell>
          <cell r="AS9">
            <v>45</v>
          </cell>
          <cell r="AT9">
            <v>0</v>
          </cell>
          <cell r="AU9">
            <v>5</v>
          </cell>
          <cell r="AV9">
            <v>20</v>
          </cell>
          <cell r="AW9">
            <v>50</v>
          </cell>
          <cell r="AX9">
            <v>70</v>
          </cell>
          <cell r="AY9">
            <v>24</v>
          </cell>
          <cell r="AZ9">
            <v>94</v>
          </cell>
          <cell r="BA9">
            <v>0</v>
          </cell>
          <cell r="BB9">
            <v>5</v>
          </cell>
          <cell r="BC9">
            <v>19</v>
          </cell>
          <cell r="BD9">
            <v>47</v>
          </cell>
          <cell r="BE9">
            <v>66</v>
          </cell>
          <cell r="BF9">
            <v>28</v>
          </cell>
          <cell r="BG9">
            <v>94</v>
          </cell>
          <cell r="BH9">
            <v>0</v>
          </cell>
          <cell r="BI9">
            <v>5</v>
          </cell>
          <cell r="BJ9">
            <v>10</v>
          </cell>
          <cell r="BK9">
            <v>28</v>
          </cell>
          <cell r="BL9">
            <v>38</v>
          </cell>
          <cell r="BM9">
            <v>38</v>
          </cell>
          <cell r="BN9">
            <v>0</v>
          </cell>
          <cell r="BO9">
            <v>4</v>
          </cell>
          <cell r="BP9">
            <v>33.5</v>
          </cell>
          <cell r="BQ9">
            <v>4.7857142857142856</v>
          </cell>
          <cell r="BR9" t="str">
            <v>A</v>
          </cell>
          <cell r="BS9" t="str">
            <v>BETTER</v>
          </cell>
          <cell r="BT9">
            <v>648</v>
          </cell>
          <cell r="BU9">
            <v>8</v>
          </cell>
          <cell r="BV9">
            <v>65</v>
          </cell>
        </row>
        <row r="10">
          <cell r="B10">
            <v>3</v>
          </cell>
          <cell r="C10" t="str">
            <v>Samiya Binte Kalim</v>
          </cell>
          <cell r="D10" t="str">
            <v>Kalim Rahman</v>
          </cell>
          <cell r="E10" t="str">
            <v xml:space="preserve">Hasina Akter </v>
          </cell>
          <cell r="F10" t="str">
            <v>01777-244922        01859-502050</v>
          </cell>
          <cell r="G10">
            <v>14</v>
          </cell>
          <cell r="H10">
            <v>35</v>
          </cell>
          <cell r="I10">
            <v>49</v>
          </cell>
          <cell r="J10">
            <v>19</v>
          </cell>
          <cell r="K10">
            <v>68</v>
          </cell>
          <cell r="L10">
            <v>10</v>
          </cell>
          <cell r="M10">
            <v>31</v>
          </cell>
          <cell r="N10">
            <v>41</v>
          </cell>
          <cell r="O10">
            <v>41</v>
          </cell>
          <cell r="P10">
            <v>109</v>
          </cell>
          <cell r="Q10">
            <v>0</v>
          </cell>
          <cell r="R10">
            <v>4</v>
          </cell>
          <cell r="S10">
            <v>14</v>
          </cell>
          <cell r="T10">
            <v>44</v>
          </cell>
          <cell r="U10">
            <v>58</v>
          </cell>
          <cell r="V10">
            <v>6</v>
          </cell>
          <cell r="W10">
            <v>32</v>
          </cell>
          <cell r="X10">
            <v>38</v>
          </cell>
          <cell r="Y10">
            <v>96</v>
          </cell>
          <cell r="Z10">
            <v>96</v>
          </cell>
          <cell r="AA10">
            <v>0</v>
          </cell>
          <cell r="AB10">
            <v>3.5</v>
          </cell>
          <cell r="AC10">
            <v>14</v>
          </cell>
          <cell r="AD10">
            <v>39</v>
          </cell>
          <cell r="AE10">
            <v>53</v>
          </cell>
          <cell r="AF10">
            <v>20</v>
          </cell>
          <cell r="AG10">
            <v>73</v>
          </cell>
          <cell r="AH10">
            <v>0</v>
          </cell>
          <cell r="AI10">
            <v>4</v>
          </cell>
          <cell r="AJ10">
            <v>18</v>
          </cell>
          <cell r="AK10">
            <v>30</v>
          </cell>
          <cell r="AL10">
            <v>48</v>
          </cell>
          <cell r="AM10">
            <v>23</v>
          </cell>
          <cell r="AN10">
            <v>71</v>
          </cell>
          <cell r="AO10">
            <v>0</v>
          </cell>
          <cell r="AP10">
            <v>4</v>
          </cell>
          <cell r="AQ10">
            <v>18</v>
          </cell>
          <cell r="AR10">
            <v>25</v>
          </cell>
          <cell r="AS10">
            <v>43</v>
          </cell>
          <cell r="AT10">
            <v>0</v>
          </cell>
          <cell r="AU10">
            <v>5</v>
          </cell>
          <cell r="AV10">
            <v>17</v>
          </cell>
          <cell r="AW10">
            <v>44</v>
          </cell>
          <cell r="AX10">
            <v>61</v>
          </cell>
          <cell r="AY10">
            <v>25</v>
          </cell>
          <cell r="AZ10">
            <v>86</v>
          </cell>
          <cell r="BA10">
            <v>0</v>
          </cell>
          <cell r="BB10">
            <v>5</v>
          </cell>
          <cell r="BC10">
            <v>14</v>
          </cell>
          <cell r="BD10">
            <v>44</v>
          </cell>
          <cell r="BE10">
            <v>58</v>
          </cell>
          <cell r="BF10">
            <v>26</v>
          </cell>
          <cell r="BG10">
            <v>84</v>
          </cell>
          <cell r="BH10">
            <v>0</v>
          </cell>
          <cell r="BI10">
            <v>5</v>
          </cell>
          <cell r="BJ10">
            <v>8</v>
          </cell>
          <cell r="BK10">
            <v>28</v>
          </cell>
          <cell r="BL10">
            <v>36</v>
          </cell>
          <cell r="BM10">
            <v>36</v>
          </cell>
          <cell r="BN10">
            <v>0</v>
          </cell>
          <cell r="BO10">
            <v>4</v>
          </cell>
          <cell r="BP10">
            <v>30.5</v>
          </cell>
          <cell r="BQ10">
            <v>4.3571428571428568</v>
          </cell>
          <cell r="BR10" t="str">
            <v>A</v>
          </cell>
          <cell r="BS10" t="str">
            <v>BETTER</v>
          </cell>
          <cell r="BT10">
            <v>562</v>
          </cell>
          <cell r="BU10">
            <v>13</v>
          </cell>
          <cell r="BV10">
            <v>68</v>
          </cell>
        </row>
        <row r="11">
          <cell r="B11">
            <v>4</v>
          </cell>
          <cell r="C11" t="str">
            <v>Md. Riyadul Islam</v>
          </cell>
          <cell r="D11" t="str">
            <v>Mohammad Ali</v>
          </cell>
          <cell r="E11" t="str">
            <v>Rehana Parvin</v>
          </cell>
          <cell r="F11" t="str">
            <v>01703-795660   01748-206732</v>
          </cell>
          <cell r="G11">
            <v>17</v>
          </cell>
          <cell r="H11">
            <v>37</v>
          </cell>
          <cell r="I11">
            <v>54</v>
          </cell>
          <cell r="J11">
            <v>20</v>
          </cell>
          <cell r="K11">
            <v>74</v>
          </cell>
          <cell r="L11">
            <v>10</v>
          </cell>
          <cell r="M11">
            <v>27</v>
          </cell>
          <cell r="N11">
            <v>37</v>
          </cell>
          <cell r="O11">
            <v>37</v>
          </cell>
          <cell r="P11">
            <v>111</v>
          </cell>
          <cell r="Q11">
            <v>0</v>
          </cell>
          <cell r="R11">
            <v>4</v>
          </cell>
          <cell r="S11">
            <v>13</v>
          </cell>
          <cell r="T11">
            <v>50</v>
          </cell>
          <cell r="U11">
            <v>63</v>
          </cell>
          <cell r="V11">
            <v>3</v>
          </cell>
          <cell r="W11">
            <v>34</v>
          </cell>
          <cell r="X11">
            <v>37</v>
          </cell>
          <cell r="Y11">
            <v>100</v>
          </cell>
          <cell r="Z11">
            <v>100</v>
          </cell>
          <cell r="AA11">
            <v>0</v>
          </cell>
          <cell r="AB11">
            <v>3.5</v>
          </cell>
          <cell r="AC11">
            <v>10</v>
          </cell>
          <cell r="AD11">
            <v>24</v>
          </cell>
          <cell r="AE11">
            <v>34</v>
          </cell>
          <cell r="AF11">
            <v>16</v>
          </cell>
          <cell r="AG11">
            <v>50</v>
          </cell>
          <cell r="AH11">
            <v>0</v>
          </cell>
          <cell r="AI11">
            <v>3</v>
          </cell>
          <cell r="AJ11">
            <v>15</v>
          </cell>
          <cell r="AK11">
            <v>29</v>
          </cell>
          <cell r="AL11">
            <v>44</v>
          </cell>
          <cell r="AM11">
            <v>16</v>
          </cell>
          <cell r="AN11">
            <v>60</v>
          </cell>
          <cell r="AO11">
            <v>0</v>
          </cell>
          <cell r="AP11">
            <v>3.5</v>
          </cell>
          <cell r="AQ11">
            <v>20</v>
          </cell>
          <cell r="AR11">
            <v>25</v>
          </cell>
          <cell r="AS11">
            <v>45</v>
          </cell>
          <cell r="AT11">
            <v>0</v>
          </cell>
          <cell r="AU11">
            <v>5</v>
          </cell>
          <cell r="AV11">
            <v>11</v>
          </cell>
          <cell r="AW11">
            <v>49</v>
          </cell>
          <cell r="AX11">
            <v>60</v>
          </cell>
          <cell r="AY11">
            <v>25</v>
          </cell>
          <cell r="AZ11">
            <v>85</v>
          </cell>
          <cell r="BA11">
            <v>0</v>
          </cell>
          <cell r="BB11">
            <v>5</v>
          </cell>
          <cell r="BC11">
            <v>8</v>
          </cell>
          <cell r="BD11">
            <v>46</v>
          </cell>
          <cell r="BE11">
            <v>54</v>
          </cell>
          <cell r="BF11">
            <v>28</v>
          </cell>
          <cell r="BG11">
            <v>82</v>
          </cell>
          <cell r="BH11">
            <v>0</v>
          </cell>
          <cell r="BI11">
            <v>5</v>
          </cell>
          <cell r="BJ11">
            <v>6</v>
          </cell>
          <cell r="BK11">
            <v>24</v>
          </cell>
          <cell r="BL11">
            <v>30</v>
          </cell>
          <cell r="BM11">
            <v>30</v>
          </cell>
          <cell r="BN11">
            <v>0</v>
          </cell>
          <cell r="BO11">
            <v>3.5</v>
          </cell>
          <cell r="BP11">
            <v>29</v>
          </cell>
          <cell r="BQ11">
            <v>4.1428571428571432</v>
          </cell>
          <cell r="BR11" t="str">
            <v>A</v>
          </cell>
          <cell r="BS11" t="str">
            <v>BETTER</v>
          </cell>
          <cell r="BT11">
            <v>533</v>
          </cell>
          <cell r="BU11">
            <v>21</v>
          </cell>
          <cell r="BV11">
            <v>69</v>
          </cell>
        </row>
        <row r="12">
          <cell r="B12">
            <v>5</v>
          </cell>
          <cell r="C12" t="str">
            <v xml:space="preserve">Halima Tuj Sadia </v>
          </cell>
          <cell r="D12" t="str">
            <v xml:space="preserve">Md. Monayem </v>
          </cell>
          <cell r="E12" t="str">
            <v xml:space="preserve">Mst. Salma Aktar </v>
          </cell>
          <cell r="F12" t="str">
            <v>01718-523362       01863-657887</v>
          </cell>
          <cell r="G12">
            <v>19</v>
          </cell>
          <cell r="H12">
            <v>39</v>
          </cell>
          <cell r="I12">
            <v>58</v>
          </cell>
          <cell r="J12">
            <v>25</v>
          </cell>
          <cell r="K12">
            <v>83</v>
          </cell>
          <cell r="L12">
            <v>10</v>
          </cell>
          <cell r="M12">
            <v>38</v>
          </cell>
          <cell r="N12">
            <v>48</v>
          </cell>
          <cell r="O12">
            <v>48</v>
          </cell>
          <cell r="P12">
            <v>131</v>
          </cell>
          <cell r="Q12">
            <v>0</v>
          </cell>
          <cell r="R12">
            <v>5</v>
          </cell>
          <cell r="S12">
            <v>19</v>
          </cell>
          <cell r="T12">
            <v>76</v>
          </cell>
          <cell r="U12">
            <v>95</v>
          </cell>
          <cell r="V12">
            <v>10</v>
          </cell>
          <cell r="W12">
            <v>37</v>
          </cell>
          <cell r="X12">
            <v>47</v>
          </cell>
          <cell r="Y12">
            <v>142</v>
          </cell>
          <cell r="Z12">
            <v>142</v>
          </cell>
          <cell r="AA12">
            <v>0</v>
          </cell>
          <cell r="AB12">
            <v>5</v>
          </cell>
          <cell r="AC12">
            <v>20</v>
          </cell>
          <cell r="AD12">
            <v>47</v>
          </cell>
          <cell r="AE12">
            <v>67</v>
          </cell>
          <cell r="AF12">
            <v>28</v>
          </cell>
          <cell r="AG12">
            <v>95</v>
          </cell>
          <cell r="AH12">
            <v>0</v>
          </cell>
          <cell r="AI12">
            <v>5</v>
          </cell>
          <cell r="AJ12">
            <v>19</v>
          </cell>
          <cell r="AK12">
            <v>43</v>
          </cell>
          <cell r="AL12">
            <v>62</v>
          </cell>
          <cell r="AM12">
            <v>21</v>
          </cell>
          <cell r="AN12">
            <v>83</v>
          </cell>
          <cell r="AO12">
            <v>0</v>
          </cell>
          <cell r="AP12">
            <v>5</v>
          </cell>
          <cell r="AQ12">
            <v>20</v>
          </cell>
          <cell r="AR12">
            <v>25</v>
          </cell>
          <cell r="AS12">
            <v>45</v>
          </cell>
          <cell r="AT12">
            <v>0</v>
          </cell>
          <cell r="AU12">
            <v>5</v>
          </cell>
          <cell r="AV12">
            <v>20</v>
          </cell>
          <cell r="AW12">
            <v>47</v>
          </cell>
          <cell r="AX12">
            <v>67</v>
          </cell>
          <cell r="AY12">
            <v>25</v>
          </cell>
          <cell r="AZ12">
            <v>92</v>
          </cell>
          <cell r="BA12">
            <v>0</v>
          </cell>
          <cell r="BB12">
            <v>5</v>
          </cell>
          <cell r="BC12">
            <v>19</v>
          </cell>
          <cell r="BD12">
            <v>46</v>
          </cell>
          <cell r="BE12">
            <v>65</v>
          </cell>
          <cell r="BF12">
            <v>30</v>
          </cell>
          <cell r="BG12">
            <v>95</v>
          </cell>
          <cell r="BH12">
            <v>0</v>
          </cell>
          <cell r="BI12">
            <v>5</v>
          </cell>
          <cell r="BJ12">
            <v>10</v>
          </cell>
          <cell r="BK12">
            <v>24</v>
          </cell>
          <cell r="BL12">
            <v>34</v>
          </cell>
          <cell r="BM12">
            <v>34</v>
          </cell>
          <cell r="BN12">
            <v>0</v>
          </cell>
          <cell r="BO12">
            <v>3.5</v>
          </cell>
          <cell r="BP12">
            <v>35</v>
          </cell>
          <cell r="BQ12">
            <v>5</v>
          </cell>
          <cell r="BR12" t="str">
            <v>A+</v>
          </cell>
          <cell r="BS12" t="str">
            <v>BEST</v>
          </cell>
          <cell r="BT12">
            <v>683</v>
          </cell>
          <cell r="BU12">
            <v>4</v>
          </cell>
          <cell r="BV12">
            <v>64</v>
          </cell>
        </row>
        <row r="13">
          <cell r="B13">
            <v>7</v>
          </cell>
          <cell r="C13" t="str">
            <v>Md. Abrar Shahriar</v>
          </cell>
          <cell r="D13" t="str">
            <v>Md. Amirul Islam</v>
          </cell>
          <cell r="E13" t="str">
            <v>Mst. Lubna Rahman</v>
          </cell>
          <cell r="F13" t="str">
            <v>01732-151226   01923-736374</v>
          </cell>
          <cell r="G13">
            <v>17</v>
          </cell>
          <cell r="H13">
            <v>39</v>
          </cell>
          <cell r="I13">
            <v>56</v>
          </cell>
          <cell r="J13">
            <v>24</v>
          </cell>
          <cell r="K13">
            <v>80</v>
          </cell>
          <cell r="L13">
            <v>10</v>
          </cell>
          <cell r="M13">
            <v>38</v>
          </cell>
          <cell r="N13">
            <v>48</v>
          </cell>
          <cell r="O13">
            <v>48</v>
          </cell>
          <cell r="P13">
            <v>128</v>
          </cell>
          <cell r="Q13">
            <v>0</v>
          </cell>
          <cell r="R13">
            <v>5</v>
          </cell>
          <cell r="S13">
            <v>18</v>
          </cell>
          <cell r="T13">
            <v>76</v>
          </cell>
          <cell r="U13">
            <v>94</v>
          </cell>
          <cell r="V13">
            <v>10</v>
          </cell>
          <cell r="W13">
            <v>36</v>
          </cell>
          <cell r="X13">
            <v>46</v>
          </cell>
          <cell r="Y13">
            <v>140</v>
          </cell>
          <cell r="Z13">
            <v>140</v>
          </cell>
          <cell r="AA13">
            <v>0</v>
          </cell>
          <cell r="AB13">
            <v>5</v>
          </cell>
          <cell r="AC13">
            <v>20</v>
          </cell>
          <cell r="AD13">
            <v>48</v>
          </cell>
          <cell r="AE13">
            <v>68</v>
          </cell>
          <cell r="AF13">
            <v>30</v>
          </cell>
          <cell r="AG13">
            <v>98</v>
          </cell>
          <cell r="AH13">
            <v>0</v>
          </cell>
          <cell r="AI13">
            <v>5</v>
          </cell>
          <cell r="AJ13">
            <v>20</v>
          </cell>
          <cell r="AK13">
            <v>45</v>
          </cell>
          <cell r="AL13">
            <v>65</v>
          </cell>
          <cell r="AM13">
            <v>24</v>
          </cell>
          <cell r="AN13">
            <v>89</v>
          </cell>
          <cell r="AO13">
            <v>0</v>
          </cell>
          <cell r="AP13">
            <v>5</v>
          </cell>
          <cell r="AQ13">
            <v>20</v>
          </cell>
          <cell r="AR13">
            <v>25</v>
          </cell>
          <cell r="AS13">
            <v>45</v>
          </cell>
          <cell r="AT13">
            <v>0</v>
          </cell>
          <cell r="AU13">
            <v>5</v>
          </cell>
          <cell r="AV13">
            <v>19</v>
          </cell>
          <cell r="AW13">
            <v>50</v>
          </cell>
          <cell r="AX13">
            <v>69</v>
          </cell>
          <cell r="AY13">
            <v>27</v>
          </cell>
          <cell r="AZ13">
            <v>96</v>
          </cell>
          <cell r="BA13">
            <v>0</v>
          </cell>
          <cell r="BB13">
            <v>5</v>
          </cell>
          <cell r="BC13">
            <v>19</v>
          </cell>
          <cell r="BD13">
            <v>46</v>
          </cell>
          <cell r="BE13">
            <v>65</v>
          </cell>
          <cell r="BF13">
            <v>27</v>
          </cell>
          <cell r="BG13">
            <v>92</v>
          </cell>
          <cell r="BH13">
            <v>0</v>
          </cell>
          <cell r="BI13">
            <v>5</v>
          </cell>
          <cell r="BJ13">
            <v>10</v>
          </cell>
          <cell r="BK13">
            <v>32</v>
          </cell>
          <cell r="BL13">
            <v>42</v>
          </cell>
          <cell r="BM13">
            <v>42</v>
          </cell>
          <cell r="BN13">
            <v>0</v>
          </cell>
          <cell r="BO13">
            <v>5</v>
          </cell>
          <cell r="BP13">
            <v>35</v>
          </cell>
          <cell r="BQ13">
            <v>5</v>
          </cell>
          <cell r="BR13" t="str">
            <v>A+</v>
          </cell>
          <cell r="BS13" t="str">
            <v>BEST</v>
          </cell>
          <cell r="BT13">
            <v>688</v>
          </cell>
          <cell r="BU13">
            <v>3</v>
          </cell>
          <cell r="BV13">
            <v>64</v>
          </cell>
        </row>
        <row r="14">
          <cell r="B14">
            <v>8</v>
          </cell>
          <cell r="C14" t="str">
            <v xml:space="preserve">Sumaiya Akter Mim </v>
          </cell>
          <cell r="D14" t="str">
            <v xml:space="preserve">Md. Monir Hossan </v>
          </cell>
          <cell r="E14" t="str">
            <v>Jesmin</v>
          </cell>
          <cell r="F14" t="str">
            <v>01939-751503     01611-911445</v>
          </cell>
          <cell r="G14">
            <v>14</v>
          </cell>
          <cell r="H14">
            <v>29</v>
          </cell>
          <cell r="I14">
            <v>43</v>
          </cell>
          <cell r="J14">
            <v>25</v>
          </cell>
          <cell r="K14">
            <v>68</v>
          </cell>
          <cell r="L14">
            <v>9</v>
          </cell>
          <cell r="M14">
            <v>32</v>
          </cell>
          <cell r="N14">
            <v>41</v>
          </cell>
          <cell r="O14">
            <v>41</v>
          </cell>
          <cell r="P14">
            <v>109</v>
          </cell>
          <cell r="Q14">
            <v>0</v>
          </cell>
          <cell r="R14">
            <v>4</v>
          </cell>
          <cell r="S14">
            <v>16</v>
          </cell>
          <cell r="T14">
            <v>63</v>
          </cell>
          <cell r="U14">
            <v>79</v>
          </cell>
          <cell r="V14">
            <v>9</v>
          </cell>
          <cell r="W14">
            <v>30</v>
          </cell>
          <cell r="X14">
            <v>39</v>
          </cell>
          <cell r="Y14">
            <v>118</v>
          </cell>
          <cell r="Z14">
            <v>118</v>
          </cell>
          <cell r="AA14">
            <v>0</v>
          </cell>
          <cell r="AB14">
            <v>4</v>
          </cell>
          <cell r="AC14">
            <v>13</v>
          </cell>
          <cell r="AD14">
            <v>31</v>
          </cell>
          <cell r="AE14">
            <v>44</v>
          </cell>
          <cell r="AF14">
            <v>24</v>
          </cell>
          <cell r="AG14">
            <v>68</v>
          </cell>
          <cell r="AH14">
            <v>0</v>
          </cell>
          <cell r="AI14">
            <v>3.5</v>
          </cell>
          <cell r="AJ14">
            <v>18</v>
          </cell>
          <cell r="AK14">
            <v>33</v>
          </cell>
          <cell r="AL14">
            <v>51</v>
          </cell>
          <cell r="AM14">
            <v>21</v>
          </cell>
          <cell r="AN14">
            <v>72</v>
          </cell>
          <cell r="AO14">
            <v>0</v>
          </cell>
          <cell r="AP14">
            <v>4</v>
          </cell>
          <cell r="AQ14">
            <v>16</v>
          </cell>
          <cell r="AR14">
            <v>25</v>
          </cell>
          <cell r="AS14">
            <v>41</v>
          </cell>
          <cell r="AT14">
            <v>0</v>
          </cell>
          <cell r="AU14">
            <v>5</v>
          </cell>
          <cell r="AV14">
            <v>16</v>
          </cell>
          <cell r="AW14">
            <v>40</v>
          </cell>
          <cell r="AX14">
            <v>56</v>
          </cell>
          <cell r="AY14">
            <v>25</v>
          </cell>
          <cell r="AZ14">
            <v>81</v>
          </cell>
          <cell r="BA14">
            <v>0</v>
          </cell>
          <cell r="BB14">
            <v>5</v>
          </cell>
          <cell r="BC14">
            <v>13</v>
          </cell>
          <cell r="BD14">
            <v>40</v>
          </cell>
          <cell r="BE14">
            <v>53</v>
          </cell>
          <cell r="BF14">
            <v>24</v>
          </cell>
          <cell r="BG14">
            <v>77</v>
          </cell>
          <cell r="BH14">
            <v>0</v>
          </cell>
          <cell r="BI14">
            <v>4</v>
          </cell>
          <cell r="BJ14">
            <v>5</v>
          </cell>
          <cell r="BK14">
            <v>28</v>
          </cell>
          <cell r="BL14">
            <v>33</v>
          </cell>
          <cell r="BM14">
            <v>33</v>
          </cell>
          <cell r="BN14">
            <v>0</v>
          </cell>
          <cell r="BO14">
            <v>3.5</v>
          </cell>
          <cell r="BP14">
            <v>29.5</v>
          </cell>
          <cell r="BQ14">
            <v>4.2142857142857144</v>
          </cell>
          <cell r="BR14" t="str">
            <v>A</v>
          </cell>
          <cell r="BS14" t="str">
            <v>BETTER</v>
          </cell>
          <cell r="BT14">
            <v>566</v>
          </cell>
          <cell r="BU14">
            <v>19</v>
          </cell>
          <cell r="BV14">
            <v>68</v>
          </cell>
        </row>
        <row r="15">
          <cell r="B15">
            <v>9</v>
          </cell>
          <cell r="C15" t="str">
            <v>Sreshthangshu Saha Swapno</v>
          </cell>
          <cell r="D15" t="str">
            <v>Samir Kumar Saha</v>
          </cell>
          <cell r="E15" t="str">
            <v>Shilpi Rani Saha</v>
          </cell>
          <cell r="F15" t="str">
            <v>01740-858388   01552-336105</v>
          </cell>
          <cell r="G15">
            <v>14</v>
          </cell>
          <cell r="H15">
            <v>26</v>
          </cell>
          <cell r="I15">
            <v>40</v>
          </cell>
          <cell r="J15">
            <v>18</v>
          </cell>
          <cell r="K15">
            <v>58</v>
          </cell>
          <cell r="L15">
            <v>10</v>
          </cell>
          <cell r="M15">
            <v>34</v>
          </cell>
          <cell r="N15">
            <v>44</v>
          </cell>
          <cell r="O15">
            <v>44</v>
          </cell>
          <cell r="P15">
            <v>102</v>
          </cell>
          <cell r="Q15">
            <v>0</v>
          </cell>
          <cell r="R15">
            <v>3.5</v>
          </cell>
          <cell r="S15">
            <v>18</v>
          </cell>
          <cell r="T15">
            <v>38</v>
          </cell>
          <cell r="U15">
            <v>56</v>
          </cell>
          <cell r="V15">
            <v>6</v>
          </cell>
          <cell r="W15">
            <v>20</v>
          </cell>
          <cell r="X15">
            <v>26</v>
          </cell>
          <cell r="Y15">
            <v>82</v>
          </cell>
          <cell r="Z15">
            <v>82</v>
          </cell>
          <cell r="AA15">
            <v>0</v>
          </cell>
          <cell r="AB15">
            <v>3</v>
          </cell>
          <cell r="AC15">
            <v>14</v>
          </cell>
          <cell r="AD15">
            <v>16</v>
          </cell>
          <cell r="AE15">
            <v>30</v>
          </cell>
          <cell r="AF15">
            <v>12</v>
          </cell>
          <cell r="AG15">
            <v>42</v>
          </cell>
          <cell r="AH15">
            <v>0</v>
          </cell>
          <cell r="AI15">
            <v>2</v>
          </cell>
          <cell r="AJ15">
            <v>15</v>
          </cell>
          <cell r="AK15">
            <v>22</v>
          </cell>
          <cell r="AL15">
            <v>37</v>
          </cell>
          <cell r="AM15">
            <v>14</v>
          </cell>
          <cell r="AN15">
            <v>51</v>
          </cell>
          <cell r="AO15">
            <v>0</v>
          </cell>
          <cell r="AP15">
            <v>3</v>
          </cell>
          <cell r="AQ15">
            <v>20</v>
          </cell>
          <cell r="AR15">
            <v>25</v>
          </cell>
          <cell r="AS15">
            <v>45</v>
          </cell>
          <cell r="AT15">
            <v>0</v>
          </cell>
          <cell r="AU15">
            <v>5</v>
          </cell>
          <cell r="AV15">
            <v>14</v>
          </cell>
          <cell r="AW15">
            <v>35</v>
          </cell>
          <cell r="AX15">
            <v>49</v>
          </cell>
          <cell r="AY15">
            <v>21</v>
          </cell>
          <cell r="AZ15">
            <v>70</v>
          </cell>
          <cell r="BA15">
            <v>0</v>
          </cell>
          <cell r="BB15">
            <v>4</v>
          </cell>
          <cell r="BC15">
            <v>11</v>
          </cell>
          <cell r="BD15">
            <v>30</v>
          </cell>
          <cell r="BE15">
            <v>41</v>
          </cell>
          <cell r="BF15">
            <v>23</v>
          </cell>
          <cell r="BG15">
            <v>64</v>
          </cell>
          <cell r="BH15">
            <v>0</v>
          </cell>
          <cell r="BI15">
            <v>3.5</v>
          </cell>
          <cell r="BJ15">
            <v>6</v>
          </cell>
          <cell r="BK15">
            <v>28</v>
          </cell>
          <cell r="BL15">
            <v>34</v>
          </cell>
          <cell r="BM15">
            <v>34</v>
          </cell>
          <cell r="BN15">
            <v>0</v>
          </cell>
          <cell r="BO15">
            <v>3.5</v>
          </cell>
          <cell r="BP15">
            <v>24</v>
          </cell>
          <cell r="BQ15">
            <v>3.4285714285714284</v>
          </cell>
          <cell r="BR15" t="str">
            <v>B</v>
          </cell>
          <cell r="BS15" t="str">
            <v>GOOD</v>
          </cell>
          <cell r="BT15">
            <v>456</v>
          </cell>
          <cell r="BU15">
            <v>39</v>
          </cell>
          <cell r="BV15">
            <v>68</v>
          </cell>
        </row>
        <row r="16">
          <cell r="B16">
            <v>10</v>
          </cell>
          <cell r="C16" t="str">
            <v>Habiba Hasan</v>
          </cell>
          <cell r="D16" t="str">
            <v>Md. Hasan</v>
          </cell>
          <cell r="E16" t="str">
            <v>Khadiza Akter</v>
          </cell>
          <cell r="F16" t="str">
            <v>01713-298055   01716-080949</v>
          </cell>
          <cell r="G16">
            <v>17</v>
          </cell>
          <cell r="H16">
            <v>27</v>
          </cell>
          <cell r="I16">
            <v>44</v>
          </cell>
          <cell r="J16">
            <v>18</v>
          </cell>
          <cell r="K16">
            <v>62</v>
          </cell>
          <cell r="L16">
            <v>9</v>
          </cell>
          <cell r="M16">
            <v>32</v>
          </cell>
          <cell r="N16">
            <v>41</v>
          </cell>
          <cell r="O16">
            <v>41</v>
          </cell>
          <cell r="P16">
            <v>103</v>
          </cell>
          <cell r="Q16">
            <v>0</v>
          </cell>
          <cell r="R16">
            <v>3.5</v>
          </cell>
          <cell r="S16">
            <v>14</v>
          </cell>
          <cell r="T16">
            <v>45</v>
          </cell>
          <cell r="U16">
            <v>59</v>
          </cell>
          <cell r="V16">
            <v>7</v>
          </cell>
          <cell r="W16">
            <v>28</v>
          </cell>
          <cell r="X16">
            <v>35</v>
          </cell>
          <cell r="Y16">
            <v>94</v>
          </cell>
          <cell r="Z16">
            <v>94</v>
          </cell>
          <cell r="AA16">
            <v>0</v>
          </cell>
          <cell r="AB16">
            <v>3.5</v>
          </cell>
          <cell r="AC16">
            <v>20</v>
          </cell>
          <cell r="AD16">
            <v>37</v>
          </cell>
          <cell r="AE16">
            <v>57</v>
          </cell>
          <cell r="AF16">
            <v>27</v>
          </cell>
          <cell r="AG16">
            <v>84</v>
          </cell>
          <cell r="AH16">
            <v>0</v>
          </cell>
          <cell r="AI16">
            <v>5</v>
          </cell>
          <cell r="AJ16">
            <v>14</v>
          </cell>
          <cell r="AK16">
            <v>29</v>
          </cell>
          <cell r="AL16">
            <v>43</v>
          </cell>
          <cell r="AM16">
            <v>14</v>
          </cell>
          <cell r="AN16">
            <v>57</v>
          </cell>
          <cell r="AO16">
            <v>0</v>
          </cell>
          <cell r="AP16">
            <v>3</v>
          </cell>
          <cell r="AQ16">
            <v>20</v>
          </cell>
          <cell r="AR16">
            <v>25</v>
          </cell>
          <cell r="AS16">
            <v>45</v>
          </cell>
          <cell r="AT16">
            <v>0</v>
          </cell>
          <cell r="AU16">
            <v>5</v>
          </cell>
          <cell r="AV16">
            <v>17</v>
          </cell>
          <cell r="AW16">
            <v>39</v>
          </cell>
          <cell r="AX16">
            <v>56</v>
          </cell>
          <cell r="AY16">
            <v>24</v>
          </cell>
          <cell r="AZ16">
            <v>80</v>
          </cell>
          <cell r="BA16">
            <v>0</v>
          </cell>
          <cell r="BB16">
            <v>5</v>
          </cell>
          <cell r="BC16">
            <v>10</v>
          </cell>
          <cell r="BD16">
            <v>29</v>
          </cell>
          <cell r="BE16">
            <v>39</v>
          </cell>
          <cell r="BF16">
            <v>25</v>
          </cell>
          <cell r="BG16">
            <v>64</v>
          </cell>
          <cell r="BH16">
            <v>0</v>
          </cell>
          <cell r="BI16">
            <v>3.5</v>
          </cell>
          <cell r="BJ16">
            <v>6</v>
          </cell>
          <cell r="BK16">
            <v>28</v>
          </cell>
          <cell r="BL16">
            <v>34</v>
          </cell>
          <cell r="BM16">
            <v>34</v>
          </cell>
          <cell r="BN16">
            <v>0</v>
          </cell>
          <cell r="BO16">
            <v>3.5</v>
          </cell>
          <cell r="BP16">
            <v>28.5</v>
          </cell>
          <cell r="BQ16">
            <v>4.0714285714285712</v>
          </cell>
          <cell r="BR16" t="str">
            <v>A</v>
          </cell>
          <cell r="BS16" t="str">
            <v>BETTER</v>
          </cell>
          <cell r="BT16">
            <v>527</v>
          </cell>
          <cell r="BU16">
            <v>23</v>
          </cell>
          <cell r="BV16">
            <v>67</v>
          </cell>
        </row>
        <row r="17">
          <cell r="B17">
            <v>11</v>
          </cell>
          <cell r="C17" t="str">
            <v>Nusrat Jahan Dola</v>
          </cell>
          <cell r="D17" t="str">
            <v>Md. Nuruzzaman</v>
          </cell>
          <cell r="E17" t="str">
            <v>Kazi Shakila Bithi Nishita</v>
          </cell>
          <cell r="F17" t="str">
            <v>01889-732938</v>
          </cell>
          <cell r="G17">
            <v>13</v>
          </cell>
          <cell r="H17">
            <v>14</v>
          </cell>
          <cell r="I17">
            <v>27</v>
          </cell>
          <cell r="J17">
            <v>20</v>
          </cell>
          <cell r="K17">
            <v>47</v>
          </cell>
          <cell r="L17">
            <v>10</v>
          </cell>
          <cell r="M17">
            <v>30</v>
          </cell>
          <cell r="N17">
            <v>40</v>
          </cell>
          <cell r="O17">
            <v>40</v>
          </cell>
          <cell r="P17">
            <v>87</v>
          </cell>
          <cell r="Q17">
            <v>0</v>
          </cell>
          <cell r="R17">
            <v>3</v>
          </cell>
          <cell r="S17">
            <v>12</v>
          </cell>
          <cell r="T17">
            <v>57</v>
          </cell>
          <cell r="U17">
            <v>69</v>
          </cell>
          <cell r="V17">
            <v>7</v>
          </cell>
          <cell r="W17">
            <v>30</v>
          </cell>
          <cell r="X17">
            <v>37</v>
          </cell>
          <cell r="Y17">
            <v>106</v>
          </cell>
          <cell r="Z17">
            <v>106</v>
          </cell>
          <cell r="AA17">
            <v>0</v>
          </cell>
          <cell r="AB17">
            <v>4</v>
          </cell>
          <cell r="AC17">
            <v>18</v>
          </cell>
          <cell r="AD17">
            <v>34</v>
          </cell>
          <cell r="AE17">
            <v>52</v>
          </cell>
          <cell r="AF17">
            <v>23</v>
          </cell>
          <cell r="AG17">
            <v>75</v>
          </cell>
          <cell r="AH17">
            <v>0</v>
          </cell>
          <cell r="AI17">
            <v>4</v>
          </cell>
          <cell r="AJ17">
            <v>15</v>
          </cell>
          <cell r="AK17">
            <v>20</v>
          </cell>
          <cell r="AL17">
            <v>35</v>
          </cell>
          <cell r="AM17">
            <v>17</v>
          </cell>
          <cell r="AN17">
            <v>52</v>
          </cell>
          <cell r="AO17">
            <v>0</v>
          </cell>
          <cell r="AP17">
            <v>3</v>
          </cell>
          <cell r="AQ17">
            <v>20</v>
          </cell>
          <cell r="AR17">
            <v>25</v>
          </cell>
          <cell r="AS17">
            <v>45</v>
          </cell>
          <cell r="AT17">
            <v>0</v>
          </cell>
          <cell r="AU17">
            <v>5</v>
          </cell>
          <cell r="AV17">
            <v>15</v>
          </cell>
          <cell r="AW17">
            <v>42</v>
          </cell>
          <cell r="AX17">
            <v>57</v>
          </cell>
          <cell r="AY17">
            <v>25</v>
          </cell>
          <cell r="AZ17">
            <v>82</v>
          </cell>
          <cell r="BA17">
            <v>0</v>
          </cell>
          <cell r="BB17">
            <v>5</v>
          </cell>
          <cell r="BC17">
            <v>15</v>
          </cell>
          <cell r="BD17">
            <v>34</v>
          </cell>
          <cell r="BE17">
            <v>49</v>
          </cell>
          <cell r="BF17">
            <v>20</v>
          </cell>
          <cell r="BG17">
            <v>69</v>
          </cell>
          <cell r="BH17">
            <v>0</v>
          </cell>
          <cell r="BI17">
            <v>3.5</v>
          </cell>
          <cell r="BJ17">
            <v>5</v>
          </cell>
          <cell r="BK17">
            <v>24</v>
          </cell>
          <cell r="BL17">
            <v>29</v>
          </cell>
          <cell r="BM17">
            <v>29</v>
          </cell>
          <cell r="BN17">
            <v>0</v>
          </cell>
          <cell r="BO17">
            <v>3</v>
          </cell>
          <cell r="BP17">
            <v>27.5</v>
          </cell>
          <cell r="BQ17">
            <v>3.9285714285714284</v>
          </cell>
          <cell r="BR17" t="str">
            <v>A-</v>
          </cell>
          <cell r="BS17" t="str">
            <v>GOOD</v>
          </cell>
          <cell r="BT17">
            <v>516</v>
          </cell>
          <cell r="BU17">
            <v>27</v>
          </cell>
          <cell r="BV17">
            <v>65</v>
          </cell>
        </row>
        <row r="18">
          <cell r="B18">
            <v>12</v>
          </cell>
          <cell r="C18" t="str">
            <v>Md. Shakib Sheikh</v>
          </cell>
          <cell r="D18" t="str">
            <v>Md. Sokir Sheikh</v>
          </cell>
          <cell r="E18" t="str">
            <v>Mst. Rashida Khatun</v>
          </cell>
          <cell r="F18" t="str">
            <v>01754-343921   01779-735842</v>
          </cell>
          <cell r="G18">
            <v>14</v>
          </cell>
          <cell r="H18">
            <v>33</v>
          </cell>
          <cell r="I18">
            <v>47</v>
          </cell>
          <cell r="J18">
            <v>21</v>
          </cell>
          <cell r="K18">
            <v>68</v>
          </cell>
          <cell r="L18">
            <v>10</v>
          </cell>
          <cell r="M18">
            <v>34</v>
          </cell>
          <cell r="N18">
            <v>44</v>
          </cell>
          <cell r="O18">
            <v>44</v>
          </cell>
          <cell r="P18">
            <v>112</v>
          </cell>
          <cell r="Q18">
            <v>0</v>
          </cell>
          <cell r="R18">
            <v>4</v>
          </cell>
          <cell r="S18">
            <v>17</v>
          </cell>
          <cell r="T18">
            <v>55</v>
          </cell>
          <cell r="U18">
            <v>72</v>
          </cell>
          <cell r="V18">
            <v>7</v>
          </cell>
          <cell r="W18">
            <v>32</v>
          </cell>
          <cell r="X18">
            <v>39</v>
          </cell>
          <cell r="Y18">
            <v>111</v>
          </cell>
          <cell r="Z18">
            <v>111</v>
          </cell>
          <cell r="AA18">
            <v>0</v>
          </cell>
          <cell r="AB18">
            <v>4</v>
          </cell>
          <cell r="AC18">
            <v>20</v>
          </cell>
          <cell r="AD18">
            <v>47</v>
          </cell>
          <cell r="AE18">
            <v>67</v>
          </cell>
          <cell r="AF18">
            <v>28</v>
          </cell>
          <cell r="AG18">
            <v>95</v>
          </cell>
          <cell r="AH18">
            <v>0</v>
          </cell>
          <cell r="AI18">
            <v>5</v>
          </cell>
          <cell r="AJ18">
            <v>18</v>
          </cell>
          <cell r="AK18">
            <v>41</v>
          </cell>
          <cell r="AL18">
            <v>59</v>
          </cell>
          <cell r="AM18">
            <v>16</v>
          </cell>
          <cell r="AN18">
            <v>75</v>
          </cell>
          <cell r="AO18">
            <v>0</v>
          </cell>
          <cell r="AP18">
            <v>4</v>
          </cell>
          <cell r="AQ18">
            <v>20</v>
          </cell>
          <cell r="AR18">
            <v>25</v>
          </cell>
          <cell r="AS18">
            <v>45</v>
          </cell>
          <cell r="AT18">
            <v>0</v>
          </cell>
          <cell r="AU18">
            <v>5</v>
          </cell>
          <cell r="AV18">
            <v>19</v>
          </cell>
          <cell r="AW18">
            <v>50</v>
          </cell>
          <cell r="AX18">
            <v>69</v>
          </cell>
          <cell r="AY18">
            <v>25</v>
          </cell>
          <cell r="AZ18">
            <v>94</v>
          </cell>
          <cell r="BA18">
            <v>0</v>
          </cell>
          <cell r="BB18">
            <v>5</v>
          </cell>
          <cell r="BC18">
            <v>17</v>
          </cell>
          <cell r="BD18">
            <v>46</v>
          </cell>
          <cell r="BE18">
            <v>63</v>
          </cell>
          <cell r="BF18">
            <v>29</v>
          </cell>
          <cell r="BG18">
            <v>92</v>
          </cell>
          <cell r="BH18">
            <v>0</v>
          </cell>
          <cell r="BI18">
            <v>5</v>
          </cell>
          <cell r="BJ18">
            <v>10</v>
          </cell>
          <cell r="BK18">
            <v>24</v>
          </cell>
          <cell r="BL18">
            <v>34</v>
          </cell>
          <cell r="BM18">
            <v>34</v>
          </cell>
          <cell r="BN18">
            <v>0</v>
          </cell>
          <cell r="BO18">
            <v>3.5</v>
          </cell>
          <cell r="BP18">
            <v>32</v>
          </cell>
          <cell r="BQ18">
            <v>4.5714285714285712</v>
          </cell>
          <cell r="BR18" t="str">
            <v>A</v>
          </cell>
          <cell r="BS18" t="str">
            <v>BETTER</v>
          </cell>
          <cell r="BT18">
            <v>624</v>
          </cell>
          <cell r="BU18">
            <v>11</v>
          </cell>
          <cell r="BV18">
            <v>62</v>
          </cell>
        </row>
        <row r="19">
          <cell r="B19">
            <v>14</v>
          </cell>
          <cell r="C19" t="str">
            <v xml:space="preserve">Al Mubin </v>
          </cell>
          <cell r="D19" t="str">
            <v xml:space="preserve">Md. Rakibul Islam </v>
          </cell>
          <cell r="E19" t="str">
            <v xml:space="preserve">Mst. Fatema Aktar </v>
          </cell>
          <cell r="F19" t="str">
            <v>01751-354834                         01731-539373</v>
          </cell>
          <cell r="G19">
            <v>11</v>
          </cell>
          <cell r="H19">
            <v>0</v>
          </cell>
          <cell r="I19">
            <v>11</v>
          </cell>
          <cell r="J19">
            <v>0</v>
          </cell>
          <cell r="K19">
            <v>11</v>
          </cell>
          <cell r="L19">
            <v>9</v>
          </cell>
          <cell r="M19">
            <v>0</v>
          </cell>
          <cell r="N19">
            <v>9</v>
          </cell>
          <cell r="O19">
            <v>9</v>
          </cell>
          <cell r="P19">
            <v>20</v>
          </cell>
          <cell r="Q19">
            <v>0</v>
          </cell>
          <cell r="R19" t="str">
            <v>F</v>
          </cell>
          <cell r="S19">
            <v>17</v>
          </cell>
          <cell r="T19">
            <v>52</v>
          </cell>
          <cell r="U19">
            <v>69</v>
          </cell>
          <cell r="V19">
            <v>8</v>
          </cell>
          <cell r="W19">
            <v>24</v>
          </cell>
          <cell r="X19">
            <v>32</v>
          </cell>
          <cell r="Y19">
            <v>101</v>
          </cell>
          <cell r="Z19">
            <v>101</v>
          </cell>
          <cell r="AA19">
            <v>0</v>
          </cell>
          <cell r="AB19">
            <v>3.5</v>
          </cell>
          <cell r="AC19">
            <v>15</v>
          </cell>
          <cell r="AD19">
            <v>22</v>
          </cell>
          <cell r="AE19">
            <v>37</v>
          </cell>
          <cell r="AF19">
            <v>21</v>
          </cell>
          <cell r="AG19">
            <v>58</v>
          </cell>
          <cell r="AH19">
            <v>0</v>
          </cell>
          <cell r="AI19">
            <v>3</v>
          </cell>
          <cell r="AJ19">
            <v>17</v>
          </cell>
          <cell r="AK19">
            <v>0</v>
          </cell>
          <cell r="AL19">
            <v>17</v>
          </cell>
          <cell r="AM19">
            <v>0</v>
          </cell>
          <cell r="AN19">
            <v>17</v>
          </cell>
          <cell r="AO19">
            <v>0</v>
          </cell>
          <cell r="AP19" t="str">
            <v>F</v>
          </cell>
          <cell r="AQ19">
            <v>16</v>
          </cell>
          <cell r="AR19">
            <v>25</v>
          </cell>
          <cell r="AS19">
            <v>41</v>
          </cell>
          <cell r="AT19">
            <v>0</v>
          </cell>
          <cell r="AU19">
            <v>5</v>
          </cell>
          <cell r="AV19">
            <v>13</v>
          </cell>
          <cell r="AW19">
            <v>43</v>
          </cell>
          <cell r="AX19">
            <v>56</v>
          </cell>
          <cell r="AY19">
            <v>24</v>
          </cell>
          <cell r="AZ19">
            <v>80</v>
          </cell>
          <cell r="BA19">
            <v>0</v>
          </cell>
          <cell r="BB19">
            <v>5</v>
          </cell>
          <cell r="BC19">
            <v>11</v>
          </cell>
          <cell r="BD19">
            <v>28</v>
          </cell>
          <cell r="BE19">
            <v>39</v>
          </cell>
          <cell r="BF19">
            <v>24</v>
          </cell>
          <cell r="BG19">
            <v>63</v>
          </cell>
          <cell r="BH19">
            <v>0</v>
          </cell>
          <cell r="BI19">
            <v>3.5</v>
          </cell>
          <cell r="BJ19">
            <v>7</v>
          </cell>
          <cell r="BK19">
            <v>24</v>
          </cell>
          <cell r="BL19">
            <v>31</v>
          </cell>
          <cell r="BM19">
            <v>31</v>
          </cell>
          <cell r="BN19">
            <v>0</v>
          </cell>
          <cell r="BO19">
            <v>3.5</v>
          </cell>
          <cell r="BP19" t="str">
            <v>F</v>
          </cell>
          <cell r="BQ19" t="str">
            <v>F</v>
          </cell>
          <cell r="BR19" t="str">
            <v>F</v>
          </cell>
          <cell r="BS19" t="str">
            <v>NEED TO PROGRESS</v>
          </cell>
          <cell r="BT19">
            <v>380</v>
          </cell>
          <cell r="BU19">
            <v>0</v>
          </cell>
          <cell r="BV19">
            <v>55</v>
          </cell>
        </row>
        <row r="20">
          <cell r="B20">
            <v>16</v>
          </cell>
          <cell r="C20" t="str">
            <v>Md. Abdullah Al Mustaqim (Shin)</v>
          </cell>
          <cell r="D20" t="str">
            <v>Abdur Rouf Sagar</v>
          </cell>
          <cell r="E20" t="str">
            <v>Mst. Mousumi Akter</v>
          </cell>
          <cell r="F20" t="str">
            <v>01717-948278   01970-948278</v>
          </cell>
          <cell r="G20">
            <v>11</v>
          </cell>
          <cell r="H20">
            <v>28</v>
          </cell>
          <cell r="I20">
            <v>39</v>
          </cell>
          <cell r="J20">
            <v>21</v>
          </cell>
          <cell r="K20">
            <v>60</v>
          </cell>
          <cell r="L20">
            <v>10</v>
          </cell>
          <cell r="M20">
            <v>30</v>
          </cell>
          <cell r="N20">
            <v>40</v>
          </cell>
          <cell r="O20">
            <v>40</v>
          </cell>
          <cell r="P20">
            <v>100</v>
          </cell>
          <cell r="Q20">
            <v>0</v>
          </cell>
          <cell r="R20">
            <v>3.5</v>
          </cell>
          <cell r="S20">
            <v>13</v>
          </cell>
          <cell r="T20">
            <v>59</v>
          </cell>
          <cell r="U20">
            <v>72</v>
          </cell>
          <cell r="V20">
            <v>5</v>
          </cell>
          <cell r="W20">
            <v>25</v>
          </cell>
          <cell r="X20">
            <v>30</v>
          </cell>
          <cell r="Y20">
            <v>102</v>
          </cell>
          <cell r="Z20">
            <v>102</v>
          </cell>
          <cell r="AA20">
            <v>0</v>
          </cell>
          <cell r="AB20">
            <v>3.5</v>
          </cell>
          <cell r="AC20">
            <v>12</v>
          </cell>
          <cell r="AD20">
            <v>31</v>
          </cell>
          <cell r="AE20">
            <v>43</v>
          </cell>
          <cell r="AF20">
            <v>17</v>
          </cell>
          <cell r="AG20">
            <v>60</v>
          </cell>
          <cell r="AH20">
            <v>0</v>
          </cell>
          <cell r="AI20">
            <v>3.5</v>
          </cell>
          <cell r="AJ20">
            <v>12</v>
          </cell>
          <cell r="AK20">
            <v>30</v>
          </cell>
          <cell r="AL20">
            <v>42</v>
          </cell>
          <cell r="AM20">
            <v>19</v>
          </cell>
          <cell r="AN20">
            <v>61</v>
          </cell>
          <cell r="AO20">
            <v>0</v>
          </cell>
          <cell r="AP20">
            <v>3.5</v>
          </cell>
          <cell r="AQ20">
            <v>19</v>
          </cell>
          <cell r="AR20">
            <v>25</v>
          </cell>
          <cell r="AS20">
            <v>44</v>
          </cell>
          <cell r="AT20">
            <v>0</v>
          </cell>
          <cell r="AU20">
            <v>5</v>
          </cell>
          <cell r="AV20">
            <v>16</v>
          </cell>
          <cell r="AW20">
            <v>39</v>
          </cell>
          <cell r="AX20">
            <v>55</v>
          </cell>
          <cell r="AY20">
            <v>24</v>
          </cell>
          <cell r="AZ20">
            <v>79</v>
          </cell>
          <cell r="BA20">
            <v>0</v>
          </cell>
          <cell r="BB20">
            <v>4</v>
          </cell>
          <cell r="BC20">
            <v>13</v>
          </cell>
          <cell r="BD20">
            <v>41</v>
          </cell>
          <cell r="BE20">
            <v>54</v>
          </cell>
          <cell r="BF20">
            <v>23</v>
          </cell>
          <cell r="BG20">
            <v>77</v>
          </cell>
          <cell r="BH20">
            <v>0</v>
          </cell>
          <cell r="BI20">
            <v>4</v>
          </cell>
          <cell r="BJ20">
            <v>8</v>
          </cell>
          <cell r="BK20">
            <v>24</v>
          </cell>
          <cell r="BL20">
            <v>32</v>
          </cell>
          <cell r="BM20">
            <v>32</v>
          </cell>
          <cell r="BN20">
            <v>0</v>
          </cell>
          <cell r="BO20">
            <v>3.5</v>
          </cell>
          <cell r="BP20">
            <v>27</v>
          </cell>
          <cell r="BQ20">
            <v>3.8571428571428572</v>
          </cell>
          <cell r="BR20" t="str">
            <v>A-</v>
          </cell>
          <cell r="BS20" t="str">
            <v>GOOD</v>
          </cell>
          <cell r="BT20">
            <v>523</v>
          </cell>
          <cell r="BU20">
            <v>30</v>
          </cell>
          <cell r="BV20">
            <v>56</v>
          </cell>
        </row>
        <row r="21">
          <cell r="B21">
            <v>18</v>
          </cell>
          <cell r="C21" t="str">
            <v>Mainul Hasan Sifat</v>
          </cell>
          <cell r="D21" t="str">
            <v xml:space="preserve">Mahi Uddin </v>
          </cell>
          <cell r="E21" t="str">
            <v>Salma Akter</v>
          </cell>
          <cell r="F21" t="str">
            <v>01645-138713</v>
          </cell>
          <cell r="G21">
            <v>14</v>
          </cell>
          <cell r="H21">
            <v>21</v>
          </cell>
          <cell r="I21">
            <v>35</v>
          </cell>
          <cell r="J21">
            <v>15</v>
          </cell>
          <cell r="K21">
            <v>50</v>
          </cell>
          <cell r="L21">
            <v>10</v>
          </cell>
          <cell r="M21">
            <v>30</v>
          </cell>
          <cell r="N21">
            <v>40</v>
          </cell>
          <cell r="O21">
            <v>40</v>
          </cell>
          <cell r="P21">
            <v>90</v>
          </cell>
          <cell r="Q21">
            <v>0</v>
          </cell>
          <cell r="R21">
            <v>3.5</v>
          </cell>
          <cell r="S21">
            <v>19</v>
          </cell>
          <cell r="T21">
            <v>62</v>
          </cell>
          <cell r="U21">
            <v>81</v>
          </cell>
          <cell r="V21">
            <v>10</v>
          </cell>
          <cell r="W21">
            <v>28</v>
          </cell>
          <cell r="X21">
            <v>38</v>
          </cell>
          <cell r="Y21">
            <v>119</v>
          </cell>
          <cell r="Z21">
            <v>119</v>
          </cell>
          <cell r="AA21">
            <v>0</v>
          </cell>
          <cell r="AB21">
            <v>4</v>
          </cell>
          <cell r="AC21">
            <v>13</v>
          </cell>
          <cell r="AD21">
            <v>40</v>
          </cell>
          <cell r="AE21">
            <v>53</v>
          </cell>
          <cell r="AF21">
            <v>21</v>
          </cell>
          <cell r="AG21">
            <v>74</v>
          </cell>
          <cell r="AH21">
            <v>0</v>
          </cell>
          <cell r="AI21">
            <v>4</v>
          </cell>
          <cell r="AJ21">
            <v>14</v>
          </cell>
          <cell r="AK21">
            <v>22</v>
          </cell>
          <cell r="AL21">
            <v>36</v>
          </cell>
          <cell r="AM21">
            <v>14</v>
          </cell>
          <cell r="AN21">
            <v>50</v>
          </cell>
          <cell r="AO21">
            <v>0</v>
          </cell>
          <cell r="AP21">
            <v>3</v>
          </cell>
          <cell r="AQ21">
            <v>20</v>
          </cell>
          <cell r="AR21">
            <v>25</v>
          </cell>
          <cell r="AS21">
            <v>45</v>
          </cell>
          <cell r="AT21">
            <v>0</v>
          </cell>
          <cell r="AU21">
            <v>5</v>
          </cell>
          <cell r="AV21">
            <v>17</v>
          </cell>
          <cell r="AW21">
            <v>34</v>
          </cell>
          <cell r="AX21">
            <v>51</v>
          </cell>
          <cell r="AY21">
            <v>22</v>
          </cell>
          <cell r="AZ21">
            <v>73</v>
          </cell>
          <cell r="BA21">
            <v>0</v>
          </cell>
          <cell r="BB21">
            <v>4</v>
          </cell>
          <cell r="BC21">
            <v>12</v>
          </cell>
          <cell r="BD21">
            <v>33</v>
          </cell>
          <cell r="BE21">
            <v>45</v>
          </cell>
          <cell r="BF21">
            <v>19</v>
          </cell>
          <cell r="BG21">
            <v>64</v>
          </cell>
          <cell r="BH21">
            <v>0</v>
          </cell>
          <cell r="BI21">
            <v>3.5</v>
          </cell>
          <cell r="BJ21">
            <v>6</v>
          </cell>
          <cell r="BK21">
            <v>24</v>
          </cell>
          <cell r="BL21">
            <v>30</v>
          </cell>
          <cell r="BM21">
            <v>30</v>
          </cell>
          <cell r="BN21">
            <v>0</v>
          </cell>
          <cell r="BO21">
            <v>3.5</v>
          </cell>
          <cell r="BP21">
            <v>27</v>
          </cell>
          <cell r="BQ21">
            <v>3.8571428571428572</v>
          </cell>
          <cell r="BR21" t="str">
            <v>A-</v>
          </cell>
          <cell r="BS21" t="str">
            <v>GOOD</v>
          </cell>
          <cell r="BT21">
            <v>515</v>
          </cell>
          <cell r="BU21">
            <v>31</v>
          </cell>
          <cell r="BV21">
            <v>58</v>
          </cell>
        </row>
        <row r="22">
          <cell r="B22">
            <v>19</v>
          </cell>
          <cell r="C22" t="str">
            <v>Mahmud Hasan Samir</v>
          </cell>
          <cell r="D22" t="str">
            <v xml:space="preserve">Mahi Uddin </v>
          </cell>
          <cell r="E22" t="str">
            <v>Salma Akter</v>
          </cell>
          <cell r="F22" t="str">
            <v>01645-138713</v>
          </cell>
          <cell r="G22">
            <v>11</v>
          </cell>
          <cell r="H22">
            <v>21</v>
          </cell>
          <cell r="I22">
            <v>32</v>
          </cell>
          <cell r="J22">
            <v>19</v>
          </cell>
          <cell r="K22">
            <v>51</v>
          </cell>
          <cell r="L22">
            <v>9</v>
          </cell>
          <cell r="M22">
            <v>25</v>
          </cell>
          <cell r="N22">
            <v>34</v>
          </cell>
          <cell r="O22">
            <v>34</v>
          </cell>
          <cell r="P22">
            <v>85</v>
          </cell>
          <cell r="Q22">
            <v>0</v>
          </cell>
          <cell r="R22">
            <v>3</v>
          </cell>
          <cell r="S22">
            <v>14</v>
          </cell>
          <cell r="T22">
            <v>38</v>
          </cell>
          <cell r="U22">
            <v>52</v>
          </cell>
          <cell r="V22">
            <v>5</v>
          </cell>
          <cell r="W22">
            <v>24</v>
          </cell>
          <cell r="X22">
            <v>29</v>
          </cell>
          <cell r="Y22">
            <v>81</v>
          </cell>
          <cell r="Z22">
            <v>81</v>
          </cell>
          <cell r="AA22">
            <v>0</v>
          </cell>
          <cell r="AB22">
            <v>3</v>
          </cell>
          <cell r="AC22">
            <v>11</v>
          </cell>
          <cell r="AD22">
            <v>10</v>
          </cell>
          <cell r="AE22">
            <v>21</v>
          </cell>
          <cell r="AF22">
            <v>19</v>
          </cell>
          <cell r="AG22">
            <v>40</v>
          </cell>
          <cell r="AH22">
            <v>0</v>
          </cell>
          <cell r="AI22">
            <v>2</v>
          </cell>
          <cell r="AJ22">
            <v>13</v>
          </cell>
          <cell r="AK22">
            <v>23</v>
          </cell>
          <cell r="AL22">
            <v>36</v>
          </cell>
          <cell r="AM22">
            <v>15</v>
          </cell>
          <cell r="AN22">
            <v>51</v>
          </cell>
          <cell r="AO22">
            <v>0</v>
          </cell>
          <cell r="AP22">
            <v>3</v>
          </cell>
          <cell r="AQ22">
            <v>20</v>
          </cell>
          <cell r="AR22">
            <v>25</v>
          </cell>
          <cell r="AS22">
            <v>45</v>
          </cell>
          <cell r="AT22">
            <v>0</v>
          </cell>
          <cell r="AU22">
            <v>5</v>
          </cell>
          <cell r="AV22">
            <v>13</v>
          </cell>
          <cell r="AW22">
            <v>32</v>
          </cell>
          <cell r="AX22">
            <v>45</v>
          </cell>
          <cell r="AY22">
            <v>20</v>
          </cell>
          <cell r="AZ22">
            <v>65</v>
          </cell>
          <cell r="BA22">
            <v>0</v>
          </cell>
          <cell r="BB22">
            <v>3.5</v>
          </cell>
          <cell r="BC22">
            <v>10</v>
          </cell>
          <cell r="BD22">
            <v>20</v>
          </cell>
          <cell r="BE22">
            <v>30</v>
          </cell>
          <cell r="BF22">
            <v>16</v>
          </cell>
          <cell r="BG22">
            <v>46</v>
          </cell>
          <cell r="BH22">
            <v>0</v>
          </cell>
          <cell r="BI22">
            <v>2</v>
          </cell>
          <cell r="BJ22">
            <v>5</v>
          </cell>
          <cell r="BK22">
            <v>28</v>
          </cell>
          <cell r="BL22">
            <v>33</v>
          </cell>
          <cell r="BM22">
            <v>33</v>
          </cell>
          <cell r="BN22">
            <v>0</v>
          </cell>
          <cell r="BO22">
            <v>3.5</v>
          </cell>
          <cell r="BP22">
            <v>21.5</v>
          </cell>
          <cell r="BQ22">
            <v>3.0714285714285716</v>
          </cell>
          <cell r="BR22" t="str">
            <v>B</v>
          </cell>
          <cell r="BS22" t="str">
            <v>GOOD</v>
          </cell>
          <cell r="BT22">
            <v>413</v>
          </cell>
          <cell r="BU22">
            <v>47</v>
          </cell>
          <cell r="BV22">
            <v>57</v>
          </cell>
        </row>
        <row r="23">
          <cell r="B23">
            <v>20</v>
          </cell>
          <cell r="C23" t="str">
            <v xml:space="preserve">Monira Akter </v>
          </cell>
          <cell r="D23" t="str">
            <v>Monir Hossain</v>
          </cell>
          <cell r="E23" t="str">
            <v xml:space="preserve">Lipi Begum </v>
          </cell>
          <cell r="F23" t="str">
            <v>01611-013113                    01925-928781</v>
          </cell>
          <cell r="G23">
            <v>8</v>
          </cell>
          <cell r="H23">
            <v>11</v>
          </cell>
          <cell r="I23">
            <v>19</v>
          </cell>
          <cell r="J23">
            <v>12</v>
          </cell>
          <cell r="K23">
            <v>31</v>
          </cell>
          <cell r="L23">
            <v>7</v>
          </cell>
          <cell r="M23">
            <v>16</v>
          </cell>
          <cell r="N23">
            <v>23</v>
          </cell>
          <cell r="O23">
            <v>23</v>
          </cell>
          <cell r="P23">
            <v>54</v>
          </cell>
          <cell r="Q23">
            <v>0</v>
          </cell>
          <cell r="R23" t="str">
            <v>F</v>
          </cell>
          <cell r="S23">
            <v>9</v>
          </cell>
          <cell r="T23">
            <v>37</v>
          </cell>
          <cell r="U23">
            <v>46</v>
          </cell>
          <cell r="V23">
            <v>2</v>
          </cell>
          <cell r="W23">
            <v>18</v>
          </cell>
          <cell r="X23">
            <v>20</v>
          </cell>
          <cell r="Y23">
            <v>66</v>
          </cell>
          <cell r="Z23">
            <v>66</v>
          </cell>
          <cell r="AA23">
            <v>0</v>
          </cell>
          <cell r="AB23">
            <v>2</v>
          </cell>
          <cell r="AC23">
            <v>12</v>
          </cell>
          <cell r="AD23">
            <v>20</v>
          </cell>
          <cell r="AE23">
            <v>32</v>
          </cell>
          <cell r="AF23">
            <v>18</v>
          </cell>
          <cell r="AG23">
            <v>50</v>
          </cell>
          <cell r="AH23">
            <v>0</v>
          </cell>
          <cell r="AI23">
            <v>3</v>
          </cell>
          <cell r="AJ23">
            <v>8</v>
          </cell>
          <cell r="AK23">
            <v>19</v>
          </cell>
          <cell r="AL23">
            <v>27</v>
          </cell>
          <cell r="AM23">
            <v>14</v>
          </cell>
          <cell r="AN23">
            <v>41</v>
          </cell>
          <cell r="AO23">
            <v>0</v>
          </cell>
          <cell r="AP23">
            <v>2</v>
          </cell>
          <cell r="AQ23">
            <v>17</v>
          </cell>
          <cell r="AR23">
            <v>25</v>
          </cell>
          <cell r="AS23">
            <v>42</v>
          </cell>
          <cell r="AT23">
            <v>0</v>
          </cell>
          <cell r="AU23">
            <v>5</v>
          </cell>
          <cell r="AV23">
            <v>16</v>
          </cell>
          <cell r="AW23">
            <v>24</v>
          </cell>
          <cell r="AX23">
            <v>40</v>
          </cell>
          <cell r="AY23">
            <v>22</v>
          </cell>
          <cell r="AZ23">
            <v>62</v>
          </cell>
          <cell r="BA23">
            <v>0</v>
          </cell>
          <cell r="BB23">
            <v>3.5</v>
          </cell>
          <cell r="BC23">
            <v>10</v>
          </cell>
          <cell r="BD23">
            <v>22</v>
          </cell>
          <cell r="BE23">
            <v>32</v>
          </cell>
          <cell r="BF23">
            <v>19</v>
          </cell>
          <cell r="BG23">
            <v>51</v>
          </cell>
          <cell r="BH23">
            <v>0</v>
          </cell>
          <cell r="BI23">
            <v>3</v>
          </cell>
          <cell r="BJ23">
            <v>5</v>
          </cell>
          <cell r="BK23">
            <v>28</v>
          </cell>
          <cell r="BL23">
            <v>33</v>
          </cell>
          <cell r="BM23">
            <v>33</v>
          </cell>
          <cell r="BN23">
            <v>0</v>
          </cell>
          <cell r="BO23">
            <v>3.5</v>
          </cell>
          <cell r="BP23" t="str">
            <v>F</v>
          </cell>
          <cell r="BQ23" t="str">
            <v>F</v>
          </cell>
          <cell r="BR23" t="str">
            <v>F</v>
          </cell>
          <cell r="BS23" t="str">
            <v>NEED TO PROGRESS</v>
          </cell>
          <cell r="BT23">
            <v>366</v>
          </cell>
          <cell r="BU23">
            <v>0</v>
          </cell>
          <cell r="BV23">
            <v>64</v>
          </cell>
        </row>
        <row r="24">
          <cell r="B24">
            <v>21</v>
          </cell>
          <cell r="C24" t="str">
            <v>Abdullah Al Abid</v>
          </cell>
          <cell r="D24" t="str">
            <v>Md. Al Amin Sheikh</v>
          </cell>
          <cell r="E24" t="str">
            <v>Mst. Jesmin Sultana</v>
          </cell>
          <cell r="F24" t="str">
            <v>01614-320318   01615-320318</v>
          </cell>
          <cell r="G24">
            <v>12</v>
          </cell>
          <cell r="H24">
            <v>17</v>
          </cell>
          <cell r="I24">
            <v>29</v>
          </cell>
          <cell r="J24">
            <v>18</v>
          </cell>
          <cell r="K24">
            <v>47</v>
          </cell>
          <cell r="L24">
            <v>8</v>
          </cell>
          <cell r="M24">
            <v>22</v>
          </cell>
          <cell r="N24">
            <v>30</v>
          </cell>
          <cell r="O24">
            <v>30</v>
          </cell>
          <cell r="P24">
            <v>77</v>
          </cell>
          <cell r="Q24">
            <v>0</v>
          </cell>
          <cell r="R24">
            <v>3</v>
          </cell>
          <cell r="S24">
            <v>8</v>
          </cell>
          <cell r="T24">
            <v>32</v>
          </cell>
          <cell r="U24">
            <v>40</v>
          </cell>
          <cell r="V24">
            <v>5</v>
          </cell>
          <cell r="W24">
            <v>26</v>
          </cell>
          <cell r="X24">
            <v>31</v>
          </cell>
          <cell r="Y24">
            <v>71</v>
          </cell>
          <cell r="Z24">
            <v>71</v>
          </cell>
          <cell r="AA24">
            <v>0</v>
          </cell>
          <cell r="AB24">
            <v>2</v>
          </cell>
          <cell r="AC24">
            <v>8</v>
          </cell>
          <cell r="AD24">
            <v>18</v>
          </cell>
          <cell r="AE24">
            <v>26</v>
          </cell>
          <cell r="AF24">
            <v>17</v>
          </cell>
          <cell r="AG24">
            <v>43</v>
          </cell>
          <cell r="AH24">
            <v>0</v>
          </cell>
          <cell r="AI24">
            <v>2</v>
          </cell>
          <cell r="AJ24">
            <v>11</v>
          </cell>
          <cell r="AK24">
            <v>18</v>
          </cell>
          <cell r="AL24">
            <v>29</v>
          </cell>
          <cell r="AM24">
            <v>13</v>
          </cell>
          <cell r="AN24">
            <v>42</v>
          </cell>
          <cell r="AO24">
            <v>0</v>
          </cell>
          <cell r="AP24">
            <v>2</v>
          </cell>
          <cell r="AQ24">
            <v>19</v>
          </cell>
          <cell r="AR24">
            <v>25</v>
          </cell>
          <cell r="AS24">
            <v>44</v>
          </cell>
          <cell r="AT24">
            <v>0</v>
          </cell>
          <cell r="AU24">
            <v>5</v>
          </cell>
          <cell r="AV24">
            <v>15</v>
          </cell>
          <cell r="AW24">
            <v>29</v>
          </cell>
          <cell r="AX24">
            <v>44</v>
          </cell>
          <cell r="AY24">
            <v>16</v>
          </cell>
          <cell r="AZ24">
            <v>60</v>
          </cell>
          <cell r="BA24">
            <v>0</v>
          </cell>
          <cell r="BB24">
            <v>3.5</v>
          </cell>
          <cell r="BC24">
            <v>8</v>
          </cell>
          <cell r="BD24">
            <v>27</v>
          </cell>
          <cell r="BE24">
            <v>35</v>
          </cell>
          <cell r="BF24">
            <v>15</v>
          </cell>
          <cell r="BG24">
            <v>50</v>
          </cell>
          <cell r="BH24">
            <v>0</v>
          </cell>
          <cell r="BI24">
            <v>3</v>
          </cell>
          <cell r="BJ24">
            <v>4</v>
          </cell>
          <cell r="BK24">
            <v>24</v>
          </cell>
          <cell r="BL24">
            <v>28</v>
          </cell>
          <cell r="BM24">
            <v>28</v>
          </cell>
          <cell r="BN24">
            <v>0</v>
          </cell>
          <cell r="BO24">
            <v>3</v>
          </cell>
          <cell r="BP24">
            <v>20.5</v>
          </cell>
          <cell r="BQ24">
            <v>2.9285714285714284</v>
          </cell>
          <cell r="BR24" t="str">
            <v>C</v>
          </cell>
          <cell r="BS24" t="str">
            <v>GOOD</v>
          </cell>
          <cell r="BT24">
            <v>387</v>
          </cell>
          <cell r="BU24">
            <v>50</v>
          </cell>
          <cell r="BV24">
            <v>64</v>
          </cell>
        </row>
        <row r="25">
          <cell r="B25">
            <v>22</v>
          </cell>
          <cell r="C25" t="str">
            <v>Abdur Rahman</v>
          </cell>
          <cell r="D25" t="str">
            <v>Md. Saidul Islam</v>
          </cell>
          <cell r="E25" t="str">
            <v>Rabeya Khatun</v>
          </cell>
          <cell r="F25" t="str">
            <v>01870-945531 01612-357356</v>
          </cell>
          <cell r="G25">
            <v>12</v>
          </cell>
          <cell r="H25">
            <v>24</v>
          </cell>
          <cell r="I25">
            <v>36</v>
          </cell>
          <cell r="J25">
            <v>16</v>
          </cell>
          <cell r="K25">
            <v>52</v>
          </cell>
          <cell r="L25">
            <v>8</v>
          </cell>
          <cell r="M25">
            <v>16</v>
          </cell>
          <cell r="N25">
            <v>24</v>
          </cell>
          <cell r="O25">
            <v>24</v>
          </cell>
          <cell r="P25">
            <v>76</v>
          </cell>
          <cell r="Q25">
            <v>0</v>
          </cell>
          <cell r="R25">
            <v>3</v>
          </cell>
          <cell r="S25">
            <v>13</v>
          </cell>
          <cell r="T25">
            <v>27</v>
          </cell>
          <cell r="U25">
            <v>40</v>
          </cell>
          <cell r="V25">
            <v>5</v>
          </cell>
          <cell r="W25">
            <v>17</v>
          </cell>
          <cell r="X25">
            <v>22</v>
          </cell>
          <cell r="Y25">
            <v>62</v>
          </cell>
          <cell r="Z25">
            <v>62</v>
          </cell>
          <cell r="AA25">
            <v>0</v>
          </cell>
          <cell r="AB25">
            <v>2</v>
          </cell>
          <cell r="AC25">
            <v>12</v>
          </cell>
          <cell r="AD25">
            <v>16</v>
          </cell>
          <cell r="AE25">
            <v>28</v>
          </cell>
          <cell r="AF25">
            <v>22</v>
          </cell>
          <cell r="AG25">
            <v>50</v>
          </cell>
          <cell r="AH25">
            <v>0</v>
          </cell>
          <cell r="AI25">
            <v>3</v>
          </cell>
          <cell r="AJ25">
            <v>14</v>
          </cell>
          <cell r="AK25">
            <v>18</v>
          </cell>
          <cell r="AL25">
            <v>32</v>
          </cell>
          <cell r="AM25">
            <v>8</v>
          </cell>
          <cell r="AN25">
            <v>40</v>
          </cell>
          <cell r="AO25">
            <v>0</v>
          </cell>
          <cell r="AP25">
            <v>2</v>
          </cell>
          <cell r="AQ25">
            <v>20</v>
          </cell>
          <cell r="AR25">
            <v>25</v>
          </cell>
          <cell r="AS25">
            <v>45</v>
          </cell>
          <cell r="AT25">
            <v>0</v>
          </cell>
          <cell r="AU25">
            <v>5</v>
          </cell>
          <cell r="AV25">
            <v>16</v>
          </cell>
          <cell r="AW25">
            <v>23</v>
          </cell>
          <cell r="AX25">
            <v>39</v>
          </cell>
          <cell r="AY25">
            <v>16</v>
          </cell>
          <cell r="AZ25">
            <v>55</v>
          </cell>
          <cell r="BA25">
            <v>0</v>
          </cell>
          <cell r="BB25">
            <v>3</v>
          </cell>
          <cell r="BC25">
            <v>11</v>
          </cell>
          <cell r="BD25">
            <v>20</v>
          </cell>
          <cell r="BE25">
            <v>31</v>
          </cell>
          <cell r="BF25">
            <v>23</v>
          </cell>
          <cell r="BG25">
            <v>54</v>
          </cell>
          <cell r="BH25">
            <v>0</v>
          </cell>
          <cell r="BI25">
            <v>3</v>
          </cell>
          <cell r="BJ25">
            <v>6</v>
          </cell>
          <cell r="BK25">
            <v>24</v>
          </cell>
          <cell r="BL25">
            <v>30</v>
          </cell>
          <cell r="BM25">
            <v>30</v>
          </cell>
          <cell r="BN25">
            <v>0</v>
          </cell>
          <cell r="BO25">
            <v>3.5</v>
          </cell>
          <cell r="BP25">
            <v>21</v>
          </cell>
          <cell r="BQ25">
            <v>3</v>
          </cell>
          <cell r="BR25" t="str">
            <v>B</v>
          </cell>
          <cell r="BS25" t="str">
            <v>GOOD</v>
          </cell>
          <cell r="BT25">
            <v>382</v>
          </cell>
          <cell r="BU25">
            <v>48</v>
          </cell>
          <cell r="BV25">
            <v>68</v>
          </cell>
        </row>
        <row r="26">
          <cell r="B26">
            <v>23</v>
          </cell>
          <cell r="C26" t="str">
            <v xml:space="preserve">Md. Nishad Mandal Zisan </v>
          </cell>
          <cell r="D26" t="str">
            <v xml:space="preserve">Md. Zahid Mondal </v>
          </cell>
          <cell r="E26" t="str">
            <v>Nipa Akther</v>
          </cell>
          <cell r="F26" t="str">
            <v>01302-101328</v>
          </cell>
          <cell r="G26">
            <v>15</v>
          </cell>
          <cell r="H26">
            <v>32</v>
          </cell>
          <cell r="I26">
            <v>47</v>
          </cell>
          <cell r="J26">
            <v>9</v>
          </cell>
          <cell r="K26">
            <v>56</v>
          </cell>
          <cell r="L26">
            <v>8</v>
          </cell>
          <cell r="M26">
            <v>23</v>
          </cell>
          <cell r="N26">
            <v>31</v>
          </cell>
          <cell r="O26">
            <v>31</v>
          </cell>
          <cell r="P26">
            <v>87</v>
          </cell>
          <cell r="Q26">
            <v>0</v>
          </cell>
          <cell r="R26">
            <v>3</v>
          </cell>
          <cell r="S26">
            <v>17</v>
          </cell>
          <cell r="T26">
            <v>52</v>
          </cell>
          <cell r="U26">
            <v>69</v>
          </cell>
          <cell r="V26">
            <v>8</v>
          </cell>
          <cell r="W26">
            <v>31</v>
          </cell>
          <cell r="X26">
            <v>39</v>
          </cell>
          <cell r="Y26">
            <v>108</v>
          </cell>
          <cell r="Z26">
            <v>108</v>
          </cell>
          <cell r="AA26">
            <v>0</v>
          </cell>
          <cell r="AB26">
            <v>4</v>
          </cell>
          <cell r="AC26">
            <v>18</v>
          </cell>
          <cell r="AD26">
            <v>29</v>
          </cell>
          <cell r="AE26">
            <v>47</v>
          </cell>
          <cell r="AF26">
            <v>22</v>
          </cell>
          <cell r="AG26">
            <v>69</v>
          </cell>
          <cell r="AH26">
            <v>0</v>
          </cell>
          <cell r="AI26">
            <v>3.5</v>
          </cell>
          <cell r="AJ26">
            <v>11</v>
          </cell>
          <cell r="AK26">
            <v>14</v>
          </cell>
          <cell r="AL26">
            <v>25</v>
          </cell>
          <cell r="AM26">
            <v>10</v>
          </cell>
          <cell r="AN26">
            <v>35</v>
          </cell>
          <cell r="AO26">
            <v>0</v>
          </cell>
          <cell r="AP26" t="str">
            <v>F</v>
          </cell>
          <cell r="AQ26">
            <v>20</v>
          </cell>
          <cell r="AR26">
            <v>25</v>
          </cell>
          <cell r="AS26">
            <v>45</v>
          </cell>
          <cell r="AT26">
            <v>0</v>
          </cell>
          <cell r="AU26">
            <v>5</v>
          </cell>
          <cell r="AV26">
            <v>13</v>
          </cell>
          <cell r="AW26">
            <v>33</v>
          </cell>
          <cell r="AX26">
            <v>46</v>
          </cell>
          <cell r="AY26">
            <v>24</v>
          </cell>
          <cell r="AZ26">
            <v>70</v>
          </cell>
          <cell r="BA26">
            <v>0</v>
          </cell>
          <cell r="BB26">
            <v>4</v>
          </cell>
          <cell r="BC26">
            <v>10</v>
          </cell>
          <cell r="BD26">
            <v>28</v>
          </cell>
          <cell r="BE26">
            <v>38</v>
          </cell>
          <cell r="BF26">
            <v>21</v>
          </cell>
          <cell r="BG26">
            <v>59</v>
          </cell>
          <cell r="BH26">
            <v>0</v>
          </cell>
          <cell r="BI26">
            <v>3</v>
          </cell>
          <cell r="BJ26">
            <v>7</v>
          </cell>
          <cell r="BK26">
            <v>28</v>
          </cell>
          <cell r="BL26">
            <v>35</v>
          </cell>
          <cell r="BM26">
            <v>35</v>
          </cell>
          <cell r="BN26">
            <v>0</v>
          </cell>
          <cell r="BO26">
            <v>4</v>
          </cell>
          <cell r="BP26" t="str">
            <v>F</v>
          </cell>
          <cell r="BQ26" t="str">
            <v>F</v>
          </cell>
          <cell r="BR26" t="str">
            <v>F</v>
          </cell>
          <cell r="BS26" t="str">
            <v>NEED TO PROGRESS</v>
          </cell>
          <cell r="BT26">
            <v>473</v>
          </cell>
          <cell r="BU26">
            <v>0</v>
          </cell>
          <cell r="BV26">
            <v>68</v>
          </cell>
        </row>
        <row r="27">
          <cell r="B27">
            <v>24</v>
          </cell>
          <cell r="C27" t="str">
            <v>Afra Hossain Joeeta</v>
          </cell>
          <cell r="D27" t="str">
            <v>Muzzafor Hossain Joy</v>
          </cell>
          <cell r="E27" t="str">
            <v>Kakoly Akter</v>
          </cell>
          <cell r="F27" t="str">
            <v>01711379499 01918221404</v>
          </cell>
          <cell r="G27">
            <v>11</v>
          </cell>
          <cell r="H27">
            <v>17</v>
          </cell>
          <cell r="I27">
            <v>28</v>
          </cell>
          <cell r="J27">
            <v>7</v>
          </cell>
          <cell r="K27">
            <v>35</v>
          </cell>
          <cell r="L27">
            <v>10</v>
          </cell>
          <cell r="M27">
            <v>21</v>
          </cell>
          <cell r="N27">
            <v>31</v>
          </cell>
          <cell r="O27">
            <v>31</v>
          </cell>
          <cell r="P27">
            <v>66</v>
          </cell>
          <cell r="Q27">
            <v>0</v>
          </cell>
          <cell r="R27">
            <v>2</v>
          </cell>
          <cell r="S27">
            <v>16</v>
          </cell>
          <cell r="T27">
            <v>32</v>
          </cell>
          <cell r="U27">
            <v>48</v>
          </cell>
          <cell r="V27">
            <v>3</v>
          </cell>
          <cell r="W27">
            <v>24</v>
          </cell>
          <cell r="X27">
            <v>27</v>
          </cell>
          <cell r="Y27">
            <v>75</v>
          </cell>
          <cell r="Z27">
            <v>75</v>
          </cell>
          <cell r="AA27">
            <v>0</v>
          </cell>
          <cell r="AB27">
            <v>3</v>
          </cell>
          <cell r="AC27">
            <v>12</v>
          </cell>
          <cell r="AD27">
            <v>16</v>
          </cell>
          <cell r="AE27">
            <v>28</v>
          </cell>
          <cell r="AF27">
            <v>17</v>
          </cell>
          <cell r="AG27">
            <v>45</v>
          </cell>
          <cell r="AH27">
            <v>0</v>
          </cell>
          <cell r="AI27">
            <v>2</v>
          </cell>
          <cell r="AJ27">
            <v>9</v>
          </cell>
          <cell r="AK27">
            <v>17</v>
          </cell>
          <cell r="AL27">
            <v>26</v>
          </cell>
          <cell r="AM27">
            <v>7</v>
          </cell>
          <cell r="AN27">
            <v>33</v>
          </cell>
          <cell r="AO27">
            <v>0</v>
          </cell>
          <cell r="AP27" t="str">
            <v>F</v>
          </cell>
          <cell r="AQ27">
            <v>19</v>
          </cell>
          <cell r="AR27">
            <v>25</v>
          </cell>
          <cell r="AS27">
            <v>44</v>
          </cell>
          <cell r="AT27">
            <v>0</v>
          </cell>
          <cell r="AU27">
            <v>5</v>
          </cell>
          <cell r="AV27">
            <v>14</v>
          </cell>
          <cell r="AW27">
            <v>24</v>
          </cell>
          <cell r="AX27">
            <v>38</v>
          </cell>
          <cell r="AY27">
            <v>22</v>
          </cell>
          <cell r="AZ27">
            <v>60</v>
          </cell>
          <cell r="BA27">
            <v>0</v>
          </cell>
          <cell r="BB27">
            <v>3.5</v>
          </cell>
          <cell r="BC27">
            <v>8</v>
          </cell>
          <cell r="BD27">
            <v>19</v>
          </cell>
          <cell r="BE27">
            <v>27</v>
          </cell>
          <cell r="BF27">
            <v>17</v>
          </cell>
          <cell r="BG27">
            <v>44</v>
          </cell>
          <cell r="BH27">
            <v>0</v>
          </cell>
          <cell r="BI27">
            <v>2</v>
          </cell>
          <cell r="BJ27">
            <v>5</v>
          </cell>
          <cell r="BK27">
            <v>24</v>
          </cell>
          <cell r="BL27">
            <v>29</v>
          </cell>
          <cell r="BM27">
            <v>29</v>
          </cell>
          <cell r="BN27">
            <v>0</v>
          </cell>
          <cell r="BO27">
            <v>3</v>
          </cell>
          <cell r="BP27" t="str">
            <v>F</v>
          </cell>
          <cell r="BQ27" t="str">
            <v>F</v>
          </cell>
          <cell r="BR27" t="str">
            <v>F</v>
          </cell>
          <cell r="BS27" t="str">
            <v>NEED TO PROGRESS</v>
          </cell>
          <cell r="BT27">
            <v>367</v>
          </cell>
          <cell r="BU27">
            <v>0</v>
          </cell>
          <cell r="BV27">
            <v>67</v>
          </cell>
        </row>
        <row r="28">
          <cell r="B28">
            <v>25</v>
          </cell>
          <cell r="C28" t="str">
            <v>Md. Modasser Hossain Mugdho</v>
          </cell>
          <cell r="D28" t="str">
            <v>Md Soab Miah</v>
          </cell>
          <cell r="E28" t="str">
            <v>Mst. Nargis Akther</v>
          </cell>
          <cell r="F28" t="str">
            <v>01872-029372</v>
          </cell>
          <cell r="G28">
            <v>11</v>
          </cell>
          <cell r="H28">
            <v>28</v>
          </cell>
          <cell r="I28">
            <v>39</v>
          </cell>
          <cell r="J28">
            <v>17</v>
          </cell>
          <cell r="K28">
            <v>56</v>
          </cell>
          <cell r="L28">
            <v>10</v>
          </cell>
          <cell r="M28">
            <v>14</v>
          </cell>
          <cell r="N28">
            <v>24</v>
          </cell>
          <cell r="O28">
            <v>24</v>
          </cell>
          <cell r="P28">
            <v>80</v>
          </cell>
          <cell r="Q28">
            <v>0</v>
          </cell>
          <cell r="R28">
            <v>3</v>
          </cell>
          <cell r="S28">
            <v>10</v>
          </cell>
          <cell r="T28">
            <v>37</v>
          </cell>
          <cell r="U28">
            <v>47</v>
          </cell>
          <cell r="V28">
            <v>5</v>
          </cell>
          <cell r="W28">
            <v>36</v>
          </cell>
          <cell r="X28">
            <v>41</v>
          </cell>
          <cell r="Y28">
            <v>88</v>
          </cell>
          <cell r="Z28">
            <v>88</v>
          </cell>
          <cell r="AA28">
            <v>0</v>
          </cell>
          <cell r="AB28">
            <v>3</v>
          </cell>
          <cell r="AC28">
            <v>10</v>
          </cell>
          <cell r="AD28">
            <v>38</v>
          </cell>
          <cell r="AE28">
            <v>48</v>
          </cell>
          <cell r="AF28">
            <v>19</v>
          </cell>
          <cell r="AG28">
            <v>67</v>
          </cell>
          <cell r="AH28">
            <v>0</v>
          </cell>
          <cell r="AI28">
            <v>3.5</v>
          </cell>
          <cell r="AJ28">
            <v>8</v>
          </cell>
          <cell r="AK28">
            <v>20</v>
          </cell>
          <cell r="AL28">
            <v>28</v>
          </cell>
          <cell r="AM28">
            <v>13</v>
          </cell>
          <cell r="AN28">
            <v>41</v>
          </cell>
          <cell r="AO28">
            <v>0</v>
          </cell>
          <cell r="AP28">
            <v>2</v>
          </cell>
          <cell r="AQ28">
            <v>20</v>
          </cell>
          <cell r="AR28">
            <v>25</v>
          </cell>
          <cell r="AS28">
            <v>45</v>
          </cell>
          <cell r="AT28">
            <v>0</v>
          </cell>
          <cell r="AU28">
            <v>5</v>
          </cell>
          <cell r="AV28">
            <v>11</v>
          </cell>
          <cell r="AW28">
            <v>28</v>
          </cell>
          <cell r="AX28">
            <v>39</v>
          </cell>
          <cell r="AY28">
            <v>22</v>
          </cell>
          <cell r="AZ28">
            <v>61</v>
          </cell>
          <cell r="BA28">
            <v>0</v>
          </cell>
          <cell r="BB28">
            <v>3.5</v>
          </cell>
          <cell r="BC28">
            <v>9</v>
          </cell>
          <cell r="BD28">
            <v>28</v>
          </cell>
          <cell r="BE28">
            <v>37</v>
          </cell>
          <cell r="BF28">
            <v>23</v>
          </cell>
          <cell r="BG28">
            <v>60</v>
          </cell>
          <cell r="BH28">
            <v>0</v>
          </cell>
          <cell r="BI28">
            <v>3.5</v>
          </cell>
          <cell r="BJ28">
            <v>3</v>
          </cell>
          <cell r="BK28">
            <v>24</v>
          </cell>
          <cell r="BL28">
            <v>27</v>
          </cell>
          <cell r="BM28">
            <v>27</v>
          </cell>
          <cell r="BN28">
            <v>0</v>
          </cell>
          <cell r="BO28">
            <v>3</v>
          </cell>
          <cell r="BP28">
            <v>23.5</v>
          </cell>
          <cell r="BQ28">
            <v>3.3571428571428572</v>
          </cell>
          <cell r="BR28" t="str">
            <v>B</v>
          </cell>
          <cell r="BS28" t="str">
            <v>GOOD</v>
          </cell>
          <cell r="BT28">
            <v>442</v>
          </cell>
          <cell r="BU28">
            <v>42</v>
          </cell>
          <cell r="BV28">
            <v>65</v>
          </cell>
        </row>
        <row r="29">
          <cell r="B29">
            <v>28</v>
          </cell>
          <cell r="C29" t="str">
            <v xml:space="preserve">Mahin </v>
          </cell>
          <cell r="D29" t="str">
            <v xml:space="preserve">Maruf Mia </v>
          </cell>
          <cell r="E29" t="str">
            <v xml:space="preserve">Raihana Akter </v>
          </cell>
          <cell r="F29" t="str">
            <v>01776-495689  01712-236174</v>
          </cell>
          <cell r="G29">
            <v>14</v>
          </cell>
          <cell r="H29">
            <v>29</v>
          </cell>
          <cell r="I29">
            <v>43</v>
          </cell>
          <cell r="J29">
            <v>18</v>
          </cell>
          <cell r="K29">
            <v>61</v>
          </cell>
          <cell r="L29">
            <v>8</v>
          </cell>
          <cell r="M29">
            <v>30</v>
          </cell>
          <cell r="N29">
            <v>38</v>
          </cell>
          <cell r="O29">
            <v>38</v>
          </cell>
          <cell r="P29">
            <v>99</v>
          </cell>
          <cell r="Q29">
            <v>0</v>
          </cell>
          <cell r="R29">
            <v>3.5</v>
          </cell>
          <cell r="S29">
            <v>12</v>
          </cell>
          <cell r="T29">
            <v>53</v>
          </cell>
          <cell r="U29">
            <v>65</v>
          </cell>
          <cell r="V29">
            <v>7</v>
          </cell>
          <cell r="W29">
            <v>24</v>
          </cell>
          <cell r="X29">
            <v>31</v>
          </cell>
          <cell r="Y29">
            <v>96</v>
          </cell>
          <cell r="Z29">
            <v>96</v>
          </cell>
          <cell r="AA29">
            <v>0</v>
          </cell>
          <cell r="AB29">
            <v>3.5</v>
          </cell>
          <cell r="AC29">
            <v>13</v>
          </cell>
          <cell r="AD29">
            <v>36</v>
          </cell>
          <cell r="AE29">
            <v>49</v>
          </cell>
          <cell r="AF29">
            <v>21</v>
          </cell>
          <cell r="AG29">
            <v>70</v>
          </cell>
          <cell r="AH29">
            <v>0</v>
          </cell>
          <cell r="AI29">
            <v>4</v>
          </cell>
          <cell r="AJ29">
            <v>11</v>
          </cell>
          <cell r="AK29">
            <v>28</v>
          </cell>
          <cell r="AL29">
            <v>39</v>
          </cell>
          <cell r="AM29">
            <v>14</v>
          </cell>
          <cell r="AN29">
            <v>53</v>
          </cell>
          <cell r="AO29">
            <v>0</v>
          </cell>
          <cell r="AP29">
            <v>3</v>
          </cell>
          <cell r="AQ29">
            <v>20</v>
          </cell>
          <cell r="AR29">
            <v>25</v>
          </cell>
          <cell r="AS29">
            <v>45</v>
          </cell>
          <cell r="AT29">
            <v>0</v>
          </cell>
          <cell r="AU29">
            <v>5</v>
          </cell>
          <cell r="AV29">
            <v>14</v>
          </cell>
          <cell r="AW29">
            <v>41</v>
          </cell>
          <cell r="AX29">
            <v>55</v>
          </cell>
          <cell r="AY29">
            <v>26</v>
          </cell>
          <cell r="AZ29">
            <v>81</v>
          </cell>
          <cell r="BA29">
            <v>0</v>
          </cell>
          <cell r="BB29">
            <v>5</v>
          </cell>
          <cell r="BC29">
            <v>14</v>
          </cell>
          <cell r="BD29">
            <v>29</v>
          </cell>
          <cell r="BE29">
            <v>43</v>
          </cell>
          <cell r="BF29">
            <v>19</v>
          </cell>
          <cell r="BG29">
            <v>62</v>
          </cell>
          <cell r="BH29">
            <v>0</v>
          </cell>
          <cell r="BI29">
            <v>3.5</v>
          </cell>
          <cell r="BJ29">
            <v>6</v>
          </cell>
          <cell r="BK29">
            <v>28</v>
          </cell>
          <cell r="BL29">
            <v>34</v>
          </cell>
          <cell r="BM29">
            <v>34</v>
          </cell>
          <cell r="BN29">
            <v>0</v>
          </cell>
          <cell r="BO29">
            <v>3.5</v>
          </cell>
          <cell r="BP29">
            <v>27.5</v>
          </cell>
          <cell r="BQ29">
            <v>3.9285714285714284</v>
          </cell>
          <cell r="BR29" t="str">
            <v>A-</v>
          </cell>
          <cell r="BS29" t="str">
            <v>GOOD</v>
          </cell>
          <cell r="BT29">
            <v>506</v>
          </cell>
          <cell r="BU29">
            <v>29</v>
          </cell>
          <cell r="BV29">
            <v>62</v>
          </cell>
        </row>
        <row r="30">
          <cell r="B30">
            <v>29</v>
          </cell>
          <cell r="C30" t="str">
            <v xml:space="preserve">Mst. Nurjahan Julashfi </v>
          </cell>
          <cell r="D30" t="str">
            <v>Md. Zahangir Alam</v>
          </cell>
          <cell r="E30" t="str">
            <v>Ayesha Khatun</v>
          </cell>
          <cell r="F30" t="str">
            <v>01707-748652</v>
          </cell>
          <cell r="G30">
            <v>11</v>
          </cell>
          <cell r="H30">
            <v>13</v>
          </cell>
          <cell r="I30">
            <v>24</v>
          </cell>
          <cell r="J30">
            <v>16</v>
          </cell>
          <cell r="K30">
            <v>40</v>
          </cell>
          <cell r="L30">
            <v>5</v>
          </cell>
          <cell r="M30">
            <v>15</v>
          </cell>
          <cell r="N30">
            <v>20</v>
          </cell>
          <cell r="O30">
            <v>20</v>
          </cell>
          <cell r="P30">
            <v>60</v>
          </cell>
          <cell r="Q30">
            <v>0</v>
          </cell>
          <cell r="R30">
            <v>2</v>
          </cell>
          <cell r="S30">
            <v>8</v>
          </cell>
          <cell r="T30">
            <v>16</v>
          </cell>
          <cell r="U30">
            <v>24</v>
          </cell>
          <cell r="V30">
            <v>2</v>
          </cell>
          <cell r="W30">
            <v>18</v>
          </cell>
          <cell r="X30">
            <v>20</v>
          </cell>
          <cell r="Y30">
            <v>44</v>
          </cell>
          <cell r="Z30">
            <v>44</v>
          </cell>
          <cell r="AA30">
            <v>0</v>
          </cell>
          <cell r="AB30">
            <v>0</v>
          </cell>
          <cell r="AC30">
            <v>10</v>
          </cell>
          <cell r="AD30">
            <v>10</v>
          </cell>
          <cell r="AE30">
            <v>20</v>
          </cell>
          <cell r="AF30">
            <v>12</v>
          </cell>
          <cell r="AG30">
            <v>32</v>
          </cell>
          <cell r="AH30">
            <v>0</v>
          </cell>
          <cell r="AI30" t="str">
            <v>F</v>
          </cell>
          <cell r="AJ30">
            <v>11</v>
          </cell>
          <cell r="AK30">
            <v>18</v>
          </cell>
          <cell r="AL30">
            <v>29</v>
          </cell>
          <cell r="AM30">
            <v>12</v>
          </cell>
          <cell r="AN30">
            <v>41</v>
          </cell>
          <cell r="AO30">
            <v>0</v>
          </cell>
          <cell r="AP30">
            <v>2</v>
          </cell>
          <cell r="AQ30">
            <v>16</v>
          </cell>
          <cell r="AR30">
            <v>25</v>
          </cell>
          <cell r="AS30">
            <v>41</v>
          </cell>
          <cell r="AT30">
            <v>0</v>
          </cell>
          <cell r="AU30">
            <v>5</v>
          </cell>
          <cell r="AV30">
            <v>14</v>
          </cell>
          <cell r="AW30">
            <v>16</v>
          </cell>
          <cell r="AX30">
            <v>30</v>
          </cell>
          <cell r="AY30">
            <v>14</v>
          </cell>
          <cell r="AZ30">
            <v>44</v>
          </cell>
          <cell r="BA30">
            <v>0</v>
          </cell>
          <cell r="BB30">
            <v>2</v>
          </cell>
          <cell r="BC30">
            <v>8</v>
          </cell>
          <cell r="BD30">
            <v>22</v>
          </cell>
          <cell r="BE30">
            <v>30</v>
          </cell>
          <cell r="BF30">
            <v>20</v>
          </cell>
          <cell r="BG30">
            <v>50</v>
          </cell>
          <cell r="BH30">
            <v>0</v>
          </cell>
          <cell r="BI30">
            <v>3</v>
          </cell>
          <cell r="BJ30">
            <v>6</v>
          </cell>
          <cell r="BK30">
            <v>24</v>
          </cell>
          <cell r="BL30">
            <v>30</v>
          </cell>
          <cell r="BM30">
            <v>30</v>
          </cell>
          <cell r="BN30">
            <v>0</v>
          </cell>
          <cell r="BO30">
            <v>3.5</v>
          </cell>
          <cell r="BP30" t="str">
            <v>F</v>
          </cell>
          <cell r="BQ30" t="str">
            <v>F</v>
          </cell>
          <cell r="BR30" t="str">
            <v>F</v>
          </cell>
          <cell r="BS30" t="str">
            <v>NEED TO PROGRESS</v>
          </cell>
          <cell r="BT30">
            <v>312</v>
          </cell>
          <cell r="BU30">
            <v>0</v>
          </cell>
          <cell r="BV30">
            <v>55</v>
          </cell>
        </row>
        <row r="31">
          <cell r="B31">
            <v>63</v>
          </cell>
          <cell r="C31" t="str">
            <v>Abdullah Zubayer</v>
          </cell>
          <cell r="D31" t="str">
            <v xml:space="preserve">Md. Helal Uddin </v>
          </cell>
          <cell r="E31" t="str">
            <v>Shahrin Naher</v>
          </cell>
          <cell r="F31" t="str">
            <v>01912-923539                          01916-502887</v>
          </cell>
          <cell r="G31">
            <v>10</v>
          </cell>
          <cell r="H31">
            <v>9</v>
          </cell>
          <cell r="I31">
            <v>19</v>
          </cell>
          <cell r="J31">
            <v>12</v>
          </cell>
          <cell r="K31">
            <v>31</v>
          </cell>
          <cell r="L31">
            <v>5</v>
          </cell>
          <cell r="M31">
            <v>15</v>
          </cell>
          <cell r="N31">
            <v>20</v>
          </cell>
          <cell r="O31">
            <v>20</v>
          </cell>
          <cell r="P31">
            <v>51</v>
          </cell>
          <cell r="Q31">
            <v>0</v>
          </cell>
          <cell r="R31" t="str">
            <v>F</v>
          </cell>
          <cell r="S31">
            <v>8</v>
          </cell>
          <cell r="T31">
            <v>21</v>
          </cell>
          <cell r="U31">
            <v>29</v>
          </cell>
          <cell r="V31">
            <v>2</v>
          </cell>
          <cell r="W31">
            <v>19</v>
          </cell>
          <cell r="X31">
            <v>21</v>
          </cell>
          <cell r="Y31">
            <v>50</v>
          </cell>
          <cell r="Z31">
            <v>50</v>
          </cell>
          <cell r="AA31">
            <v>0</v>
          </cell>
          <cell r="AB31">
            <v>0</v>
          </cell>
          <cell r="AC31">
            <v>13</v>
          </cell>
          <cell r="AD31">
            <v>15</v>
          </cell>
          <cell r="AE31">
            <v>28</v>
          </cell>
          <cell r="AF31">
            <v>12</v>
          </cell>
          <cell r="AG31">
            <v>40</v>
          </cell>
          <cell r="AH31">
            <v>0</v>
          </cell>
          <cell r="AI31">
            <v>2</v>
          </cell>
          <cell r="AJ31">
            <v>8</v>
          </cell>
          <cell r="AK31">
            <v>11</v>
          </cell>
          <cell r="AL31">
            <v>19</v>
          </cell>
          <cell r="AM31">
            <v>9</v>
          </cell>
          <cell r="AN31">
            <v>28</v>
          </cell>
          <cell r="AO31">
            <v>0</v>
          </cell>
          <cell r="AP31" t="str">
            <v>F</v>
          </cell>
          <cell r="AQ31">
            <v>12</v>
          </cell>
          <cell r="AR31">
            <v>25</v>
          </cell>
          <cell r="AS31">
            <v>37</v>
          </cell>
          <cell r="AT31">
            <v>0</v>
          </cell>
          <cell r="AU31">
            <v>4</v>
          </cell>
          <cell r="AV31">
            <v>14</v>
          </cell>
          <cell r="AW31">
            <v>18</v>
          </cell>
          <cell r="AX31">
            <v>32</v>
          </cell>
          <cell r="AY31">
            <v>16</v>
          </cell>
          <cell r="AZ31">
            <v>48</v>
          </cell>
          <cell r="BA31">
            <v>0</v>
          </cell>
          <cell r="BB31">
            <v>2</v>
          </cell>
          <cell r="BC31">
            <v>8</v>
          </cell>
          <cell r="BD31">
            <v>27</v>
          </cell>
          <cell r="BE31">
            <v>35</v>
          </cell>
          <cell r="BF31">
            <v>10</v>
          </cell>
          <cell r="BG31">
            <v>45</v>
          </cell>
          <cell r="BH31">
            <v>0</v>
          </cell>
          <cell r="BI31">
            <v>2</v>
          </cell>
          <cell r="BJ31">
            <v>5</v>
          </cell>
          <cell r="BK31">
            <v>24</v>
          </cell>
          <cell r="BL31">
            <v>29</v>
          </cell>
          <cell r="BM31">
            <v>29</v>
          </cell>
          <cell r="BN31">
            <v>0</v>
          </cell>
          <cell r="BO31">
            <v>3</v>
          </cell>
          <cell r="BP31" t="str">
            <v>F</v>
          </cell>
          <cell r="BQ31" t="str">
            <v>F</v>
          </cell>
          <cell r="BR31" t="str">
            <v>F</v>
          </cell>
          <cell r="BS31" t="str">
            <v>NEED TO PROGRESS</v>
          </cell>
          <cell r="BT31">
            <v>299</v>
          </cell>
          <cell r="BU31">
            <v>0</v>
          </cell>
          <cell r="BV31">
            <v>56</v>
          </cell>
        </row>
        <row r="32">
          <cell r="B32">
            <v>65</v>
          </cell>
          <cell r="C32" t="str">
            <v xml:space="preserve">Mst. Masrufa Mehedi Rim </v>
          </cell>
          <cell r="D32" t="str">
            <v xml:space="preserve">Md. Mehedi Hasan </v>
          </cell>
          <cell r="E32" t="str">
            <v xml:space="preserve">Mst. Riya Akter </v>
          </cell>
          <cell r="F32" t="str">
            <v>01718-082284</v>
          </cell>
          <cell r="G32">
            <v>8</v>
          </cell>
          <cell r="H32">
            <v>6</v>
          </cell>
          <cell r="I32">
            <v>14</v>
          </cell>
          <cell r="J32">
            <v>13</v>
          </cell>
          <cell r="K32">
            <v>27</v>
          </cell>
          <cell r="L32">
            <v>7</v>
          </cell>
          <cell r="M32">
            <v>16</v>
          </cell>
          <cell r="N32">
            <v>23</v>
          </cell>
          <cell r="O32">
            <v>23</v>
          </cell>
          <cell r="P32">
            <v>50</v>
          </cell>
          <cell r="Q32">
            <v>0</v>
          </cell>
          <cell r="R32" t="str">
            <v>F</v>
          </cell>
          <cell r="S32">
            <v>9</v>
          </cell>
          <cell r="T32">
            <v>31</v>
          </cell>
          <cell r="U32">
            <v>40</v>
          </cell>
          <cell r="V32">
            <v>2</v>
          </cell>
          <cell r="W32">
            <v>10</v>
          </cell>
          <cell r="X32">
            <v>12</v>
          </cell>
          <cell r="Y32">
            <v>52</v>
          </cell>
          <cell r="Z32">
            <v>52</v>
          </cell>
          <cell r="AA32">
            <v>0</v>
          </cell>
          <cell r="AB32">
            <v>0</v>
          </cell>
          <cell r="AC32">
            <v>3</v>
          </cell>
          <cell r="AD32">
            <v>5</v>
          </cell>
          <cell r="AE32">
            <v>8</v>
          </cell>
          <cell r="AF32">
            <v>8</v>
          </cell>
          <cell r="AG32">
            <v>16</v>
          </cell>
          <cell r="AH32">
            <v>0</v>
          </cell>
          <cell r="AI32" t="str">
            <v>F</v>
          </cell>
          <cell r="AJ32">
            <v>8</v>
          </cell>
          <cell r="AK32">
            <v>9</v>
          </cell>
          <cell r="AL32">
            <v>17</v>
          </cell>
          <cell r="AM32">
            <v>8</v>
          </cell>
          <cell r="AN32">
            <v>25</v>
          </cell>
          <cell r="AO32">
            <v>0</v>
          </cell>
          <cell r="AP32" t="str">
            <v>F</v>
          </cell>
          <cell r="AQ32">
            <v>16</v>
          </cell>
          <cell r="AR32">
            <v>25</v>
          </cell>
          <cell r="AS32">
            <v>41</v>
          </cell>
          <cell r="AT32">
            <v>0</v>
          </cell>
          <cell r="AU32">
            <v>5</v>
          </cell>
          <cell r="AV32">
            <v>10</v>
          </cell>
          <cell r="AW32">
            <v>18</v>
          </cell>
          <cell r="AX32">
            <v>28</v>
          </cell>
          <cell r="AY32">
            <v>20</v>
          </cell>
          <cell r="AZ32">
            <v>48</v>
          </cell>
          <cell r="BA32">
            <v>0</v>
          </cell>
          <cell r="BB32">
            <v>2</v>
          </cell>
          <cell r="BC32">
            <v>8</v>
          </cell>
          <cell r="BD32">
            <v>20</v>
          </cell>
          <cell r="BE32">
            <v>28</v>
          </cell>
          <cell r="BF32">
            <v>14</v>
          </cell>
          <cell r="BG32">
            <v>42</v>
          </cell>
          <cell r="BH32">
            <v>0</v>
          </cell>
          <cell r="BI32">
            <v>2</v>
          </cell>
          <cell r="BJ32">
            <v>5</v>
          </cell>
          <cell r="BK32">
            <v>24</v>
          </cell>
          <cell r="BL32">
            <v>29</v>
          </cell>
          <cell r="BM32">
            <v>29</v>
          </cell>
          <cell r="BN32">
            <v>0</v>
          </cell>
          <cell r="BO32">
            <v>3</v>
          </cell>
          <cell r="BP32" t="str">
            <v>F</v>
          </cell>
          <cell r="BQ32" t="str">
            <v>F</v>
          </cell>
          <cell r="BR32" t="str">
            <v>F</v>
          </cell>
          <cell r="BS32" t="str">
            <v>NEED TO PROGRESS</v>
          </cell>
          <cell r="BT32">
            <v>274</v>
          </cell>
          <cell r="BU32">
            <v>0</v>
          </cell>
          <cell r="BV32">
            <v>58</v>
          </cell>
        </row>
        <row r="33">
          <cell r="B33">
            <v>66</v>
          </cell>
          <cell r="C33" t="str">
            <v xml:space="preserve">Suayib Chowdhuri Jisan </v>
          </cell>
          <cell r="D33" t="str">
            <v xml:space="preserve">Md. Shihab Chowdhuri </v>
          </cell>
          <cell r="E33" t="str">
            <v xml:space="preserve">Anamika Choudhury </v>
          </cell>
          <cell r="F33" t="str">
            <v>01729-725129                              01602-292624</v>
          </cell>
          <cell r="G33">
            <v>8</v>
          </cell>
          <cell r="H33">
            <v>3</v>
          </cell>
          <cell r="I33">
            <v>11</v>
          </cell>
          <cell r="J33">
            <v>20</v>
          </cell>
          <cell r="K33">
            <v>31</v>
          </cell>
          <cell r="L33">
            <v>6</v>
          </cell>
          <cell r="M33">
            <v>14</v>
          </cell>
          <cell r="N33">
            <v>20</v>
          </cell>
          <cell r="O33">
            <v>20</v>
          </cell>
          <cell r="P33">
            <v>51</v>
          </cell>
          <cell r="Q33">
            <v>0</v>
          </cell>
          <cell r="R33" t="str">
            <v>F</v>
          </cell>
          <cell r="S33">
            <v>7</v>
          </cell>
          <cell r="T33">
            <v>20</v>
          </cell>
          <cell r="U33">
            <v>27</v>
          </cell>
          <cell r="V33">
            <v>2</v>
          </cell>
          <cell r="W33">
            <v>20</v>
          </cell>
          <cell r="X33">
            <v>22</v>
          </cell>
          <cell r="Y33">
            <v>49</v>
          </cell>
          <cell r="Z33">
            <v>49</v>
          </cell>
          <cell r="AA33">
            <v>0</v>
          </cell>
          <cell r="AB33">
            <v>0</v>
          </cell>
          <cell r="AC33">
            <v>10</v>
          </cell>
          <cell r="AD33">
            <v>8</v>
          </cell>
          <cell r="AE33">
            <v>18</v>
          </cell>
          <cell r="AF33">
            <v>10</v>
          </cell>
          <cell r="AG33">
            <v>28</v>
          </cell>
          <cell r="AH33">
            <v>0</v>
          </cell>
          <cell r="AI33" t="str">
            <v>F</v>
          </cell>
          <cell r="AJ33">
            <v>7</v>
          </cell>
          <cell r="AK33">
            <v>12</v>
          </cell>
          <cell r="AL33">
            <v>19</v>
          </cell>
          <cell r="AM33">
            <v>14</v>
          </cell>
          <cell r="AN33">
            <v>33</v>
          </cell>
          <cell r="AO33">
            <v>0</v>
          </cell>
          <cell r="AP33" t="str">
            <v>F</v>
          </cell>
          <cell r="AQ33">
            <v>19</v>
          </cell>
          <cell r="AR33">
            <v>25</v>
          </cell>
          <cell r="AS33">
            <v>44</v>
          </cell>
          <cell r="AT33">
            <v>0</v>
          </cell>
          <cell r="AU33">
            <v>5</v>
          </cell>
          <cell r="AV33">
            <v>8</v>
          </cell>
          <cell r="AW33">
            <v>12</v>
          </cell>
          <cell r="AX33">
            <v>20</v>
          </cell>
          <cell r="AY33">
            <v>14</v>
          </cell>
          <cell r="AZ33">
            <v>34</v>
          </cell>
          <cell r="BA33">
            <v>0</v>
          </cell>
          <cell r="BB33" t="str">
            <v>F</v>
          </cell>
          <cell r="BC33">
            <v>8</v>
          </cell>
          <cell r="BD33">
            <v>21</v>
          </cell>
          <cell r="BE33">
            <v>29</v>
          </cell>
          <cell r="BF33">
            <v>17</v>
          </cell>
          <cell r="BG33">
            <v>46</v>
          </cell>
          <cell r="BH33">
            <v>0</v>
          </cell>
          <cell r="BI33">
            <v>2</v>
          </cell>
          <cell r="BJ33">
            <v>4</v>
          </cell>
          <cell r="BK33">
            <v>24</v>
          </cell>
          <cell r="BL33">
            <v>28</v>
          </cell>
          <cell r="BM33">
            <v>28</v>
          </cell>
          <cell r="BN33">
            <v>0</v>
          </cell>
          <cell r="BO33">
            <v>3</v>
          </cell>
          <cell r="BP33" t="str">
            <v>F</v>
          </cell>
          <cell r="BQ33" t="str">
            <v>F</v>
          </cell>
          <cell r="BR33" t="str">
            <v>F</v>
          </cell>
          <cell r="BS33" t="str">
            <v>NEED TO PROGRESS</v>
          </cell>
          <cell r="BT33">
            <v>285</v>
          </cell>
          <cell r="BU33">
            <v>0</v>
          </cell>
          <cell r="BV33">
            <v>57</v>
          </cell>
        </row>
        <row r="34">
          <cell r="B34">
            <v>72</v>
          </cell>
          <cell r="C34" t="str">
            <v xml:space="preserve">Ummul Wara </v>
          </cell>
          <cell r="D34" t="str">
            <v xml:space="preserve">Md. Jahidul Islam </v>
          </cell>
          <cell r="E34" t="str">
            <v xml:space="preserve">Nisat Jaman Birste </v>
          </cell>
          <cell r="F34" t="str">
            <v>01305-551891        01701-422099</v>
          </cell>
          <cell r="G34">
            <v>10</v>
          </cell>
          <cell r="H34">
            <v>15</v>
          </cell>
          <cell r="I34">
            <v>25</v>
          </cell>
          <cell r="J34">
            <v>15</v>
          </cell>
          <cell r="K34">
            <v>40</v>
          </cell>
          <cell r="L34">
            <v>5</v>
          </cell>
          <cell r="M34">
            <v>15</v>
          </cell>
          <cell r="N34">
            <v>20</v>
          </cell>
          <cell r="O34">
            <v>20</v>
          </cell>
          <cell r="P34">
            <v>60</v>
          </cell>
          <cell r="Q34">
            <v>0</v>
          </cell>
          <cell r="R34">
            <v>2</v>
          </cell>
          <cell r="S34">
            <v>8</v>
          </cell>
          <cell r="T34">
            <v>32</v>
          </cell>
          <cell r="U34">
            <v>40</v>
          </cell>
          <cell r="V34">
            <v>2</v>
          </cell>
          <cell r="W34">
            <v>19</v>
          </cell>
          <cell r="X34">
            <v>21</v>
          </cell>
          <cell r="Y34">
            <v>61</v>
          </cell>
          <cell r="Z34">
            <v>61</v>
          </cell>
          <cell r="AA34">
            <v>0</v>
          </cell>
          <cell r="AB34">
            <v>2</v>
          </cell>
          <cell r="AC34">
            <v>12</v>
          </cell>
          <cell r="AD34">
            <v>17</v>
          </cell>
          <cell r="AE34">
            <v>29</v>
          </cell>
          <cell r="AF34">
            <v>11</v>
          </cell>
          <cell r="AG34">
            <v>40</v>
          </cell>
          <cell r="AH34">
            <v>0</v>
          </cell>
          <cell r="AI34">
            <v>2</v>
          </cell>
          <cell r="AJ34">
            <v>8</v>
          </cell>
          <cell r="AK34">
            <v>7</v>
          </cell>
          <cell r="AL34">
            <v>15</v>
          </cell>
          <cell r="AM34">
            <v>7</v>
          </cell>
          <cell r="AN34">
            <v>22</v>
          </cell>
          <cell r="AO34">
            <v>0</v>
          </cell>
          <cell r="AP34" t="str">
            <v>F</v>
          </cell>
          <cell r="AQ34">
            <v>12</v>
          </cell>
          <cell r="AR34">
            <v>25</v>
          </cell>
          <cell r="AS34">
            <v>37</v>
          </cell>
          <cell r="AT34">
            <v>0</v>
          </cell>
          <cell r="AU34">
            <v>4</v>
          </cell>
          <cell r="AV34">
            <v>10</v>
          </cell>
          <cell r="AW34">
            <v>22</v>
          </cell>
          <cell r="AX34">
            <v>32</v>
          </cell>
          <cell r="AY34">
            <v>20</v>
          </cell>
          <cell r="AZ34">
            <v>52</v>
          </cell>
          <cell r="BA34">
            <v>0</v>
          </cell>
          <cell r="BB34">
            <v>3</v>
          </cell>
          <cell r="BC34">
            <v>10</v>
          </cell>
          <cell r="BD34">
            <v>28</v>
          </cell>
          <cell r="BE34">
            <v>38</v>
          </cell>
          <cell r="BF34">
            <v>21</v>
          </cell>
          <cell r="BG34">
            <v>59</v>
          </cell>
          <cell r="BH34">
            <v>0</v>
          </cell>
          <cell r="BI34">
            <v>3</v>
          </cell>
          <cell r="BJ34">
            <v>5</v>
          </cell>
          <cell r="BK34">
            <v>28</v>
          </cell>
          <cell r="BL34">
            <v>33</v>
          </cell>
          <cell r="BM34">
            <v>33</v>
          </cell>
          <cell r="BN34">
            <v>0</v>
          </cell>
          <cell r="BO34">
            <v>3.5</v>
          </cell>
          <cell r="BP34" t="str">
            <v>F</v>
          </cell>
          <cell r="BQ34" t="str">
            <v>F</v>
          </cell>
          <cell r="BR34" t="str">
            <v>F</v>
          </cell>
          <cell r="BS34" t="str">
            <v>NEED TO PROGRESS</v>
          </cell>
          <cell r="BT34">
            <v>331</v>
          </cell>
          <cell r="BU34">
            <v>0</v>
          </cell>
          <cell r="BV34">
            <v>64</v>
          </cell>
        </row>
        <row r="35">
          <cell r="B35">
            <v>73</v>
          </cell>
          <cell r="C35" t="str">
            <v xml:space="preserve">Kazi Bijoy </v>
          </cell>
          <cell r="D35" t="str">
            <v>Jashim Uddin</v>
          </cell>
          <cell r="E35" t="str">
            <v>Akhlima Akter</v>
          </cell>
          <cell r="F35" t="str">
            <v>01854-723808                       01321-291610</v>
          </cell>
          <cell r="G35">
            <v>8</v>
          </cell>
          <cell r="H35">
            <v>1</v>
          </cell>
          <cell r="I35">
            <v>9</v>
          </cell>
          <cell r="J35">
            <v>20</v>
          </cell>
          <cell r="K35">
            <v>29</v>
          </cell>
          <cell r="L35">
            <v>4</v>
          </cell>
          <cell r="M35">
            <v>6</v>
          </cell>
          <cell r="N35">
            <v>10</v>
          </cell>
          <cell r="O35">
            <v>10</v>
          </cell>
          <cell r="P35">
            <v>39</v>
          </cell>
          <cell r="Q35">
            <v>0</v>
          </cell>
          <cell r="R35" t="str">
            <v>F</v>
          </cell>
          <cell r="S35">
            <v>5</v>
          </cell>
          <cell r="T35">
            <v>16</v>
          </cell>
          <cell r="U35">
            <v>21</v>
          </cell>
          <cell r="V35">
            <v>2</v>
          </cell>
          <cell r="W35">
            <v>18</v>
          </cell>
          <cell r="X35">
            <v>20</v>
          </cell>
          <cell r="Y35">
            <v>41</v>
          </cell>
          <cell r="Z35">
            <v>41</v>
          </cell>
          <cell r="AA35">
            <v>0</v>
          </cell>
          <cell r="AB35">
            <v>0</v>
          </cell>
          <cell r="AC35">
            <v>5</v>
          </cell>
          <cell r="AD35">
            <v>0</v>
          </cell>
          <cell r="AE35">
            <v>5</v>
          </cell>
          <cell r="AF35">
            <v>7</v>
          </cell>
          <cell r="AG35">
            <v>12</v>
          </cell>
          <cell r="AH35">
            <v>0</v>
          </cell>
          <cell r="AI35" t="str">
            <v>F</v>
          </cell>
          <cell r="AJ35">
            <v>5</v>
          </cell>
          <cell r="AK35">
            <v>3</v>
          </cell>
          <cell r="AL35">
            <v>8</v>
          </cell>
          <cell r="AM35">
            <v>5</v>
          </cell>
          <cell r="AN35">
            <v>13</v>
          </cell>
          <cell r="AO35">
            <v>0</v>
          </cell>
          <cell r="AP35" t="str">
            <v>F</v>
          </cell>
          <cell r="AQ35">
            <v>11</v>
          </cell>
          <cell r="AR35">
            <v>25</v>
          </cell>
          <cell r="AS35">
            <v>36</v>
          </cell>
          <cell r="AT35">
            <v>0</v>
          </cell>
          <cell r="AU35">
            <v>4</v>
          </cell>
          <cell r="AV35">
            <v>9</v>
          </cell>
          <cell r="AW35">
            <v>19</v>
          </cell>
          <cell r="AX35">
            <v>28</v>
          </cell>
          <cell r="AY35">
            <v>14</v>
          </cell>
          <cell r="AZ35">
            <v>42</v>
          </cell>
          <cell r="BA35">
            <v>0</v>
          </cell>
          <cell r="BB35">
            <v>2</v>
          </cell>
          <cell r="BC35">
            <v>8</v>
          </cell>
          <cell r="BD35">
            <v>20</v>
          </cell>
          <cell r="BE35">
            <v>28</v>
          </cell>
          <cell r="BF35">
            <v>21</v>
          </cell>
          <cell r="BG35">
            <v>49</v>
          </cell>
          <cell r="BH35">
            <v>0</v>
          </cell>
          <cell r="BI35">
            <v>2</v>
          </cell>
          <cell r="BJ35">
            <v>2</v>
          </cell>
          <cell r="BK35">
            <v>24</v>
          </cell>
          <cell r="BL35">
            <v>26</v>
          </cell>
          <cell r="BM35">
            <v>26</v>
          </cell>
          <cell r="BN35">
            <v>0</v>
          </cell>
          <cell r="BO35">
            <v>3</v>
          </cell>
          <cell r="BP35" t="str">
            <v>F</v>
          </cell>
          <cell r="BQ35" t="str">
            <v>F</v>
          </cell>
          <cell r="BR35" t="str">
            <v>F</v>
          </cell>
          <cell r="BS35" t="str">
            <v>NEED TO PROGRESS</v>
          </cell>
          <cell r="BT35">
            <v>232</v>
          </cell>
          <cell r="BU35">
            <v>0</v>
          </cell>
          <cell r="BV35">
            <v>64</v>
          </cell>
        </row>
        <row r="36">
          <cell r="B36">
            <v>74</v>
          </cell>
          <cell r="C36" t="str">
            <v xml:space="preserve">Md. Raiyan Talukder Rumel </v>
          </cell>
          <cell r="D36" t="str">
            <v xml:space="preserve">Md. Ratan Talukder </v>
          </cell>
          <cell r="E36" t="str">
            <v xml:space="preserve">Nargis Akter </v>
          </cell>
          <cell r="F36" t="str">
            <v>01757-438214      01725-412697</v>
          </cell>
          <cell r="G36">
            <v>11</v>
          </cell>
          <cell r="H36">
            <v>28</v>
          </cell>
          <cell r="I36">
            <v>39</v>
          </cell>
          <cell r="J36">
            <v>15</v>
          </cell>
          <cell r="K36">
            <v>54</v>
          </cell>
          <cell r="L36">
            <v>10</v>
          </cell>
          <cell r="M36">
            <v>32</v>
          </cell>
          <cell r="N36">
            <v>42</v>
          </cell>
          <cell r="O36">
            <v>42</v>
          </cell>
          <cell r="P36">
            <v>96</v>
          </cell>
          <cell r="Q36">
            <v>0</v>
          </cell>
          <cell r="R36">
            <v>3.5</v>
          </cell>
          <cell r="S36">
            <v>12</v>
          </cell>
          <cell r="T36">
            <v>32</v>
          </cell>
          <cell r="U36">
            <v>44</v>
          </cell>
          <cell r="V36">
            <v>5</v>
          </cell>
          <cell r="W36">
            <v>24</v>
          </cell>
          <cell r="X36">
            <v>29</v>
          </cell>
          <cell r="Y36">
            <v>73</v>
          </cell>
          <cell r="Z36">
            <v>73</v>
          </cell>
          <cell r="AA36">
            <v>0</v>
          </cell>
          <cell r="AB36">
            <v>2</v>
          </cell>
          <cell r="AC36">
            <v>11</v>
          </cell>
          <cell r="AD36">
            <v>23</v>
          </cell>
          <cell r="AE36">
            <v>34</v>
          </cell>
          <cell r="AF36">
            <v>17</v>
          </cell>
          <cell r="AG36">
            <v>51</v>
          </cell>
          <cell r="AH36">
            <v>0</v>
          </cell>
          <cell r="AI36">
            <v>3</v>
          </cell>
          <cell r="AJ36">
            <v>13</v>
          </cell>
          <cell r="AK36">
            <v>26</v>
          </cell>
          <cell r="AL36">
            <v>39</v>
          </cell>
          <cell r="AM36">
            <v>14</v>
          </cell>
          <cell r="AN36">
            <v>53</v>
          </cell>
          <cell r="AO36">
            <v>0</v>
          </cell>
          <cell r="AP36">
            <v>3</v>
          </cell>
          <cell r="AQ36">
            <v>19</v>
          </cell>
          <cell r="AR36">
            <v>25</v>
          </cell>
          <cell r="AS36">
            <v>44</v>
          </cell>
          <cell r="AT36">
            <v>0</v>
          </cell>
          <cell r="AU36">
            <v>5</v>
          </cell>
          <cell r="AV36">
            <v>17</v>
          </cell>
          <cell r="AW36">
            <v>36</v>
          </cell>
          <cell r="AX36">
            <v>53</v>
          </cell>
          <cell r="AY36">
            <v>19</v>
          </cell>
          <cell r="AZ36">
            <v>72</v>
          </cell>
          <cell r="BA36">
            <v>0</v>
          </cell>
          <cell r="BB36">
            <v>4</v>
          </cell>
          <cell r="BC36">
            <v>10</v>
          </cell>
          <cell r="BD36">
            <v>31</v>
          </cell>
          <cell r="BE36">
            <v>41</v>
          </cell>
          <cell r="BF36">
            <v>21</v>
          </cell>
          <cell r="BG36">
            <v>62</v>
          </cell>
          <cell r="BH36">
            <v>0</v>
          </cell>
          <cell r="BI36">
            <v>3.5</v>
          </cell>
          <cell r="BJ36">
            <v>6</v>
          </cell>
          <cell r="BK36">
            <v>28</v>
          </cell>
          <cell r="BL36">
            <v>34</v>
          </cell>
          <cell r="BM36">
            <v>34</v>
          </cell>
          <cell r="BN36">
            <v>0</v>
          </cell>
          <cell r="BO36">
            <v>3.5</v>
          </cell>
          <cell r="BP36">
            <v>24</v>
          </cell>
          <cell r="BQ36">
            <v>3.4285714285714284</v>
          </cell>
          <cell r="BR36" t="str">
            <v>B</v>
          </cell>
          <cell r="BS36" t="str">
            <v>GOOD</v>
          </cell>
          <cell r="BT36">
            <v>451</v>
          </cell>
          <cell r="BU36">
            <v>40</v>
          </cell>
          <cell r="BV36">
            <v>68</v>
          </cell>
        </row>
        <row r="37">
          <cell r="B37">
            <v>75</v>
          </cell>
          <cell r="C37" t="str">
            <v>Israt Jahan Tarifa</v>
          </cell>
          <cell r="D37" t="str">
            <v xml:space="preserve">Md Milon Madbar </v>
          </cell>
          <cell r="E37" t="str">
            <v xml:space="preserve">Mst. Ruma Akter </v>
          </cell>
          <cell r="F37" t="str">
            <v>01829-161690</v>
          </cell>
          <cell r="G37">
            <v>12</v>
          </cell>
          <cell r="H37">
            <v>13</v>
          </cell>
          <cell r="I37">
            <v>25</v>
          </cell>
          <cell r="J37">
            <v>18</v>
          </cell>
          <cell r="K37">
            <v>43</v>
          </cell>
          <cell r="L37">
            <v>4</v>
          </cell>
          <cell r="M37">
            <v>13</v>
          </cell>
          <cell r="N37">
            <v>17</v>
          </cell>
          <cell r="O37">
            <v>17</v>
          </cell>
          <cell r="P37">
            <v>60</v>
          </cell>
          <cell r="Q37">
            <v>0</v>
          </cell>
          <cell r="R37">
            <v>2</v>
          </cell>
          <cell r="S37">
            <v>6</v>
          </cell>
          <cell r="T37">
            <v>17</v>
          </cell>
          <cell r="U37">
            <v>23</v>
          </cell>
          <cell r="V37">
            <v>5</v>
          </cell>
          <cell r="W37">
            <v>17</v>
          </cell>
          <cell r="X37">
            <v>22</v>
          </cell>
          <cell r="Y37">
            <v>45</v>
          </cell>
          <cell r="Z37">
            <v>45</v>
          </cell>
          <cell r="AA37">
            <v>0</v>
          </cell>
          <cell r="AB37">
            <v>0</v>
          </cell>
          <cell r="AC37">
            <v>10</v>
          </cell>
          <cell r="AD37">
            <v>9</v>
          </cell>
          <cell r="AE37">
            <v>19</v>
          </cell>
          <cell r="AF37">
            <v>12</v>
          </cell>
          <cell r="AG37">
            <v>31</v>
          </cell>
          <cell r="AH37">
            <v>0</v>
          </cell>
          <cell r="AI37" t="str">
            <v>F</v>
          </cell>
          <cell r="AJ37">
            <v>8</v>
          </cell>
          <cell r="AK37">
            <v>9</v>
          </cell>
          <cell r="AL37">
            <v>17</v>
          </cell>
          <cell r="AM37">
            <v>12</v>
          </cell>
          <cell r="AN37">
            <v>29</v>
          </cell>
          <cell r="AO37">
            <v>0</v>
          </cell>
          <cell r="AP37" t="str">
            <v>F</v>
          </cell>
          <cell r="AQ37">
            <v>15</v>
          </cell>
          <cell r="AR37">
            <v>25</v>
          </cell>
          <cell r="AS37">
            <v>40</v>
          </cell>
          <cell r="AT37">
            <v>0</v>
          </cell>
          <cell r="AU37">
            <v>5</v>
          </cell>
          <cell r="AV37">
            <v>12</v>
          </cell>
          <cell r="AW37">
            <v>22</v>
          </cell>
          <cell r="AX37">
            <v>34</v>
          </cell>
          <cell r="AY37">
            <v>13</v>
          </cell>
          <cell r="AZ37">
            <v>47</v>
          </cell>
          <cell r="BA37">
            <v>0</v>
          </cell>
          <cell r="BB37">
            <v>2</v>
          </cell>
          <cell r="BC37">
            <v>8</v>
          </cell>
          <cell r="BD37">
            <v>23</v>
          </cell>
          <cell r="BE37">
            <v>31</v>
          </cell>
          <cell r="BF37">
            <v>12</v>
          </cell>
          <cell r="BG37">
            <v>43</v>
          </cell>
          <cell r="BH37">
            <v>0</v>
          </cell>
          <cell r="BI37">
            <v>2</v>
          </cell>
          <cell r="BJ37">
            <v>5</v>
          </cell>
          <cell r="BK37">
            <v>24</v>
          </cell>
          <cell r="BL37">
            <v>29</v>
          </cell>
          <cell r="BM37">
            <v>29</v>
          </cell>
          <cell r="BN37">
            <v>0</v>
          </cell>
          <cell r="BO37">
            <v>3</v>
          </cell>
          <cell r="BP37" t="str">
            <v>F</v>
          </cell>
          <cell r="BQ37" t="str">
            <v>F</v>
          </cell>
          <cell r="BR37" t="str">
            <v>F</v>
          </cell>
          <cell r="BS37" t="str">
            <v>NEED TO PROGRESS</v>
          </cell>
          <cell r="BT37">
            <v>295</v>
          </cell>
          <cell r="BU37">
            <v>0</v>
          </cell>
          <cell r="BV37">
            <v>68</v>
          </cell>
        </row>
        <row r="38">
          <cell r="B38">
            <v>81</v>
          </cell>
          <cell r="C38" t="str">
            <v xml:space="preserve">Ananna Sabrin </v>
          </cell>
          <cell r="D38" t="str">
            <v xml:space="preserve">Md Abdur Rouf </v>
          </cell>
          <cell r="E38" t="str">
            <v xml:space="preserve">Mst Rima Parvin </v>
          </cell>
          <cell r="F38" t="str">
            <v>01752-051307               01761-183601</v>
          </cell>
          <cell r="G38">
            <v>13</v>
          </cell>
          <cell r="H38">
            <v>21</v>
          </cell>
          <cell r="I38">
            <v>34</v>
          </cell>
          <cell r="J38">
            <v>13</v>
          </cell>
          <cell r="K38">
            <v>47</v>
          </cell>
          <cell r="L38">
            <v>8</v>
          </cell>
          <cell r="M38">
            <v>21</v>
          </cell>
          <cell r="N38">
            <v>29</v>
          </cell>
          <cell r="O38">
            <v>29</v>
          </cell>
          <cell r="P38">
            <v>76</v>
          </cell>
          <cell r="Q38">
            <v>0</v>
          </cell>
          <cell r="R38">
            <v>3</v>
          </cell>
          <cell r="S38">
            <v>9</v>
          </cell>
          <cell r="T38">
            <v>31</v>
          </cell>
          <cell r="U38">
            <v>40</v>
          </cell>
          <cell r="V38">
            <v>4</v>
          </cell>
          <cell r="W38">
            <v>21</v>
          </cell>
          <cell r="X38">
            <v>25</v>
          </cell>
          <cell r="Y38">
            <v>65</v>
          </cell>
          <cell r="Z38">
            <v>65</v>
          </cell>
          <cell r="AA38">
            <v>0</v>
          </cell>
          <cell r="AB38">
            <v>2</v>
          </cell>
          <cell r="AC38">
            <v>11</v>
          </cell>
          <cell r="AD38">
            <v>17</v>
          </cell>
          <cell r="AE38">
            <v>28</v>
          </cell>
          <cell r="AF38">
            <v>17</v>
          </cell>
          <cell r="AG38">
            <v>45</v>
          </cell>
          <cell r="AH38">
            <v>0</v>
          </cell>
          <cell r="AI38">
            <v>2</v>
          </cell>
          <cell r="AJ38">
            <v>12</v>
          </cell>
          <cell r="AK38">
            <v>17</v>
          </cell>
          <cell r="AL38">
            <v>29</v>
          </cell>
          <cell r="AM38">
            <v>15</v>
          </cell>
          <cell r="AN38">
            <v>44</v>
          </cell>
          <cell r="AO38">
            <v>0</v>
          </cell>
          <cell r="AP38">
            <v>2</v>
          </cell>
          <cell r="AQ38">
            <v>18</v>
          </cell>
          <cell r="AR38">
            <v>25</v>
          </cell>
          <cell r="AS38">
            <v>43</v>
          </cell>
          <cell r="AT38">
            <v>0</v>
          </cell>
          <cell r="AU38">
            <v>5</v>
          </cell>
          <cell r="AV38">
            <v>11</v>
          </cell>
          <cell r="AW38">
            <v>27</v>
          </cell>
          <cell r="AX38">
            <v>38</v>
          </cell>
          <cell r="AY38">
            <v>16</v>
          </cell>
          <cell r="AZ38">
            <v>54</v>
          </cell>
          <cell r="BA38">
            <v>0</v>
          </cell>
          <cell r="BB38">
            <v>3</v>
          </cell>
          <cell r="BC38">
            <v>9</v>
          </cell>
          <cell r="BD38">
            <v>30</v>
          </cell>
          <cell r="BE38">
            <v>39</v>
          </cell>
          <cell r="BF38">
            <v>23</v>
          </cell>
          <cell r="BG38">
            <v>62</v>
          </cell>
          <cell r="BH38">
            <v>0</v>
          </cell>
          <cell r="BI38">
            <v>3.5</v>
          </cell>
          <cell r="BJ38">
            <v>5</v>
          </cell>
          <cell r="BK38">
            <v>24</v>
          </cell>
          <cell r="BL38">
            <v>29</v>
          </cell>
          <cell r="BM38">
            <v>29</v>
          </cell>
          <cell r="BN38">
            <v>0</v>
          </cell>
          <cell r="BO38">
            <v>3</v>
          </cell>
          <cell r="BP38">
            <v>20.5</v>
          </cell>
          <cell r="BQ38">
            <v>2.9285714285714284</v>
          </cell>
          <cell r="BR38" t="str">
            <v>C</v>
          </cell>
          <cell r="BS38" t="str">
            <v>GOOD</v>
          </cell>
          <cell r="BT38">
            <v>389</v>
          </cell>
          <cell r="BU38">
            <v>49</v>
          </cell>
          <cell r="BV38">
            <v>67</v>
          </cell>
        </row>
        <row r="39">
          <cell r="B39">
            <v>86</v>
          </cell>
          <cell r="C39" t="str">
            <v xml:space="preserve">Md. Tanvir Udoy </v>
          </cell>
          <cell r="D39" t="str">
            <v xml:space="preserve">Zahid </v>
          </cell>
          <cell r="E39" t="str">
            <v xml:space="preserve">Fatema Akter Kanchan </v>
          </cell>
          <cell r="F39" t="str">
            <v>01930-060855 01987-939234</v>
          </cell>
          <cell r="G39">
            <v>8</v>
          </cell>
          <cell r="H39">
            <v>4</v>
          </cell>
          <cell r="I39">
            <v>12</v>
          </cell>
          <cell r="J39">
            <v>16</v>
          </cell>
          <cell r="K39">
            <v>28</v>
          </cell>
          <cell r="L39">
            <v>4</v>
          </cell>
          <cell r="M39">
            <v>16</v>
          </cell>
          <cell r="N39">
            <v>20</v>
          </cell>
          <cell r="O39">
            <v>20</v>
          </cell>
          <cell r="P39">
            <v>48</v>
          </cell>
          <cell r="Q39">
            <v>0</v>
          </cell>
          <cell r="R39" t="str">
            <v>F</v>
          </cell>
          <cell r="S39">
            <v>5</v>
          </cell>
          <cell r="T39">
            <v>23</v>
          </cell>
          <cell r="U39">
            <v>28</v>
          </cell>
          <cell r="V39">
            <v>2</v>
          </cell>
          <cell r="W39">
            <v>10</v>
          </cell>
          <cell r="X39">
            <v>12</v>
          </cell>
          <cell r="Y39">
            <v>40</v>
          </cell>
          <cell r="Z39">
            <v>40</v>
          </cell>
          <cell r="AA39">
            <v>0</v>
          </cell>
          <cell r="AB39">
            <v>0</v>
          </cell>
          <cell r="AC39">
            <v>13</v>
          </cell>
          <cell r="AD39">
            <v>6</v>
          </cell>
          <cell r="AE39">
            <v>19</v>
          </cell>
          <cell r="AF39">
            <v>12</v>
          </cell>
          <cell r="AG39">
            <v>31</v>
          </cell>
          <cell r="AH39">
            <v>0</v>
          </cell>
          <cell r="AI39" t="str">
            <v>F</v>
          </cell>
          <cell r="AJ39">
            <v>4</v>
          </cell>
          <cell r="AK39">
            <v>5</v>
          </cell>
          <cell r="AL39">
            <v>9</v>
          </cell>
          <cell r="AM39">
            <v>9</v>
          </cell>
          <cell r="AN39">
            <v>18</v>
          </cell>
          <cell r="AO39">
            <v>0</v>
          </cell>
          <cell r="AP39" t="str">
            <v>F</v>
          </cell>
          <cell r="AQ39">
            <v>13</v>
          </cell>
          <cell r="AR39">
            <v>25</v>
          </cell>
          <cell r="AS39">
            <v>38</v>
          </cell>
          <cell r="AT39">
            <v>0</v>
          </cell>
          <cell r="AU39">
            <v>4</v>
          </cell>
          <cell r="AV39">
            <v>13</v>
          </cell>
          <cell r="AW39">
            <v>33</v>
          </cell>
          <cell r="AX39">
            <v>46</v>
          </cell>
          <cell r="AY39">
            <v>17</v>
          </cell>
          <cell r="AZ39">
            <v>63</v>
          </cell>
          <cell r="BA39">
            <v>0</v>
          </cell>
          <cell r="BB39">
            <v>3.5</v>
          </cell>
          <cell r="BC39">
            <v>9</v>
          </cell>
          <cell r="BD39">
            <v>20</v>
          </cell>
          <cell r="BE39">
            <v>29</v>
          </cell>
          <cell r="BF39">
            <v>15</v>
          </cell>
          <cell r="BG39">
            <v>44</v>
          </cell>
          <cell r="BH39">
            <v>0</v>
          </cell>
          <cell r="BI39">
            <v>2</v>
          </cell>
          <cell r="BJ39">
            <v>5</v>
          </cell>
          <cell r="BK39">
            <v>24</v>
          </cell>
          <cell r="BL39">
            <v>29</v>
          </cell>
          <cell r="BM39">
            <v>29</v>
          </cell>
          <cell r="BN39">
            <v>0</v>
          </cell>
          <cell r="BO39">
            <v>3</v>
          </cell>
          <cell r="BP39" t="str">
            <v>F</v>
          </cell>
          <cell r="BQ39" t="str">
            <v>F</v>
          </cell>
          <cell r="BR39" t="str">
            <v>F</v>
          </cell>
          <cell r="BS39" t="str">
            <v>NEED TO PROGRESS</v>
          </cell>
          <cell r="BT39">
            <v>282</v>
          </cell>
          <cell r="BU39">
            <v>0</v>
          </cell>
          <cell r="BV39">
            <v>65</v>
          </cell>
        </row>
        <row r="40">
          <cell r="B40">
            <v>89</v>
          </cell>
          <cell r="C40" t="str">
            <v xml:space="preserve">Tausheya Islam </v>
          </cell>
          <cell r="D40" t="str">
            <v xml:space="preserve">Shafiqul Islam </v>
          </cell>
          <cell r="E40" t="str">
            <v xml:space="preserve">Shapna </v>
          </cell>
          <cell r="F40" t="str">
            <v>01928-150100                            01643-247888</v>
          </cell>
          <cell r="G40">
            <v>9</v>
          </cell>
          <cell r="H40">
            <v>4</v>
          </cell>
          <cell r="I40">
            <v>13</v>
          </cell>
          <cell r="J40">
            <v>14</v>
          </cell>
          <cell r="K40">
            <v>27</v>
          </cell>
          <cell r="L40">
            <v>4</v>
          </cell>
          <cell r="M40">
            <v>16</v>
          </cell>
          <cell r="N40">
            <v>20</v>
          </cell>
          <cell r="O40">
            <v>20</v>
          </cell>
          <cell r="P40">
            <v>47</v>
          </cell>
          <cell r="Q40">
            <v>0</v>
          </cell>
          <cell r="R40" t="str">
            <v>F</v>
          </cell>
          <cell r="S40">
            <v>7</v>
          </cell>
          <cell r="T40">
            <v>15</v>
          </cell>
          <cell r="U40">
            <v>22</v>
          </cell>
          <cell r="V40">
            <v>1</v>
          </cell>
          <cell r="W40">
            <v>6</v>
          </cell>
          <cell r="X40">
            <v>7</v>
          </cell>
          <cell r="Y40">
            <v>29</v>
          </cell>
          <cell r="Z40">
            <v>29</v>
          </cell>
          <cell r="AA40">
            <v>0</v>
          </cell>
          <cell r="AB40">
            <v>0</v>
          </cell>
          <cell r="AC40">
            <v>8</v>
          </cell>
          <cell r="AD40">
            <v>12</v>
          </cell>
          <cell r="AE40">
            <v>20</v>
          </cell>
          <cell r="AF40">
            <v>12</v>
          </cell>
          <cell r="AG40">
            <v>32</v>
          </cell>
          <cell r="AH40">
            <v>0</v>
          </cell>
          <cell r="AI40" t="str">
            <v>F</v>
          </cell>
          <cell r="AJ40">
            <v>9</v>
          </cell>
          <cell r="AK40">
            <v>11</v>
          </cell>
          <cell r="AL40">
            <v>20</v>
          </cell>
          <cell r="AM40">
            <v>10</v>
          </cell>
          <cell r="AN40">
            <v>30</v>
          </cell>
          <cell r="AO40">
            <v>0</v>
          </cell>
          <cell r="AP40" t="str">
            <v>F</v>
          </cell>
          <cell r="AQ40">
            <v>17</v>
          </cell>
          <cell r="AR40">
            <v>25</v>
          </cell>
          <cell r="AS40">
            <v>42</v>
          </cell>
          <cell r="AT40">
            <v>0</v>
          </cell>
          <cell r="AU40">
            <v>5</v>
          </cell>
          <cell r="AV40">
            <v>9</v>
          </cell>
          <cell r="AW40">
            <v>26</v>
          </cell>
          <cell r="AX40">
            <v>35</v>
          </cell>
          <cell r="AY40">
            <v>19</v>
          </cell>
          <cell r="AZ40">
            <v>54</v>
          </cell>
          <cell r="BA40">
            <v>0</v>
          </cell>
          <cell r="BB40">
            <v>3</v>
          </cell>
          <cell r="BC40">
            <v>9</v>
          </cell>
          <cell r="BD40">
            <v>20</v>
          </cell>
          <cell r="BE40">
            <v>29</v>
          </cell>
          <cell r="BF40">
            <v>17</v>
          </cell>
          <cell r="BG40">
            <v>46</v>
          </cell>
          <cell r="BH40">
            <v>0</v>
          </cell>
          <cell r="BI40">
            <v>2</v>
          </cell>
          <cell r="BJ40">
            <v>2</v>
          </cell>
          <cell r="BK40">
            <v>24</v>
          </cell>
          <cell r="BL40">
            <v>26</v>
          </cell>
          <cell r="BM40">
            <v>26</v>
          </cell>
          <cell r="BN40">
            <v>0</v>
          </cell>
          <cell r="BO40">
            <v>3</v>
          </cell>
          <cell r="BP40" t="str">
            <v>F</v>
          </cell>
          <cell r="BQ40" t="str">
            <v>F</v>
          </cell>
          <cell r="BR40" t="str">
            <v>F</v>
          </cell>
          <cell r="BS40" t="str">
            <v>NEED TO PROGRESS</v>
          </cell>
          <cell r="BT40">
            <v>280</v>
          </cell>
          <cell r="BU40">
            <v>0</v>
          </cell>
          <cell r="BV40">
            <v>62</v>
          </cell>
        </row>
        <row r="41">
          <cell r="B41">
            <v>90</v>
          </cell>
          <cell r="C41" t="str">
            <v xml:space="preserve">Rubaiya Islam Rojoni </v>
          </cell>
          <cell r="D41" t="str">
            <v xml:space="preserve">Md. Rajjab Ali </v>
          </cell>
          <cell r="E41" t="str">
            <v xml:space="preserve">Sonia Akter </v>
          </cell>
          <cell r="F41" t="str">
            <v>01684-860951                    01711-623209</v>
          </cell>
          <cell r="G41">
            <v>10</v>
          </cell>
          <cell r="H41">
            <v>26</v>
          </cell>
          <cell r="I41">
            <v>36</v>
          </cell>
          <cell r="J41">
            <v>27</v>
          </cell>
          <cell r="K41">
            <v>63</v>
          </cell>
          <cell r="L41">
            <v>9</v>
          </cell>
          <cell r="M41">
            <v>23</v>
          </cell>
          <cell r="N41">
            <v>32</v>
          </cell>
          <cell r="O41">
            <v>32</v>
          </cell>
          <cell r="P41">
            <v>95</v>
          </cell>
          <cell r="Q41">
            <v>0</v>
          </cell>
          <cell r="R41">
            <v>3.5</v>
          </cell>
          <cell r="S41">
            <v>16</v>
          </cell>
          <cell r="T41">
            <v>56</v>
          </cell>
          <cell r="U41">
            <v>72</v>
          </cell>
          <cell r="V41">
            <v>5</v>
          </cell>
          <cell r="W41">
            <v>26</v>
          </cell>
          <cell r="X41">
            <v>31</v>
          </cell>
          <cell r="Y41">
            <v>103</v>
          </cell>
          <cell r="Z41">
            <v>103</v>
          </cell>
          <cell r="AA41">
            <v>0</v>
          </cell>
          <cell r="AB41">
            <v>3.5</v>
          </cell>
          <cell r="AC41">
            <v>4</v>
          </cell>
          <cell r="AD41">
            <v>24</v>
          </cell>
          <cell r="AE41">
            <v>28</v>
          </cell>
          <cell r="AF41">
            <v>20</v>
          </cell>
          <cell r="AG41">
            <v>48</v>
          </cell>
          <cell r="AH41">
            <v>0</v>
          </cell>
          <cell r="AI41">
            <v>2</v>
          </cell>
          <cell r="AJ41">
            <v>8</v>
          </cell>
          <cell r="AK41">
            <v>34</v>
          </cell>
          <cell r="AL41">
            <v>42</v>
          </cell>
          <cell r="AM41">
            <v>17</v>
          </cell>
          <cell r="AN41">
            <v>59</v>
          </cell>
          <cell r="AO41">
            <v>0</v>
          </cell>
          <cell r="AP41">
            <v>3</v>
          </cell>
          <cell r="AQ41">
            <v>19</v>
          </cell>
          <cell r="AR41">
            <v>25</v>
          </cell>
          <cell r="AS41">
            <v>44</v>
          </cell>
          <cell r="AT41">
            <v>0</v>
          </cell>
          <cell r="AU41">
            <v>5</v>
          </cell>
          <cell r="AV41">
            <v>15</v>
          </cell>
          <cell r="AW41">
            <v>37</v>
          </cell>
          <cell r="AX41">
            <v>52</v>
          </cell>
          <cell r="AY41">
            <v>24</v>
          </cell>
          <cell r="AZ41">
            <v>76</v>
          </cell>
          <cell r="BA41">
            <v>0</v>
          </cell>
          <cell r="BB41">
            <v>4</v>
          </cell>
          <cell r="BC41">
            <v>8</v>
          </cell>
          <cell r="BD41">
            <v>34</v>
          </cell>
          <cell r="BE41">
            <v>42</v>
          </cell>
          <cell r="BF41">
            <v>24</v>
          </cell>
          <cell r="BG41">
            <v>66</v>
          </cell>
          <cell r="BH41">
            <v>0</v>
          </cell>
          <cell r="BI41">
            <v>3.5</v>
          </cell>
          <cell r="BJ41">
            <v>4</v>
          </cell>
          <cell r="BK41">
            <v>24</v>
          </cell>
          <cell r="BL41">
            <v>28</v>
          </cell>
          <cell r="BM41">
            <v>28</v>
          </cell>
          <cell r="BN41">
            <v>0</v>
          </cell>
          <cell r="BO41">
            <v>3</v>
          </cell>
          <cell r="BP41">
            <v>24.5</v>
          </cell>
          <cell r="BQ41">
            <v>3.5</v>
          </cell>
          <cell r="BR41" t="str">
            <v>A-</v>
          </cell>
          <cell r="BS41" t="str">
            <v>GOOD</v>
          </cell>
          <cell r="BT41">
            <v>491</v>
          </cell>
          <cell r="BU41">
            <v>36</v>
          </cell>
          <cell r="BV41">
            <v>55</v>
          </cell>
        </row>
        <row r="42">
          <cell r="B42">
            <v>92</v>
          </cell>
          <cell r="C42" t="str">
            <v xml:space="preserve">Zobayer Ahammed Jim </v>
          </cell>
          <cell r="D42" t="str">
            <v xml:space="preserve">Md. Helal Uddin </v>
          </cell>
          <cell r="E42" t="str">
            <v xml:space="preserve">Ummy Habiba </v>
          </cell>
          <cell r="F42" t="str">
            <v>01736-732882                       01723-208719</v>
          </cell>
          <cell r="G42">
            <v>8</v>
          </cell>
          <cell r="H42">
            <v>1</v>
          </cell>
          <cell r="I42">
            <v>9</v>
          </cell>
          <cell r="J42">
            <v>9</v>
          </cell>
          <cell r="K42">
            <v>18</v>
          </cell>
          <cell r="L42">
            <v>2</v>
          </cell>
          <cell r="M42">
            <v>9</v>
          </cell>
          <cell r="N42">
            <v>11</v>
          </cell>
          <cell r="O42">
            <v>11</v>
          </cell>
          <cell r="P42">
            <v>29</v>
          </cell>
          <cell r="Q42">
            <v>0</v>
          </cell>
          <cell r="R42" t="str">
            <v>F</v>
          </cell>
          <cell r="S42">
            <v>7</v>
          </cell>
          <cell r="T42">
            <v>15</v>
          </cell>
          <cell r="U42">
            <v>22</v>
          </cell>
          <cell r="V42">
            <v>2</v>
          </cell>
          <cell r="W42">
            <v>9</v>
          </cell>
          <cell r="X42">
            <v>11</v>
          </cell>
          <cell r="Y42">
            <v>33</v>
          </cell>
          <cell r="Z42">
            <v>33</v>
          </cell>
          <cell r="AA42">
            <v>0</v>
          </cell>
          <cell r="AB42">
            <v>0</v>
          </cell>
          <cell r="AC42">
            <v>8</v>
          </cell>
          <cell r="AD42">
            <v>4</v>
          </cell>
          <cell r="AE42">
            <v>12</v>
          </cell>
          <cell r="AF42">
            <v>14</v>
          </cell>
          <cell r="AG42">
            <v>26</v>
          </cell>
          <cell r="AH42">
            <v>0</v>
          </cell>
          <cell r="AI42" t="str">
            <v>F</v>
          </cell>
          <cell r="AJ42">
            <v>8</v>
          </cell>
          <cell r="AK42">
            <v>9</v>
          </cell>
          <cell r="AL42">
            <v>17</v>
          </cell>
          <cell r="AM42">
            <v>3</v>
          </cell>
          <cell r="AN42">
            <v>20</v>
          </cell>
          <cell r="AO42">
            <v>0</v>
          </cell>
          <cell r="AP42" t="str">
            <v>F</v>
          </cell>
          <cell r="AQ42">
            <v>10</v>
          </cell>
          <cell r="AR42">
            <v>25</v>
          </cell>
          <cell r="AS42">
            <v>35</v>
          </cell>
          <cell r="AT42">
            <v>0</v>
          </cell>
          <cell r="AU42">
            <v>4</v>
          </cell>
          <cell r="AV42">
            <v>11</v>
          </cell>
          <cell r="AW42">
            <v>18</v>
          </cell>
          <cell r="AX42">
            <v>29</v>
          </cell>
          <cell r="AY42">
            <v>11</v>
          </cell>
          <cell r="AZ42">
            <v>40</v>
          </cell>
          <cell r="BA42">
            <v>0</v>
          </cell>
          <cell r="BB42">
            <v>2</v>
          </cell>
          <cell r="BC42">
            <v>2</v>
          </cell>
          <cell r="BD42">
            <v>10</v>
          </cell>
          <cell r="BE42">
            <v>12</v>
          </cell>
          <cell r="BF42">
            <v>5</v>
          </cell>
          <cell r="BG42">
            <v>17</v>
          </cell>
          <cell r="BH42">
            <v>0</v>
          </cell>
          <cell r="BI42" t="str">
            <v>F</v>
          </cell>
          <cell r="BJ42">
            <v>5</v>
          </cell>
          <cell r="BK42">
            <v>24</v>
          </cell>
          <cell r="BL42">
            <v>29</v>
          </cell>
          <cell r="BM42">
            <v>29</v>
          </cell>
          <cell r="BN42">
            <v>0</v>
          </cell>
          <cell r="BO42">
            <v>3</v>
          </cell>
          <cell r="BP42" t="str">
            <v>F</v>
          </cell>
          <cell r="BQ42" t="str">
            <v>F</v>
          </cell>
          <cell r="BR42" t="str">
            <v>F</v>
          </cell>
          <cell r="BS42" t="str">
            <v>NEED TO PROGRESS</v>
          </cell>
          <cell r="BT42">
            <v>200</v>
          </cell>
          <cell r="BU42">
            <v>0</v>
          </cell>
          <cell r="BV42">
            <v>56</v>
          </cell>
        </row>
        <row r="43">
          <cell r="B43">
            <v>93</v>
          </cell>
          <cell r="C43" t="str">
            <v xml:space="preserve">Md. Riyad Hossen </v>
          </cell>
          <cell r="D43" t="str">
            <v xml:space="preserve">Md. Abu Taher </v>
          </cell>
          <cell r="E43" t="str">
            <v xml:space="preserve">Mst. Rikta Begum </v>
          </cell>
          <cell r="F43" t="str">
            <v>01722-079230                    01771-678845</v>
          </cell>
          <cell r="G43">
            <v>8</v>
          </cell>
          <cell r="H43">
            <v>10</v>
          </cell>
          <cell r="I43">
            <v>18</v>
          </cell>
          <cell r="J43">
            <v>18</v>
          </cell>
          <cell r="K43">
            <v>36</v>
          </cell>
          <cell r="L43">
            <v>10</v>
          </cell>
          <cell r="M43">
            <v>25</v>
          </cell>
          <cell r="N43">
            <v>35</v>
          </cell>
          <cell r="O43">
            <v>35</v>
          </cell>
          <cell r="P43">
            <v>71</v>
          </cell>
          <cell r="Q43">
            <v>0</v>
          </cell>
          <cell r="R43">
            <v>2</v>
          </cell>
          <cell r="S43">
            <v>11</v>
          </cell>
          <cell r="T43">
            <v>29</v>
          </cell>
          <cell r="U43">
            <v>40</v>
          </cell>
          <cell r="V43">
            <v>6</v>
          </cell>
          <cell r="W43">
            <v>20</v>
          </cell>
          <cell r="X43">
            <v>26</v>
          </cell>
          <cell r="Y43">
            <v>66</v>
          </cell>
          <cell r="Z43">
            <v>66</v>
          </cell>
          <cell r="AA43">
            <v>0</v>
          </cell>
          <cell r="AB43">
            <v>2</v>
          </cell>
          <cell r="AC43">
            <v>9</v>
          </cell>
          <cell r="AD43">
            <v>20</v>
          </cell>
          <cell r="AE43">
            <v>29</v>
          </cell>
          <cell r="AF43">
            <v>12</v>
          </cell>
          <cell r="AG43">
            <v>41</v>
          </cell>
          <cell r="AH43">
            <v>0</v>
          </cell>
          <cell r="AI43">
            <v>2</v>
          </cell>
          <cell r="AJ43">
            <v>8</v>
          </cell>
          <cell r="AK43">
            <v>20</v>
          </cell>
          <cell r="AL43">
            <v>28</v>
          </cell>
          <cell r="AM43">
            <v>12</v>
          </cell>
          <cell r="AN43">
            <v>40</v>
          </cell>
          <cell r="AO43">
            <v>0</v>
          </cell>
          <cell r="AP43">
            <v>2</v>
          </cell>
          <cell r="AQ43">
            <v>15</v>
          </cell>
          <cell r="AR43">
            <v>25</v>
          </cell>
          <cell r="AS43">
            <v>40</v>
          </cell>
          <cell r="AT43">
            <v>0</v>
          </cell>
          <cell r="AU43">
            <v>5</v>
          </cell>
          <cell r="AV43">
            <v>13</v>
          </cell>
          <cell r="AW43">
            <v>31</v>
          </cell>
          <cell r="AX43">
            <v>44</v>
          </cell>
          <cell r="AY43">
            <v>20</v>
          </cell>
          <cell r="AZ43">
            <v>64</v>
          </cell>
          <cell r="BA43">
            <v>0</v>
          </cell>
          <cell r="BB43">
            <v>3.5</v>
          </cell>
          <cell r="BC43">
            <v>10</v>
          </cell>
          <cell r="BD43">
            <v>26</v>
          </cell>
          <cell r="BE43">
            <v>36</v>
          </cell>
          <cell r="BF43">
            <v>23</v>
          </cell>
          <cell r="BG43">
            <v>59</v>
          </cell>
          <cell r="BH43">
            <v>0</v>
          </cell>
          <cell r="BI43">
            <v>3</v>
          </cell>
          <cell r="BJ43">
            <v>5</v>
          </cell>
          <cell r="BK43">
            <v>24</v>
          </cell>
          <cell r="BL43">
            <v>29</v>
          </cell>
          <cell r="BM43">
            <v>29</v>
          </cell>
          <cell r="BN43">
            <v>0</v>
          </cell>
          <cell r="BO43">
            <v>3</v>
          </cell>
          <cell r="BP43">
            <v>19.5</v>
          </cell>
          <cell r="BQ43">
            <v>2.7857142857142856</v>
          </cell>
          <cell r="BR43" t="str">
            <v>C</v>
          </cell>
          <cell r="BS43" t="str">
            <v>GOOD</v>
          </cell>
          <cell r="BT43">
            <v>381</v>
          </cell>
          <cell r="BU43">
            <v>52</v>
          </cell>
          <cell r="BV43">
            <v>58</v>
          </cell>
        </row>
        <row r="44">
          <cell r="B44">
            <v>95</v>
          </cell>
          <cell r="C44" t="str">
            <v xml:space="preserve">Mohammad Alif Talukder </v>
          </cell>
          <cell r="D44" t="str">
            <v xml:space="preserve">Md. Hameyat Uddin Talukder </v>
          </cell>
          <cell r="E44" t="str">
            <v xml:space="preserve">Sultana Nasira </v>
          </cell>
          <cell r="F44" t="str">
            <v>01716-294941                   01790-423094</v>
          </cell>
          <cell r="G44">
            <v>9</v>
          </cell>
          <cell r="H44">
            <v>3</v>
          </cell>
          <cell r="I44">
            <v>12</v>
          </cell>
          <cell r="J44">
            <v>12</v>
          </cell>
          <cell r="K44">
            <v>24</v>
          </cell>
          <cell r="L44">
            <v>4</v>
          </cell>
          <cell r="M44">
            <v>8</v>
          </cell>
          <cell r="N44">
            <v>12</v>
          </cell>
          <cell r="O44">
            <v>12</v>
          </cell>
          <cell r="P44">
            <v>36</v>
          </cell>
          <cell r="Q44">
            <v>0</v>
          </cell>
          <cell r="R44" t="str">
            <v>F</v>
          </cell>
          <cell r="S44">
            <v>6</v>
          </cell>
          <cell r="T44">
            <v>18</v>
          </cell>
          <cell r="U44">
            <v>24</v>
          </cell>
          <cell r="V44">
            <v>2</v>
          </cell>
          <cell r="W44">
            <v>22</v>
          </cell>
          <cell r="X44">
            <v>24</v>
          </cell>
          <cell r="Y44">
            <v>48</v>
          </cell>
          <cell r="Z44">
            <v>48</v>
          </cell>
          <cell r="AA44">
            <v>0</v>
          </cell>
          <cell r="AB44">
            <v>0</v>
          </cell>
          <cell r="AC44">
            <v>10</v>
          </cell>
          <cell r="AD44">
            <v>8</v>
          </cell>
          <cell r="AE44">
            <v>18</v>
          </cell>
          <cell r="AF44">
            <v>13</v>
          </cell>
          <cell r="AG44">
            <v>31</v>
          </cell>
          <cell r="AH44">
            <v>0</v>
          </cell>
          <cell r="AI44" t="str">
            <v>F</v>
          </cell>
          <cell r="AJ44">
            <v>8</v>
          </cell>
          <cell r="AK44">
            <v>6</v>
          </cell>
          <cell r="AL44">
            <v>14</v>
          </cell>
          <cell r="AM44">
            <v>9</v>
          </cell>
          <cell r="AN44">
            <v>23</v>
          </cell>
          <cell r="AO44">
            <v>0</v>
          </cell>
          <cell r="AP44" t="str">
            <v>F</v>
          </cell>
          <cell r="AQ44">
            <v>10</v>
          </cell>
          <cell r="AR44">
            <v>25</v>
          </cell>
          <cell r="AS44">
            <v>35</v>
          </cell>
          <cell r="AT44">
            <v>0</v>
          </cell>
          <cell r="AU44">
            <v>4</v>
          </cell>
          <cell r="AV44">
            <v>11</v>
          </cell>
          <cell r="AW44">
            <v>16</v>
          </cell>
          <cell r="AX44">
            <v>27</v>
          </cell>
          <cell r="AY44">
            <v>20</v>
          </cell>
          <cell r="AZ44">
            <v>47</v>
          </cell>
          <cell r="BA44">
            <v>0</v>
          </cell>
          <cell r="BB44">
            <v>2</v>
          </cell>
          <cell r="BC44">
            <v>9</v>
          </cell>
          <cell r="BD44">
            <v>16</v>
          </cell>
          <cell r="BE44">
            <v>25</v>
          </cell>
          <cell r="BF44">
            <v>15</v>
          </cell>
          <cell r="BG44">
            <v>40</v>
          </cell>
          <cell r="BH44">
            <v>0</v>
          </cell>
          <cell r="BI44">
            <v>2</v>
          </cell>
          <cell r="BJ44">
            <v>5</v>
          </cell>
          <cell r="BK44">
            <v>24</v>
          </cell>
          <cell r="BL44">
            <v>29</v>
          </cell>
          <cell r="BM44">
            <v>29</v>
          </cell>
          <cell r="BN44">
            <v>0</v>
          </cell>
          <cell r="BO44">
            <v>3</v>
          </cell>
          <cell r="BP44" t="str">
            <v>F</v>
          </cell>
          <cell r="BQ44" t="str">
            <v>F</v>
          </cell>
          <cell r="BR44" t="str">
            <v>F</v>
          </cell>
          <cell r="BS44" t="str">
            <v>NEED TO PROGRESS</v>
          </cell>
          <cell r="BT44">
            <v>260</v>
          </cell>
          <cell r="BU44">
            <v>0</v>
          </cell>
          <cell r="BV44">
            <v>57</v>
          </cell>
        </row>
        <row r="45">
          <cell r="B45">
            <v>96</v>
          </cell>
          <cell r="C45" t="str">
            <v xml:space="preserve">Md. Mahmudul Mursalin Nirjhor </v>
          </cell>
          <cell r="D45" t="str">
            <v xml:space="preserve">Md. Rafiqul Islam </v>
          </cell>
          <cell r="E45" t="str">
            <v xml:space="preserve">Mahmuda Akter </v>
          </cell>
          <cell r="F45" t="str">
            <v>01842-062014</v>
          </cell>
          <cell r="G45">
            <v>17</v>
          </cell>
          <cell r="H45">
            <v>19</v>
          </cell>
          <cell r="I45">
            <v>36</v>
          </cell>
          <cell r="J45">
            <v>23</v>
          </cell>
          <cell r="K45">
            <v>59</v>
          </cell>
          <cell r="L45">
            <v>9</v>
          </cell>
          <cell r="M45">
            <v>29</v>
          </cell>
          <cell r="N45">
            <v>38</v>
          </cell>
          <cell r="O45">
            <v>38</v>
          </cell>
          <cell r="P45">
            <v>97</v>
          </cell>
          <cell r="Q45">
            <v>0</v>
          </cell>
          <cell r="R45">
            <v>3.5</v>
          </cell>
          <cell r="S45">
            <v>7</v>
          </cell>
          <cell r="T45">
            <v>33</v>
          </cell>
          <cell r="U45">
            <v>40</v>
          </cell>
          <cell r="V45">
            <v>5</v>
          </cell>
          <cell r="W45">
            <v>17</v>
          </cell>
          <cell r="X45">
            <v>22</v>
          </cell>
          <cell r="Y45">
            <v>62</v>
          </cell>
          <cell r="Z45">
            <v>62</v>
          </cell>
          <cell r="AA45">
            <v>0</v>
          </cell>
          <cell r="AB45">
            <v>2</v>
          </cell>
          <cell r="AC45">
            <v>12</v>
          </cell>
          <cell r="AD45">
            <v>28</v>
          </cell>
          <cell r="AE45">
            <v>40</v>
          </cell>
          <cell r="AF45">
            <v>12</v>
          </cell>
          <cell r="AG45">
            <v>52</v>
          </cell>
          <cell r="AH45">
            <v>0</v>
          </cell>
          <cell r="AI45">
            <v>3</v>
          </cell>
          <cell r="AJ45">
            <v>14</v>
          </cell>
          <cell r="AK45">
            <v>34</v>
          </cell>
          <cell r="AL45">
            <v>48</v>
          </cell>
          <cell r="AM45">
            <v>16</v>
          </cell>
          <cell r="AN45">
            <v>64</v>
          </cell>
          <cell r="AO45">
            <v>0</v>
          </cell>
          <cell r="AP45">
            <v>3.5</v>
          </cell>
          <cell r="AQ45">
            <v>15</v>
          </cell>
          <cell r="AR45">
            <v>25</v>
          </cell>
          <cell r="AS45">
            <v>40</v>
          </cell>
          <cell r="AT45">
            <v>0</v>
          </cell>
          <cell r="AU45">
            <v>5</v>
          </cell>
          <cell r="AV45">
            <v>16</v>
          </cell>
          <cell r="AW45">
            <v>26</v>
          </cell>
          <cell r="AX45">
            <v>42</v>
          </cell>
          <cell r="AY45">
            <v>22</v>
          </cell>
          <cell r="AZ45">
            <v>64</v>
          </cell>
          <cell r="BA45">
            <v>0</v>
          </cell>
          <cell r="BB45">
            <v>3.5</v>
          </cell>
          <cell r="BC45">
            <v>8</v>
          </cell>
          <cell r="BD45">
            <v>19</v>
          </cell>
          <cell r="BE45">
            <v>27</v>
          </cell>
          <cell r="BF45">
            <v>28</v>
          </cell>
          <cell r="BG45">
            <v>55</v>
          </cell>
          <cell r="BH45">
            <v>0</v>
          </cell>
          <cell r="BI45">
            <v>3</v>
          </cell>
          <cell r="BJ45">
            <v>7</v>
          </cell>
          <cell r="BK45">
            <v>24</v>
          </cell>
          <cell r="BL45">
            <v>31</v>
          </cell>
          <cell r="BM45">
            <v>31</v>
          </cell>
          <cell r="BN45">
            <v>0</v>
          </cell>
          <cell r="BO45">
            <v>3.5</v>
          </cell>
          <cell r="BP45">
            <v>23.5</v>
          </cell>
          <cell r="BQ45">
            <v>3.3571428571428572</v>
          </cell>
          <cell r="BR45" t="str">
            <v>B</v>
          </cell>
          <cell r="BS45" t="str">
            <v>GOOD</v>
          </cell>
          <cell r="BT45">
            <v>434</v>
          </cell>
          <cell r="BU45">
            <v>43</v>
          </cell>
          <cell r="BV45">
            <v>55</v>
          </cell>
        </row>
        <row r="46">
          <cell r="B46">
            <v>97</v>
          </cell>
          <cell r="C46" t="str">
            <v xml:space="preserve">Md. Arif Hossain Ratul </v>
          </cell>
          <cell r="D46" t="str">
            <v xml:space="preserve">Md. Hafijur Rahman </v>
          </cell>
          <cell r="E46" t="str">
            <v xml:space="preserve">Asma Akter </v>
          </cell>
          <cell r="F46" t="str">
            <v>01716-435331</v>
          </cell>
          <cell r="G46">
            <v>9</v>
          </cell>
          <cell r="H46">
            <v>13</v>
          </cell>
          <cell r="I46">
            <v>22</v>
          </cell>
          <cell r="J46">
            <v>18</v>
          </cell>
          <cell r="K46">
            <v>40</v>
          </cell>
          <cell r="L46">
            <v>5</v>
          </cell>
          <cell r="M46">
            <v>15</v>
          </cell>
          <cell r="N46">
            <v>20</v>
          </cell>
          <cell r="O46">
            <v>20</v>
          </cell>
          <cell r="P46">
            <v>60</v>
          </cell>
          <cell r="Q46">
            <v>0</v>
          </cell>
          <cell r="R46">
            <v>2</v>
          </cell>
          <cell r="S46">
            <v>10</v>
          </cell>
          <cell r="T46">
            <v>43</v>
          </cell>
          <cell r="U46">
            <v>53</v>
          </cell>
          <cell r="V46">
            <v>3</v>
          </cell>
          <cell r="W46">
            <v>20</v>
          </cell>
          <cell r="X46">
            <v>23</v>
          </cell>
          <cell r="Y46">
            <v>76</v>
          </cell>
          <cell r="Z46">
            <v>76</v>
          </cell>
          <cell r="AA46">
            <v>0</v>
          </cell>
          <cell r="AB46">
            <v>3</v>
          </cell>
          <cell r="AC46">
            <v>11</v>
          </cell>
          <cell r="AD46">
            <v>33</v>
          </cell>
          <cell r="AE46">
            <v>44</v>
          </cell>
          <cell r="AF46">
            <v>22</v>
          </cell>
          <cell r="AG46">
            <v>66</v>
          </cell>
          <cell r="AH46">
            <v>0</v>
          </cell>
          <cell r="AI46">
            <v>3.5</v>
          </cell>
          <cell r="AJ46">
            <v>15</v>
          </cell>
          <cell r="AK46">
            <v>28</v>
          </cell>
          <cell r="AL46">
            <v>43</v>
          </cell>
          <cell r="AM46">
            <v>18</v>
          </cell>
          <cell r="AN46">
            <v>61</v>
          </cell>
          <cell r="AO46">
            <v>0</v>
          </cell>
          <cell r="AP46">
            <v>3.5</v>
          </cell>
          <cell r="AQ46">
            <v>13</v>
          </cell>
          <cell r="AR46">
            <v>25</v>
          </cell>
          <cell r="AS46">
            <v>38</v>
          </cell>
          <cell r="AT46">
            <v>0</v>
          </cell>
          <cell r="AU46">
            <v>4</v>
          </cell>
          <cell r="AV46">
            <v>15</v>
          </cell>
          <cell r="AW46">
            <v>29</v>
          </cell>
          <cell r="AX46">
            <v>44</v>
          </cell>
          <cell r="AY46">
            <v>24</v>
          </cell>
          <cell r="AZ46">
            <v>68</v>
          </cell>
          <cell r="BA46">
            <v>0</v>
          </cell>
          <cell r="BB46">
            <v>3.5</v>
          </cell>
          <cell r="BC46">
            <v>9</v>
          </cell>
          <cell r="BD46">
            <v>23</v>
          </cell>
          <cell r="BE46">
            <v>32</v>
          </cell>
          <cell r="BF46">
            <v>20</v>
          </cell>
          <cell r="BG46">
            <v>52</v>
          </cell>
          <cell r="BH46">
            <v>0</v>
          </cell>
          <cell r="BI46">
            <v>3</v>
          </cell>
          <cell r="BJ46">
            <v>4</v>
          </cell>
          <cell r="BK46">
            <v>24</v>
          </cell>
          <cell r="BL46">
            <v>28</v>
          </cell>
          <cell r="BM46">
            <v>28</v>
          </cell>
          <cell r="BN46">
            <v>0</v>
          </cell>
          <cell r="BO46">
            <v>3</v>
          </cell>
          <cell r="BP46">
            <v>22.5</v>
          </cell>
          <cell r="BQ46">
            <v>3.2142857142857144</v>
          </cell>
          <cell r="BR46" t="str">
            <v>B</v>
          </cell>
          <cell r="BS46" t="str">
            <v>GOOD</v>
          </cell>
          <cell r="BT46">
            <v>421</v>
          </cell>
          <cell r="BU46">
            <v>44</v>
          </cell>
          <cell r="BV46">
            <v>54</v>
          </cell>
        </row>
        <row r="47">
          <cell r="B47">
            <v>99</v>
          </cell>
          <cell r="C47" t="str">
            <v xml:space="preserve">Md. Alvi Ahammed </v>
          </cell>
          <cell r="D47" t="str">
            <v xml:space="preserve">Md. Shamim Kabir </v>
          </cell>
          <cell r="E47" t="str">
            <v xml:space="preserve">Mst. Salma </v>
          </cell>
          <cell r="F47" t="str">
            <v>01711-346161     01911-699588</v>
          </cell>
          <cell r="G47">
            <v>9</v>
          </cell>
          <cell r="H47">
            <v>13</v>
          </cell>
          <cell r="I47">
            <v>22</v>
          </cell>
          <cell r="J47">
            <v>18</v>
          </cell>
          <cell r="K47">
            <v>40</v>
          </cell>
          <cell r="L47">
            <v>5</v>
          </cell>
          <cell r="M47">
            <v>16</v>
          </cell>
          <cell r="N47">
            <v>21</v>
          </cell>
          <cell r="O47">
            <v>21</v>
          </cell>
          <cell r="P47">
            <v>61</v>
          </cell>
          <cell r="Q47">
            <v>0</v>
          </cell>
          <cell r="R47">
            <v>2</v>
          </cell>
          <cell r="S47">
            <v>5</v>
          </cell>
          <cell r="T47">
            <v>35</v>
          </cell>
          <cell r="U47">
            <v>40</v>
          </cell>
          <cell r="V47">
            <v>3</v>
          </cell>
          <cell r="W47">
            <v>10</v>
          </cell>
          <cell r="X47">
            <v>13</v>
          </cell>
          <cell r="Y47">
            <v>53</v>
          </cell>
          <cell r="Z47">
            <v>53</v>
          </cell>
          <cell r="AA47">
            <v>0</v>
          </cell>
          <cell r="AB47">
            <v>0</v>
          </cell>
          <cell r="AC47">
            <v>11</v>
          </cell>
          <cell r="AD47">
            <v>8</v>
          </cell>
          <cell r="AE47">
            <v>19</v>
          </cell>
          <cell r="AF47">
            <v>13</v>
          </cell>
          <cell r="AG47">
            <v>32</v>
          </cell>
          <cell r="AH47">
            <v>0</v>
          </cell>
          <cell r="AI47" t="str">
            <v>F</v>
          </cell>
          <cell r="AJ47">
            <v>8</v>
          </cell>
          <cell r="AK47">
            <v>22</v>
          </cell>
          <cell r="AL47">
            <v>30</v>
          </cell>
          <cell r="AM47">
            <v>17</v>
          </cell>
          <cell r="AN47">
            <v>47</v>
          </cell>
          <cell r="AO47">
            <v>0</v>
          </cell>
          <cell r="AP47">
            <v>2</v>
          </cell>
          <cell r="AQ47">
            <v>18</v>
          </cell>
          <cell r="AR47">
            <v>25</v>
          </cell>
          <cell r="AS47">
            <v>43</v>
          </cell>
          <cell r="AT47">
            <v>0</v>
          </cell>
          <cell r="AU47">
            <v>5</v>
          </cell>
          <cell r="AV47">
            <v>12</v>
          </cell>
          <cell r="AW47">
            <v>23</v>
          </cell>
          <cell r="AX47">
            <v>35</v>
          </cell>
          <cell r="AY47">
            <v>22</v>
          </cell>
          <cell r="AZ47">
            <v>57</v>
          </cell>
          <cell r="BA47">
            <v>0</v>
          </cell>
          <cell r="BB47">
            <v>3</v>
          </cell>
          <cell r="BC47">
            <v>9</v>
          </cell>
          <cell r="BD47">
            <v>24</v>
          </cell>
          <cell r="BE47">
            <v>33</v>
          </cell>
          <cell r="BF47">
            <v>21</v>
          </cell>
          <cell r="BG47">
            <v>54</v>
          </cell>
          <cell r="BH47">
            <v>0</v>
          </cell>
          <cell r="BI47">
            <v>3</v>
          </cell>
          <cell r="BJ47">
            <v>5</v>
          </cell>
          <cell r="BK47">
            <v>28</v>
          </cell>
          <cell r="BL47">
            <v>33</v>
          </cell>
          <cell r="BM47">
            <v>33</v>
          </cell>
          <cell r="BN47">
            <v>0</v>
          </cell>
          <cell r="BO47">
            <v>3.5</v>
          </cell>
          <cell r="BP47" t="str">
            <v>F</v>
          </cell>
          <cell r="BQ47" t="str">
            <v>F</v>
          </cell>
          <cell r="BR47" t="str">
            <v>F</v>
          </cell>
          <cell r="BS47" t="str">
            <v>NEED TO PROGRESS</v>
          </cell>
          <cell r="BT47">
            <v>347</v>
          </cell>
          <cell r="BU47">
            <v>0</v>
          </cell>
          <cell r="BV47">
            <v>52</v>
          </cell>
        </row>
        <row r="48">
          <cell r="B48">
            <v>27</v>
          </cell>
          <cell r="C48" t="str">
            <v>Sayma Afroj</v>
          </cell>
          <cell r="D48" t="str">
            <v xml:space="preserve">Shohag </v>
          </cell>
          <cell r="E48" t="str">
            <v xml:space="preserve">Asia </v>
          </cell>
          <cell r="F48" t="str">
            <v>01782-738128</v>
          </cell>
          <cell r="G48">
            <v>13</v>
          </cell>
          <cell r="H48">
            <v>24</v>
          </cell>
          <cell r="I48">
            <v>37</v>
          </cell>
          <cell r="J48">
            <v>21</v>
          </cell>
          <cell r="K48">
            <v>58</v>
          </cell>
          <cell r="L48">
            <v>9</v>
          </cell>
          <cell r="M48">
            <v>30</v>
          </cell>
          <cell r="N48">
            <v>39</v>
          </cell>
          <cell r="O48">
            <v>39</v>
          </cell>
          <cell r="P48">
            <v>97</v>
          </cell>
          <cell r="Q48">
            <v>0</v>
          </cell>
          <cell r="R48">
            <v>3.5</v>
          </cell>
          <cell r="S48">
            <v>17</v>
          </cell>
          <cell r="T48">
            <v>57</v>
          </cell>
          <cell r="U48">
            <v>74</v>
          </cell>
          <cell r="V48">
            <v>5</v>
          </cell>
          <cell r="W48">
            <v>26</v>
          </cell>
          <cell r="X48">
            <v>31</v>
          </cell>
          <cell r="Y48">
            <v>105</v>
          </cell>
          <cell r="Z48">
            <v>105</v>
          </cell>
          <cell r="AA48">
            <v>0</v>
          </cell>
          <cell r="AB48">
            <v>4</v>
          </cell>
          <cell r="AC48">
            <v>10</v>
          </cell>
          <cell r="AD48">
            <v>29</v>
          </cell>
          <cell r="AE48">
            <v>39</v>
          </cell>
          <cell r="AF48">
            <v>18</v>
          </cell>
          <cell r="AG48">
            <v>57</v>
          </cell>
          <cell r="AH48">
            <v>0</v>
          </cell>
          <cell r="AI48">
            <v>3</v>
          </cell>
          <cell r="AJ48">
            <v>8</v>
          </cell>
          <cell r="AK48">
            <v>39</v>
          </cell>
          <cell r="AL48">
            <v>47</v>
          </cell>
          <cell r="AM48">
            <v>20</v>
          </cell>
          <cell r="AN48">
            <v>67</v>
          </cell>
          <cell r="AO48">
            <v>0</v>
          </cell>
          <cell r="AP48">
            <v>3.5</v>
          </cell>
          <cell r="AQ48">
            <v>19</v>
          </cell>
          <cell r="AR48">
            <v>25</v>
          </cell>
          <cell r="AS48">
            <v>44</v>
          </cell>
          <cell r="AT48">
            <v>0</v>
          </cell>
          <cell r="AU48">
            <v>5</v>
          </cell>
          <cell r="AV48">
            <v>19</v>
          </cell>
          <cell r="AW48">
            <v>38</v>
          </cell>
          <cell r="AX48">
            <v>57</v>
          </cell>
          <cell r="AY48">
            <v>24</v>
          </cell>
          <cell r="AZ48">
            <v>81</v>
          </cell>
          <cell r="BA48">
            <v>0</v>
          </cell>
          <cell r="BB48">
            <v>5</v>
          </cell>
          <cell r="BC48">
            <v>9</v>
          </cell>
          <cell r="BD48">
            <v>32</v>
          </cell>
          <cell r="BE48">
            <v>41</v>
          </cell>
          <cell r="BF48">
            <v>21</v>
          </cell>
          <cell r="BG48">
            <v>62</v>
          </cell>
          <cell r="BH48">
            <v>0</v>
          </cell>
          <cell r="BI48">
            <v>3.5</v>
          </cell>
          <cell r="BJ48">
            <v>6</v>
          </cell>
          <cell r="BK48">
            <v>24</v>
          </cell>
          <cell r="BL48">
            <v>30</v>
          </cell>
          <cell r="BM48">
            <v>30</v>
          </cell>
          <cell r="BN48">
            <v>0</v>
          </cell>
          <cell r="BO48">
            <v>3.5</v>
          </cell>
          <cell r="BP48">
            <v>27.5</v>
          </cell>
          <cell r="BQ48">
            <v>3.9285714285714284</v>
          </cell>
          <cell r="BR48" t="str">
            <v>A-</v>
          </cell>
          <cell r="BS48" t="str">
            <v>GOOD</v>
          </cell>
          <cell r="BT48">
            <v>513</v>
          </cell>
          <cell r="BU48">
            <v>28</v>
          </cell>
          <cell r="BV48">
            <v>53</v>
          </cell>
        </row>
        <row r="49">
          <cell r="B49">
            <v>30</v>
          </cell>
          <cell r="C49" t="str">
            <v>Md Mahian Rahman Boron</v>
          </cell>
          <cell r="D49" t="str">
            <v>Md Mizanur Rahman</v>
          </cell>
          <cell r="E49" t="str">
            <v>Mst. Bali Akter</v>
          </cell>
          <cell r="F49" t="str">
            <v>01744-454130   01792-229433</v>
          </cell>
          <cell r="G49">
            <v>8</v>
          </cell>
          <cell r="H49">
            <v>6</v>
          </cell>
          <cell r="I49">
            <v>14</v>
          </cell>
          <cell r="J49">
            <v>13</v>
          </cell>
          <cell r="K49">
            <v>27</v>
          </cell>
          <cell r="L49">
            <v>2</v>
          </cell>
          <cell r="M49">
            <v>18</v>
          </cell>
          <cell r="N49">
            <v>20</v>
          </cell>
          <cell r="O49">
            <v>20</v>
          </cell>
          <cell r="P49">
            <v>47</v>
          </cell>
          <cell r="Q49">
            <v>0</v>
          </cell>
          <cell r="R49" t="str">
            <v>F</v>
          </cell>
          <cell r="S49">
            <v>0</v>
          </cell>
          <cell r="T49">
            <v>17</v>
          </cell>
          <cell r="U49">
            <v>17</v>
          </cell>
          <cell r="V49">
            <v>0</v>
          </cell>
          <cell r="W49">
            <v>21</v>
          </cell>
          <cell r="X49">
            <v>21</v>
          </cell>
          <cell r="Y49">
            <v>38</v>
          </cell>
          <cell r="Z49">
            <v>38</v>
          </cell>
          <cell r="AA49">
            <v>0</v>
          </cell>
          <cell r="AB49">
            <v>0</v>
          </cell>
          <cell r="AC49">
            <v>0</v>
          </cell>
          <cell r="AD49">
            <v>4</v>
          </cell>
          <cell r="AE49">
            <v>4</v>
          </cell>
          <cell r="AF49">
            <v>12</v>
          </cell>
          <cell r="AG49">
            <v>16</v>
          </cell>
          <cell r="AH49">
            <v>0</v>
          </cell>
          <cell r="AI49" t="str">
            <v>F</v>
          </cell>
          <cell r="AJ49">
            <v>0</v>
          </cell>
          <cell r="AK49">
            <v>21</v>
          </cell>
          <cell r="AL49">
            <v>21</v>
          </cell>
          <cell r="AM49">
            <v>10</v>
          </cell>
          <cell r="AN49">
            <v>31</v>
          </cell>
          <cell r="AO49">
            <v>0</v>
          </cell>
          <cell r="AP49" t="str">
            <v>F</v>
          </cell>
          <cell r="AQ49">
            <v>18</v>
          </cell>
          <cell r="AR49">
            <v>25</v>
          </cell>
          <cell r="AS49">
            <v>43</v>
          </cell>
          <cell r="AT49">
            <v>0</v>
          </cell>
          <cell r="AU49">
            <v>5</v>
          </cell>
          <cell r="AV49">
            <v>0</v>
          </cell>
          <cell r="AW49">
            <v>28</v>
          </cell>
          <cell r="AX49">
            <v>28</v>
          </cell>
          <cell r="AY49">
            <v>16</v>
          </cell>
          <cell r="AZ49">
            <v>44</v>
          </cell>
          <cell r="BA49">
            <v>0</v>
          </cell>
          <cell r="BB49">
            <v>2</v>
          </cell>
          <cell r="BC49">
            <v>0</v>
          </cell>
          <cell r="BD49">
            <v>28</v>
          </cell>
          <cell r="BE49">
            <v>28</v>
          </cell>
          <cell r="BF49">
            <v>12</v>
          </cell>
          <cell r="BG49">
            <v>40</v>
          </cell>
          <cell r="BH49">
            <v>0</v>
          </cell>
          <cell r="BI49">
            <v>2</v>
          </cell>
          <cell r="BJ49">
            <v>0</v>
          </cell>
          <cell r="BK49">
            <v>28</v>
          </cell>
          <cell r="BL49">
            <v>28</v>
          </cell>
          <cell r="BM49">
            <v>28</v>
          </cell>
          <cell r="BN49">
            <v>0</v>
          </cell>
          <cell r="BO49">
            <v>3</v>
          </cell>
          <cell r="BP49" t="str">
            <v>F</v>
          </cell>
          <cell r="BQ49" t="str">
            <v>F</v>
          </cell>
          <cell r="BR49" t="str">
            <v>F</v>
          </cell>
          <cell r="BS49" t="str">
            <v>NEED TO PROGRESS</v>
          </cell>
          <cell r="BT49">
            <v>259</v>
          </cell>
          <cell r="BU49">
            <v>0</v>
          </cell>
          <cell r="BV49">
            <v>54</v>
          </cell>
        </row>
        <row r="50">
          <cell r="B50">
            <v>32</v>
          </cell>
          <cell r="C50" t="str">
            <v>Abdulla</v>
          </cell>
          <cell r="D50" t="str">
            <v>Abdur Rahim</v>
          </cell>
          <cell r="E50" t="str">
            <v>Ayesha Siddika</v>
          </cell>
          <cell r="F50" t="str">
            <v>01322-690205       01328-062909</v>
          </cell>
          <cell r="G50">
            <v>19</v>
          </cell>
          <cell r="H50">
            <v>47</v>
          </cell>
          <cell r="I50">
            <v>66</v>
          </cell>
          <cell r="J50">
            <v>30</v>
          </cell>
          <cell r="K50">
            <v>96</v>
          </cell>
          <cell r="L50">
            <v>10</v>
          </cell>
          <cell r="M50">
            <v>38</v>
          </cell>
          <cell r="N50">
            <v>48</v>
          </cell>
          <cell r="O50">
            <v>48</v>
          </cell>
          <cell r="P50">
            <v>144</v>
          </cell>
          <cell r="Q50">
            <v>0</v>
          </cell>
          <cell r="R50">
            <v>5</v>
          </cell>
          <cell r="S50">
            <v>20</v>
          </cell>
          <cell r="T50">
            <v>76</v>
          </cell>
          <cell r="U50">
            <v>96</v>
          </cell>
          <cell r="V50">
            <v>10</v>
          </cell>
          <cell r="W50">
            <v>37</v>
          </cell>
          <cell r="X50">
            <v>47</v>
          </cell>
          <cell r="Y50">
            <v>143</v>
          </cell>
          <cell r="Z50">
            <v>143</v>
          </cell>
          <cell r="AA50">
            <v>0</v>
          </cell>
          <cell r="AB50">
            <v>5</v>
          </cell>
          <cell r="AC50">
            <v>20</v>
          </cell>
          <cell r="AD50">
            <v>50</v>
          </cell>
          <cell r="AE50">
            <v>70</v>
          </cell>
          <cell r="AF50">
            <v>28</v>
          </cell>
          <cell r="AG50">
            <v>98</v>
          </cell>
          <cell r="AH50">
            <v>0</v>
          </cell>
          <cell r="AI50">
            <v>5</v>
          </cell>
          <cell r="AJ50">
            <v>20</v>
          </cell>
          <cell r="AK50">
            <v>50</v>
          </cell>
          <cell r="AL50">
            <v>70</v>
          </cell>
          <cell r="AM50">
            <v>27</v>
          </cell>
          <cell r="AN50">
            <v>97</v>
          </cell>
          <cell r="AO50">
            <v>0</v>
          </cell>
          <cell r="AP50">
            <v>5</v>
          </cell>
          <cell r="AQ50">
            <v>20</v>
          </cell>
          <cell r="AR50">
            <v>25</v>
          </cell>
          <cell r="AS50">
            <v>45</v>
          </cell>
          <cell r="AT50">
            <v>0</v>
          </cell>
          <cell r="AU50">
            <v>5</v>
          </cell>
          <cell r="AV50">
            <v>20</v>
          </cell>
          <cell r="AW50">
            <v>50</v>
          </cell>
          <cell r="AX50">
            <v>70</v>
          </cell>
          <cell r="AY50">
            <v>28</v>
          </cell>
          <cell r="AZ50">
            <v>98</v>
          </cell>
          <cell r="BA50">
            <v>0</v>
          </cell>
          <cell r="BB50">
            <v>5</v>
          </cell>
          <cell r="BC50">
            <v>20</v>
          </cell>
          <cell r="BD50">
            <v>48</v>
          </cell>
          <cell r="BE50">
            <v>68</v>
          </cell>
          <cell r="BF50">
            <v>30</v>
          </cell>
          <cell r="BG50">
            <v>98</v>
          </cell>
          <cell r="BH50">
            <v>0</v>
          </cell>
          <cell r="BI50">
            <v>5</v>
          </cell>
          <cell r="BJ50">
            <v>10</v>
          </cell>
          <cell r="BK50">
            <v>32</v>
          </cell>
          <cell r="BL50">
            <v>42</v>
          </cell>
          <cell r="BM50">
            <v>42</v>
          </cell>
          <cell r="BN50">
            <v>0</v>
          </cell>
          <cell r="BO50">
            <v>5</v>
          </cell>
          <cell r="BP50">
            <v>35</v>
          </cell>
          <cell r="BQ50">
            <v>5</v>
          </cell>
          <cell r="BR50" t="str">
            <v>A+</v>
          </cell>
          <cell r="BS50" t="str">
            <v>BEST</v>
          </cell>
          <cell r="BT50">
            <v>723</v>
          </cell>
          <cell r="BU50">
            <v>2</v>
          </cell>
          <cell r="BV50">
            <v>70</v>
          </cell>
        </row>
        <row r="51">
          <cell r="B51">
            <v>34</v>
          </cell>
          <cell r="C51" t="str">
            <v xml:space="preserve">Md. Tahsin Ahmed </v>
          </cell>
          <cell r="D51" t="str">
            <v xml:space="preserve">Md Mostak Ahmed </v>
          </cell>
          <cell r="E51" t="str">
            <v xml:space="preserve">Kakoli Yasmin </v>
          </cell>
          <cell r="F51" t="str">
            <v>01712-615903                   01793-941632</v>
          </cell>
          <cell r="G51">
            <v>17</v>
          </cell>
          <cell r="H51">
            <v>44</v>
          </cell>
          <cell r="I51">
            <v>61</v>
          </cell>
          <cell r="J51">
            <v>24</v>
          </cell>
          <cell r="K51">
            <v>85</v>
          </cell>
          <cell r="L51">
            <v>9</v>
          </cell>
          <cell r="M51">
            <v>36</v>
          </cell>
          <cell r="N51">
            <v>45</v>
          </cell>
          <cell r="O51">
            <v>45</v>
          </cell>
          <cell r="P51">
            <v>130</v>
          </cell>
          <cell r="Q51">
            <v>0</v>
          </cell>
          <cell r="R51">
            <v>5</v>
          </cell>
          <cell r="S51">
            <v>12</v>
          </cell>
          <cell r="T51">
            <v>49</v>
          </cell>
          <cell r="U51">
            <v>61</v>
          </cell>
          <cell r="V51">
            <v>7</v>
          </cell>
          <cell r="W51">
            <v>24</v>
          </cell>
          <cell r="X51">
            <v>31</v>
          </cell>
          <cell r="Y51">
            <v>92</v>
          </cell>
          <cell r="Z51">
            <v>92</v>
          </cell>
          <cell r="AA51">
            <v>0</v>
          </cell>
          <cell r="AB51">
            <v>3.5</v>
          </cell>
          <cell r="AC51">
            <v>17</v>
          </cell>
          <cell r="AD51">
            <v>28</v>
          </cell>
          <cell r="AE51">
            <v>45</v>
          </cell>
          <cell r="AF51">
            <v>19</v>
          </cell>
          <cell r="AG51">
            <v>64</v>
          </cell>
          <cell r="AH51">
            <v>0</v>
          </cell>
          <cell r="AI51">
            <v>3.5</v>
          </cell>
          <cell r="AJ51">
            <v>18</v>
          </cell>
          <cell r="AK51">
            <v>40</v>
          </cell>
          <cell r="AL51">
            <v>58</v>
          </cell>
          <cell r="AM51">
            <v>16</v>
          </cell>
          <cell r="AN51">
            <v>74</v>
          </cell>
          <cell r="AO51">
            <v>0</v>
          </cell>
          <cell r="AP51">
            <v>4</v>
          </cell>
          <cell r="AQ51">
            <v>19</v>
          </cell>
          <cell r="AR51">
            <v>25</v>
          </cell>
          <cell r="AS51">
            <v>44</v>
          </cell>
          <cell r="AT51">
            <v>0</v>
          </cell>
          <cell r="AU51">
            <v>5</v>
          </cell>
          <cell r="AV51">
            <v>17</v>
          </cell>
          <cell r="AW51">
            <v>41</v>
          </cell>
          <cell r="AX51">
            <v>58</v>
          </cell>
          <cell r="AY51">
            <v>21</v>
          </cell>
          <cell r="AZ51">
            <v>79</v>
          </cell>
          <cell r="BA51">
            <v>0</v>
          </cell>
          <cell r="BB51">
            <v>4</v>
          </cell>
          <cell r="BC51">
            <v>17</v>
          </cell>
          <cell r="BD51">
            <v>44</v>
          </cell>
          <cell r="BE51">
            <v>61</v>
          </cell>
          <cell r="BF51">
            <v>21</v>
          </cell>
          <cell r="BG51">
            <v>82</v>
          </cell>
          <cell r="BH51">
            <v>0</v>
          </cell>
          <cell r="BI51">
            <v>5</v>
          </cell>
          <cell r="BJ51">
            <v>9</v>
          </cell>
          <cell r="BK51">
            <v>28</v>
          </cell>
          <cell r="BL51">
            <v>37</v>
          </cell>
          <cell r="BM51">
            <v>37</v>
          </cell>
          <cell r="BN51">
            <v>0</v>
          </cell>
          <cell r="BO51">
            <v>4</v>
          </cell>
          <cell r="BP51">
            <v>30</v>
          </cell>
          <cell r="BQ51">
            <v>4.2857142857142856</v>
          </cell>
          <cell r="BR51" t="str">
            <v>A</v>
          </cell>
          <cell r="BS51" t="str">
            <v>BETTER</v>
          </cell>
          <cell r="BT51">
            <v>565</v>
          </cell>
          <cell r="BU51">
            <v>16</v>
          </cell>
          <cell r="BV51">
            <v>65</v>
          </cell>
        </row>
        <row r="52">
          <cell r="B52">
            <v>35</v>
          </cell>
          <cell r="C52" t="str">
            <v>Syed Tousif Hassan</v>
          </cell>
          <cell r="D52" t="str">
            <v>Syed Zahid Hassan</v>
          </cell>
          <cell r="E52" t="str">
            <v>Nazma Akter</v>
          </cell>
          <cell r="F52" t="str">
            <v>01718-538286
01767-749342</v>
          </cell>
          <cell r="G52">
            <v>14</v>
          </cell>
          <cell r="H52">
            <v>36</v>
          </cell>
          <cell r="I52">
            <v>50</v>
          </cell>
          <cell r="J52">
            <v>19</v>
          </cell>
          <cell r="K52">
            <v>69</v>
          </cell>
          <cell r="L52">
            <v>8</v>
          </cell>
          <cell r="M52">
            <v>24</v>
          </cell>
          <cell r="N52">
            <v>32</v>
          </cell>
          <cell r="O52">
            <v>32</v>
          </cell>
          <cell r="P52">
            <v>101</v>
          </cell>
          <cell r="Q52">
            <v>0</v>
          </cell>
          <cell r="R52">
            <v>3.5</v>
          </cell>
          <cell r="S52">
            <v>14</v>
          </cell>
          <cell r="T52">
            <v>61</v>
          </cell>
          <cell r="U52">
            <v>75</v>
          </cell>
          <cell r="V52">
            <v>7</v>
          </cell>
          <cell r="W52">
            <v>28</v>
          </cell>
          <cell r="X52">
            <v>35</v>
          </cell>
          <cell r="Y52">
            <v>110</v>
          </cell>
          <cell r="Z52">
            <v>110</v>
          </cell>
          <cell r="AA52">
            <v>0</v>
          </cell>
          <cell r="AB52">
            <v>4</v>
          </cell>
          <cell r="AC52">
            <v>10</v>
          </cell>
          <cell r="AD52">
            <v>31</v>
          </cell>
          <cell r="AE52">
            <v>41</v>
          </cell>
          <cell r="AF52">
            <v>28</v>
          </cell>
          <cell r="AG52">
            <v>69</v>
          </cell>
          <cell r="AH52">
            <v>0</v>
          </cell>
          <cell r="AI52">
            <v>3.5</v>
          </cell>
          <cell r="AJ52">
            <v>17</v>
          </cell>
          <cell r="AK52">
            <v>38</v>
          </cell>
          <cell r="AL52">
            <v>55</v>
          </cell>
          <cell r="AM52">
            <v>16</v>
          </cell>
          <cell r="AN52">
            <v>71</v>
          </cell>
          <cell r="AO52">
            <v>0</v>
          </cell>
          <cell r="AP52">
            <v>4</v>
          </cell>
          <cell r="AQ52">
            <v>20</v>
          </cell>
          <cell r="AR52">
            <v>25</v>
          </cell>
          <cell r="AS52">
            <v>45</v>
          </cell>
          <cell r="AT52">
            <v>0</v>
          </cell>
          <cell r="AU52">
            <v>5</v>
          </cell>
          <cell r="AV52">
            <v>16</v>
          </cell>
          <cell r="AW52">
            <v>39</v>
          </cell>
          <cell r="AX52">
            <v>55</v>
          </cell>
          <cell r="AY52">
            <v>22</v>
          </cell>
          <cell r="AZ52">
            <v>77</v>
          </cell>
          <cell r="BA52">
            <v>0</v>
          </cell>
          <cell r="BB52">
            <v>4</v>
          </cell>
          <cell r="BC52">
            <v>12</v>
          </cell>
          <cell r="BD52">
            <v>42</v>
          </cell>
          <cell r="BE52">
            <v>54</v>
          </cell>
          <cell r="BF52">
            <v>22</v>
          </cell>
          <cell r="BG52">
            <v>76</v>
          </cell>
          <cell r="BH52">
            <v>0</v>
          </cell>
          <cell r="BI52">
            <v>4</v>
          </cell>
          <cell r="BJ52">
            <v>8</v>
          </cell>
          <cell r="BK52">
            <v>24</v>
          </cell>
          <cell r="BL52">
            <v>32</v>
          </cell>
          <cell r="BM52">
            <v>32</v>
          </cell>
          <cell r="BN52">
            <v>0</v>
          </cell>
          <cell r="BO52">
            <v>3.5</v>
          </cell>
          <cell r="BP52">
            <v>28</v>
          </cell>
          <cell r="BQ52">
            <v>4</v>
          </cell>
          <cell r="BR52" t="str">
            <v>A</v>
          </cell>
          <cell r="BS52" t="str">
            <v>BETTER</v>
          </cell>
          <cell r="BT52">
            <v>549</v>
          </cell>
          <cell r="BU52">
            <v>24</v>
          </cell>
          <cell r="BV52">
            <v>68</v>
          </cell>
        </row>
        <row r="53">
          <cell r="B53">
            <v>36</v>
          </cell>
          <cell r="C53" t="str">
            <v>Md. Younus</v>
          </cell>
          <cell r="D53" t="str">
            <v>Md. Bablu</v>
          </cell>
          <cell r="E53" t="str">
            <v>Taslima Begum</v>
          </cell>
          <cell r="F53" t="str">
            <v>01831-255434 01406-295807</v>
          </cell>
          <cell r="G53">
            <v>17</v>
          </cell>
          <cell r="H53">
            <v>45</v>
          </cell>
          <cell r="I53">
            <v>62</v>
          </cell>
          <cell r="J53">
            <v>30</v>
          </cell>
          <cell r="K53">
            <v>92</v>
          </cell>
          <cell r="L53">
            <v>9</v>
          </cell>
          <cell r="M53">
            <v>33</v>
          </cell>
          <cell r="N53">
            <v>42</v>
          </cell>
          <cell r="O53">
            <v>42</v>
          </cell>
          <cell r="P53">
            <v>134</v>
          </cell>
          <cell r="Q53">
            <v>0</v>
          </cell>
          <cell r="R53">
            <v>5</v>
          </cell>
          <cell r="S53">
            <v>15</v>
          </cell>
          <cell r="T53">
            <v>57</v>
          </cell>
          <cell r="U53">
            <v>72</v>
          </cell>
          <cell r="V53">
            <v>4</v>
          </cell>
          <cell r="W53">
            <v>29</v>
          </cell>
          <cell r="X53">
            <v>33</v>
          </cell>
          <cell r="Y53">
            <v>105</v>
          </cell>
          <cell r="Z53">
            <v>105</v>
          </cell>
          <cell r="AA53">
            <v>0</v>
          </cell>
          <cell r="AB53">
            <v>4</v>
          </cell>
          <cell r="AC53">
            <v>17</v>
          </cell>
          <cell r="AD53">
            <v>32</v>
          </cell>
          <cell r="AE53">
            <v>49</v>
          </cell>
          <cell r="AF53">
            <v>29</v>
          </cell>
          <cell r="AG53">
            <v>78</v>
          </cell>
          <cell r="AH53">
            <v>0</v>
          </cell>
          <cell r="AI53">
            <v>4</v>
          </cell>
          <cell r="AJ53">
            <v>18</v>
          </cell>
          <cell r="AK53">
            <v>6</v>
          </cell>
          <cell r="AL53">
            <v>24</v>
          </cell>
          <cell r="AM53">
            <v>22</v>
          </cell>
          <cell r="AN53">
            <v>46</v>
          </cell>
          <cell r="AO53">
            <v>0</v>
          </cell>
          <cell r="AP53">
            <v>2</v>
          </cell>
          <cell r="AQ53">
            <v>16</v>
          </cell>
          <cell r="AR53">
            <v>25</v>
          </cell>
          <cell r="AS53">
            <v>41</v>
          </cell>
          <cell r="AT53">
            <v>0</v>
          </cell>
          <cell r="AU53">
            <v>5</v>
          </cell>
          <cell r="AV53">
            <v>19</v>
          </cell>
          <cell r="AW53">
            <v>35</v>
          </cell>
          <cell r="AX53">
            <v>54</v>
          </cell>
          <cell r="AY53">
            <v>27</v>
          </cell>
          <cell r="AZ53">
            <v>81</v>
          </cell>
          <cell r="BA53">
            <v>0</v>
          </cell>
          <cell r="BB53">
            <v>5</v>
          </cell>
          <cell r="BC53">
            <v>19</v>
          </cell>
          <cell r="BD53">
            <v>44</v>
          </cell>
          <cell r="BE53">
            <v>63</v>
          </cell>
          <cell r="BF53">
            <v>30</v>
          </cell>
          <cell r="BG53">
            <v>93</v>
          </cell>
          <cell r="BH53">
            <v>0</v>
          </cell>
          <cell r="BI53">
            <v>5</v>
          </cell>
          <cell r="BJ53">
            <v>8</v>
          </cell>
          <cell r="BK53">
            <v>24</v>
          </cell>
          <cell r="BL53">
            <v>32</v>
          </cell>
          <cell r="BM53">
            <v>32</v>
          </cell>
          <cell r="BN53">
            <v>0</v>
          </cell>
          <cell r="BO53">
            <v>3.5</v>
          </cell>
          <cell r="BP53">
            <v>30</v>
          </cell>
          <cell r="BQ53">
            <v>4.2857142857142856</v>
          </cell>
          <cell r="BR53" t="str">
            <v>A</v>
          </cell>
          <cell r="BS53" t="str">
            <v>BETTER</v>
          </cell>
          <cell r="BT53">
            <v>578</v>
          </cell>
          <cell r="BU53">
            <v>14</v>
          </cell>
          <cell r="BV53">
            <v>69</v>
          </cell>
        </row>
        <row r="54">
          <cell r="B54">
            <v>37</v>
          </cell>
          <cell r="C54" t="str">
            <v>Sinthiya Hasan Simmi</v>
          </cell>
          <cell r="D54" t="str">
            <v>Hasan Mamun</v>
          </cell>
          <cell r="E54" t="str">
            <v>Suborna Akther</v>
          </cell>
          <cell r="F54" t="str">
            <v>01979-621626</v>
          </cell>
          <cell r="G54">
            <v>16</v>
          </cell>
          <cell r="H54">
            <v>19</v>
          </cell>
          <cell r="I54">
            <v>35</v>
          </cell>
          <cell r="J54">
            <v>21</v>
          </cell>
          <cell r="K54">
            <v>56</v>
          </cell>
          <cell r="L54">
            <v>9</v>
          </cell>
          <cell r="M54">
            <v>30</v>
          </cell>
          <cell r="N54">
            <v>39</v>
          </cell>
          <cell r="O54">
            <v>39</v>
          </cell>
          <cell r="P54">
            <v>95</v>
          </cell>
          <cell r="Q54">
            <v>0</v>
          </cell>
          <cell r="R54">
            <v>3.5</v>
          </cell>
          <cell r="S54">
            <v>15</v>
          </cell>
          <cell r="T54">
            <v>33</v>
          </cell>
          <cell r="U54">
            <v>48</v>
          </cell>
          <cell r="V54">
            <v>7</v>
          </cell>
          <cell r="W54">
            <v>21</v>
          </cell>
          <cell r="X54">
            <v>28</v>
          </cell>
          <cell r="Y54">
            <v>76</v>
          </cell>
          <cell r="Z54">
            <v>76</v>
          </cell>
          <cell r="AA54">
            <v>0</v>
          </cell>
          <cell r="AB54">
            <v>3</v>
          </cell>
          <cell r="AC54">
            <v>17</v>
          </cell>
          <cell r="AD54">
            <v>3</v>
          </cell>
          <cell r="AE54">
            <v>20</v>
          </cell>
          <cell r="AF54">
            <v>17</v>
          </cell>
          <cell r="AG54">
            <v>37</v>
          </cell>
          <cell r="AH54">
            <v>0</v>
          </cell>
          <cell r="AI54" t="str">
            <v>F</v>
          </cell>
          <cell r="AJ54">
            <v>18</v>
          </cell>
          <cell r="AK54">
            <v>46</v>
          </cell>
          <cell r="AL54">
            <v>64</v>
          </cell>
          <cell r="AM54">
            <v>12</v>
          </cell>
          <cell r="AN54">
            <v>76</v>
          </cell>
          <cell r="AO54">
            <v>0</v>
          </cell>
          <cell r="AP54">
            <v>4</v>
          </cell>
          <cell r="AQ54">
            <v>14</v>
          </cell>
          <cell r="AR54">
            <v>25</v>
          </cell>
          <cell r="AS54">
            <v>39</v>
          </cell>
          <cell r="AT54">
            <v>0</v>
          </cell>
          <cell r="AU54">
            <v>4</v>
          </cell>
          <cell r="AV54">
            <v>15</v>
          </cell>
          <cell r="AW54">
            <v>34</v>
          </cell>
          <cell r="AX54">
            <v>49</v>
          </cell>
          <cell r="AY54">
            <v>23</v>
          </cell>
          <cell r="AZ54">
            <v>72</v>
          </cell>
          <cell r="BA54">
            <v>0</v>
          </cell>
          <cell r="BB54">
            <v>4</v>
          </cell>
          <cell r="BC54">
            <v>17</v>
          </cell>
          <cell r="BD54">
            <v>22</v>
          </cell>
          <cell r="BE54">
            <v>39</v>
          </cell>
          <cell r="BF54">
            <v>25</v>
          </cell>
          <cell r="BG54">
            <v>64</v>
          </cell>
          <cell r="BH54">
            <v>0</v>
          </cell>
          <cell r="BI54">
            <v>3.5</v>
          </cell>
          <cell r="BJ54">
            <v>8</v>
          </cell>
          <cell r="BK54">
            <v>24</v>
          </cell>
          <cell r="BL54">
            <v>32</v>
          </cell>
          <cell r="BM54">
            <v>32</v>
          </cell>
          <cell r="BN54">
            <v>0</v>
          </cell>
          <cell r="BO54">
            <v>3.5</v>
          </cell>
          <cell r="BP54" t="str">
            <v>F</v>
          </cell>
          <cell r="BQ54" t="str">
            <v>F</v>
          </cell>
          <cell r="BR54" t="str">
            <v>F</v>
          </cell>
          <cell r="BS54" t="str">
            <v>NEED TO PROGRESS</v>
          </cell>
          <cell r="BT54">
            <v>459</v>
          </cell>
          <cell r="BU54">
            <v>0</v>
          </cell>
          <cell r="BV54">
            <v>64</v>
          </cell>
        </row>
        <row r="55">
          <cell r="B55">
            <v>39</v>
          </cell>
          <cell r="C55" t="str">
            <v>Rifat Miah</v>
          </cell>
          <cell r="D55" t="str">
            <v>Md. Shahinur Islam</v>
          </cell>
          <cell r="E55" t="str">
            <v>Lipi Akter</v>
          </cell>
          <cell r="F55" t="str">
            <v>01777-644298</v>
          </cell>
          <cell r="G55">
            <v>17</v>
          </cell>
          <cell r="H55">
            <v>36</v>
          </cell>
          <cell r="I55">
            <v>53</v>
          </cell>
          <cell r="J55">
            <v>26</v>
          </cell>
          <cell r="K55">
            <v>79</v>
          </cell>
          <cell r="L55">
            <v>9</v>
          </cell>
          <cell r="M55">
            <v>35</v>
          </cell>
          <cell r="N55">
            <v>44</v>
          </cell>
          <cell r="O55">
            <v>44</v>
          </cell>
          <cell r="P55">
            <v>123</v>
          </cell>
          <cell r="Q55">
            <v>0</v>
          </cell>
          <cell r="R55">
            <v>5</v>
          </cell>
          <cell r="S55">
            <v>17</v>
          </cell>
          <cell r="T55">
            <v>72</v>
          </cell>
          <cell r="U55">
            <v>89</v>
          </cell>
          <cell r="V55">
            <v>8</v>
          </cell>
          <cell r="W55">
            <v>28</v>
          </cell>
          <cell r="X55">
            <v>36</v>
          </cell>
          <cell r="Y55">
            <v>125</v>
          </cell>
          <cell r="Z55">
            <v>125</v>
          </cell>
          <cell r="AA55">
            <v>0</v>
          </cell>
          <cell r="AB55">
            <v>5</v>
          </cell>
          <cell r="AC55">
            <v>20</v>
          </cell>
          <cell r="AD55">
            <v>46</v>
          </cell>
          <cell r="AE55">
            <v>66</v>
          </cell>
          <cell r="AF55">
            <v>28</v>
          </cell>
          <cell r="AG55">
            <v>94</v>
          </cell>
          <cell r="AH55">
            <v>0</v>
          </cell>
          <cell r="AI55">
            <v>5</v>
          </cell>
          <cell r="AJ55">
            <v>17</v>
          </cell>
          <cell r="AK55">
            <v>40</v>
          </cell>
          <cell r="AL55">
            <v>57</v>
          </cell>
          <cell r="AM55">
            <v>22</v>
          </cell>
          <cell r="AN55">
            <v>79</v>
          </cell>
          <cell r="AO55">
            <v>0</v>
          </cell>
          <cell r="AP55">
            <v>4</v>
          </cell>
          <cell r="AQ55">
            <v>19</v>
          </cell>
          <cell r="AR55">
            <v>25</v>
          </cell>
          <cell r="AS55">
            <v>44</v>
          </cell>
          <cell r="AT55">
            <v>0</v>
          </cell>
          <cell r="AU55">
            <v>5</v>
          </cell>
          <cell r="AV55">
            <v>19</v>
          </cell>
          <cell r="AW55">
            <v>44</v>
          </cell>
          <cell r="AX55">
            <v>63</v>
          </cell>
          <cell r="AY55">
            <v>26</v>
          </cell>
          <cell r="AZ55">
            <v>89</v>
          </cell>
          <cell r="BA55">
            <v>0</v>
          </cell>
          <cell r="BB55">
            <v>5</v>
          </cell>
          <cell r="BC55">
            <v>15</v>
          </cell>
          <cell r="BD55">
            <v>39</v>
          </cell>
          <cell r="BE55">
            <v>54</v>
          </cell>
          <cell r="BF55">
            <v>25</v>
          </cell>
          <cell r="BG55">
            <v>79</v>
          </cell>
          <cell r="BH55">
            <v>0</v>
          </cell>
          <cell r="BI55">
            <v>4</v>
          </cell>
          <cell r="BJ55">
            <v>10</v>
          </cell>
          <cell r="BK55">
            <v>28</v>
          </cell>
          <cell r="BL55">
            <v>38</v>
          </cell>
          <cell r="BM55">
            <v>38</v>
          </cell>
          <cell r="BN55">
            <v>0</v>
          </cell>
          <cell r="BO55">
            <v>4</v>
          </cell>
          <cell r="BP55">
            <v>33</v>
          </cell>
          <cell r="BQ55">
            <v>4.7142857142857144</v>
          </cell>
          <cell r="BR55" t="str">
            <v>A</v>
          </cell>
          <cell r="BS55" t="str">
            <v>BETTER</v>
          </cell>
          <cell r="BT55">
            <v>633</v>
          </cell>
          <cell r="BU55">
            <v>9</v>
          </cell>
          <cell r="BV55">
            <v>64</v>
          </cell>
        </row>
        <row r="56">
          <cell r="B56">
            <v>41</v>
          </cell>
          <cell r="C56" t="str">
            <v xml:space="preserve">Omar Abdullah </v>
          </cell>
          <cell r="D56" t="str">
            <v>Jahangir Alam Sumon</v>
          </cell>
          <cell r="E56" t="str">
            <v xml:space="preserve">Shahanaz Alom </v>
          </cell>
          <cell r="F56" t="str">
            <v>01712-541996     01715-432674</v>
          </cell>
          <cell r="G56">
            <v>16</v>
          </cell>
          <cell r="H56">
            <v>33</v>
          </cell>
          <cell r="I56">
            <v>49</v>
          </cell>
          <cell r="J56">
            <v>26</v>
          </cell>
          <cell r="K56">
            <v>75</v>
          </cell>
          <cell r="L56">
            <v>9</v>
          </cell>
          <cell r="M56">
            <v>35</v>
          </cell>
          <cell r="N56">
            <v>44</v>
          </cell>
          <cell r="O56">
            <v>44</v>
          </cell>
          <cell r="P56">
            <v>119</v>
          </cell>
          <cell r="Q56">
            <v>0</v>
          </cell>
          <cell r="R56">
            <v>4</v>
          </cell>
          <cell r="S56">
            <v>15</v>
          </cell>
          <cell r="T56">
            <v>55</v>
          </cell>
          <cell r="U56">
            <v>70</v>
          </cell>
          <cell r="V56">
            <v>6</v>
          </cell>
          <cell r="W56">
            <v>22</v>
          </cell>
          <cell r="X56">
            <v>28</v>
          </cell>
          <cell r="Y56">
            <v>98</v>
          </cell>
          <cell r="Z56">
            <v>98</v>
          </cell>
          <cell r="AA56">
            <v>0</v>
          </cell>
          <cell r="AB56">
            <v>3.5</v>
          </cell>
          <cell r="AC56">
            <v>14</v>
          </cell>
          <cell r="AD56">
            <v>31</v>
          </cell>
          <cell r="AE56">
            <v>45</v>
          </cell>
          <cell r="AF56">
            <v>24</v>
          </cell>
          <cell r="AG56">
            <v>69</v>
          </cell>
          <cell r="AH56">
            <v>0</v>
          </cell>
          <cell r="AI56">
            <v>3.5</v>
          </cell>
          <cell r="AJ56">
            <v>18</v>
          </cell>
          <cell r="AK56">
            <v>32</v>
          </cell>
          <cell r="AL56">
            <v>50</v>
          </cell>
          <cell r="AM56">
            <v>18</v>
          </cell>
          <cell r="AN56">
            <v>68</v>
          </cell>
          <cell r="AO56">
            <v>0</v>
          </cell>
          <cell r="AP56">
            <v>3.5</v>
          </cell>
          <cell r="AQ56">
            <v>20</v>
          </cell>
          <cell r="AR56">
            <v>25</v>
          </cell>
          <cell r="AS56">
            <v>45</v>
          </cell>
          <cell r="AT56">
            <v>0</v>
          </cell>
          <cell r="AU56">
            <v>5</v>
          </cell>
          <cell r="AV56">
            <v>18</v>
          </cell>
          <cell r="AW56">
            <v>31</v>
          </cell>
          <cell r="AX56">
            <v>49</v>
          </cell>
          <cell r="AY56">
            <v>24</v>
          </cell>
          <cell r="AZ56">
            <v>73</v>
          </cell>
          <cell r="BA56">
            <v>0</v>
          </cell>
          <cell r="BB56">
            <v>4</v>
          </cell>
          <cell r="BC56">
            <v>13</v>
          </cell>
          <cell r="BD56">
            <v>34</v>
          </cell>
          <cell r="BE56">
            <v>47</v>
          </cell>
          <cell r="BF56">
            <v>27</v>
          </cell>
          <cell r="BG56">
            <v>74</v>
          </cell>
          <cell r="BH56">
            <v>0</v>
          </cell>
          <cell r="BI56">
            <v>4</v>
          </cell>
          <cell r="BJ56">
            <v>9</v>
          </cell>
          <cell r="BK56">
            <v>28</v>
          </cell>
          <cell r="BL56">
            <v>37</v>
          </cell>
          <cell r="BM56">
            <v>37</v>
          </cell>
          <cell r="BN56">
            <v>0</v>
          </cell>
          <cell r="BO56">
            <v>4</v>
          </cell>
          <cell r="BP56">
            <v>27.5</v>
          </cell>
          <cell r="BQ56">
            <v>3.9285714285714284</v>
          </cell>
          <cell r="BR56" t="str">
            <v>A-</v>
          </cell>
          <cell r="BS56" t="str">
            <v>GOOD</v>
          </cell>
          <cell r="BT56">
            <v>546</v>
          </cell>
          <cell r="BU56">
            <v>25</v>
          </cell>
          <cell r="BV56">
            <v>68</v>
          </cell>
        </row>
        <row r="57">
          <cell r="B57">
            <v>43</v>
          </cell>
          <cell r="C57" t="str">
            <v xml:space="preserve">Jidan </v>
          </cell>
          <cell r="D57" t="str">
            <v xml:space="preserve">Shahjahan </v>
          </cell>
          <cell r="E57" t="str">
            <v xml:space="preserve">Mst. Hosne Ara Akter Maya </v>
          </cell>
          <cell r="F57" t="str">
            <v>01765-554331       01775-565557</v>
          </cell>
          <cell r="G57">
            <v>17</v>
          </cell>
          <cell r="H57">
            <v>41</v>
          </cell>
          <cell r="I57">
            <v>58</v>
          </cell>
          <cell r="J57">
            <v>26</v>
          </cell>
          <cell r="K57">
            <v>84</v>
          </cell>
          <cell r="L57">
            <v>9</v>
          </cell>
          <cell r="M57">
            <v>34</v>
          </cell>
          <cell r="N57">
            <v>43</v>
          </cell>
          <cell r="O57">
            <v>43</v>
          </cell>
          <cell r="P57">
            <v>127</v>
          </cell>
          <cell r="Q57">
            <v>0</v>
          </cell>
          <cell r="R57">
            <v>5</v>
          </cell>
          <cell r="S57">
            <v>15</v>
          </cell>
          <cell r="T57">
            <v>70</v>
          </cell>
          <cell r="U57">
            <v>85</v>
          </cell>
          <cell r="V57">
            <v>8</v>
          </cell>
          <cell r="W57">
            <v>29</v>
          </cell>
          <cell r="X57">
            <v>37</v>
          </cell>
          <cell r="Y57">
            <v>122</v>
          </cell>
          <cell r="Z57">
            <v>122</v>
          </cell>
          <cell r="AA57">
            <v>0</v>
          </cell>
          <cell r="AB57">
            <v>5</v>
          </cell>
          <cell r="AC57">
            <v>20</v>
          </cell>
          <cell r="AD57">
            <v>47</v>
          </cell>
          <cell r="AE57">
            <v>67</v>
          </cell>
          <cell r="AF57">
            <v>27</v>
          </cell>
          <cell r="AG57">
            <v>94</v>
          </cell>
          <cell r="AH57">
            <v>0</v>
          </cell>
          <cell r="AI57">
            <v>5</v>
          </cell>
          <cell r="AJ57">
            <v>18</v>
          </cell>
          <cell r="AK57">
            <v>45</v>
          </cell>
          <cell r="AL57">
            <v>63</v>
          </cell>
          <cell r="AM57">
            <v>21</v>
          </cell>
          <cell r="AN57">
            <v>84</v>
          </cell>
          <cell r="AO57">
            <v>0</v>
          </cell>
          <cell r="AP57">
            <v>5</v>
          </cell>
          <cell r="AQ57">
            <v>16</v>
          </cell>
          <cell r="AR57">
            <v>25</v>
          </cell>
          <cell r="AS57">
            <v>41</v>
          </cell>
          <cell r="AT57">
            <v>0</v>
          </cell>
          <cell r="AU57">
            <v>5</v>
          </cell>
          <cell r="AV57">
            <v>15</v>
          </cell>
          <cell r="AW57">
            <v>40</v>
          </cell>
          <cell r="AX57">
            <v>55</v>
          </cell>
          <cell r="AY57">
            <v>28</v>
          </cell>
          <cell r="AZ57">
            <v>83</v>
          </cell>
          <cell r="BA57">
            <v>0</v>
          </cell>
          <cell r="BB57">
            <v>5</v>
          </cell>
          <cell r="BC57">
            <v>14</v>
          </cell>
          <cell r="BD57">
            <v>41</v>
          </cell>
          <cell r="BE57">
            <v>55</v>
          </cell>
          <cell r="BF57">
            <v>23</v>
          </cell>
          <cell r="BG57">
            <v>78</v>
          </cell>
          <cell r="BH57">
            <v>0</v>
          </cell>
          <cell r="BI57">
            <v>4</v>
          </cell>
          <cell r="BJ57">
            <v>9</v>
          </cell>
          <cell r="BK57">
            <v>28</v>
          </cell>
          <cell r="BL57">
            <v>37</v>
          </cell>
          <cell r="BM57">
            <v>37</v>
          </cell>
          <cell r="BN57">
            <v>0</v>
          </cell>
          <cell r="BO57">
            <v>4</v>
          </cell>
          <cell r="BP57">
            <v>34</v>
          </cell>
          <cell r="BQ57">
            <v>4.8571428571428568</v>
          </cell>
          <cell r="BR57" t="str">
            <v>A</v>
          </cell>
          <cell r="BS57" t="str">
            <v>BETTER</v>
          </cell>
          <cell r="BT57">
            <v>629</v>
          </cell>
          <cell r="BU57">
            <v>7</v>
          </cell>
          <cell r="BV57">
            <v>68</v>
          </cell>
        </row>
        <row r="58">
          <cell r="B58">
            <v>48</v>
          </cell>
          <cell r="C58" t="str">
            <v xml:space="preserve">Md. Arafat Hossain </v>
          </cell>
          <cell r="D58" t="str">
            <v xml:space="preserve">Md. Sha Alam Molla </v>
          </cell>
          <cell r="E58" t="str">
            <v xml:space="preserve">Mst. Argina Akter </v>
          </cell>
          <cell r="F58" t="str">
            <v>01316-132517                   01620-818123</v>
          </cell>
          <cell r="G58">
            <v>17</v>
          </cell>
          <cell r="H58">
            <v>45</v>
          </cell>
          <cell r="I58">
            <v>62</v>
          </cell>
          <cell r="J58">
            <v>27</v>
          </cell>
          <cell r="K58">
            <v>89</v>
          </cell>
          <cell r="L58">
            <v>9</v>
          </cell>
          <cell r="M58">
            <v>35</v>
          </cell>
          <cell r="N58">
            <v>44</v>
          </cell>
          <cell r="O58">
            <v>44</v>
          </cell>
          <cell r="P58">
            <v>133</v>
          </cell>
          <cell r="Q58">
            <v>0</v>
          </cell>
          <cell r="R58">
            <v>5</v>
          </cell>
          <cell r="S58">
            <v>16</v>
          </cell>
          <cell r="T58">
            <v>70</v>
          </cell>
          <cell r="U58">
            <v>86</v>
          </cell>
          <cell r="V58">
            <v>8</v>
          </cell>
          <cell r="W58">
            <v>34</v>
          </cell>
          <cell r="X58">
            <v>42</v>
          </cell>
          <cell r="Y58">
            <v>128</v>
          </cell>
          <cell r="Z58">
            <v>128</v>
          </cell>
          <cell r="AA58">
            <v>0</v>
          </cell>
          <cell r="AB58">
            <v>5</v>
          </cell>
          <cell r="AC58">
            <v>19</v>
          </cell>
          <cell r="AD58">
            <v>40</v>
          </cell>
          <cell r="AE58">
            <v>59</v>
          </cell>
          <cell r="AF58">
            <v>26</v>
          </cell>
          <cell r="AG58">
            <v>85</v>
          </cell>
          <cell r="AH58">
            <v>0</v>
          </cell>
          <cell r="AI58">
            <v>5</v>
          </cell>
          <cell r="AJ58">
            <v>18</v>
          </cell>
          <cell r="AK58">
            <v>42</v>
          </cell>
          <cell r="AL58">
            <v>60</v>
          </cell>
          <cell r="AM58">
            <v>25</v>
          </cell>
          <cell r="AN58">
            <v>85</v>
          </cell>
          <cell r="AO58">
            <v>0</v>
          </cell>
          <cell r="AP58">
            <v>5</v>
          </cell>
          <cell r="AQ58">
            <v>16</v>
          </cell>
          <cell r="AR58">
            <v>25</v>
          </cell>
          <cell r="AS58">
            <v>41</v>
          </cell>
          <cell r="AT58">
            <v>0</v>
          </cell>
          <cell r="AU58">
            <v>5</v>
          </cell>
          <cell r="AV58">
            <v>17</v>
          </cell>
          <cell r="AW58">
            <v>40</v>
          </cell>
          <cell r="AX58">
            <v>57</v>
          </cell>
          <cell r="AY58">
            <v>27</v>
          </cell>
          <cell r="AZ58">
            <v>84</v>
          </cell>
          <cell r="BA58">
            <v>0</v>
          </cell>
          <cell r="BB58">
            <v>5</v>
          </cell>
          <cell r="BC58">
            <v>16</v>
          </cell>
          <cell r="BD58">
            <v>39</v>
          </cell>
          <cell r="BE58">
            <v>55</v>
          </cell>
          <cell r="BF58">
            <v>25</v>
          </cell>
          <cell r="BG58">
            <v>80</v>
          </cell>
          <cell r="BH58">
            <v>0</v>
          </cell>
          <cell r="BI58">
            <v>5</v>
          </cell>
          <cell r="BJ58">
            <v>10</v>
          </cell>
          <cell r="BK58">
            <v>24</v>
          </cell>
          <cell r="BL58">
            <v>34</v>
          </cell>
          <cell r="BM58">
            <v>34</v>
          </cell>
          <cell r="BN58">
            <v>0</v>
          </cell>
          <cell r="BO58">
            <v>3.5</v>
          </cell>
          <cell r="BP58">
            <v>35</v>
          </cell>
          <cell r="BQ58">
            <v>5</v>
          </cell>
          <cell r="BR58" t="str">
            <v>A+</v>
          </cell>
          <cell r="BS58" t="str">
            <v>BEST</v>
          </cell>
          <cell r="BT58">
            <v>636</v>
          </cell>
          <cell r="BU58">
            <v>5</v>
          </cell>
          <cell r="BV58">
            <v>67</v>
          </cell>
        </row>
        <row r="59">
          <cell r="B59">
            <v>49</v>
          </cell>
          <cell r="C59" t="str">
            <v xml:space="preserve">Riadul Islam Fahad </v>
          </cell>
          <cell r="D59" t="str">
            <v>Abdur Rahim</v>
          </cell>
          <cell r="E59" t="str">
            <v>Seuli Begum</v>
          </cell>
          <cell r="F59" t="str">
            <v>01978-882361</v>
          </cell>
          <cell r="G59">
            <v>15</v>
          </cell>
          <cell r="H59">
            <v>32</v>
          </cell>
          <cell r="I59">
            <v>47</v>
          </cell>
          <cell r="J59">
            <v>22</v>
          </cell>
          <cell r="K59">
            <v>69</v>
          </cell>
          <cell r="L59">
            <v>9</v>
          </cell>
          <cell r="M59">
            <v>30</v>
          </cell>
          <cell r="N59">
            <v>39</v>
          </cell>
          <cell r="O59">
            <v>39</v>
          </cell>
          <cell r="P59">
            <v>108</v>
          </cell>
          <cell r="Q59">
            <v>0</v>
          </cell>
          <cell r="R59">
            <v>4</v>
          </cell>
          <cell r="S59">
            <v>15</v>
          </cell>
          <cell r="T59">
            <v>54</v>
          </cell>
          <cell r="U59">
            <v>69</v>
          </cell>
          <cell r="V59">
            <v>5</v>
          </cell>
          <cell r="W59">
            <v>15</v>
          </cell>
          <cell r="X59">
            <v>20</v>
          </cell>
          <cell r="Y59">
            <v>89</v>
          </cell>
          <cell r="Z59">
            <v>89</v>
          </cell>
          <cell r="AA59">
            <v>0</v>
          </cell>
          <cell r="AB59">
            <v>3</v>
          </cell>
          <cell r="AC59">
            <v>3</v>
          </cell>
          <cell r="AD59">
            <v>26</v>
          </cell>
          <cell r="AE59">
            <v>29</v>
          </cell>
          <cell r="AF59">
            <v>18</v>
          </cell>
          <cell r="AG59">
            <v>47</v>
          </cell>
          <cell r="AH59">
            <v>0</v>
          </cell>
          <cell r="AI59">
            <v>2</v>
          </cell>
          <cell r="AJ59">
            <v>16</v>
          </cell>
          <cell r="AK59">
            <v>29</v>
          </cell>
          <cell r="AL59">
            <v>45</v>
          </cell>
          <cell r="AM59">
            <v>17</v>
          </cell>
          <cell r="AN59">
            <v>62</v>
          </cell>
          <cell r="AO59">
            <v>0</v>
          </cell>
          <cell r="AP59">
            <v>3.5</v>
          </cell>
          <cell r="AQ59">
            <v>19</v>
          </cell>
          <cell r="AR59">
            <v>25</v>
          </cell>
          <cell r="AS59">
            <v>44</v>
          </cell>
          <cell r="AT59">
            <v>0</v>
          </cell>
          <cell r="AU59">
            <v>5</v>
          </cell>
          <cell r="AV59">
            <v>14</v>
          </cell>
          <cell r="AW59">
            <v>35</v>
          </cell>
          <cell r="AX59">
            <v>49</v>
          </cell>
          <cell r="AY59">
            <v>24</v>
          </cell>
          <cell r="AZ59">
            <v>73</v>
          </cell>
          <cell r="BA59">
            <v>0</v>
          </cell>
          <cell r="BB59">
            <v>4</v>
          </cell>
          <cell r="BC59">
            <v>13</v>
          </cell>
          <cell r="BD59">
            <v>39</v>
          </cell>
          <cell r="BE59">
            <v>52</v>
          </cell>
          <cell r="BF59">
            <v>26</v>
          </cell>
          <cell r="BG59">
            <v>78</v>
          </cell>
          <cell r="BH59">
            <v>0</v>
          </cell>
          <cell r="BI59">
            <v>4</v>
          </cell>
          <cell r="BJ59">
            <v>8</v>
          </cell>
          <cell r="BK59">
            <v>24</v>
          </cell>
          <cell r="BL59">
            <v>32</v>
          </cell>
          <cell r="BM59">
            <v>32</v>
          </cell>
          <cell r="BN59">
            <v>0</v>
          </cell>
          <cell r="BO59">
            <v>3.5</v>
          </cell>
          <cell r="BP59">
            <v>25.5</v>
          </cell>
          <cell r="BQ59">
            <v>3.6428571428571428</v>
          </cell>
          <cell r="BR59" t="str">
            <v>A-</v>
          </cell>
          <cell r="BS59" t="str">
            <v>GOOD</v>
          </cell>
          <cell r="BT59">
            <v>501</v>
          </cell>
          <cell r="BU59">
            <v>33</v>
          </cell>
          <cell r="BV59">
            <v>65</v>
          </cell>
        </row>
        <row r="60">
          <cell r="B60">
            <v>51</v>
          </cell>
          <cell r="C60" t="str">
            <v xml:space="preserve">Sadia Akter </v>
          </cell>
          <cell r="D60" t="str">
            <v xml:space="preserve">Md. Akkas Mia </v>
          </cell>
          <cell r="E60" t="str">
            <v xml:space="preserve">Rubi Akter </v>
          </cell>
          <cell r="F60" t="str">
            <v>01886-664730                                    01746-664249</v>
          </cell>
          <cell r="G60">
            <v>11</v>
          </cell>
          <cell r="H60">
            <v>12</v>
          </cell>
          <cell r="I60">
            <v>23</v>
          </cell>
          <cell r="J60">
            <v>24</v>
          </cell>
          <cell r="K60">
            <v>47</v>
          </cell>
          <cell r="L60">
            <v>9</v>
          </cell>
          <cell r="M60">
            <v>28</v>
          </cell>
          <cell r="N60">
            <v>37</v>
          </cell>
          <cell r="O60">
            <v>37</v>
          </cell>
          <cell r="P60">
            <v>84</v>
          </cell>
          <cell r="Q60">
            <v>0</v>
          </cell>
          <cell r="R60">
            <v>3</v>
          </cell>
          <cell r="S60">
            <v>15</v>
          </cell>
          <cell r="T60">
            <v>57</v>
          </cell>
          <cell r="U60">
            <v>72</v>
          </cell>
          <cell r="V60">
            <v>5</v>
          </cell>
          <cell r="W60">
            <v>28</v>
          </cell>
          <cell r="X60">
            <v>33</v>
          </cell>
          <cell r="Y60">
            <v>105</v>
          </cell>
          <cell r="Z60">
            <v>105</v>
          </cell>
          <cell r="AA60">
            <v>0</v>
          </cell>
          <cell r="AB60">
            <v>4</v>
          </cell>
          <cell r="AC60">
            <v>14</v>
          </cell>
          <cell r="AD60">
            <v>19</v>
          </cell>
          <cell r="AE60">
            <v>33</v>
          </cell>
          <cell r="AF60">
            <v>27</v>
          </cell>
          <cell r="AG60">
            <v>60</v>
          </cell>
          <cell r="AH60">
            <v>0</v>
          </cell>
          <cell r="AI60">
            <v>3.5</v>
          </cell>
          <cell r="AJ60">
            <v>13</v>
          </cell>
          <cell r="AK60">
            <v>19</v>
          </cell>
          <cell r="AL60">
            <v>32</v>
          </cell>
          <cell r="AM60">
            <v>11</v>
          </cell>
          <cell r="AN60">
            <v>43</v>
          </cell>
          <cell r="AO60">
            <v>0</v>
          </cell>
          <cell r="AP60">
            <v>2</v>
          </cell>
          <cell r="AQ60">
            <v>14</v>
          </cell>
          <cell r="AR60">
            <v>25</v>
          </cell>
          <cell r="AS60">
            <v>39</v>
          </cell>
          <cell r="AT60">
            <v>0</v>
          </cell>
          <cell r="AU60">
            <v>4</v>
          </cell>
          <cell r="AV60">
            <v>13</v>
          </cell>
          <cell r="AW60">
            <v>20</v>
          </cell>
          <cell r="AX60">
            <v>33</v>
          </cell>
          <cell r="AY60">
            <v>22</v>
          </cell>
          <cell r="AZ60">
            <v>55</v>
          </cell>
          <cell r="BA60">
            <v>0</v>
          </cell>
          <cell r="BB60">
            <v>3</v>
          </cell>
          <cell r="BC60">
            <v>10</v>
          </cell>
          <cell r="BD60">
            <v>21</v>
          </cell>
          <cell r="BE60">
            <v>31</v>
          </cell>
          <cell r="BF60">
            <v>27</v>
          </cell>
          <cell r="BG60">
            <v>58</v>
          </cell>
          <cell r="BH60">
            <v>0</v>
          </cell>
          <cell r="BI60">
            <v>3</v>
          </cell>
          <cell r="BJ60">
            <v>8</v>
          </cell>
          <cell r="BK60">
            <v>24</v>
          </cell>
          <cell r="BL60">
            <v>32</v>
          </cell>
          <cell r="BM60">
            <v>32</v>
          </cell>
          <cell r="BN60">
            <v>0</v>
          </cell>
          <cell r="BO60">
            <v>3.5</v>
          </cell>
          <cell r="BP60">
            <v>22.5</v>
          </cell>
          <cell r="BQ60">
            <v>3.2142857142857144</v>
          </cell>
          <cell r="BR60" t="str">
            <v>B</v>
          </cell>
          <cell r="BS60" t="str">
            <v>GOOD</v>
          </cell>
          <cell r="BT60">
            <v>444</v>
          </cell>
          <cell r="BU60">
            <v>41</v>
          </cell>
          <cell r="BV60">
            <v>62</v>
          </cell>
        </row>
        <row r="61">
          <cell r="B61">
            <v>52</v>
          </cell>
          <cell r="C61" t="str">
            <v xml:space="preserve">Md. Tahamidur Rahman Sifat </v>
          </cell>
          <cell r="D61" t="str">
            <v xml:space="preserve">Md. Kamruzzaman </v>
          </cell>
          <cell r="E61" t="str">
            <v xml:space="preserve">Farzana Akter Mily </v>
          </cell>
          <cell r="F61" t="str">
            <v>01915-241514</v>
          </cell>
          <cell r="G61">
            <v>13</v>
          </cell>
          <cell r="H61">
            <v>20</v>
          </cell>
          <cell r="I61">
            <v>33</v>
          </cell>
          <cell r="J61">
            <v>19</v>
          </cell>
          <cell r="K61">
            <v>52</v>
          </cell>
          <cell r="L61">
            <v>8</v>
          </cell>
          <cell r="M61">
            <v>34</v>
          </cell>
          <cell r="N61">
            <v>42</v>
          </cell>
          <cell r="O61">
            <v>42</v>
          </cell>
          <cell r="P61">
            <v>94</v>
          </cell>
          <cell r="Q61">
            <v>0</v>
          </cell>
          <cell r="R61">
            <v>3</v>
          </cell>
          <cell r="S61">
            <v>10</v>
          </cell>
          <cell r="T61">
            <v>32</v>
          </cell>
          <cell r="U61">
            <v>42</v>
          </cell>
          <cell r="V61">
            <v>1</v>
          </cell>
          <cell r="W61">
            <v>11</v>
          </cell>
          <cell r="X61">
            <v>12</v>
          </cell>
          <cell r="Y61">
            <v>54</v>
          </cell>
          <cell r="Z61">
            <v>54</v>
          </cell>
          <cell r="AA61">
            <v>0</v>
          </cell>
          <cell r="AB61" t="str">
            <v>F</v>
          </cell>
          <cell r="AC61">
            <v>2</v>
          </cell>
          <cell r="AD61">
            <v>21</v>
          </cell>
          <cell r="AE61">
            <v>23</v>
          </cell>
          <cell r="AF61">
            <v>17</v>
          </cell>
          <cell r="AG61">
            <v>40</v>
          </cell>
          <cell r="AH61">
            <v>0</v>
          </cell>
          <cell r="AI61">
            <v>2</v>
          </cell>
          <cell r="AJ61">
            <v>10</v>
          </cell>
          <cell r="AK61">
            <v>34</v>
          </cell>
          <cell r="AL61">
            <v>44</v>
          </cell>
          <cell r="AM61">
            <v>14</v>
          </cell>
          <cell r="AN61">
            <v>58</v>
          </cell>
          <cell r="AO61">
            <v>0</v>
          </cell>
          <cell r="AP61">
            <v>3</v>
          </cell>
          <cell r="AQ61">
            <v>19</v>
          </cell>
          <cell r="AR61">
            <v>25</v>
          </cell>
          <cell r="AS61">
            <v>44</v>
          </cell>
          <cell r="AT61">
            <v>0</v>
          </cell>
          <cell r="AU61">
            <v>5</v>
          </cell>
          <cell r="AV61">
            <v>8</v>
          </cell>
          <cell r="AW61">
            <v>20</v>
          </cell>
          <cell r="AX61">
            <v>28</v>
          </cell>
          <cell r="AY61">
            <v>23</v>
          </cell>
          <cell r="AZ61">
            <v>51</v>
          </cell>
          <cell r="BA61">
            <v>0</v>
          </cell>
          <cell r="BB61">
            <v>3</v>
          </cell>
          <cell r="BC61">
            <v>9</v>
          </cell>
          <cell r="BD61">
            <v>25</v>
          </cell>
          <cell r="BE61">
            <v>34</v>
          </cell>
          <cell r="BF61">
            <v>20</v>
          </cell>
          <cell r="BG61">
            <v>54</v>
          </cell>
          <cell r="BH61">
            <v>0</v>
          </cell>
          <cell r="BI61">
            <v>3</v>
          </cell>
          <cell r="BJ61">
            <v>8</v>
          </cell>
          <cell r="BK61">
            <v>24</v>
          </cell>
          <cell r="BL61">
            <v>32</v>
          </cell>
          <cell r="BM61">
            <v>32</v>
          </cell>
          <cell r="BN61">
            <v>0</v>
          </cell>
          <cell r="BO61">
            <v>3.5</v>
          </cell>
          <cell r="BP61" t="str">
            <v>F</v>
          </cell>
          <cell r="BQ61" t="str">
            <v>F</v>
          </cell>
          <cell r="BR61" t="str">
            <v>F</v>
          </cell>
          <cell r="BS61" t="str">
            <v>NEED TO PROGRESS</v>
          </cell>
          <cell r="BT61">
            <v>395</v>
          </cell>
          <cell r="BU61">
            <v>0</v>
          </cell>
          <cell r="BV61">
            <v>55</v>
          </cell>
        </row>
        <row r="62">
          <cell r="B62">
            <v>53</v>
          </cell>
          <cell r="C62" t="str">
            <v xml:space="preserve">Arman </v>
          </cell>
          <cell r="D62" t="str">
            <v xml:space="preserve">Anowar </v>
          </cell>
          <cell r="E62" t="str">
            <v xml:space="preserve">Monalisa </v>
          </cell>
          <cell r="F62" t="str">
            <v>01792-847521     01936-868932</v>
          </cell>
          <cell r="G62">
            <v>12</v>
          </cell>
          <cell r="H62">
            <v>6</v>
          </cell>
          <cell r="I62">
            <v>18</v>
          </cell>
          <cell r="J62">
            <v>22</v>
          </cell>
          <cell r="K62">
            <v>40</v>
          </cell>
          <cell r="L62">
            <v>8</v>
          </cell>
          <cell r="M62">
            <v>26</v>
          </cell>
          <cell r="N62">
            <v>34</v>
          </cell>
          <cell r="O62">
            <v>34</v>
          </cell>
          <cell r="P62">
            <v>74</v>
          </cell>
          <cell r="Q62">
            <v>0</v>
          </cell>
          <cell r="R62">
            <v>3</v>
          </cell>
          <cell r="S62">
            <v>11</v>
          </cell>
          <cell r="T62">
            <v>36</v>
          </cell>
          <cell r="U62">
            <v>47</v>
          </cell>
          <cell r="V62">
            <v>6</v>
          </cell>
          <cell r="W62">
            <v>19</v>
          </cell>
          <cell r="X62">
            <v>25</v>
          </cell>
          <cell r="Y62">
            <v>72</v>
          </cell>
          <cell r="Z62">
            <v>72</v>
          </cell>
          <cell r="AA62">
            <v>0</v>
          </cell>
          <cell r="AB62">
            <v>2</v>
          </cell>
          <cell r="AC62">
            <v>17</v>
          </cell>
          <cell r="AD62">
            <v>14</v>
          </cell>
          <cell r="AE62">
            <v>31</v>
          </cell>
          <cell r="AF62">
            <v>17</v>
          </cell>
          <cell r="AG62">
            <v>48</v>
          </cell>
          <cell r="AH62">
            <v>0</v>
          </cell>
          <cell r="AI62">
            <v>2</v>
          </cell>
          <cell r="AJ62">
            <v>13</v>
          </cell>
          <cell r="AK62">
            <v>10</v>
          </cell>
          <cell r="AL62">
            <v>23</v>
          </cell>
          <cell r="AM62">
            <v>11</v>
          </cell>
          <cell r="AN62">
            <v>34</v>
          </cell>
          <cell r="AO62">
            <v>0</v>
          </cell>
          <cell r="AP62" t="str">
            <v>F</v>
          </cell>
          <cell r="AQ62">
            <v>15</v>
          </cell>
          <cell r="AR62">
            <v>25</v>
          </cell>
          <cell r="AS62">
            <v>40</v>
          </cell>
          <cell r="AT62">
            <v>0</v>
          </cell>
          <cell r="AU62">
            <v>5</v>
          </cell>
          <cell r="AV62">
            <v>15</v>
          </cell>
          <cell r="AW62">
            <v>16</v>
          </cell>
          <cell r="AX62">
            <v>31</v>
          </cell>
          <cell r="AY62">
            <v>24</v>
          </cell>
          <cell r="AZ62">
            <v>55</v>
          </cell>
          <cell r="BA62">
            <v>0</v>
          </cell>
          <cell r="BB62">
            <v>3</v>
          </cell>
          <cell r="BC62">
            <v>8</v>
          </cell>
          <cell r="BD62">
            <v>9</v>
          </cell>
          <cell r="BE62">
            <v>17</v>
          </cell>
          <cell r="BF62">
            <v>29</v>
          </cell>
          <cell r="BG62">
            <v>46</v>
          </cell>
          <cell r="BH62">
            <v>0</v>
          </cell>
          <cell r="BI62">
            <v>2</v>
          </cell>
          <cell r="BJ62">
            <v>8</v>
          </cell>
          <cell r="BK62">
            <v>24</v>
          </cell>
          <cell r="BL62">
            <v>32</v>
          </cell>
          <cell r="BM62">
            <v>32</v>
          </cell>
          <cell r="BN62">
            <v>0</v>
          </cell>
          <cell r="BO62">
            <v>3.5</v>
          </cell>
          <cell r="BP62" t="str">
            <v>F</v>
          </cell>
          <cell r="BQ62" t="str">
            <v>F</v>
          </cell>
          <cell r="BR62" t="str">
            <v>F</v>
          </cell>
          <cell r="BS62" t="str">
            <v>NEED TO PROGRESS</v>
          </cell>
          <cell r="BT62">
            <v>369</v>
          </cell>
          <cell r="BU62">
            <v>0</v>
          </cell>
          <cell r="BV62">
            <v>56</v>
          </cell>
        </row>
        <row r="63">
          <cell r="B63">
            <v>54</v>
          </cell>
          <cell r="C63" t="str">
            <v xml:space="preserve">Md. Siyam Rahman Sifat </v>
          </cell>
          <cell r="D63" t="str">
            <v>Abdul Ohab</v>
          </cell>
          <cell r="E63" t="str">
            <v xml:space="preserve">Some Begum </v>
          </cell>
          <cell r="F63" t="str">
            <v>01763-265050                      01792-115929</v>
          </cell>
          <cell r="G63">
            <v>15</v>
          </cell>
          <cell r="H63">
            <v>35</v>
          </cell>
          <cell r="I63">
            <v>50</v>
          </cell>
          <cell r="J63">
            <v>21</v>
          </cell>
          <cell r="K63">
            <v>71</v>
          </cell>
          <cell r="L63">
            <v>9</v>
          </cell>
          <cell r="M63">
            <v>23</v>
          </cell>
          <cell r="N63">
            <v>32</v>
          </cell>
          <cell r="O63">
            <v>32</v>
          </cell>
          <cell r="P63">
            <v>103</v>
          </cell>
          <cell r="Q63">
            <v>0</v>
          </cell>
          <cell r="R63">
            <v>3.5</v>
          </cell>
          <cell r="S63">
            <v>11</v>
          </cell>
          <cell r="T63">
            <v>40</v>
          </cell>
          <cell r="U63">
            <v>51</v>
          </cell>
          <cell r="V63">
            <v>5</v>
          </cell>
          <cell r="W63">
            <v>17</v>
          </cell>
          <cell r="X63">
            <v>22</v>
          </cell>
          <cell r="Y63">
            <v>73</v>
          </cell>
          <cell r="Z63">
            <v>73</v>
          </cell>
          <cell r="AA63">
            <v>0</v>
          </cell>
          <cell r="AB63">
            <v>2</v>
          </cell>
          <cell r="AC63">
            <v>13</v>
          </cell>
          <cell r="AD63">
            <v>28</v>
          </cell>
          <cell r="AE63">
            <v>41</v>
          </cell>
          <cell r="AF63">
            <v>23</v>
          </cell>
          <cell r="AG63">
            <v>64</v>
          </cell>
          <cell r="AH63">
            <v>0</v>
          </cell>
          <cell r="AI63">
            <v>3.5</v>
          </cell>
          <cell r="AJ63">
            <v>15</v>
          </cell>
          <cell r="AK63">
            <v>27</v>
          </cell>
          <cell r="AL63">
            <v>42</v>
          </cell>
          <cell r="AM63">
            <v>16</v>
          </cell>
          <cell r="AN63">
            <v>58</v>
          </cell>
          <cell r="AO63">
            <v>0</v>
          </cell>
          <cell r="AP63">
            <v>3</v>
          </cell>
          <cell r="AQ63">
            <v>14</v>
          </cell>
          <cell r="AR63">
            <v>25</v>
          </cell>
          <cell r="AS63">
            <v>39</v>
          </cell>
          <cell r="AT63">
            <v>0</v>
          </cell>
          <cell r="AU63">
            <v>4</v>
          </cell>
          <cell r="AV63">
            <v>12</v>
          </cell>
          <cell r="AW63">
            <v>21</v>
          </cell>
          <cell r="AX63">
            <v>33</v>
          </cell>
          <cell r="AY63">
            <v>18</v>
          </cell>
          <cell r="AZ63">
            <v>51</v>
          </cell>
          <cell r="BA63">
            <v>0</v>
          </cell>
          <cell r="BB63">
            <v>3</v>
          </cell>
          <cell r="BC63">
            <v>8</v>
          </cell>
          <cell r="BD63">
            <v>31</v>
          </cell>
          <cell r="BE63">
            <v>39</v>
          </cell>
          <cell r="BF63">
            <v>15</v>
          </cell>
          <cell r="BG63">
            <v>54</v>
          </cell>
          <cell r="BH63">
            <v>0</v>
          </cell>
          <cell r="BI63">
            <v>3</v>
          </cell>
          <cell r="BJ63">
            <v>8</v>
          </cell>
          <cell r="BK63">
            <v>24</v>
          </cell>
          <cell r="BL63">
            <v>32</v>
          </cell>
          <cell r="BM63">
            <v>32</v>
          </cell>
          <cell r="BN63">
            <v>0</v>
          </cell>
          <cell r="BO63">
            <v>3.5</v>
          </cell>
          <cell r="BP63">
            <v>22</v>
          </cell>
          <cell r="BQ63">
            <v>3.1428571428571428</v>
          </cell>
          <cell r="BR63" t="str">
            <v>B</v>
          </cell>
          <cell r="BS63" t="str">
            <v>GOOD</v>
          </cell>
          <cell r="BT63">
            <v>442</v>
          </cell>
          <cell r="BU63">
            <v>45</v>
          </cell>
          <cell r="BV63">
            <v>58</v>
          </cell>
        </row>
        <row r="64">
          <cell r="B64">
            <v>55</v>
          </cell>
          <cell r="C64" t="str">
            <v>Sinthia Islam Brishty</v>
          </cell>
          <cell r="D64" t="str">
            <v>Bahadur Kha</v>
          </cell>
          <cell r="E64" t="str">
            <v xml:space="preserve">Asma Akter </v>
          </cell>
          <cell r="F64" t="str">
            <v>01316-007819 01608-035270</v>
          </cell>
          <cell r="G64">
            <v>14</v>
          </cell>
          <cell r="H64">
            <v>17</v>
          </cell>
          <cell r="I64">
            <v>31</v>
          </cell>
          <cell r="J64">
            <v>26</v>
          </cell>
          <cell r="K64">
            <v>57</v>
          </cell>
          <cell r="L64">
            <v>9</v>
          </cell>
          <cell r="M64">
            <v>17</v>
          </cell>
          <cell r="N64">
            <v>26</v>
          </cell>
          <cell r="O64">
            <v>26</v>
          </cell>
          <cell r="P64">
            <v>83</v>
          </cell>
          <cell r="Q64">
            <v>0</v>
          </cell>
          <cell r="R64">
            <v>3</v>
          </cell>
          <cell r="S64">
            <v>10</v>
          </cell>
          <cell r="T64">
            <v>32</v>
          </cell>
          <cell r="U64">
            <v>42</v>
          </cell>
          <cell r="V64">
            <v>4</v>
          </cell>
          <cell r="W64">
            <v>16</v>
          </cell>
          <cell r="X64">
            <v>20</v>
          </cell>
          <cell r="Y64">
            <v>62</v>
          </cell>
          <cell r="Z64">
            <v>62</v>
          </cell>
          <cell r="AA64">
            <v>0</v>
          </cell>
          <cell r="AB64">
            <v>2</v>
          </cell>
          <cell r="AC64">
            <v>17</v>
          </cell>
          <cell r="AD64">
            <v>23</v>
          </cell>
          <cell r="AE64">
            <v>40</v>
          </cell>
          <cell r="AF64">
            <v>23</v>
          </cell>
          <cell r="AG64">
            <v>63</v>
          </cell>
          <cell r="AH64">
            <v>0</v>
          </cell>
          <cell r="AI64">
            <v>3.5</v>
          </cell>
          <cell r="AJ64">
            <v>11</v>
          </cell>
          <cell r="AK64">
            <v>19</v>
          </cell>
          <cell r="AL64">
            <v>30</v>
          </cell>
          <cell r="AM64">
            <v>14</v>
          </cell>
          <cell r="AN64">
            <v>44</v>
          </cell>
          <cell r="AO64">
            <v>0</v>
          </cell>
          <cell r="AP64">
            <v>2</v>
          </cell>
          <cell r="AQ64">
            <v>17</v>
          </cell>
          <cell r="AR64">
            <v>25</v>
          </cell>
          <cell r="AS64">
            <v>42</v>
          </cell>
          <cell r="AT64">
            <v>0</v>
          </cell>
          <cell r="AU64">
            <v>5</v>
          </cell>
          <cell r="AV64">
            <v>16</v>
          </cell>
          <cell r="AW64">
            <v>23</v>
          </cell>
          <cell r="AX64">
            <v>39</v>
          </cell>
          <cell r="AY64">
            <v>25</v>
          </cell>
          <cell r="AZ64">
            <v>64</v>
          </cell>
          <cell r="BA64">
            <v>0</v>
          </cell>
          <cell r="BB64">
            <v>3.5</v>
          </cell>
          <cell r="BC64">
            <v>12</v>
          </cell>
          <cell r="BD64">
            <v>22</v>
          </cell>
          <cell r="BE64">
            <v>34</v>
          </cell>
          <cell r="BF64">
            <v>25</v>
          </cell>
          <cell r="BG64">
            <v>59</v>
          </cell>
          <cell r="BH64">
            <v>0</v>
          </cell>
          <cell r="BI64">
            <v>3</v>
          </cell>
          <cell r="BJ64">
            <v>7</v>
          </cell>
          <cell r="BK64">
            <v>28</v>
          </cell>
          <cell r="BL64">
            <v>35</v>
          </cell>
          <cell r="BM64">
            <v>35</v>
          </cell>
          <cell r="BN64">
            <v>0</v>
          </cell>
          <cell r="BO64">
            <v>4</v>
          </cell>
          <cell r="BP64">
            <v>22</v>
          </cell>
          <cell r="BQ64">
            <v>3.1428571428571428</v>
          </cell>
          <cell r="BR64" t="str">
            <v>B</v>
          </cell>
          <cell r="BS64" t="str">
            <v>GOOD</v>
          </cell>
          <cell r="BT64">
            <v>417</v>
          </cell>
          <cell r="BU64">
            <v>46</v>
          </cell>
          <cell r="BV64">
            <v>57</v>
          </cell>
        </row>
        <row r="65">
          <cell r="B65">
            <v>62</v>
          </cell>
          <cell r="C65" t="str">
            <v xml:space="preserve">Mahati Mohammad Minhaz </v>
          </cell>
          <cell r="D65" t="str">
            <v xml:space="preserve">Md. Oliar Rahman </v>
          </cell>
          <cell r="E65" t="str">
            <v xml:space="preserve">Mst. Nasrin Naher </v>
          </cell>
          <cell r="F65" t="str">
            <v>01722-197674                                      01311-799761</v>
          </cell>
          <cell r="G65">
            <v>16</v>
          </cell>
          <cell r="H65">
            <v>33</v>
          </cell>
          <cell r="I65">
            <v>49</v>
          </cell>
          <cell r="J65">
            <v>29</v>
          </cell>
          <cell r="K65">
            <v>78</v>
          </cell>
          <cell r="L65">
            <v>9</v>
          </cell>
          <cell r="M65">
            <v>32</v>
          </cell>
          <cell r="N65">
            <v>41</v>
          </cell>
          <cell r="O65">
            <v>41</v>
          </cell>
          <cell r="P65">
            <v>119</v>
          </cell>
          <cell r="Q65">
            <v>0</v>
          </cell>
          <cell r="R65">
            <v>4</v>
          </cell>
          <cell r="S65">
            <v>13</v>
          </cell>
          <cell r="T65">
            <v>54</v>
          </cell>
          <cell r="U65">
            <v>67</v>
          </cell>
          <cell r="V65">
            <v>6</v>
          </cell>
          <cell r="W65">
            <v>26</v>
          </cell>
          <cell r="X65">
            <v>32</v>
          </cell>
          <cell r="Y65">
            <v>99</v>
          </cell>
          <cell r="Z65">
            <v>99</v>
          </cell>
          <cell r="AA65">
            <v>0</v>
          </cell>
          <cell r="AB65">
            <v>3.5</v>
          </cell>
          <cell r="AC65">
            <v>13</v>
          </cell>
          <cell r="AD65">
            <v>35</v>
          </cell>
          <cell r="AE65">
            <v>48</v>
          </cell>
          <cell r="AF65">
            <v>26</v>
          </cell>
          <cell r="AG65">
            <v>74</v>
          </cell>
          <cell r="AH65">
            <v>0</v>
          </cell>
          <cell r="AI65">
            <v>4</v>
          </cell>
          <cell r="AJ65">
            <v>15</v>
          </cell>
          <cell r="AK65">
            <v>34</v>
          </cell>
          <cell r="AL65">
            <v>49</v>
          </cell>
          <cell r="AM65">
            <v>14</v>
          </cell>
          <cell r="AN65">
            <v>63</v>
          </cell>
          <cell r="AO65">
            <v>0</v>
          </cell>
          <cell r="AP65">
            <v>3.5</v>
          </cell>
          <cell r="AQ65">
            <v>18</v>
          </cell>
          <cell r="AR65">
            <v>25</v>
          </cell>
          <cell r="AS65">
            <v>43</v>
          </cell>
          <cell r="AT65">
            <v>0</v>
          </cell>
          <cell r="AU65">
            <v>5</v>
          </cell>
          <cell r="AV65">
            <v>15</v>
          </cell>
          <cell r="AW65">
            <v>27</v>
          </cell>
          <cell r="AX65">
            <v>42</v>
          </cell>
          <cell r="AY65">
            <v>24</v>
          </cell>
          <cell r="AZ65">
            <v>66</v>
          </cell>
          <cell r="BA65">
            <v>0</v>
          </cell>
          <cell r="BB65">
            <v>3.5</v>
          </cell>
          <cell r="BC65">
            <v>15</v>
          </cell>
          <cell r="BD65">
            <v>29</v>
          </cell>
          <cell r="BE65">
            <v>44</v>
          </cell>
          <cell r="BF65">
            <v>30</v>
          </cell>
          <cell r="BG65">
            <v>74</v>
          </cell>
          <cell r="BH65">
            <v>0</v>
          </cell>
          <cell r="BI65">
            <v>4</v>
          </cell>
          <cell r="BJ65">
            <v>7</v>
          </cell>
          <cell r="BK65">
            <v>24</v>
          </cell>
          <cell r="BL65">
            <v>31</v>
          </cell>
          <cell r="BM65">
            <v>31</v>
          </cell>
          <cell r="BN65">
            <v>0</v>
          </cell>
          <cell r="BO65">
            <v>3.5</v>
          </cell>
          <cell r="BP65">
            <v>27.5</v>
          </cell>
          <cell r="BQ65">
            <v>3.9285714285714284</v>
          </cell>
          <cell r="BR65" t="str">
            <v>A-</v>
          </cell>
          <cell r="BS65" t="str">
            <v>GOOD</v>
          </cell>
          <cell r="BT65">
            <v>538</v>
          </cell>
          <cell r="BU65">
            <v>26</v>
          </cell>
          <cell r="BV65">
            <v>64</v>
          </cell>
        </row>
        <row r="66">
          <cell r="B66">
            <v>64</v>
          </cell>
          <cell r="C66" t="str">
            <v xml:space="preserve">Md Tanbin Ahammad </v>
          </cell>
          <cell r="D66" t="str">
            <v xml:space="preserve">Md. Abdul Mottalib </v>
          </cell>
          <cell r="E66" t="str">
            <v xml:space="preserve">Merina </v>
          </cell>
          <cell r="F66" t="str">
            <v>01705-780809                        01568-120003</v>
          </cell>
          <cell r="G66">
            <v>16</v>
          </cell>
          <cell r="H66">
            <v>45</v>
          </cell>
          <cell r="I66">
            <v>61</v>
          </cell>
          <cell r="J66">
            <v>25</v>
          </cell>
          <cell r="K66">
            <v>86</v>
          </cell>
          <cell r="L66">
            <v>9</v>
          </cell>
          <cell r="M66">
            <v>34</v>
          </cell>
          <cell r="N66">
            <v>43</v>
          </cell>
          <cell r="O66">
            <v>43</v>
          </cell>
          <cell r="P66">
            <v>129</v>
          </cell>
          <cell r="Q66">
            <v>0</v>
          </cell>
          <cell r="R66">
            <v>5</v>
          </cell>
          <cell r="S66">
            <v>17</v>
          </cell>
          <cell r="T66">
            <v>61</v>
          </cell>
          <cell r="U66">
            <v>78</v>
          </cell>
          <cell r="V66">
            <v>10</v>
          </cell>
          <cell r="W66">
            <v>28</v>
          </cell>
          <cell r="X66">
            <v>38</v>
          </cell>
          <cell r="Y66">
            <v>116</v>
          </cell>
          <cell r="Z66">
            <v>116</v>
          </cell>
          <cell r="AA66">
            <v>0</v>
          </cell>
          <cell r="AB66">
            <v>4</v>
          </cell>
          <cell r="AC66">
            <v>15</v>
          </cell>
          <cell r="AD66">
            <v>40</v>
          </cell>
          <cell r="AE66">
            <v>55</v>
          </cell>
          <cell r="AF66">
            <v>25</v>
          </cell>
          <cell r="AG66">
            <v>80</v>
          </cell>
          <cell r="AH66">
            <v>0</v>
          </cell>
          <cell r="AI66">
            <v>5</v>
          </cell>
          <cell r="AJ66">
            <v>18</v>
          </cell>
          <cell r="AK66">
            <v>41</v>
          </cell>
          <cell r="AL66">
            <v>59</v>
          </cell>
          <cell r="AM66">
            <v>15</v>
          </cell>
          <cell r="AN66">
            <v>74</v>
          </cell>
          <cell r="AO66">
            <v>0</v>
          </cell>
          <cell r="AP66">
            <v>4</v>
          </cell>
          <cell r="AQ66">
            <v>20</v>
          </cell>
          <cell r="AR66">
            <v>25</v>
          </cell>
          <cell r="AS66">
            <v>45</v>
          </cell>
          <cell r="AT66">
            <v>0</v>
          </cell>
          <cell r="AU66">
            <v>5</v>
          </cell>
          <cell r="AV66">
            <v>20</v>
          </cell>
          <cell r="AW66">
            <v>38</v>
          </cell>
          <cell r="AX66">
            <v>58</v>
          </cell>
          <cell r="AY66">
            <v>23</v>
          </cell>
          <cell r="AZ66">
            <v>81</v>
          </cell>
          <cell r="BA66">
            <v>0</v>
          </cell>
          <cell r="BB66">
            <v>5</v>
          </cell>
          <cell r="BC66">
            <v>15</v>
          </cell>
          <cell r="BD66">
            <v>42</v>
          </cell>
          <cell r="BE66">
            <v>57</v>
          </cell>
          <cell r="BF66">
            <v>25</v>
          </cell>
          <cell r="BG66">
            <v>82</v>
          </cell>
          <cell r="BH66">
            <v>0</v>
          </cell>
          <cell r="BI66">
            <v>5</v>
          </cell>
          <cell r="BJ66">
            <v>10</v>
          </cell>
          <cell r="BK66">
            <v>32</v>
          </cell>
          <cell r="BL66">
            <v>42</v>
          </cell>
          <cell r="BM66">
            <v>42</v>
          </cell>
          <cell r="BN66">
            <v>0</v>
          </cell>
          <cell r="BO66">
            <v>5</v>
          </cell>
          <cell r="BP66">
            <v>33</v>
          </cell>
          <cell r="BQ66">
            <v>4.7142857142857144</v>
          </cell>
          <cell r="BR66" t="str">
            <v>A</v>
          </cell>
          <cell r="BS66" t="str">
            <v>BETTER</v>
          </cell>
          <cell r="BT66">
            <v>607</v>
          </cell>
          <cell r="BU66">
            <v>10</v>
          </cell>
          <cell r="BV66">
            <v>64</v>
          </cell>
        </row>
        <row r="67">
          <cell r="B67">
            <v>68</v>
          </cell>
          <cell r="C67" t="str">
            <v xml:space="preserve">Mst. Samiya Akter </v>
          </cell>
          <cell r="D67" t="str">
            <v xml:space="preserve">Solaman Mia </v>
          </cell>
          <cell r="E67" t="str">
            <v xml:space="preserve">Safily Begum </v>
          </cell>
          <cell r="F67" t="str">
            <v>01715-391389                      019075391389</v>
          </cell>
          <cell r="G67">
            <v>14</v>
          </cell>
          <cell r="H67">
            <v>18</v>
          </cell>
          <cell r="I67">
            <v>32</v>
          </cell>
          <cell r="J67">
            <v>20</v>
          </cell>
          <cell r="K67">
            <v>52</v>
          </cell>
          <cell r="L67">
            <v>10</v>
          </cell>
          <cell r="M67">
            <v>27</v>
          </cell>
          <cell r="N67">
            <v>37</v>
          </cell>
          <cell r="O67">
            <v>37</v>
          </cell>
          <cell r="P67">
            <v>89</v>
          </cell>
          <cell r="Q67">
            <v>0</v>
          </cell>
          <cell r="R67">
            <v>3</v>
          </cell>
          <cell r="S67">
            <v>14</v>
          </cell>
          <cell r="T67">
            <v>32</v>
          </cell>
          <cell r="U67">
            <v>46</v>
          </cell>
          <cell r="V67">
            <v>7</v>
          </cell>
          <cell r="W67">
            <v>16</v>
          </cell>
          <cell r="X67">
            <v>23</v>
          </cell>
          <cell r="Y67">
            <v>69</v>
          </cell>
          <cell r="Z67">
            <v>69</v>
          </cell>
          <cell r="AA67">
            <v>0</v>
          </cell>
          <cell r="AB67">
            <v>2</v>
          </cell>
          <cell r="AC67">
            <v>17</v>
          </cell>
          <cell r="AD67">
            <v>45</v>
          </cell>
          <cell r="AE67">
            <v>62</v>
          </cell>
          <cell r="AF67">
            <v>29</v>
          </cell>
          <cell r="AG67">
            <v>91</v>
          </cell>
          <cell r="AH67">
            <v>0</v>
          </cell>
          <cell r="AI67">
            <v>5</v>
          </cell>
          <cell r="AJ67">
            <v>16</v>
          </cell>
          <cell r="AK67">
            <v>31</v>
          </cell>
          <cell r="AL67">
            <v>47</v>
          </cell>
          <cell r="AM67">
            <v>14</v>
          </cell>
          <cell r="AN67">
            <v>61</v>
          </cell>
          <cell r="AO67">
            <v>0</v>
          </cell>
          <cell r="AP67">
            <v>3.5</v>
          </cell>
          <cell r="AQ67">
            <v>20</v>
          </cell>
          <cell r="AR67">
            <v>25</v>
          </cell>
          <cell r="AS67">
            <v>45</v>
          </cell>
          <cell r="AT67">
            <v>0</v>
          </cell>
          <cell r="AU67">
            <v>5</v>
          </cell>
          <cell r="AV67">
            <v>14</v>
          </cell>
          <cell r="AW67">
            <v>28</v>
          </cell>
          <cell r="AX67">
            <v>42</v>
          </cell>
          <cell r="AY67">
            <v>16</v>
          </cell>
          <cell r="AZ67">
            <v>58</v>
          </cell>
          <cell r="BA67">
            <v>0</v>
          </cell>
          <cell r="BB67">
            <v>3</v>
          </cell>
          <cell r="BC67">
            <v>14</v>
          </cell>
          <cell r="BD67">
            <v>20</v>
          </cell>
          <cell r="BE67">
            <v>34</v>
          </cell>
          <cell r="BF67">
            <v>23</v>
          </cell>
          <cell r="BG67">
            <v>57</v>
          </cell>
          <cell r="BH67">
            <v>0</v>
          </cell>
          <cell r="BI67">
            <v>3</v>
          </cell>
          <cell r="BJ67">
            <v>9</v>
          </cell>
          <cell r="BK67">
            <v>32</v>
          </cell>
          <cell r="BL67">
            <v>41</v>
          </cell>
          <cell r="BM67">
            <v>41</v>
          </cell>
          <cell r="BN67">
            <v>0</v>
          </cell>
          <cell r="BO67">
            <v>5</v>
          </cell>
          <cell r="BP67">
            <v>24.5</v>
          </cell>
          <cell r="BQ67">
            <v>3.5</v>
          </cell>
          <cell r="BR67" t="str">
            <v>A-</v>
          </cell>
          <cell r="BS67" t="str">
            <v>GOOD</v>
          </cell>
          <cell r="BT67">
            <v>470</v>
          </cell>
          <cell r="BU67">
            <v>37</v>
          </cell>
          <cell r="BV67">
            <v>68</v>
          </cell>
        </row>
        <row r="68">
          <cell r="B68">
            <v>69</v>
          </cell>
          <cell r="C68" t="str">
            <v xml:space="preserve">Abdur Rahman </v>
          </cell>
          <cell r="D68" t="str">
            <v xml:space="preserve">Lutfar Rahman </v>
          </cell>
          <cell r="E68" t="str">
            <v xml:space="preserve">Mst Taslima Akter </v>
          </cell>
          <cell r="F68" t="str">
            <v>01929-070256                   01749-466325</v>
          </cell>
          <cell r="G68">
            <v>9</v>
          </cell>
          <cell r="H68">
            <v>33</v>
          </cell>
          <cell r="I68">
            <v>42</v>
          </cell>
          <cell r="J68">
            <v>21</v>
          </cell>
          <cell r="K68">
            <v>63</v>
          </cell>
          <cell r="L68">
            <v>9</v>
          </cell>
          <cell r="M68">
            <v>34</v>
          </cell>
          <cell r="N68">
            <v>43</v>
          </cell>
          <cell r="O68">
            <v>43</v>
          </cell>
          <cell r="P68">
            <v>106</v>
          </cell>
          <cell r="Q68">
            <v>0</v>
          </cell>
          <cell r="R68">
            <v>4</v>
          </cell>
          <cell r="S68">
            <v>11</v>
          </cell>
          <cell r="T68">
            <v>48</v>
          </cell>
          <cell r="U68">
            <v>59</v>
          </cell>
          <cell r="V68">
            <v>5</v>
          </cell>
          <cell r="W68">
            <v>23</v>
          </cell>
          <cell r="X68">
            <v>28</v>
          </cell>
          <cell r="Y68">
            <v>87</v>
          </cell>
          <cell r="Z68">
            <v>87</v>
          </cell>
          <cell r="AA68">
            <v>0</v>
          </cell>
          <cell r="AB68">
            <v>3</v>
          </cell>
          <cell r="AC68">
            <v>10</v>
          </cell>
          <cell r="AD68">
            <v>32</v>
          </cell>
          <cell r="AE68">
            <v>42</v>
          </cell>
          <cell r="AF68">
            <v>20</v>
          </cell>
          <cell r="AG68">
            <v>62</v>
          </cell>
          <cell r="AH68">
            <v>0</v>
          </cell>
          <cell r="AI68">
            <v>3.5</v>
          </cell>
          <cell r="AJ68">
            <v>14</v>
          </cell>
          <cell r="AK68">
            <v>21</v>
          </cell>
          <cell r="AL68">
            <v>35</v>
          </cell>
          <cell r="AM68">
            <v>13</v>
          </cell>
          <cell r="AN68">
            <v>48</v>
          </cell>
          <cell r="AO68">
            <v>0</v>
          </cell>
          <cell r="AP68">
            <v>2</v>
          </cell>
          <cell r="AQ68">
            <v>20</v>
          </cell>
          <cell r="AR68">
            <v>25</v>
          </cell>
          <cell r="AS68">
            <v>45</v>
          </cell>
          <cell r="AT68">
            <v>0</v>
          </cell>
          <cell r="AU68">
            <v>5</v>
          </cell>
          <cell r="AV68">
            <v>12</v>
          </cell>
          <cell r="AW68">
            <v>26</v>
          </cell>
          <cell r="AX68">
            <v>38</v>
          </cell>
          <cell r="AY68">
            <v>19</v>
          </cell>
          <cell r="AZ68">
            <v>57</v>
          </cell>
          <cell r="BA68">
            <v>0</v>
          </cell>
          <cell r="BB68">
            <v>3</v>
          </cell>
          <cell r="BC68">
            <v>11</v>
          </cell>
          <cell r="BD68">
            <v>29</v>
          </cell>
          <cell r="BE68">
            <v>40</v>
          </cell>
          <cell r="BF68">
            <v>24</v>
          </cell>
          <cell r="BG68">
            <v>64</v>
          </cell>
          <cell r="BH68">
            <v>0</v>
          </cell>
          <cell r="BI68">
            <v>3.5</v>
          </cell>
          <cell r="BJ68">
            <v>9</v>
          </cell>
          <cell r="BK68">
            <v>32</v>
          </cell>
          <cell r="BL68">
            <v>41</v>
          </cell>
          <cell r="BM68">
            <v>41</v>
          </cell>
          <cell r="BN68">
            <v>0</v>
          </cell>
          <cell r="BO68">
            <v>5</v>
          </cell>
          <cell r="BP68">
            <v>24</v>
          </cell>
          <cell r="BQ68">
            <v>3.4285714285714284</v>
          </cell>
          <cell r="BR68" t="str">
            <v>B</v>
          </cell>
          <cell r="BS68" t="str">
            <v>GOOD</v>
          </cell>
          <cell r="BT68">
            <v>469</v>
          </cell>
          <cell r="BU68">
            <v>38</v>
          </cell>
          <cell r="BV68">
            <v>68</v>
          </cell>
        </row>
        <row r="69">
          <cell r="B69">
            <v>70</v>
          </cell>
          <cell r="C69" t="str">
            <v xml:space="preserve">Imtiaz Hossain </v>
          </cell>
          <cell r="D69" t="str">
            <v xml:space="preserve">Md. Faruk Hossen </v>
          </cell>
          <cell r="E69" t="str">
            <v xml:space="preserve">Sazeda Begum </v>
          </cell>
          <cell r="F69" t="str">
            <v>01747-402792                 01731-673248</v>
          </cell>
          <cell r="G69">
            <v>11</v>
          </cell>
          <cell r="H69">
            <v>28</v>
          </cell>
          <cell r="I69">
            <v>39</v>
          </cell>
          <cell r="J69">
            <v>24</v>
          </cell>
          <cell r="K69">
            <v>63</v>
          </cell>
          <cell r="L69">
            <v>8</v>
          </cell>
          <cell r="M69">
            <v>32</v>
          </cell>
          <cell r="N69">
            <v>40</v>
          </cell>
          <cell r="O69">
            <v>40</v>
          </cell>
          <cell r="P69">
            <v>103</v>
          </cell>
          <cell r="Q69">
            <v>0</v>
          </cell>
          <cell r="R69">
            <v>3.5</v>
          </cell>
          <cell r="S69">
            <v>9</v>
          </cell>
          <cell r="T69">
            <v>59</v>
          </cell>
          <cell r="U69">
            <v>68</v>
          </cell>
          <cell r="V69">
            <v>5</v>
          </cell>
          <cell r="W69">
            <v>22</v>
          </cell>
          <cell r="X69">
            <v>27</v>
          </cell>
          <cell r="Y69">
            <v>95</v>
          </cell>
          <cell r="Z69">
            <v>95</v>
          </cell>
          <cell r="AA69">
            <v>0</v>
          </cell>
          <cell r="AB69">
            <v>3.5</v>
          </cell>
          <cell r="AC69">
            <v>13</v>
          </cell>
          <cell r="AD69">
            <v>19</v>
          </cell>
          <cell r="AE69">
            <v>32</v>
          </cell>
          <cell r="AF69">
            <v>22</v>
          </cell>
          <cell r="AG69">
            <v>54</v>
          </cell>
          <cell r="AH69">
            <v>0</v>
          </cell>
          <cell r="AI69">
            <v>3</v>
          </cell>
          <cell r="AJ69">
            <v>12</v>
          </cell>
          <cell r="AK69">
            <v>25</v>
          </cell>
          <cell r="AL69">
            <v>37</v>
          </cell>
          <cell r="AM69">
            <v>16</v>
          </cell>
          <cell r="AN69">
            <v>53</v>
          </cell>
          <cell r="AO69">
            <v>0</v>
          </cell>
          <cell r="AP69">
            <v>3</v>
          </cell>
          <cell r="AQ69">
            <v>16</v>
          </cell>
          <cell r="AR69">
            <v>25</v>
          </cell>
          <cell r="AS69">
            <v>41</v>
          </cell>
          <cell r="AT69">
            <v>0</v>
          </cell>
          <cell r="AU69">
            <v>5</v>
          </cell>
          <cell r="AV69">
            <v>17</v>
          </cell>
          <cell r="AW69">
            <v>29</v>
          </cell>
          <cell r="AX69">
            <v>46</v>
          </cell>
          <cell r="AY69">
            <v>26</v>
          </cell>
          <cell r="AZ69">
            <v>72</v>
          </cell>
          <cell r="BA69">
            <v>0</v>
          </cell>
          <cell r="BB69">
            <v>4</v>
          </cell>
          <cell r="BC69">
            <v>11</v>
          </cell>
          <cell r="BD69">
            <v>29</v>
          </cell>
          <cell r="BE69">
            <v>40</v>
          </cell>
          <cell r="BF69">
            <v>28</v>
          </cell>
          <cell r="BG69">
            <v>68</v>
          </cell>
          <cell r="BH69">
            <v>0</v>
          </cell>
          <cell r="BI69">
            <v>3.5</v>
          </cell>
          <cell r="BJ69">
            <v>7</v>
          </cell>
          <cell r="BK69">
            <v>24</v>
          </cell>
          <cell r="BL69">
            <v>31</v>
          </cell>
          <cell r="BM69">
            <v>31</v>
          </cell>
          <cell r="BN69">
            <v>0</v>
          </cell>
          <cell r="BO69">
            <v>3.5</v>
          </cell>
          <cell r="BP69">
            <v>25.5</v>
          </cell>
          <cell r="BQ69">
            <v>3.6428571428571428</v>
          </cell>
          <cell r="BR69" t="str">
            <v>A-</v>
          </cell>
          <cell r="BS69" t="str">
            <v>GOOD</v>
          </cell>
          <cell r="BT69">
            <v>486</v>
          </cell>
          <cell r="BU69">
            <v>34</v>
          </cell>
          <cell r="BV69">
            <v>67</v>
          </cell>
        </row>
        <row r="70">
          <cell r="B70">
            <v>76</v>
          </cell>
          <cell r="C70" t="str">
            <v xml:space="preserve">Md. Fahad Hossain </v>
          </cell>
          <cell r="D70" t="str">
            <v xml:space="preserve">Md. Shukur </v>
          </cell>
          <cell r="E70" t="str">
            <v xml:space="preserve">Forida Akter </v>
          </cell>
          <cell r="F70" t="str">
            <v>01638-297604                             01620-087660</v>
          </cell>
          <cell r="G70">
            <v>12</v>
          </cell>
          <cell r="H70">
            <v>14</v>
          </cell>
          <cell r="I70">
            <v>26</v>
          </cell>
          <cell r="J70">
            <v>22</v>
          </cell>
          <cell r="K70">
            <v>48</v>
          </cell>
          <cell r="L70">
            <v>7</v>
          </cell>
          <cell r="M70">
            <v>19</v>
          </cell>
          <cell r="N70">
            <v>26</v>
          </cell>
          <cell r="O70">
            <v>26</v>
          </cell>
          <cell r="P70">
            <v>74</v>
          </cell>
          <cell r="Q70">
            <v>0</v>
          </cell>
          <cell r="R70">
            <v>3</v>
          </cell>
          <cell r="S70">
            <v>14</v>
          </cell>
          <cell r="T70">
            <v>46</v>
          </cell>
          <cell r="U70">
            <v>60</v>
          </cell>
          <cell r="V70">
            <v>4</v>
          </cell>
          <cell r="W70">
            <v>16</v>
          </cell>
          <cell r="X70">
            <v>20</v>
          </cell>
          <cell r="Y70">
            <v>80</v>
          </cell>
          <cell r="Z70">
            <v>80</v>
          </cell>
          <cell r="AA70">
            <v>0</v>
          </cell>
          <cell r="AB70">
            <v>3</v>
          </cell>
          <cell r="AC70">
            <v>5</v>
          </cell>
          <cell r="AD70">
            <v>21</v>
          </cell>
          <cell r="AE70">
            <v>26</v>
          </cell>
          <cell r="AF70">
            <v>22</v>
          </cell>
          <cell r="AG70">
            <v>48</v>
          </cell>
          <cell r="AH70">
            <v>0</v>
          </cell>
          <cell r="AI70">
            <v>2</v>
          </cell>
          <cell r="AJ70">
            <v>11</v>
          </cell>
          <cell r="AK70">
            <v>9</v>
          </cell>
          <cell r="AL70">
            <v>20</v>
          </cell>
          <cell r="AM70">
            <v>9</v>
          </cell>
          <cell r="AN70">
            <v>29</v>
          </cell>
          <cell r="AO70">
            <v>0</v>
          </cell>
          <cell r="AP70" t="str">
            <v>F</v>
          </cell>
          <cell r="AQ70">
            <v>11</v>
          </cell>
          <cell r="AR70">
            <v>25</v>
          </cell>
          <cell r="AS70">
            <v>36</v>
          </cell>
          <cell r="AT70">
            <v>0</v>
          </cell>
          <cell r="AU70">
            <v>4</v>
          </cell>
          <cell r="AV70">
            <v>12</v>
          </cell>
          <cell r="AW70">
            <v>17</v>
          </cell>
          <cell r="AX70">
            <v>29</v>
          </cell>
          <cell r="AY70">
            <v>19</v>
          </cell>
          <cell r="AZ70">
            <v>48</v>
          </cell>
          <cell r="BA70">
            <v>0</v>
          </cell>
          <cell r="BB70">
            <v>2</v>
          </cell>
          <cell r="BC70">
            <v>10</v>
          </cell>
          <cell r="BD70">
            <v>13</v>
          </cell>
          <cell r="BE70">
            <v>23</v>
          </cell>
          <cell r="BF70">
            <v>18</v>
          </cell>
          <cell r="BG70">
            <v>41</v>
          </cell>
          <cell r="BH70">
            <v>0</v>
          </cell>
          <cell r="BI70">
            <v>2</v>
          </cell>
          <cell r="BJ70">
            <v>7</v>
          </cell>
          <cell r="BK70">
            <v>24</v>
          </cell>
          <cell r="BL70">
            <v>31</v>
          </cell>
          <cell r="BM70">
            <v>31</v>
          </cell>
          <cell r="BN70">
            <v>0</v>
          </cell>
          <cell r="BO70">
            <v>3.5</v>
          </cell>
          <cell r="BP70" t="str">
            <v>F</v>
          </cell>
          <cell r="BQ70" t="str">
            <v>F</v>
          </cell>
          <cell r="BR70" t="str">
            <v>F</v>
          </cell>
          <cell r="BS70" t="str">
            <v>NEED TO PROGRESS</v>
          </cell>
          <cell r="BT70">
            <v>356</v>
          </cell>
          <cell r="BU70">
            <v>0</v>
          </cell>
          <cell r="BV70">
            <v>65</v>
          </cell>
        </row>
        <row r="71">
          <cell r="B71">
            <v>77</v>
          </cell>
          <cell r="C71" t="str">
            <v>Yasin Ahmed</v>
          </cell>
          <cell r="D71" t="str">
            <v xml:space="preserve">Md. Salem </v>
          </cell>
          <cell r="E71" t="str">
            <v xml:space="preserve">Syeda Yeasmin </v>
          </cell>
          <cell r="F71" t="str">
            <v>01739-641604                  01760-066672</v>
          </cell>
          <cell r="G71">
            <v>9</v>
          </cell>
          <cell r="H71">
            <v>21</v>
          </cell>
          <cell r="I71">
            <v>30</v>
          </cell>
          <cell r="J71">
            <v>21</v>
          </cell>
          <cell r="K71">
            <v>51</v>
          </cell>
          <cell r="L71">
            <v>9</v>
          </cell>
          <cell r="M71">
            <v>26</v>
          </cell>
          <cell r="N71">
            <v>35</v>
          </cell>
          <cell r="O71">
            <v>35</v>
          </cell>
          <cell r="P71">
            <v>86</v>
          </cell>
          <cell r="Q71">
            <v>0</v>
          </cell>
          <cell r="R71">
            <v>3</v>
          </cell>
          <cell r="S71">
            <v>8</v>
          </cell>
          <cell r="T71">
            <v>32</v>
          </cell>
          <cell r="U71">
            <v>40</v>
          </cell>
          <cell r="V71">
            <v>4</v>
          </cell>
          <cell r="W71">
            <v>8</v>
          </cell>
          <cell r="X71">
            <v>12</v>
          </cell>
          <cell r="Y71">
            <v>52</v>
          </cell>
          <cell r="Z71">
            <v>52</v>
          </cell>
          <cell r="AA71">
            <v>0</v>
          </cell>
          <cell r="AB71" t="str">
            <v>F</v>
          </cell>
          <cell r="AC71">
            <v>8</v>
          </cell>
          <cell r="AD71">
            <v>12</v>
          </cell>
          <cell r="AE71">
            <v>20</v>
          </cell>
          <cell r="AF71">
            <v>21</v>
          </cell>
          <cell r="AG71">
            <v>41</v>
          </cell>
          <cell r="AH71">
            <v>0</v>
          </cell>
          <cell r="AI71">
            <v>2</v>
          </cell>
          <cell r="AJ71">
            <v>11</v>
          </cell>
          <cell r="AK71">
            <v>22</v>
          </cell>
          <cell r="AL71">
            <v>33</v>
          </cell>
          <cell r="AM71">
            <v>12</v>
          </cell>
          <cell r="AN71">
            <v>45</v>
          </cell>
          <cell r="AO71">
            <v>0</v>
          </cell>
          <cell r="AP71">
            <v>2</v>
          </cell>
          <cell r="AQ71">
            <v>15</v>
          </cell>
          <cell r="AR71">
            <v>25</v>
          </cell>
          <cell r="AS71">
            <v>40</v>
          </cell>
          <cell r="AT71">
            <v>0</v>
          </cell>
          <cell r="AU71">
            <v>5</v>
          </cell>
          <cell r="AV71">
            <v>11</v>
          </cell>
          <cell r="AW71">
            <v>19</v>
          </cell>
          <cell r="AX71">
            <v>30</v>
          </cell>
          <cell r="AY71">
            <v>16</v>
          </cell>
          <cell r="AZ71">
            <v>46</v>
          </cell>
          <cell r="BA71">
            <v>0</v>
          </cell>
          <cell r="BB71">
            <v>2</v>
          </cell>
          <cell r="BC71">
            <v>9</v>
          </cell>
          <cell r="BD71">
            <v>13</v>
          </cell>
          <cell r="BE71">
            <v>22</v>
          </cell>
          <cell r="BF71">
            <v>20</v>
          </cell>
          <cell r="BG71">
            <v>42</v>
          </cell>
          <cell r="BH71">
            <v>0</v>
          </cell>
          <cell r="BI71">
            <v>2</v>
          </cell>
          <cell r="BJ71">
            <v>6</v>
          </cell>
          <cell r="BK71">
            <v>20</v>
          </cell>
          <cell r="BL71">
            <v>26</v>
          </cell>
          <cell r="BM71">
            <v>26</v>
          </cell>
          <cell r="BN71">
            <v>0</v>
          </cell>
          <cell r="BO71">
            <v>3</v>
          </cell>
          <cell r="BP71" t="str">
            <v>F</v>
          </cell>
          <cell r="BQ71" t="str">
            <v>F</v>
          </cell>
          <cell r="BR71" t="str">
            <v>F</v>
          </cell>
          <cell r="BS71" t="str">
            <v>NEED TO PROGRESS</v>
          </cell>
          <cell r="BT71">
            <v>352</v>
          </cell>
          <cell r="BU71">
            <v>0</v>
          </cell>
          <cell r="BV71">
            <v>62</v>
          </cell>
        </row>
        <row r="72">
          <cell r="B72">
            <v>78</v>
          </cell>
          <cell r="C72" t="str">
            <v xml:space="preserve">Md Saymon Arafat </v>
          </cell>
          <cell r="D72" t="str">
            <v xml:space="preserve">Md. Bablu Miah </v>
          </cell>
          <cell r="E72" t="str">
            <v>Miss Yesmin Akter</v>
          </cell>
          <cell r="F72" t="str">
            <v>01790-842624     01790-842622</v>
          </cell>
          <cell r="G72">
            <v>10</v>
          </cell>
          <cell r="H72">
            <v>21</v>
          </cell>
          <cell r="I72">
            <v>31</v>
          </cell>
          <cell r="J72">
            <v>26</v>
          </cell>
          <cell r="K72">
            <v>57</v>
          </cell>
          <cell r="L72">
            <v>4</v>
          </cell>
          <cell r="M72">
            <v>30</v>
          </cell>
          <cell r="N72">
            <v>34</v>
          </cell>
          <cell r="O72">
            <v>34</v>
          </cell>
          <cell r="P72">
            <v>91</v>
          </cell>
          <cell r="Q72">
            <v>0</v>
          </cell>
          <cell r="R72">
            <v>3</v>
          </cell>
          <cell r="S72">
            <v>10</v>
          </cell>
          <cell r="T72">
            <v>41</v>
          </cell>
          <cell r="U72">
            <v>51</v>
          </cell>
          <cell r="V72">
            <v>5</v>
          </cell>
          <cell r="W72">
            <v>20</v>
          </cell>
          <cell r="X72">
            <v>25</v>
          </cell>
          <cell r="Y72">
            <v>76</v>
          </cell>
          <cell r="Z72">
            <v>76</v>
          </cell>
          <cell r="AA72">
            <v>0</v>
          </cell>
          <cell r="AB72">
            <v>3</v>
          </cell>
          <cell r="AC72">
            <v>18</v>
          </cell>
          <cell r="AD72">
            <v>35</v>
          </cell>
          <cell r="AE72">
            <v>53</v>
          </cell>
          <cell r="AF72">
            <v>27</v>
          </cell>
          <cell r="AG72">
            <v>80</v>
          </cell>
          <cell r="AH72">
            <v>0</v>
          </cell>
          <cell r="AI72">
            <v>5</v>
          </cell>
          <cell r="AJ72">
            <v>12</v>
          </cell>
          <cell r="AK72">
            <v>24</v>
          </cell>
          <cell r="AL72">
            <v>36</v>
          </cell>
          <cell r="AM72">
            <v>17</v>
          </cell>
          <cell r="AN72">
            <v>53</v>
          </cell>
          <cell r="AO72">
            <v>0</v>
          </cell>
          <cell r="AP72">
            <v>3</v>
          </cell>
          <cell r="AQ72">
            <v>20</v>
          </cell>
          <cell r="AR72">
            <v>25</v>
          </cell>
          <cell r="AS72">
            <v>45</v>
          </cell>
          <cell r="AT72">
            <v>0</v>
          </cell>
          <cell r="AU72">
            <v>5</v>
          </cell>
          <cell r="AV72">
            <v>13</v>
          </cell>
          <cell r="AW72">
            <v>28</v>
          </cell>
          <cell r="AX72">
            <v>41</v>
          </cell>
          <cell r="AY72">
            <v>22</v>
          </cell>
          <cell r="AZ72">
            <v>63</v>
          </cell>
          <cell r="BA72">
            <v>0</v>
          </cell>
          <cell r="BB72">
            <v>3.5</v>
          </cell>
          <cell r="BC72">
            <v>10</v>
          </cell>
          <cell r="BD72">
            <v>21</v>
          </cell>
          <cell r="BE72">
            <v>31</v>
          </cell>
          <cell r="BF72">
            <v>27</v>
          </cell>
          <cell r="BG72">
            <v>58</v>
          </cell>
          <cell r="BH72">
            <v>0</v>
          </cell>
          <cell r="BI72">
            <v>3</v>
          </cell>
          <cell r="BJ72">
            <v>9</v>
          </cell>
          <cell r="BK72">
            <v>24</v>
          </cell>
          <cell r="BL72">
            <v>33</v>
          </cell>
          <cell r="BM72">
            <v>33</v>
          </cell>
          <cell r="BN72">
            <v>0</v>
          </cell>
          <cell r="BO72">
            <v>3.5</v>
          </cell>
          <cell r="BP72">
            <v>25.5</v>
          </cell>
          <cell r="BQ72">
            <v>3.6428571428571428</v>
          </cell>
          <cell r="BR72" t="str">
            <v>A-</v>
          </cell>
          <cell r="BS72" t="str">
            <v>GOOD</v>
          </cell>
          <cell r="BT72">
            <v>466</v>
          </cell>
          <cell r="BU72">
            <v>35</v>
          </cell>
          <cell r="BV72">
            <v>55</v>
          </cell>
        </row>
        <row r="73">
          <cell r="B73">
            <v>79</v>
          </cell>
          <cell r="C73" t="str">
            <v>Rownak Hossain</v>
          </cell>
          <cell r="D73" t="str">
            <v xml:space="preserve">Bayezid Hossain </v>
          </cell>
          <cell r="E73" t="str">
            <v xml:space="preserve">Shahida Yesmin </v>
          </cell>
          <cell r="F73" t="str">
            <v>01313-951693</v>
          </cell>
          <cell r="G73">
            <v>8</v>
          </cell>
          <cell r="H73">
            <v>17</v>
          </cell>
          <cell r="I73">
            <v>25</v>
          </cell>
          <cell r="J73">
            <v>16</v>
          </cell>
          <cell r="K73">
            <v>41</v>
          </cell>
          <cell r="L73">
            <v>6</v>
          </cell>
          <cell r="M73">
            <v>16</v>
          </cell>
          <cell r="N73">
            <v>22</v>
          </cell>
          <cell r="O73">
            <v>22</v>
          </cell>
          <cell r="P73">
            <v>63</v>
          </cell>
          <cell r="Q73">
            <v>0</v>
          </cell>
          <cell r="R73">
            <v>2</v>
          </cell>
          <cell r="S73">
            <v>9</v>
          </cell>
          <cell r="T73">
            <v>16</v>
          </cell>
          <cell r="U73">
            <v>25</v>
          </cell>
          <cell r="V73">
            <v>1</v>
          </cell>
          <cell r="W73">
            <v>9</v>
          </cell>
          <cell r="X73">
            <v>10</v>
          </cell>
          <cell r="Y73">
            <v>35</v>
          </cell>
          <cell r="Z73">
            <v>35</v>
          </cell>
          <cell r="AA73">
            <v>0</v>
          </cell>
          <cell r="AB73" t="str">
            <v>F</v>
          </cell>
          <cell r="AC73">
            <v>5</v>
          </cell>
          <cell r="AD73">
            <v>5</v>
          </cell>
          <cell r="AE73">
            <v>10</v>
          </cell>
          <cell r="AF73">
            <v>9</v>
          </cell>
          <cell r="AG73">
            <v>19</v>
          </cell>
          <cell r="AH73">
            <v>0</v>
          </cell>
          <cell r="AI73" t="str">
            <v>F</v>
          </cell>
          <cell r="AJ73">
            <v>12</v>
          </cell>
          <cell r="AK73">
            <v>9</v>
          </cell>
          <cell r="AL73">
            <v>21</v>
          </cell>
          <cell r="AM73">
            <v>19</v>
          </cell>
          <cell r="AN73">
            <v>40</v>
          </cell>
          <cell r="AO73">
            <v>0</v>
          </cell>
          <cell r="AP73">
            <v>2</v>
          </cell>
          <cell r="AQ73">
            <v>8</v>
          </cell>
          <cell r="AR73">
            <v>25</v>
          </cell>
          <cell r="AS73">
            <v>33</v>
          </cell>
          <cell r="AT73">
            <v>0</v>
          </cell>
          <cell r="AU73">
            <v>3.5</v>
          </cell>
          <cell r="AV73">
            <v>11</v>
          </cell>
          <cell r="AW73">
            <v>2</v>
          </cell>
          <cell r="AX73">
            <v>13</v>
          </cell>
          <cell r="AY73">
            <v>14</v>
          </cell>
          <cell r="AZ73">
            <v>27</v>
          </cell>
          <cell r="BA73">
            <v>0</v>
          </cell>
          <cell r="BB73" t="str">
            <v>F</v>
          </cell>
          <cell r="BC73">
            <v>8</v>
          </cell>
          <cell r="BD73">
            <v>15</v>
          </cell>
          <cell r="BE73">
            <v>23</v>
          </cell>
          <cell r="BF73">
            <v>17</v>
          </cell>
          <cell r="BG73">
            <v>40</v>
          </cell>
          <cell r="BH73">
            <v>0</v>
          </cell>
          <cell r="BI73">
            <v>2</v>
          </cell>
          <cell r="BJ73">
            <v>5</v>
          </cell>
          <cell r="BK73">
            <v>20</v>
          </cell>
          <cell r="BL73">
            <v>25</v>
          </cell>
          <cell r="BM73">
            <v>25</v>
          </cell>
          <cell r="BN73">
            <v>0</v>
          </cell>
          <cell r="BO73">
            <v>3</v>
          </cell>
          <cell r="BP73" t="str">
            <v>F</v>
          </cell>
          <cell r="BQ73" t="str">
            <v>F</v>
          </cell>
          <cell r="BR73" t="str">
            <v>F</v>
          </cell>
          <cell r="BS73" t="str">
            <v>NEED TO PROGRESS</v>
          </cell>
          <cell r="BT73">
            <v>257</v>
          </cell>
          <cell r="BU73">
            <v>0</v>
          </cell>
          <cell r="BV73">
            <v>56</v>
          </cell>
        </row>
        <row r="74">
          <cell r="B74">
            <v>80</v>
          </cell>
          <cell r="C74" t="str">
            <v xml:space="preserve">Mohammad Nihad Hosen </v>
          </cell>
          <cell r="D74" t="str">
            <v xml:space="preserve">Md Nazir Patwary </v>
          </cell>
          <cell r="E74" t="str">
            <v xml:space="preserve">Khadiza Begum </v>
          </cell>
          <cell r="F74" t="str">
            <v>01711-716233     01916-803533</v>
          </cell>
          <cell r="G74">
            <v>12</v>
          </cell>
          <cell r="H74">
            <v>25</v>
          </cell>
          <cell r="I74">
            <v>37</v>
          </cell>
          <cell r="J74">
            <v>16</v>
          </cell>
          <cell r="K74">
            <v>53</v>
          </cell>
          <cell r="L74">
            <v>8</v>
          </cell>
          <cell r="M74">
            <v>19</v>
          </cell>
          <cell r="N74">
            <v>27</v>
          </cell>
          <cell r="O74">
            <v>27</v>
          </cell>
          <cell r="P74">
            <v>80</v>
          </cell>
          <cell r="Q74">
            <v>0</v>
          </cell>
          <cell r="R74">
            <v>3</v>
          </cell>
          <cell r="S74">
            <v>12</v>
          </cell>
          <cell r="T74">
            <v>32</v>
          </cell>
          <cell r="U74">
            <v>44</v>
          </cell>
          <cell r="V74">
            <v>5</v>
          </cell>
          <cell r="W74">
            <v>16</v>
          </cell>
          <cell r="X74">
            <v>21</v>
          </cell>
          <cell r="Y74">
            <v>65</v>
          </cell>
          <cell r="Z74">
            <v>65</v>
          </cell>
          <cell r="AA74">
            <v>0</v>
          </cell>
          <cell r="AB74">
            <v>2</v>
          </cell>
          <cell r="AC74">
            <v>13</v>
          </cell>
          <cell r="AD74">
            <v>13</v>
          </cell>
          <cell r="AE74">
            <v>26</v>
          </cell>
          <cell r="AF74">
            <v>17</v>
          </cell>
          <cell r="AG74">
            <v>43</v>
          </cell>
          <cell r="AH74">
            <v>0</v>
          </cell>
          <cell r="AI74">
            <v>2</v>
          </cell>
          <cell r="AJ74">
            <v>15</v>
          </cell>
          <cell r="AK74">
            <v>22</v>
          </cell>
          <cell r="AL74">
            <v>37</v>
          </cell>
          <cell r="AM74">
            <v>26</v>
          </cell>
          <cell r="AN74">
            <v>63</v>
          </cell>
          <cell r="AO74">
            <v>0</v>
          </cell>
          <cell r="AP74">
            <v>3.5</v>
          </cell>
          <cell r="AQ74">
            <v>11</v>
          </cell>
          <cell r="AR74">
            <v>25</v>
          </cell>
          <cell r="AS74">
            <v>36</v>
          </cell>
          <cell r="AT74">
            <v>0</v>
          </cell>
          <cell r="AU74">
            <v>4</v>
          </cell>
          <cell r="AV74">
            <v>11</v>
          </cell>
          <cell r="AW74">
            <v>17</v>
          </cell>
          <cell r="AX74">
            <v>28</v>
          </cell>
          <cell r="AY74">
            <v>21</v>
          </cell>
          <cell r="AZ74">
            <v>49</v>
          </cell>
          <cell r="BA74">
            <v>0</v>
          </cell>
          <cell r="BB74">
            <v>2</v>
          </cell>
          <cell r="BC74">
            <v>10</v>
          </cell>
          <cell r="BD74">
            <v>21</v>
          </cell>
          <cell r="BE74">
            <v>31</v>
          </cell>
          <cell r="BF74">
            <v>14</v>
          </cell>
          <cell r="BG74">
            <v>45</v>
          </cell>
          <cell r="BH74">
            <v>0</v>
          </cell>
          <cell r="BI74">
            <v>2</v>
          </cell>
          <cell r="BJ74">
            <v>7</v>
          </cell>
          <cell r="BK74">
            <v>20</v>
          </cell>
          <cell r="BL74">
            <v>27</v>
          </cell>
          <cell r="BM74">
            <v>27</v>
          </cell>
          <cell r="BN74">
            <v>0</v>
          </cell>
          <cell r="BO74">
            <v>3</v>
          </cell>
          <cell r="BP74">
            <v>18.5</v>
          </cell>
          <cell r="BQ74">
            <v>2.6428571428571428</v>
          </cell>
          <cell r="BR74" t="str">
            <v>C</v>
          </cell>
          <cell r="BS74" t="str">
            <v>GOOD</v>
          </cell>
          <cell r="BT74">
            <v>381</v>
          </cell>
          <cell r="BU74">
            <v>52</v>
          </cell>
          <cell r="BV74">
            <v>58</v>
          </cell>
        </row>
        <row r="75">
          <cell r="B75">
            <v>82</v>
          </cell>
          <cell r="C75" t="str">
            <v xml:space="preserve">Moriom Akther Riya </v>
          </cell>
          <cell r="D75" t="str">
            <v xml:space="preserve">Md Rasal Hossain </v>
          </cell>
          <cell r="E75" t="str">
            <v xml:space="preserve">Mst. Salma Begum </v>
          </cell>
          <cell r="F75" t="str">
            <v xml:space="preserve">01929-564162 </v>
          </cell>
          <cell r="G75">
            <v>13</v>
          </cell>
          <cell r="H75">
            <v>21</v>
          </cell>
          <cell r="I75">
            <v>34</v>
          </cell>
          <cell r="J75">
            <v>15</v>
          </cell>
          <cell r="K75">
            <v>49</v>
          </cell>
          <cell r="L75">
            <v>9</v>
          </cell>
          <cell r="M75">
            <v>25</v>
          </cell>
          <cell r="N75">
            <v>34</v>
          </cell>
          <cell r="O75">
            <v>34</v>
          </cell>
          <cell r="P75">
            <v>83</v>
          </cell>
          <cell r="Q75">
            <v>0</v>
          </cell>
          <cell r="R75">
            <v>3</v>
          </cell>
          <cell r="S75">
            <v>10</v>
          </cell>
          <cell r="T75">
            <v>36</v>
          </cell>
          <cell r="U75">
            <v>46</v>
          </cell>
          <cell r="V75">
            <v>5</v>
          </cell>
          <cell r="W75">
            <v>16</v>
          </cell>
          <cell r="X75">
            <v>21</v>
          </cell>
          <cell r="Y75">
            <v>67</v>
          </cell>
          <cell r="Z75">
            <v>67</v>
          </cell>
          <cell r="AA75">
            <v>0</v>
          </cell>
          <cell r="AB75">
            <v>2</v>
          </cell>
          <cell r="AC75">
            <v>12</v>
          </cell>
          <cell r="AD75">
            <v>15</v>
          </cell>
          <cell r="AE75">
            <v>27</v>
          </cell>
          <cell r="AF75">
            <v>17</v>
          </cell>
          <cell r="AG75">
            <v>44</v>
          </cell>
          <cell r="AH75">
            <v>0</v>
          </cell>
          <cell r="AI75">
            <v>2</v>
          </cell>
          <cell r="AJ75">
            <v>11</v>
          </cell>
          <cell r="AK75">
            <v>19</v>
          </cell>
          <cell r="AL75">
            <v>30</v>
          </cell>
          <cell r="AM75">
            <v>14</v>
          </cell>
          <cell r="AN75">
            <v>44</v>
          </cell>
          <cell r="AO75">
            <v>0</v>
          </cell>
          <cell r="AP75">
            <v>2</v>
          </cell>
          <cell r="AQ75">
            <v>15</v>
          </cell>
          <cell r="AR75">
            <v>25</v>
          </cell>
          <cell r="AS75">
            <v>40</v>
          </cell>
          <cell r="AT75">
            <v>0</v>
          </cell>
          <cell r="AU75">
            <v>5</v>
          </cell>
          <cell r="AV75">
            <v>13</v>
          </cell>
          <cell r="AW75">
            <v>19</v>
          </cell>
          <cell r="AX75">
            <v>32</v>
          </cell>
          <cell r="AY75">
            <v>21</v>
          </cell>
          <cell r="AZ75">
            <v>53</v>
          </cell>
          <cell r="BA75">
            <v>0</v>
          </cell>
          <cell r="BB75">
            <v>3</v>
          </cell>
          <cell r="BC75">
            <v>9</v>
          </cell>
          <cell r="BD75">
            <v>17</v>
          </cell>
          <cell r="BE75">
            <v>26</v>
          </cell>
          <cell r="BF75">
            <v>14</v>
          </cell>
          <cell r="BG75">
            <v>40</v>
          </cell>
          <cell r="BH75">
            <v>0</v>
          </cell>
          <cell r="BI75">
            <v>2</v>
          </cell>
          <cell r="BJ75">
            <v>7</v>
          </cell>
          <cell r="BK75">
            <v>20</v>
          </cell>
          <cell r="BL75">
            <v>27</v>
          </cell>
          <cell r="BM75">
            <v>27</v>
          </cell>
          <cell r="BN75">
            <v>0</v>
          </cell>
          <cell r="BO75">
            <v>3</v>
          </cell>
          <cell r="BP75">
            <v>19</v>
          </cell>
          <cell r="BQ75">
            <v>2.7142857142857144</v>
          </cell>
          <cell r="BR75" t="str">
            <v>C</v>
          </cell>
          <cell r="BS75" t="str">
            <v>GOOD</v>
          </cell>
          <cell r="BT75">
            <v>371</v>
          </cell>
          <cell r="BU75">
            <v>53</v>
          </cell>
          <cell r="BV75">
            <v>57</v>
          </cell>
        </row>
        <row r="76">
          <cell r="B76">
            <v>83</v>
          </cell>
          <cell r="C76" t="str">
            <v xml:space="preserve">Md. Mafidul Alam </v>
          </cell>
          <cell r="D76" t="str">
            <v xml:space="preserve">Md. Mahbubul Alam </v>
          </cell>
          <cell r="E76" t="str">
            <v xml:space="preserve">Dil Afroze </v>
          </cell>
          <cell r="F76" t="str">
            <v>01779-528999                   01736-181876</v>
          </cell>
          <cell r="G76">
            <v>8</v>
          </cell>
          <cell r="H76">
            <v>14</v>
          </cell>
          <cell r="I76">
            <v>22</v>
          </cell>
          <cell r="J76">
            <v>13</v>
          </cell>
          <cell r="K76">
            <v>35</v>
          </cell>
          <cell r="L76">
            <v>5</v>
          </cell>
          <cell r="M76">
            <v>16</v>
          </cell>
          <cell r="N76">
            <v>21</v>
          </cell>
          <cell r="O76">
            <v>21</v>
          </cell>
          <cell r="P76">
            <v>56</v>
          </cell>
          <cell r="Q76">
            <v>0</v>
          </cell>
          <cell r="R76" t="str">
            <v>F</v>
          </cell>
          <cell r="S76">
            <v>12</v>
          </cell>
          <cell r="T76">
            <v>28</v>
          </cell>
          <cell r="U76">
            <v>40</v>
          </cell>
          <cell r="V76">
            <v>4</v>
          </cell>
          <cell r="W76">
            <v>9</v>
          </cell>
          <cell r="X76">
            <v>13</v>
          </cell>
          <cell r="Y76">
            <v>53</v>
          </cell>
          <cell r="Z76">
            <v>53</v>
          </cell>
          <cell r="AA76">
            <v>0</v>
          </cell>
          <cell r="AB76" t="str">
            <v>F</v>
          </cell>
          <cell r="AC76">
            <v>5</v>
          </cell>
          <cell r="AD76">
            <v>0</v>
          </cell>
          <cell r="AE76">
            <v>5</v>
          </cell>
          <cell r="AF76">
            <v>8</v>
          </cell>
          <cell r="AG76">
            <v>13</v>
          </cell>
          <cell r="AH76">
            <v>0</v>
          </cell>
          <cell r="AI76" t="str">
            <v>F</v>
          </cell>
          <cell r="AJ76">
            <v>9</v>
          </cell>
          <cell r="AK76">
            <v>20</v>
          </cell>
          <cell r="AL76">
            <v>29</v>
          </cell>
          <cell r="AM76">
            <v>11</v>
          </cell>
          <cell r="AN76">
            <v>40</v>
          </cell>
          <cell r="AO76">
            <v>0</v>
          </cell>
          <cell r="AP76">
            <v>2</v>
          </cell>
          <cell r="AQ76">
            <v>12</v>
          </cell>
          <cell r="AR76">
            <v>25</v>
          </cell>
          <cell r="AS76">
            <v>37</v>
          </cell>
          <cell r="AT76">
            <v>0</v>
          </cell>
          <cell r="AU76">
            <v>4</v>
          </cell>
          <cell r="AV76">
            <v>10</v>
          </cell>
          <cell r="AW76">
            <v>5</v>
          </cell>
          <cell r="AX76">
            <v>15</v>
          </cell>
          <cell r="AY76">
            <v>17</v>
          </cell>
          <cell r="AZ76">
            <v>32</v>
          </cell>
          <cell r="BA76">
            <v>0</v>
          </cell>
          <cell r="BB76" t="str">
            <v>F</v>
          </cell>
          <cell r="BC76">
            <v>4</v>
          </cell>
          <cell r="BD76">
            <v>18</v>
          </cell>
          <cell r="BE76">
            <v>22</v>
          </cell>
          <cell r="BF76">
            <v>18</v>
          </cell>
          <cell r="BG76">
            <v>40</v>
          </cell>
          <cell r="BH76">
            <v>0</v>
          </cell>
          <cell r="BI76">
            <v>2</v>
          </cell>
          <cell r="BJ76">
            <v>4</v>
          </cell>
          <cell r="BK76">
            <v>20</v>
          </cell>
          <cell r="BL76">
            <v>24</v>
          </cell>
          <cell r="BM76">
            <v>24</v>
          </cell>
          <cell r="BN76">
            <v>0</v>
          </cell>
          <cell r="BO76">
            <v>2</v>
          </cell>
          <cell r="BP76" t="str">
            <v>F</v>
          </cell>
          <cell r="BQ76" t="str">
            <v>F</v>
          </cell>
          <cell r="BR76" t="str">
            <v>F</v>
          </cell>
          <cell r="BS76" t="str">
            <v>NEED TO PROGRESS</v>
          </cell>
          <cell r="BT76">
            <v>271</v>
          </cell>
          <cell r="BU76">
            <v>0</v>
          </cell>
          <cell r="BV76">
            <v>64</v>
          </cell>
        </row>
        <row r="77">
          <cell r="B77">
            <v>84</v>
          </cell>
          <cell r="C77" t="str">
            <v xml:space="preserve">Kashfi Mahamud Rahat </v>
          </cell>
          <cell r="D77" t="str">
            <v xml:space="preserve">Md. Rabiul Awal </v>
          </cell>
          <cell r="E77" t="str">
            <v xml:space="preserve">Kulsum Akter Riya </v>
          </cell>
          <cell r="F77" t="str">
            <v>01978-607017      01939-771183</v>
          </cell>
          <cell r="G77">
            <v>8</v>
          </cell>
          <cell r="H77">
            <v>6</v>
          </cell>
          <cell r="I77">
            <v>14</v>
          </cell>
          <cell r="J77">
            <v>23</v>
          </cell>
          <cell r="K77">
            <v>37</v>
          </cell>
          <cell r="L77">
            <v>3</v>
          </cell>
          <cell r="M77">
            <v>14</v>
          </cell>
          <cell r="N77">
            <v>17</v>
          </cell>
          <cell r="O77">
            <v>17</v>
          </cell>
          <cell r="P77">
            <v>54</v>
          </cell>
          <cell r="Q77">
            <v>0</v>
          </cell>
          <cell r="R77" t="str">
            <v>F</v>
          </cell>
          <cell r="S77">
            <v>11</v>
          </cell>
          <cell r="T77">
            <v>29</v>
          </cell>
          <cell r="U77">
            <v>40</v>
          </cell>
          <cell r="V77">
            <v>3</v>
          </cell>
          <cell r="W77">
            <v>7</v>
          </cell>
          <cell r="X77">
            <v>10</v>
          </cell>
          <cell r="Y77">
            <v>50</v>
          </cell>
          <cell r="Z77">
            <v>50</v>
          </cell>
          <cell r="AA77">
            <v>0</v>
          </cell>
          <cell r="AB77" t="str">
            <v>F</v>
          </cell>
          <cell r="AC77">
            <v>5</v>
          </cell>
          <cell r="AD77">
            <v>2</v>
          </cell>
          <cell r="AE77">
            <v>7</v>
          </cell>
          <cell r="AF77">
            <v>10</v>
          </cell>
          <cell r="AG77">
            <v>17</v>
          </cell>
          <cell r="AH77">
            <v>0</v>
          </cell>
          <cell r="AI77" t="str">
            <v>F</v>
          </cell>
          <cell r="AJ77">
            <v>10</v>
          </cell>
          <cell r="AK77">
            <v>4</v>
          </cell>
          <cell r="AL77">
            <v>14</v>
          </cell>
          <cell r="AM77">
            <v>3</v>
          </cell>
          <cell r="AN77">
            <v>17</v>
          </cell>
          <cell r="AO77">
            <v>0</v>
          </cell>
          <cell r="AP77" t="str">
            <v>F</v>
          </cell>
          <cell r="AQ77">
            <v>12</v>
          </cell>
          <cell r="AR77">
            <v>25</v>
          </cell>
          <cell r="AS77">
            <v>37</v>
          </cell>
          <cell r="AT77">
            <v>0</v>
          </cell>
          <cell r="AU77">
            <v>4</v>
          </cell>
          <cell r="AV77">
            <v>8</v>
          </cell>
          <cell r="AW77">
            <v>1</v>
          </cell>
          <cell r="AX77">
            <v>9</v>
          </cell>
          <cell r="AY77">
            <v>17</v>
          </cell>
          <cell r="AZ77">
            <v>26</v>
          </cell>
          <cell r="BA77">
            <v>0</v>
          </cell>
          <cell r="BB77" t="str">
            <v>F</v>
          </cell>
          <cell r="BC77">
            <v>4</v>
          </cell>
          <cell r="BD77">
            <v>14</v>
          </cell>
          <cell r="BE77">
            <v>18</v>
          </cell>
          <cell r="BF77">
            <v>22</v>
          </cell>
          <cell r="BG77">
            <v>40</v>
          </cell>
          <cell r="BH77">
            <v>0</v>
          </cell>
          <cell r="BI77">
            <v>2</v>
          </cell>
          <cell r="BJ77">
            <v>5</v>
          </cell>
          <cell r="BK77">
            <v>20</v>
          </cell>
          <cell r="BL77">
            <v>25</v>
          </cell>
          <cell r="BM77">
            <v>25</v>
          </cell>
          <cell r="BN77">
            <v>0</v>
          </cell>
          <cell r="BO77">
            <v>3</v>
          </cell>
          <cell r="BP77" t="str">
            <v>F</v>
          </cell>
          <cell r="BQ77" t="str">
            <v>F</v>
          </cell>
          <cell r="BR77" t="str">
            <v>F</v>
          </cell>
          <cell r="BS77" t="str">
            <v>NEED TO PROGRESS</v>
          </cell>
          <cell r="BT77">
            <v>241</v>
          </cell>
          <cell r="BU77">
            <v>0</v>
          </cell>
          <cell r="BV77">
            <v>64</v>
          </cell>
        </row>
        <row r="78">
          <cell r="B78">
            <v>85</v>
          </cell>
          <cell r="C78" t="str">
            <v xml:space="preserve">Md. Tamim </v>
          </cell>
          <cell r="D78" t="str">
            <v xml:space="preserve">Md. Jahangir </v>
          </cell>
          <cell r="E78" t="str">
            <v xml:space="preserve">Arju </v>
          </cell>
          <cell r="F78" t="str">
            <v>01718-729346</v>
          </cell>
          <cell r="G78">
            <v>12</v>
          </cell>
          <cell r="H78">
            <v>20</v>
          </cell>
          <cell r="I78">
            <v>32</v>
          </cell>
          <cell r="J78">
            <v>23</v>
          </cell>
          <cell r="K78">
            <v>55</v>
          </cell>
          <cell r="L78">
            <v>4</v>
          </cell>
          <cell r="M78">
            <v>22</v>
          </cell>
          <cell r="N78">
            <v>26</v>
          </cell>
          <cell r="O78">
            <v>26</v>
          </cell>
          <cell r="P78">
            <v>81</v>
          </cell>
          <cell r="Q78">
            <v>0</v>
          </cell>
          <cell r="R78">
            <v>3</v>
          </cell>
          <cell r="S78">
            <v>11</v>
          </cell>
          <cell r="T78">
            <v>21</v>
          </cell>
          <cell r="U78">
            <v>32</v>
          </cell>
          <cell r="V78">
            <v>4</v>
          </cell>
          <cell r="W78">
            <v>11</v>
          </cell>
          <cell r="X78">
            <v>15</v>
          </cell>
          <cell r="Y78">
            <v>47</v>
          </cell>
          <cell r="Z78">
            <v>47</v>
          </cell>
          <cell r="AA78">
            <v>0</v>
          </cell>
          <cell r="AB78" t="str">
            <v>F</v>
          </cell>
          <cell r="AC78">
            <v>5</v>
          </cell>
          <cell r="AD78">
            <v>7</v>
          </cell>
          <cell r="AE78">
            <v>12</v>
          </cell>
          <cell r="AF78">
            <v>16</v>
          </cell>
          <cell r="AG78">
            <v>28</v>
          </cell>
          <cell r="AH78">
            <v>0</v>
          </cell>
          <cell r="AI78" t="str">
            <v>F</v>
          </cell>
          <cell r="AJ78">
            <v>9</v>
          </cell>
          <cell r="AK78">
            <v>26</v>
          </cell>
          <cell r="AL78">
            <v>35</v>
          </cell>
          <cell r="AM78">
            <v>8</v>
          </cell>
          <cell r="AN78">
            <v>43</v>
          </cell>
          <cell r="AO78">
            <v>0</v>
          </cell>
          <cell r="AP78">
            <v>2</v>
          </cell>
          <cell r="AQ78">
            <v>15</v>
          </cell>
          <cell r="AR78">
            <v>25</v>
          </cell>
          <cell r="AS78">
            <v>40</v>
          </cell>
          <cell r="AT78">
            <v>0</v>
          </cell>
          <cell r="AU78">
            <v>5</v>
          </cell>
          <cell r="AV78">
            <v>10</v>
          </cell>
          <cell r="AW78">
            <v>28</v>
          </cell>
          <cell r="AX78">
            <v>38</v>
          </cell>
          <cell r="AY78">
            <v>20</v>
          </cell>
          <cell r="AZ78">
            <v>58</v>
          </cell>
          <cell r="BA78">
            <v>0</v>
          </cell>
          <cell r="BB78">
            <v>3</v>
          </cell>
          <cell r="BC78">
            <v>9</v>
          </cell>
          <cell r="BD78">
            <v>25</v>
          </cell>
          <cell r="BE78">
            <v>34</v>
          </cell>
          <cell r="BF78">
            <v>18</v>
          </cell>
          <cell r="BG78">
            <v>52</v>
          </cell>
          <cell r="BH78">
            <v>0</v>
          </cell>
          <cell r="BI78">
            <v>3</v>
          </cell>
          <cell r="BJ78">
            <v>6</v>
          </cell>
          <cell r="BK78">
            <v>24</v>
          </cell>
          <cell r="BL78">
            <v>30</v>
          </cell>
          <cell r="BM78">
            <v>30</v>
          </cell>
          <cell r="BN78">
            <v>0</v>
          </cell>
          <cell r="BO78">
            <v>3.5</v>
          </cell>
          <cell r="BP78" t="str">
            <v>F</v>
          </cell>
          <cell r="BQ78" t="str">
            <v>F</v>
          </cell>
          <cell r="BR78" t="str">
            <v>F</v>
          </cell>
          <cell r="BS78" t="str">
            <v>NEED TO PROGRESS</v>
          </cell>
          <cell r="BT78">
            <v>349</v>
          </cell>
          <cell r="BU78">
            <v>0</v>
          </cell>
          <cell r="BV78">
            <v>68</v>
          </cell>
        </row>
        <row r="79">
          <cell r="B79">
            <v>87</v>
          </cell>
          <cell r="C79" t="str">
            <v xml:space="preserve">Ruhan Shanta </v>
          </cell>
          <cell r="D79" t="str">
            <v xml:space="preserve">Md. Hanif Mia </v>
          </cell>
          <cell r="E79" t="str">
            <v xml:space="preserve">Rupa Akter </v>
          </cell>
          <cell r="F79" t="str">
            <v>01777-778631      01716-269069</v>
          </cell>
          <cell r="G79">
            <v>15</v>
          </cell>
          <cell r="H79">
            <v>38</v>
          </cell>
          <cell r="I79">
            <v>53</v>
          </cell>
          <cell r="J79">
            <v>26</v>
          </cell>
          <cell r="K79">
            <v>79</v>
          </cell>
          <cell r="L79">
            <v>9</v>
          </cell>
          <cell r="M79">
            <v>33</v>
          </cell>
          <cell r="N79">
            <v>42</v>
          </cell>
          <cell r="O79">
            <v>42</v>
          </cell>
          <cell r="P79">
            <v>121</v>
          </cell>
          <cell r="Q79">
            <v>0</v>
          </cell>
          <cell r="R79">
            <v>5</v>
          </cell>
          <cell r="S79">
            <v>15</v>
          </cell>
          <cell r="T79">
            <v>60</v>
          </cell>
          <cell r="U79">
            <v>75</v>
          </cell>
          <cell r="V79">
            <v>8</v>
          </cell>
          <cell r="W79">
            <v>19</v>
          </cell>
          <cell r="X79">
            <v>27</v>
          </cell>
          <cell r="Y79">
            <v>102</v>
          </cell>
          <cell r="Z79">
            <v>102</v>
          </cell>
          <cell r="AA79">
            <v>0</v>
          </cell>
          <cell r="AB79">
            <v>3.5</v>
          </cell>
          <cell r="AC79">
            <v>15</v>
          </cell>
          <cell r="AD79">
            <v>33</v>
          </cell>
          <cell r="AE79">
            <v>48</v>
          </cell>
          <cell r="AF79">
            <v>25</v>
          </cell>
          <cell r="AG79">
            <v>73</v>
          </cell>
          <cell r="AH79">
            <v>0</v>
          </cell>
          <cell r="AI79">
            <v>4</v>
          </cell>
          <cell r="AJ79">
            <v>15</v>
          </cell>
          <cell r="AK79">
            <v>44</v>
          </cell>
          <cell r="AL79">
            <v>59</v>
          </cell>
          <cell r="AM79">
            <v>17</v>
          </cell>
          <cell r="AN79">
            <v>76</v>
          </cell>
          <cell r="AO79">
            <v>0</v>
          </cell>
          <cell r="AP79">
            <v>4</v>
          </cell>
          <cell r="AQ79">
            <v>20</v>
          </cell>
          <cell r="AR79">
            <v>25</v>
          </cell>
          <cell r="AS79">
            <v>45</v>
          </cell>
          <cell r="AT79">
            <v>0</v>
          </cell>
          <cell r="AU79">
            <v>5</v>
          </cell>
          <cell r="AV79">
            <v>18</v>
          </cell>
          <cell r="AW79">
            <v>37</v>
          </cell>
          <cell r="AX79">
            <v>55</v>
          </cell>
          <cell r="AY79">
            <v>22</v>
          </cell>
          <cell r="AZ79">
            <v>77</v>
          </cell>
          <cell r="BA79">
            <v>0</v>
          </cell>
          <cell r="BB79">
            <v>4</v>
          </cell>
          <cell r="BC79">
            <v>13</v>
          </cell>
          <cell r="BD79">
            <v>34</v>
          </cell>
          <cell r="BE79">
            <v>47</v>
          </cell>
          <cell r="BF79">
            <v>26</v>
          </cell>
          <cell r="BG79">
            <v>73</v>
          </cell>
          <cell r="BH79">
            <v>0</v>
          </cell>
          <cell r="BI79">
            <v>4</v>
          </cell>
          <cell r="BJ79">
            <v>10</v>
          </cell>
          <cell r="BK79">
            <v>24</v>
          </cell>
          <cell r="BL79">
            <v>34</v>
          </cell>
          <cell r="BM79">
            <v>34</v>
          </cell>
          <cell r="BN79">
            <v>0</v>
          </cell>
          <cell r="BO79">
            <v>3.5</v>
          </cell>
          <cell r="BP79">
            <v>29.5</v>
          </cell>
          <cell r="BQ79">
            <v>4.2142857142857144</v>
          </cell>
          <cell r="BR79" t="str">
            <v>A</v>
          </cell>
          <cell r="BS79" t="str">
            <v>BETTER</v>
          </cell>
          <cell r="BT79">
            <v>567</v>
          </cell>
          <cell r="BU79">
            <v>18</v>
          </cell>
          <cell r="BV79">
            <v>68</v>
          </cell>
        </row>
        <row r="80">
          <cell r="B80">
            <v>91</v>
          </cell>
          <cell r="C80" t="str">
            <v xml:space="preserve">Md. Fahim Fuad Aditto </v>
          </cell>
          <cell r="D80" t="str">
            <v xml:space="preserve">Md. Hannan Miah </v>
          </cell>
          <cell r="E80" t="str">
            <v xml:space="preserve">Momena Akter </v>
          </cell>
          <cell r="F80" t="str">
            <v>01728-116299     01882-053617</v>
          </cell>
          <cell r="G80">
            <v>12</v>
          </cell>
          <cell r="H80">
            <v>41</v>
          </cell>
          <cell r="I80">
            <v>53</v>
          </cell>
          <cell r="J80">
            <v>23</v>
          </cell>
          <cell r="K80">
            <v>76</v>
          </cell>
          <cell r="L80">
            <v>9</v>
          </cell>
          <cell r="M80">
            <v>34</v>
          </cell>
          <cell r="N80">
            <v>43</v>
          </cell>
          <cell r="O80">
            <v>43</v>
          </cell>
          <cell r="P80">
            <v>119</v>
          </cell>
          <cell r="Q80">
            <v>0</v>
          </cell>
          <cell r="R80">
            <v>4</v>
          </cell>
          <cell r="S80">
            <v>16</v>
          </cell>
          <cell r="T80">
            <v>64</v>
          </cell>
          <cell r="U80">
            <v>80</v>
          </cell>
          <cell r="V80">
            <v>7</v>
          </cell>
          <cell r="W80">
            <v>20</v>
          </cell>
          <cell r="X80">
            <v>27</v>
          </cell>
          <cell r="Y80">
            <v>107</v>
          </cell>
          <cell r="Z80">
            <v>107</v>
          </cell>
          <cell r="AA80">
            <v>0</v>
          </cell>
          <cell r="AB80">
            <v>4</v>
          </cell>
          <cell r="AC80">
            <v>14</v>
          </cell>
          <cell r="AD80">
            <v>25</v>
          </cell>
          <cell r="AE80">
            <v>39</v>
          </cell>
          <cell r="AF80">
            <v>19</v>
          </cell>
          <cell r="AG80">
            <v>58</v>
          </cell>
          <cell r="AH80">
            <v>0</v>
          </cell>
          <cell r="AI80">
            <v>3</v>
          </cell>
          <cell r="AJ80">
            <v>15</v>
          </cell>
          <cell r="AK80">
            <v>39</v>
          </cell>
          <cell r="AL80">
            <v>54</v>
          </cell>
          <cell r="AM80">
            <v>17</v>
          </cell>
          <cell r="AN80">
            <v>71</v>
          </cell>
          <cell r="AO80">
            <v>0</v>
          </cell>
          <cell r="AP80">
            <v>4</v>
          </cell>
          <cell r="AQ80">
            <v>20</v>
          </cell>
          <cell r="AR80">
            <v>25</v>
          </cell>
          <cell r="AS80">
            <v>45</v>
          </cell>
          <cell r="AT80">
            <v>0</v>
          </cell>
          <cell r="AU80">
            <v>5</v>
          </cell>
          <cell r="AV80">
            <v>17</v>
          </cell>
          <cell r="AW80">
            <v>36</v>
          </cell>
          <cell r="AX80">
            <v>53</v>
          </cell>
          <cell r="AY80">
            <v>24</v>
          </cell>
          <cell r="AZ80">
            <v>77</v>
          </cell>
          <cell r="BA80">
            <v>0</v>
          </cell>
          <cell r="BB80">
            <v>4</v>
          </cell>
          <cell r="BC80">
            <v>16</v>
          </cell>
          <cell r="BD80">
            <v>43</v>
          </cell>
          <cell r="BE80">
            <v>59</v>
          </cell>
          <cell r="BF80">
            <v>23</v>
          </cell>
          <cell r="BG80">
            <v>82</v>
          </cell>
          <cell r="BH80">
            <v>0</v>
          </cell>
          <cell r="BI80">
            <v>5</v>
          </cell>
          <cell r="BJ80">
            <v>10</v>
          </cell>
          <cell r="BK80">
            <v>32</v>
          </cell>
          <cell r="BL80">
            <v>42</v>
          </cell>
          <cell r="BM80">
            <v>42</v>
          </cell>
          <cell r="BN80">
            <v>0</v>
          </cell>
          <cell r="BO80">
            <v>5</v>
          </cell>
          <cell r="BP80">
            <v>29</v>
          </cell>
          <cell r="BQ80">
            <v>4.1428571428571432</v>
          </cell>
          <cell r="BR80" t="str">
            <v>A</v>
          </cell>
          <cell r="BS80" t="str">
            <v>BETTER</v>
          </cell>
          <cell r="BT80">
            <v>559</v>
          </cell>
          <cell r="BU80">
            <v>20</v>
          </cell>
          <cell r="BV80">
            <v>67</v>
          </cell>
        </row>
        <row r="81">
          <cell r="B81">
            <v>94</v>
          </cell>
          <cell r="C81" t="str">
            <v xml:space="preserve">Md. Mahim Islam </v>
          </cell>
          <cell r="D81" t="str">
            <v xml:space="preserve">Md. Johirul Islam </v>
          </cell>
          <cell r="E81" t="str">
            <v>Khadiza Akter Mousomi</v>
          </cell>
          <cell r="F81" t="str">
            <v>01796-524243                            01764-406664</v>
          </cell>
          <cell r="G81">
            <v>13</v>
          </cell>
          <cell r="H81">
            <v>33</v>
          </cell>
          <cell r="I81">
            <v>46</v>
          </cell>
          <cell r="J81">
            <v>25</v>
          </cell>
          <cell r="K81">
            <v>71</v>
          </cell>
          <cell r="L81">
            <v>6</v>
          </cell>
          <cell r="M81">
            <v>35</v>
          </cell>
          <cell r="N81">
            <v>41</v>
          </cell>
          <cell r="O81">
            <v>41</v>
          </cell>
          <cell r="P81">
            <v>112</v>
          </cell>
          <cell r="Q81">
            <v>0</v>
          </cell>
          <cell r="R81">
            <v>4</v>
          </cell>
          <cell r="S81">
            <v>13</v>
          </cell>
          <cell r="T81">
            <v>65</v>
          </cell>
          <cell r="U81">
            <v>78</v>
          </cell>
          <cell r="V81">
            <v>8</v>
          </cell>
          <cell r="W81">
            <v>25</v>
          </cell>
          <cell r="X81">
            <v>33</v>
          </cell>
          <cell r="Y81">
            <v>111</v>
          </cell>
          <cell r="Z81">
            <v>111</v>
          </cell>
          <cell r="AA81">
            <v>0</v>
          </cell>
          <cell r="AB81">
            <v>4</v>
          </cell>
          <cell r="AC81">
            <v>10</v>
          </cell>
          <cell r="AD81">
            <v>31</v>
          </cell>
          <cell r="AE81">
            <v>41</v>
          </cell>
          <cell r="AF81">
            <v>25</v>
          </cell>
          <cell r="AG81">
            <v>66</v>
          </cell>
          <cell r="AH81">
            <v>0</v>
          </cell>
          <cell r="AI81">
            <v>3.5</v>
          </cell>
          <cell r="AJ81">
            <v>13</v>
          </cell>
          <cell r="AK81">
            <v>40</v>
          </cell>
          <cell r="AL81">
            <v>53</v>
          </cell>
          <cell r="AM81">
            <v>22</v>
          </cell>
          <cell r="AN81">
            <v>75</v>
          </cell>
          <cell r="AO81">
            <v>0</v>
          </cell>
          <cell r="AP81">
            <v>4</v>
          </cell>
          <cell r="AQ81">
            <v>16</v>
          </cell>
          <cell r="AR81">
            <v>25</v>
          </cell>
          <cell r="AS81">
            <v>41</v>
          </cell>
          <cell r="AT81">
            <v>0</v>
          </cell>
          <cell r="AU81">
            <v>5</v>
          </cell>
          <cell r="AV81">
            <v>16</v>
          </cell>
          <cell r="AW81">
            <v>34</v>
          </cell>
          <cell r="AX81">
            <v>50</v>
          </cell>
          <cell r="AY81">
            <v>25</v>
          </cell>
          <cell r="AZ81">
            <v>75</v>
          </cell>
          <cell r="BA81">
            <v>0</v>
          </cell>
          <cell r="BB81">
            <v>4</v>
          </cell>
          <cell r="BC81">
            <v>13</v>
          </cell>
          <cell r="BD81">
            <v>36</v>
          </cell>
          <cell r="BE81">
            <v>49</v>
          </cell>
          <cell r="BF81">
            <v>27</v>
          </cell>
          <cell r="BG81">
            <v>76</v>
          </cell>
          <cell r="BH81">
            <v>0</v>
          </cell>
          <cell r="BI81">
            <v>4</v>
          </cell>
          <cell r="BJ81">
            <v>8</v>
          </cell>
          <cell r="BK81">
            <v>32</v>
          </cell>
          <cell r="BL81">
            <v>40</v>
          </cell>
          <cell r="BM81">
            <v>40</v>
          </cell>
          <cell r="BN81">
            <v>0</v>
          </cell>
          <cell r="BO81">
            <v>5</v>
          </cell>
          <cell r="BP81">
            <v>28.5</v>
          </cell>
          <cell r="BQ81">
            <v>4.0714285714285712</v>
          </cell>
          <cell r="BR81" t="str">
            <v>A</v>
          </cell>
          <cell r="BS81" t="str">
            <v>BETTER</v>
          </cell>
          <cell r="BT81">
            <v>556</v>
          </cell>
          <cell r="BU81">
            <v>22</v>
          </cell>
          <cell r="BV81">
            <v>65</v>
          </cell>
        </row>
        <row r="82">
          <cell r="B82">
            <v>98</v>
          </cell>
          <cell r="C82" t="str">
            <v>Israt Jahan Pinky</v>
          </cell>
          <cell r="D82" t="str">
            <v xml:space="preserve">Md. Bushir Ahammed </v>
          </cell>
          <cell r="E82" t="str">
            <v xml:space="preserve">Mst. Rozina Begum </v>
          </cell>
          <cell r="F82" t="str">
            <v>01722-910542                        01722-884993</v>
          </cell>
          <cell r="G82">
            <v>8</v>
          </cell>
          <cell r="H82">
            <v>21</v>
          </cell>
          <cell r="I82">
            <v>29</v>
          </cell>
          <cell r="J82">
            <v>28</v>
          </cell>
          <cell r="K82">
            <v>57</v>
          </cell>
          <cell r="L82">
            <v>4</v>
          </cell>
          <cell r="M82">
            <v>20</v>
          </cell>
          <cell r="N82">
            <v>24</v>
          </cell>
          <cell r="O82">
            <v>24</v>
          </cell>
          <cell r="P82">
            <v>81</v>
          </cell>
          <cell r="Q82">
            <v>0</v>
          </cell>
          <cell r="R82">
            <v>3</v>
          </cell>
          <cell r="S82">
            <v>11</v>
          </cell>
          <cell r="T82">
            <v>39</v>
          </cell>
          <cell r="U82">
            <v>50</v>
          </cell>
          <cell r="V82">
            <v>5</v>
          </cell>
          <cell r="W82">
            <v>6</v>
          </cell>
          <cell r="X82">
            <v>11</v>
          </cell>
          <cell r="Y82">
            <v>61</v>
          </cell>
          <cell r="Z82">
            <v>61</v>
          </cell>
          <cell r="AA82">
            <v>0</v>
          </cell>
          <cell r="AB82">
            <v>2</v>
          </cell>
          <cell r="AC82">
            <v>10</v>
          </cell>
          <cell r="AD82">
            <v>2</v>
          </cell>
          <cell r="AE82">
            <v>12</v>
          </cell>
          <cell r="AF82">
            <v>17</v>
          </cell>
          <cell r="AG82">
            <v>29</v>
          </cell>
          <cell r="AH82">
            <v>0</v>
          </cell>
          <cell r="AI82" t="str">
            <v>F</v>
          </cell>
          <cell r="AJ82">
            <v>14</v>
          </cell>
          <cell r="AK82">
            <v>19</v>
          </cell>
          <cell r="AL82">
            <v>33</v>
          </cell>
          <cell r="AM82">
            <v>11</v>
          </cell>
          <cell r="AN82">
            <v>44</v>
          </cell>
          <cell r="AO82">
            <v>0</v>
          </cell>
          <cell r="AP82">
            <v>2</v>
          </cell>
          <cell r="AQ82">
            <v>15</v>
          </cell>
          <cell r="AR82">
            <v>25</v>
          </cell>
          <cell r="AS82">
            <v>40</v>
          </cell>
          <cell r="AT82">
            <v>0</v>
          </cell>
          <cell r="AU82">
            <v>5</v>
          </cell>
          <cell r="AV82">
            <v>12</v>
          </cell>
          <cell r="AW82">
            <v>14</v>
          </cell>
          <cell r="AX82">
            <v>26</v>
          </cell>
          <cell r="AY82">
            <v>14</v>
          </cell>
          <cell r="AZ82">
            <v>40</v>
          </cell>
          <cell r="BA82">
            <v>0</v>
          </cell>
          <cell r="BB82">
            <v>2</v>
          </cell>
          <cell r="BC82">
            <v>10</v>
          </cell>
          <cell r="BD82">
            <v>17</v>
          </cell>
          <cell r="BE82">
            <v>27</v>
          </cell>
          <cell r="BF82">
            <v>25</v>
          </cell>
          <cell r="BG82">
            <v>52</v>
          </cell>
          <cell r="BH82">
            <v>0</v>
          </cell>
          <cell r="BI82">
            <v>3</v>
          </cell>
          <cell r="BJ82">
            <v>7</v>
          </cell>
          <cell r="BK82">
            <v>24</v>
          </cell>
          <cell r="BL82">
            <v>31</v>
          </cell>
          <cell r="BM82">
            <v>31</v>
          </cell>
          <cell r="BN82">
            <v>0</v>
          </cell>
          <cell r="BO82">
            <v>3.5</v>
          </cell>
          <cell r="BP82" t="str">
            <v>F</v>
          </cell>
          <cell r="BQ82" t="str">
            <v>F</v>
          </cell>
          <cell r="BR82" t="str">
            <v>F</v>
          </cell>
          <cell r="BS82" t="str">
            <v>NEED TO PROGRESS</v>
          </cell>
          <cell r="BT82">
            <v>347</v>
          </cell>
          <cell r="BU82">
            <v>0</v>
          </cell>
          <cell r="BV82">
            <v>62</v>
          </cell>
        </row>
        <row r="83">
          <cell r="B83">
            <v>100</v>
          </cell>
          <cell r="C83" t="str">
            <v>Md. Tamim Uddin</v>
          </cell>
          <cell r="D83" t="str">
            <v>Md. Asam Uddin</v>
          </cell>
          <cell r="E83" t="str">
            <v>Shafali Begum</v>
          </cell>
          <cell r="F83" t="str">
            <v>017175-67097 01721-891042</v>
          </cell>
          <cell r="G83">
            <v>12</v>
          </cell>
          <cell r="H83">
            <v>41</v>
          </cell>
          <cell r="I83">
            <v>53</v>
          </cell>
          <cell r="J83">
            <v>24</v>
          </cell>
          <cell r="K83">
            <v>77</v>
          </cell>
          <cell r="L83">
            <v>9</v>
          </cell>
          <cell r="M83">
            <v>34</v>
          </cell>
          <cell r="N83">
            <v>43</v>
          </cell>
          <cell r="O83">
            <v>43</v>
          </cell>
          <cell r="P83">
            <v>120</v>
          </cell>
          <cell r="Q83">
            <v>0</v>
          </cell>
          <cell r="R83">
            <v>5</v>
          </cell>
          <cell r="S83">
            <v>17</v>
          </cell>
          <cell r="T83">
            <v>65</v>
          </cell>
          <cell r="U83">
            <v>82</v>
          </cell>
          <cell r="V83">
            <v>8</v>
          </cell>
          <cell r="W83">
            <v>23</v>
          </cell>
          <cell r="X83">
            <v>31</v>
          </cell>
          <cell r="Y83">
            <v>113</v>
          </cell>
          <cell r="Z83">
            <v>113</v>
          </cell>
          <cell r="AA83">
            <v>0</v>
          </cell>
          <cell r="AB83">
            <v>4</v>
          </cell>
          <cell r="AC83">
            <v>20</v>
          </cell>
          <cell r="AD83">
            <v>28</v>
          </cell>
          <cell r="AE83">
            <v>48</v>
          </cell>
          <cell r="AF83">
            <v>22</v>
          </cell>
          <cell r="AG83">
            <v>70</v>
          </cell>
          <cell r="AH83">
            <v>0</v>
          </cell>
          <cell r="AI83">
            <v>4</v>
          </cell>
          <cell r="AJ83">
            <v>17</v>
          </cell>
          <cell r="AK83">
            <v>38</v>
          </cell>
          <cell r="AL83">
            <v>55</v>
          </cell>
          <cell r="AM83">
            <v>18</v>
          </cell>
          <cell r="AN83">
            <v>73</v>
          </cell>
          <cell r="AO83">
            <v>0</v>
          </cell>
          <cell r="AP83">
            <v>4</v>
          </cell>
          <cell r="AQ83">
            <v>20</v>
          </cell>
          <cell r="AR83">
            <v>25</v>
          </cell>
          <cell r="AS83">
            <v>45</v>
          </cell>
          <cell r="AT83">
            <v>0</v>
          </cell>
          <cell r="AU83">
            <v>5</v>
          </cell>
          <cell r="AV83">
            <v>16</v>
          </cell>
          <cell r="AW83">
            <v>39</v>
          </cell>
          <cell r="AX83">
            <v>55</v>
          </cell>
          <cell r="AY83">
            <v>24</v>
          </cell>
          <cell r="AZ83">
            <v>79</v>
          </cell>
          <cell r="BA83">
            <v>0</v>
          </cell>
          <cell r="BB83">
            <v>4</v>
          </cell>
          <cell r="BC83">
            <v>11</v>
          </cell>
          <cell r="BD83">
            <v>39</v>
          </cell>
          <cell r="BE83">
            <v>50</v>
          </cell>
          <cell r="BF83">
            <v>28</v>
          </cell>
          <cell r="BG83">
            <v>78</v>
          </cell>
          <cell r="BH83">
            <v>0</v>
          </cell>
          <cell r="BI83">
            <v>4</v>
          </cell>
          <cell r="BJ83">
            <v>7</v>
          </cell>
          <cell r="BK83">
            <v>24</v>
          </cell>
          <cell r="BL83">
            <v>31</v>
          </cell>
          <cell r="BM83">
            <v>31</v>
          </cell>
          <cell r="BN83">
            <v>0</v>
          </cell>
          <cell r="BO83">
            <v>3.5</v>
          </cell>
          <cell r="BP83">
            <v>30</v>
          </cell>
          <cell r="BQ83">
            <v>4.2857142857142856</v>
          </cell>
          <cell r="BR83" t="str">
            <v>A</v>
          </cell>
          <cell r="BS83" t="str">
            <v>BETTER</v>
          </cell>
          <cell r="BT83">
            <v>578</v>
          </cell>
          <cell r="BU83">
            <v>15</v>
          </cell>
          <cell r="BV83">
            <v>55</v>
          </cell>
        </row>
        <row r="84">
          <cell r="B84">
            <v>101</v>
          </cell>
          <cell r="C84" t="str">
            <v>Md. Alif Rahman</v>
          </cell>
          <cell r="D84" t="str">
            <v>Muklesur Rahman</v>
          </cell>
          <cell r="E84" t="str">
            <v>Sabia Parvin Asha</v>
          </cell>
          <cell r="F84" t="str">
            <v>01607037189 01926115090</v>
          </cell>
          <cell r="G84">
            <v>5</v>
          </cell>
          <cell r="H84">
            <v>11</v>
          </cell>
          <cell r="I84">
            <v>16</v>
          </cell>
          <cell r="J84">
            <v>23</v>
          </cell>
          <cell r="K84">
            <v>39</v>
          </cell>
          <cell r="L84">
            <v>2</v>
          </cell>
          <cell r="M84">
            <v>12</v>
          </cell>
          <cell r="N84">
            <v>14</v>
          </cell>
          <cell r="O84">
            <v>14</v>
          </cell>
          <cell r="P84">
            <v>53</v>
          </cell>
          <cell r="Q84">
            <v>0</v>
          </cell>
          <cell r="R84" t="str">
            <v>F</v>
          </cell>
          <cell r="S84">
            <v>11</v>
          </cell>
          <cell r="T84">
            <v>34</v>
          </cell>
          <cell r="U84">
            <v>45</v>
          </cell>
          <cell r="V84">
            <v>4</v>
          </cell>
          <cell r="W84">
            <v>5</v>
          </cell>
          <cell r="X84">
            <v>9</v>
          </cell>
          <cell r="Y84">
            <v>54</v>
          </cell>
          <cell r="Z84">
            <v>54</v>
          </cell>
          <cell r="AA84">
            <v>0</v>
          </cell>
          <cell r="AB84" t="str">
            <v>F</v>
          </cell>
          <cell r="AC84">
            <v>8</v>
          </cell>
          <cell r="AD84">
            <v>3</v>
          </cell>
          <cell r="AE84">
            <v>11</v>
          </cell>
          <cell r="AF84">
            <v>18</v>
          </cell>
          <cell r="AG84">
            <v>29</v>
          </cell>
          <cell r="AH84">
            <v>0</v>
          </cell>
          <cell r="AI84" t="str">
            <v>F</v>
          </cell>
          <cell r="AJ84">
            <v>8</v>
          </cell>
          <cell r="AK84">
            <v>4</v>
          </cell>
          <cell r="AL84">
            <v>12</v>
          </cell>
          <cell r="AM84">
            <v>8</v>
          </cell>
          <cell r="AN84">
            <v>20</v>
          </cell>
          <cell r="AO84">
            <v>0</v>
          </cell>
          <cell r="AP84" t="str">
            <v>F</v>
          </cell>
          <cell r="AQ84">
            <v>11</v>
          </cell>
          <cell r="AR84">
            <v>25</v>
          </cell>
          <cell r="AS84">
            <v>36</v>
          </cell>
          <cell r="AT84">
            <v>0</v>
          </cell>
          <cell r="AU84">
            <v>4</v>
          </cell>
          <cell r="AV84">
            <v>10</v>
          </cell>
          <cell r="AW84">
            <v>14</v>
          </cell>
          <cell r="AX84">
            <v>24</v>
          </cell>
          <cell r="AY84">
            <v>16</v>
          </cell>
          <cell r="AZ84">
            <v>40</v>
          </cell>
          <cell r="BA84">
            <v>0</v>
          </cell>
          <cell r="BB84">
            <v>2</v>
          </cell>
          <cell r="BC84">
            <v>8</v>
          </cell>
          <cell r="BD84">
            <v>20</v>
          </cell>
          <cell r="BE84">
            <v>28</v>
          </cell>
          <cell r="BF84">
            <v>15</v>
          </cell>
          <cell r="BG84">
            <v>43</v>
          </cell>
          <cell r="BH84">
            <v>0</v>
          </cell>
          <cell r="BI84">
            <v>2</v>
          </cell>
          <cell r="BJ84">
            <v>6</v>
          </cell>
          <cell r="BK84">
            <v>24</v>
          </cell>
          <cell r="BL84">
            <v>30</v>
          </cell>
          <cell r="BM84">
            <v>30</v>
          </cell>
          <cell r="BN84">
            <v>0</v>
          </cell>
          <cell r="BO84">
            <v>3.5</v>
          </cell>
          <cell r="BP84" t="str">
            <v>F</v>
          </cell>
          <cell r="BQ84" t="str">
            <v>F</v>
          </cell>
          <cell r="BR84" t="str">
            <v>F</v>
          </cell>
          <cell r="BS84" t="str">
            <v>NEED TO PROGRESS</v>
          </cell>
          <cell r="BT84">
            <v>275</v>
          </cell>
          <cell r="BU84">
            <v>0</v>
          </cell>
          <cell r="BV84">
            <v>56</v>
          </cell>
        </row>
        <row r="85">
          <cell r="B85">
            <v>102</v>
          </cell>
          <cell r="C85" t="str">
            <v>Md. Wasi Anan</v>
          </cell>
          <cell r="D85">
            <v>0</v>
          </cell>
          <cell r="E85">
            <v>0</v>
          </cell>
          <cell r="F85">
            <v>0</v>
          </cell>
          <cell r="G85">
            <v>19</v>
          </cell>
          <cell r="H85">
            <v>44</v>
          </cell>
          <cell r="I85">
            <v>63</v>
          </cell>
          <cell r="J85">
            <v>25</v>
          </cell>
          <cell r="K85">
            <v>88</v>
          </cell>
          <cell r="L85">
            <v>9</v>
          </cell>
          <cell r="M85">
            <v>38</v>
          </cell>
          <cell r="N85">
            <v>47</v>
          </cell>
          <cell r="O85">
            <v>47</v>
          </cell>
          <cell r="P85">
            <v>135</v>
          </cell>
          <cell r="Q85">
            <v>0</v>
          </cell>
          <cell r="R85">
            <v>5</v>
          </cell>
          <cell r="S85">
            <v>19</v>
          </cell>
          <cell r="T85">
            <v>58</v>
          </cell>
          <cell r="U85">
            <v>77</v>
          </cell>
          <cell r="V85">
            <v>4</v>
          </cell>
          <cell r="W85">
            <v>28</v>
          </cell>
          <cell r="X85">
            <v>32</v>
          </cell>
          <cell r="Y85">
            <v>109</v>
          </cell>
          <cell r="Z85">
            <v>109</v>
          </cell>
          <cell r="AA85">
            <v>0</v>
          </cell>
          <cell r="AB85">
            <v>4</v>
          </cell>
          <cell r="AC85">
            <v>19</v>
          </cell>
          <cell r="AD85">
            <v>48</v>
          </cell>
          <cell r="AE85">
            <v>67</v>
          </cell>
          <cell r="AF85">
            <v>29</v>
          </cell>
          <cell r="AG85">
            <v>96</v>
          </cell>
          <cell r="AH85">
            <v>0</v>
          </cell>
          <cell r="AI85">
            <v>5</v>
          </cell>
          <cell r="AJ85">
            <v>18</v>
          </cell>
          <cell r="AK85">
            <v>46</v>
          </cell>
          <cell r="AL85">
            <v>64</v>
          </cell>
          <cell r="AM85">
            <v>17</v>
          </cell>
          <cell r="AN85">
            <v>81</v>
          </cell>
          <cell r="AO85">
            <v>0</v>
          </cell>
          <cell r="AP85">
            <v>5</v>
          </cell>
          <cell r="AQ85">
            <v>20</v>
          </cell>
          <cell r="AR85">
            <v>25</v>
          </cell>
          <cell r="AS85">
            <v>45</v>
          </cell>
          <cell r="AT85">
            <v>0</v>
          </cell>
          <cell r="AU85">
            <v>5</v>
          </cell>
          <cell r="AV85">
            <v>18</v>
          </cell>
          <cell r="AW85">
            <v>46</v>
          </cell>
          <cell r="AX85">
            <v>64</v>
          </cell>
          <cell r="AY85">
            <v>25</v>
          </cell>
          <cell r="AZ85">
            <v>89</v>
          </cell>
          <cell r="BA85">
            <v>0</v>
          </cell>
          <cell r="BB85">
            <v>5</v>
          </cell>
          <cell r="BC85">
            <v>20</v>
          </cell>
          <cell r="BD85">
            <v>46</v>
          </cell>
          <cell r="BE85">
            <v>66</v>
          </cell>
          <cell r="BF85">
            <v>27</v>
          </cell>
          <cell r="BG85">
            <v>93</v>
          </cell>
          <cell r="BH85">
            <v>0</v>
          </cell>
          <cell r="BI85">
            <v>5</v>
          </cell>
          <cell r="BJ85">
            <v>9</v>
          </cell>
          <cell r="BK85">
            <v>28</v>
          </cell>
          <cell r="BL85">
            <v>37</v>
          </cell>
          <cell r="BM85">
            <v>37</v>
          </cell>
          <cell r="BN85">
            <v>0</v>
          </cell>
          <cell r="BO85">
            <v>4</v>
          </cell>
          <cell r="BP85">
            <v>34</v>
          </cell>
          <cell r="BQ85">
            <v>4.8571428571428568</v>
          </cell>
          <cell r="BR85" t="str">
            <v>A</v>
          </cell>
          <cell r="BS85" t="str">
            <v>BETTER</v>
          </cell>
          <cell r="BT85">
            <v>648</v>
          </cell>
          <cell r="BU85">
            <v>6</v>
          </cell>
          <cell r="BV85">
            <v>58</v>
          </cell>
        </row>
        <row r="86">
          <cell r="B86">
            <v>103</v>
          </cell>
          <cell r="C86" t="str">
            <v>Nafisa Parvin Raisa</v>
          </cell>
          <cell r="D86">
            <v>0</v>
          </cell>
          <cell r="E86">
            <v>0</v>
          </cell>
          <cell r="F86">
            <v>0</v>
          </cell>
          <cell r="G86">
            <v>14</v>
          </cell>
          <cell r="H86">
            <v>32</v>
          </cell>
          <cell r="I86">
            <v>46</v>
          </cell>
          <cell r="J86">
            <v>16</v>
          </cell>
          <cell r="K86">
            <v>62</v>
          </cell>
          <cell r="L86">
            <v>9</v>
          </cell>
          <cell r="M86">
            <v>29</v>
          </cell>
          <cell r="N86">
            <v>38</v>
          </cell>
          <cell r="O86">
            <v>38</v>
          </cell>
          <cell r="P86">
            <v>100</v>
          </cell>
          <cell r="Q86">
            <v>0</v>
          </cell>
          <cell r="R86">
            <v>3.5</v>
          </cell>
          <cell r="S86">
            <v>17</v>
          </cell>
          <cell r="T86">
            <v>29</v>
          </cell>
          <cell r="U86">
            <v>46</v>
          </cell>
          <cell r="V86">
            <v>8</v>
          </cell>
          <cell r="W86">
            <v>8</v>
          </cell>
          <cell r="X86">
            <v>16</v>
          </cell>
          <cell r="Y86">
            <v>62</v>
          </cell>
          <cell r="Z86">
            <v>62</v>
          </cell>
          <cell r="AA86">
            <v>0</v>
          </cell>
          <cell r="AB86">
            <v>2</v>
          </cell>
          <cell r="AC86">
            <v>8</v>
          </cell>
          <cell r="AD86">
            <v>8</v>
          </cell>
          <cell r="AE86">
            <v>16</v>
          </cell>
          <cell r="AF86">
            <v>11</v>
          </cell>
          <cell r="AG86">
            <v>27</v>
          </cell>
          <cell r="AH86">
            <v>0</v>
          </cell>
          <cell r="AI86" t="str">
            <v>F</v>
          </cell>
          <cell r="AJ86">
            <v>16</v>
          </cell>
          <cell r="AK86">
            <v>34</v>
          </cell>
          <cell r="AL86">
            <v>50</v>
          </cell>
          <cell r="AM86">
            <v>14</v>
          </cell>
          <cell r="AN86">
            <v>64</v>
          </cell>
          <cell r="AO86">
            <v>0</v>
          </cell>
          <cell r="AP86">
            <v>3.5</v>
          </cell>
          <cell r="AQ86">
            <v>15</v>
          </cell>
          <cell r="AR86">
            <v>25</v>
          </cell>
          <cell r="AS86">
            <v>40</v>
          </cell>
          <cell r="AT86">
            <v>0</v>
          </cell>
          <cell r="AU86">
            <v>5</v>
          </cell>
          <cell r="AV86">
            <v>14</v>
          </cell>
          <cell r="AW86">
            <v>26</v>
          </cell>
          <cell r="AX86">
            <v>40</v>
          </cell>
          <cell r="AY86">
            <v>12</v>
          </cell>
          <cell r="AZ86">
            <v>52</v>
          </cell>
          <cell r="BA86">
            <v>0</v>
          </cell>
          <cell r="BB86">
            <v>3</v>
          </cell>
          <cell r="BC86">
            <v>14</v>
          </cell>
          <cell r="BD86">
            <v>29</v>
          </cell>
          <cell r="BE86">
            <v>43</v>
          </cell>
          <cell r="BF86">
            <v>14</v>
          </cell>
          <cell r="BG86">
            <v>57</v>
          </cell>
          <cell r="BH86">
            <v>0</v>
          </cell>
          <cell r="BI86">
            <v>3</v>
          </cell>
          <cell r="BJ86">
            <v>7</v>
          </cell>
          <cell r="BK86">
            <v>24</v>
          </cell>
          <cell r="BL86">
            <v>31</v>
          </cell>
          <cell r="BM86">
            <v>31</v>
          </cell>
          <cell r="BN86">
            <v>0</v>
          </cell>
          <cell r="BO86">
            <v>3.5</v>
          </cell>
          <cell r="BP86" t="str">
            <v>F</v>
          </cell>
          <cell r="BQ86" t="str">
            <v>F</v>
          </cell>
          <cell r="BR86" t="str">
            <v>F</v>
          </cell>
          <cell r="BS86" t="str">
            <v>NEED TO PROGRESS</v>
          </cell>
          <cell r="BT86">
            <v>402</v>
          </cell>
          <cell r="BU86">
            <v>0</v>
          </cell>
          <cell r="BV86">
            <v>57</v>
          </cell>
        </row>
        <row r="87">
          <cell r="B87">
            <v>104</v>
          </cell>
          <cell r="C87" t="str">
            <v>Lamiul Islam Ratul</v>
          </cell>
          <cell r="D87">
            <v>0</v>
          </cell>
          <cell r="E87">
            <v>0</v>
          </cell>
          <cell r="F87">
            <v>0</v>
          </cell>
          <cell r="G87">
            <v>9</v>
          </cell>
          <cell r="H87">
            <v>36</v>
          </cell>
          <cell r="I87">
            <v>45</v>
          </cell>
          <cell r="J87">
            <v>22</v>
          </cell>
          <cell r="K87">
            <v>67</v>
          </cell>
          <cell r="L87">
            <v>5</v>
          </cell>
          <cell r="M87">
            <v>29</v>
          </cell>
          <cell r="N87">
            <v>34</v>
          </cell>
          <cell r="O87">
            <v>34</v>
          </cell>
          <cell r="P87">
            <v>101</v>
          </cell>
          <cell r="Q87">
            <v>0</v>
          </cell>
          <cell r="R87">
            <v>3.5</v>
          </cell>
          <cell r="S87">
            <v>10</v>
          </cell>
          <cell r="T87">
            <v>43</v>
          </cell>
          <cell r="U87">
            <v>53</v>
          </cell>
          <cell r="V87">
            <v>5</v>
          </cell>
          <cell r="W87">
            <v>17</v>
          </cell>
          <cell r="X87">
            <v>22</v>
          </cell>
          <cell r="Y87">
            <v>75</v>
          </cell>
          <cell r="Z87">
            <v>75</v>
          </cell>
          <cell r="AA87">
            <v>0</v>
          </cell>
          <cell r="AB87">
            <v>3</v>
          </cell>
          <cell r="AC87">
            <v>10</v>
          </cell>
          <cell r="AD87">
            <v>37</v>
          </cell>
          <cell r="AE87">
            <v>47</v>
          </cell>
          <cell r="AF87">
            <v>26</v>
          </cell>
          <cell r="AG87">
            <v>73</v>
          </cell>
          <cell r="AH87">
            <v>0</v>
          </cell>
          <cell r="AI87">
            <v>4</v>
          </cell>
          <cell r="AJ87">
            <v>14</v>
          </cell>
          <cell r="AK87">
            <v>33</v>
          </cell>
          <cell r="AL87">
            <v>47</v>
          </cell>
          <cell r="AM87">
            <v>15</v>
          </cell>
          <cell r="AN87">
            <v>62</v>
          </cell>
          <cell r="AO87">
            <v>0</v>
          </cell>
          <cell r="AP87">
            <v>3.5</v>
          </cell>
          <cell r="AQ87">
            <v>20</v>
          </cell>
          <cell r="AR87">
            <v>25</v>
          </cell>
          <cell r="AS87">
            <v>45</v>
          </cell>
          <cell r="AT87">
            <v>0</v>
          </cell>
          <cell r="AU87">
            <v>5</v>
          </cell>
          <cell r="AV87">
            <v>14</v>
          </cell>
          <cell r="AW87">
            <v>35</v>
          </cell>
          <cell r="AX87">
            <v>49</v>
          </cell>
          <cell r="AY87">
            <v>23</v>
          </cell>
          <cell r="AZ87">
            <v>72</v>
          </cell>
          <cell r="BA87">
            <v>0</v>
          </cell>
          <cell r="BB87">
            <v>4</v>
          </cell>
          <cell r="BC87">
            <v>13</v>
          </cell>
          <cell r="BD87">
            <v>17</v>
          </cell>
          <cell r="BE87">
            <v>30</v>
          </cell>
          <cell r="BF87">
            <v>20</v>
          </cell>
          <cell r="BG87">
            <v>50</v>
          </cell>
          <cell r="BH87">
            <v>0</v>
          </cell>
          <cell r="BI87">
            <v>3</v>
          </cell>
          <cell r="BJ87">
            <v>7</v>
          </cell>
          <cell r="BK87">
            <v>24</v>
          </cell>
          <cell r="BL87">
            <v>31</v>
          </cell>
          <cell r="BM87">
            <v>31</v>
          </cell>
          <cell r="BN87">
            <v>0</v>
          </cell>
          <cell r="BO87">
            <v>3.5</v>
          </cell>
          <cell r="BP87">
            <v>26</v>
          </cell>
          <cell r="BQ87">
            <v>3.7142857142857144</v>
          </cell>
          <cell r="BR87" t="str">
            <v>A-</v>
          </cell>
          <cell r="BS87" t="str">
            <v>GOOD</v>
          </cell>
          <cell r="BT87">
            <v>478</v>
          </cell>
          <cell r="BU87">
            <v>32</v>
          </cell>
          <cell r="BV87">
            <v>55</v>
          </cell>
        </row>
        <row r="88"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2</v>
          </cell>
          <cell r="H88">
            <v>4</v>
          </cell>
          <cell r="I88">
            <v>6</v>
          </cell>
          <cell r="J88">
            <v>19</v>
          </cell>
          <cell r="K88">
            <v>25</v>
          </cell>
          <cell r="L88">
            <v>3</v>
          </cell>
          <cell r="M88">
            <v>6</v>
          </cell>
          <cell r="N88">
            <v>9</v>
          </cell>
          <cell r="O88">
            <v>9</v>
          </cell>
          <cell r="P88">
            <v>34</v>
          </cell>
          <cell r="Q88">
            <v>0</v>
          </cell>
          <cell r="R88" t="str">
            <v>F</v>
          </cell>
          <cell r="S88">
            <v>6</v>
          </cell>
          <cell r="T88">
            <v>34</v>
          </cell>
          <cell r="U88">
            <v>40</v>
          </cell>
          <cell r="V88">
            <v>5</v>
          </cell>
          <cell r="W88">
            <v>8</v>
          </cell>
          <cell r="X88">
            <v>13</v>
          </cell>
          <cell r="Y88">
            <v>53</v>
          </cell>
          <cell r="Z88">
            <v>53</v>
          </cell>
          <cell r="AA88">
            <v>0</v>
          </cell>
          <cell r="AB88" t="str">
            <v>F</v>
          </cell>
          <cell r="AC88">
            <v>5</v>
          </cell>
          <cell r="AD88">
            <v>2</v>
          </cell>
          <cell r="AE88">
            <v>7</v>
          </cell>
          <cell r="AF88">
            <v>18</v>
          </cell>
          <cell r="AG88">
            <v>25</v>
          </cell>
          <cell r="AH88">
            <v>0</v>
          </cell>
          <cell r="AI88" t="str">
            <v>F</v>
          </cell>
          <cell r="AJ88">
            <v>9</v>
          </cell>
          <cell r="AK88">
            <v>10</v>
          </cell>
          <cell r="AL88">
            <v>19</v>
          </cell>
          <cell r="AM88">
            <v>5</v>
          </cell>
          <cell r="AN88">
            <v>24</v>
          </cell>
          <cell r="AO88">
            <v>0</v>
          </cell>
          <cell r="AP88" t="str">
            <v>F</v>
          </cell>
          <cell r="AQ88">
            <v>11</v>
          </cell>
          <cell r="AR88">
            <v>25</v>
          </cell>
          <cell r="AS88">
            <v>36</v>
          </cell>
          <cell r="AT88">
            <v>0</v>
          </cell>
          <cell r="AU88">
            <v>4</v>
          </cell>
          <cell r="AV88">
            <v>12</v>
          </cell>
          <cell r="AW88">
            <v>16</v>
          </cell>
          <cell r="AX88">
            <v>28</v>
          </cell>
          <cell r="AY88">
            <v>16</v>
          </cell>
          <cell r="AZ88">
            <v>44</v>
          </cell>
          <cell r="BA88">
            <v>0</v>
          </cell>
          <cell r="BB88">
            <v>2</v>
          </cell>
          <cell r="BC88">
            <v>10</v>
          </cell>
          <cell r="BD88">
            <v>15</v>
          </cell>
          <cell r="BE88">
            <v>25</v>
          </cell>
          <cell r="BF88">
            <v>15</v>
          </cell>
          <cell r="BG88">
            <v>40</v>
          </cell>
          <cell r="BH88">
            <v>0</v>
          </cell>
          <cell r="BI88">
            <v>2</v>
          </cell>
          <cell r="BJ88">
            <v>6</v>
          </cell>
          <cell r="BK88">
            <v>24</v>
          </cell>
          <cell r="BL88">
            <v>30</v>
          </cell>
          <cell r="BM88">
            <v>30</v>
          </cell>
          <cell r="BN88">
            <v>0</v>
          </cell>
          <cell r="BO88">
            <v>3.5</v>
          </cell>
          <cell r="BP88" t="str">
            <v>F</v>
          </cell>
          <cell r="BQ88" t="str">
            <v>F</v>
          </cell>
          <cell r="BR88" t="str">
            <v>F</v>
          </cell>
          <cell r="BS88" t="str">
            <v>NEED TO PROGRESS</v>
          </cell>
          <cell r="BT88">
            <v>256</v>
          </cell>
          <cell r="BU88">
            <v>0</v>
          </cell>
          <cell r="BV88">
            <v>54</v>
          </cell>
        </row>
        <row r="89"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13</v>
          </cell>
          <cell r="H89">
            <v>36</v>
          </cell>
          <cell r="I89">
            <v>49</v>
          </cell>
          <cell r="J89">
            <v>26</v>
          </cell>
          <cell r="K89">
            <v>75</v>
          </cell>
          <cell r="L89">
            <v>9</v>
          </cell>
          <cell r="M89">
            <v>33</v>
          </cell>
          <cell r="N89">
            <v>42</v>
          </cell>
          <cell r="O89">
            <v>42</v>
          </cell>
          <cell r="P89">
            <v>117</v>
          </cell>
          <cell r="Q89">
            <v>0</v>
          </cell>
          <cell r="R89">
            <v>4</v>
          </cell>
          <cell r="S89">
            <v>15</v>
          </cell>
          <cell r="T89">
            <v>60</v>
          </cell>
          <cell r="U89">
            <v>75</v>
          </cell>
          <cell r="V89">
            <v>5</v>
          </cell>
          <cell r="W89">
            <v>18</v>
          </cell>
          <cell r="X89">
            <v>23</v>
          </cell>
          <cell r="Y89">
            <v>98</v>
          </cell>
          <cell r="Z89">
            <v>98</v>
          </cell>
          <cell r="AA89">
            <v>0</v>
          </cell>
          <cell r="AB89">
            <v>3.5</v>
          </cell>
          <cell r="AC89">
            <v>5</v>
          </cell>
          <cell r="AD89">
            <v>46</v>
          </cell>
          <cell r="AE89">
            <v>51</v>
          </cell>
          <cell r="AF89">
            <v>24</v>
          </cell>
          <cell r="AG89">
            <v>75</v>
          </cell>
          <cell r="AH89">
            <v>0</v>
          </cell>
          <cell r="AI89">
            <v>4</v>
          </cell>
          <cell r="AJ89">
            <v>16</v>
          </cell>
          <cell r="AK89">
            <v>40</v>
          </cell>
          <cell r="AL89">
            <v>56</v>
          </cell>
          <cell r="AM89">
            <v>23</v>
          </cell>
          <cell r="AN89">
            <v>79</v>
          </cell>
          <cell r="AO89">
            <v>0</v>
          </cell>
          <cell r="AP89">
            <v>4</v>
          </cell>
          <cell r="AQ89">
            <v>20</v>
          </cell>
          <cell r="AR89">
            <v>25</v>
          </cell>
          <cell r="AS89">
            <v>45</v>
          </cell>
          <cell r="AT89">
            <v>0</v>
          </cell>
          <cell r="AU89">
            <v>5</v>
          </cell>
          <cell r="AV89">
            <v>18</v>
          </cell>
          <cell r="AW89">
            <v>44</v>
          </cell>
          <cell r="AX89">
            <v>62</v>
          </cell>
          <cell r="AY89">
            <v>26</v>
          </cell>
          <cell r="AZ89">
            <v>88</v>
          </cell>
          <cell r="BA89">
            <v>0</v>
          </cell>
          <cell r="BB89">
            <v>5</v>
          </cell>
          <cell r="BC89">
            <v>16</v>
          </cell>
          <cell r="BD89">
            <v>41</v>
          </cell>
          <cell r="BE89">
            <v>57</v>
          </cell>
          <cell r="BF89">
            <v>29</v>
          </cell>
          <cell r="BG89">
            <v>86</v>
          </cell>
          <cell r="BH89">
            <v>0</v>
          </cell>
          <cell r="BI89">
            <v>5</v>
          </cell>
          <cell r="BJ89">
            <v>10</v>
          </cell>
          <cell r="BK89">
            <v>32</v>
          </cell>
          <cell r="BL89">
            <v>42</v>
          </cell>
          <cell r="BM89">
            <v>42</v>
          </cell>
          <cell r="BN89">
            <v>0</v>
          </cell>
          <cell r="BO89">
            <v>5</v>
          </cell>
          <cell r="BP89">
            <v>30.5</v>
          </cell>
          <cell r="BQ89">
            <v>4.3571428571428568</v>
          </cell>
          <cell r="BR89" t="str">
            <v>A</v>
          </cell>
          <cell r="BS89" t="str">
            <v>BETTER</v>
          </cell>
          <cell r="BT89">
            <v>588</v>
          </cell>
          <cell r="BU89">
            <v>12</v>
          </cell>
          <cell r="BV89">
            <v>52</v>
          </cell>
        </row>
        <row r="90"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12</v>
          </cell>
          <cell r="H90">
            <v>38</v>
          </cell>
          <cell r="I90">
            <v>50</v>
          </cell>
          <cell r="J90">
            <v>25</v>
          </cell>
          <cell r="K90">
            <v>75</v>
          </cell>
          <cell r="L90">
            <v>5</v>
          </cell>
          <cell r="M90">
            <v>33</v>
          </cell>
          <cell r="N90">
            <v>38</v>
          </cell>
          <cell r="O90">
            <v>38</v>
          </cell>
          <cell r="P90">
            <v>113</v>
          </cell>
          <cell r="Q90">
            <v>0</v>
          </cell>
          <cell r="R90">
            <v>4</v>
          </cell>
          <cell r="S90">
            <v>16</v>
          </cell>
          <cell r="T90">
            <v>63</v>
          </cell>
          <cell r="U90">
            <v>79</v>
          </cell>
          <cell r="V90">
            <v>5</v>
          </cell>
          <cell r="W90">
            <v>32</v>
          </cell>
          <cell r="X90">
            <v>37</v>
          </cell>
          <cell r="Y90">
            <v>116</v>
          </cell>
          <cell r="Z90">
            <v>116</v>
          </cell>
          <cell r="AA90">
            <v>0</v>
          </cell>
          <cell r="AB90">
            <v>4</v>
          </cell>
          <cell r="AC90">
            <v>5</v>
          </cell>
          <cell r="AD90">
            <v>38</v>
          </cell>
          <cell r="AE90">
            <v>43</v>
          </cell>
          <cell r="AF90">
            <v>27</v>
          </cell>
          <cell r="AG90">
            <v>70</v>
          </cell>
          <cell r="AH90">
            <v>0</v>
          </cell>
          <cell r="AI90">
            <v>4</v>
          </cell>
          <cell r="AJ90">
            <v>17</v>
          </cell>
          <cell r="AK90">
            <v>46</v>
          </cell>
          <cell r="AL90">
            <v>63</v>
          </cell>
          <cell r="AM90">
            <v>25</v>
          </cell>
          <cell r="AN90">
            <v>88</v>
          </cell>
          <cell r="AO90">
            <v>0</v>
          </cell>
          <cell r="AP90">
            <v>5</v>
          </cell>
          <cell r="AQ90">
            <v>20</v>
          </cell>
          <cell r="AR90">
            <v>25</v>
          </cell>
          <cell r="AS90">
            <v>45</v>
          </cell>
          <cell r="AT90">
            <v>0</v>
          </cell>
          <cell r="AU90">
            <v>5</v>
          </cell>
          <cell r="AV90">
            <v>10</v>
          </cell>
          <cell r="AW90">
            <v>35</v>
          </cell>
          <cell r="AX90">
            <v>45</v>
          </cell>
          <cell r="AY90">
            <v>20</v>
          </cell>
          <cell r="AZ90">
            <v>65</v>
          </cell>
          <cell r="BA90">
            <v>0</v>
          </cell>
          <cell r="BB90">
            <v>3.5</v>
          </cell>
          <cell r="BC90">
            <v>11</v>
          </cell>
          <cell r="BD90">
            <v>40</v>
          </cell>
          <cell r="BE90">
            <v>51</v>
          </cell>
          <cell r="BF90">
            <v>24</v>
          </cell>
          <cell r="BG90">
            <v>75</v>
          </cell>
          <cell r="BH90">
            <v>0</v>
          </cell>
          <cell r="BI90">
            <v>4</v>
          </cell>
          <cell r="BJ90">
            <v>7</v>
          </cell>
          <cell r="BK90">
            <v>24</v>
          </cell>
          <cell r="BL90">
            <v>31</v>
          </cell>
          <cell r="BM90">
            <v>31</v>
          </cell>
          <cell r="BN90">
            <v>0</v>
          </cell>
          <cell r="BO90">
            <v>3.5</v>
          </cell>
          <cell r="BP90">
            <v>29.5</v>
          </cell>
          <cell r="BQ90">
            <v>4.2142857142857144</v>
          </cell>
          <cell r="BR90" t="str">
            <v>A</v>
          </cell>
          <cell r="BS90" t="str">
            <v>BETTER</v>
          </cell>
          <cell r="BT90">
            <v>572</v>
          </cell>
          <cell r="BU90">
            <v>17</v>
          </cell>
          <cell r="BV90">
            <v>53</v>
          </cell>
        </row>
        <row r="91"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9</v>
          </cell>
          <cell r="H91">
            <v>11</v>
          </cell>
          <cell r="I91">
            <v>20</v>
          </cell>
          <cell r="J91">
            <v>15</v>
          </cell>
          <cell r="K91">
            <v>35</v>
          </cell>
          <cell r="L91">
            <v>5</v>
          </cell>
          <cell r="M91">
            <v>27</v>
          </cell>
          <cell r="N91">
            <v>32</v>
          </cell>
          <cell r="O91">
            <v>32</v>
          </cell>
          <cell r="P91">
            <v>67</v>
          </cell>
          <cell r="Q91">
            <v>0</v>
          </cell>
          <cell r="R91">
            <v>2</v>
          </cell>
          <cell r="S91">
            <v>11</v>
          </cell>
          <cell r="T91">
            <v>32</v>
          </cell>
          <cell r="U91">
            <v>43</v>
          </cell>
          <cell r="V91">
            <v>3</v>
          </cell>
          <cell r="W91">
            <v>14</v>
          </cell>
          <cell r="X91">
            <v>17</v>
          </cell>
          <cell r="Y91">
            <v>60</v>
          </cell>
          <cell r="Z91">
            <v>60</v>
          </cell>
          <cell r="AA91">
            <v>0</v>
          </cell>
          <cell r="AB91">
            <v>2</v>
          </cell>
          <cell r="AC91">
            <v>5</v>
          </cell>
          <cell r="AD91">
            <v>6</v>
          </cell>
          <cell r="AE91">
            <v>11</v>
          </cell>
          <cell r="AF91">
            <v>8</v>
          </cell>
          <cell r="AG91">
            <v>19</v>
          </cell>
          <cell r="AH91">
            <v>0</v>
          </cell>
          <cell r="AI91" t="str">
            <v>F</v>
          </cell>
          <cell r="AJ91">
            <v>15</v>
          </cell>
          <cell r="AK91">
            <v>24</v>
          </cell>
          <cell r="AL91">
            <v>39</v>
          </cell>
          <cell r="AM91">
            <v>25</v>
          </cell>
          <cell r="AN91">
            <v>64</v>
          </cell>
          <cell r="AO91">
            <v>0</v>
          </cell>
          <cell r="AP91">
            <v>3.5</v>
          </cell>
          <cell r="AQ91">
            <v>15</v>
          </cell>
          <cell r="AR91">
            <v>25</v>
          </cell>
          <cell r="AS91">
            <v>40</v>
          </cell>
          <cell r="AT91">
            <v>0</v>
          </cell>
          <cell r="AU91">
            <v>5</v>
          </cell>
          <cell r="AV91">
            <v>12</v>
          </cell>
          <cell r="AW91">
            <v>23</v>
          </cell>
          <cell r="AX91">
            <v>35</v>
          </cell>
          <cell r="AY91">
            <v>24</v>
          </cell>
          <cell r="AZ91">
            <v>59</v>
          </cell>
          <cell r="BA91">
            <v>0</v>
          </cell>
          <cell r="BB91">
            <v>3</v>
          </cell>
          <cell r="BC91">
            <v>10</v>
          </cell>
          <cell r="BD91">
            <v>14</v>
          </cell>
          <cell r="BE91">
            <v>24</v>
          </cell>
          <cell r="BF91">
            <v>17</v>
          </cell>
          <cell r="BG91">
            <v>41</v>
          </cell>
          <cell r="BH91">
            <v>0</v>
          </cell>
          <cell r="BI91">
            <v>2</v>
          </cell>
          <cell r="BJ91">
            <v>6</v>
          </cell>
          <cell r="BK91">
            <v>24</v>
          </cell>
          <cell r="BL91">
            <v>30</v>
          </cell>
          <cell r="BM91">
            <v>30</v>
          </cell>
          <cell r="BN91">
            <v>0</v>
          </cell>
          <cell r="BO91">
            <v>3.5</v>
          </cell>
          <cell r="BP91" t="str">
            <v>F</v>
          </cell>
          <cell r="BQ91" t="str">
            <v>F</v>
          </cell>
          <cell r="BR91" t="str">
            <v>F</v>
          </cell>
          <cell r="BS91" t="str">
            <v>NEED TO PROGRESS</v>
          </cell>
          <cell r="BT91">
            <v>350</v>
          </cell>
          <cell r="BU91">
            <v>0</v>
          </cell>
          <cell r="BV91">
            <v>54</v>
          </cell>
        </row>
        <row r="92"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4</v>
          </cell>
          <cell r="H92">
            <v>15</v>
          </cell>
          <cell r="I92">
            <v>19</v>
          </cell>
          <cell r="J92">
            <v>19</v>
          </cell>
          <cell r="K92">
            <v>38</v>
          </cell>
          <cell r="L92">
            <v>3</v>
          </cell>
          <cell r="M92">
            <v>26</v>
          </cell>
          <cell r="N92">
            <v>29</v>
          </cell>
          <cell r="O92">
            <v>29</v>
          </cell>
          <cell r="P92">
            <v>67</v>
          </cell>
          <cell r="Q92">
            <v>0</v>
          </cell>
          <cell r="R92">
            <v>2</v>
          </cell>
          <cell r="S92">
            <v>12</v>
          </cell>
          <cell r="T92">
            <v>43</v>
          </cell>
          <cell r="U92">
            <v>55</v>
          </cell>
          <cell r="V92">
            <v>5</v>
          </cell>
          <cell r="W92">
            <v>21</v>
          </cell>
          <cell r="X92">
            <v>26</v>
          </cell>
          <cell r="Y92">
            <v>81</v>
          </cell>
          <cell r="Z92">
            <v>81</v>
          </cell>
          <cell r="AA92">
            <v>0</v>
          </cell>
          <cell r="AB92">
            <v>3</v>
          </cell>
          <cell r="AC92">
            <v>5</v>
          </cell>
          <cell r="AD92">
            <v>2</v>
          </cell>
          <cell r="AE92">
            <v>7</v>
          </cell>
          <cell r="AF92">
            <v>7</v>
          </cell>
          <cell r="AG92">
            <v>14</v>
          </cell>
          <cell r="AH92">
            <v>0</v>
          </cell>
          <cell r="AI92" t="str">
            <v>F</v>
          </cell>
          <cell r="AJ92">
            <v>13</v>
          </cell>
          <cell r="AK92">
            <v>29</v>
          </cell>
          <cell r="AL92">
            <v>42</v>
          </cell>
          <cell r="AM92">
            <v>16</v>
          </cell>
          <cell r="AN92">
            <v>58</v>
          </cell>
          <cell r="AO92">
            <v>0</v>
          </cell>
          <cell r="AP92">
            <v>3</v>
          </cell>
          <cell r="AQ92">
            <v>20</v>
          </cell>
          <cell r="AR92">
            <v>25</v>
          </cell>
          <cell r="AS92">
            <v>45</v>
          </cell>
          <cell r="AT92">
            <v>0</v>
          </cell>
          <cell r="AU92">
            <v>5</v>
          </cell>
          <cell r="AV92">
            <v>10</v>
          </cell>
          <cell r="AW92">
            <v>18</v>
          </cell>
          <cell r="AX92">
            <v>28</v>
          </cell>
          <cell r="AY92">
            <v>15</v>
          </cell>
          <cell r="AZ92">
            <v>43</v>
          </cell>
          <cell r="BA92">
            <v>0</v>
          </cell>
          <cell r="BB92">
            <v>2</v>
          </cell>
          <cell r="BC92">
            <v>9</v>
          </cell>
          <cell r="BD92">
            <v>20</v>
          </cell>
          <cell r="BE92">
            <v>29</v>
          </cell>
          <cell r="BF92">
            <v>17</v>
          </cell>
          <cell r="BG92">
            <v>46</v>
          </cell>
          <cell r="BH92">
            <v>0</v>
          </cell>
          <cell r="BI92">
            <v>2</v>
          </cell>
          <cell r="BJ92">
            <v>7</v>
          </cell>
          <cell r="BK92">
            <v>24</v>
          </cell>
          <cell r="BL92">
            <v>31</v>
          </cell>
          <cell r="BM92">
            <v>31</v>
          </cell>
          <cell r="BN92">
            <v>0</v>
          </cell>
          <cell r="BO92">
            <v>3.5</v>
          </cell>
          <cell r="BP92" t="str">
            <v>F</v>
          </cell>
          <cell r="BQ92" t="str">
            <v>F</v>
          </cell>
          <cell r="BR92" t="str">
            <v>F</v>
          </cell>
          <cell r="BS92" t="str">
            <v>NEED TO PROGRESS</v>
          </cell>
          <cell r="BT92">
            <v>354</v>
          </cell>
          <cell r="BU92">
            <v>0</v>
          </cell>
          <cell r="BV92">
            <v>52</v>
          </cell>
        </row>
        <row r="93"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12</v>
          </cell>
          <cell r="H93">
            <v>31</v>
          </cell>
          <cell r="I93">
            <v>43</v>
          </cell>
          <cell r="J93">
            <v>26</v>
          </cell>
          <cell r="K93">
            <v>69</v>
          </cell>
          <cell r="L93">
            <v>2</v>
          </cell>
          <cell r="M93">
            <v>30</v>
          </cell>
          <cell r="N93">
            <v>32</v>
          </cell>
          <cell r="O93">
            <v>32</v>
          </cell>
          <cell r="P93">
            <v>101</v>
          </cell>
          <cell r="Q93">
            <v>0</v>
          </cell>
          <cell r="R93">
            <v>3.5</v>
          </cell>
          <cell r="S93">
            <v>3</v>
          </cell>
          <cell r="T93">
            <v>9</v>
          </cell>
          <cell r="U93">
            <v>12</v>
          </cell>
          <cell r="V93">
            <v>1</v>
          </cell>
          <cell r="W93">
            <v>14</v>
          </cell>
          <cell r="X93">
            <v>15</v>
          </cell>
          <cell r="Y93">
            <v>27</v>
          </cell>
          <cell r="Z93">
            <v>27</v>
          </cell>
          <cell r="AA93">
            <v>0</v>
          </cell>
          <cell r="AB93" t="str">
            <v>F</v>
          </cell>
          <cell r="AC93">
            <v>0</v>
          </cell>
          <cell r="AD93">
            <v>2</v>
          </cell>
          <cell r="AE93">
            <v>2</v>
          </cell>
          <cell r="AF93">
            <v>12</v>
          </cell>
          <cell r="AG93">
            <v>14</v>
          </cell>
          <cell r="AH93">
            <v>0</v>
          </cell>
          <cell r="AI93" t="str">
            <v>F</v>
          </cell>
          <cell r="AJ93">
            <v>0</v>
          </cell>
          <cell r="AK93">
            <v>56</v>
          </cell>
          <cell r="AL93">
            <v>56</v>
          </cell>
          <cell r="AM93">
            <v>17</v>
          </cell>
          <cell r="AN93">
            <v>73</v>
          </cell>
          <cell r="AO93">
            <v>0</v>
          </cell>
          <cell r="AP93">
            <v>4</v>
          </cell>
          <cell r="AQ93">
            <v>12</v>
          </cell>
          <cell r="AR93">
            <v>25</v>
          </cell>
          <cell r="AS93">
            <v>37</v>
          </cell>
          <cell r="AT93">
            <v>0</v>
          </cell>
          <cell r="AU93">
            <v>4</v>
          </cell>
          <cell r="AV93">
            <v>0</v>
          </cell>
          <cell r="AW93">
            <v>16</v>
          </cell>
          <cell r="AX93">
            <v>16</v>
          </cell>
          <cell r="AY93">
            <v>23</v>
          </cell>
          <cell r="AZ93">
            <v>39</v>
          </cell>
          <cell r="BA93">
            <v>0</v>
          </cell>
          <cell r="BB93" t="str">
            <v>F</v>
          </cell>
          <cell r="BC93">
            <v>0</v>
          </cell>
          <cell r="BD93">
            <v>30</v>
          </cell>
          <cell r="BE93">
            <v>30</v>
          </cell>
          <cell r="BF93">
            <v>24</v>
          </cell>
          <cell r="BG93">
            <v>54</v>
          </cell>
          <cell r="BH93">
            <v>0</v>
          </cell>
          <cell r="BI93">
            <v>3</v>
          </cell>
          <cell r="BJ93">
            <v>10</v>
          </cell>
          <cell r="BK93">
            <v>25</v>
          </cell>
          <cell r="BL93">
            <v>35</v>
          </cell>
          <cell r="BM93">
            <v>35</v>
          </cell>
          <cell r="BN93">
            <v>0</v>
          </cell>
          <cell r="BO93">
            <v>4</v>
          </cell>
          <cell r="BP93" t="str">
            <v>F</v>
          </cell>
          <cell r="BQ93" t="str">
            <v>F</v>
          </cell>
          <cell r="BR93" t="str">
            <v>F</v>
          </cell>
          <cell r="BS93" t="str">
            <v>NEED TO PROGRESS</v>
          </cell>
          <cell r="BT93">
            <v>345</v>
          </cell>
          <cell r="BU93">
            <v>0</v>
          </cell>
          <cell r="BV93">
            <v>50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1</v>
          </cell>
          <cell r="C96">
            <v>2</v>
          </cell>
          <cell r="D96">
            <v>3</v>
          </cell>
          <cell r="E96">
            <v>4</v>
          </cell>
          <cell r="F96">
            <v>5</v>
          </cell>
          <cell r="G96">
            <v>6</v>
          </cell>
          <cell r="H96">
            <v>7</v>
          </cell>
          <cell r="I96">
            <v>8</v>
          </cell>
          <cell r="J96">
            <v>9</v>
          </cell>
          <cell r="K96">
            <v>10</v>
          </cell>
          <cell r="L96">
            <v>11</v>
          </cell>
          <cell r="M96">
            <v>12</v>
          </cell>
          <cell r="N96">
            <v>13</v>
          </cell>
          <cell r="O96">
            <v>14</v>
          </cell>
          <cell r="P96">
            <v>15</v>
          </cell>
          <cell r="Q96">
            <v>16</v>
          </cell>
          <cell r="R96">
            <v>17</v>
          </cell>
          <cell r="S96">
            <v>18</v>
          </cell>
          <cell r="T96">
            <v>19</v>
          </cell>
          <cell r="U96">
            <v>20</v>
          </cell>
          <cell r="V96">
            <v>21</v>
          </cell>
          <cell r="W96">
            <v>22</v>
          </cell>
          <cell r="X96">
            <v>23</v>
          </cell>
          <cell r="Y96">
            <v>24</v>
          </cell>
          <cell r="Z96">
            <v>25</v>
          </cell>
          <cell r="AA96">
            <v>26</v>
          </cell>
          <cell r="AB96">
            <v>27</v>
          </cell>
          <cell r="AC96">
            <v>28</v>
          </cell>
          <cell r="AD96">
            <v>29</v>
          </cell>
          <cell r="AE96">
            <v>30</v>
          </cell>
          <cell r="AF96">
            <v>31</v>
          </cell>
          <cell r="AG96">
            <v>32</v>
          </cell>
          <cell r="AH96">
            <v>33</v>
          </cell>
          <cell r="AI96">
            <v>34</v>
          </cell>
          <cell r="AJ96">
            <v>35</v>
          </cell>
          <cell r="AK96">
            <v>36</v>
          </cell>
          <cell r="AL96">
            <v>37</v>
          </cell>
          <cell r="AM96">
            <v>38</v>
          </cell>
          <cell r="AN96">
            <v>39</v>
          </cell>
          <cell r="AO96">
            <v>40</v>
          </cell>
          <cell r="AP96">
            <v>41</v>
          </cell>
          <cell r="AQ96">
            <v>42</v>
          </cell>
          <cell r="AR96">
            <v>43</v>
          </cell>
          <cell r="AS96">
            <v>44</v>
          </cell>
          <cell r="AT96">
            <v>45</v>
          </cell>
          <cell r="AU96">
            <v>46</v>
          </cell>
          <cell r="AV96">
            <v>47</v>
          </cell>
          <cell r="AW96">
            <v>48</v>
          </cell>
          <cell r="AX96">
            <v>49</v>
          </cell>
          <cell r="AY96">
            <v>50</v>
          </cell>
          <cell r="AZ96">
            <v>51</v>
          </cell>
          <cell r="BA96">
            <v>52</v>
          </cell>
          <cell r="BB96">
            <v>53</v>
          </cell>
          <cell r="BC96">
            <v>54</v>
          </cell>
          <cell r="BD96">
            <v>55</v>
          </cell>
          <cell r="BE96">
            <v>56</v>
          </cell>
          <cell r="BF96">
            <v>57</v>
          </cell>
          <cell r="BG96">
            <v>58</v>
          </cell>
          <cell r="BH96">
            <v>59</v>
          </cell>
          <cell r="BI96">
            <v>60</v>
          </cell>
          <cell r="BJ96">
            <v>61</v>
          </cell>
          <cell r="BK96">
            <v>62</v>
          </cell>
          <cell r="BL96">
            <v>63</v>
          </cell>
          <cell r="BM96">
            <v>64</v>
          </cell>
          <cell r="BN96">
            <v>65</v>
          </cell>
          <cell r="BO96">
            <v>66</v>
          </cell>
          <cell r="BP96">
            <v>67</v>
          </cell>
          <cell r="BQ96">
            <v>68</v>
          </cell>
          <cell r="BR96">
            <v>69</v>
          </cell>
          <cell r="BS96">
            <v>70</v>
          </cell>
          <cell r="BT96">
            <v>71</v>
          </cell>
          <cell r="BU96">
            <v>72</v>
          </cell>
          <cell r="BV96">
            <v>73</v>
          </cell>
        </row>
      </sheetData>
      <sheetData sheetId="1">
        <row r="5">
          <cell r="B5">
            <v>0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1st_Semester"/>
      <sheetName val="2nd_Semester"/>
      <sheetName val=" 3rd_Semester"/>
      <sheetName val="ANNUAL_RESULT"/>
      <sheetName val="Result card "/>
    </sheetNames>
    <sheetDataSet>
      <sheetData sheetId="0">
        <row r="6">
          <cell r="B6" t="str">
            <v>ROLL</v>
          </cell>
          <cell r="C6" t="str">
            <v>Student's Name</v>
          </cell>
          <cell r="D6" t="str">
            <v>Fahther`s Name</v>
          </cell>
          <cell r="E6" t="str">
            <v>Mother's Name</v>
          </cell>
          <cell r="F6" t="str">
            <v>Mobile No.</v>
          </cell>
          <cell r="G6" t="str">
            <v>BANGLA -1ST</v>
          </cell>
          <cell r="H6">
            <v>0</v>
          </cell>
          <cell r="I6">
            <v>0</v>
          </cell>
          <cell r="J6">
            <v>0</v>
          </cell>
          <cell r="K6" t="str">
            <v>TOTAL 100%</v>
          </cell>
          <cell r="L6" t="str">
            <v>BANGLA- 2ND</v>
          </cell>
          <cell r="M6">
            <v>0</v>
          </cell>
          <cell r="N6">
            <v>0</v>
          </cell>
          <cell r="O6" t="str">
            <v>TOTAL 100%</v>
          </cell>
          <cell r="P6" t="str">
            <v>TOTAL</v>
          </cell>
          <cell r="Q6" t="str">
            <v>H
MARK</v>
          </cell>
          <cell r="R6" t="str">
            <v>GP</v>
          </cell>
          <cell r="S6" t="str">
            <v>ENGLISH</v>
          </cell>
          <cell r="T6">
            <v>0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 t="str">
            <v>TOTAL 100%</v>
          </cell>
          <cell r="Z6" t="str">
            <v>TOTAL</v>
          </cell>
          <cell r="AA6" t="str">
            <v>H
MARK</v>
          </cell>
          <cell r="AB6" t="str">
            <v>GP</v>
          </cell>
          <cell r="AC6" t="str">
            <v>MATHEMATICS</v>
          </cell>
          <cell r="AD6">
            <v>0</v>
          </cell>
          <cell r="AE6">
            <v>0</v>
          </cell>
          <cell r="AF6">
            <v>0</v>
          </cell>
          <cell r="AG6" t="str">
            <v>TOTAL</v>
          </cell>
          <cell r="AH6" t="str">
            <v>H
MARK</v>
          </cell>
          <cell r="AI6" t="str">
            <v>GP</v>
          </cell>
          <cell r="AJ6" t="str">
            <v>RELIGION</v>
          </cell>
          <cell r="AK6">
            <v>0</v>
          </cell>
          <cell r="AL6">
            <v>0</v>
          </cell>
          <cell r="AM6">
            <v>0</v>
          </cell>
          <cell r="AN6" t="str">
            <v>TOTAL</v>
          </cell>
          <cell r="AO6" t="str">
            <v>H
MARK</v>
          </cell>
          <cell r="AP6" t="str">
            <v>GP</v>
          </cell>
          <cell r="AQ6" t="str">
            <v>ICT</v>
          </cell>
          <cell r="AR6">
            <v>0</v>
          </cell>
          <cell r="AS6" t="str">
            <v>TOTAL</v>
          </cell>
          <cell r="AT6" t="str">
            <v>H
MARK</v>
          </cell>
          <cell r="AU6" t="str">
            <v>GP</v>
          </cell>
          <cell r="AV6" t="str">
            <v>SCIENCE</v>
          </cell>
          <cell r="AW6">
            <v>0</v>
          </cell>
          <cell r="AX6">
            <v>0</v>
          </cell>
          <cell r="AY6">
            <v>0</v>
          </cell>
          <cell r="AZ6" t="str">
            <v>TOTAL</v>
          </cell>
          <cell r="BA6" t="str">
            <v>H
MARK</v>
          </cell>
          <cell r="BB6" t="str">
            <v>GP</v>
          </cell>
          <cell r="BC6" t="str">
            <v>BGS</v>
          </cell>
          <cell r="BD6">
            <v>0</v>
          </cell>
          <cell r="BE6">
            <v>0</v>
          </cell>
          <cell r="BF6">
            <v>0</v>
          </cell>
          <cell r="BG6" t="str">
            <v>TOTAL</v>
          </cell>
          <cell r="BH6" t="str">
            <v>H
MARK</v>
          </cell>
          <cell r="BI6" t="str">
            <v>GP</v>
          </cell>
          <cell r="BJ6" t="str">
            <v>AGICULTURE</v>
          </cell>
          <cell r="BK6">
            <v>0</v>
          </cell>
          <cell r="BL6">
            <v>0</v>
          </cell>
          <cell r="BM6" t="str">
            <v>TOTAL</v>
          </cell>
          <cell r="BN6" t="str">
            <v>H
MARK</v>
          </cell>
          <cell r="BO6" t="str">
            <v>GP</v>
          </cell>
          <cell r="BP6" t="str">
            <v>T-GP</v>
          </cell>
          <cell r="BQ6" t="str">
            <v>GPA</v>
          </cell>
          <cell r="BR6" t="str">
            <v>GRADE</v>
          </cell>
          <cell r="BS6" t="str">
            <v>BEHABIOUR</v>
          </cell>
          <cell r="BT6" t="str">
            <v>GRAND TOTAL 
MARKS</v>
          </cell>
          <cell r="BU6" t="str">
            <v>RANK OF STUDENT</v>
          </cell>
          <cell r="BV6" t="str">
            <v>WORKING 
DAYS</v>
          </cell>
        </row>
        <row r="7"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 t="str">
            <v>MT</v>
          </cell>
          <cell r="H7" t="str">
            <v>CR</v>
          </cell>
          <cell r="I7" t="str">
            <v>MT+CR</v>
          </cell>
          <cell r="J7" t="str">
            <v>OB</v>
          </cell>
          <cell r="K7">
            <v>0</v>
          </cell>
          <cell r="L7" t="str">
            <v>MT</v>
          </cell>
          <cell r="M7" t="str">
            <v>CR</v>
          </cell>
          <cell r="N7" t="str">
            <v>MT+CR</v>
          </cell>
          <cell r="O7">
            <v>0</v>
          </cell>
          <cell r="P7">
            <v>0</v>
          </cell>
          <cell r="Q7">
            <v>0</v>
          </cell>
          <cell r="R7">
            <v>0</v>
          </cell>
          <cell r="S7" t="str">
            <v>MT</v>
          </cell>
          <cell r="T7" t="str">
            <v>1st</v>
          </cell>
          <cell r="U7" t="str">
            <v>MT+80%</v>
          </cell>
          <cell r="V7" t="str">
            <v>MT</v>
          </cell>
          <cell r="W7" t="str">
            <v>2nd</v>
          </cell>
          <cell r="X7" t="str">
            <v>MT+80%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 t="str">
            <v>MT</v>
          </cell>
          <cell r="AD7" t="str">
            <v>CR</v>
          </cell>
          <cell r="AE7" t="str">
            <v>MT+CR</v>
          </cell>
          <cell r="AF7" t="str">
            <v>OB</v>
          </cell>
          <cell r="AG7">
            <v>0</v>
          </cell>
          <cell r="AH7">
            <v>0</v>
          </cell>
          <cell r="AI7">
            <v>0</v>
          </cell>
          <cell r="AJ7" t="str">
            <v>MT</v>
          </cell>
          <cell r="AK7" t="str">
            <v>CR</v>
          </cell>
          <cell r="AL7" t="str">
            <v>MT+CR</v>
          </cell>
          <cell r="AM7" t="str">
            <v>OB</v>
          </cell>
          <cell r="AN7">
            <v>0</v>
          </cell>
          <cell r="AO7">
            <v>0</v>
          </cell>
          <cell r="AP7">
            <v>0</v>
          </cell>
          <cell r="AQ7" t="str">
            <v>OB</v>
          </cell>
          <cell r="AR7" t="str">
            <v>PR</v>
          </cell>
          <cell r="AS7">
            <v>0</v>
          </cell>
          <cell r="AT7">
            <v>0</v>
          </cell>
          <cell r="AU7">
            <v>0</v>
          </cell>
          <cell r="AV7" t="str">
            <v>MT</v>
          </cell>
          <cell r="AW7" t="str">
            <v>CR</v>
          </cell>
          <cell r="AX7" t="str">
            <v>MT+CR</v>
          </cell>
          <cell r="AY7" t="str">
            <v>OB</v>
          </cell>
          <cell r="AZ7">
            <v>0</v>
          </cell>
          <cell r="BA7">
            <v>0</v>
          </cell>
          <cell r="BB7">
            <v>0</v>
          </cell>
          <cell r="BC7" t="str">
            <v>MT</v>
          </cell>
          <cell r="BD7" t="str">
            <v>CR</v>
          </cell>
          <cell r="BE7" t="str">
            <v>MT+CR</v>
          </cell>
          <cell r="BF7" t="str">
            <v>OB</v>
          </cell>
          <cell r="BG7">
            <v>0</v>
          </cell>
          <cell r="BH7">
            <v>0</v>
          </cell>
          <cell r="BI7">
            <v>0</v>
          </cell>
          <cell r="BJ7" t="str">
            <v>MT</v>
          </cell>
          <cell r="BK7" t="str">
            <v>CR</v>
          </cell>
          <cell r="BL7" t="str">
            <v>MT+CR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</row>
        <row r="8">
          <cell r="B8">
            <v>1</v>
          </cell>
          <cell r="C8" t="str">
            <v xml:space="preserve">Mahua Khan </v>
          </cell>
          <cell r="D8" t="str">
            <v xml:space="preserve">Md. Mizanur Rahman </v>
          </cell>
          <cell r="E8" t="str">
            <v>Maksutha Begum</v>
          </cell>
          <cell r="F8">
            <v>1605562549</v>
          </cell>
          <cell r="G8">
            <v>17</v>
          </cell>
          <cell r="H8">
            <v>46</v>
          </cell>
          <cell r="I8">
            <v>63</v>
          </cell>
          <cell r="J8">
            <v>29</v>
          </cell>
          <cell r="K8">
            <v>92</v>
          </cell>
          <cell r="L8">
            <v>10</v>
          </cell>
          <cell r="M8">
            <v>39</v>
          </cell>
          <cell r="N8">
            <v>49</v>
          </cell>
          <cell r="O8">
            <v>49</v>
          </cell>
          <cell r="P8">
            <v>141</v>
          </cell>
          <cell r="Q8">
            <v>141</v>
          </cell>
          <cell r="R8">
            <v>5</v>
          </cell>
          <cell r="S8">
            <v>20</v>
          </cell>
          <cell r="T8">
            <v>80</v>
          </cell>
          <cell r="U8">
            <v>100</v>
          </cell>
          <cell r="V8">
            <v>10</v>
          </cell>
          <cell r="W8">
            <v>38</v>
          </cell>
          <cell r="X8">
            <v>48</v>
          </cell>
          <cell r="Y8">
            <v>148</v>
          </cell>
          <cell r="Z8">
            <v>148</v>
          </cell>
          <cell r="AA8">
            <v>148</v>
          </cell>
          <cell r="AB8">
            <v>5</v>
          </cell>
          <cell r="AC8">
            <v>20</v>
          </cell>
          <cell r="AD8">
            <v>46</v>
          </cell>
          <cell r="AE8">
            <v>66</v>
          </cell>
          <cell r="AF8">
            <v>30</v>
          </cell>
          <cell r="AG8">
            <v>96</v>
          </cell>
          <cell r="AH8">
            <v>98</v>
          </cell>
          <cell r="AI8">
            <v>5</v>
          </cell>
          <cell r="AJ8">
            <v>20</v>
          </cell>
          <cell r="AK8">
            <v>50</v>
          </cell>
          <cell r="AL8">
            <v>70</v>
          </cell>
          <cell r="AM8">
            <v>27</v>
          </cell>
          <cell r="AN8">
            <v>97</v>
          </cell>
          <cell r="AO8">
            <v>97</v>
          </cell>
          <cell r="AP8">
            <v>5</v>
          </cell>
          <cell r="AQ8">
            <v>20</v>
          </cell>
          <cell r="AR8">
            <v>25</v>
          </cell>
          <cell r="AS8">
            <v>45</v>
          </cell>
          <cell r="AT8">
            <v>45</v>
          </cell>
          <cell r="AU8">
            <v>5</v>
          </cell>
          <cell r="AV8">
            <v>20</v>
          </cell>
          <cell r="AW8">
            <v>50</v>
          </cell>
          <cell r="AX8">
            <v>70</v>
          </cell>
          <cell r="AY8">
            <v>30</v>
          </cell>
          <cell r="AZ8">
            <v>100</v>
          </cell>
          <cell r="BA8">
            <v>100</v>
          </cell>
          <cell r="BB8">
            <v>5</v>
          </cell>
          <cell r="BC8">
            <v>20</v>
          </cell>
          <cell r="BD8">
            <v>48</v>
          </cell>
          <cell r="BE8">
            <v>68</v>
          </cell>
          <cell r="BF8">
            <v>30</v>
          </cell>
          <cell r="BG8">
            <v>98</v>
          </cell>
          <cell r="BH8">
            <v>98</v>
          </cell>
          <cell r="BI8">
            <v>5</v>
          </cell>
          <cell r="BJ8">
            <v>10</v>
          </cell>
          <cell r="BK8">
            <v>32</v>
          </cell>
          <cell r="BL8">
            <v>42</v>
          </cell>
          <cell r="BM8">
            <v>42</v>
          </cell>
          <cell r="BN8">
            <v>42</v>
          </cell>
          <cell r="BO8">
            <v>5</v>
          </cell>
          <cell r="BP8">
            <v>35</v>
          </cell>
          <cell r="BQ8">
            <v>5</v>
          </cell>
          <cell r="BR8" t="str">
            <v>A+</v>
          </cell>
          <cell r="BS8" t="str">
            <v>BEST</v>
          </cell>
          <cell r="BT8">
            <v>725</v>
          </cell>
          <cell r="BU8">
            <v>1</v>
          </cell>
          <cell r="BV8">
            <v>70</v>
          </cell>
        </row>
        <row r="9">
          <cell r="B9">
            <v>2</v>
          </cell>
          <cell r="C9" t="str">
            <v xml:space="preserve">Prottasha Mollik Othoi </v>
          </cell>
          <cell r="D9" t="str">
            <v xml:space="preserve">Md. Zahid Hasan </v>
          </cell>
          <cell r="E9" t="str">
            <v xml:space="preserve">Mst. Ruma Aktar </v>
          </cell>
          <cell r="F9" t="str">
            <v>01963-270281       01934-591956</v>
          </cell>
          <cell r="G9">
            <v>20</v>
          </cell>
          <cell r="H9">
            <v>46</v>
          </cell>
          <cell r="I9">
            <v>66</v>
          </cell>
          <cell r="J9">
            <v>21</v>
          </cell>
          <cell r="K9">
            <v>87</v>
          </cell>
          <cell r="L9">
            <v>10</v>
          </cell>
          <cell r="M9">
            <v>35</v>
          </cell>
          <cell r="N9">
            <v>45</v>
          </cell>
          <cell r="O9">
            <v>45</v>
          </cell>
          <cell r="P9">
            <v>132</v>
          </cell>
          <cell r="Q9">
            <v>0</v>
          </cell>
          <cell r="R9">
            <v>5</v>
          </cell>
          <cell r="S9">
            <v>19</v>
          </cell>
          <cell r="T9">
            <v>73</v>
          </cell>
          <cell r="U9">
            <v>92</v>
          </cell>
          <cell r="V9">
            <v>7</v>
          </cell>
          <cell r="W9">
            <v>32</v>
          </cell>
          <cell r="X9">
            <v>39</v>
          </cell>
          <cell r="Y9">
            <v>131</v>
          </cell>
          <cell r="Z9">
            <v>131</v>
          </cell>
          <cell r="AA9">
            <v>0</v>
          </cell>
          <cell r="AB9">
            <v>5</v>
          </cell>
          <cell r="AC9">
            <v>14</v>
          </cell>
          <cell r="AD9">
            <v>35</v>
          </cell>
          <cell r="AE9">
            <v>49</v>
          </cell>
          <cell r="AF9">
            <v>20</v>
          </cell>
          <cell r="AG9">
            <v>69</v>
          </cell>
          <cell r="AH9">
            <v>0</v>
          </cell>
          <cell r="AI9">
            <v>3.5</v>
          </cell>
          <cell r="AJ9">
            <v>20</v>
          </cell>
          <cell r="AK9">
            <v>41</v>
          </cell>
          <cell r="AL9">
            <v>61</v>
          </cell>
          <cell r="AM9">
            <v>22</v>
          </cell>
          <cell r="AN9">
            <v>83</v>
          </cell>
          <cell r="AO9">
            <v>0</v>
          </cell>
          <cell r="AP9">
            <v>5</v>
          </cell>
          <cell r="AQ9">
            <v>20</v>
          </cell>
          <cell r="AR9">
            <v>25</v>
          </cell>
          <cell r="AS9">
            <v>45</v>
          </cell>
          <cell r="AT9">
            <v>0</v>
          </cell>
          <cell r="AU9">
            <v>5</v>
          </cell>
          <cell r="AV9">
            <v>20</v>
          </cell>
          <cell r="AW9">
            <v>50</v>
          </cell>
          <cell r="AX9">
            <v>70</v>
          </cell>
          <cell r="AY9">
            <v>24</v>
          </cell>
          <cell r="AZ9">
            <v>94</v>
          </cell>
          <cell r="BA9">
            <v>0</v>
          </cell>
          <cell r="BB9">
            <v>5</v>
          </cell>
          <cell r="BC9">
            <v>19</v>
          </cell>
          <cell r="BD9">
            <v>47</v>
          </cell>
          <cell r="BE9">
            <v>66</v>
          </cell>
          <cell r="BF9">
            <v>28</v>
          </cell>
          <cell r="BG9">
            <v>94</v>
          </cell>
          <cell r="BH9">
            <v>0</v>
          </cell>
          <cell r="BI9">
            <v>5</v>
          </cell>
          <cell r="BJ9">
            <v>10</v>
          </cell>
          <cell r="BK9">
            <v>28</v>
          </cell>
          <cell r="BL9">
            <v>38</v>
          </cell>
          <cell r="BM9">
            <v>38</v>
          </cell>
          <cell r="BN9">
            <v>0</v>
          </cell>
          <cell r="BO9">
            <v>4</v>
          </cell>
          <cell r="BP9">
            <v>33.5</v>
          </cell>
          <cell r="BQ9">
            <v>4.7857142857142856</v>
          </cell>
          <cell r="BR9" t="str">
            <v>A</v>
          </cell>
          <cell r="BS9" t="str">
            <v>BETTER</v>
          </cell>
          <cell r="BT9">
            <v>648</v>
          </cell>
          <cell r="BU9">
            <v>8</v>
          </cell>
          <cell r="BV9">
            <v>65</v>
          </cell>
        </row>
        <row r="10">
          <cell r="B10">
            <v>3</v>
          </cell>
          <cell r="C10" t="str">
            <v>Samiya Binte Kalim</v>
          </cell>
          <cell r="D10" t="str">
            <v>Kalim Rahman</v>
          </cell>
          <cell r="E10" t="str">
            <v xml:space="preserve">Hasina Akter </v>
          </cell>
          <cell r="F10" t="str">
            <v>01777-244922        01859-502050</v>
          </cell>
          <cell r="G10">
            <v>14</v>
          </cell>
          <cell r="H10">
            <v>35</v>
          </cell>
          <cell r="I10">
            <v>49</v>
          </cell>
          <cell r="J10">
            <v>19</v>
          </cell>
          <cell r="K10">
            <v>68</v>
          </cell>
          <cell r="L10">
            <v>10</v>
          </cell>
          <cell r="M10">
            <v>31</v>
          </cell>
          <cell r="N10">
            <v>41</v>
          </cell>
          <cell r="O10">
            <v>41</v>
          </cell>
          <cell r="P10">
            <v>109</v>
          </cell>
          <cell r="Q10">
            <v>0</v>
          </cell>
          <cell r="R10">
            <v>4</v>
          </cell>
          <cell r="S10">
            <v>14</v>
          </cell>
          <cell r="T10">
            <v>44</v>
          </cell>
          <cell r="U10">
            <v>58</v>
          </cell>
          <cell r="V10">
            <v>6</v>
          </cell>
          <cell r="W10">
            <v>32</v>
          </cell>
          <cell r="X10">
            <v>38</v>
          </cell>
          <cell r="Y10">
            <v>96</v>
          </cell>
          <cell r="Z10">
            <v>96</v>
          </cell>
          <cell r="AA10">
            <v>0</v>
          </cell>
          <cell r="AB10">
            <v>3.5</v>
          </cell>
          <cell r="AC10">
            <v>14</v>
          </cell>
          <cell r="AD10">
            <v>39</v>
          </cell>
          <cell r="AE10">
            <v>53</v>
          </cell>
          <cell r="AF10">
            <v>20</v>
          </cell>
          <cell r="AG10">
            <v>73</v>
          </cell>
          <cell r="AH10">
            <v>0</v>
          </cell>
          <cell r="AI10">
            <v>4</v>
          </cell>
          <cell r="AJ10">
            <v>18</v>
          </cell>
          <cell r="AK10">
            <v>30</v>
          </cell>
          <cell r="AL10">
            <v>48</v>
          </cell>
          <cell r="AM10">
            <v>23</v>
          </cell>
          <cell r="AN10">
            <v>71</v>
          </cell>
          <cell r="AO10">
            <v>0</v>
          </cell>
          <cell r="AP10">
            <v>4</v>
          </cell>
          <cell r="AQ10">
            <v>18</v>
          </cell>
          <cell r="AR10">
            <v>25</v>
          </cell>
          <cell r="AS10">
            <v>43</v>
          </cell>
          <cell r="AT10">
            <v>0</v>
          </cell>
          <cell r="AU10">
            <v>5</v>
          </cell>
          <cell r="AV10">
            <v>17</v>
          </cell>
          <cell r="AW10">
            <v>44</v>
          </cell>
          <cell r="AX10">
            <v>61</v>
          </cell>
          <cell r="AY10">
            <v>25</v>
          </cell>
          <cell r="AZ10">
            <v>86</v>
          </cell>
          <cell r="BA10">
            <v>0</v>
          </cell>
          <cell r="BB10">
            <v>5</v>
          </cell>
          <cell r="BC10">
            <v>14</v>
          </cell>
          <cell r="BD10">
            <v>44</v>
          </cell>
          <cell r="BE10">
            <v>58</v>
          </cell>
          <cell r="BF10">
            <v>26</v>
          </cell>
          <cell r="BG10">
            <v>84</v>
          </cell>
          <cell r="BH10">
            <v>0</v>
          </cell>
          <cell r="BI10">
            <v>5</v>
          </cell>
          <cell r="BJ10">
            <v>8</v>
          </cell>
          <cell r="BK10">
            <v>28</v>
          </cell>
          <cell r="BL10">
            <v>36</v>
          </cell>
          <cell r="BM10">
            <v>36</v>
          </cell>
          <cell r="BN10">
            <v>0</v>
          </cell>
          <cell r="BO10">
            <v>4</v>
          </cell>
          <cell r="BP10">
            <v>30.5</v>
          </cell>
          <cell r="BQ10">
            <v>4.3571428571428568</v>
          </cell>
          <cell r="BR10" t="str">
            <v>A</v>
          </cell>
          <cell r="BS10" t="str">
            <v>BETTER</v>
          </cell>
          <cell r="BT10">
            <v>562</v>
          </cell>
          <cell r="BU10">
            <v>13</v>
          </cell>
          <cell r="BV10">
            <v>68</v>
          </cell>
        </row>
        <row r="11">
          <cell r="B11">
            <v>4</v>
          </cell>
          <cell r="C11" t="str">
            <v>Md. Riyadul Islam</v>
          </cell>
          <cell r="D11" t="str">
            <v>Mohammad Ali</v>
          </cell>
          <cell r="E11" t="str">
            <v>Rehana Parvin</v>
          </cell>
          <cell r="F11" t="str">
            <v>01703-795660   01748-206732</v>
          </cell>
          <cell r="G11">
            <v>17</v>
          </cell>
          <cell r="H11">
            <v>37</v>
          </cell>
          <cell r="I11">
            <v>54</v>
          </cell>
          <cell r="J11">
            <v>20</v>
          </cell>
          <cell r="K11">
            <v>74</v>
          </cell>
          <cell r="L11">
            <v>10</v>
          </cell>
          <cell r="M11">
            <v>27</v>
          </cell>
          <cell r="N11">
            <v>37</v>
          </cell>
          <cell r="O11">
            <v>37</v>
          </cell>
          <cell r="P11">
            <v>111</v>
          </cell>
          <cell r="Q11">
            <v>0</v>
          </cell>
          <cell r="R11">
            <v>4</v>
          </cell>
          <cell r="S11">
            <v>13</v>
          </cell>
          <cell r="T11">
            <v>50</v>
          </cell>
          <cell r="U11">
            <v>63</v>
          </cell>
          <cell r="V11">
            <v>3</v>
          </cell>
          <cell r="W11">
            <v>34</v>
          </cell>
          <cell r="X11">
            <v>37</v>
          </cell>
          <cell r="Y11">
            <v>100</v>
          </cell>
          <cell r="Z11">
            <v>100</v>
          </cell>
          <cell r="AA11">
            <v>0</v>
          </cell>
          <cell r="AB11">
            <v>3.5</v>
          </cell>
          <cell r="AC11">
            <v>10</v>
          </cell>
          <cell r="AD11">
            <v>24</v>
          </cell>
          <cell r="AE11">
            <v>34</v>
          </cell>
          <cell r="AF11">
            <v>16</v>
          </cell>
          <cell r="AG11">
            <v>50</v>
          </cell>
          <cell r="AH11">
            <v>0</v>
          </cell>
          <cell r="AI11">
            <v>3</v>
          </cell>
          <cell r="AJ11">
            <v>15</v>
          </cell>
          <cell r="AK11">
            <v>29</v>
          </cell>
          <cell r="AL11">
            <v>44</v>
          </cell>
          <cell r="AM11">
            <v>16</v>
          </cell>
          <cell r="AN11">
            <v>60</v>
          </cell>
          <cell r="AO11">
            <v>0</v>
          </cell>
          <cell r="AP11">
            <v>3.5</v>
          </cell>
          <cell r="AQ11">
            <v>20</v>
          </cell>
          <cell r="AR11">
            <v>25</v>
          </cell>
          <cell r="AS11">
            <v>45</v>
          </cell>
          <cell r="AT11">
            <v>0</v>
          </cell>
          <cell r="AU11">
            <v>5</v>
          </cell>
          <cell r="AV11">
            <v>11</v>
          </cell>
          <cell r="AW11">
            <v>49</v>
          </cell>
          <cell r="AX11">
            <v>60</v>
          </cell>
          <cell r="AY11">
            <v>25</v>
          </cell>
          <cell r="AZ11">
            <v>85</v>
          </cell>
          <cell r="BA11">
            <v>0</v>
          </cell>
          <cell r="BB11">
            <v>5</v>
          </cell>
          <cell r="BC11">
            <v>8</v>
          </cell>
          <cell r="BD11">
            <v>46</v>
          </cell>
          <cell r="BE11">
            <v>54</v>
          </cell>
          <cell r="BF11">
            <v>28</v>
          </cell>
          <cell r="BG11">
            <v>82</v>
          </cell>
          <cell r="BH11">
            <v>0</v>
          </cell>
          <cell r="BI11">
            <v>5</v>
          </cell>
          <cell r="BJ11">
            <v>6</v>
          </cell>
          <cell r="BK11">
            <v>24</v>
          </cell>
          <cell r="BL11">
            <v>30</v>
          </cell>
          <cell r="BM11">
            <v>30</v>
          </cell>
          <cell r="BN11">
            <v>0</v>
          </cell>
          <cell r="BO11">
            <v>3.5</v>
          </cell>
          <cell r="BP11">
            <v>29</v>
          </cell>
          <cell r="BQ11">
            <v>4.1428571428571432</v>
          </cell>
          <cell r="BR11" t="str">
            <v>A</v>
          </cell>
          <cell r="BS11" t="str">
            <v>BETTER</v>
          </cell>
          <cell r="BT11">
            <v>533</v>
          </cell>
          <cell r="BU11">
            <v>21</v>
          </cell>
          <cell r="BV11">
            <v>69</v>
          </cell>
        </row>
        <row r="12">
          <cell r="B12">
            <v>5</v>
          </cell>
          <cell r="C12" t="str">
            <v xml:space="preserve">Halima Tuj Sadia </v>
          </cell>
          <cell r="D12" t="str">
            <v xml:space="preserve">Md. Monayem </v>
          </cell>
          <cell r="E12" t="str">
            <v xml:space="preserve">Mst. Salma Aktar </v>
          </cell>
          <cell r="F12" t="str">
            <v>01718-523362       01863-657887</v>
          </cell>
          <cell r="G12">
            <v>19</v>
          </cell>
          <cell r="H12">
            <v>39</v>
          </cell>
          <cell r="I12">
            <v>58</v>
          </cell>
          <cell r="J12">
            <v>25</v>
          </cell>
          <cell r="K12">
            <v>83</v>
          </cell>
          <cell r="L12">
            <v>10</v>
          </cell>
          <cell r="M12">
            <v>38</v>
          </cell>
          <cell r="N12">
            <v>48</v>
          </cell>
          <cell r="O12">
            <v>48</v>
          </cell>
          <cell r="P12">
            <v>131</v>
          </cell>
          <cell r="Q12">
            <v>0</v>
          </cell>
          <cell r="R12">
            <v>5</v>
          </cell>
          <cell r="S12">
            <v>19</v>
          </cell>
          <cell r="T12">
            <v>76</v>
          </cell>
          <cell r="U12">
            <v>95</v>
          </cell>
          <cell r="V12">
            <v>10</v>
          </cell>
          <cell r="W12">
            <v>37</v>
          </cell>
          <cell r="X12">
            <v>47</v>
          </cell>
          <cell r="Y12">
            <v>142</v>
          </cell>
          <cell r="Z12">
            <v>142</v>
          </cell>
          <cell r="AA12">
            <v>0</v>
          </cell>
          <cell r="AB12">
            <v>5</v>
          </cell>
          <cell r="AC12">
            <v>20</v>
          </cell>
          <cell r="AD12">
            <v>47</v>
          </cell>
          <cell r="AE12">
            <v>67</v>
          </cell>
          <cell r="AF12">
            <v>28</v>
          </cell>
          <cell r="AG12">
            <v>95</v>
          </cell>
          <cell r="AH12">
            <v>0</v>
          </cell>
          <cell r="AI12">
            <v>5</v>
          </cell>
          <cell r="AJ12">
            <v>19</v>
          </cell>
          <cell r="AK12">
            <v>43</v>
          </cell>
          <cell r="AL12">
            <v>62</v>
          </cell>
          <cell r="AM12">
            <v>21</v>
          </cell>
          <cell r="AN12">
            <v>83</v>
          </cell>
          <cell r="AO12">
            <v>0</v>
          </cell>
          <cell r="AP12">
            <v>5</v>
          </cell>
          <cell r="AQ12">
            <v>20</v>
          </cell>
          <cell r="AR12">
            <v>25</v>
          </cell>
          <cell r="AS12">
            <v>45</v>
          </cell>
          <cell r="AT12">
            <v>0</v>
          </cell>
          <cell r="AU12">
            <v>5</v>
          </cell>
          <cell r="AV12">
            <v>20</v>
          </cell>
          <cell r="AW12">
            <v>47</v>
          </cell>
          <cell r="AX12">
            <v>67</v>
          </cell>
          <cell r="AY12">
            <v>25</v>
          </cell>
          <cell r="AZ12">
            <v>92</v>
          </cell>
          <cell r="BA12">
            <v>0</v>
          </cell>
          <cell r="BB12">
            <v>5</v>
          </cell>
          <cell r="BC12">
            <v>19</v>
          </cell>
          <cell r="BD12">
            <v>46</v>
          </cell>
          <cell r="BE12">
            <v>65</v>
          </cell>
          <cell r="BF12">
            <v>30</v>
          </cell>
          <cell r="BG12">
            <v>95</v>
          </cell>
          <cell r="BH12">
            <v>0</v>
          </cell>
          <cell r="BI12">
            <v>5</v>
          </cell>
          <cell r="BJ12">
            <v>10</v>
          </cell>
          <cell r="BK12">
            <v>24</v>
          </cell>
          <cell r="BL12">
            <v>34</v>
          </cell>
          <cell r="BM12">
            <v>34</v>
          </cell>
          <cell r="BN12">
            <v>0</v>
          </cell>
          <cell r="BO12">
            <v>3.5</v>
          </cell>
          <cell r="BP12">
            <v>35</v>
          </cell>
          <cell r="BQ12">
            <v>5</v>
          </cell>
          <cell r="BR12" t="str">
            <v>A+</v>
          </cell>
          <cell r="BS12" t="str">
            <v>BEST</v>
          </cell>
          <cell r="BT12">
            <v>683</v>
          </cell>
          <cell r="BU12">
            <v>4</v>
          </cell>
          <cell r="BV12">
            <v>64</v>
          </cell>
        </row>
        <row r="13">
          <cell r="B13">
            <v>7</v>
          </cell>
          <cell r="C13" t="str">
            <v>Md. Abrar Shahriar</v>
          </cell>
          <cell r="D13" t="str">
            <v>Md. Amirul Islam</v>
          </cell>
          <cell r="E13" t="str">
            <v>Mst. Lubna Rahman</v>
          </cell>
          <cell r="F13" t="str">
            <v>01732-151226   01923-736374</v>
          </cell>
          <cell r="G13">
            <v>17</v>
          </cell>
          <cell r="H13">
            <v>39</v>
          </cell>
          <cell r="I13">
            <v>56</v>
          </cell>
          <cell r="J13">
            <v>24</v>
          </cell>
          <cell r="K13">
            <v>80</v>
          </cell>
          <cell r="L13">
            <v>10</v>
          </cell>
          <cell r="M13">
            <v>38</v>
          </cell>
          <cell r="N13">
            <v>48</v>
          </cell>
          <cell r="O13">
            <v>48</v>
          </cell>
          <cell r="P13">
            <v>128</v>
          </cell>
          <cell r="Q13">
            <v>0</v>
          </cell>
          <cell r="R13">
            <v>5</v>
          </cell>
          <cell r="S13">
            <v>18</v>
          </cell>
          <cell r="T13">
            <v>76</v>
          </cell>
          <cell r="U13">
            <v>94</v>
          </cell>
          <cell r="V13">
            <v>10</v>
          </cell>
          <cell r="W13">
            <v>36</v>
          </cell>
          <cell r="X13">
            <v>46</v>
          </cell>
          <cell r="Y13">
            <v>140</v>
          </cell>
          <cell r="Z13">
            <v>140</v>
          </cell>
          <cell r="AA13">
            <v>0</v>
          </cell>
          <cell r="AB13">
            <v>5</v>
          </cell>
          <cell r="AC13">
            <v>20</v>
          </cell>
          <cell r="AD13">
            <v>48</v>
          </cell>
          <cell r="AE13">
            <v>68</v>
          </cell>
          <cell r="AF13">
            <v>30</v>
          </cell>
          <cell r="AG13">
            <v>98</v>
          </cell>
          <cell r="AH13">
            <v>0</v>
          </cell>
          <cell r="AI13">
            <v>5</v>
          </cell>
          <cell r="AJ13">
            <v>20</v>
          </cell>
          <cell r="AK13">
            <v>45</v>
          </cell>
          <cell r="AL13">
            <v>65</v>
          </cell>
          <cell r="AM13">
            <v>24</v>
          </cell>
          <cell r="AN13">
            <v>89</v>
          </cell>
          <cell r="AO13">
            <v>0</v>
          </cell>
          <cell r="AP13">
            <v>5</v>
          </cell>
          <cell r="AQ13">
            <v>20</v>
          </cell>
          <cell r="AR13">
            <v>25</v>
          </cell>
          <cell r="AS13">
            <v>45</v>
          </cell>
          <cell r="AT13">
            <v>0</v>
          </cell>
          <cell r="AU13">
            <v>5</v>
          </cell>
          <cell r="AV13">
            <v>19</v>
          </cell>
          <cell r="AW13">
            <v>50</v>
          </cell>
          <cell r="AX13">
            <v>69</v>
          </cell>
          <cell r="AY13">
            <v>27</v>
          </cell>
          <cell r="AZ13">
            <v>96</v>
          </cell>
          <cell r="BA13">
            <v>0</v>
          </cell>
          <cell r="BB13">
            <v>5</v>
          </cell>
          <cell r="BC13">
            <v>19</v>
          </cell>
          <cell r="BD13">
            <v>46</v>
          </cell>
          <cell r="BE13">
            <v>65</v>
          </cell>
          <cell r="BF13">
            <v>27</v>
          </cell>
          <cell r="BG13">
            <v>92</v>
          </cell>
          <cell r="BH13">
            <v>0</v>
          </cell>
          <cell r="BI13">
            <v>5</v>
          </cell>
          <cell r="BJ13">
            <v>10</v>
          </cell>
          <cell r="BK13">
            <v>32</v>
          </cell>
          <cell r="BL13">
            <v>42</v>
          </cell>
          <cell r="BM13">
            <v>42</v>
          </cell>
          <cell r="BN13">
            <v>0</v>
          </cell>
          <cell r="BO13">
            <v>5</v>
          </cell>
          <cell r="BP13">
            <v>35</v>
          </cell>
          <cell r="BQ13">
            <v>5</v>
          </cell>
          <cell r="BR13" t="str">
            <v>A+</v>
          </cell>
          <cell r="BS13" t="str">
            <v>BEST</v>
          </cell>
          <cell r="BT13">
            <v>688</v>
          </cell>
          <cell r="BU13">
            <v>3</v>
          </cell>
          <cell r="BV13">
            <v>64</v>
          </cell>
        </row>
        <row r="14">
          <cell r="B14">
            <v>8</v>
          </cell>
          <cell r="C14" t="str">
            <v xml:space="preserve">Sumaiya Akter Mim </v>
          </cell>
          <cell r="D14" t="str">
            <v xml:space="preserve">Md. Monir Hossan </v>
          </cell>
          <cell r="E14" t="str">
            <v>Jesmin</v>
          </cell>
          <cell r="F14" t="str">
            <v>01939-751503     01611-911445</v>
          </cell>
          <cell r="G14">
            <v>14</v>
          </cell>
          <cell r="H14">
            <v>29</v>
          </cell>
          <cell r="I14">
            <v>43</v>
          </cell>
          <cell r="J14">
            <v>25</v>
          </cell>
          <cell r="K14">
            <v>68</v>
          </cell>
          <cell r="L14">
            <v>9</v>
          </cell>
          <cell r="M14">
            <v>32</v>
          </cell>
          <cell r="N14">
            <v>41</v>
          </cell>
          <cell r="O14">
            <v>41</v>
          </cell>
          <cell r="P14">
            <v>109</v>
          </cell>
          <cell r="Q14">
            <v>0</v>
          </cell>
          <cell r="R14">
            <v>4</v>
          </cell>
          <cell r="S14">
            <v>16</v>
          </cell>
          <cell r="T14">
            <v>63</v>
          </cell>
          <cell r="U14">
            <v>79</v>
          </cell>
          <cell r="V14">
            <v>9</v>
          </cell>
          <cell r="W14">
            <v>30</v>
          </cell>
          <cell r="X14">
            <v>39</v>
          </cell>
          <cell r="Y14">
            <v>118</v>
          </cell>
          <cell r="Z14">
            <v>118</v>
          </cell>
          <cell r="AA14">
            <v>0</v>
          </cell>
          <cell r="AB14">
            <v>4</v>
          </cell>
          <cell r="AC14">
            <v>13</v>
          </cell>
          <cell r="AD14">
            <v>31</v>
          </cell>
          <cell r="AE14">
            <v>44</v>
          </cell>
          <cell r="AF14">
            <v>24</v>
          </cell>
          <cell r="AG14">
            <v>68</v>
          </cell>
          <cell r="AH14">
            <v>0</v>
          </cell>
          <cell r="AI14">
            <v>3.5</v>
          </cell>
          <cell r="AJ14">
            <v>18</v>
          </cell>
          <cell r="AK14">
            <v>33</v>
          </cell>
          <cell r="AL14">
            <v>51</v>
          </cell>
          <cell r="AM14">
            <v>21</v>
          </cell>
          <cell r="AN14">
            <v>72</v>
          </cell>
          <cell r="AO14">
            <v>0</v>
          </cell>
          <cell r="AP14">
            <v>4</v>
          </cell>
          <cell r="AQ14">
            <v>16</v>
          </cell>
          <cell r="AR14">
            <v>25</v>
          </cell>
          <cell r="AS14">
            <v>41</v>
          </cell>
          <cell r="AT14">
            <v>0</v>
          </cell>
          <cell r="AU14">
            <v>5</v>
          </cell>
          <cell r="AV14">
            <v>16</v>
          </cell>
          <cell r="AW14">
            <v>40</v>
          </cell>
          <cell r="AX14">
            <v>56</v>
          </cell>
          <cell r="AY14">
            <v>25</v>
          </cell>
          <cell r="AZ14">
            <v>81</v>
          </cell>
          <cell r="BA14">
            <v>0</v>
          </cell>
          <cell r="BB14">
            <v>5</v>
          </cell>
          <cell r="BC14">
            <v>13</v>
          </cell>
          <cell r="BD14">
            <v>40</v>
          </cell>
          <cell r="BE14">
            <v>53</v>
          </cell>
          <cell r="BF14">
            <v>24</v>
          </cell>
          <cell r="BG14">
            <v>77</v>
          </cell>
          <cell r="BH14">
            <v>0</v>
          </cell>
          <cell r="BI14">
            <v>4</v>
          </cell>
          <cell r="BJ14">
            <v>5</v>
          </cell>
          <cell r="BK14">
            <v>28</v>
          </cell>
          <cell r="BL14">
            <v>33</v>
          </cell>
          <cell r="BM14">
            <v>33</v>
          </cell>
          <cell r="BN14">
            <v>0</v>
          </cell>
          <cell r="BO14">
            <v>3.5</v>
          </cell>
          <cell r="BP14">
            <v>29.5</v>
          </cell>
          <cell r="BQ14">
            <v>4.2142857142857144</v>
          </cell>
          <cell r="BR14" t="str">
            <v>A</v>
          </cell>
          <cell r="BS14" t="str">
            <v>BETTER</v>
          </cell>
          <cell r="BT14">
            <v>566</v>
          </cell>
          <cell r="BU14">
            <v>19</v>
          </cell>
          <cell r="BV14">
            <v>68</v>
          </cell>
        </row>
        <row r="15">
          <cell r="B15">
            <v>9</v>
          </cell>
          <cell r="C15" t="str">
            <v>Sreshthangshu Saha Swapno</v>
          </cell>
          <cell r="D15" t="str">
            <v>Samir Kumar Saha</v>
          </cell>
          <cell r="E15" t="str">
            <v>Shilpi Rani Saha</v>
          </cell>
          <cell r="F15" t="str">
            <v>01740-858388   01552-336105</v>
          </cell>
          <cell r="G15">
            <v>14</v>
          </cell>
          <cell r="H15">
            <v>26</v>
          </cell>
          <cell r="I15">
            <v>40</v>
          </cell>
          <cell r="J15">
            <v>18</v>
          </cell>
          <cell r="K15">
            <v>58</v>
          </cell>
          <cell r="L15">
            <v>10</v>
          </cell>
          <cell r="M15">
            <v>34</v>
          </cell>
          <cell r="N15">
            <v>44</v>
          </cell>
          <cell r="O15">
            <v>44</v>
          </cell>
          <cell r="P15">
            <v>102</v>
          </cell>
          <cell r="Q15">
            <v>0</v>
          </cell>
          <cell r="R15">
            <v>3.5</v>
          </cell>
          <cell r="S15">
            <v>18</v>
          </cell>
          <cell r="T15">
            <v>38</v>
          </cell>
          <cell r="U15">
            <v>56</v>
          </cell>
          <cell r="V15">
            <v>6</v>
          </cell>
          <cell r="W15">
            <v>20</v>
          </cell>
          <cell r="X15">
            <v>26</v>
          </cell>
          <cell r="Y15">
            <v>82</v>
          </cell>
          <cell r="Z15">
            <v>82</v>
          </cell>
          <cell r="AA15">
            <v>0</v>
          </cell>
          <cell r="AB15">
            <v>3</v>
          </cell>
          <cell r="AC15">
            <v>14</v>
          </cell>
          <cell r="AD15">
            <v>16</v>
          </cell>
          <cell r="AE15">
            <v>30</v>
          </cell>
          <cell r="AF15">
            <v>12</v>
          </cell>
          <cell r="AG15">
            <v>42</v>
          </cell>
          <cell r="AH15">
            <v>0</v>
          </cell>
          <cell r="AI15">
            <v>2</v>
          </cell>
          <cell r="AJ15">
            <v>15</v>
          </cell>
          <cell r="AK15">
            <v>22</v>
          </cell>
          <cell r="AL15">
            <v>37</v>
          </cell>
          <cell r="AM15">
            <v>14</v>
          </cell>
          <cell r="AN15">
            <v>51</v>
          </cell>
          <cell r="AO15">
            <v>0</v>
          </cell>
          <cell r="AP15">
            <v>3</v>
          </cell>
          <cell r="AQ15">
            <v>20</v>
          </cell>
          <cell r="AR15">
            <v>25</v>
          </cell>
          <cell r="AS15">
            <v>45</v>
          </cell>
          <cell r="AT15">
            <v>0</v>
          </cell>
          <cell r="AU15">
            <v>5</v>
          </cell>
          <cell r="AV15">
            <v>14</v>
          </cell>
          <cell r="AW15">
            <v>35</v>
          </cell>
          <cell r="AX15">
            <v>49</v>
          </cell>
          <cell r="AY15">
            <v>21</v>
          </cell>
          <cell r="AZ15">
            <v>70</v>
          </cell>
          <cell r="BA15">
            <v>0</v>
          </cell>
          <cell r="BB15">
            <v>4</v>
          </cell>
          <cell r="BC15">
            <v>11</v>
          </cell>
          <cell r="BD15">
            <v>30</v>
          </cell>
          <cell r="BE15">
            <v>41</v>
          </cell>
          <cell r="BF15">
            <v>23</v>
          </cell>
          <cell r="BG15">
            <v>64</v>
          </cell>
          <cell r="BH15">
            <v>0</v>
          </cell>
          <cell r="BI15">
            <v>3.5</v>
          </cell>
          <cell r="BJ15">
            <v>6</v>
          </cell>
          <cell r="BK15">
            <v>28</v>
          </cell>
          <cell r="BL15">
            <v>34</v>
          </cell>
          <cell r="BM15">
            <v>34</v>
          </cell>
          <cell r="BN15">
            <v>0</v>
          </cell>
          <cell r="BO15">
            <v>3.5</v>
          </cell>
          <cell r="BP15">
            <v>24</v>
          </cell>
          <cell r="BQ15">
            <v>3.4285714285714284</v>
          </cell>
          <cell r="BR15" t="str">
            <v>B</v>
          </cell>
          <cell r="BS15" t="str">
            <v>GOOD</v>
          </cell>
          <cell r="BT15">
            <v>456</v>
          </cell>
          <cell r="BU15">
            <v>39</v>
          </cell>
          <cell r="BV15">
            <v>68</v>
          </cell>
        </row>
        <row r="16">
          <cell r="B16">
            <v>10</v>
          </cell>
          <cell r="C16" t="str">
            <v>Habiba Hasan</v>
          </cell>
          <cell r="D16" t="str">
            <v>Md. Hasan</v>
          </cell>
          <cell r="E16" t="str">
            <v>Khadiza Akter</v>
          </cell>
          <cell r="F16" t="str">
            <v>01713-298055   01716-080949</v>
          </cell>
          <cell r="G16">
            <v>17</v>
          </cell>
          <cell r="H16">
            <v>27</v>
          </cell>
          <cell r="I16">
            <v>44</v>
          </cell>
          <cell r="J16">
            <v>18</v>
          </cell>
          <cell r="K16">
            <v>62</v>
          </cell>
          <cell r="L16">
            <v>9</v>
          </cell>
          <cell r="M16">
            <v>32</v>
          </cell>
          <cell r="N16">
            <v>41</v>
          </cell>
          <cell r="O16">
            <v>41</v>
          </cell>
          <cell r="P16">
            <v>103</v>
          </cell>
          <cell r="Q16">
            <v>0</v>
          </cell>
          <cell r="R16">
            <v>3.5</v>
          </cell>
          <cell r="S16">
            <v>14</v>
          </cell>
          <cell r="T16">
            <v>45</v>
          </cell>
          <cell r="U16">
            <v>59</v>
          </cell>
          <cell r="V16">
            <v>7</v>
          </cell>
          <cell r="W16">
            <v>28</v>
          </cell>
          <cell r="X16">
            <v>35</v>
          </cell>
          <cell r="Y16">
            <v>94</v>
          </cell>
          <cell r="Z16">
            <v>94</v>
          </cell>
          <cell r="AA16">
            <v>0</v>
          </cell>
          <cell r="AB16">
            <v>3.5</v>
          </cell>
          <cell r="AC16">
            <v>20</v>
          </cell>
          <cell r="AD16">
            <v>37</v>
          </cell>
          <cell r="AE16">
            <v>57</v>
          </cell>
          <cell r="AF16">
            <v>27</v>
          </cell>
          <cell r="AG16">
            <v>84</v>
          </cell>
          <cell r="AH16">
            <v>0</v>
          </cell>
          <cell r="AI16">
            <v>5</v>
          </cell>
          <cell r="AJ16">
            <v>14</v>
          </cell>
          <cell r="AK16">
            <v>29</v>
          </cell>
          <cell r="AL16">
            <v>43</v>
          </cell>
          <cell r="AM16">
            <v>14</v>
          </cell>
          <cell r="AN16">
            <v>57</v>
          </cell>
          <cell r="AO16">
            <v>0</v>
          </cell>
          <cell r="AP16">
            <v>3</v>
          </cell>
          <cell r="AQ16">
            <v>20</v>
          </cell>
          <cell r="AR16">
            <v>25</v>
          </cell>
          <cell r="AS16">
            <v>45</v>
          </cell>
          <cell r="AT16">
            <v>0</v>
          </cell>
          <cell r="AU16">
            <v>5</v>
          </cell>
          <cell r="AV16">
            <v>17</v>
          </cell>
          <cell r="AW16">
            <v>39</v>
          </cell>
          <cell r="AX16">
            <v>56</v>
          </cell>
          <cell r="AY16">
            <v>24</v>
          </cell>
          <cell r="AZ16">
            <v>80</v>
          </cell>
          <cell r="BA16">
            <v>0</v>
          </cell>
          <cell r="BB16">
            <v>5</v>
          </cell>
          <cell r="BC16">
            <v>10</v>
          </cell>
          <cell r="BD16">
            <v>29</v>
          </cell>
          <cell r="BE16">
            <v>39</v>
          </cell>
          <cell r="BF16">
            <v>25</v>
          </cell>
          <cell r="BG16">
            <v>64</v>
          </cell>
          <cell r="BH16">
            <v>0</v>
          </cell>
          <cell r="BI16">
            <v>3.5</v>
          </cell>
          <cell r="BJ16">
            <v>6</v>
          </cell>
          <cell r="BK16">
            <v>28</v>
          </cell>
          <cell r="BL16">
            <v>34</v>
          </cell>
          <cell r="BM16">
            <v>34</v>
          </cell>
          <cell r="BN16">
            <v>0</v>
          </cell>
          <cell r="BO16">
            <v>3.5</v>
          </cell>
          <cell r="BP16">
            <v>28.5</v>
          </cell>
          <cell r="BQ16">
            <v>4.0714285714285712</v>
          </cell>
          <cell r="BR16" t="str">
            <v>A</v>
          </cell>
          <cell r="BS16" t="str">
            <v>BETTER</v>
          </cell>
          <cell r="BT16">
            <v>527</v>
          </cell>
          <cell r="BU16">
            <v>23</v>
          </cell>
          <cell r="BV16">
            <v>67</v>
          </cell>
        </row>
        <row r="17">
          <cell r="B17">
            <v>11</v>
          </cell>
          <cell r="C17" t="str">
            <v>Nusrat Jahan Dola</v>
          </cell>
          <cell r="D17" t="str">
            <v>Md. Nuruzzaman</v>
          </cell>
          <cell r="E17" t="str">
            <v>Kazi Shakila Bithi Nishita</v>
          </cell>
          <cell r="F17" t="str">
            <v>01889-732938</v>
          </cell>
          <cell r="G17">
            <v>13</v>
          </cell>
          <cell r="H17">
            <v>14</v>
          </cell>
          <cell r="I17">
            <v>27</v>
          </cell>
          <cell r="J17">
            <v>20</v>
          </cell>
          <cell r="K17">
            <v>47</v>
          </cell>
          <cell r="L17">
            <v>10</v>
          </cell>
          <cell r="M17">
            <v>30</v>
          </cell>
          <cell r="N17">
            <v>40</v>
          </cell>
          <cell r="O17">
            <v>40</v>
          </cell>
          <cell r="P17">
            <v>87</v>
          </cell>
          <cell r="Q17">
            <v>0</v>
          </cell>
          <cell r="R17">
            <v>3</v>
          </cell>
          <cell r="S17">
            <v>12</v>
          </cell>
          <cell r="T17">
            <v>57</v>
          </cell>
          <cell r="U17">
            <v>69</v>
          </cell>
          <cell r="V17">
            <v>7</v>
          </cell>
          <cell r="W17">
            <v>30</v>
          </cell>
          <cell r="X17">
            <v>37</v>
          </cell>
          <cell r="Y17">
            <v>106</v>
          </cell>
          <cell r="Z17">
            <v>106</v>
          </cell>
          <cell r="AA17">
            <v>0</v>
          </cell>
          <cell r="AB17">
            <v>4</v>
          </cell>
          <cell r="AC17">
            <v>18</v>
          </cell>
          <cell r="AD17">
            <v>34</v>
          </cell>
          <cell r="AE17">
            <v>52</v>
          </cell>
          <cell r="AF17">
            <v>23</v>
          </cell>
          <cell r="AG17">
            <v>75</v>
          </cell>
          <cell r="AH17">
            <v>0</v>
          </cell>
          <cell r="AI17">
            <v>4</v>
          </cell>
          <cell r="AJ17">
            <v>15</v>
          </cell>
          <cell r="AK17">
            <v>20</v>
          </cell>
          <cell r="AL17">
            <v>35</v>
          </cell>
          <cell r="AM17">
            <v>17</v>
          </cell>
          <cell r="AN17">
            <v>52</v>
          </cell>
          <cell r="AO17">
            <v>0</v>
          </cell>
          <cell r="AP17">
            <v>3</v>
          </cell>
          <cell r="AQ17">
            <v>20</v>
          </cell>
          <cell r="AR17">
            <v>25</v>
          </cell>
          <cell r="AS17">
            <v>45</v>
          </cell>
          <cell r="AT17">
            <v>0</v>
          </cell>
          <cell r="AU17">
            <v>5</v>
          </cell>
          <cell r="AV17">
            <v>15</v>
          </cell>
          <cell r="AW17">
            <v>42</v>
          </cell>
          <cell r="AX17">
            <v>57</v>
          </cell>
          <cell r="AY17">
            <v>25</v>
          </cell>
          <cell r="AZ17">
            <v>82</v>
          </cell>
          <cell r="BA17">
            <v>0</v>
          </cell>
          <cell r="BB17">
            <v>5</v>
          </cell>
          <cell r="BC17">
            <v>15</v>
          </cell>
          <cell r="BD17">
            <v>34</v>
          </cell>
          <cell r="BE17">
            <v>49</v>
          </cell>
          <cell r="BF17">
            <v>20</v>
          </cell>
          <cell r="BG17">
            <v>69</v>
          </cell>
          <cell r="BH17">
            <v>0</v>
          </cell>
          <cell r="BI17">
            <v>3.5</v>
          </cell>
          <cell r="BJ17">
            <v>5</v>
          </cell>
          <cell r="BK17">
            <v>24</v>
          </cell>
          <cell r="BL17">
            <v>29</v>
          </cell>
          <cell r="BM17">
            <v>29</v>
          </cell>
          <cell r="BN17">
            <v>0</v>
          </cell>
          <cell r="BO17">
            <v>3</v>
          </cell>
          <cell r="BP17">
            <v>27.5</v>
          </cell>
          <cell r="BQ17">
            <v>3.9285714285714284</v>
          </cell>
          <cell r="BR17" t="str">
            <v>A-</v>
          </cell>
          <cell r="BS17" t="str">
            <v>GOOD</v>
          </cell>
          <cell r="BT17">
            <v>516</v>
          </cell>
          <cell r="BU17">
            <v>27</v>
          </cell>
          <cell r="BV17">
            <v>65</v>
          </cell>
        </row>
        <row r="18">
          <cell r="B18">
            <v>12</v>
          </cell>
          <cell r="C18" t="str">
            <v>Md. Shakib Sheikh</v>
          </cell>
          <cell r="D18" t="str">
            <v>Md. Sokir Sheikh</v>
          </cell>
          <cell r="E18" t="str">
            <v>Mst. Rashida Khatun</v>
          </cell>
          <cell r="F18" t="str">
            <v>01754-343921   01779-735842</v>
          </cell>
          <cell r="G18">
            <v>14</v>
          </cell>
          <cell r="H18">
            <v>33</v>
          </cell>
          <cell r="I18">
            <v>47</v>
          </cell>
          <cell r="J18">
            <v>21</v>
          </cell>
          <cell r="K18">
            <v>68</v>
          </cell>
          <cell r="L18">
            <v>10</v>
          </cell>
          <cell r="M18">
            <v>34</v>
          </cell>
          <cell r="N18">
            <v>44</v>
          </cell>
          <cell r="O18">
            <v>44</v>
          </cell>
          <cell r="P18">
            <v>112</v>
          </cell>
          <cell r="Q18">
            <v>0</v>
          </cell>
          <cell r="R18">
            <v>4</v>
          </cell>
          <cell r="S18">
            <v>17</v>
          </cell>
          <cell r="T18">
            <v>55</v>
          </cell>
          <cell r="U18">
            <v>72</v>
          </cell>
          <cell r="V18">
            <v>7</v>
          </cell>
          <cell r="W18">
            <v>32</v>
          </cell>
          <cell r="X18">
            <v>39</v>
          </cell>
          <cell r="Y18">
            <v>111</v>
          </cell>
          <cell r="Z18">
            <v>111</v>
          </cell>
          <cell r="AA18">
            <v>0</v>
          </cell>
          <cell r="AB18">
            <v>4</v>
          </cell>
          <cell r="AC18">
            <v>20</v>
          </cell>
          <cell r="AD18">
            <v>47</v>
          </cell>
          <cell r="AE18">
            <v>67</v>
          </cell>
          <cell r="AF18">
            <v>28</v>
          </cell>
          <cell r="AG18">
            <v>95</v>
          </cell>
          <cell r="AH18">
            <v>0</v>
          </cell>
          <cell r="AI18">
            <v>5</v>
          </cell>
          <cell r="AJ18">
            <v>18</v>
          </cell>
          <cell r="AK18">
            <v>41</v>
          </cell>
          <cell r="AL18">
            <v>59</v>
          </cell>
          <cell r="AM18">
            <v>16</v>
          </cell>
          <cell r="AN18">
            <v>75</v>
          </cell>
          <cell r="AO18">
            <v>0</v>
          </cell>
          <cell r="AP18">
            <v>4</v>
          </cell>
          <cell r="AQ18">
            <v>20</v>
          </cell>
          <cell r="AR18">
            <v>25</v>
          </cell>
          <cell r="AS18">
            <v>45</v>
          </cell>
          <cell r="AT18">
            <v>0</v>
          </cell>
          <cell r="AU18">
            <v>5</v>
          </cell>
          <cell r="AV18">
            <v>19</v>
          </cell>
          <cell r="AW18">
            <v>50</v>
          </cell>
          <cell r="AX18">
            <v>69</v>
          </cell>
          <cell r="AY18">
            <v>25</v>
          </cell>
          <cell r="AZ18">
            <v>94</v>
          </cell>
          <cell r="BA18">
            <v>0</v>
          </cell>
          <cell r="BB18">
            <v>5</v>
          </cell>
          <cell r="BC18">
            <v>17</v>
          </cell>
          <cell r="BD18">
            <v>46</v>
          </cell>
          <cell r="BE18">
            <v>63</v>
          </cell>
          <cell r="BF18">
            <v>29</v>
          </cell>
          <cell r="BG18">
            <v>92</v>
          </cell>
          <cell r="BH18">
            <v>0</v>
          </cell>
          <cell r="BI18">
            <v>5</v>
          </cell>
          <cell r="BJ18">
            <v>10</v>
          </cell>
          <cell r="BK18">
            <v>24</v>
          </cell>
          <cell r="BL18">
            <v>34</v>
          </cell>
          <cell r="BM18">
            <v>34</v>
          </cell>
          <cell r="BN18">
            <v>0</v>
          </cell>
          <cell r="BO18">
            <v>3.5</v>
          </cell>
          <cell r="BP18">
            <v>32</v>
          </cell>
          <cell r="BQ18">
            <v>4.5714285714285712</v>
          </cell>
          <cell r="BR18" t="str">
            <v>A</v>
          </cell>
          <cell r="BS18" t="str">
            <v>BETTER</v>
          </cell>
          <cell r="BT18">
            <v>624</v>
          </cell>
          <cell r="BU18">
            <v>11</v>
          </cell>
          <cell r="BV18">
            <v>62</v>
          </cell>
        </row>
        <row r="19">
          <cell r="B19">
            <v>14</v>
          </cell>
          <cell r="C19" t="str">
            <v xml:space="preserve">Al Mubin </v>
          </cell>
          <cell r="D19" t="str">
            <v xml:space="preserve">Md. Rakibul Islam </v>
          </cell>
          <cell r="E19" t="str">
            <v xml:space="preserve">Mst. Fatema Aktar </v>
          </cell>
          <cell r="F19" t="str">
            <v>01751-354834                         01731-539373</v>
          </cell>
          <cell r="G19">
            <v>11</v>
          </cell>
          <cell r="H19">
            <v>0</v>
          </cell>
          <cell r="I19">
            <v>11</v>
          </cell>
          <cell r="J19">
            <v>0</v>
          </cell>
          <cell r="K19">
            <v>11</v>
          </cell>
          <cell r="L19">
            <v>9</v>
          </cell>
          <cell r="M19">
            <v>0</v>
          </cell>
          <cell r="N19">
            <v>9</v>
          </cell>
          <cell r="O19">
            <v>9</v>
          </cell>
          <cell r="P19">
            <v>20</v>
          </cell>
          <cell r="Q19">
            <v>0</v>
          </cell>
          <cell r="R19" t="str">
            <v>F</v>
          </cell>
          <cell r="S19">
            <v>17</v>
          </cell>
          <cell r="T19">
            <v>52</v>
          </cell>
          <cell r="U19">
            <v>69</v>
          </cell>
          <cell r="V19">
            <v>8</v>
          </cell>
          <cell r="W19">
            <v>24</v>
          </cell>
          <cell r="X19">
            <v>32</v>
          </cell>
          <cell r="Y19">
            <v>101</v>
          </cell>
          <cell r="Z19">
            <v>101</v>
          </cell>
          <cell r="AA19">
            <v>0</v>
          </cell>
          <cell r="AB19">
            <v>3.5</v>
          </cell>
          <cell r="AC19">
            <v>15</v>
          </cell>
          <cell r="AD19">
            <v>22</v>
          </cell>
          <cell r="AE19">
            <v>37</v>
          </cell>
          <cell r="AF19">
            <v>21</v>
          </cell>
          <cell r="AG19">
            <v>58</v>
          </cell>
          <cell r="AH19">
            <v>0</v>
          </cell>
          <cell r="AI19">
            <v>3</v>
          </cell>
          <cell r="AJ19">
            <v>17</v>
          </cell>
          <cell r="AK19">
            <v>0</v>
          </cell>
          <cell r="AL19">
            <v>17</v>
          </cell>
          <cell r="AM19">
            <v>0</v>
          </cell>
          <cell r="AN19">
            <v>17</v>
          </cell>
          <cell r="AO19">
            <v>0</v>
          </cell>
          <cell r="AP19" t="str">
            <v>F</v>
          </cell>
          <cell r="AQ19">
            <v>16</v>
          </cell>
          <cell r="AR19">
            <v>25</v>
          </cell>
          <cell r="AS19">
            <v>41</v>
          </cell>
          <cell r="AT19">
            <v>0</v>
          </cell>
          <cell r="AU19">
            <v>5</v>
          </cell>
          <cell r="AV19">
            <v>13</v>
          </cell>
          <cell r="AW19">
            <v>43</v>
          </cell>
          <cell r="AX19">
            <v>56</v>
          </cell>
          <cell r="AY19">
            <v>24</v>
          </cell>
          <cell r="AZ19">
            <v>80</v>
          </cell>
          <cell r="BA19">
            <v>0</v>
          </cell>
          <cell r="BB19">
            <v>5</v>
          </cell>
          <cell r="BC19">
            <v>11</v>
          </cell>
          <cell r="BD19">
            <v>28</v>
          </cell>
          <cell r="BE19">
            <v>39</v>
          </cell>
          <cell r="BF19">
            <v>24</v>
          </cell>
          <cell r="BG19">
            <v>63</v>
          </cell>
          <cell r="BH19">
            <v>0</v>
          </cell>
          <cell r="BI19">
            <v>3.5</v>
          </cell>
          <cell r="BJ19">
            <v>7</v>
          </cell>
          <cell r="BK19">
            <v>24</v>
          </cell>
          <cell r="BL19">
            <v>31</v>
          </cell>
          <cell r="BM19">
            <v>31</v>
          </cell>
          <cell r="BN19">
            <v>0</v>
          </cell>
          <cell r="BO19">
            <v>3.5</v>
          </cell>
          <cell r="BP19" t="str">
            <v>F</v>
          </cell>
          <cell r="BQ19" t="str">
            <v>F</v>
          </cell>
          <cell r="BR19" t="str">
            <v>F</v>
          </cell>
          <cell r="BS19" t="str">
            <v>NEED TO PROGRESS</v>
          </cell>
          <cell r="BT19">
            <v>380</v>
          </cell>
          <cell r="BU19">
            <v>0</v>
          </cell>
          <cell r="BV19">
            <v>55</v>
          </cell>
        </row>
        <row r="20">
          <cell r="B20">
            <v>16</v>
          </cell>
          <cell r="C20" t="str">
            <v>Md. Abdullah Al Mustaqim (Shin)</v>
          </cell>
          <cell r="D20" t="str">
            <v>Abdur Rouf Sagar</v>
          </cell>
          <cell r="E20" t="str">
            <v>Mst. Mousumi Akter</v>
          </cell>
          <cell r="F20" t="str">
            <v>01717-948278   01970-948278</v>
          </cell>
          <cell r="G20">
            <v>11</v>
          </cell>
          <cell r="H20">
            <v>28</v>
          </cell>
          <cell r="I20">
            <v>39</v>
          </cell>
          <cell r="J20">
            <v>21</v>
          </cell>
          <cell r="K20">
            <v>60</v>
          </cell>
          <cell r="L20">
            <v>10</v>
          </cell>
          <cell r="M20">
            <v>30</v>
          </cell>
          <cell r="N20">
            <v>40</v>
          </cell>
          <cell r="O20">
            <v>40</v>
          </cell>
          <cell r="P20">
            <v>100</v>
          </cell>
          <cell r="Q20">
            <v>0</v>
          </cell>
          <cell r="R20">
            <v>3.5</v>
          </cell>
          <cell r="S20">
            <v>13</v>
          </cell>
          <cell r="T20">
            <v>59</v>
          </cell>
          <cell r="U20">
            <v>72</v>
          </cell>
          <cell r="V20">
            <v>5</v>
          </cell>
          <cell r="W20">
            <v>25</v>
          </cell>
          <cell r="X20">
            <v>30</v>
          </cell>
          <cell r="Y20">
            <v>102</v>
          </cell>
          <cell r="Z20">
            <v>102</v>
          </cell>
          <cell r="AA20">
            <v>0</v>
          </cell>
          <cell r="AB20">
            <v>3.5</v>
          </cell>
          <cell r="AC20">
            <v>12</v>
          </cell>
          <cell r="AD20">
            <v>31</v>
          </cell>
          <cell r="AE20">
            <v>43</v>
          </cell>
          <cell r="AF20">
            <v>17</v>
          </cell>
          <cell r="AG20">
            <v>60</v>
          </cell>
          <cell r="AH20">
            <v>0</v>
          </cell>
          <cell r="AI20">
            <v>3.5</v>
          </cell>
          <cell r="AJ20">
            <v>12</v>
          </cell>
          <cell r="AK20">
            <v>30</v>
          </cell>
          <cell r="AL20">
            <v>42</v>
          </cell>
          <cell r="AM20">
            <v>19</v>
          </cell>
          <cell r="AN20">
            <v>61</v>
          </cell>
          <cell r="AO20">
            <v>0</v>
          </cell>
          <cell r="AP20">
            <v>3.5</v>
          </cell>
          <cell r="AQ20">
            <v>19</v>
          </cell>
          <cell r="AR20">
            <v>25</v>
          </cell>
          <cell r="AS20">
            <v>44</v>
          </cell>
          <cell r="AT20">
            <v>0</v>
          </cell>
          <cell r="AU20">
            <v>5</v>
          </cell>
          <cell r="AV20">
            <v>16</v>
          </cell>
          <cell r="AW20">
            <v>39</v>
          </cell>
          <cell r="AX20">
            <v>55</v>
          </cell>
          <cell r="AY20">
            <v>24</v>
          </cell>
          <cell r="AZ20">
            <v>79</v>
          </cell>
          <cell r="BA20">
            <v>0</v>
          </cell>
          <cell r="BB20">
            <v>4</v>
          </cell>
          <cell r="BC20">
            <v>13</v>
          </cell>
          <cell r="BD20">
            <v>41</v>
          </cell>
          <cell r="BE20">
            <v>54</v>
          </cell>
          <cell r="BF20">
            <v>23</v>
          </cell>
          <cell r="BG20">
            <v>77</v>
          </cell>
          <cell r="BH20">
            <v>0</v>
          </cell>
          <cell r="BI20">
            <v>4</v>
          </cell>
          <cell r="BJ20">
            <v>8</v>
          </cell>
          <cell r="BK20">
            <v>24</v>
          </cell>
          <cell r="BL20">
            <v>32</v>
          </cell>
          <cell r="BM20">
            <v>32</v>
          </cell>
          <cell r="BN20">
            <v>0</v>
          </cell>
          <cell r="BO20">
            <v>3.5</v>
          </cell>
          <cell r="BP20">
            <v>27</v>
          </cell>
          <cell r="BQ20">
            <v>3.8571428571428572</v>
          </cell>
          <cell r="BR20" t="str">
            <v>A-</v>
          </cell>
          <cell r="BS20" t="str">
            <v>GOOD</v>
          </cell>
          <cell r="BT20">
            <v>523</v>
          </cell>
          <cell r="BU20">
            <v>30</v>
          </cell>
          <cell r="BV20">
            <v>56</v>
          </cell>
        </row>
        <row r="21">
          <cell r="B21">
            <v>18</v>
          </cell>
          <cell r="C21" t="str">
            <v>Mainul Hasan Sifat</v>
          </cell>
          <cell r="D21" t="str">
            <v xml:space="preserve">Mahi Uddin </v>
          </cell>
          <cell r="E21" t="str">
            <v>Salma Akter</v>
          </cell>
          <cell r="F21" t="str">
            <v>01645-138713</v>
          </cell>
          <cell r="G21">
            <v>14</v>
          </cell>
          <cell r="H21">
            <v>21</v>
          </cell>
          <cell r="I21">
            <v>35</v>
          </cell>
          <cell r="J21">
            <v>15</v>
          </cell>
          <cell r="K21">
            <v>50</v>
          </cell>
          <cell r="L21">
            <v>10</v>
          </cell>
          <cell r="M21">
            <v>30</v>
          </cell>
          <cell r="N21">
            <v>40</v>
          </cell>
          <cell r="O21">
            <v>40</v>
          </cell>
          <cell r="P21">
            <v>90</v>
          </cell>
          <cell r="Q21">
            <v>0</v>
          </cell>
          <cell r="R21">
            <v>3.5</v>
          </cell>
          <cell r="S21">
            <v>19</v>
          </cell>
          <cell r="T21">
            <v>62</v>
          </cell>
          <cell r="U21">
            <v>81</v>
          </cell>
          <cell r="V21">
            <v>10</v>
          </cell>
          <cell r="W21">
            <v>28</v>
          </cell>
          <cell r="X21">
            <v>38</v>
          </cell>
          <cell r="Y21">
            <v>119</v>
          </cell>
          <cell r="Z21">
            <v>119</v>
          </cell>
          <cell r="AA21">
            <v>0</v>
          </cell>
          <cell r="AB21">
            <v>4</v>
          </cell>
          <cell r="AC21">
            <v>13</v>
          </cell>
          <cell r="AD21">
            <v>40</v>
          </cell>
          <cell r="AE21">
            <v>53</v>
          </cell>
          <cell r="AF21">
            <v>21</v>
          </cell>
          <cell r="AG21">
            <v>74</v>
          </cell>
          <cell r="AH21">
            <v>0</v>
          </cell>
          <cell r="AI21">
            <v>4</v>
          </cell>
          <cell r="AJ21">
            <v>14</v>
          </cell>
          <cell r="AK21">
            <v>22</v>
          </cell>
          <cell r="AL21">
            <v>36</v>
          </cell>
          <cell r="AM21">
            <v>14</v>
          </cell>
          <cell r="AN21">
            <v>50</v>
          </cell>
          <cell r="AO21">
            <v>0</v>
          </cell>
          <cell r="AP21">
            <v>3</v>
          </cell>
          <cell r="AQ21">
            <v>20</v>
          </cell>
          <cell r="AR21">
            <v>25</v>
          </cell>
          <cell r="AS21">
            <v>45</v>
          </cell>
          <cell r="AT21">
            <v>0</v>
          </cell>
          <cell r="AU21">
            <v>5</v>
          </cell>
          <cell r="AV21">
            <v>17</v>
          </cell>
          <cell r="AW21">
            <v>34</v>
          </cell>
          <cell r="AX21">
            <v>51</v>
          </cell>
          <cell r="AY21">
            <v>22</v>
          </cell>
          <cell r="AZ21">
            <v>73</v>
          </cell>
          <cell r="BA21">
            <v>0</v>
          </cell>
          <cell r="BB21">
            <v>4</v>
          </cell>
          <cell r="BC21">
            <v>12</v>
          </cell>
          <cell r="BD21">
            <v>33</v>
          </cell>
          <cell r="BE21">
            <v>45</v>
          </cell>
          <cell r="BF21">
            <v>19</v>
          </cell>
          <cell r="BG21">
            <v>64</v>
          </cell>
          <cell r="BH21">
            <v>0</v>
          </cell>
          <cell r="BI21">
            <v>3.5</v>
          </cell>
          <cell r="BJ21">
            <v>6</v>
          </cell>
          <cell r="BK21">
            <v>24</v>
          </cell>
          <cell r="BL21">
            <v>30</v>
          </cell>
          <cell r="BM21">
            <v>30</v>
          </cell>
          <cell r="BN21">
            <v>0</v>
          </cell>
          <cell r="BO21">
            <v>3.5</v>
          </cell>
          <cell r="BP21">
            <v>27</v>
          </cell>
          <cell r="BQ21">
            <v>3.8571428571428572</v>
          </cell>
          <cell r="BR21" t="str">
            <v>A-</v>
          </cell>
          <cell r="BS21" t="str">
            <v>GOOD</v>
          </cell>
          <cell r="BT21">
            <v>515</v>
          </cell>
          <cell r="BU21">
            <v>31</v>
          </cell>
          <cell r="BV21">
            <v>58</v>
          </cell>
        </row>
        <row r="22">
          <cell r="B22">
            <v>19</v>
          </cell>
          <cell r="C22" t="str">
            <v>Mahmud Hasan Samir</v>
          </cell>
          <cell r="D22" t="str">
            <v xml:space="preserve">Mahi Uddin </v>
          </cell>
          <cell r="E22" t="str">
            <v>Salma Akter</v>
          </cell>
          <cell r="F22" t="str">
            <v>01645-138713</v>
          </cell>
          <cell r="G22">
            <v>11</v>
          </cell>
          <cell r="H22">
            <v>21</v>
          </cell>
          <cell r="I22">
            <v>32</v>
          </cell>
          <cell r="J22">
            <v>19</v>
          </cell>
          <cell r="K22">
            <v>51</v>
          </cell>
          <cell r="L22">
            <v>9</v>
          </cell>
          <cell r="M22">
            <v>25</v>
          </cell>
          <cell r="N22">
            <v>34</v>
          </cell>
          <cell r="O22">
            <v>34</v>
          </cell>
          <cell r="P22">
            <v>85</v>
          </cell>
          <cell r="Q22">
            <v>0</v>
          </cell>
          <cell r="R22">
            <v>3</v>
          </cell>
          <cell r="S22">
            <v>14</v>
          </cell>
          <cell r="T22">
            <v>38</v>
          </cell>
          <cell r="U22">
            <v>52</v>
          </cell>
          <cell r="V22">
            <v>5</v>
          </cell>
          <cell r="W22">
            <v>24</v>
          </cell>
          <cell r="X22">
            <v>29</v>
          </cell>
          <cell r="Y22">
            <v>81</v>
          </cell>
          <cell r="Z22">
            <v>81</v>
          </cell>
          <cell r="AA22">
            <v>0</v>
          </cell>
          <cell r="AB22">
            <v>3</v>
          </cell>
          <cell r="AC22">
            <v>11</v>
          </cell>
          <cell r="AD22">
            <v>10</v>
          </cell>
          <cell r="AE22">
            <v>21</v>
          </cell>
          <cell r="AF22">
            <v>19</v>
          </cell>
          <cell r="AG22">
            <v>40</v>
          </cell>
          <cell r="AH22">
            <v>0</v>
          </cell>
          <cell r="AI22">
            <v>2</v>
          </cell>
          <cell r="AJ22">
            <v>13</v>
          </cell>
          <cell r="AK22">
            <v>23</v>
          </cell>
          <cell r="AL22">
            <v>36</v>
          </cell>
          <cell r="AM22">
            <v>15</v>
          </cell>
          <cell r="AN22">
            <v>51</v>
          </cell>
          <cell r="AO22">
            <v>0</v>
          </cell>
          <cell r="AP22">
            <v>3</v>
          </cell>
          <cell r="AQ22">
            <v>20</v>
          </cell>
          <cell r="AR22">
            <v>25</v>
          </cell>
          <cell r="AS22">
            <v>45</v>
          </cell>
          <cell r="AT22">
            <v>0</v>
          </cell>
          <cell r="AU22">
            <v>5</v>
          </cell>
          <cell r="AV22">
            <v>13</v>
          </cell>
          <cell r="AW22">
            <v>32</v>
          </cell>
          <cell r="AX22">
            <v>45</v>
          </cell>
          <cell r="AY22">
            <v>20</v>
          </cell>
          <cell r="AZ22">
            <v>65</v>
          </cell>
          <cell r="BA22">
            <v>0</v>
          </cell>
          <cell r="BB22">
            <v>3.5</v>
          </cell>
          <cell r="BC22">
            <v>10</v>
          </cell>
          <cell r="BD22">
            <v>20</v>
          </cell>
          <cell r="BE22">
            <v>30</v>
          </cell>
          <cell r="BF22">
            <v>16</v>
          </cell>
          <cell r="BG22">
            <v>46</v>
          </cell>
          <cell r="BH22">
            <v>0</v>
          </cell>
          <cell r="BI22">
            <v>2</v>
          </cell>
          <cell r="BJ22">
            <v>5</v>
          </cell>
          <cell r="BK22">
            <v>28</v>
          </cell>
          <cell r="BL22">
            <v>33</v>
          </cell>
          <cell r="BM22">
            <v>33</v>
          </cell>
          <cell r="BN22">
            <v>0</v>
          </cell>
          <cell r="BO22">
            <v>3.5</v>
          </cell>
          <cell r="BP22">
            <v>21.5</v>
          </cell>
          <cell r="BQ22">
            <v>3.0714285714285716</v>
          </cell>
          <cell r="BR22" t="str">
            <v>B</v>
          </cell>
          <cell r="BS22" t="str">
            <v>GOOD</v>
          </cell>
          <cell r="BT22">
            <v>413</v>
          </cell>
          <cell r="BU22">
            <v>47</v>
          </cell>
          <cell r="BV22">
            <v>57</v>
          </cell>
        </row>
        <row r="23">
          <cell r="B23">
            <v>20</v>
          </cell>
          <cell r="C23" t="str">
            <v xml:space="preserve">Monira Akter </v>
          </cell>
          <cell r="D23" t="str">
            <v>Monir Hossain</v>
          </cell>
          <cell r="E23" t="str">
            <v xml:space="preserve">Lipi Begum </v>
          </cell>
          <cell r="F23" t="str">
            <v>01611-013113                    01925-928781</v>
          </cell>
          <cell r="G23">
            <v>8</v>
          </cell>
          <cell r="H23">
            <v>11</v>
          </cell>
          <cell r="I23">
            <v>19</v>
          </cell>
          <cell r="J23">
            <v>12</v>
          </cell>
          <cell r="K23">
            <v>31</v>
          </cell>
          <cell r="L23">
            <v>7</v>
          </cell>
          <cell r="M23">
            <v>16</v>
          </cell>
          <cell r="N23">
            <v>23</v>
          </cell>
          <cell r="O23">
            <v>23</v>
          </cell>
          <cell r="P23">
            <v>54</v>
          </cell>
          <cell r="Q23">
            <v>0</v>
          </cell>
          <cell r="R23" t="str">
            <v>F</v>
          </cell>
          <cell r="S23">
            <v>9</v>
          </cell>
          <cell r="T23">
            <v>37</v>
          </cell>
          <cell r="U23">
            <v>46</v>
          </cell>
          <cell r="V23">
            <v>2</v>
          </cell>
          <cell r="W23">
            <v>18</v>
          </cell>
          <cell r="X23">
            <v>20</v>
          </cell>
          <cell r="Y23">
            <v>66</v>
          </cell>
          <cell r="Z23">
            <v>66</v>
          </cell>
          <cell r="AA23">
            <v>0</v>
          </cell>
          <cell r="AB23">
            <v>2</v>
          </cell>
          <cell r="AC23">
            <v>12</v>
          </cell>
          <cell r="AD23">
            <v>20</v>
          </cell>
          <cell r="AE23">
            <v>32</v>
          </cell>
          <cell r="AF23">
            <v>18</v>
          </cell>
          <cell r="AG23">
            <v>50</v>
          </cell>
          <cell r="AH23">
            <v>0</v>
          </cell>
          <cell r="AI23">
            <v>3</v>
          </cell>
          <cell r="AJ23">
            <v>8</v>
          </cell>
          <cell r="AK23">
            <v>19</v>
          </cell>
          <cell r="AL23">
            <v>27</v>
          </cell>
          <cell r="AM23">
            <v>14</v>
          </cell>
          <cell r="AN23">
            <v>41</v>
          </cell>
          <cell r="AO23">
            <v>0</v>
          </cell>
          <cell r="AP23">
            <v>2</v>
          </cell>
          <cell r="AQ23">
            <v>17</v>
          </cell>
          <cell r="AR23">
            <v>25</v>
          </cell>
          <cell r="AS23">
            <v>42</v>
          </cell>
          <cell r="AT23">
            <v>0</v>
          </cell>
          <cell r="AU23">
            <v>5</v>
          </cell>
          <cell r="AV23">
            <v>16</v>
          </cell>
          <cell r="AW23">
            <v>24</v>
          </cell>
          <cell r="AX23">
            <v>40</v>
          </cell>
          <cell r="AY23">
            <v>22</v>
          </cell>
          <cell r="AZ23">
            <v>62</v>
          </cell>
          <cell r="BA23">
            <v>0</v>
          </cell>
          <cell r="BB23">
            <v>3.5</v>
          </cell>
          <cell r="BC23">
            <v>10</v>
          </cell>
          <cell r="BD23">
            <v>22</v>
          </cell>
          <cell r="BE23">
            <v>32</v>
          </cell>
          <cell r="BF23">
            <v>19</v>
          </cell>
          <cell r="BG23">
            <v>51</v>
          </cell>
          <cell r="BH23">
            <v>0</v>
          </cell>
          <cell r="BI23">
            <v>3</v>
          </cell>
          <cell r="BJ23">
            <v>5</v>
          </cell>
          <cell r="BK23">
            <v>28</v>
          </cell>
          <cell r="BL23">
            <v>33</v>
          </cell>
          <cell r="BM23">
            <v>33</v>
          </cell>
          <cell r="BN23">
            <v>0</v>
          </cell>
          <cell r="BO23">
            <v>3.5</v>
          </cell>
          <cell r="BP23" t="str">
            <v>F</v>
          </cell>
          <cell r="BQ23" t="str">
            <v>F</v>
          </cell>
          <cell r="BR23" t="str">
            <v>F</v>
          </cell>
          <cell r="BS23" t="str">
            <v>NEED TO PROGRESS</v>
          </cell>
          <cell r="BT23">
            <v>366</v>
          </cell>
          <cell r="BU23">
            <v>0</v>
          </cell>
          <cell r="BV23">
            <v>64</v>
          </cell>
        </row>
        <row r="24">
          <cell r="B24">
            <v>21</v>
          </cell>
          <cell r="C24" t="str">
            <v>Abdullah Al Abid</v>
          </cell>
          <cell r="D24" t="str">
            <v>Md. Al Amin Sheikh</v>
          </cell>
          <cell r="E24" t="str">
            <v>Mst. Jesmin Sultana</v>
          </cell>
          <cell r="F24" t="str">
            <v>01614-320318   01615-320318</v>
          </cell>
          <cell r="G24">
            <v>12</v>
          </cell>
          <cell r="H24">
            <v>17</v>
          </cell>
          <cell r="I24">
            <v>29</v>
          </cell>
          <cell r="J24">
            <v>18</v>
          </cell>
          <cell r="K24">
            <v>47</v>
          </cell>
          <cell r="L24">
            <v>8</v>
          </cell>
          <cell r="M24">
            <v>22</v>
          </cell>
          <cell r="N24">
            <v>30</v>
          </cell>
          <cell r="O24">
            <v>30</v>
          </cell>
          <cell r="P24">
            <v>77</v>
          </cell>
          <cell r="Q24">
            <v>0</v>
          </cell>
          <cell r="R24">
            <v>3</v>
          </cell>
          <cell r="S24">
            <v>8</v>
          </cell>
          <cell r="T24">
            <v>32</v>
          </cell>
          <cell r="U24">
            <v>40</v>
          </cell>
          <cell r="V24">
            <v>5</v>
          </cell>
          <cell r="W24">
            <v>26</v>
          </cell>
          <cell r="X24">
            <v>31</v>
          </cell>
          <cell r="Y24">
            <v>71</v>
          </cell>
          <cell r="Z24">
            <v>71</v>
          </cell>
          <cell r="AA24">
            <v>0</v>
          </cell>
          <cell r="AB24">
            <v>2</v>
          </cell>
          <cell r="AC24">
            <v>8</v>
          </cell>
          <cell r="AD24">
            <v>18</v>
          </cell>
          <cell r="AE24">
            <v>26</v>
          </cell>
          <cell r="AF24">
            <v>17</v>
          </cell>
          <cell r="AG24">
            <v>43</v>
          </cell>
          <cell r="AH24">
            <v>0</v>
          </cell>
          <cell r="AI24">
            <v>2</v>
          </cell>
          <cell r="AJ24">
            <v>11</v>
          </cell>
          <cell r="AK24">
            <v>18</v>
          </cell>
          <cell r="AL24">
            <v>29</v>
          </cell>
          <cell r="AM24">
            <v>13</v>
          </cell>
          <cell r="AN24">
            <v>42</v>
          </cell>
          <cell r="AO24">
            <v>0</v>
          </cell>
          <cell r="AP24">
            <v>2</v>
          </cell>
          <cell r="AQ24">
            <v>19</v>
          </cell>
          <cell r="AR24">
            <v>25</v>
          </cell>
          <cell r="AS24">
            <v>44</v>
          </cell>
          <cell r="AT24">
            <v>0</v>
          </cell>
          <cell r="AU24">
            <v>5</v>
          </cell>
          <cell r="AV24">
            <v>15</v>
          </cell>
          <cell r="AW24">
            <v>29</v>
          </cell>
          <cell r="AX24">
            <v>44</v>
          </cell>
          <cell r="AY24">
            <v>16</v>
          </cell>
          <cell r="AZ24">
            <v>60</v>
          </cell>
          <cell r="BA24">
            <v>0</v>
          </cell>
          <cell r="BB24">
            <v>3.5</v>
          </cell>
          <cell r="BC24">
            <v>8</v>
          </cell>
          <cell r="BD24">
            <v>27</v>
          </cell>
          <cell r="BE24">
            <v>35</v>
          </cell>
          <cell r="BF24">
            <v>15</v>
          </cell>
          <cell r="BG24">
            <v>50</v>
          </cell>
          <cell r="BH24">
            <v>0</v>
          </cell>
          <cell r="BI24">
            <v>3</v>
          </cell>
          <cell r="BJ24">
            <v>4</v>
          </cell>
          <cell r="BK24">
            <v>24</v>
          </cell>
          <cell r="BL24">
            <v>28</v>
          </cell>
          <cell r="BM24">
            <v>28</v>
          </cell>
          <cell r="BN24">
            <v>0</v>
          </cell>
          <cell r="BO24">
            <v>3</v>
          </cell>
          <cell r="BP24">
            <v>20.5</v>
          </cell>
          <cell r="BQ24">
            <v>2.9285714285714284</v>
          </cell>
          <cell r="BR24" t="str">
            <v>C</v>
          </cell>
          <cell r="BS24" t="str">
            <v>GOOD</v>
          </cell>
          <cell r="BT24">
            <v>387</v>
          </cell>
          <cell r="BU24">
            <v>50</v>
          </cell>
          <cell r="BV24">
            <v>64</v>
          </cell>
        </row>
        <row r="25">
          <cell r="B25">
            <v>22</v>
          </cell>
          <cell r="C25" t="str">
            <v>Abdur Rahman</v>
          </cell>
          <cell r="D25" t="str">
            <v>Md. Saidul Islam</v>
          </cell>
          <cell r="E25" t="str">
            <v>Rabeya Khatun</v>
          </cell>
          <cell r="F25" t="str">
            <v>01870-945531 01612-357356</v>
          </cell>
          <cell r="G25">
            <v>12</v>
          </cell>
          <cell r="H25">
            <v>24</v>
          </cell>
          <cell r="I25">
            <v>36</v>
          </cell>
          <cell r="J25">
            <v>16</v>
          </cell>
          <cell r="K25">
            <v>52</v>
          </cell>
          <cell r="L25">
            <v>8</v>
          </cell>
          <cell r="M25">
            <v>16</v>
          </cell>
          <cell r="N25">
            <v>24</v>
          </cell>
          <cell r="O25">
            <v>24</v>
          </cell>
          <cell r="P25">
            <v>76</v>
          </cell>
          <cell r="Q25">
            <v>0</v>
          </cell>
          <cell r="R25">
            <v>3</v>
          </cell>
          <cell r="S25">
            <v>13</v>
          </cell>
          <cell r="T25">
            <v>27</v>
          </cell>
          <cell r="U25">
            <v>40</v>
          </cell>
          <cell r="V25">
            <v>5</v>
          </cell>
          <cell r="W25">
            <v>17</v>
          </cell>
          <cell r="X25">
            <v>22</v>
          </cell>
          <cell r="Y25">
            <v>62</v>
          </cell>
          <cell r="Z25">
            <v>62</v>
          </cell>
          <cell r="AA25">
            <v>0</v>
          </cell>
          <cell r="AB25">
            <v>2</v>
          </cell>
          <cell r="AC25">
            <v>12</v>
          </cell>
          <cell r="AD25">
            <v>16</v>
          </cell>
          <cell r="AE25">
            <v>28</v>
          </cell>
          <cell r="AF25">
            <v>22</v>
          </cell>
          <cell r="AG25">
            <v>50</v>
          </cell>
          <cell r="AH25">
            <v>0</v>
          </cell>
          <cell r="AI25">
            <v>3</v>
          </cell>
          <cell r="AJ25">
            <v>14</v>
          </cell>
          <cell r="AK25">
            <v>18</v>
          </cell>
          <cell r="AL25">
            <v>32</v>
          </cell>
          <cell r="AM25">
            <v>8</v>
          </cell>
          <cell r="AN25">
            <v>40</v>
          </cell>
          <cell r="AO25">
            <v>0</v>
          </cell>
          <cell r="AP25">
            <v>2</v>
          </cell>
          <cell r="AQ25">
            <v>20</v>
          </cell>
          <cell r="AR25">
            <v>25</v>
          </cell>
          <cell r="AS25">
            <v>45</v>
          </cell>
          <cell r="AT25">
            <v>0</v>
          </cell>
          <cell r="AU25">
            <v>5</v>
          </cell>
          <cell r="AV25">
            <v>16</v>
          </cell>
          <cell r="AW25">
            <v>23</v>
          </cell>
          <cell r="AX25">
            <v>39</v>
          </cell>
          <cell r="AY25">
            <v>16</v>
          </cell>
          <cell r="AZ25">
            <v>55</v>
          </cell>
          <cell r="BA25">
            <v>0</v>
          </cell>
          <cell r="BB25">
            <v>3</v>
          </cell>
          <cell r="BC25">
            <v>11</v>
          </cell>
          <cell r="BD25">
            <v>20</v>
          </cell>
          <cell r="BE25">
            <v>31</v>
          </cell>
          <cell r="BF25">
            <v>23</v>
          </cell>
          <cell r="BG25">
            <v>54</v>
          </cell>
          <cell r="BH25">
            <v>0</v>
          </cell>
          <cell r="BI25">
            <v>3</v>
          </cell>
          <cell r="BJ25">
            <v>6</v>
          </cell>
          <cell r="BK25">
            <v>24</v>
          </cell>
          <cell r="BL25">
            <v>30</v>
          </cell>
          <cell r="BM25">
            <v>30</v>
          </cell>
          <cell r="BN25">
            <v>0</v>
          </cell>
          <cell r="BO25">
            <v>3.5</v>
          </cell>
          <cell r="BP25">
            <v>21</v>
          </cell>
          <cell r="BQ25">
            <v>3</v>
          </cell>
          <cell r="BR25" t="str">
            <v>B</v>
          </cell>
          <cell r="BS25" t="str">
            <v>GOOD</v>
          </cell>
          <cell r="BT25">
            <v>382</v>
          </cell>
          <cell r="BU25">
            <v>48</v>
          </cell>
          <cell r="BV25">
            <v>68</v>
          </cell>
        </row>
        <row r="26">
          <cell r="B26">
            <v>23</v>
          </cell>
          <cell r="C26" t="str">
            <v xml:space="preserve">Md. Nishad Mandal Zisan </v>
          </cell>
          <cell r="D26" t="str">
            <v xml:space="preserve">Md. Zahid Mondal </v>
          </cell>
          <cell r="E26" t="str">
            <v>Nipa Akther</v>
          </cell>
          <cell r="F26" t="str">
            <v>01302-101328</v>
          </cell>
          <cell r="G26">
            <v>15</v>
          </cell>
          <cell r="H26">
            <v>32</v>
          </cell>
          <cell r="I26">
            <v>47</v>
          </cell>
          <cell r="J26">
            <v>9</v>
          </cell>
          <cell r="K26">
            <v>56</v>
          </cell>
          <cell r="L26">
            <v>8</v>
          </cell>
          <cell r="M26">
            <v>23</v>
          </cell>
          <cell r="N26">
            <v>31</v>
          </cell>
          <cell r="O26">
            <v>31</v>
          </cell>
          <cell r="P26">
            <v>87</v>
          </cell>
          <cell r="Q26">
            <v>0</v>
          </cell>
          <cell r="R26">
            <v>3</v>
          </cell>
          <cell r="S26">
            <v>17</v>
          </cell>
          <cell r="T26">
            <v>52</v>
          </cell>
          <cell r="U26">
            <v>69</v>
          </cell>
          <cell r="V26">
            <v>8</v>
          </cell>
          <cell r="W26">
            <v>31</v>
          </cell>
          <cell r="X26">
            <v>39</v>
          </cell>
          <cell r="Y26">
            <v>108</v>
          </cell>
          <cell r="Z26">
            <v>108</v>
          </cell>
          <cell r="AA26">
            <v>0</v>
          </cell>
          <cell r="AB26">
            <v>4</v>
          </cell>
          <cell r="AC26">
            <v>18</v>
          </cell>
          <cell r="AD26">
            <v>29</v>
          </cell>
          <cell r="AE26">
            <v>47</v>
          </cell>
          <cell r="AF26">
            <v>22</v>
          </cell>
          <cell r="AG26">
            <v>69</v>
          </cell>
          <cell r="AH26">
            <v>0</v>
          </cell>
          <cell r="AI26">
            <v>3.5</v>
          </cell>
          <cell r="AJ26">
            <v>11</v>
          </cell>
          <cell r="AK26">
            <v>14</v>
          </cell>
          <cell r="AL26">
            <v>25</v>
          </cell>
          <cell r="AM26">
            <v>10</v>
          </cell>
          <cell r="AN26">
            <v>35</v>
          </cell>
          <cell r="AO26">
            <v>0</v>
          </cell>
          <cell r="AP26" t="str">
            <v>F</v>
          </cell>
          <cell r="AQ26">
            <v>20</v>
          </cell>
          <cell r="AR26">
            <v>25</v>
          </cell>
          <cell r="AS26">
            <v>45</v>
          </cell>
          <cell r="AT26">
            <v>0</v>
          </cell>
          <cell r="AU26">
            <v>5</v>
          </cell>
          <cell r="AV26">
            <v>13</v>
          </cell>
          <cell r="AW26">
            <v>33</v>
          </cell>
          <cell r="AX26">
            <v>46</v>
          </cell>
          <cell r="AY26">
            <v>24</v>
          </cell>
          <cell r="AZ26">
            <v>70</v>
          </cell>
          <cell r="BA26">
            <v>0</v>
          </cell>
          <cell r="BB26">
            <v>4</v>
          </cell>
          <cell r="BC26">
            <v>10</v>
          </cell>
          <cell r="BD26">
            <v>28</v>
          </cell>
          <cell r="BE26">
            <v>38</v>
          </cell>
          <cell r="BF26">
            <v>21</v>
          </cell>
          <cell r="BG26">
            <v>59</v>
          </cell>
          <cell r="BH26">
            <v>0</v>
          </cell>
          <cell r="BI26">
            <v>3</v>
          </cell>
          <cell r="BJ26">
            <v>7</v>
          </cell>
          <cell r="BK26">
            <v>28</v>
          </cell>
          <cell r="BL26">
            <v>35</v>
          </cell>
          <cell r="BM26">
            <v>35</v>
          </cell>
          <cell r="BN26">
            <v>0</v>
          </cell>
          <cell r="BO26">
            <v>4</v>
          </cell>
          <cell r="BP26" t="str">
            <v>F</v>
          </cell>
          <cell r="BQ26" t="str">
            <v>F</v>
          </cell>
          <cell r="BR26" t="str">
            <v>F</v>
          </cell>
          <cell r="BS26" t="str">
            <v>NEED TO PROGRESS</v>
          </cell>
          <cell r="BT26">
            <v>473</v>
          </cell>
          <cell r="BU26">
            <v>0</v>
          </cell>
          <cell r="BV26">
            <v>68</v>
          </cell>
        </row>
        <row r="27">
          <cell r="B27">
            <v>24</v>
          </cell>
          <cell r="C27" t="str">
            <v>Afra Hossain Joeeta</v>
          </cell>
          <cell r="D27" t="str">
            <v>Muzzafor Hossain Joy</v>
          </cell>
          <cell r="E27" t="str">
            <v>Kakoly Akter</v>
          </cell>
          <cell r="F27" t="str">
            <v>01711379499 01918221404</v>
          </cell>
          <cell r="G27">
            <v>11</v>
          </cell>
          <cell r="H27">
            <v>17</v>
          </cell>
          <cell r="I27">
            <v>28</v>
          </cell>
          <cell r="J27">
            <v>7</v>
          </cell>
          <cell r="K27">
            <v>35</v>
          </cell>
          <cell r="L27">
            <v>10</v>
          </cell>
          <cell r="M27">
            <v>21</v>
          </cell>
          <cell r="N27">
            <v>31</v>
          </cell>
          <cell r="O27">
            <v>31</v>
          </cell>
          <cell r="P27">
            <v>66</v>
          </cell>
          <cell r="Q27">
            <v>0</v>
          </cell>
          <cell r="R27">
            <v>2</v>
          </cell>
          <cell r="S27">
            <v>16</v>
          </cell>
          <cell r="T27">
            <v>32</v>
          </cell>
          <cell r="U27">
            <v>48</v>
          </cell>
          <cell r="V27">
            <v>3</v>
          </cell>
          <cell r="W27">
            <v>24</v>
          </cell>
          <cell r="X27">
            <v>27</v>
          </cell>
          <cell r="Y27">
            <v>75</v>
          </cell>
          <cell r="Z27">
            <v>75</v>
          </cell>
          <cell r="AA27">
            <v>0</v>
          </cell>
          <cell r="AB27">
            <v>3</v>
          </cell>
          <cell r="AC27">
            <v>12</v>
          </cell>
          <cell r="AD27">
            <v>16</v>
          </cell>
          <cell r="AE27">
            <v>28</v>
          </cell>
          <cell r="AF27">
            <v>17</v>
          </cell>
          <cell r="AG27">
            <v>45</v>
          </cell>
          <cell r="AH27">
            <v>0</v>
          </cell>
          <cell r="AI27">
            <v>2</v>
          </cell>
          <cell r="AJ27">
            <v>9</v>
          </cell>
          <cell r="AK27">
            <v>17</v>
          </cell>
          <cell r="AL27">
            <v>26</v>
          </cell>
          <cell r="AM27">
            <v>7</v>
          </cell>
          <cell r="AN27">
            <v>33</v>
          </cell>
          <cell r="AO27">
            <v>0</v>
          </cell>
          <cell r="AP27" t="str">
            <v>F</v>
          </cell>
          <cell r="AQ27">
            <v>19</v>
          </cell>
          <cell r="AR27">
            <v>25</v>
          </cell>
          <cell r="AS27">
            <v>44</v>
          </cell>
          <cell r="AT27">
            <v>0</v>
          </cell>
          <cell r="AU27">
            <v>5</v>
          </cell>
          <cell r="AV27">
            <v>14</v>
          </cell>
          <cell r="AW27">
            <v>24</v>
          </cell>
          <cell r="AX27">
            <v>38</v>
          </cell>
          <cell r="AY27">
            <v>22</v>
          </cell>
          <cell r="AZ27">
            <v>60</v>
          </cell>
          <cell r="BA27">
            <v>0</v>
          </cell>
          <cell r="BB27">
            <v>3.5</v>
          </cell>
          <cell r="BC27">
            <v>8</v>
          </cell>
          <cell r="BD27">
            <v>19</v>
          </cell>
          <cell r="BE27">
            <v>27</v>
          </cell>
          <cell r="BF27">
            <v>17</v>
          </cell>
          <cell r="BG27">
            <v>44</v>
          </cell>
          <cell r="BH27">
            <v>0</v>
          </cell>
          <cell r="BI27">
            <v>2</v>
          </cell>
          <cell r="BJ27">
            <v>5</v>
          </cell>
          <cell r="BK27">
            <v>24</v>
          </cell>
          <cell r="BL27">
            <v>29</v>
          </cell>
          <cell r="BM27">
            <v>29</v>
          </cell>
          <cell r="BN27">
            <v>0</v>
          </cell>
          <cell r="BO27">
            <v>3</v>
          </cell>
          <cell r="BP27" t="str">
            <v>F</v>
          </cell>
          <cell r="BQ27" t="str">
            <v>F</v>
          </cell>
          <cell r="BR27" t="str">
            <v>F</v>
          </cell>
          <cell r="BS27" t="str">
            <v>NEED TO PROGRESS</v>
          </cell>
          <cell r="BT27">
            <v>367</v>
          </cell>
          <cell r="BU27">
            <v>0</v>
          </cell>
          <cell r="BV27">
            <v>67</v>
          </cell>
        </row>
        <row r="28">
          <cell r="B28">
            <v>25</v>
          </cell>
          <cell r="C28" t="str">
            <v>Md. Modasser Hossain Mugdho</v>
          </cell>
          <cell r="D28" t="str">
            <v>Md Soab Miah</v>
          </cell>
          <cell r="E28" t="str">
            <v>Mst. Nargis Akther</v>
          </cell>
          <cell r="F28" t="str">
            <v>01872-029372</v>
          </cell>
          <cell r="G28">
            <v>11</v>
          </cell>
          <cell r="H28">
            <v>28</v>
          </cell>
          <cell r="I28">
            <v>39</v>
          </cell>
          <cell r="J28">
            <v>17</v>
          </cell>
          <cell r="K28">
            <v>56</v>
          </cell>
          <cell r="L28">
            <v>10</v>
          </cell>
          <cell r="M28">
            <v>14</v>
          </cell>
          <cell r="N28">
            <v>24</v>
          </cell>
          <cell r="O28">
            <v>24</v>
          </cell>
          <cell r="P28">
            <v>80</v>
          </cell>
          <cell r="Q28">
            <v>0</v>
          </cell>
          <cell r="R28">
            <v>3</v>
          </cell>
          <cell r="S28">
            <v>10</v>
          </cell>
          <cell r="T28">
            <v>37</v>
          </cell>
          <cell r="U28">
            <v>47</v>
          </cell>
          <cell r="V28">
            <v>5</v>
          </cell>
          <cell r="W28">
            <v>36</v>
          </cell>
          <cell r="X28">
            <v>41</v>
          </cell>
          <cell r="Y28">
            <v>88</v>
          </cell>
          <cell r="Z28">
            <v>88</v>
          </cell>
          <cell r="AA28">
            <v>0</v>
          </cell>
          <cell r="AB28">
            <v>3</v>
          </cell>
          <cell r="AC28">
            <v>10</v>
          </cell>
          <cell r="AD28">
            <v>38</v>
          </cell>
          <cell r="AE28">
            <v>48</v>
          </cell>
          <cell r="AF28">
            <v>19</v>
          </cell>
          <cell r="AG28">
            <v>67</v>
          </cell>
          <cell r="AH28">
            <v>0</v>
          </cell>
          <cell r="AI28">
            <v>3.5</v>
          </cell>
          <cell r="AJ28">
            <v>8</v>
          </cell>
          <cell r="AK28">
            <v>20</v>
          </cell>
          <cell r="AL28">
            <v>28</v>
          </cell>
          <cell r="AM28">
            <v>13</v>
          </cell>
          <cell r="AN28">
            <v>41</v>
          </cell>
          <cell r="AO28">
            <v>0</v>
          </cell>
          <cell r="AP28">
            <v>2</v>
          </cell>
          <cell r="AQ28">
            <v>20</v>
          </cell>
          <cell r="AR28">
            <v>25</v>
          </cell>
          <cell r="AS28">
            <v>45</v>
          </cell>
          <cell r="AT28">
            <v>0</v>
          </cell>
          <cell r="AU28">
            <v>5</v>
          </cell>
          <cell r="AV28">
            <v>11</v>
          </cell>
          <cell r="AW28">
            <v>28</v>
          </cell>
          <cell r="AX28">
            <v>39</v>
          </cell>
          <cell r="AY28">
            <v>22</v>
          </cell>
          <cell r="AZ28">
            <v>61</v>
          </cell>
          <cell r="BA28">
            <v>0</v>
          </cell>
          <cell r="BB28">
            <v>3.5</v>
          </cell>
          <cell r="BC28">
            <v>9</v>
          </cell>
          <cell r="BD28">
            <v>28</v>
          </cell>
          <cell r="BE28">
            <v>37</v>
          </cell>
          <cell r="BF28">
            <v>23</v>
          </cell>
          <cell r="BG28">
            <v>60</v>
          </cell>
          <cell r="BH28">
            <v>0</v>
          </cell>
          <cell r="BI28">
            <v>3.5</v>
          </cell>
          <cell r="BJ28">
            <v>3</v>
          </cell>
          <cell r="BK28">
            <v>24</v>
          </cell>
          <cell r="BL28">
            <v>27</v>
          </cell>
          <cell r="BM28">
            <v>27</v>
          </cell>
          <cell r="BN28">
            <v>0</v>
          </cell>
          <cell r="BO28">
            <v>3</v>
          </cell>
          <cell r="BP28">
            <v>23.5</v>
          </cell>
          <cell r="BQ28">
            <v>3.3571428571428572</v>
          </cell>
          <cell r="BR28" t="str">
            <v>B</v>
          </cell>
          <cell r="BS28" t="str">
            <v>GOOD</v>
          </cell>
          <cell r="BT28">
            <v>442</v>
          </cell>
          <cell r="BU28">
            <v>42</v>
          </cell>
          <cell r="BV28">
            <v>65</v>
          </cell>
        </row>
        <row r="29">
          <cell r="B29">
            <v>28</v>
          </cell>
          <cell r="C29" t="str">
            <v xml:space="preserve">Mahin </v>
          </cell>
          <cell r="D29" t="str">
            <v xml:space="preserve">Maruf Mia </v>
          </cell>
          <cell r="E29" t="str">
            <v xml:space="preserve">Raihana Akter </v>
          </cell>
          <cell r="F29" t="str">
            <v>01776-495689  01712-236174</v>
          </cell>
          <cell r="G29">
            <v>14</v>
          </cell>
          <cell r="H29">
            <v>29</v>
          </cell>
          <cell r="I29">
            <v>43</v>
          </cell>
          <cell r="J29">
            <v>18</v>
          </cell>
          <cell r="K29">
            <v>61</v>
          </cell>
          <cell r="L29">
            <v>8</v>
          </cell>
          <cell r="M29">
            <v>30</v>
          </cell>
          <cell r="N29">
            <v>38</v>
          </cell>
          <cell r="O29">
            <v>38</v>
          </cell>
          <cell r="P29">
            <v>99</v>
          </cell>
          <cell r="Q29">
            <v>0</v>
          </cell>
          <cell r="R29">
            <v>3.5</v>
          </cell>
          <cell r="S29">
            <v>12</v>
          </cell>
          <cell r="T29">
            <v>53</v>
          </cell>
          <cell r="U29">
            <v>65</v>
          </cell>
          <cell r="V29">
            <v>7</v>
          </cell>
          <cell r="W29">
            <v>24</v>
          </cell>
          <cell r="X29">
            <v>31</v>
          </cell>
          <cell r="Y29">
            <v>96</v>
          </cell>
          <cell r="Z29">
            <v>96</v>
          </cell>
          <cell r="AA29">
            <v>0</v>
          </cell>
          <cell r="AB29">
            <v>3.5</v>
          </cell>
          <cell r="AC29">
            <v>13</v>
          </cell>
          <cell r="AD29">
            <v>36</v>
          </cell>
          <cell r="AE29">
            <v>49</v>
          </cell>
          <cell r="AF29">
            <v>21</v>
          </cell>
          <cell r="AG29">
            <v>70</v>
          </cell>
          <cell r="AH29">
            <v>0</v>
          </cell>
          <cell r="AI29">
            <v>4</v>
          </cell>
          <cell r="AJ29">
            <v>11</v>
          </cell>
          <cell r="AK29">
            <v>28</v>
          </cell>
          <cell r="AL29">
            <v>39</v>
          </cell>
          <cell r="AM29">
            <v>14</v>
          </cell>
          <cell r="AN29">
            <v>53</v>
          </cell>
          <cell r="AO29">
            <v>0</v>
          </cell>
          <cell r="AP29">
            <v>3</v>
          </cell>
          <cell r="AQ29">
            <v>20</v>
          </cell>
          <cell r="AR29">
            <v>25</v>
          </cell>
          <cell r="AS29">
            <v>45</v>
          </cell>
          <cell r="AT29">
            <v>0</v>
          </cell>
          <cell r="AU29">
            <v>5</v>
          </cell>
          <cell r="AV29">
            <v>14</v>
          </cell>
          <cell r="AW29">
            <v>41</v>
          </cell>
          <cell r="AX29">
            <v>55</v>
          </cell>
          <cell r="AY29">
            <v>26</v>
          </cell>
          <cell r="AZ29">
            <v>81</v>
          </cell>
          <cell r="BA29">
            <v>0</v>
          </cell>
          <cell r="BB29">
            <v>5</v>
          </cell>
          <cell r="BC29">
            <v>14</v>
          </cell>
          <cell r="BD29">
            <v>29</v>
          </cell>
          <cell r="BE29">
            <v>43</v>
          </cell>
          <cell r="BF29">
            <v>19</v>
          </cell>
          <cell r="BG29">
            <v>62</v>
          </cell>
          <cell r="BH29">
            <v>0</v>
          </cell>
          <cell r="BI29">
            <v>3.5</v>
          </cell>
          <cell r="BJ29">
            <v>6</v>
          </cell>
          <cell r="BK29">
            <v>28</v>
          </cell>
          <cell r="BL29">
            <v>34</v>
          </cell>
          <cell r="BM29">
            <v>34</v>
          </cell>
          <cell r="BN29">
            <v>0</v>
          </cell>
          <cell r="BO29">
            <v>3.5</v>
          </cell>
          <cell r="BP29">
            <v>27.5</v>
          </cell>
          <cell r="BQ29">
            <v>3.9285714285714284</v>
          </cell>
          <cell r="BR29" t="str">
            <v>A-</v>
          </cell>
          <cell r="BS29" t="str">
            <v>GOOD</v>
          </cell>
          <cell r="BT29">
            <v>506</v>
          </cell>
          <cell r="BU29">
            <v>29</v>
          </cell>
          <cell r="BV29">
            <v>62</v>
          </cell>
        </row>
        <row r="30">
          <cell r="B30">
            <v>29</v>
          </cell>
          <cell r="C30" t="str">
            <v xml:space="preserve">Mst. Nurjahan Julashfi </v>
          </cell>
          <cell r="D30" t="str">
            <v>Md. Zahangir Alam</v>
          </cell>
          <cell r="E30" t="str">
            <v>Ayesha Khatun</v>
          </cell>
          <cell r="F30" t="str">
            <v>01707-748652</v>
          </cell>
          <cell r="G30">
            <v>11</v>
          </cell>
          <cell r="H30">
            <v>13</v>
          </cell>
          <cell r="I30">
            <v>24</v>
          </cell>
          <cell r="J30">
            <v>16</v>
          </cell>
          <cell r="K30">
            <v>40</v>
          </cell>
          <cell r="L30">
            <v>5</v>
          </cell>
          <cell r="M30">
            <v>15</v>
          </cell>
          <cell r="N30">
            <v>20</v>
          </cell>
          <cell r="O30">
            <v>20</v>
          </cell>
          <cell r="P30">
            <v>60</v>
          </cell>
          <cell r="Q30">
            <v>0</v>
          </cell>
          <cell r="R30">
            <v>2</v>
          </cell>
          <cell r="S30">
            <v>8</v>
          </cell>
          <cell r="T30">
            <v>16</v>
          </cell>
          <cell r="U30">
            <v>24</v>
          </cell>
          <cell r="V30">
            <v>2</v>
          </cell>
          <cell r="W30">
            <v>18</v>
          </cell>
          <cell r="X30">
            <v>20</v>
          </cell>
          <cell r="Y30">
            <v>44</v>
          </cell>
          <cell r="Z30">
            <v>44</v>
          </cell>
          <cell r="AA30">
            <v>0</v>
          </cell>
          <cell r="AB30">
            <v>0</v>
          </cell>
          <cell r="AC30">
            <v>10</v>
          </cell>
          <cell r="AD30">
            <v>10</v>
          </cell>
          <cell r="AE30">
            <v>20</v>
          </cell>
          <cell r="AF30">
            <v>12</v>
          </cell>
          <cell r="AG30">
            <v>32</v>
          </cell>
          <cell r="AH30">
            <v>0</v>
          </cell>
          <cell r="AI30" t="str">
            <v>F</v>
          </cell>
          <cell r="AJ30">
            <v>11</v>
          </cell>
          <cell r="AK30">
            <v>18</v>
          </cell>
          <cell r="AL30">
            <v>29</v>
          </cell>
          <cell r="AM30">
            <v>12</v>
          </cell>
          <cell r="AN30">
            <v>41</v>
          </cell>
          <cell r="AO30">
            <v>0</v>
          </cell>
          <cell r="AP30">
            <v>2</v>
          </cell>
          <cell r="AQ30">
            <v>16</v>
          </cell>
          <cell r="AR30">
            <v>25</v>
          </cell>
          <cell r="AS30">
            <v>41</v>
          </cell>
          <cell r="AT30">
            <v>0</v>
          </cell>
          <cell r="AU30">
            <v>5</v>
          </cell>
          <cell r="AV30">
            <v>14</v>
          </cell>
          <cell r="AW30">
            <v>16</v>
          </cell>
          <cell r="AX30">
            <v>30</v>
          </cell>
          <cell r="AY30">
            <v>14</v>
          </cell>
          <cell r="AZ30">
            <v>44</v>
          </cell>
          <cell r="BA30">
            <v>0</v>
          </cell>
          <cell r="BB30">
            <v>2</v>
          </cell>
          <cell r="BC30">
            <v>8</v>
          </cell>
          <cell r="BD30">
            <v>22</v>
          </cell>
          <cell r="BE30">
            <v>30</v>
          </cell>
          <cell r="BF30">
            <v>20</v>
          </cell>
          <cell r="BG30">
            <v>50</v>
          </cell>
          <cell r="BH30">
            <v>0</v>
          </cell>
          <cell r="BI30">
            <v>3</v>
          </cell>
          <cell r="BJ30">
            <v>6</v>
          </cell>
          <cell r="BK30">
            <v>24</v>
          </cell>
          <cell r="BL30">
            <v>30</v>
          </cell>
          <cell r="BM30">
            <v>30</v>
          </cell>
          <cell r="BN30">
            <v>0</v>
          </cell>
          <cell r="BO30">
            <v>3.5</v>
          </cell>
          <cell r="BP30" t="str">
            <v>F</v>
          </cell>
          <cell r="BQ30" t="str">
            <v>F</v>
          </cell>
          <cell r="BR30" t="str">
            <v>F</v>
          </cell>
          <cell r="BS30" t="str">
            <v>NEED TO PROGRESS</v>
          </cell>
          <cell r="BT30">
            <v>312</v>
          </cell>
          <cell r="BU30">
            <v>0</v>
          </cell>
          <cell r="BV30">
            <v>55</v>
          </cell>
        </row>
        <row r="31">
          <cell r="B31">
            <v>63</v>
          </cell>
          <cell r="C31" t="str">
            <v>Abdullah Zubayer</v>
          </cell>
          <cell r="D31" t="str">
            <v xml:space="preserve">Md. Helal Uddin </v>
          </cell>
          <cell r="E31" t="str">
            <v>Shahrin Naher</v>
          </cell>
          <cell r="F31" t="str">
            <v>01912-923539                          01916-502887</v>
          </cell>
          <cell r="G31">
            <v>10</v>
          </cell>
          <cell r="H31">
            <v>9</v>
          </cell>
          <cell r="I31">
            <v>19</v>
          </cell>
          <cell r="J31">
            <v>12</v>
          </cell>
          <cell r="K31">
            <v>31</v>
          </cell>
          <cell r="L31">
            <v>5</v>
          </cell>
          <cell r="M31">
            <v>15</v>
          </cell>
          <cell r="N31">
            <v>20</v>
          </cell>
          <cell r="O31">
            <v>20</v>
          </cell>
          <cell r="P31">
            <v>51</v>
          </cell>
          <cell r="Q31">
            <v>0</v>
          </cell>
          <cell r="R31" t="str">
            <v>F</v>
          </cell>
          <cell r="S31">
            <v>8</v>
          </cell>
          <cell r="T31">
            <v>21</v>
          </cell>
          <cell r="U31">
            <v>29</v>
          </cell>
          <cell r="V31">
            <v>2</v>
          </cell>
          <cell r="W31">
            <v>19</v>
          </cell>
          <cell r="X31">
            <v>21</v>
          </cell>
          <cell r="Y31">
            <v>50</v>
          </cell>
          <cell r="Z31">
            <v>50</v>
          </cell>
          <cell r="AA31">
            <v>0</v>
          </cell>
          <cell r="AB31">
            <v>0</v>
          </cell>
          <cell r="AC31">
            <v>13</v>
          </cell>
          <cell r="AD31">
            <v>15</v>
          </cell>
          <cell r="AE31">
            <v>28</v>
          </cell>
          <cell r="AF31">
            <v>12</v>
          </cell>
          <cell r="AG31">
            <v>40</v>
          </cell>
          <cell r="AH31">
            <v>0</v>
          </cell>
          <cell r="AI31">
            <v>2</v>
          </cell>
          <cell r="AJ31">
            <v>8</v>
          </cell>
          <cell r="AK31">
            <v>11</v>
          </cell>
          <cell r="AL31">
            <v>19</v>
          </cell>
          <cell r="AM31">
            <v>9</v>
          </cell>
          <cell r="AN31">
            <v>28</v>
          </cell>
          <cell r="AO31">
            <v>0</v>
          </cell>
          <cell r="AP31" t="str">
            <v>F</v>
          </cell>
          <cell r="AQ31">
            <v>12</v>
          </cell>
          <cell r="AR31">
            <v>25</v>
          </cell>
          <cell r="AS31">
            <v>37</v>
          </cell>
          <cell r="AT31">
            <v>0</v>
          </cell>
          <cell r="AU31">
            <v>4</v>
          </cell>
          <cell r="AV31">
            <v>14</v>
          </cell>
          <cell r="AW31">
            <v>18</v>
          </cell>
          <cell r="AX31">
            <v>32</v>
          </cell>
          <cell r="AY31">
            <v>16</v>
          </cell>
          <cell r="AZ31">
            <v>48</v>
          </cell>
          <cell r="BA31">
            <v>0</v>
          </cell>
          <cell r="BB31">
            <v>2</v>
          </cell>
          <cell r="BC31">
            <v>8</v>
          </cell>
          <cell r="BD31">
            <v>27</v>
          </cell>
          <cell r="BE31">
            <v>35</v>
          </cell>
          <cell r="BF31">
            <v>10</v>
          </cell>
          <cell r="BG31">
            <v>45</v>
          </cell>
          <cell r="BH31">
            <v>0</v>
          </cell>
          <cell r="BI31">
            <v>2</v>
          </cell>
          <cell r="BJ31">
            <v>5</v>
          </cell>
          <cell r="BK31">
            <v>24</v>
          </cell>
          <cell r="BL31">
            <v>29</v>
          </cell>
          <cell r="BM31">
            <v>29</v>
          </cell>
          <cell r="BN31">
            <v>0</v>
          </cell>
          <cell r="BO31">
            <v>3</v>
          </cell>
          <cell r="BP31" t="str">
            <v>F</v>
          </cell>
          <cell r="BQ31" t="str">
            <v>F</v>
          </cell>
          <cell r="BR31" t="str">
            <v>F</v>
          </cell>
          <cell r="BS31" t="str">
            <v>NEED TO PROGRESS</v>
          </cell>
          <cell r="BT31">
            <v>299</v>
          </cell>
          <cell r="BU31">
            <v>0</v>
          </cell>
          <cell r="BV31">
            <v>56</v>
          </cell>
        </row>
        <row r="32">
          <cell r="B32">
            <v>65</v>
          </cell>
          <cell r="C32" t="str">
            <v xml:space="preserve">Mst. Masrufa Mehedi Rim </v>
          </cell>
          <cell r="D32" t="str">
            <v xml:space="preserve">Md. Mehedi Hasan </v>
          </cell>
          <cell r="E32" t="str">
            <v xml:space="preserve">Mst. Riya Akter </v>
          </cell>
          <cell r="F32" t="str">
            <v>01718-082284</v>
          </cell>
          <cell r="G32">
            <v>8</v>
          </cell>
          <cell r="H32">
            <v>6</v>
          </cell>
          <cell r="I32">
            <v>14</v>
          </cell>
          <cell r="J32">
            <v>13</v>
          </cell>
          <cell r="K32">
            <v>27</v>
          </cell>
          <cell r="L32">
            <v>7</v>
          </cell>
          <cell r="M32">
            <v>16</v>
          </cell>
          <cell r="N32">
            <v>23</v>
          </cell>
          <cell r="O32">
            <v>23</v>
          </cell>
          <cell r="P32">
            <v>50</v>
          </cell>
          <cell r="Q32">
            <v>0</v>
          </cell>
          <cell r="R32" t="str">
            <v>F</v>
          </cell>
          <cell r="S32">
            <v>9</v>
          </cell>
          <cell r="T32">
            <v>31</v>
          </cell>
          <cell r="U32">
            <v>40</v>
          </cell>
          <cell r="V32">
            <v>2</v>
          </cell>
          <cell r="W32">
            <v>10</v>
          </cell>
          <cell r="X32">
            <v>12</v>
          </cell>
          <cell r="Y32">
            <v>52</v>
          </cell>
          <cell r="Z32">
            <v>52</v>
          </cell>
          <cell r="AA32">
            <v>0</v>
          </cell>
          <cell r="AB32">
            <v>0</v>
          </cell>
          <cell r="AC32">
            <v>3</v>
          </cell>
          <cell r="AD32">
            <v>5</v>
          </cell>
          <cell r="AE32">
            <v>8</v>
          </cell>
          <cell r="AF32">
            <v>8</v>
          </cell>
          <cell r="AG32">
            <v>16</v>
          </cell>
          <cell r="AH32">
            <v>0</v>
          </cell>
          <cell r="AI32" t="str">
            <v>F</v>
          </cell>
          <cell r="AJ32">
            <v>8</v>
          </cell>
          <cell r="AK32">
            <v>9</v>
          </cell>
          <cell r="AL32">
            <v>17</v>
          </cell>
          <cell r="AM32">
            <v>8</v>
          </cell>
          <cell r="AN32">
            <v>25</v>
          </cell>
          <cell r="AO32">
            <v>0</v>
          </cell>
          <cell r="AP32" t="str">
            <v>F</v>
          </cell>
          <cell r="AQ32">
            <v>16</v>
          </cell>
          <cell r="AR32">
            <v>25</v>
          </cell>
          <cell r="AS32">
            <v>41</v>
          </cell>
          <cell r="AT32">
            <v>0</v>
          </cell>
          <cell r="AU32">
            <v>5</v>
          </cell>
          <cell r="AV32">
            <v>10</v>
          </cell>
          <cell r="AW32">
            <v>18</v>
          </cell>
          <cell r="AX32">
            <v>28</v>
          </cell>
          <cell r="AY32">
            <v>20</v>
          </cell>
          <cell r="AZ32">
            <v>48</v>
          </cell>
          <cell r="BA32">
            <v>0</v>
          </cell>
          <cell r="BB32">
            <v>2</v>
          </cell>
          <cell r="BC32">
            <v>8</v>
          </cell>
          <cell r="BD32">
            <v>20</v>
          </cell>
          <cell r="BE32">
            <v>28</v>
          </cell>
          <cell r="BF32">
            <v>14</v>
          </cell>
          <cell r="BG32">
            <v>42</v>
          </cell>
          <cell r="BH32">
            <v>0</v>
          </cell>
          <cell r="BI32">
            <v>2</v>
          </cell>
          <cell r="BJ32">
            <v>5</v>
          </cell>
          <cell r="BK32">
            <v>24</v>
          </cell>
          <cell r="BL32">
            <v>29</v>
          </cell>
          <cell r="BM32">
            <v>29</v>
          </cell>
          <cell r="BN32">
            <v>0</v>
          </cell>
          <cell r="BO32">
            <v>3</v>
          </cell>
          <cell r="BP32" t="str">
            <v>F</v>
          </cell>
          <cell r="BQ32" t="str">
            <v>F</v>
          </cell>
          <cell r="BR32" t="str">
            <v>F</v>
          </cell>
          <cell r="BS32" t="str">
            <v>NEED TO PROGRESS</v>
          </cell>
          <cell r="BT32">
            <v>274</v>
          </cell>
          <cell r="BU32">
            <v>0</v>
          </cell>
          <cell r="BV32">
            <v>58</v>
          </cell>
        </row>
        <row r="33">
          <cell r="B33">
            <v>66</v>
          </cell>
          <cell r="C33" t="str">
            <v xml:space="preserve">Suayib Chowdhuri Jisan </v>
          </cell>
          <cell r="D33" t="str">
            <v xml:space="preserve">Md. Shihab Chowdhuri </v>
          </cell>
          <cell r="E33" t="str">
            <v xml:space="preserve">Anamika Choudhury </v>
          </cell>
          <cell r="F33" t="str">
            <v>01729-725129                              01602-292624</v>
          </cell>
          <cell r="G33">
            <v>8</v>
          </cell>
          <cell r="H33">
            <v>3</v>
          </cell>
          <cell r="I33">
            <v>11</v>
          </cell>
          <cell r="J33">
            <v>20</v>
          </cell>
          <cell r="K33">
            <v>31</v>
          </cell>
          <cell r="L33">
            <v>6</v>
          </cell>
          <cell r="M33">
            <v>14</v>
          </cell>
          <cell r="N33">
            <v>20</v>
          </cell>
          <cell r="O33">
            <v>20</v>
          </cell>
          <cell r="P33">
            <v>51</v>
          </cell>
          <cell r="Q33">
            <v>0</v>
          </cell>
          <cell r="R33" t="str">
            <v>F</v>
          </cell>
          <cell r="S33">
            <v>7</v>
          </cell>
          <cell r="T33">
            <v>20</v>
          </cell>
          <cell r="U33">
            <v>27</v>
          </cell>
          <cell r="V33">
            <v>2</v>
          </cell>
          <cell r="W33">
            <v>20</v>
          </cell>
          <cell r="X33">
            <v>22</v>
          </cell>
          <cell r="Y33">
            <v>49</v>
          </cell>
          <cell r="Z33">
            <v>49</v>
          </cell>
          <cell r="AA33">
            <v>0</v>
          </cell>
          <cell r="AB33">
            <v>0</v>
          </cell>
          <cell r="AC33">
            <v>10</v>
          </cell>
          <cell r="AD33">
            <v>8</v>
          </cell>
          <cell r="AE33">
            <v>18</v>
          </cell>
          <cell r="AF33">
            <v>10</v>
          </cell>
          <cell r="AG33">
            <v>28</v>
          </cell>
          <cell r="AH33">
            <v>0</v>
          </cell>
          <cell r="AI33" t="str">
            <v>F</v>
          </cell>
          <cell r="AJ33">
            <v>7</v>
          </cell>
          <cell r="AK33">
            <v>12</v>
          </cell>
          <cell r="AL33">
            <v>19</v>
          </cell>
          <cell r="AM33">
            <v>14</v>
          </cell>
          <cell r="AN33">
            <v>33</v>
          </cell>
          <cell r="AO33">
            <v>0</v>
          </cell>
          <cell r="AP33" t="str">
            <v>F</v>
          </cell>
          <cell r="AQ33">
            <v>19</v>
          </cell>
          <cell r="AR33">
            <v>25</v>
          </cell>
          <cell r="AS33">
            <v>44</v>
          </cell>
          <cell r="AT33">
            <v>0</v>
          </cell>
          <cell r="AU33">
            <v>5</v>
          </cell>
          <cell r="AV33">
            <v>8</v>
          </cell>
          <cell r="AW33">
            <v>12</v>
          </cell>
          <cell r="AX33">
            <v>20</v>
          </cell>
          <cell r="AY33">
            <v>14</v>
          </cell>
          <cell r="AZ33">
            <v>34</v>
          </cell>
          <cell r="BA33">
            <v>0</v>
          </cell>
          <cell r="BB33" t="str">
            <v>F</v>
          </cell>
          <cell r="BC33">
            <v>8</v>
          </cell>
          <cell r="BD33">
            <v>21</v>
          </cell>
          <cell r="BE33">
            <v>29</v>
          </cell>
          <cell r="BF33">
            <v>17</v>
          </cell>
          <cell r="BG33">
            <v>46</v>
          </cell>
          <cell r="BH33">
            <v>0</v>
          </cell>
          <cell r="BI33">
            <v>2</v>
          </cell>
          <cell r="BJ33">
            <v>4</v>
          </cell>
          <cell r="BK33">
            <v>24</v>
          </cell>
          <cell r="BL33">
            <v>28</v>
          </cell>
          <cell r="BM33">
            <v>28</v>
          </cell>
          <cell r="BN33">
            <v>0</v>
          </cell>
          <cell r="BO33">
            <v>3</v>
          </cell>
          <cell r="BP33" t="str">
            <v>F</v>
          </cell>
          <cell r="BQ33" t="str">
            <v>F</v>
          </cell>
          <cell r="BR33" t="str">
            <v>F</v>
          </cell>
          <cell r="BS33" t="str">
            <v>NEED TO PROGRESS</v>
          </cell>
          <cell r="BT33">
            <v>285</v>
          </cell>
          <cell r="BU33">
            <v>0</v>
          </cell>
          <cell r="BV33">
            <v>57</v>
          </cell>
        </row>
        <row r="34">
          <cell r="B34">
            <v>72</v>
          </cell>
          <cell r="C34" t="str">
            <v xml:space="preserve">Ummul Wara </v>
          </cell>
          <cell r="D34" t="str">
            <v xml:space="preserve">Md. Jahidul Islam </v>
          </cell>
          <cell r="E34" t="str">
            <v xml:space="preserve">Nisat Jaman Birste </v>
          </cell>
          <cell r="F34" t="str">
            <v>01305-551891        01701-422099</v>
          </cell>
          <cell r="G34">
            <v>10</v>
          </cell>
          <cell r="H34">
            <v>15</v>
          </cell>
          <cell r="I34">
            <v>25</v>
          </cell>
          <cell r="J34">
            <v>15</v>
          </cell>
          <cell r="K34">
            <v>40</v>
          </cell>
          <cell r="L34">
            <v>5</v>
          </cell>
          <cell r="M34">
            <v>15</v>
          </cell>
          <cell r="N34">
            <v>20</v>
          </cell>
          <cell r="O34">
            <v>20</v>
          </cell>
          <cell r="P34">
            <v>60</v>
          </cell>
          <cell r="Q34">
            <v>0</v>
          </cell>
          <cell r="R34">
            <v>2</v>
          </cell>
          <cell r="S34">
            <v>8</v>
          </cell>
          <cell r="T34">
            <v>32</v>
          </cell>
          <cell r="U34">
            <v>40</v>
          </cell>
          <cell r="V34">
            <v>2</v>
          </cell>
          <cell r="W34">
            <v>19</v>
          </cell>
          <cell r="X34">
            <v>21</v>
          </cell>
          <cell r="Y34">
            <v>61</v>
          </cell>
          <cell r="Z34">
            <v>61</v>
          </cell>
          <cell r="AA34">
            <v>0</v>
          </cell>
          <cell r="AB34">
            <v>2</v>
          </cell>
          <cell r="AC34">
            <v>12</v>
          </cell>
          <cell r="AD34">
            <v>17</v>
          </cell>
          <cell r="AE34">
            <v>29</v>
          </cell>
          <cell r="AF34">
            <v>11</v>
          </cell>
          <cell r="AG34">
            <v>40</v>
          </cell>
          <cell r="AH34">
            <v>0</v>
          </cell>
          <cell r="AI34">
            <v>2</v>
          </cell>
          <cell r="AJ34">
            <v>8</v>
          </cell>
          <cell r="AK34">
            <v>7</v>
          </cell>
          <cell r="AL34">
            <v>15</v>
          </cell>
          <cell r="AM34">
            <v>7</v>
          </cell>
          <cell r="AN34">
            <v>22</v>
          </cell>
          <cell r="AO34">
            <v>0</v>
          </cell>
          <cell r="AP34" t="str">
            <v>F</v>
          </cell>
          <cell r="AQ34">
            <v>12</v>
          </cell>
          <cell r="AR34">
            <v>25</v>
          </cell>
          <cell r="AS34">
            <v>37</v>
          </cell>
          <cell r="AT34">
            <v>0</v>
          </cell>
          <cell r="AU34">
            <v>4</v>
          </cell>
          <cell r="AV34">
            <v>10</v>
          </cell>
          <cell r="AW34">
            <v>22</v>
          </cell>
          <cell r="AX34">
            <v>32</v>
          </cell>
          <cell r="AY34">
            <v>20</v>
          </cell>
          <cell r="AZ34">
            <v>52</v>
          </cell>
          <cell r="BA34">
            <v>0</v>
          </cell>
          <cell r="BB34">
            <v>3</v>
          </cell>
          <cell r="BC34">
            <v>10</v>
          </cell>
          <cell r="BD34">
            <v>28</v>
          </cell>
          <cell r="BE34">
            <v>38</v>
          </cell>
          <cell r="BF34">
            <v>21</v>
          </cell>
          <cell r="BG34">
            <v>59</v>
          </cell>
          <cell r="BH34">
            <v>0</v>
          </cell>
          <cell r="BI34">
            <v>3</v>
          </cell>
          <cell r="BJ34">
            <v>5</v>
          </cell>
          <cell r="BK34">
            <v>28</v>
          </cell>
          <cell r="BL34">
            <v>33</v>
          </cell>
          <cell r="BM34">
            <v>33</v>
          </cell>
          <cell r="BN34">
            <v>0</v>
          </cell>
          <cell r="BO34">
            <v>3.5</v>
          </cell>
          <cell r="BP34" t="str">
            <v>F</v>
          </cell>
          <cell r="BQ34" t="str">
            <v>F</v>
          </cell>
          <cell r="BR34" t="str">
            <v>F</v>
          </cell>
          <cell r="BS34" t="str">
            <v>NEED TO PROGRESS</v>
          </cell>
          <cell r="BT34">
            <v>331</v>
          </cell>
          <cell r="BU34">
            <v>0</v>
          </cell>
          <cell r="BV34">
            <v>64</v>
          </cell>
        </row>
        <row r="35">
          <cell r="B35">
            <v>73</v>
          </cell>
          <cell r="C35" t="str">
            <v xml:space="preserve">Kazi Bijoy </v>
          </cell>
          <cell r="D35" t="str">
            <v>Jashim Uddin</v>
          </cell>
          <cell r="E35" t="str">
            <v>Akhlima Akter</v>
          </cell>
          <cell r="F35" t="str">
            <v>01854-723808                       01321-291610</v>
          </cell>
          <cell r="G35">
            <v>8</v>
          </cell>
          <cell r="H35">
            <v>1</v>
          </cell>
          <cell r="I35">
            <v>9</v>
          </cell>
          <cell r="J35">
            <v>20</v>
          </cell>
          <cell r="K35">
            <v>29</v>
          </cell>
          <cell r="L35">
            <v>4</v>
          </cell>
          <cell r="M35">
            <v>6</v>
          </cell>
          <cell r="N35">
            <v>10</v>
          </cell>
          <cell r="O35">
            <v>10</v>
          </cell>
          <cell r="P35">
            <v>39</v>
          </cell>
          <cell r="Q35">
            <v>0</v>
          </cell>
          <cell r="R35" t="str">
            <v>F</v>
          </cell>
          <cell r="S35">
            <v>5</v>
          </cell>
          <cell r="T35">
            <v>16</v>
          </cell>
          <cell r="U35">
            <v>21</v>
          </cell>
          <cell r="V35">
            <v>2</v>
          </cell>
          <cell r="W35">
            <v>18</v>
          </cell>
          <cell r="X35">
            <v>20</v>
          </cell>
          <cell r="Y35">
            <v>41</v>
          </cell>
          <cell r="Z35">
            <v>41</v>
          </cell>
          <cell r="AA35">
            <v>0</v>
          </cell>
          <cell r="AB35">
            <v>0</v>
          </cell>
          <cell r="AC35">
            <v>5</v>
          </cell>
          <cell r="AD35">
            <v>0</v>
          </cell>
          <cell r="AE35">
            <v>5</v>
          </cell>
          <cell r="AF35">
            <v>7</v>
          </cell>
          <cell r="AG35">
            <v>12</v>
          </cell>
          <cell r="AH35">
            <v>0</v>
          </cell>
          <cell r="AI35" t="str">
            <v>F</v>
          </cell>
          <cell r="AJ35">
            <v>5</v>
          </cell>
          <cell r="AK35">
            <v>3</v>
          </cell>
          <cell r="AL35">
            <v>8</v>
          </cell>
          <cell r="AM35">
            <v>5</v>
          </cell>
          <cell r="AN35">
            <v>13</v>
          </cell>
          <cell r="AO35">
            <v>0</v>
          </cell>
          <cell r="AP35" t="str">
            <v>F</v>
          </cell>
          <cell r="AQ35">
            <v>11</v>
          </cell>
          <cell r="AR35">
            <v>25</v>
          </cell>
          <cell r="AS35">
            <v>36</v>
          </cell>
          <cell r="AT35">
            <v>0</v>
          </cell>
          <cell r="AU35">
            <v>4</v>
          </cell>
          <cell r="AV35">
            <v>9</v>
          </cell>
          <cell r="AW35">
            <v>19</v>
          </cell>
          <cell r="AX35">
            <v>28</v>
          </cell>
          <cell r="AY35">
            <v>14</v>
          </cell>
          <cell r="AZ35">
            <v>42</v>
          </cell>
          <cell r="BA35">
            <v>0</v>
          </cell>
          <cell r="BB35">
            <v>2</v>
          </cell>
          <cell r="BC35">
            <v>8</v>
          </cell>
          <cell r="BD35">
            <v>20</v>
          </cell>
          <cell r="BE35">
            <v>28</v>
          </cell>
          <cell r="BF35">
            <v>21</v>
          </cell>
          <cell r="BG35">
            <v>49</v>
          </cell>
          <cell r="BH35">
            <v>0</v>
          </cell>
          <cell r="BI35">
            <v>2</v>
          </cell>
          <cell r="BJ35">
            <v>2</v>
          </cell>
          <cell r="BK35">
            <v>24</v>
          </cell>
          <cell r="BL35">
            <v>26</v>
          </cell>
          <cell r="BM35">
            <v>26</v>
          </cell>
          <cell r="BN35">
            <v>0</v>
          </cell>
          <cell r="BO35">
            <v>3</v>
          </cell>
          <cell r="BP35" t="str">
            <v>F</v>
          </cell>
          <cell r="BQ35" t="str">
            <v>F</v>
          </cell>
          <cell r="BR35" t="str">
            <v>F</v>
          </cell>
          <cell r="BS35" t="str">
            <v>NEED TO PROGRESS</v>
          </cell>
          <cell r="BT35">
            <v>232</v>
          </cell>
          <cell r="BU35">
            <v>0</v>
          </cell>
          <cell r="BV35">
            <v>64</v>
          </cell>
        </row>
        <row r="36">
          <cell r="B36">
            <v>74</v>
          </cell>
          <cell r="C36" t="str">
            <v xml:space="preserve">Md. Raiyan Talukder Rumel </v>
          </cell>
          <cell r="D36" t="str">
            <v xml:space="preserve">Md. Ratan Talukder </v>
          </cell>
          <cell r="E36" t="str">
            <v xml:space="preserve">Nargis Akter </v>
          </cell>
          <cell r="F36" t="str">
            <v>01757-438214      01725-412697</v>
          </cell>
          <cell r="G36">
            <v>11</v>
          </cell>
          <cell r="H36">
            <v>28</v>
          </cell>
          <cell r="I36">
            <v>39</v>
          </cell>
          <cell r="J36">
            <v>15</v>
          </cell>
          <cell r="K36">
            <v>54</v>
          </cell>
          <cell r="L36">
            <v>10</v>
          </cell>
          <cell r="M36">
            <v>32</v>
          </cell>
          <cell r="N36">
            <v>42</v>
          </cell>
          <cell r="O36">
            <v>42</v>
          </cell>
          <cell r="P36">
            <v>96</v>
          </cell>
          <cell r="Q36">
            <v>0</v>
          </cell>
          <cell r="R36">
            <v>3.5</v>
          </cell>
          <cell r="S36">
            <v>12</v>
          </cell>
          <cell r="T36">
            <v>32</v>
          </cell>
          <cell r="U36">
            <v>44</v>
          </cell>
          <cell r="V36">
            <v>5</v>
          </cell>
          <cell r="W36">
            <v>24</v>
          </cell>
          <cell r="X36">
            <v>29</v>
          </cell>
          <cell r="Y36">
            <v>73</v>
          </cell>
          <cell r="Z36">
            <v>73</v>
          </cell>
          <cell r="AA36">
            <v>0</v>
          </cell>
          <cell r="AB36">
            <v>2</v>
          </cell>
          <cell r="AC36">
            <v>11</v>
          </cell>
          <cell r="AD36">
            <v>23</v>
          </cell>
          <cell r="AE36">
            <v>34</v>
          </cell>
          <cell r="AF36">
            <v>17</v>
          </cell>
          <cell r="AG36">
            <v>51</v>
          </cell>
          <cell r="AH36">
            <v>0</v>
          </cell>
          <cell r="AI36">
            <v>3</v>
          </cell>
          <cell r="AJ36">
            <v>13</v>
          </cell>
          <cell r="AK36">
            <v>26</v>
          </cell>
          <cell r="AL36">
            <v>39</v>
          </cell>
          <cell r="AM36">
            <v>14</v>
          </cell>
          <cell r="AN36">
            <v>53</v>
          </cell>
          <cell r="AO36">
            <v>0</v>
          </cell>
          <cell r="AP36">
            <v>3</v>
          </cell>
          <cell r="AQ36">
            <v>19</v>
          </cell>
          <cell r="AR36">
            <v>25</v>
          </cell>
          <cell r="AS36">
            <v>44</v>
          </cell>
          <cell r="AT36">
            <v>0</v>
          </cell>
          <cell r="AU36">
            <v>5</v>
          </cell>
          <cell r="AV36">
            <v>17</v>
          </cell>
          <cell r="AW36">
            <v>36</v>
          </cell>
          <cell r="AX36">
            <v>53</v>
          </cell>
          <cell r="AY36">
            <v>19</v>
          </cell>
          <cell r="AZ36">
            <v>72</v>
          </cell>
          <cell r="BA36">
            <v>0</v>
          </cell>
          <cell r="BB36">
            <v>4</v>
          </cell>
          <cell r="BC36">
            <v>10</v>
          </cell>
          <cell r="BD36">
            <v>31</v>
          </cell>
          <cell r="BE36">
            <v>41</v>
          </cell>
          <cell r="BF36">
            <v>21</v>
          </cell>
          <cell r="BG36">
            <v>62</v>
          </cell>
          <cell r="BH36">
            <v>0</v>
          </cell>
          <cell r="BI36">
            <v>3.5</v>
          </cell>
          <cell r="BJ36">
            <v>6</v>
          </cell>
          <cell r="BK36">
            <v>28</v>
          </cell>
          <cell r="BL36">
            <v>34</v>
          </cell>
          <cell r="BM36">
            <v>34</v>
          </cell>
          <cell r="BN36">
            <v>0</v>
          </cell>
          <cell r="BO36">
            <v>3.5</v>
          </cell>
          <cell r="BP36">
            <v>24</v>
          </cell>
          <cell r="BQ36">
            <v>3.4285714285714284</v>
          </cell>
          <cell r="BR36" t="str">
            <v>B</v>
          </cell>
          <cell r="BS36" t="str">
            <v>GOOD</v>
          </cell>
          <cell r="BT36">
            <v>451</v>
          </cell>
          <cell r="BU36">
            <v>40</v>
          </cell>
          <cell r="BV36">
            <v>68</v>
          </cell>
        </row>
        <row r="37">
          <cell r="B37">
            <v>75</v>
          </cell>
          <cell r="C37" t="str">
            <v>Israt Jahan Tarifa</v>
          </cell>
          <cell r="D37" t="str">
            <v xml:space="preserve">Md Milon Madbar </v>
          </cell>
          <cell r="E37" t="str">
            <v xml:space="preserve">Mst. Ruma Akter </v>
          </cell>
          <cell r="F37" t="str">
            <v>01829-161690</v>
          </cell>
          <cell r="G37">
            <v>12</v>
          </cell>
          <cell r="H37">
            <v>13</v>
          </cell>
          <cell r="I37">
            <v>25</v>
          </cell>
          <cell r="J37">
            <v>18</v>
          </cell>
          <cell r="K37">
            <v>43</v>
          </cell>
          <cell r="L37">
            <v>4</v>
          </cell>
          <cell r="M37">
            <v>13</v>
          </cell>
          <cell r="N37">
            <v>17</v>
          </cell>
          <cell r="O37">
            <v>17</v>
          </cell>
          <cell r="P37">
            <v>60</v>
          </cell>
          <cell r="Q37">
            <v>0</v>
          </cell>
          <cell r="R37">
            <v>2</v>
          </cell>
          <cell r="S37">
            <v>6</v>
          </cell>
          <cell r="T37">
            <v>17</v>
          </cell>
          <cell r="U37">
            <v>23</v>
          </cell>
          <cell r="V37">
            <v>5</v>
          </cell>
          <cell r="W37">
            <v>17</v>
          </cell>
          <cell r="X37">
            <v>22</v>
          </cell>
          <cell r="Y37">
            <v>45</v>
          </cell>
          <cell r="Z37">
            <v>45</v>
          </cell>
          <cell r="AA37">
            <v>0</v>
          </cell>
          <cell r="AB37">
            <v>0</v>
          </cell>
          <cell r="AC37">
            <v>10</v>
          </cell>
          <cell r="AD37">
            <v>9</v>
          </cell>
          <cell r="AE37">
            <v>19</v>
          </cell>
          <cell r="AF37">
            <v>12</v>
          </cell>
          <cell r="AG37">
            <v>31</v>
          </cell>
          <cell r="AH37">
            <v>0</v>
          </cell>
          <cell r="AI37" t="str">
            <v>F</v>
          </cell>
          <cell r="AJ37">
            <v>8</v>
          </cell>
          <cell r="AK37">
            <v>9</v>
          </cell>
          <cell r="AL37">
            <v>17</v>
          </cell>
          <cell r="AM37">
            <v>12</v>
          </cell>
          <cell r="AN37">
            <v>29</v>
          </cell>
          <cell r="AO37">
            <v>0</v>
          </cell>
          <cell r="AP37" t="str">
            <v>F</v>
          </cell>
          <cell r="AQ37">
            <v>15</v>
          </cell>
          <cell r="AR37">
            <v>25</v>
          </cell>
          <cell r="AS37">
            <v>40</v>
          </cell>
          <cell r="AT37">
            <v>0</v>
          </cell>
          <cell r="AU37">
            <v>5</v>
          </cell>
          <cell r="AV37">
            <v>12</v>
          </cell>
          <cell r="AW37">
            <v>22</v>
          </cell>
          <cell r="AX37">
            <v>34</v>
          </cell>
          <cell r="AY37">
            <v>13</v>
          </cell>
          <cell r="AZ37">
            <v>47</v>
          </cell>
          <cell r="BA37">
            <v>0</v>
          </cell>
          <cell r="BB37">
            <v>2</v>
          </cell>
          <cell r="BC37">
            <v>8</v>
          </cell>
          <cell r="BD37">
            <v>23</v>
          </cell>
          <cell r="BE37">
            <v>31</v>
          </cell>
          <cell r="BF37">
            <v>12</v>
          </cell>
          <cell r="BG37">
            <v>43</v>
          </cell>
          <cell r="BH37">
            <v>0</v>
          </cell>
          <cell r="BI37">
            <v>2</v>
          </cell>
          <cell r="BJ37">
            <v>5</v>
          </cell>
          <cell r="BK37">
            <v>24</v>
          </cell>
          <cell r="BL37">
            <v>29</v>
          </cell>
          <cell r="BM37">
            <v>29</v>
          </cell>
          <cell r="BN37">
            <v>0</v>
          </cell>
          <cell r="BO37">
            <v>3</v>
          </cell>
          <cell r="BP37" t="str">
            <v>F</v>
          </cell>
          <cell r="BQ37" t="str">
            <v>F</v>
          </cell>
          <cell r="BR37" t="str">
            <v>F</v>
          </cell>
          <cell r="BS37" t="str">
            <v>NEED TO PROGRESS</v>
          </cell>
          <cell r="BT37">
            <v>295</v>
          </cell>
          <cell r="BU37">
            <v>0</v>
          </cell>
          <cell r="BV37">
            <v>68</v>
          </cell>
        </row>
        <row r="38">
          <cell r="B38">
            <v>81</v>
          </cell>
          <cell r="C38" t="str">
            <v xml:space="preserve">Ananna Sabrin </v>
          </cell>
          <cell r="D38" t="str">
            <v xml:space="preserve">Md Abdur Rouf </v>
          </cell>
          <cell r="E38" t="str">
            <v xml:space="preserve">Mst Rima Parvin </v>
          </cell>
          <cell r="F38" t="str">
            <v>01752-051307               01761-183601</v>
          </cell>
          <cell r="G38">
            <v>13</v>
          </cell>
          <cell r="H38">
            <v>21</v>
          </cell>
          <cell r="I38">
            <v>34</v>
          </cell>
          <cell r="J38">
            <v>13</v>
          </cell>
          <cell r="K38">
            <v>47</v>
          </cell>
          <cell r="L38">
            <v>8</v>
          </cell>
          <cell r="M38">
            <v>21</v>
          </cell>
          <cell r="N38">
            <v>29</v>
          </cell>
          <cell r="O38">
            <v>29</v>
          </cell>
          <cell r="P38">
            <v>76</v>
          </cell>
          <cell r="Q38">
            <v>0</v>
          </cell>
          <cell r="R38">
            <v>3</v>
          </cell>
          <cell r="S38">
            <v>9</v>
          </cell>
          <cell r="T38">
            <v>31</v>
          </cell>
          <cell r="U38">
            <v>40</v>
          </cell>
          <cell r="V38">
            <v>4</v>
          </cell>
          <cell r="W38">
            <v>21</v>
          </cell>
          <cell r="X38">
            <v>25</v>
          </cell>
          <cell r="Y38">
            <v>65</v>
          </cell>
          <cell r="Z38">
            <v>65</v>
          </cell>
          <cell r="AA38">
            <v>0</v>
          </cell>
          <cell r="AB38">
            <v>2</v>
          </cell>
          <cell r="AC38">
            <v>11</v>
          </cell>
          <cell r="AD38">
            <v>17</v>
          </cell>
          <cell r="AE38">
            <v>28</v>
          </cell>
          <cell r="AF38">
            <v>17</v>
          </cell>
          <cell r="AG38">
            <v>45</v>
          </cell>
          <cell r="AH38">
            <v>0</v>
          </cell>
          <cell r="AI38">
            <v>2</v>
          </cell>
          <cell r="AJ38">
            <v>12</v>
          </cell>
          <cell r="AK38">
            <v>17</v>
          </cell>
          <cell r="AL38">
            <v>29</v>
          </cell>
          <cell r="AM38">
            <v>15</v>
          </cell>
          <cell r="AN38">
            <v>44</v>
          </cell>
          <cell r="AO38">
            <v>0</v>
          </cell>
          <cell r="AP38">
            <v>2</v>
          </cell>
          <cell r="AQ38">
            <v>18</v>
          </cell>
          <cell r="AR38">
            <v>25</v>
          </cell>
          <cell r="AS38">
            <v>43</v>
          </cell>
          <cell r="AT38">
            <v>0</v>
          </cell>
          <cell r="AU38">
            <v>5</v>
          </cell>
          <cell r="AV38">
            <v>11</v>
          </cell>
          <cell r="AW38">
            <v>27</v>
          </cell>
          <cell r="AX38">
            <v>38</v>
          </cell>
          <cell r="AY38">
            <v>16</v>
          </cell>
          <cell r="AZ38">
            <v>54</v>
          </cell>
          <cell r="BA38">
            <v>0</v>
          </cell>
          <cell r="BB38">
            <v>3</v>
          </cell>
          <cell r="BC38">
            <v>9</v>
          </cell>
          <cell r="BD38">
            <v>30</v>
          </cell>
          <cell r="BE38">
            <v>39</v>
          </cell>
          <cell r="BF38">
            <v>23</v>
          </cell>
          <cell r="BG38">
            <v>62</v>
          </cell>
          <cell r="BH38">
            <v>0</v>
          </cell>
          <cell r="BI38">
            <v>3.5</v>
          </cell>
          <cell r="BJ38">
            <v>5</v>
          </cell>
          <cell r="BK38">
            <v>24</v>
          </cell>
          <cell r="BL38">
            <v>29</v>
          </cell>
          <cell r="BM38">
            <v>29</v>
          </cell>
          <cell r="BN38">
            <v>0</v>
          </cell>
          <cell r="BO38">
            <v>3</v>
          </cell>
          <cell r="BP38">
            <v>20.5</v>
          </cell>
          <cell r="BQ38">
            <v>2.9285714285714284</v>
          </cell>
          <cell r="BR38" t="str">
            <v>C</v>
          </cell>
          <cell r="BS38" t="str">
            <v>GOOD</v>
          </cell>
          <cell r="BT38">
            <v>389</v>
          </cell>
          <cell r="BU38">
            <v>49</v>
          </cell>
          <cell r="BV38">
            <v>67</v>
          </cell>
        </row>
        <row r="39">
          <cell r="B39">
            <v>86</v>
          </cell>
          <cell r="C39" t="str">
            <v xml:space="preserve">Md. Tanvir Udoy </v>
          </cell>
          <cell r="D39" t="str">
            <v xml:space="preserve">Zahid </v>
          </cell>
          <cell r="E39" t="str">
            <v xml:space="preserve">Fatema Akter Kanchan </v>
          </cell>
          <cell r="F39" t="str">
            <v>01930-060855 01987-939234</v>
          </cell>
          <cell r="G39">
            <v>8</v>
          </cell>
          <cell r="H39">
            <v>4</v>
          </cell>
          <cell r="I39">
            <v>12</v>
          </cell>
          <cell r="J39">
            <v>16</v>
          </cell>
          <cell r="K39">
            <v>28</v>
          </cell>
          <cell r="L39">
            <v>4</v>
          </cell>
          <cell r="M39">
            <v>16</v>
          </cell>
          <cell r="N39">
            <v>20</v>
          </cell>
          <cell r="O39">
            <v>20</v>
          </cell>
          <cell r="P39">
            <v>48</v>
          </cell>
          <cell r="Q39">
            <v>0</v>
          </cell>
          <cell r="R39" t="str">
            <v>F</v>
          </cell>
          <cell r="S39">
            <v>5</v>
          </cell>
          <cell r="T39">
            <v>23</v>
          </cell>
          <cell r="U39">
            <v>28</v>
          </cell>
          <cell r="V39">
            <v>2</v>
          </cell>
          <cell r="W39">
            <v>10</v>
          </cell>
          <cell r="X39">
            <v>12</v>
          </cell>
          <cell r="Y39">
            <v>40</v>
          </cell>
          <cell r="Z39">
            <v>40</v>
          </cell>
          <cell r="AA39">
            <v>0</v>
          </cell>
          <cell r="AB39">
            <v>0</v>
          </cell>
          <cell r="AC39">
            <v>13</v>
          </cell>
          <cell r="AD39">
            <v>6</v>
          </cell>
          <cell r="AE39">
            <v>19</v>
          </cell>
          <cell r="AF39">
            <v>12</v>
          </cell>
          <cell r="AG39">
            <v>31</v>
          </cell>
          <cell r="AH39">
            <v>0</v>
          </cell>
          <cell r="AI39" t="str">
            <v>F</v>
          </cell>
          <cell r="AJ39">
            <v>4</v>
          </cell>
          <cell r="AK39">
            <v>5</v>
          </cell>
          <cell r="AL39">
            <v>9</v>
          </cell>
          <cell r="AM39">
            <v>9</v>
          </cell>
          <cell r="AN39">
            <v>18</v>
          </cell>
          <cell r="AO39">
            <v>0</v>
          </cell>
          <cell r="AP39" t="str">
            <v>F</v>
          </cell>
          <cell r="AQ39">
            <v>13</v>
          </cell>
          <cell r="AR39">
            <v>25</v>
          </cell>
          <cell r="AS39">
            <v>38</v>
          </cell>
          <cell r="AT39">
            <v>0</v>
          </cell>
          <cell r="AU39">
            <v>4</v>
          </cell>
          <cell r="AV39">
            <v>13</v>
          </cell>
          <cell r="AW39">
            <v>33</v>
          </cell>
          <cell r="AX39">
            <v>46</v>
          </cell>
          <cell r="AY39">
            <v>17</v>
          </cell>
          <cell r="AZ39">
            <v>63</v>
          </cell>
          <cell r="BA39">
            <v>0</v>
          </cell>
          <cell r="BB39">
            <v>3.5</v>
          </cell>
          <cell r="BC39">
            <v>9</v>
          </cell>
          <cell r="BD39">
            <v>20</v>
          </cell>
          <cell r="BE39">
            <v>29</v>
          </cell>
          <cell r="BF39">
            <v>15</v>
          </cell>
          <cell r="BG39">
            <v>44</v>
          </cell>
          <cell r="BH39">
            <v>0</v>
          </cell>
          <cell r="BI39">
            <v>2</v>
          </cell>
          <cell r="BJ39">
            <v>5</v>
          </cell>
          <cell r="BK39">
            <v>24</v>
          </cell>
          <cell r="BL39">
            <v>29</v>
          </cell>
          <cell r="BM39">
            <v>29</v>
          </cell>
          <cell r="BN39">
            <v>0</v>
          </cell>
          <cell r="BO39">
            <v>3</v>
          </cell>
          <cell r="BP39" t="str">
            <v>F</v>
          </cell>
          <cell r="BQ39" t="str">
            <v>F</v>
          </cell>
          <cell r="BR39" t="str">
            <v>F</v>
          </cell>
          <cell r="BS39" t="str">
            <v>NEED TO PROGRESS</v>
          </cell>
          <cell r="BT39">
            <v>282</v>
          </cell>
          <cell r="BU39">
            <v>0</v>
          </cell>
          <cell r="BV39">
            <v>65</v>
          </cell>
        </row>
        <row r="40">
          <cell r="B40">
            <v>89</v>
          </cell>
          <cell r="C40" t="str">
            <v xml:space="preserve">Tausheya Islam </v>
          </cell>
          <cell r="D40" t="str">
            <v xml:space="preserve">Shafiqul Islam </v>
          </cell>
          <cell r="E40" t="str">
            <v xml:space="preserve">Shapna </v>
          </cell>
          <cell r="F40" t="str">
            <v>01928-150100                            01643-247888</v>
          </cell>
          <cell r="G40">
            <v>9</v>
          </cell>
          <cell r="H40">
            <v>4</v>
          </cell>
          <cell r="I40">
            <v>13</v>
          </cell>
          <cell r="J40">
            <v>14</v>
          </cell>
          <cell r="K40">
            <v>27</v>
          </cell>
          <cell r="L40">
            <v>4</v>
          </cell>
          <cell r="M40">
            <v>16</v>
          </cell>
          <cell r="N40">
            <v>20</v>
          </cell>
          <cell r="O40">
            <v>20</v>
          </cell>
          <cell r="P40">
            <v>47</v>
          </cell>
          <cell r="Q40">
            <v>0</v>
          </cell>
          <cell r="R40" t="str">
            <v>F</v>
          </cell>
          <cell r="S40">
            <v>7</v>
          </cell>
          <cell r="T40">
            <v>15</v>
          </cell>
          <cell r="U40">
            <v>22</v>
          </cell>
          <cell r="V40">
            <v>1</v>
          </cell>
          <cell r="W40">
            <v>6</v>
          </cell>
          <cell r="X40">
            <v>7</v>
          </cell>
          <cell r="Y40">
            <v>29</v>
          </cell>
          <cell r="Z40">
            <v>29</v>
          </cell>
          <cell r="AA40">
            <v>0</v>
          </cell>
          <cell r="AB40">
            <v>0</v>
          </cell>
          <cell r="AC40">
            <v>8</v>
          </cell>
          <cell r="AD40">
            <v>12</v>
          </cell>
          <cell r="AE40">
            <v>20</v>
          </cell>
          <cell r="AF40">
            <v>12</v>
          </cell>
          <cell r="AG40">
            <v>32</v>
          </cell>
          <cell r="AH40">
            <v>0</v>
          </cell>
          <cell r="AI40" t="str">
            <v>F</v>
          </cell>
          <cell r="AJ40">
            <v>9</v>
          </cell>
          <cell r="AK40">
            <v>11</v>
          </cell>
          <cell r="AL40">
            <v>20</v>
          </cell>
          <cell r="AM40">
            <v>10</v>
          </cell>
          <cell r="AN40">
            <v>30</v>
          </cell>
          <cell r="AO40">
            <v>0</v>
          </cell>
          <cell r="AP40" t="str">
            <v>F</v>
          </cell>
          <cell r="AQ40">
            <v>17</v>
          </cell>
          <cell r="AR40">
            <v>25</v>
          </cell>
          <cell r="AS40">
            <v>42</v>
          </cell>
          <cell r="AT40">
            <v>0</v>
          </cell>
          <cell r="AU40">
            <v>5</v>
          </cell>
          <cell r="AV40">
            <v>9</v>
          </cell>
          <cell r="AW40">
            <v>26</v>
          </cell>
          <cell r="AX40">
            <v>35</v>
          </cell>
          <cell r="AY40">
            <v>19</v>
          </cell>
          <cell r="AZ40">
            <v>54</v>
          </cell>
          <cell r="BA40">
            <v>0</v>
          </cell>
          <cell r="BB40">
            <v>3</v>
          </cell>
          <cell r="BC40">
            <v>9</v>
          </cell>
          <cell r="BD40">
            <v>20</v>
          </cell>
          <cell r="BE40">
            <v>29</v>
          </cell>
          <cell r="BF40">
            <v>17</v>
          </cell>
          <cell r="BG40">
            <v>46</v>
          </cell>
          <cell r="BH40">
            <v>0</v>
          </cell>
          <cell r="BI40">
            <v>2</v>
          </cell>
          <cell r="BJ40">
            <v>2</v>
          </cell>
          <cell r="BK40">
            <v>24</v>
          </cell>
          <cell r="BL40">
            <v>26</v>
          </cell>
          <cell r="BM40">
            <v>26</v>
          </cell>
          <cell r="BN40">
            <v>0</v>
          </cell>
          <cell r="BO40">
            <v>3</v>
          </cell>
          <cell r="BP40" t="str">
            <v>F</v>
          </cell>
          <cell r="BQ40" t="str">
            <v>F</v>
          </cell>
          <cell r="BR40" t="str">
            <v>F</v>
          </cell>
          <cell r="BS40" t="str">
            <v>NEED TO PROGRESS</v>
          </cell>
          <cell r="BT40">
            <v>280</v>
          </cell>
          <cell r="BU40">
            <v>0</v>
          </cell>
          <cell r="BV40">
            <v>62</v>
          </cell>
        </row>
        <row r="41">
          <cell r="B41">
            <v>90</v>
          </cell>
          <cell r="C41" t="str">
            <v xml:space="preserve">Rubaiya Islam Rojoni </v>
          </cell>
          <cell r="D41" t="str">
            <v xml:space="preserve">Md. Rajjab Ali </v>
          </cell>
          <cell r="E41" t="str">
            <v xml:space="preserve">Sonia Akter </v>
          </cell>
          <cell r="F41" t="str">
            <v>01684-860951                    01711-623209</v>
          </cell>
          <cell r="G41">
            <v>10</v>
          </cell>
          <cell r="H41">
            <v>26</v>
          </cell>
          <cell r="I41">
            <v>36</v>
          </cell>
          <cell r="J41">
            <v>27</v>
          </cell>
          <cell r="K41">
            <v>63</v>
          </cell>
          <cell r="L41">
            <v>9</v>
          </cell>
          <cell r="M41">
            <v>23</v>
          </cell>
          <cell r="N41">
            <v>32</v>
          </cell>
          <cell r="O41">
            <v>32</v>
          </cell>
          <cell r="P41">
            <v>95</v>
          </cell>
          <cell r="Q41">
            <v>0</v>
          </cell>
          <cell r="R41">
            <v>3.5</v>
          </cell>
          <cell r="S41">
            <v>16</v>
          </cell>
          <cell r="T41">
            <v>56</v>
          </cell>
          <cell r="U41">
            <v>72</v>
          </cell>
          <cell r="V41">
            <v>5</v>
          </cell>
          <cell r="W41">
            <v>26</v>
          </cell>
          <cell r="X41">
            <v>31</v>
          </cell>
          <cell r="Y41">
            <v>103</v>
          </cell>
          <cell r="Z41">
            <v>103</v>
          </cell>
          <cell r="AA41">
            <v>0</v>
          </cell>
          <cell r="AB41">
            <v>3.5</v>
          </cell>
          <cell r="AC41">
            <v>4</v>
          </cell>
          <cell r="AD41">
            <v>24</v>
          </cell>
          <cell r="AE41">
            <v>28</v>
          </cell>
          <cell r="AF41">
            <v>20</v>
          </cell>
          <cell r="AG41">
            <v>48</v>
          </cell>
          <cell r="AH41">
            <v>0</v>
          </cell>
          <cell r="AI41">
            <v>2</v>
          </cell>
          <cell r="AJ41">
            <v>8</v>
          </cell>
          <cell r="AK41">
            <v>34</v>
          </cell>
          <cell r="AL41">
            <v>42</v>
          </cell>
          <cell r="AM41">
            <v>17</v>
          </cell>
          <cell r="AN41">
            <v>59</v>
          </cell>
          <cell r="AO41">
            <v>0</v>
          </cell>
          <cell r="AP41">
            <v>3</v>
          </cell>
          <cell r="AQ41">
            <v>19</v>
          </cell>
          <cell r="AR41">
            <v>25</v>
          </cell>
          <cell r="AS41">
            <v>44</v>
          </cell>
          <cell r="AT41">
            <v>0</v>
          </cell>
          <cell r="AU41">
            <v>5</v>
          </cell>
          <cell r="AV41">
            <v>15</v>
          </cell>
          <cell r="AW41">
            <v>37</v>
          </cell>
          <cell r="AX41">
            <v>52</v>
          </cell>
          <cell r="AY41">
            <v>24</v>
          </cell>
          <cell r="AZ41">
            <v>76</v>
          </cell>
          <cell r="BA41">
            <v>0</v>
          </cell>
          <cell r="BB41">
            <v>4</v>
          </cell>
          <cell r="BC41">
            <v>8</v>
          </cell>
          <cell r="BD41">
            <v>34</v>
          </cell>
          <cell r="BE41">
            <v>42</v>
          </cell>
          <cell r="BF41">
            <v>24</v>
          </cell>
          <cell r="BG41">
            <v>66</v>
          </cell>
          <cell r="BH41">
            <v>0</v>
          </cell>
          <cell r="BI41">
            <v>3.5</v>
          </cell>
          <cell r="BJ41">
            <v>4</v>
          </cell>
          <cell r="BK41">
            <v>24</v>
          </cell>
          <cell r="BL41">
            <v>28</v>
          </cell>
          <cell r="BM41">
            <v>28</v>
          </cell>
          <cell r="BN41">
            <v>0</v>
          </cell>
          <cell r="BO41">
            <v>3</v>
          </cell>
          <cell r="BP41">
            <v>24.5</v>
          </cell>
          <cell r="BQ41">
            <v>3.5</v>
          </cell>
          <cell r="BR41" t="str">
            <v>A-</v>
          </cell>
          <cell r="BS41" t="str">
            <v>GOOD</v>
          </cell>
          <cell r="BT41">
            <v>491</v>
          </cell>
          <cell r="BU41">
            <v>36</v>
          </cell>
          <cell r="BV41">
            <v>55</v>
          </cell>
        </row>
        <row r="42">
          <cell r="B42">
            <v>92</v>
          </cell>
          <cell r="C42" t="str">
            <v xml:space="preserve">Zobayer Ahammed Jim </v>
          </cell>
          <cell r="D42" t="str">
            <v xml:space="preserve">Md. Helal Uddin </v>
          </cell>
          <cell r="E42" t="str">
            <v xml:space="preserve">Ummy Habiba </v>
          </cell>
          <cell r="F42" t="str">
            <v>01736-732882                       01723-208719</v>
          </cell>
          <cell r="G42">
            <v>8</v>
          </cell>
          <cell r="H42">
            <v>1</v>
          </cell>
          <cell r="I42">
            <v>9</v>
          </cell>
          <cell r="J42">
            <v>9</v>
          </cell>
          <cell r="K42">
            <v>18</v>
          </cell>
          <cell r="L42">
            <v>2</v>
          </cell>
          <cell r="M42">
            <v>9</v>
          </cell>
          <cell r="N42">
            <v>11</v>
          </cell>
          <cell r="O42">
            <v>11</v>
          </cell>
          <cell r="P42">
            <v>29</v>
          </cell>
          <cell r="Q42">
            <v>0</v>
          </cell>
          <cell r="R42" t="str">
            <v>F</v>
          </cell>
          <cell r="S42">
            <v>7</v>
          </cell>
          <cell r="T42">
            <v>15</v>
          </cell>
          <cell r="U42">
            <v>22</v>
          </cell>
          <cell r="V42">
            <v>2</v>
          </cell>
          <cell r="W42">
            <v>9</v>
          </cell>
          <cell r="X42">
            <v>11</v>
          </cell>
          <cell r="Y42">
            <v>33</v>
          </cell>
          <cell r="Z42">
            <v>33</v>
          </cell>
          <cell r="AA42">
            <v>0</v>
          </cell>
          <cell r="AB42">
            <v>0</v>
          </cell>
          <cell r="AC42">
            <v>8</v>
          </cell>
          <cell r="AD42">
            <v>4</v>
          </cell>
          <cell r="AE42">
            <v>12</v>
          </cell>
          <cell r="AF42">
            <v>14</v>
          </cell>
          <cell r="AG42">
            <v>26</v>
          </cell>
          <cell r="AH42">
            <v>0</v>
          </cell>
          <cell r="AI42" t="str">
            <v>F</v>
          </cell>
          <cell r="AJ42">
            <v>8</v>
          </cell>
          <cell r="AK42">
            <v>9</v>
          </cell>
          <cell r="AL42">
            <v>17</v>
          </cell>
          <cell r="AM42">
            <v>3</v>
          </cell>
          <cell r="AN42">
            <v>20</v>
          </cell>
          <cell r="AO42">
            <v>0</v>
          </cell>
          <cell r="AP42" t="str">
            <v>F</v>
          </cell>
          <cell r="AQ42">
            <v>10</v>
          </cell>
          <cell r="AR42">
            <v>25</v>
          </cell>
          <cell r="AS42">
            <v>35</v>
          </cell>
          <cell r="AT42">
            <v>0</v>
          </cell>
          <cell r="AU42">
            <v>4</v>
          </cell>
          <cell r="AV42">
            <v>11</v>
          </cell>
          <cell r="AW42">
            <v>18</v>
          </cell>
          <cell r="AX42">
            <v>29</v>
          </cell>
          <cell r="AY42">
            <v>11</v>
          </cell>
          <cell r="AZ42">
            <v>40</v>
          </cell>
          <cell r="BA42">
            <v>0</v>
          </cell>
          <cell r="BB42">
            <v>2</v>
          </cell>
          <cell r="BC42">
            <v>2</v>
          </cell>
          <cell r="BD42">
            <v>10</v>
          </cell>
          <cell r="BE42">
            <v>12</v>
          </cell>
          <cell r="BF42">
            <v>5</v>
          </cell>
          <cell r="BG42">
            <v>17</v>
          </cell>
          <cell r="BH42">
            <v>0</v>
          </cell>
          <cell r="BI42" t="str">
            <v>F</v>
          </cell>
          <cell r="BJ42">
            <v>5</v>
          </cell>
          <cell r="BK42">
            <v>24</v>
          </cell>
          <cell r="BL42">
            <v>29</v>
          </cell>
          <cell r="BM42">
            <v>29</v>
          </cell>
          <cell r="BN42">
            <v>0</v>
          </cell>
          <cell r="BO42">
            <v>3</v>
          </cell>
          <cell r="BP42" t="str">
            <v>F</v>
          </cell>
          <cell r="BQ42" t="str">
            <v>F</v>
          </cell>
          <cell r="BR42" t="str">
            <v>F</v>
          </cell>
          <cell r="BS42" t="str">
            <v>NEED TO PROGRESS</v>
          </cell>
          <cell r="BT42">
            <v>200</v>
          </cell>
          <cell r="BU42">
            <v>0</v>
          </cell>
          <cell r="BV42">
            <v>56</v>
          </cell>
        </row>
        <row r="43">
          <cell r="B43">
            <v>93</v>
          </cell>
          <cell r="C43" t="str">
            <v xml:space="preserve">Md. Riyad Hossen </v>
          </cell>
          <cell r="D43" t="str">
            <v xml:space="preserve">Md. Abu Taher </v>
          </cell>
          <cell r="E43" t="str">
            <v xml:space="preserve">Mst. Rikta Begum </v>
          </cell>
          <cell r="F43" t="str">
            <v>01722-079230                    01771-678845</v>
          </cell>
          <cell r="G43">
            <v>8</v>
          </cell>
          <cell r="H43">
            <v>10</v>
          </cell>
          <cell r="I43">
            <v>18</v>
          </cell>
          <cell r="J43">
            <v>18</v>
          </cell>
          <cell r="K43">
            <v>36</v>
          </cell>
          <cell r="L43">
            <v>10</v>
          </cell>
          <cell r="M43">
            <v>25</v>
          </cell>
          <cell r="N43">
            <v>35</v>
          </cell>
          <cell r="O43">
            <v>35</v>
          </cell>
          <cell r="P43">
            <v>71</v>
          </cell>
          <cell r="Q43">
            <v>0</v>
          </cell>
          <cell r="R43">
            <v>2</v>
          </cell>
          <cell r="S43">
            <v>11</v>
          </cell>
          <cell r="T43">
            <v>29</v>
          </cell>
          <cell r="U43">
            <v>40</v>
          </cell>
          <cell r="V43">
            <v>6</v>
          </cell>
          <cell r="W43">
            <v>20</v>
          </cell>
          <cell r="X43">
            <v>26</v>
          </cell>
          <cell r="Y43">
            <v>66</v>
          </cell>
          <cell r="Z43">
            <v>66</v>
          </cell>
          <cell r="AA43">
            <v>0</v>
          </cell>
          <cell r="AB43">
            <v>2</v>
          </cell>
          <cell r="AC43">
            <v>9</v>
          </cell>
          <cell r="AD43">
            <v>20</v>
          </cell>
          <cell r="AE43">
            <v>29</v>
          </cell>
          <cell r="AF43">
            <v>12</v>
          </cell>
          <cell r="AG43">
            <v>41</v>
          </cell>
          <cell r="AH43">
            <v>0</v>
          </cell>
          <cell r="AI43">
            <v>2</v>
          </cell>
          <cell r="AJ43">
            <v>8</v>
          </cell>
          <cell r="AK43">
            <v>20</v>
          </cell>
          <cell r="AL43">
            <v>28</v>
          </cell>
          <cell r="AM43">
            <v>12</v>
          </cell>
          <cell r="AN43">
            <v>40</v>
          </cell>
          <cell r="AO43">
            <v>0</v>
          </cell>
          <cell r="AP43">
            <v>2</v>
          </cell>
          <cell r="AQ43">
            <v>15</v>
          </cell>
          <cell r="AR43">
            <v>25</v>
          </cell>
          <cell r="AS43">
            <v>40</v>
          </cell>
          <cell r="AT43">
            <v>0</v>
          </cell>
          <cell r="AU43">
            <v>5</v>
          </cell>
          <cell r="AV43">
            <v>13</v>
          </cell>
          <cell r="AW43">
            <v>31</v>
          </cell>
          <cell r="AX43">
            <v>44</v>
          </cell>
          <cell r="AY43">
            <v>20</v>
          </cell>
          <cell r="AZ43">
            <v>64</v>
          </cell>
          <cell r="BA43">
            <v>0</v>
          </cell>
          <cell r="BB43">
            <v>3.5</v>
          </cell>
          <cell r="BC43">
            <v>10</v>
          </cell>
          <cell r="BD43">
            <v>26</v>
          </cell>
          <cell r="BE43">
            <v>36</v>
          </cell>
          <cell r="BF43">
            <v>23</v>
          </cell>
          <cell r="BG43">
            <v>59</v>
          </cell>
          <cell r="BH43">
            <v>0</v>
          </cell>
          <cell r="BI43">
            <v>3</v>
          </cell>
          <cell r="BJ43">
            <v>5</v>
          </cell>
          <cell r="BK43">
            <v>24</v>
          </cell>
          <cell r="BL43">
            <v>29</v>
          </cell>
          <cell r="BM43">
            <v>29</v>
          </cell>
          <cell r="BN43">
            <v>0</v>
          </cell>
          <cell r="BO43">
            <v>3</v>
          </cell>
          <cell r="BP43">
            <v>19.5</v>
          </cell>
          <cell r="BQ43">
            <v>2.7857142857142856</v>
          </cell>
          <cell r="BR43" t="str">
            <v>C</v>
          </cell>
          <cell r="BS43" t="str">
            <v>GOOD</v>
          </cell>
          <cell r="BT43">
            <v>381</v>
          </cell>
          <cell r="BU43">
            <v>52</v>
          </cell>
          <cell r="BV43">
            <v>58</v>
          </cell>
        </row>
        <row r="44">
          <cell r="B44">
            <v>95</v>
          </cell>
          <cell r="C44" t="str">
            <v xml:space="preserve">Mohammad Alif Talukder </v>
          </cell>
          <cell r="D44" t="str">
            <v xml:space="preserve">Md. Hameyat Uddin Talukder </v>
          </cell>
          <cell r="E44" t="str">
            <v xml:space="preserve">Sultana Nasira </v>
          </cell>
          <cell r="F44" t="str">
            <v>01716-294941                   01790-423094</v>
          </cell>
          <cell r="G44">
            <v>9</v>
          </cell>
          <cell r="H44">
            <v>3</v>
          </cell>
          <cell r="I44">
            <v>12</v>
          </cell>
          <cell r="J44">
            <v>12</v>
          </cell>
          <cell r="K44">
            <v>24</v>
          </cell>
          <cell r="L44">
            <v>4</v>
          </cell>
          <cell r="M44">
            <v>8</v>
          </cell>
          <cell r="N44">
            <v>12</v>
          </cell>
          <cell r="O44">
            <v>12</v>
          </cell>
          <cell r="P44">
            <v>36</v>
          </cell>
          <cell r="Q44">
            <v>0</v>
          </cell>
          <cell r="R44" t="str">
            <v>F</v>
          </cell>
          <cell r="S44">
            <v>6</v>
          </cell>
          <cell r="T44">
            <v>18</v>
          </cell>
          <cell r="U44">
            <v>24</v>
          </cell>
          <cell r="V44">
            <v>2</v>
          </cell>
          <cell r="W44">
            <v>22</v>
          </cell>
          <cell r="X44">
            <v>24</v>
          </cell>
          <cell r="Y44">
            <v>48</v>
          </cell>
          <cell r="Z44">
            <v>48</v>
          </cell>
          <cell r="AA44">
            <v>0</v>
          </cell>
          <cell r="AB44">
            <v>0</v>
          </cell>
          <cell r="AC44">
            <v>10</v>
          </cell>
          <cell r="AD44">
            <v>8</v>
          </cell>
          <cell r="AE44">
            <v>18</v>
          </cell>
          <cell r="AF44">
            <v>13</v>
          </cell>
          <cell r="AG44">
            <v>31</v>
          </cell>
          <cell r="AH44">
            <v>0</v>
          </cell>
          <cell r="AI44" t="str">
            <v>F</v>
          </cell>
          <cell r="AJ44">
            <v>8</v>
          </cell>
          <cell r="AK44">
            <v>6</v>
          </cell>
          <cell r="AL44">
            <v>14</v>
          </cell>
          <cell r="AM44">
            <v>9</v>
          </cell>
          <cell r="AN44">
            <v>23</v>
          </cell>
          <cell r="AO44">
            <v>0</v>
          </cell>
          <cell r="AP44" t="str">
            <v>F</v>
          </cell>
          <cell r="AQ44">
            <v>10</v>
          </cell>
          <cell r="AR44">
            <v>25</v>
          </cell>
          <cell r="AS44">
            <v>35</v>
          </cell>
          <cell r="AT44">
            <v>0</v>
          </cell>
          <cell r="AU44">
            <v>4</v>
          </cell>
          <cell r="AV44">
            <v>11</v>
          </cell>
          <cell r="AW44">
            <v>16</v>
          </cell>
          <cell r="AX44">
            <v>27</v>
          </cell>
          <cell r="AY44">
            <v>20</v>
          </cell>
          <cell r="AZ44">
            <v>47</v>
          </cell>
          <cell r="BA44">
            <v>0</v>
          </cell>
          <cell r="BB44">
            <v>2</v>
          </cell>
          <cell r="BC44">
            <v>9</v>
          </cell>
          <cell r="BD44">
            <v>16</v>
          </cell>
          <cell r="BE44">
            <v>25</v>
          </cell>
          <cell r="BF44">
            <v>15</v>
          </cell>
          <cell r="BG44">
            <v>40</v>
          </cell>
          <cell r="BH44">
            <v>0</v>
          </cell>
          <cell r="BI44">
            <v>2</v>
          </cell>
          <cell r="BJ44">
            <v>5</v>
          </cell>
          <cell r="BK44">
            <v>24</v>
          </cell>
          <cell r="BL44">
            <v>29</v>
          </cell>
          <cell r="BM44">
            <v>29</v>
          </cell>
          <cell r="BN44">
            <v>0</v>
          </cell>
          <cell r="BO44">
            <v>3</v>
          </cell>
          <cell r="BP44" t="str">
            <v>F</v>
          </cell>
          <cell r="BQ44" t="str">
            <v>F</v>
          </cell>
          <cell r="BR44" t="str">
            <v>F</v>
          </cell>
          <cell r="BS44" t="str">
            <v>NEED TO PROGRESS</v>
          </cell>
          <cell r="BT44">
            <v>260</v>
          </cell>
          <cell r="BU44">
            <v>0</v>
          </cell>
          <cell r="BV44">
            <v>57</v>
          </cell>
        </row>
        <row r="45">
          <cell r="B45">
            <v>96</v>
          </cell>
          <cell r="C45" t="str">
            <v xml:space="preserve">Md. Mahmudul Mursalin Nirjhor </v>
          </cell>
          <cell r="D45" t="str">
            <v xml:space="preserve">Md. Rafiqul Islam </v>
          </cell>
          <cell r="E45" t="str">
            <v xml:space="preserve">Mahmuda Akter </v>
          </cell>
          <cell r="F45" t="str">
            <v>01842-062014</v>
          </cell>
          <cell r="G45">
            <v>17</v>
          </cell>
          <cell r="H45">
            <v>19</v>
          </cell>
          <cell r="I45">
            <v>36</v>
          </cell>
          <cell r="J45">
            <v>23</v>
          </cell>
          <cell r="K45">
            <v>59</v>
          </cell>
          <cell r="L45">
            <v>9</v>
          </cell>
          <cell r="M45">
            <v>29</v>
          </cell>
          <cell r="N45">
            <v>38</v>
          </cell>
          <cell r="O45">
            <v>38</v>
          </cell>
          <cell r="P45">
            <v>97</v>
          </cell>
          <cell r="Q45">
            <v>0</v>
          </cell>
          <cell r="R45">
            <v>3.5</v>
          </cell>
          <cell r="S45">
            <v>7</v>
          </cell>
          <cell r="T45">
            <v>33</v>
          </cell>
          <cell r="U45">
            <v>40</v>
          </cell>
          <cell r="V45">
            <v>5</v>
          </cell>
          <cell r="W45">
            <v>17</v>
          </cell>
          <cell r="X45">
            <v>22</v>
          </cell>
          <cell r="Y45">
            <v>62</v>
          </cell>
          <cell r="Z45">
            <v>62</v>
          </cell>
          <cell r="AA45">
            <v>0</v>
          </cell>
          <cell r="AB45">
            <v>2</v>
          </cell>
          <cell r="AC45">
            <v>12</v>
          </cell>
          <cell r="AD45">
            <v>28</v>
          </cell>
          <cell r="AE45">
            <v>40</v>
          </cell>
          <cell r="AF45">
            <v>12</v>
          </cell>
          <cell r="AG45">
            <v>52</v>
          </cell>
          <cell r="AH45">
            <v>0</v>
          </cell>
          <cell r="AI45">
            <v>3</v>
          </cell>
          <cell r="AJ45">
            <v>14</v>
          </cell>
          <cell r="AK45">
            <v>34</v>
          </cell>
          <cell r="AL45">
            <v>48</v>
          </cell>
          <cell r="AM45">
            <v>16</v>
          </cell>
          <cell r="AN45">
            <v>64</v>
          </cell>
          <cell r="AO45">
            <v>0</v>
          </cell>
          <cell r="AP45">
            <v>3.5</v>
          </cell>
          <cell r="AQ45">
            <v>15</v>
          </cell>
          <cell r="AR45">
            <v>25</v>
          </cell>
          <cell r="AS45">
            <v>40</v>
          </cell>
          <cell r="AT45">
            <v>0</v>
          </cell>
          <cell r="AU45">
            <v>5</v>
          </cell>
          <cell r="AV45">
            <v>16</v>
          </cell>
          <cell r="AW45">
            <v>26</v>
          </cell>
          <cell r="AX45">
            <v>42</v>
          </cell>
          <cell r="AY45">
            <v>22</v>
          </cell>
          <cell r="AZ45">
            <v>64</v>
          </cell>
          <cell r="BA45">
            <v>0</v>
          </cell>
          <cell r="BB45">
            <v>3.5</v>
          </cell>
          <cell r="BC45">
            <v>8</v>
          </cell>
          <cell r="BD45">
            <v>19</v>
          </cell>
          <cell r="BE45">
            <v>27</v>
          </cell>
          <cell r="BF45">
            <v>28</v>
          </cell>
          <cell r="BG45">
            <v>55</v>
          </cell>
          <cell r="BH45">
            <v>0</v>
          </cell>
          <cell r="BI45">
            <v>3</v>
          </cell>
          <cell r="BJ45">
            <v>7</v>
          </cell>
          <cell r="BK45">
            <v>24</v>
          </cell>
          <cell r="BL45">
            <v>31</v>
          </cell>
          <cell r="BM45">
            <v>31</v>
          </cell>
          <cell r="BN45">
            <v>0</v>
          </cell>
          <cell r="BO45">
            <v>3.5</v>
          </cell>
          <cell r="BP45">
            <v>23.5</v>
          </cell>
          <cell r="BQ45">
            <v>3.3571428571428572</v>
          </cell>
          <cell r="BR45" t="str">
            <v>B</v>
          </cell>
          <cell r="BS45" t="str">
            <v>GOOD</v>
          </cell>
          <cell r="BT45">
            <v>434</v>
          </cell>
          <cell r="BU45">
            <v>43</v>
          </cell>
          <cell r="BV45">
            <v>55</v>
          </cell>
        </row>
        <row r="46">
          <cell r="B46">
            <v>97</v>
          </cell>
          <cell r="C46" t="str">
            <v xml:space="preserve">Md. Arif Hossain Ratul </v>
          </cell>
          <cell r="D46" t="str">
            <v xml:space="preserve">Md. Hafijur Rahman </v>
          </cell>
          <cell r="E46" t="str">
            <v xml:space="preserve">Asma Akter </v>
          </cell>
          <cell r="F46" t="str">
            <v>01716-435331</v>
          </cell>
          <cell r="G46">
            <v>9</v>
          </cell>
          <cell r="H46">
            <v>13</v>
          </cell>
          <cell r="I46">
            <v>22</v>
          </cell>
          <cell r="J46">
            <v>18</v>
          </cell>
          <cell r="K46">
            <v>40</v>
          </cell>
          <cell r="L46">
            <v>5</v>
          </cell>
          <cell r="M46">
            <v>15</v>
          </cell>
          <cell r="N46">
            <v>20</v>
          </cell>
          <cell r="O46">
            <v>20</v>
          </cell>
          <cell r="P46">
            <v>60</v>
          </cell>
          <cell r="Q46">
            <v>0</v>
          </cell>
          <cell r="R46">
            <v>2</v>
          </cell>
          <cell r="S46">
            <v>10</v>
          </cell>
          <cell r="T46">
            <v>43</v>
          </cell>
          <cell r="U46">
            <v>53</v>
          </cell>
          <cell r="V46">
            <v>3</v>
          </cell>
          <cell r="W46">
            <v>20</v>
          </cell>
          <cell r="X46">
            <v>23</v>
          </cell>
          <cell r="Y46">
            <v>76</v>
          </cell>
          <cell r="Z46">
            <v>76</v>
          </cell>
          <cell r="AA46">
            <v>0</v>
          </cell>
          <cell r="AB46">
            <v>3</v>
          </cell>
          <cell r="AC46">
            <v>11</v>
          </cell>
          <cell r="AD46">
            <v>33</v>
          </cell>
          <cell r="AE46">
            <v>44</v>
          </cell>
          <cell r="AF46">
            <v>22</v>
          </cell>
          <cell r="AG46">
            <v>66</v>
          </cell>
          <cell r="AH46">
            <v>0</v>
          </cell>
          <cell r="AI46">
            <v>3.5</v>
          </cell>
          <cell r="AJ46">
            <v>15</v>
          </cell>
          <cell r="AK46">
            <v>28</v>
          </cell>
          <cell r="AL46">
            <v>43</v>
          </cell>
          <cell r="AM46">
            <v>18</v>
          </cell>
          <cell r="AN46">
            <v>61</v>
          </cell>
          <cell r="AO46">
            <v>0</v>
          </cell>
          <cell r="AP46">
            <v>3.5</v>
          </cell>
          <cell r="AQ46">
            <v>13</v>
          </cell>
          <cell r="AR46">
            <v>25</v>
          </cell>
          <cell r="AS46">
            <v>38</v>
          </cell>
          <cell r="AT46">
            <v>0</v>
          </cell>
          <cell r="AU46">
            <v>4</v>
          </cell>
          <cell r="AV46">
            <v>15</v>
          </cell>
          <cell r="AW46">
            <v>29</v>
          </cell>
          <cell r="AX46">
            <v>44</v>
          </cell>
          <cell r="AY46">
            <v>24</v>
          </cell>
          <cell r="AZ46">
            <v>68</v>
          </cell>
          <cell r="BA46">
            <v>0</v>
          </cell>
          <cell r="BB46">
            <v>3.5</v>
          </cell>
          <cell r="BC46">
            <v>9</v>
          </cell>
          <cell r="BD46">
            <v>23</v>
          </cell>
          <cell r="BE46">
            <v>32</v>
          </cell>
          <cell r="BF46">
            <v>20</v>
          </cell>
          <cell r="BG46">
            <v>52</v>
          </cell>
          <cell r="BH46">
            <v>0</v>
          </cell>
          <cell r="BI46">
            <v>3</v>
          </cell>
          <cell r="BJ46">
            <v>4</v>
          </cell>
          <cell r="BK46">
            <v>24</v>
          </cell>
          <cell r="BL46">
            <v>28</v>
          </cell>
          <cell r="BM46">
            <v>28</v>
          </cell>
          <cell r="BN46">
            <v>0</v>
          </cell>
          <cell r="BO46">
            <v>3</v>
          </cell>
          <cell r="BP46">
            <v>22.5</v>
          </cell>
          <cell r="BQ46">
            <v>3.2142857142857144</v>
          </cell>
          <cell r="BR46" t="str">
            <v>B</v>
          </cell>
          <cell r="BS46" t="str">
            <v>GOOD</v>
          </cell>
          <cell r="BT46">
            <v>421</v>
          </cell>
          <cell r="BU46">
            <v>44</v>
          </cell>
          <cell r="BV46">
            <v>54</v>
          </cell>
        </row>
        <row r="47">
          <cell r="B47">
            <v>99</v>
          </cell>
          <cell r="C47" t="str">
            <v xml:space="preserve">Md. Alvi Ahammed </v>
          </cell>
          <cell r="D47" t="str">
            <v xml:space="preserve">Md. Shamim Kabir </v>
          </cell>
          <cell r="E47" t="str">
            <v xml:space="preserve">Mst. Salma </v>
          </cell>
          <cell r="F47" t="str">
            <v>01711-346161     01911-699588</v>
          </cell>
          <cell r="G47">
            <v>9</v>
          </cell>
          <cell r="H47">
            <v>13</v>
          </cell>
          <cell r="I47">
            <v>22</v>
          </cell>
          <cell r="J47">
            <v>18</v>
          </cell>
          <cell r="K47">
            <v>40</v>
          </cell>
          <cell r="L47">
            <v>5</v>
          </cell>
          <cell r="M47">
            <v>16</v>
          </cell>
          <cell r="N47">
            <v>21</v>
          </cell>
          <cell r="O47">
            <v>21</v>
          </cell>
          <cell r="P47">
            <v>61</v>
          </cell>
          <cell r="Q47">
            <v>0</v>
          </cell>
          <cell r="R47">
            <v>2</v>
          </cell>
          <cell r="S47">
            <v>5</v>
          </cell>
          <cell r="T47">
            <v>35</v>
          </cell>
          <cell r="U47">
            <v>40</v>
          </cell>
          <cell r="V47">
            <v>3</v>
          </cell>
          <cell r="W47">
            <v>10</v>
          </cell>
          <cell r="X47">
            <v>13</v>
          </cell>
          <cell r="Y47">
            <v>53</v>
          </cell>
          <cell r="Z47">
            <v>53</v>
          </cell>
          <cell r="AA47">
            <v>0</v>
          </cell>
          <cell r="AB47">
            <v>0</v>
          </cell>
          <cell r="AC47">
            <v>11</v>
          </cell>
          <cell r="AD47">
            <v>8</v>
          </cell>
          <cell r="AE47">
            <v>19</v>
          </cell>
          <cell r="AF47">
            <v>13</v>
          </cell>
          <cell r="AG47">
            <v>32</v>
          </cell>
          <cell r="AH47">
            <v>0</v>
          </cell>
          <cell r="AI47" t="str">
            <v>F</v>
          </cell>
          <cell r="AJ47">
            <v>8</v>
          </cell>
          <cell r="AK47">
            <v>22</v>
          </cell>
          <cell r="AL47">
            <v>30</v>
          </cell>
          <cell r="AM47">
            <v>17</v>
          </cell>
          <cell r="AN47">
            <v>47</v>
          </cell>
          <cell r="AO47">
            <v>0</v>
          </cell>
          <cell r="AP47">
            <v>2</v>
          </cell>
          <cell r="AQ47">
            <v>18</v>
          </cell>
          <cell r="AR47">
            <v>25</v>
          </cell>
          <cell r="AS47">
            <v>43</v>
          </cell>
          <cell r="AT47">
            <v>0</v>
          </cell>
          <cell r="AU47">
            <v>5</v>
          </cell>
          <cell r="AV47">
            <v>12</v>
          </cell>
          <cell r="AW47">
            <v>23</v>
          </cell>
          <cell r="AX47">
            <v>35</v>
          </cell>
          <cell r="AY47">
            <v>22</v>
          </cell>
          <cell r="AZ47">
            <v>57</v>
          </cell>
          <cell r="BA47">
            <v>0</v>
          </cell>
          <cell r="BB47">
            <v>3</v>
          </cell>
          <cell r="BC47">
            <v>9</v>
          </cell>
          <cell r="BD47">
            <v>24</v>
          </cell>
          <cell r="BE47">
            <v>33</v>
          </cell>
          <cell r="BF47">
            <v>21</v>
          </cell>
          <cell r="BG47">
            <v>54</v>
          </cell>
          <cell r="BH47">
            <v>0</v>
          </cell>
          <cell r="BI47">
            <v>3</v>
          </cell>
          <cell r="BJ47">
            <v>5</v>
          </cell>
          <cell r="BK47">
            <v>28</v>
          </cell>
          <cell r="BL47">
            <v>33</v>
          </cell>
          <cell r="BM47">
            <v>33</v>
          </cell>
          <cell r="BN47">
            <v>0</v>
          </cell>
          <cell r="BO47">
            <v>3.5</v>
          </cell>
          <cell r="BP47" t="str">
            <v>F</v>
          </cell>
          <cell r="BQ47" t="str">
            <v>F</v>
          </cell>
          <cell r="BR47" t="str">
            <v>F</v>
          </cell>
          <cell r="BS47" t="str">
            <v>NEED TO PROGRESS</v>
          </cell>
          <cell r="BT47">
            <v>347</v>
          </cell>
          <cell r="BU47">
            <v>0</v>
          </cell>
          <cell r="BV47">
            <v>52</v>
          </cell>
        </row>
        <row r="48">
          <cell r="B48">
            <v>27</v>
          </cell>
          <cell r="C48" t="str">
            <v>Sayma Afroj</v>
          </cell>
          <cell r="D48" t="str">
            <v xml:space="preserve">Shohag </v>
          </cell>
          <cell r="E48" t="str">
            <v xml:space="preserve">Asia </v>
          </cell>
          <cell r="F48" t="str">
            <v>01782-738128</v>
          </cell>
          <cell r="G48">
            <v>13</v>
          </cell>
          <cell r="H48">
            <v>24</v>
          </cell>
          <cell r="I48">
            <v>37</v>
          </cell>
          <cell r="J48">
            <v>21</v>
          </cell>
          <cell r="K48">
            <v>58</v>
          </cell>
          <cell r="L48">
            <v>9</v>
          </cell>
          <cell r="M48">
            <v>30</v>
          </cell>
          <cell r="N48">
            <v>39</v>
          </cell>
          <cell r="O48">
            <v>39</v>
          </cell>
          <cell r="P48">
            <v>97</v>
          </cell>
          <cell r="Q48">
            <v>0</v>
          </cell>
          <cell r="R48">
            <v>3.5</v>
          </cell>
          <cell r="S48">
            <v>17</v>
          </cell>
          <cell r="T48">
            <v>57</v>
          </cell>
          <cell r="U48">
            <v>74</v>
          </cell>
          <cell r="V48">
            <v>5</v>
          </cell>
          <cell r="W48">
            <v>26</v>
          </cell>
          <cell r="X48">
            <v>31</v>
          </cell>
          <cell r="Y48">
            <v>105</v>
          </cell>
          <cell r="Z48">
            <v>105</v>
          </cell>
          <cell r="AA48">
            <v>0</v>
          </cell>
          <cell r="AB48">
            <v>4</v>
          </cell>
          <cell r="AC48">
            <v>10</v>
          </cell>
          <cell r="AD48">
            <v>29</v>
          </cell>
          <cell r="AE48">
            <v>39</v>
          </cell>
          <cell r="AF48">
            <v>18</v>
          </cell>
          <cell r="AG48">
            <v>57</v>
          </cell>
          <cell r="AH48">
            <v>0</v>
          </cell>
          <cell r="AI48">
            <v>3</v>
          </cell>
          <cell r="AJ48">
            <v>8</v>
          </cell>
          <cell r="AK48">
            <v>39</v>
          </cell>
          <cell r="AL48">
            <v>47</v>
          </cell>
          <cell r="AM48">
            <v>20</v>
          </cell>
          <cell r="AN48">
            <v>67</v>
          </cell>
          <cell r="AO48">
            <v>0</v>
          </cell>
          <cell r="AP48">
            <v>3.5</v>
          </cell>
          <cell r="AQ48">
            <v>19</v>
          </cell>
          <cell r="AR48">
            <v>25</v>
          </cell>
          <cell r="AS48">
            <v>44</v>
          </cell>
          <cell r="AT48">
            <v>0</v>
          </cell>
          <cell r="AU48">
            <v>5</v>
          </cell>
          <cell r="AV48">
            <v>19</v>
          </cell>
          <cell r="AW48">
            <v>38</v>
          </cell>
          <cell r="AX48">
            <v>57</v>
          </cell>
          <cell r="AY48">
            <v>24</v>
          </cell>
          <cell r="AZ48">
            <v>81</v>
          </cell>
          <cell r="BA48">
            <v>0</v>
          </cell>
          <cell r="BB48">
            <v>5</v>
          </cell>
          <cell r="BC48">
            <v>9</v>
          </cell>
          <cell r="BD48">
            <v>32</v>
          </cell>
          <cell r="BE48">
            <v>41</v>
          </cell>
          <cell r="BF48">
            <v>21</v>
          </cell>
          <cell r="BG48">
            <v>62</v>
          </cell>
          <cell r="BH48">
            <v>0</v>
          </cell>
          <cell r="BI48">
            <v>3.5</v>
          </cell>
          <cell r="BJ48">
            <v>6</v>
          </cell>
          <cell r="BK48">
            <v>24</v>
          </cell>
          <cell r="BL48">
            <v>30</v>
          </cell>
          <cell r="BM48">
            <v>30</v>
          </cell>
          <cell r="BN48">
            <v>0</v>
          </cell>
          <cell r="BO48">
            <v>3.5</v>
          </cell>
          <cell r="BP48">
            <v>27.5</v>
          </cell>
          <cell r="BQ48">
            <v>3.9285714285714284</v>
          </cell>
          <cell r="BR48" t="str">
            <v>A-</v>
          </cell>
          <cell r="BS48" t="str">
            <v>GOOD</v>
          </cell>
          <cell r="BT48">
            <v>513</v>
          </cell>
          <cell r="BU48">
            <v>28</v>
          </cell>
          <cell r="BV48">
            <v>53</v>
          </cell>
        </row>
        <row r="49">
          <cell r="B49">
            <v>30</v>
          </cell>
          <cell r="C49" t="str">
            <v>Md Mahian Rahman Boron</v>
          </cell>
          <cell r="D49" t="str">
            <v>Md Mizanur Rahman</v>
          </cell>
          <cell r="E49" t="str">
            <v>Mst. Bali Akter</v>
          </cell>
          <cell r="F49" t="str">
            <v>01744-454130   01792-229433</v>
          </cell>
          <cell r="G49">
            <v>8</v>
          </cell>
          <cell r="H49">
            <v>6</v>
          </cell>
          <cell r="I49">
            <v>14</v>
          </cell>
          <cell r="J49">
            <v>13</v>
          </cell>
          <cell r="K49">
            <v>27</v>
          </cell>
          <cell r="L49">
            <v>2</v>
          </cell>
          <cell r="M49">
            <v>18</v>
          </cell>
          <cell r="N49">
            <v>20</v>
          </cell>
          <cell r="O49">
            <v>20</v>
          </cell>
          <cell r="P49">
            <v>47</v>
          </cell>
          <cell r="Q49">
            <v>0</v>
          </cell>
          <cell r="R49" t="str">
            <v>F</v>
          </cell>
          <cell r="S49">
            <v>0</v>
          </cell>
          <cell r="T49">
            <v>17</v>
          </cell>
          <cell r="U49">
            <v>17</v>
          </cell>
          <cell r="V49">
            <v>0</v>
          </cell>
          <cell r="W49">
            <v>21</v>
          </cell>
          <cell r="X49">
            <v>21</v>
          </cell>
          <cell r="Y49">
            <v>38</v>
          </cell>
          <cell r="Z49">
            <v>38</v>
          </cell>
          <cell r="AA49">
            <v>0</v>
          </cell>
          <cell r="AB49">
            <v>0</v>
          </cell>
          <cell r="AC49">
            <v>0</v>
          </cell>
          <cell r="AD49">
            <v>4</v>
          </cell>
          <cell r="AE49">
            <v>4</v>
          </cell>
          <cell r="AF49">
            <v>12</v>
          </cell>
          <cell r="AG49">
            <v>16</v>
          </cell>
          <cell r="AH49">
            <v>0</v>
          </cell>
          <cell r="AI49" t="str">
            <v>F</v>
          </cell>
          <cell r="AJ49">
            <v>0</v>
          </cell>
          <cell r="AK49">
            <v>21</v>
          </cell>
          <cell r="AL49">
            <v>21</v>
          </cell>
          <cell r="AM49">
            <v>10</v>
          </cell>
          <cell r="AN49">
            <v>31</v>
          </cell>
          <cell r="AO49">
            <v>0</v>
          </cell>
          <cell r="AP49" t="str">
            <v>F</v>
          </cell>
          <cell r="AQ49">
            <v>18</v>
          </cell>
          <cell r="AR49">
            <v>25</v>
          </cell>
          <cell r="AS49">
            <v>43</v>
          </cell>
          <cell r="AT49">
            <v>0</v>
          </cell>
          <cell r="AU49">
            <v>5</v>
          </cell>
          <cell r="AV49">
            <v>0</v>
          </cell>
          <cell r="AW49">
            <v>28</v>
          </cell>
          <cell r="AX49">
            <v>28</v>
          </cell>
          <cell r="AY49">
            <v>16</v>
          </cell>
          <cell r="AZ49">
            <v>44</v>
          </cell>
          <cell r="BA49">
            <v>0</v>
          </cell>
          <cell r="BB49">
            <v>2</v>
          </cell>
          <cell r="BC49">
            <v>0</v>
          </cell>
          <cell r="BD49">
            <v>28</v>
          </cell>
          <cell r="BE49">
            <v>28</v>
          </cell>
          <cell r="BF49">
            <v>12</v>
          </cell>
          <cell r="BG49">
            <v>40</v>
          </cell>
          <cell r="BH49">
            <v>0</v>
          </cell>
          <cell r="BI49">
            <v>2</v>
          </cell>
          <cell r="BJ49">
            <v>0</v>
          </cell>
          <cell r="BK49">
            <v>28</v>
          </cell>
          <cell r="BL49">
            <v>28</v>
          </cell>
          <cell r="BM49">
            <v>28</v>
          </cell>
          <cell r="BN49">
            <v>0</v>
          </cell>
          <cell r="BO49">
            <v>3</v>
          </cell>
          <cell r="BP49" t="str">
            <v>F</v>
          </cell>
          <cell r="BQ49" t="str">
            <v>F</v>
          </cell>
          <cell r="BR49" t="str">
            <v>F</v>
          </cell>
          <cell r="BS49" t="str">
            <v>NEED TO PROGRESS</v>
          </cell>
          <cell r="BT49">
            <v>259</v>
          </cell>
          <cell r="BU49">
            <v>0</v>
          </cell>
          <cell r="BV49">
            <v>54</v>
          </cell>
        </row>
        <row r="50">
          <cell r="B50">
            <v>32</v>
          </cell>
          <cell r="C50" t="str">
            <v>Abdulla</v>
          </cell>
          <cell r="D50" t="str">
            <v>Abdur Rahim</v>
          </cell>
          <cell r="E50" t="str">
            <v>Ayesha Siddika</v>
          </cell>
          <cell r="F50" t="str">
            <v>01322-690205       01328-062909</v>
          </cell>
          <cell r="G50">
            <v>19</v>
          </cell>
          <cell r="H50">
            <v>47</v>
          </cell>
          <cell r="I50">
            <v>66</v>
          </cell>
          <cell r="J50">
            <v>30</v>
          </cell>
          <cell r="K50">
            <v>96</v>
          </cell>
          <cell r="L50">
            <v>10</v>
          </cell>
          <cell r="M50">
            <v>38</v>
          </cell>
          <cell r="N50">
            <v>48</v>
          </cell>
          <cell r="O50">
            <v>48</v>
          </cell>
          <cell r="P50">
            <v>144</v>
          </cell>
          <cell r="Q50">
            <v>0</v>
          </cell>
          <cell r="R50">
            <v>5</v>
          </cell>
          <cell r="S50">
            <v>20</v>
          </cell>
          <cell r="T50">
            <v>76</v>
          </cell>
          <cell r="U50">
            <v>96</v>
          </cell>
          <cell r="V50">
            <v>10</v>
          </cell>
          <cell r="W50">
            <v>37</v>
          </cell>
          <cell r="X50">
            <v>47</v>
          </cell>
          <cell r="Y50">
            <v>143</v>
          </cell>
          <cell r="Z50">
            <v>143</v>
          </cell>
          <cell r="AA50">
            <v>0</v>
          </cell>
          <cell r="AB50">
            <v>5</v>
          </cell>
          <cell r="AC50">
            <v>20</v>
          </cell>
          <cell r="AD50">
            <v>50</v>
          </cell>
          <cell r="AE50">
            <v>70</v>
          </cell>
          <cell r="AF50">
            <v>28</v>
          </cell>
          <cell r="AG50">
            <v>98</v>
          </cell>
          <cell r="AH50">
            <v>0</v>
          </cell>
          <cell r="AI50">
            <v>5</v>
          </cell>
          <cell r="AJ50">
            <v>20</v>
          </cell>
          <cell r="AK50">
            <v>50</v>
          </cell>
          <cell r="AL50">
            <v>70</v>
          </cell>
          <cell r="AM50">
            <v>27</v>
          </cell>
          <cell r="AN50">
            <v>97</v>
          </cell>
          <cell r="AO50">
            <v>0</v>
          </cell>
          <cell r="AP50">
            <v>5</v>
          </cell>
          <cell r="AQ50">
            <v>20</v>
          </cell>
          <cell r="AR50">
            <v>25</v>
          </cell>
          <cell r="AS50">
            <v>45</v>
          </cell>
          <cell r="AT50">
            <v>0</v>
          </cell>
          <cell r="AU50">
            <v>5</v>
          </cell>
          <cell r="AV50">
            <v>20</v>
          </cell>
          <cell r="AW50">
            <v>50</v>
          </cell>
          <cell r="AX50">
            <v>70</v>
          </cell>
          <cell r="AY50">
            <v>28</v>
          </cell>
          <cell r="AZ50">
            <v>98</v>
          </cell>
          <cell r="BA50">
            <v>0</v>
          </cell>
          <cell r="BB50">
            <v>5</v>
          </cell>
          <cell r="BC50">
            <v>20</v>
          </cell>
          <cell r="BD50">
            <v>48</v>
          </cell>
          <cell r="BE50">
            <v>68</v>
          </cell>
          <cell r="BF50">
            <v>30</v>
          </cell>
          <cell r="BG50">
            <v>98</v>
          </cell>
          <cell r="BH50">
            <v>0</v>
          </cell>
          <cell r="BI50">
            <v>5</v>
          </cell>
          <cell r="BJ50">
            <v>10</v>
          </cell>
          <cell r="BK50">
            <v>32</v>
          </cell>
          <cell r="BL50">
            <v>42</v>
          </cell>
          <cell r="BM50">
            <v>42</v>
          </cell>
          <cell r="BN50">
            <v>0</v>
          </cell>
          <cell r="BO50">
            <v>5</v>
          </cell>
          <cell r="BP50">
            <v>35</v>
          </cell>
          <cell r="BQ50">
            <v>5</v>
          </cell>
          <cell r="BR50" t="str">
            <v>A+</v>
          </cell>
          <cell r="BS50" t="str">
            <v>BEST</v>
          </cell>
          <cell r="BT50">
            <v>723</v>
          </cell>
          <cell r="BU50">
            <v>2</v>
          </cell>
          <cell r="BV50">
            <v>70</v>
          </cell>
        </row>
        <row r="51">
          <cell r="B51">
            <v>34</v>
          </cell>
          <cell r="C51" t="str">
            <v xml:space="preserve">Md. Tahsin Ahmed </v>
          </cell>
          <cell r="D51" t="str">
            <v xml:space="preserve">Md Mostak Ahmed </v>
          </cell>
          <cell r="E51" t="str">
            <v xml:space="preserve">Kakoli Yasmin </v>
          </cell>
          <cell r="F51" t="str">
            <v>01712-615903                   01793-941632</v>
          </cell>
          <cell r="G51">
            <v>17</v>
          </cell>
          <cell r="H51">
            <v>44</v>
          </cell>
          <cell r="I51">
            <v>61</v>
          </cell>
          <cell r="J51">
            <v>24</v>
          </cell>
          <cell r="K51">
            <v>85</v>
          </cell>
          <cell r="L51">
            <v>9</v>
          </cell>
          <cell r="M51">
            <v>36</v>
          </cell>
          <cell r="N51">
            <v>45</v>
          </cell>
          <cell r="O51">
            <v>45</v>
          </cell>
          <cell r="P51">
            <v>130</v>
          </cell>
          <cell r="Q51">
            <v>0</v>
          </cell>
          <cell r="R51">
            <v>5</v>
          </cell>
          <cell r="S51">
            <v>12</v>
          </cell>
          <cell r="T51">
            <v>49</v>
          </cell>
          <cell r="U51">
            <v>61</v>
          </cell>
          <cell r="V51">
            <v>7</v>
          </cell>
          <cell r="W51">
            <v>24</v>
          </cell>
          <cell r="X51">
            <v>31</v>
          </cell>
          <cell r="Y51">
            <v>92</v>
          </cell>
          <cell r="Z51">
            <v>92</v>
          </cell>
          <cell r="AA51">
            <v>0</v>
          </cell>
          <cell r="AB51">
            <v>3.5</v>
          </cell>
          <cell r="AC51">
            <v>17</v>
          </cell>
          <cell r="AD51">
            <v>28</v>
          </cell>
          <cell r="AE51">
            <v>45</v>
          </cell>
          <cell r="AF51">
            <v>19</v>
          </cell>
          <cell r="AG51">
            <v>64</v>
          </cell>
          <cell r="AH51">
            <v>0</v>
          </cell>
          <cell r="AI51">
            <v>3.5</v>
          </cell>
          <cell r="AJ51">
            <v>18</v>
          </cell>
          <cell r="AK51">
            <v>40</v>
          </cell>
          <cell r="AL51">
            <v>58</v>
          </cell>
          <cell r="AM51">
            <v>16</v>
          </cell>
          <cell r="AN51">
            <v>74</v>
          </cell>
          <cell r="AO51">
            <v>0</v>
          </cell>
          <cell r="AP51">
            <v>4</v>
          </cell>
          <cell r="AQ51">
            <v>19</v>
          </cell>
          <cell r="AR51">
            <v>25</v>
          </cell>
          <cell r="AS51">
            <v>44</v>
          </cell>
          <cell r="AT51">
            <v>0</v>
          </cell>
          <cell r="AU51">
            <v>5</v>
          </cell>
          <cell r="AV51">
            <v>17</v>
          </cell>
          <cell r="AW51">
            <v>41</v>
          </cell>
          <cell r="AX51">
            <v>58</v>
          </cell>
          <cell r="AY51">
            <v>21</v>
          </cell>
          <cell r="AZ51">
            <v>79</v>
          </cell>
          <cell r="BA51">
            <v>0</v>
          </cell>
          <cell r="BB51">
            <v>4</v>
          </cell>
          <cell r="BC51">
            <v>17</v>
          </cell>
          <cell r="BD51">
            <v>44</v>
          </cell>
          <cell r="BE51">
            <v>61</v>
          </cell>
          <cell r="BF51">
            <v>21</v>
          </cell>
          <cell r="BG51">
            <v>82</v>
          </cell>
          <cell r="BH51">
            <v>0</v>
          </cell>
          <cell r="BI51">
            <v>5</v>
          </cell>
          <cell r="BJ51">
            <v>9</v>
          </cell>
          <cell r="BK51">
            <v>28</v>
          </cell>
          <cell r="BL51">
            <v>37</v>
          </cell>
          <cell r="BM51">
            <v>37</v>
          </cell>
          <cell r="BN51">
            <v>0</v>
          </cell>
          <cell r="BO51">
            <v>4</v>
          </cell>
          <cell r="BP51">
            <v>30</v>
          </cell>
          <cell r="BQ51">
            <v>4.2857142857142856</v>
          </cell>
          <cell r="BR51" t="str">
            <v>A</v>
          </cell>
          <cell r="BS51" t="str">
            <v>BETTER</v>
          </cell>
          <cell r="BT51">
            <v>565</v>
          </cell>
          <cell r="BU51">
            <v>16</v>
          </cell>
          <cell r="BV51">
            <v>65</v>
          </cell>
        </row>
        <row r="52">
          <cell r="B52">
            <v>35</v>
          </cell>
          <cell r="C52" t="str">
            <v>Syed Tousif Hassan</v>
          </cell>
          <cell r="D52" t="str">
            <v>Syed Zahid Hassan</v>
          </cell>
          <cell r="E52" t="str">
            <v>Nazma Akter</v>
          </cell>
          <cell r="F52" t="str">
            <v>01718-538286
01767-749342</v>
          </cell>
          <cell r="G52">
            <v>14</v>
          </cell>
          <cell r="H52">
            <v>36</v>
          </cell>
          <cell r="I52">
            <v>50</v>
          </cell>
          <cell r="J52">
            <v>19</v>
          </cell>
          <cell r="K52">
            <v>69</v>
          </cell>
          <cell r="L52">
            <v>8</v>
          </cell>
          <cell r="M52">
            <v>24</v>
          </cell>
          <cell r="N52">
            <v>32</v>
          </cell>
          <cell r="O52">
            <v>32</v>
          </cell>
          <cell r="P52">
            <v>101</v>
          </cell>
          <cell r="Q52">
            <v>0</v>
          </cell>
          <cell r="R52">
            <v>3.5</v>
          </cell>
          <cell r="S52">
            <v>14</v>
          </cell>
          <cell r="T52">
            <v>61</v>
          </cell>
          <cell r="U52">
            <v>75</v>
          </cell>
          <cell r="V52">
            <v>7</v>
          </cell>
          <cell r="W52">
            <v>28</v>
          </cell>
          <cell r="X52">
            <v>35</v>
          </cell>
          <cell r="Y52">
            <v>110</v>
          </cell>
          <cell r="Z52">
            <v>110</v>
          </cell>
          <cell r="AA52">
            <v>0</v>
          </cell>
          <cell r="AB52">
            <v>4</v>
          </cell>
          <cell r="AC52">
            <v>10</v>
          </cell>
          <cell r="AD52">
            <v>31</v>
          </cell>
          <cell r="AE52">
            <v>41</v>
          </cell>
          <cell r="AF52">
            <v>28</v>
          </cell>
          <cell r="AG52">
            <v>69</v>
          </cell>
          <cell r="AH52">
            <v>0</v>
          </cell>
          <cell r="AI52">
            <v>3.5</v>
          </cell>
          <cell r="AJ52">
            <v>17</v>
          </cell>
          <cell r="AK52">
            <v>38</v>
          </cell>
          <cell r="AL52">
            <v>55</v>
          </cell>
          <cell r="AM52">
            <v>16</v>
          </cell>
          <cell r="AN52">
            <v>71</v>
          </cell>
          <cell r="AO52">
            <v>0</v>
          </cell>
          <cell r="AP52">
            <v>4</v>
          </cell>
          <cell r="AQ52">
            <v>20</v>
          </cell>
          <cell r="AR52">
            <v>25</v>
          </cell>
          <cell r="AS52">
            <v>45</v>
          </cell>
          <cell r="AT52">
            <v>0</v>
          </cell>
          <cell r="AU52">
            <v>5</v>
          </cell>
          <cell r="AV52">
            <v>16</v>
          </cell>
          <cell r="AW52">
            <v>39</v>
          </cell>
          <cell r="AX52">
            <v>55</v>
          </cell>
          <cell r="AY52">
            <v>22</v>
          </cell>
          <cell r="AZ52">
            <v>77</v>
          </cell>
          <cell r="BA52">
            <v>0</v>
          </cell>
          <cell r="BB52">
            <v>4</v>
          </cell>
          <cell r="BC52">
            <v>12</v>
          </cell>
          <cell r="BD52">
            <v>42</v>
          </cell>
          <cell r="BE52">
            <v>54</v>
          </cell>
          <cell r="BF52">
            <v>22</v>
          </cell>
          <cell r="BG52">
            <v>76</v>
          </cell>
          <cell r="BH52">
            <v>0</v>
          </cell>
          <cell r="BI52">
            <v>4</v>
          </cell>
          <cell r="BJ52">
            <v>8</v>
          </cell>
          <cell r="BK52">
            <v>24</v>
          </cell>
          <cell r="BL52">
            <v>32</v>
          </cell>
          <cell r="BM52">
            <v>32</v>
          </cell>
          <cell r="BN52">
            <v>0</v>
          </cell>
          <cell r="BO52">
            <v>3.5</v>
          </cell>
          <cell r="BP52">
            <v>28</v>
          </cell>
          <cell r="BQ52">
            <v>4</v>
          </cell>
          <cell r="BR52" t="str">
            <v>A</v>
          </cell>
          <cell r="BS52" t="str">
            <v>BETTER</v>
          </cell>
          <cell r="BT52">
            <v>549</v>
          </cell>
          <cell r="BU52">
            <v>24</v>
          </cell>
          <cell r="BV52">
            <v>68</v>
          </cell>
        </row>
        <row r="53">
          <cell r="B53">
            <v>36</v>
          </cell>
          <cell r="C53" t="str">
            <v>Md. Younus</v>
          </cell>
          <cell r="D53" t="str">
            <v>Md. Bablu</v>
          </cell>
          <cell r="E53" t="str">
            <v>Taslima Begum</v>
          </cell>
          <cell r="F53" t="str">
            <v>01831-255434 01406-295807</v>
          </cell>
          <cell r="G53">
            <v>17</v>
          </cell>
          <cell r="H53">
            <v>45</v>
          </cell>
          <cell r="I53">
            <v>62</v>
          </cell>
          <cell r="J53">
            <v>30</v>
          </cell>
          <cell r="K53">
            <v>92</v>
          </cell>
          <cell r="L53">
            <v>9</v>
          </cell>
          <cell r="M53">
            <v>33</v>
          </cell>
          <cell r="N53">
            <v>42</v>
          </cell>
          <cell r="O53">
            <v>42</v>
          </cell>
          <cell r="P53">
            <v>134</v>
          </cell>
          <cell r="Q53">
            <v>0</v>
          </cell>
          <cell r="R53">
            <v>5</v>
          </cell>
          <cell r="S53">
            <v>15</v>
          </cell>
          <cell r="T53">
            <v>57</v>
          </cell>
          <cell r="U53">
            <v>72</v>
          </cell>
          <cell r="V53">
            <v>4</v>
          </cell>
          <cell r="W53">
            <v>29</v>
          </cell>
          <cell r="X53">
            <v>33</v>
          </cell>
          <cell r="Y53">
            <v>105</v>
          </cell>
          <cell r="Z53">
            <v>105</v>
          </cell>
          <cell r="AA53">
            <v>0</v>
          </cell>
          <cell r="AB53">
            <v>4</v>
          </cell>
          <cell r="AC53">
            <v>17</v>
          </cell>
          <cell r="AD53">
            <v>32</v>
          </cell>
          <cell r="AE53">
            <v>49</v>
          </cell>
          <cell r="AF53">
            <v>29</v>
          </cell>
          <cell r="AG53">
            <v>78</v>
          </cell>
          <cell r="AH53">
            <v>0</v>
          </cell>
          <cell r="AI53">
            <v>4</v>
          </cell>
          <cell r="AJ53">
            <v>18</v>
          </cell>
          <cell r="AK53">
            <v>6</v>
          </cell>
          <cell r="AL53">
            <v>24</v>
          </cell>
          <cell r="AM53">
            <v>22</v>
          </cell>
          <cell r="AN53">
            <v>46</v>
          </cell>
          <cell r="AO53">
            <v>0</v>
          </cell>
          <cell r="AP53">
            <v>2</v>
          </cell>
          <cell r="AQ53">
            <v>16</v>
          </cell>
          <cell r="AR53">
            <v>25</v>
          </cell>
          <cell r="AS53">
            <v>41</v>
          </cell>
          <cell r="AT53">
            <v>0</v>
          </cell>
          <cell r="AU53">
            <v>5</v>
          </cell>
          <cell r="AV53">
            <v>19</v>
          </cell>
          <cell r="AW53">
            <v>35</v>
          </cell>
          <cell r="AX53">
            <v>54</v>
          </cell>
          <cell r="AY53">
            <v>27</v>
          </cell>
          <cell r="AZ53">
            <v>81</v>
          </cell>
          <cell r="BA53">
            <v>0</v>
          </cell>
          <cell r="BB53">
            <v>5</v>
          </cell>
          <cell r="BC53">
            <v>19</v>
          </cell>
          <cell r="BD53">
            <v>44</v>
          </cell>
          <cell r="BE53">
            <v>63</v>
          </cell>
          <cell r="BF53">
            <v>30</v>
          </cell>
          <cell r="BG53">
            <v>93</v>
          </cell>
          <cell r="BH53">
            <v>0</v>
          </cell>
          <cell r="BI53">
            <v>5</v>
          </cell>
          <cell r="BJ53">
            <v>8</v>
          </cell>
          <cell r="BK53">
            <v>24</v>
          </cell>
          <cell r="BL53">
            <v>32</v>
          </cell>
          <cell r="BM53">
            <v>32</v>
          </cell>
          <cell r="BN53">
            <v>0</v>
          </cell>
          <cell r="BO53">
            <v>3.5</v>
          </cell>
          <cell r="BP53">
            <v>30</v>
          </cell>
          <cell r="BQ53">
            <v>4.2857142857142856</v>
          </cell>
          <cell r="BR53" t="str">
            <v>A</v>
          </cell>
          <cell r="BS53" t="str">
            <v>BETTER</v>
          </cell>
          <cell r="BT53">
            <v>578</v>
          </cell>
          <cell r="BU53">
            <v>14</v>
          </cell>
          <cell r="BV53">
            <v>69</v>
          </cell>
        </row>
        <row r="54">
          <cell r="B54">
            <v>37</v>
          </cell>
          <cell r="C54" t="str">
            <v>Sinthiya Hasan Simmi</v>
          </cell>
          <cell r="D54" t="str">
            <v>Hasan Mamun</v>
          </cell>
          <cell r="E54" t="str">
            <v>Suborna Akther</v>
          </cell>
          <cell r="F54" t="str">
            <v>01979-621626</v>
          </cell>
          <cell r="G54">
            <v>16</v>
          </cell>
          <cell r="H54">
            <v>19</v>
          </cell>
          <cell r="I54">
            <v>35</v>
          </cell>
          <cell r="J54">
            <v>21</v>
          </cell>
          <cell r="K54">
            <v>56</v>
          </cell>
          <cell r="L54">
            <v>9</v>
          </cell>
          <cell r="M54">
            <v>30</v>
          </cell>
          <cell r="N54">
            <v>39</v>
          </cell>
          <cell r="O54">
            <v>39</v>
          </cell>
          <cell r="P54">
            <v>95</v>
          </cell>
          <cell r="Q54">
            <v>0</v>
          </cell>
          <cell r="R54">
            <v>3.5</v>
          </cell>
          <cell r="S54">
            <v>15</v>
          </cell>
          <cell r="T54">
            <v>33</v>
          </cell>
          <cell r="U54">
            <v>48</v>
          </cell>
          <cell r="V54">
            <v>7</v>
          </cell>
          <cell r="W54">
            <v>21</v>
          </cell>
          <cell r="X54">
            <v>28</v>
          </cell>
          <cell r="Y54">
            <v>76</v>
          </cell>
          <cell r="Z54">
            <v>76</v>
          </cell>
          <cell r="AA54">
            <v>0</v>
          </cell>
          <cell r="AB54">
            <v>3</v>
          </cell>
          <cell r="AC54">
            <v>17</v>
          </cell>
          <cell r="AD54">
            <v>3</v>
          </cell>
          <cell r="AE54">
            <v>20</v>
          </cell>
          <cell r="AF54">
            <v>17</v>
          </cell>
          <cell r="AG54">
            <v>37</v>
          </cell>
          <cell r="AH54">
            <v>0</v>
          </cell>
          <cell r="AI54" t="str">
            <v>F</v>
          </cell>
          <cell r="AJ54">
            <v>18</v>
          </cell>
          <cell r="AK54">
            <v>46</v>
          </cell>
          <cell r="AL54">
            <v>64</v>
          </cell>
          <cell r="AM54">
            <v>12</v>
          </cell>
          <cell r="AN54">
            <v>76</v>
          </cell>
          <cell r="AO54">
            <v>0</v>
          </cell>
          <cell r="AP54">
            <v>4</v>
          </cell>
          <cell r="AQ54">
            <v>14</v>
          </cell>
          <cell r="AR54">
            <v>25</v>
          </cell>
          <cell r="AS54">
            <v>39</v>
          </cell>
          <cell r="AT54">
            <v>0</v>
          </cell>
          <cell r="AU54">
            <v>4</v>
          </cell>
          <cell r="AV54">
            <v>15</v>
          </cell>
          <cell r="AW54">
            <v>34</v>
          </cell>
          <cell r="AX54">
            <v>49</v>
          </cell>
          <cell r="AY54">
            <v>23</v>
          </cell>
          <cell r="AZ54">
            <v>72</v>
          </cell>
          <cell r="BA54">
            <v>0</v>
          </cell>
          <cell r="BB54">
            <v>4</v>
          </cell>
          <cell r="BC54">
            <v>17</v>
          </cell>
          <cell r="BD54">
            <v>22</v>
          </cell>
          <cell r="BE54">
            <v>39</v>
          </cell>
          <cell r="BF54">
            <v>25</v>
          </cell>
          <cell r="BG54">
            <v>64</v>
          </cell>
          <cell r="BH54">
            <v>0</v>
          </cell>
          <cell r="BI54">
            <v>3.5</v>
          </cell>
          <cell r="BJ54">
            <v>8</v>
          </cell>
          <cell r="BK54">
            <v>24</v>
          </cell>
          <cell r="BL54">
            <v>32</v>
          </cell>
          <cell r="BM54">
            <v>32</v>
          </cell>
          <cell r="BN54">
            <v>0</v>
          </cell>
          <cell r="BO54">
            <v>3.5</v>
          </cell>
          <cell r="BP54" t="str">
            <v>F</v>
          </cell>
          <cell r="BQ54" t="str">
            <v>F</v>
          </cell>
          <cell r="BR54" t="str">
            <v>F</v>
          </cell>
          <cell r="BS54" t="str">
            <v>NEED TO PROGRESS</v>
          </cell>
          <cell r="BT54">
            <v>459</v>
          </cell>
          <cell r="BU54">
            <v>0</v>
          </cell>
          <cell r="BV54">
            <v>64</v>
          </cell>
        </row>
        <row r="55">
          <cell r="B55">
            <v>39</v>
          </cell>
          <cell r="C55" t="str">
            <v>Rifat Miah</v>
          </cell>
          <cell r="D55" t="str">
            <v>Md. Shahinur Islam</v>
          </cell>
          <cell r="E55" t="str">
            <v>Lipi Akter</v>
          </cell>
          <cell r="F55" t="str">
            <v>01777-644298</v>
          </cell>
          <cell r="G55">
            <v>17</v>
          </cell>
          <cell r="H55">
            <v>36</v>
          </cell>
          <cell r="I55">
            <v>53</v>
          </cell>
          <cell r="J55">
            <v>26</v>
          </cell>
          <cell r="K55">
            <v>79</v>
          </cell>
          <cell r="L55">
            <v>9</v>
          </cell>
          <cell r="M55">
            <v>35</v>
          </cell>
          <cell r="N55">
            <v>44</v>
          </cell>
          <cell r="O55">
            <v>44</v>
          </cell>
          <cell r="P55">
            <v>123</v>
          </cell>
          <cell r="Q55">
            <v>0</v>
          </cell>
          <cell r="R55">
            <v>5</v>
          </cell>
          <cell r="S55">
            <v>17</v>
          </cell>
          <cell r="T55">
            <v>72</v>
          </cell>
          <cell r="U55">
            <v>89</v>
          </cell>
          <cell r="V55">
            <v>8</v>
          </cell>
          <cell r="W55">
            <v>28</v>
          </cell>
          <cell r="X55">
            <v>36</v>
          </cell>
          <cell r="Y55">
            <v>125</v>
          </cell>
          <cell r="Z55">
            <v>125</v>
          </cell>
          <cell r="AA55">
            <v>0</v>
          </cell>
          <cell r="AB55">
            <v>5</v>
          </cell>
          <cell r="AC55">
            <v>20</v>
          </cell>
          <cell r="AD55">
            <v>46</v>
          </cell>
          <cell r="AE55">
            <v>66</v>
          </cell>
          <cell r="AF55">
            <v>28</v>
          </cell>
          <cell r="AG55">
            <v>94</v>
          </cell>
          <cell r="AH55">
            <v>0</v>
          </cell>
          <cell r="AI55">
            <v>5</v>
          </cell>
          <cell r="AJ55">
            <v>17</v>
          </cell>
          <cell r="AK55">
            <v>40</v>
          </cell>
          <cell r="AL55">
            <v>57</v>
          </cell>
          <cell r="AM55">
            <v>22</v>
          </cell>
          <cell r="AN55">
            <v>79</v>
          </cell>
          <cell r="AO55">
            <v>0</v>
          </cell>
          <cell r="AP55">
            <v>4</v>
          </cell>
          <cell r="AQ55">
            <v>19</v>
          </cell>
          <cell r="AR55">
            <v>25</v>
          </cell>
          <cell r="AS55">
            <v>44</v>
          </cell>
          <cell r="AT55">
            <v>0</v>
          </cell>
          <cell r="AU55">
            <v>5</v>
          </cell>
          <cell r="AV55">
            <v>19</v>
          </cell>
          <cell r="AW55">
            <v>44</v>
          </cell>
          <cell r="AX55">
            <v>63</v>
          </cell>
          <cell r="AY55">
            <v>26</v>
          </cell>
          <cell r="AZ55">
            <v>89</v>
          </cell>
          <cell r="BA55">
            <v>0</v>
          </cell>
          <cell r="BB55">
            <v>5</v>
          </cell>
          <cell r="BC55">
            <v>15</v>
          </cell>
          <cell r="BD55">
            <v>39</v>
          </cell>
          <cell r="BE55">
            <v>54</v>
          </cell>
          <cell r="BF55">
            <v>25</v>
          </cell>
          <cell r="BG55">
            <v>79</v>
          </cell>
          <cell r="BH55">
            <v>0</v>
          </cell>
          <cell r="BI55">
            <v>4</v>
          </cell>
          <cell r="BJ55">
            <v>10</v>
          </cell>
          <cell r="BK55">
            <v>28</v>
          </cell>
          <cell r="BL55">
            <v>38</v>
          </cell>
          <cell r="BM55">
            <v>38</v>
          </cell>
          <cell r="BN55">
            <v>0</v>
          </cell>
          <cell r="BO55">
            <v>4</v>
          </cell>
          <cell r="BP55">
            <v>33</v>
          </cell>
          <cell r="BQ55">
            <v>4.7142857142857144</v>
          </cell>
          <cell r="BR55" t="str">
            <v>A</v>
          </cell>
          <cell r="BS55" t="str">
            <v>BETTER</v>
          </cell>
          <cell r="BT55">
            <v>633</v>
          </cell>
          <cell r="BU55">
            <v>9</v>
          </cell>
          <cell r="BV55">
            <v>64</v>
          </cell>
        </row>
        <row r="56">
          <cell r="B56">
            <v>41</v>
          </cell>
          <cell r="C56" t="str">
            <v xml:space="preserve">Omar Abdullah </v>
          </cell>
          <cell r="D56" t="str">
            <v>Jahangir Alam Sumon</v>
          </cell>
          <cell r="E56" t="str">
            <v xml:space="preserve">Shahanaz Alom </v>
          </cell>
          <cell r="F56" t="str">
            <v>01712-541996     01715-432674</v>
          </cell>
          <cell r="G56">
            <v>16</v>
          </cell>
          <cell r="H56">
            <v>33</v>
          </cell>
          <cell r="I56">
            <v>49</v>
          </cell>
          <cell r="J56">
            <v>26</v>
          </cell>
          <cell r="K56">
            <v>75</v>
          </cell>
          <cell r="L56">
            <v>9</v>
          </cell>
          <cell r="M56">
            <v>35</v>
          </cell>
          <cell r="N56">
            <v>44</v>
          </cell>
          <cell r="O56">
            <v>44</v>
          </cell>
          <cell r="P56">
            <v>119</v>
          </cell>
          <cell r="Q56">
            <v>0</v>
          </cell>
          <cell r="R56">
            <v>4</v>
          </cell>
          <cell r="S56">
            <v>15</v>
          </cell>
          <cell r="T56">
            <v>55</v>
          </cell>
          <cell r="U56">
            <v>70</v>
          </cell>
          <cell r="V56">
            <v>6</v>
          </cell>
          <cell r="W56">
            <v>22</v>
          </cell>
          <cell r="X56">
            <v>28</v>
          </cell>
          <cell r="Y56">
            <v>98</v>
          </cell>
          <cell r="Z56">
            <v>98</v>
          </cell>
          <cell r="AA56">
            <v>0</v>
          </cell>
          <cell r="AB56">
            <v>3.5</v>
          </cell>
          <cell r="AC56">
            <v>14</v>
          </cell>
          <cell r="AD56">
            <v>31</v>
          </cell>
          <cell r="AE56">
            <v>45</v>
          </cell>
          <cell r="AF56">
            <v>24</v>
          </cell>
          <cell r="AG56">
            <v>69</v>
          </cell>
          <cell r="AH56">
            <v>0</v>
          </cell>
          <cell r="AI56">
            <v>3.5</v>
          </cell>
          <cell r="AJ56">
            <v>18</v>
          </cell>
          <cell r="AK56">
            <v>32</v>
          </cell>
          <cell r="AL56">
            <v>50</v>
          </cell>
          <cell r="AM56">
            <v>18</v>
          </cell>
          <cell r="AN56">
            <v>68</v>
          </cell>
          <cell r="AO56">
            <v>0</v>
          </cell>
          <cell r="AP56">
            <v>3.5</v>
          </cell>
          <cell r="AQ56">
            <v>20</v>
          </cell>
          <cell r="AR56">
            <v>25</v>
          </cell>
          <cell r="AS56">
            <v>45</v>
          </cell>
          <cell r="AT56">
            <v>0</v>
          </cell>
          <cell r="AU56">
            <v>5</v>
          </cell>
          <cell r="AV56">
            <v>18</v>
          </cell>
          <cell r="AW56">
            <v>31</v>
          </cell>
          <cell r="AX56">
            <v>49</v>
          </cell>
          <cell r="AY56">
            <v>24</v>
          </cell>
          <cell r="AZ56">
            <v>73</v>
          </cell>
          <cell r="BA56">
            <v>0</v>
          </cell>
          <cell r="BB56">
            <v>4</v>
          </cell>
          <cell r="BC56">
            <v>13</v>
          </cell>
          <cell r="BD56">
            <v>34</v>
          </cell>
          <cell r="BE56">
            <v>47</v>
          </cell>
          <cell r="BF56">
            <v>27</v>
          </cell>
          <cell r="BG56">
            <v>74</v>
          </cell>
          <cell r="BH56">
            <v>0</v>
          </cell>
          <cell r="BI56">
            <v>4</v>
          </cell>
          <cell r="BJ56">
            <v>9</v>
          </cell>
          <cell r="BK56">
            <v>28</v>
          </cell>
          <cell r="BL56">
            <v>37</v>
          </cell>
          <cell r="BM56">
            <v>37</v>
          </cell>
          <cell r="BN56">
            <v>0</v>
          </cell>
          <cell r="BO56">
            <v>4</v>
          </cell>
          <cell r="BP56">
            <v>27.5</v>
          </cell>
          <cell r="BQ56">
            <v>3.9285714285714284</v>
          </cell>
          <cell r="BR56" t="str">
            <v>A-</v>
          </cell>
          <cell r="BS56" t="str">
            <v>GOOD</v>
          </cell>
          <cell r="BT56">
            <v>546</v>
          </cell>
          <cell r="BU56">
            <v>25</v>
          </cell>
          <cell r="BV56">
            <v>68</v>
          </cell>
        </row>
        <row r="57">
          <cell r="B57">
            <v>43</v>
          </cell>
          <cell r="C57" t="str">
            <v xml:space="preserve">Jidan </v>
          </cell>
          <cell r="D57" t="str">
            <v xml:space="preserve">Shahjahan </v>
          </cell>
          <cell r="E57" t="str">
            <v xml:space="preserve">Mst. Hosne Ara Akter Maya </v>
          </cell>
          <cell r="F57" t="str">
            <v>01765-554331       01775-565557</v>
          </cell>
          <cell r="G57">
            <v>17</v>
          </cell>
          <cell r="H57">
            <v>41</v>
          </cell>
          <cell r="I57">
            <v>58</v>
          </cell>
          <cell r="J57">
            <v>26</v>
          </cell>
          <cell r="K57">
            <v>84</v>
          </cell>
          <cell r="L57">
            <v>9</v>
          </cell>
          <cell r="M57">
            <v>34</v>
          </cell>
          <cell r="N57">
            <v>43</v>
          </cell>
          <cell r="O57">
            <v>43</v>
          </cell>
          <cell r="P57">
            <v>127</v>
          </cell>
          <cell r="Q57">
            <v>0</v>
          </cell>
          <cell r="R57">
            <v>5</v>
          </cell>
          <cell r="S57">
            <v>15</v>
          </cell>
          <cell r="T57">
            <v>70</v>
          </cell>
          <cell r="U57">
            <v>85</v>
          </cell>
          <cell r="V57">
            <v>8</v>
          </cell>
          <cell r="W57">
            <v>29</v>
          </cell>
          <cell r="X57">
            <v>37</v>
          </cell>
          <cell r="Y57">
            <v>122</v>
          </cell>
          <cell r="Z57">
            <v>122</v>
          </cell>
          <cell r="AA57">
            <v>0</v>
          </cell>
          <cell r="AB57">
            <v>5</v>
          </cell>
          <cell r="AC57">
            <v>20</v>
          </cell>
          <cell r="AD57">
            <v>47</v>
          </cell>
          <cell r="AE57">
            <v>67</v>
          </cell>
          <cell r="AF57">
            <v>27</v>
          </cell>
          <cell r="AG57">
            <v>94</v>
          </cell>
          <cell r="AH57">
            <v>0</v>
          </cell>
          <cell r="AI57">
            <v>5</v>
          </cell>
          <cell r="AJ57">
            <v>18</v>
          </cell>
          <cell r="AK57">
            <v>45</v>
          </cell>
          <cell r="AL57">
            <v>63</v>
          </cell>
          <cell r="AM57">
            <v>21</v>
          </cell>
          <cell r="AN57">
            <v>84</v>
          </cell>
          <cell r="AO57">
            <v>0</v>
          </cell>
          <cell r="AP57">
            <v>5</v>
          </cell>
          <cell r="AQ57">
            <v>16</v>
          </cell>
          <cell r="AR57">
            <v>25</v>
          </cell>
          <cell r="AS57">
            <v>41</v>
          </cell>
          <cell r="AT57">
            <v>0</v>
          </cell>
          <cell r="AU57">
            <v>5</v>
          </cell>
          <cell r="AV57">
            <v>15</v>
          </cell>
          <cell r="AW57">
            <v>40</v>
          </cell>
          <cell r="AX57">
            <v>55</v>
          </cell>
          <cell r="AY57">
            <v>28</v>
          </cell>
          <cell r="AZ57">
            <v>83</v>
          </cell>
          <cell r="BA57">
            <v>0</v>
          </cell>
          <cell r="BB57">
            <v>5</v>
          </cell>
          <cell r="BC57">
            <v>14</v>
          </cell>
          <cell r="BD57">
            <v>41</v>
          </cell>
          <cell r="BE57">
            <v>55</v>
          </cell>
          <cell r="BF57">
            <v>23</v>
          </cell>
          <cell r="BG57">
            <v>78</v>
          </cell>
          <cell r="BH57">
            <v>0</v>
          </cell>
          <cell r="BI57">
            <v>4</v>
          </cell>
          <cell r="BJ57">
            <v>9</v>
          </cell>
          <cell r="BK57">
            <v>28</v>
          </cell>
          <cell r="BL57">
            <v>37</v>
          </cell>
          <cell r="BM57">
            <v>37</v>
          </cell>
          <cell r="BN57">
            <v>0</v>
          </cell>
          <cell r="BO57">
            <v>4</v>
          </cell>
          <cell r="BP57">
            <v>34</v>
          </cell>
          <cell r="BQ57">
            <v>4.8571428571428568</v>
          </cell>
          <cell r="BR57" t="str">
            <v>A</v>
          </cell>
          <cell r="BS57" t="str">
            <v>BETTER</v>
          </cell>
          <cell r="BT57">
            <v>629</v>
          </cell>
          <cell r="BU57">
            <v>7</v>
          </cell>
          <cell r="BV57">
            <v>68</v>
          </cell>
        </row>
        <row r="58">
          <cell r="B58">
            <v>48</v>
          </cell>
          <cell r="C58" t="str">
            <v xml:space="preserve">Md. Arafat Hossain </v>
          </cell>
          <cell r="D58" t="str">
            <v xml:space="preserve">Md. Sha Alam Molla </v>
          </cell>
          <cell r="E58" t="str">
            <v xml:space="preserve">Mst. Argina Akter </v>
          </cell>
          <cell r="F58" t="str">
            <v>01316-132517                   01620-818123</v>
          </cell>
          <cell r="G58">
            <v>17</v>
          </cell>
          <cell r="H58">
            <v>45</v>
          </cell>
          <cell r="I58">
            <v>62</v>
          </cell>
          <cell r="J58">
            <v>27</v>
          </cell>
          <cell r="K58">
            <v>89</v>
          </cell>
          <cell r="L58">
            <v>9</v>
          </cell>
          <cell r="M58">
            <v>35</v>
          </cell>
          <cell r="N58">
            <v>44</v>
          </cell>
          <cell r="O58">
            <v>44</v>
          </cell>
          <cell r="P58">
            <v>133</v>
          </cell>
          <cell r="Q58">
            <v>0</v>
          </cell>
          <cell r="R58">
            <v>5</v>
          </cell>
          <cell r="S58">
            <v>16</v>
          </cell>
          <cell r="T58">
            <v>70</v>
          </cell>
          <cell r="U58">
            <v>86</v>
          </cell>
          <cell r="V58">
            <v>8</v>
          </cell>
          <cell r="W58">
            <v>34</v>
          </cell>
          <cell r="X58">
            <v>42</v>
          </cell>
          <cell r="Y58">
            <v>128</v>
          </cell>
          <cell r="Z58">
            <v>128</v>
          </cell>
          <cell r="AA58">
            <v>0</v>
          </cell>
          <cell r="AB58">
            <v>5</v>
          </cell>
          <cell r="AC58">
            <v>19</v>
          </cell>
          <cell r="AD58">
            <v>40</v>
          </cell>
          <cell r="AE58">
            <v>59</v>
          </cell>
          <cell r="AF58">
            <v>26</v>
          </cell>
          <cell r="AG58">
            <v>85</v>
          </cell>
          <cell r="AH58">
            <v>0</v>
          </cell>
          <cell r="AI58">
            <v>5</v>
          </cell>
          <cell r="AJ58">
            <v>18</v>
          </cell>
          <cell r="AK58">
            <v>42</v>
          </cell>
          <cell r="AL58">
            <v>60</v>
          </cell>
          <cell r="AM58">
            <v>25</v>
          </cell>
          <cell r="AN58">
            <v>85</v>
          </cell>
          <cell r="AO58">
            <v>0</v>
          </cell>
          <cell r="AP58">
            <v>5</v>
          </cell>
          <cell r="AQ58">
            <v>16</v>
          </cell>
          <cell r="AR58">
            <v>25</v>
          </cell>
          <cell r="AS58">
            <v>41</v>
          </cell>
          <cell r="AT58">
            <v>0</v>
          </cell>
          <cell r="AU58">
            <v>5</v>
          </cell>
          <cell r="AV58">
            <v>17</v>
          </cell>
          <cell r="AW58">
            <v>40</v>
          </cell>
          <cell r="AX58">
            <v>57</v>
          </cell>
          <cell r="AY58">
            <v>27</v>
          </cell>
          <cell r="AZ58">
            <v>84</v>
          </cell>
          <cell r="BA58">
            <v>0</v>
          </cell>
          <cell r="BB58">
            <v>5</v>
          </cell>
          <cell r="BC58">
            <v>16</v>
          </cell>
          <cell r="BD58">
            <v>39</v>
          </cell>
          <cell r="BE58">
            <v>55</v>
          </cell>
          <cell r="BF58">
            <v>25</v>
          </cell>
          <cell r="BG58">
            <v>80</v>
          </cell>
          <cell r="BH58">
            <v>0</v>
          </cell>
          <cell r="BI58">
            <v>5</v>
          </cell>
          <cell r="BJ58">
            <v>10</v>
          </cell>
          <cell r="BK58">
            <v>24</v>
          </cell>
          <cell r="BL58">
            <v>34</v>
          </cell>
          <cell r="BM58">
            <v>34</v>
          </cell>
          <cell r="BN58">
            <v>0</v>
          </cell>
          <cell r="BO58">
            <v>3.5</v>
          </cell>
          <cell r="BP58">
            <v>35</v>
          </cell>
          <cell r="BQ58">
            <v>5</v>
          </cell>
          <cell r="BR58" t="str">
            <v>A+</v>
          </cell>
          <cell r="BS58" t="str">
            <v>BEST</v>
          </cell>
          <cell r="BT58">
            <v>636</v>
          </cell>
          <cell r="BU58">
            <v>5</v>
          </cell>
          <cell r="BV58">
            <v>67</v>
          </cell>
        </row>
        <row r="59">
          <cell r="B59">
            <v>49</v>
          </cell>
          <cell r="C59" t="str">
            <v xml:space="preserve">Riadul Islam Fahad </v>
          </cell>
          <cell r="D59" t="str">
            <v>Abdur Rahim</v>
          </cell>
          <cell r="E59" t="str">
            <v>Seuli Begum</v>
          </cell>
          <cell r="F59" t="str">
            <v>01978-882361</v>
          </cell>
          <cell r="G59">
            <v>15</v>
          </cell>
          <cell r="H59">
            <v>32</v>
          </cell>
          <cell r="I59">
            <v>47</v>
          </cell>
          <cell r="J59">
            <v>22</v>
          </cell>
          <cell r="K59">
            <v>69</v>
          </cell>
          <cell r="L59">
            <v>9</v>
          </cell>
          <cell r="M59">
            <v>30</v>
          </cell>
          <cell r="N59">
            <v>39</v>
          </cell>
          <cell r="O59">
            <v>39</v>
          </cell>
          <cell r="P59">
            <v>108</v>
          </cell>
          <cell r="Q59">
            <v>0</v>
          </cell>
          <cell r="R59">
            <v>4</v>
          </cell>
          <cell r="S59">
            <v>15</v>
          </cell>
          <cell r="T59">
            <v>54</v>
          </cell>
          <cell r="U59">
            <v>69</v>
          </cell>
          <cell r="V59">
            <v>5</v>
          </cell>
          <cell r="W59">
            <v>15</v>
          </cell>
          <cell r="X59">
            <v>20</v>
          </cell>
          <cell r="Y59">
            <v>89</v>
          </cell>
          <cell r="Z59">
            <v>89</v>
          </cell>
          <cell r="AA59">
            <v>0</v>
          </cell>
          <cell r="AB59">
            <v>3</v>
          </cell>
          <cell r="AC59">
            <v>3</v>
          </cell>
          <cell r="AD59">
            <v>26</v>
          </cell>
          <cell r="AE59">
            <v>29</v>
          </cell>
          <cell r="AF59">
            <v>18</v>
          </cell>
          <cell r="AG59">
            <v>47</v>
          </cell>
          <cell r="AH59">
            <v>0</v>
          </cell>
          <cell r="AI59">
            <v>2</v>
          </cell>
          <cell r="AJ59">
            <v>16</v>
          </cell>
          <cell r="AK59">
            <v>29</v>
          </cell>
          <cell r="AL59">
            <v>45</v>
          </cell>
          <cell r="AM59">
            <v>17</v>
          </cell>
          <cell r="AN59">
            <v>62</v>
          </cell>
          <cell r="AO59">
            <v>0</v>
          </cell>
          <cell r="AP59">
            <v>3.5</v>
          </cell>
          <cell r="AQ59">
            <v>19</v>
          </cell>
          <cell r="AR59">
            <v>25</v>
          </cell>
          <cell r="AS59">
            <v>44</v>
          </cell>
          <cell r="AT59">
            <v>0</v>
          </cell>
          <cell r="AU59">
            <v>5</v>
          </cell>
          <cell r="AV59">
            <v>14</v>
          </cell>
          <cell r="AW59">
            <v>35</v>
          </cell>
          <cell r="AX59">
            <v>49</v>
          </cell>
          <cell r="AY59">
            <v>24</v>
          </cell>
          <cell r="AZ59">
            <v>73</v>
          </cell>
          <cell r="BA59">
            <v>0</v>
          </cell>
          <cell r="BB59">
            <v>4</v>
          </cell>
          <cell r="BC59">
            <v>13</v>
          </cell>
          <cell r="BD59">
            <v>39</v>
          </cell>
          <cell r="BE59">
            <v>52</v>
          </cell>
          <cell r="BF59">
            <v>26</v>
          </cell>
          <cell r="BG59">
            <v>78</v>
          </cell>
          <cell r="BH59">
            <v>0</v>
          </cell>
          <cell r="BI59">
            <v>4</v>
          </cell>
          <cell r="BJ59">
            <v>8</v>
          </cell>
          <cell r="BK59">
            <v>24</v>
          </cell>
          <cell r="BL59">
            <v>32</v>
          </cell>
          <cell r="BM59">
            <v>32</v>
          </cell>
          <cell r="BN59">
            <v>0</v>
          </cell>
          <cell r="BO59">
            <v>3.5</v>
          </cell>
          <cell r="BP59">
            <v>25.5</v>
          </cell>
          <cell r="BQ59">
            <v>3.6428571428571428</v>
          </cell>
          <cell r="BR59" t="str">
            <v>A-</v>
          </cell>
          <cell r="BS59" t="str">
            <v>GOOD</v>
          </cell>
          <cell r="BT59">
            <v>501</v>
          </cell>
          <cell r="BU59">
            <v>33</v>
          </cell>
          <cell r="BV59">
            <v>65</v>
          </cell>
        </row>
        <row r="60">
          <cell r="B60">
            <v>51</v>
          </cell>
          <cell r="C60" t="str">
            <v xml:space="preserve">Sadia Akter </v>
          </cell>
          <cell r="D60" t="str">
            <v xml:space="preserve">Md. Akkas Mia </v>
          </cell>
          <cell r="E60" t="str">
            <v xml:space="preserve">Rubi Akter </v>
          </cell>
          <cell r="F60" t="str">
            <v>01886-664730                                    01746-664249</v>
          </cell>
          <cell r="G60">
            <v>11</v>
          </cell>
          <cell r="H60">
            <v>12</v>
          </cell>
          <cell r="I60">
            <v>23</v>
          </cell>
          <cell r="J60">
            <v>24</v>
          </cell>
          <cell r="K60">
            <v>47</v>
          </cell>
          <cell r="L60">
            <v>9</v>
          </cell>
          <cell r="M60">
            <v>28</v>
          </cell>
          <cell r="N60">
            <v>37</v>
          </cell>
          <cell r="O60">
            <v>37</v>
          </cell>
          <cell r="P60">
            <v>84</v>
          </cell>
          <cell r="Q60">
            <v>0</v>
          </cell>
          <cell r="R60">
            <v>3</v>
          </cell>
          <cell r="S60">
            <v>15</v>
          </cell>
          <cell r="T60">
            <v>57</v>
          </cell>
          <cell r="U60">
            <v>72</v>
          </cell>
          <cell r="V60">
            <v>5</v>
          </cell>
          <cell r="W60">
            <v>28</v>
          </cell>
          <cell r="X60">
            <v>33</v>
          </cell>
          <cell r="Y60">
            <v>105</v>
          </cell>
          <cell r="Z60">
            <v>105</v>
          </cell>
          <cell r="AA60">
            <v>0</v>
          </cell>
          <cell r="AB60">
            <v>4</v>
          </cell>
          <cell r="AC60">
            <v>14</v>
          </cell>
          <cell r="AD60">
            <v>19</v>
          </cell>
          <cell r="AE60">
            <v>33</v>
          </cell>
          <cell r="AF60">
            <v>27</v>
          </cell>
          <cell r="AG60">
            <v>60</v>
          </cell>
          <cell r="AH60">
            <v>0</v>
          </cell>
          <cell r="AI60">
            <v>3.5</v>
          </cell>
          <cell r="AJ60">
            <v>13</v>
          </cell>
          <cell r="AK60">
            <v>19</v>
          </cell>
          <cell r="AL60">
            <v>32</v>
          </cell>
          <cell r="AM60">
            <v>11</v>
          </cell>
          <cell r="AN60">
            <v>43</v>
          </cell>
          <cell r="AO60">
            <v>0</v>
          </cell>
          <cell r="AP60">
            <v>2</v>
          </cell>
          <cell r="AQ60">
            <v>14</v>
          </cell>
          <cell r="AR60">
            <v>25</v>
          </cell>
          <cell r="AS60">
            <v>39</v>
          </cell>
          <cell r="AT60">
            <v>0</v>
          </cell>
          <cell r="AU60">
            <v>4</v>
          </cell>
          <cell r="AV60">
            <v>13</v>
          </cell>
          <cell r="AW60">
            <v>20</v>
          </cell>
          <cell r="AX60">
            <v>33</v>
          </cell>
          <cell r="AY60">
            <v>22</v>
          </cell>
          <cell r="AZ60">
            <v>55</v>
          </cell>
          <cell r="BA60">
            <v>0</v>
          </cell>
          <cell r="BB60">
            <v>3</v>
          </cell>
          <cell r="BC60">
            <v>10</v>
          </cell>
          <cell r="BD60">
            <v>21</v>
          </cell>
          <cell r="BE60">
            <v>31</v>
          </cell>
          <cell r="BF60">
            <v>27</v>
          </cell>
          <cell r="BG60">
            <v>58</v>
          </cell>
          <cell r="BH60">
            <v>0</v>
          </cell>
          <cell r="BI60">
            <v>3</v>
          </cell>
          <cell r="BJ60">
            <v>8</v>
          </cell>
          <cell r="BK60">
            <v>24</v>
          </cell>
          <cell r="BL60">
            <v>32</v>
          </cell>
          <cell r="BM60">
            <v>32</v>
          </cell>
          <cell r="BN60">
            <v>0</v>
          </cell>
          <cell r="BO60">
            <v>3.5</v>
          </cell>
          <cell r="BP60">
            <v>22.5</v>
          </cell>
          <cell r="BQ60">
            <v>3.2142857142857144</v>
          </cell>
          <cell r="BR60" t="str">
            <v>B</v>
          </cell>
          <cell r="BS60" t="str">
            <v>GOOD</v>
          </cell>
          <cell r="BT60">
            <v>444</v>
          </cell>
          <cell r="BU60">
            <v>41</v>
          </cell>
          <cell r="BV60">
            <v>62</v>
          </cell>
        </row>
        <row r="61">
          <cell r="B61">
            <v>52</v>
          </cell>
          <cell r="C61" t="str">
            <v xml:space="preserve">Md. Tahamidur Rahman Sifat </v>
          </cell>
          <cell r="D61" t="str">
            <v xml:space="preserve">Md. Kamruzzaman </v>
          </cell>
          <cell r="E61" t="str">
            <v xml:space="preserve">Farzana Akter Mily </v>
          </cell>
          <cell r="F61" t="str">
            <v>01915-241514</v>
          </cell>
          <cell r="G61">
            <v>13</v>
          </cell>
          <cell r="H61">
            <v>20</v>
          </cell>
          <cell r="I61">
            <v>33</v>
          </cell>
          <cell r="J61">
            <v>19</v>
          </cell>
          <cell r="K61">
            <v>52</v>
          </cell>
          <cell r="L61">
            <v>8</v>
          </cell>
          <cell r="M61">
            <v>34</v>
          </cell>
          <cell r="N61">
            <v>42</v>
          </cell>
          <cell r="O61">
            <v>42</v>
          </cell>
          <cell r="P61">
            <v>94</v>
          </cell>
          <cell r="Q61">
            <v>0</v>
          </cell>
          <cell r="R61">
            <v>3</v>
          </cell>
          <cell r="S61">
            <v>10</v>
          </cell>
          <cell r="T61">
            <v>32</v>
          </cell>
          <cell r="U61">
            <v>42</v>
          </cell>
          <cell r="V61">
            <v>1</v>
          </cell>
          <cell r="W61">
            <v>11</v>
          </cell>
          <cell r="X61">
            <v>12</v>
          </cell>
          <cell r="Y61">
            <v>54</v>
          </cell>
          <cell r="Z61">
            <v>54</v>
          </cell>
          <cell r="AA61">
            <v>0</v>
          </cell>
          <cell r="AB61" t="str">
            <v>F</v>
          </cell>
          <cell r="AC61">
            <v>2</v>
          </cell>
          <cell r="AD61">
            <v>21</v>
          </cell>
          <cell r="AE61">
            <v>23</v>
          </cell>
          <cell r="AF61">
            <v>17</v>
          </cell>
          <cell r="AG61">
            <v>40</v>
          </cell>
          <cell r="AH61">
            <v>0</v>
          </cell>
          <cell r="AI61">
            <v>2</v>
          </cell>
          <cell r="AJ61">
            <v>10</v>
          </cell>
          <cell r="AK61">
            <v>34</v>
          </cell>
          <cell r="AL61">
            <v>44</v>
          </cell>
          <cell r="AM61">
            <v>14</v>
          </cell>
          <cell r="AN61">
            <v>58</v>
          </cell>
          <cell r="AO61">
            <v>0</v>
          </cell>
          <cell r="AP61">
            <v>3</v>
          </cell>
          <cell r="AQ61">
            <v>19</v>
          </cell>
          <cell r="AR61">
            <v>25</v>
          </cell>
          <cell r="AS61">
            <v>44</v>
          </cell>
          <cell r="AT61">
            <v>0</v>
          </cell>
          <cell r="AU61">
            <v>5</v>
          </cell>
          <cell r="AV61">
            <v>8</v>
          </cell>
          <cell r="AW61">
            <v>20</v>
          </cell>
          <cell r="AX61">
            <v>28</v>
          </cell>
          <cell r="AY61">
            <v>23</v>
          </cell>
          <cell r="AZ61">
            <v>51</v>
          </cell>
          <cell r="BA61">
            <v>0</v>
          </cell>
          <cell r="BB61">
            <v>3</v>
          </cell>
          <cell r="BC61">
            <v>9</v>
          </cell>
          <cell r="BD61">
            <v>25</v>
          </cell>
          <cell r="BE61">
            <v>34</v>
          </cell>
          <cell r="BF61">
            <v>20</v>
          </cell>
          <cell r="BG61">
            <v>54</v>
          </cell>
          <cell r="BH61">
            <v>0</v>
          </cell>
          <cell r="BI61">
            <v>3</v>
          </cell>
          <cell r="BJ61">
            <v>8</v>
          </cell>
          <cell r="BK61">
            <v>24</v>
          </cell>
          <cell r="BL61">
            <v>32</v>
          </cell>
          <cell r="BM61">
            <v>32</v>
          </cell>
          <cell r="BN61">
            <v>0</v>
          </cell>
          <cell r="BO61">
            <v>3.5</v>
          </cell>
          <cell r="BP61" t="str">
            <v>F</v>
          </cell>
          <cell r="BQ61" t="str">
            <v>F</v>
          </cell>
          <cell r="BR61" t="str">
            <v>F</v>
          </cell>
          <cell r="BS61" t="str">
            <v>NEED TO PROGRESS</v>
          </cell>
          <cell r="BT61">
            <v>395</v>
          </cell>
          <cell r="BU61">
            <v>0</v>
          </cell>
          <cell r="BV61">
            <v>55</v>
          </cell>
        </row>
        <row r="62">
          <cell r="B62">
            <v>53</v>
          </cell>
          <cell r="C62" t="str">
            <v xml:space="preserve">Arman </v>
          </cell>
          <cell r="D62" t="str">
            <v xml:space="preserve">Anowar </v>
          </cell>
          <cell r="E62" t="str">
            <v xml:space="preserve">Monalisa </v>
          </cell>
          <cell r="F62" t="str">
            <v>01792-847521     01936-868932</v>
          </cell>
          <cell r="G62">
            <v>12</v>
          </cell>
          <cell r="H62">
            <v>6</v>
          </cell>
          <cell r="I62">
            <v>18</v>
          </cell>
          <cell r="J62">
            <v>22</v>
          </cell>
          <cell r="K62">
            <v>40</v>
          </cell>
          <cell r="L62">
            <v>8</v>
          </cell>
          <cell r="M62">
            <v>26</v>
          </cell>
          <cell r="N62">
            <v>34</v>
          </cell>
          <cell r="O62">
            <v>34</v>
          </cell>
          <cell r="P62">
            <v>74</v>
          </cell>
          <cell r="Q62">
            <v>0</v>
          </cell>
          <cell r="R62">
            <v>3</v>
          </cell>
          <cell r="S62">
            <v>11</v>
          </cell>
          <cell r="T62">
            <v>36</v>
          </cell>
          <cell r="U62">
            <v>47</v>
          </cell>
          <cell r="V62">
            <v>6</v>
          </cell>
          <cell r="W62">
            <v>19</v>
          </cell>
          <cell r="X62">
            <v>25</v>
          </cell>
          <cell r="Y62">
            <v>72</v>
          </cell>
          <cell r="Z62">
            <v>72</v>
          </cell>
          <cell r="AA62">
            <v>0</v>
          </cell>
          <cell r="AB62">
            <v>2</v>
          </cell>
          <cell r="AC62">
            <v>17</v>
          </cell>
          <cell r="AD62">
            <v>14</v>
          </cell>
          <cell r="AE62">
            <v>31</v>
          </cell>
          <cell r="AF62">
            <v>17</v>
          </cell>
          <cell r="AG62">
            <v>48</v>
          </cell>
          <cell r="AH62">
            <v>0</v>
          </cell>
          <cell r="AI62">
            <v>2</v>
          </cell>
          <cell r="AJ62">
            <v>13</v>
          </cell>
          <cell r="AK62">
            <v>10</v>
          </cell>
          <cell r="AL62">
            <v>23</v>
          </cell>
          <cell r="AM62">
            <v>11</v>
          </cell>
          <cell r="AN62">
            <v>34</v>
          </cell>
          <cell r="AO62">
            <v>0</v>
          </cell>
          <cell r="AP62" t="str">
            <v>F</v>
          </cell>
          <cell r="AQ62">
            <v>15</v>
          </cell>
          <cell r="AR62">
            <v>25</v>
          </cell>
          <cell r="AS62">
            <v>40</v>
          </cell>
          <cell r="AT62">
            <v>0</v>
          </cell>
          <cell r="AU62">
            <v>5</v>
          </cell>
          <cell r="AV62">
            <v>15</v>
          </cell>
          <cell r="AW62">
            <v>16</v>
          </cell>
          <cell r="AX62">
            <v>31</v>
          </cell>
          <cell r="AY62">
            <v>24</v>
          </cell>
          <cell r="AZ62">
            <v>55</v>
          </cell>
          <cell r="BA62">
            <v>0</v>
          </cell>
          <cell r="BB62">
            <v>3</v>
          </cell>
          <cell r="BC62">
            <v>8</v>
          </cell>
          <cell r="BD62">
            <v>9</v>
          </cell>
          <cell r="BE62">
            <v>17</v>
          </cell>
          <cell r="BF62">
            <v>29</v>
          </cell>
          <cell r="BG62">
            <v>46</v>
          </cell>
          <cell r="BH62">
            <v>0</v>
          </cell>
          <cell r="BI62">
            <v>2</v>
          </cell>
          <cell r="BJ62">
            <v>8</v>
          </cell>
          <cell r="BK62">
            <v>24</v>
          </cell>
          <cell r="BL62">
            <v>32</v>
          </cell>
          <cell r="BM62">
            <v>32</v>
          </cell>
          <cell r="BN62">
            <v>0</v>
          </cell>
          <cell r="BO62">
            <v>3.5</v>
          </cell>
          <cell r="BP62" t="str">
            <v>F</v>
          </cell>
          <cell r="BQ62" t="str">
            <v>F</v>
          </cell>
          <cell r="BR62" t="str">
            <v>F</v>
          </cell>
          <cell r="BS62" t="str">
            <v>NEED TO PROGRESS</v>
          </cell>
          <cell r="BT62">
            <v>369</v>
          </cell>
          <cell r="BU62">
            <v>0</v>
          </cell>
          <cell r="BV62">
            <v>56</v>
          </cell>
        </row>
        <row r="63">
          <cell r="B63">
            <v>54</v>
          </cell>
          <cell r="C63" t="str">
            <v xml:space="preserve">Md. Siyam Rahman Sifat </v>
          </cell>
          <cell r="D63" t="str">
            <v>Abdul Ohab</v>
          </cell>
          <cell r="E63" t="str">
            <v xml:space="preserve">Some Begum </v>
          </cell>
          <cell r="F63" t="str">
            <v>01763-265050                      01792-115929</v>
          </cell>
          <cell r="G63">
            <v>15</v>
          </cell>
          <cell r="H63">
            <v>35</v>
          </cell>
          <cell r="I63">
            <v>50</v>
          </cell>
          <cell r="J63">
            <v>21</v>
          </cell>
          <cell r="K63">
            <v>71</v>
          </cell>
          <cell r="L63">
            <v>9</v>
          </cell>
          <cell r="M63">
            <v>23</v>
          </cell>
          <cell r="N63">
            <v>32</v>
          </cell>
          <cell r="O63">
            <v>32</v>
          </cell>
          <cell r="P63">
            <v>103</v>
          </cell>
          <cell r="Q63">
            <v>0</v>
          </cell>
          <cell r="R63">
            <v>3.5</v>
          </cell>
          <cell r="S63">
            <v>11</v>
          </cell>
          <cell r="T63">
            <v>40</v>
          </cell>
          <cell r="U63">
            <v>51</v>
          </cell>
          <cell r="V63">
            <v>5</v>
          </cell>
          <cell r="W63">
            <v>17</v>
          </cell>
          <cell r="X63">
            <v>22</v>
          </cell>
          <cell r="Y63">
            <v>73</v>
          </cell>
          <cell r="Z63">
            <v>73</v>
          </cell>
          <cell r="AA63">
            <v>0</v>
          </cell>
          <cell r="AB63">
            <v>2</v>
          </cell>
          <cell r="AC63">
            <v>13</v>
          </cell>
          <cell r="AD63">
            <v>28</v>
          </cell>
          <cell r="AE63">
            <v>41</v>
          </cell>
          <cell r="AF63">
            <v>23</v>
          </cell>
          <cell r="AG63">
            <v>64</v>
          </cell>
          <cell r="AH63">
            <v>0</v>
          </cell>
          <cell r="AI63">
            <v>3.5</v>
          </cell>
          <cell r="AJ63">
            <v>15</v>
          </cell>
          <cell r="AK63">
            <v>27</v>
          </cell>
          <cell r="AL63">
            <v>42</v>
          </cell>
          <cell r="AM63">
            <v>16</v>
          </cell>
          <cell r="AN63">
            <v>58</v>
          </cell>
          <cell r="AO63">
            <v>0</v>
          </cell>
          <cell r="AP63">
            <v>3</v>
          </cell>
          <cell r="AQ63">
            <v>14</v>
          </cell>
          <cell r="AR63">
            <v>25</v>
          </cell>
          <cell r="AS63">
            <v>39</v>
          </cell>
          <cell r="AT63">
            <v>0</v>
          </cell>
          <cell r="AU63">
            <v>4</v>
          </cell>
          <cell r="AV63">
            <v>12</v>
          </cell>
          <cell r="AW63">
            <v>21</v>
          </cell>
          <cell r="AX63">
            <v>33</v>
          </cell>
          <cell r="AY63">
            <v>18</v>
          </cell>
          <cell r="AZ63">
            <v>51</v>
          </cell>
          <cell r="BA63">
            <v>0</v>
          </cell>
          <cell r="BB63">
            <v>3</v>
          </cell>
          <cell r="BC63">
            <v>8</v>
          </cell>
          <cell r="BD63">
            <v>31</v>
          </cell>
          <cell r="BE63">
            <v>39</v>
          </cell>
          <cell r="BF63">
            <v>15</v>
          </cell>
          <cell r="BG63">
            <v>54</v>
          </cell>
          <cell r="BH63">
            <v>0</v>
          </cell>
          <cell r="BI63">
            <v>3</v>
          </cell>
          <cell r="BJ63">
            <v>8</v>
          </cell>
          <cell r="BK63">
            <v>24</v>
          </cell>
          <cell r="BL63">
            <v>32</v>
          </cell>
          <cell r="BM63">
            <v>32</v>
          </cell>
          <cell r="BN63">
            <v>0</v>
          </cell>
          <cell r="BO63">
            <v>3.5</v>
          </cell>
          <cell r="BP63">
            <v>22</v>
          </cell>
          <cell r="BQ63">
            <v>3.1428571428571428</v>
          </cell>
          <cell r="BR63" t="str">
            <v>B</v>
          </cell>
          <cell r="BS63" t="str">
            <v>GOOD</v>
          </cell>
          <cell r="BT63">
            <v>442</v>
          </cell>
          <cell r="BU63">
            <v>45</v>
          </cell>
          <cell r="BV63">
            <v>58</v>
          </cell>
        </row>
        <row r="64">
          <cell r="B64">
            <v>55</v>
          </cell>
          <cell r="C64" t="str">
            <v>Sinthia Islam Brishty</v>
          </cell>
          <cell r="D64" t="str">
            <v>Bahadur Kha</v>
          </cell>
          <cell r="E64" t="str">
            <v xml:space="preserve">Asma Akter </v>
          </cell>
          <cell r="F64" t="str">
            <v>01316-007819 01608-035270</v>
          </cell>
          <cell r="G64">
            <v>14</v>
          </cell>
          <cell r="H64">
            <v>17</v>
          </cell>
          <cell r="I64">
            <v>31</v>
          </cell>
          <cell r="J64">
            <v>26</v>
          </cell>
          <cell r="K64">
            <v>57</v>
          </cell>
          <cell r="L64">
            <v>9</v>
          </cell>
          <cell r="M64">
            <v>17</v>
          </cell>
          <cell r="N64">
            <v>26</v>
          </cell>
          <cell r="O64">
            <v>26</v>
          </cell>
          <cell r="P64">
            <v>83</v>
          </cell>
          <cell r="Q64">
            <v>0</v>
          </cell>
          <cell r="R64">
            <v>3</v>
          </cell>
          <cell r="S64">
            <v>10</v>
          </cell>
          <cell r="T64">
            <v>32</v>
          </cell>
          <cell r="U64">
            <v>42</v>
          </cell>
          <cell r="V64">
            <v>4</v>
          </cell>
          <cell r="W64">
            <v>16</v>
          </cell>
          <cell r="X64">
            <v>20</v>
          </cell>
          <cell r="Y64">
            <v>62</v>
          </cell>
          <cell r="Z64">
            <v>62</v>
          </cell>
          <cell r="AA64">
            <v>0</v>
          </cell>
          <cell r="AB64">
            <v>2</v>
          </cell>
          <cell r="AC64">
            <v>17</v>
          </cell>
          <cell r="AD64">
            <v>23</v>
          </cell>
          <cell r="AE64">
            <v>40</v>
          </cell>
          <cell r="AF64">
            <v>23</v>
          </cell>
          <cell r="AG64">
            <v>63</v>
          </cell>
          <cell r="AH64">
            <v>0</v>
          </cell>
          <cell r="AI64">
            <v>3.5</v>
          </cell>
          <cell r="AJ64">
            <v>11</v>
          </cell>
          <cell r="AK64">
            <v>19</v>
          </cell>
          <cell r="AL64">
            <v>30</v>
          </cell>
          <cell r="AM64">
            <v>14</v>
          </cell>
          <cell r="AN64">
            <v>44</v>
          </cell>
          <cell r="AO64">
            <v>0</v>
          </cell>
          <cell r="AP64">
            <v>2</v>
          </cell>
          <cell r="AQ64">
            <v>17</v>
          </cell>
          <cell r="AR64">
            <v>25</v>
          </cell>
          <cell r="AS64">
            <v>42</v>
          </cell>
          <cell r="AT64">
            <v>0</v>
          </cell>
          <cell r="AU64">
            <v>5</v>
          </cell>
          <cell r="AV64">
            <v>16</v>
          </cell>
          <cell r="AW64">
            <v>23</v>
          </cell>
          <cell r="AX64">
            <v>39</v>
          </cell>
          <cell r="AY64">
            <v>25</v>
          </cell>
          <cell r="AZ64">
            <v>64</v>
          </cell>
          <cell r="BA64">
            <v>0</v>
          </cell>
          <cell r="BB64">
            <v>3.5</v>
          </cell>
          <cell r="BC64">
            <v>12</v>
          </cell>
          <cell r="BD64">
            <v>22</v>
          </cell>
          <cell r="BE64">
            <v>34</v>
          </cell>
          <cell r="BF64">
            <v>25</v>
          </cell>
          <cell r="BG64">
            <v>59</v>
          </cell>
          <cell r="BH64">
            <v>0</v>
          </cell>
          <cell r="BI64">
            <v>3</v>
          </cell>
          <cell r="BJ64">
            <v>7</v>
          </cell>
          <cell r="BK64">
            <v>28</v>
          </cell>
          <cell r="BL64">
            <v>35</v>
          </cell>
          <cell r="BM64">
            <v>35</v>
          </cell>
          <cell r="BN64">
            <v>0</v>
          </cell>
          <cell r="BO64">
            <v>4</v>
          </cell>
          <cell r="BP64">
            <v>22</v>
          </cell>
          <cell r="BQ64">
            <v>3.1428571428571428</v>
          </cell>
          <cell r="BR64" t="str">
            <v>B</v>
          </cell>
          <cell r="BS64" t="str">
            <v>GOOD</v>
          </cell>
          <cell r="BT64">
            <v>417</v>
          </cell>
          <cell r="BU64">
            <v>46</v>
          </cell>
          <cell r="BV64">
            <v>57</v>
          </cell>
        </row>
        <row r="65">
          <cell r="B65">
            <v>62</v>
          </cell>
          <cell r="C65" t="str">
            <v xml:space="preserve">Mahati Mohammad Minhaz </v>
          </cell>
          <cell r="D65" t="str">
            <v xml:space="preserve">Md. Oliar Rahman </v>
          </cell>
          <cell r="E65" t="str">
            <v xml:space="preserve">Mst. Nasrin Naher </v>
          </cell>
          <cell r="F65" t="str">
            <v>01722-197674                                      01311-799761</v>
          </cell>
          <cell r="G65">
            <v>16</v>
          </cell>
          <cell r="H65">
            <v>33</v>
          </cell>
          <cell r="I65">
            <v>49</v>
          </cell>
          <cell r="J65">
            <v>29</v>
          </cell>
          <cell r="K65">
            <v>78</v>
          </cell>
          <cell r="L65">
            <v>9</v>
          </cell>
          <cell r="M65">
            <v>32</v>
          </cell>
          <cell r="N65">
            <v>41</v>
          </cell>
          <cell r="O65">
            <v>41</v>
          </cell>
          <cell r="P65">
            <v>119</v>
          </cell>
          <cell r="Q65">
            <v>0</v>
          </cell>
          <cell r="R65">
            <v>4</v>
          </cell>
          <cell r="S65">
            <v>13</v>
          </cell>
          <cell r="T65">
            <v>54</v>
          </cell>
          <cell r="U65">
            <v>67</v>
          </cell>
          <cell r="V65">
            <v>6</v>
          </cell>
          <cell r="W65">
            <v>26</v>
          </cell>
          <cell r="X65">
            <v>32</v>
          </cell>
          <cell r="Y65">
            <v>99</v>
          </cell>
          <cell r="Z65">
            <v>99</v>
          </cell>
          <cell r="AA65">
            <v>0</v>
          </cell>
          <cell r="AB65">
            <v>3.5</v>
          </cell>
          <cell r="AC65">
            <v>13</v>
          </cell>
          <cell r="AD65">
            <v>35</v>
          </cell>
          <cell r="AE65">
            <v>48</v>
          </cell>
          <cell r="AF65">
            <v>26</v>
          </cell>
          <cell r="AG65">
            <v>74</v>
          </cell>
          <cell r="AH65">
            <v>0</v>
          </cell>
          <cell r="AI65">
            <v>4</v>
          </cell>
          <cell r="AJ65">
            <v>15</v>
          </cell>
          <cell r="AK65">
            <v>34</v>
          </cell>
          <cell r="AL65">
            <v>49</v>
          </cell>
          <cell r="AM65">
            <v>14</v>
          </cell>
          <cell r="AN65">
            <v>63</v>
          </cell>
          <cell r="AO65">
            <v>0</v>
          </cell>
          <cell r="AP65">
            <v>3.5</v>
          </cell>
          <cell r="AQ65">
            <v>18</v>
          </cell>
          <cell r="AR65">
            <v>25</v>
          </cell>
          <cell r="AS65">
            <v>43</v>
          </cell>
          <cell r="AT65">
            <v>0</v>
          </cell>
          <cell r="AU65">
            <v>5</v>
          </cell>
          <cell r="AV65">
            <v>15</v>
          </cell>
          <cell r="AW65">
            <v>27</v>
          </cell>
          <cell r="AX65">
            <v>42</v>
          </cell>
          <cell r="AY65">
            <v>24</v>
          </cell>
          <cell r="AZ65">
            <v>66</v>
          </cell>
          <cell r="BA65">
            <v>0</v>
          </cell>
          <cell r="BB65">
            <v>3.5</v>
          </cell>
          <cell r="BC65">
            <v>15</v>
          </cell>
          <cell r="BD65">
            <v>29</v>
          </cell>
          <cell r="BE65">
            <v>44</v>
          </cell>
          <cell r="BF65">
            <v>30</v>
          </cell>
          <cell r="BG65">
            <v>74</v>
          </cell>
          <cell r="BH65">
            <v>0</v>
          </cell>
          <cell r="BI65">
            <v>4</v>
          </cell>
          <cell r="BJ65">
            <v>7</v>
          </cell>
          <cell r="BK65">
            <v>24</v>
          </cell>
          <cell r="BL65">
            <v>31</v>
          </cell>
          <cell r="BM65">
            <v>31</v>
          </cell>
          <cell r="BN65">
            <v>0</v>
          </cell>
          <cell r="BO65">
            <v>3.5</v>
          </cell>
          <cell r="BP65">
            <v>27.5</v>
          </cell>
          <cell r="BQ65">
            <v>3.9285714285714284</v>
          </cell>
          <cell r="BR65" t="str">
            <v>A-</v>
          </cell>
          <cell r="BS65" t="str">
            <v>GOOD</v>
          </cell>
          <cell r="BT65">
            <v>538</v>
          </cell>
          <cell r="BU65">
            <v>26</v>
          </cell>
          <cell r="BV65">
            <v>64</v>
          </cell>
        </row>
        <row r="66">
          <cell r="B66">
            <v>64</v>
          </cell>
          <cell r="C66" t="str">
            <v xml:space="preserve">Md Tanbin Ahammad </v>
          </cell>
          <cell r="D66" t="str">
            <v xml:space="preserve">Md. Abdul Mottalib </v>
          </cell>
          <cell r="E66" t="str">
            <v xml:space="preserve">Merina </v>
          </cell>
          <cell r="F66" t="str">
            <v>01705-780809                        01568-120003</v>
          </cell>
          <cell r="G66">
            <v>16</v>
          </cell>
          <cell r="H66">
            <v>45</v>
          </cell>
          <cell r="I66">
            <v>61</v>
          </cell>
          <cell r="J66">
            <v>25</v>
          </cell>
          <cell r="K66">
            <v>86</v>
          </cell>
          <cell r="L66">
            <v>9</v>
          </cell>
          <cell r="M66">
            <v>34</v>
          </cell>
          <cell r="N66">
            <v>43</v>
          </cell>
          <cell r="O66">
            <v>43</v>
          </cell>
          <cell r="P66">
            <v>129</v>
          </cell>
          <cell r="Q66">
            <v>0</v>
          </cell>
          <cell r="R66">
            <v>5</v>
          </cell>
          <cell r="S66">
            <v>17</v>
          </cell>
          <cell r="T66">
            <v>61</v>
          </cell>
          <cell r="U66">
            <v>78</v>
          </cell>
          <cell r="V66">
            <v>10</v>
          </cell>
          <cell r="W66">
            <v>28</v>
          </cell>
          <cell r="X66">
            <v>38</v>
          </cell>
          <cell r="Y66">
            <v>116</v>
          </cell>
          <cell r="Z66">
            <v>116</v>
          </cell>
          <cell r="AA66">
            <v>0</v>
          </cell>
          <cell r="AB66">
            <v>4</v>
          </cell>
          <cell r="AC66">
            <v>15</v>
          </cell>
          <cell r="AD66">
            <v>40</v>
          </cell>
          <cell r="AE66">
            <v>55</v>
          </cell>
          <cell r="AF66">
            <v>25</v>
          </cell>
          <cell r="AG66">
            <v>80</v>
          </cell>
          <cell r="AH66">
            <v>0</v>
          </cell>
          <cell r="AI66">
            <v>5</v>
          </cell>
          <cell r="AJ66">
            <v>18</v>
          </cell>
          <cell r="AK66">
            <v>41</v>
          </cell>
          <cell r="AL66">
            <v>59</v>
          </cell>
          <cell r="AM66">
            <v>15</v>
          </cell>
          <cell r="AN66">
            <v>74</v>
          </cell>
          <cell r="AO66">
            <v>0</v>
          </cell>
          <cell r="AP66">
            <v>4</v>
          </cell>
          <cell r="AQ66">
            <v>20</v>
          </cell>
          <cell r="AR66">
            <v>25</v>
          </cell>
          <cell r="AS66">
            <v>45</v>
          </cell>
          <cell r="AT66">
            <v>0</v>
          </cell>
          <cell r="AU66">
            <v>5</v>
          </cell>
          <cell r="AV66">
            <v>20</v>
          </cell>
          <cell r="AW66">
            <v>38</v>
          </cell>
          <cell r="AX66">
            <v>58</v>
          </cell>
          <cell r="AY66">
            <v>23</v>
          </cell>
          <cell r="AZ66">
            <v>81</v>
          </cell>
          <cell r="BA66">
            <v>0</v>
          </cell>
          <cell r="BB66">
            <v>5</v>
          </cell>
          <cell r="BC66">
            <v>15</v>
          </cell>
          <cell r="BD66">
            <v>42</v>
          </cell>
          <cell r="BE66">
            <v>57</v>
          </cell>
          <cell r="BF66">
            <v>25</v>
          </cell>
          <cell r="BG66">
            <v>82</v>
          </cell>
          <cell r="BH66">
            <v>0</v>
          </cell>
          <cell r="BI66">
            <v>5</v>
          </cell>
          <cell r="BJ66">
            <v>10</v>
          </cell>
          <cell r="BK66">
            <v>32</v>
          </cell>
          <cell r="BL66">
            <v>42</v>
          </cell>
          <cell r="BM66">
            <v>42</v>
          </cell>
          <cell r="BN66">
            <v>0</v>
          </cell>
          <cell r="BO66">
            <v>5</v>
          </cell>
          <cell r="BP66">
            <v>33</v>
          </cell>
          <cell r="BQ66">
            <v>4.7142857142857144</v>
          </cell>
          <cell r="BR66" t="str">
            <v>A</v>
          </cell>
          <cell r="BS66" t="str">
            <v>BETTER</v>
          </cell>
          <cell r="BT66">
            <v>607</v>
          </cell>
          <cell r="BU66">
            <v>10</v>
          </cell>
          <cell r="BV66">
            <v>64</v>
          </cell>
        </row>
        <row r="67">
          <cell r="B67">
            <v>68</v>
          </cell>
          <cell r="C67" t="str">
            <v xml:space="preserve">Mst. Samiya Akter </v>
          </cell>
          <cell r="D67" t="str">
            <v xml:space="preserve">Solaman Mia </v>
          </cell>
          <cell r="E67" t="str">
            <v xml:space="preserve">Safily Begum </v>
          </cell>
          <cell r="F67" t="str">
            <v>01715-391389                      019075391389</v>
          </cell>
          <cell r="G67">
            <v>14</v>
          </cell>
          <cell r="H67">
            <v>18</v>
          </cell>
          <cell r="I67">
            <v>32</v>
          </cell>
          <cell r="J67">
            <v>20</v>
          </cell>
          <cell r="K67">
            <v>52</v>
          </cell>
          <cell r="L67">
            <v>10</v>
          </cell>
          <cell r="M67">
            <v>27</v>
          </cell>
          <cell r="N67">
            <v>37</v>
          </cell>
          <cell r="O67">
            <v>37</v>
          </cell>
          <cell r="P67">
            <v>89</v>
          </cell>
          <cell r="Q67">
            <v>0</v>
          </cell>
          <cell r="R67">
            <v>3</v>
          </cell>
          <cell r="S67">
            <v>14</v>
          </cell>
          <cell r="T67">
            <v>32</v>
          </cell>
          <cell r="U67">
            <v>46</v>
          </cell>
          <cell r="V67">
            <v>7</v>
          </cell>
          <cell r="W67">
            <v>16</v>
          </cell>
          <cell r="X67">
            <v>23</v>
          </cell>
          <cell r="Y67">
            <v>69</v>
          </cell>
          <cell r="Z67">
            <v>69</v>
          </cell>
          <cell r="AA67">
            <v>0</v>
          </cell>
          <cell r="AB67">
            <v>2</v>
          </cell>
          <cell r="AC67">
            <v>17</v>
          </cell>
          <cell r="AD67">
            <v>45</v>
          </cell>
          <cell r="AE67">
            <v>62</v>
          </cell>
          <cell r="AF67">
            <v>29</v>
          </cell>
          <cell r="AG67">
            <v>91</v>
          </cell>
          <cell r="AH67">
            <v>0</v>
          </cell>
          <cell r="AI67">
            <v>5</v>
          </cell>
          <cell r="AJ67">
            <v>16</v>
          </cell>
          <cell r="AK67">
            <v>31</v>
          </cell>
          <cell r="AL67">
            <v>47</v>
          </cell>
          <cell r="AM67">
            <v>14</v>
          </cell>
          <cell r="AN67">
            <v>61</v>
          </cell>
          <cell r="AO67">
            <v>0</v>
          </cell>
          <cell r="AP67">
            <v>3.5</v>
          </cell>
          <cell r="AQ67">
            <v>20</v>
          </cell>
          <cell r="AR67">
            <v>25</v>
          </cell>
          <cell r="AS67">
            <v>45</v>
          </cell>
          <cell r="AT67">
            <v>0</v>
          </cell>
          <cell r="AU67">
            <v>5</v>
          </cell>
          <cell r="AV67">
            <v>14</v>
          </cell>
          <cell r="AW67">
            <v>28</v>
          </cell>
          <cell r="AX67">
            <v>42</v>
          </cell>
          <cell r="AY67">
            <v>16</v>
          </cell>
          <cell r="AZ67">
            <v>58</v>
          </cell>
          <cell r="BA67">
            <v>0</v>
          </cell>
          <cell r="BB67">
            <v>3</v>
          </cell>
          <cell r="BC67">
            <v>14</v>
          </cell>
          <cell r="BD67">
            <v>20</v>
          </cell>
          <cell r="BE67">
            <v>34</v>
          </cell>
          <cell r="BF67">
            <v>23</v>
          </cell>
          <cell r="BG67">
            <v>57</v>
          </cell>
          <cell r="BH67">
            <v>0</v>
          </cell>
          <cell r="BI67">
            <v>3</v>
          </cell>
          <cell r="BJ67">
            <v>9</v>
          </cell>
          <cell r="BK67">
            <v>32</v>
          </cell>
          <cell r="BL67">
            <v>41</v>
          </cell>
          <cell r="BM67">
            <v>41</v>
          </cell>
          <cell r="BN67">
            <v>0</v>
          </cell>
          <cell r="BO67">
            <v>5</v>
          </cell>
          <cell r="BP67">
            <v>24.5</v>
          </cell>
          <cell r="BQ67">
            <v>3.5</v>
          </cell>
          <cell r="BR67" t="str">
            <v>A-</v>
          </cell>
          <cell r="BS67" t="str">
            <v>GOOD</v>
          </cell>
          <cell r="BT67">
            <v>470</v>
          </cell>
          <cell r="BU67">
            <v>37</v>
          </cell>
          <cell r="BV67">
            <v>68</v>
          </cell>
        </row>
        <row r="68">
          <cell r="B68">
            <v>69</v>
          </cell>
          <cell r="C68" t="str">
            <v xml:space="preserve">Abdur Rahman </v>
          </cell>
          <cell r="D68" t="str">
            <v xml:space="preserve">Lutfar Rahman </v>
          </cell>
          <cell r="E68" t="str">
            <v xml:space="preserve">Mst Taslima Akter </v>
          </cell>
          <cell r="F68" t="str">
            <v>01929-070256                   01749-466325</v>
          </cell>
          <cell r="G68">
            <v>9</v>
          </cell>
          <cell r="H68">
            <v>33</v>
          </cell>
          <cell r="I68">
            <v>42</v>
          </cell>
          <cell r="J68">
            <v>21</v>
          </cell>
          <cell r="K68">
            <v>63</v>
          </cell>
          <cell r="L68">
            <v>9</v>
          </cell>
          <cell r="M68">
            <v>34</v>
          </cell>
          <cell r="N68">
            <v>43</v>
          </cell>
          <cell r="O68">
            <v>43</v>
          </cell>
          <cell r="P68">
            <v>106</v>
          </cell>
          <cell r="Q68">
            <v>0</v>
          </cell>
          <cell r="R68">
            <v>4</v>
          </cell>
          <cell r="S68">
            <v>11</v>
          </cell>
          <cell r="T68">
            <v>48</v>
          </cell>
          <cell r="U68">
            <v>59</v>
          </cell>
          <cell r="V68">
            <v>5</v>
          </cell>
          <cell r="W68">
            <v>23</v>
          </cell>
          <cell r="X68">
            <v>28</v>
          </cell>
          <cell r="Y68">
            <v>87</v>
          </cell>
          <cell r="Z68">
            <v>87</v>
          </cell>
          <cell r="AA68">
            <v>0</v>
          </cell>
          <cell r="AB68">
            <v>3</v>
          </cell>
          <cell r="AC68">
            <v>10</v>
          </cell>
          <cell r="AD68">
            <v>32</v>
          </cell>
          <cell r="AE68">
            <v>42</v>
          </cell>
          <cell r="AF68">
            <v>20</v>
          </cell>
          <cell r="AG68">
            <v>62</v>
          </cell>
          <cell r="AH68">
            <v>0</v>
          </cell>
          <cell r="AI68">
            <v>3.5</v>
          </cell>
          <cell r="AJ68">
            <v>14</v>
          </cell>
          <cell r="AK68">
            <v>21</v>
          </cell>
          <cell r="AL68">
            <v>35</v>
          </cell>
          <cell r="AM68">
            <v>13</v>
          </cell>
          <cell r="AN68">
            <v>48</v>
          </cell>
          <cell r="AO68">
            <v>0</v>
          </cell>
          <cell r="AP68">
            <v>2</v>
          </cell>
          <cell r="AQ68">
            <v>20</v>
          </cell>
          <cell r="AR68">
            <v>25</v>
          </cell>
          <cell r="AS68">
            <v>45</v>
          </cell>
          <cell r="AT68">
            <v>0</v>
          </cell>
          <cell r="AU68">
            <v>5</v>
          </cell>
          <cell r="AV68">
            <v>12</v>
          </cell>
          <cell r="AW68">
            <v>26</v>
          </cell>
          <cell r="AX68">
            <v>38</v>
          </cell>
          <cell r="AY68">
            <v>19</v>
          </cell>
          <cell r="AZ68">
            <v>57</v>
          </cell>
          <cell r="BA68">
            <v>0</v>
          </cell>
          <cell r="BB68">
            <v>3</v>
          </cell>
          <cell r="BC68">
            <v>11</v>
          </cell>
          <cell r="BD68">
            <v>29</v>
          </cell>
          <cell r="BE68">
            <v>40</v>
          </cell>
          <cell r="BF68">
            <v>24</v>
          </cell>
          <cell r="BG68">
            <v>64</v>
          </cell>
          <cell r="BH68">
            <v>0</v>
          </cell>
          <cell r="BI68">
            <v>3.5</v>
          </cell>
          <cell r="BJ68">
            <v>9</v>
          </cell>
          <cell r="BK68">
            <v>32</v>
          </cell>
          <cell r="BL68">
            <v>41</v>
          </cell>
          <cell r="BM68">
            <v>41</v>
          </cell>
          <cell r="BN68">
            <v>0</v>
          </cell>
          <cell r="BO68">
            <v>5</v>
          </cell>
          <cell r="BP68">
            <v>24</v>
          </cell>
          <cell r="BQ68">
            <v>3.4285714285714284</v>
          </cell>
          <cell r="BR68" t="str">
            <v>B</v>
          </cell>
          <cell r="BS68" t="str">
            <v>GOOD</v>
          </cell>
          <cell r="BT68">
            <v>469</v>
          </cell>
          <cell r="BU68">
            <v>38</v>
          </cell>
          <cell r="BV68">
            <v>68</v>
          </cell>
        </row>
        <row r="69">
          <cell r="B69">
            <v>70</v>
          </cell>
          <cell r="C69" t="str">
            <v xml:space="preserve">Imtiaz Hossain </v>
          </cell>
          <cell r="D69" t="str">
            <v xml:space="preserve">Md. Faruk Hossen </v>
          </cell>
          <cell r="E69" t="str">
            <v xml:space="preserve">Sazeda Begum </v>
          </cell>
          <cell r="F69" t="str">
            <v>01747-402792                 01731-673248</v>
          </cell>
          <cell r="G69">
            <v>11</v>
          </cell>
          <cell r="H69">
            <v>28</v>
          </cell>
          <cell r="I69">
            <v>39</v>
          </cell>
          <cell r="J69">
            <v>24</v>
          </cell>
          <cell r="K69">
            <v>63</v>
          </cell>
          <cell r="L69">
            <v>8</v>
          </cell>
          <cell r="M69">
            <v>32</v>
          </cell>
          <cell r="N69">
            <v>40</v>
          </cell>
          <cell r="O69">
            <v>40</v>
          </cell>
          <cell r="P69">
            <v>103</v>
          </cell>
          <cell r="Q69">
            <v>0</v>
          </cell>
          <cell r="R69">
            <v>3.5</v>
          </cell>
          <cell r="S69">
            <v>9</v>
          </cell>
          <cell r="T69">
            <v>59</v>
          </cell>
          <cell r="U69">
            <v>68</v>
          </cell>
          <cell r="V69">
            <v>5</v>
          </cell>
          <cell r="W69">
            <v>22</v>
          </cell>
          <cell r="X69">
            <v>27</v>
          </cell>
          <cell r="Y69">
            <v>95</v>
          </cell>
          <cell r="Z69">
            <v>95</v>
          </cell>
          <cell r="AA69">
            <v>0</v>
          </cell>
          <cell r="AB69">
            <v>3.5</v>
          </cell>
          <cell r="AC69">
            <v>13</v>
          </cell>
          <cell r="AD69">
            <v>19</v>
          </cell>
          <cell r="AE69">
            <v>32</v>
          </cell>
          <cell r="AF69">
            <v>22</v>
          </cell>
          <cell r="AG69">
            <v>54</v>
          </cell>
          <cell r="AH69">
            <v>0</v>
          </cell>
          <cell r="AI69">
            <v>3</v>
          </cell>
          <cell r="AJ69">
            <v>12</v>
          </cell>
          <cell r="AK69">
            <v>25</v>
          </cell>
          <cell r="AL69">
            <v>37</v>
          </cell>
          <cell r="AM69">
            <v>16</v>
          </cell>
          <cell r="AN69">
            <v>53</v>
          </cell>
          <cell r="AO69">
            <v>0</v>
          </cell>
          <cell r="AP69">
            <v>3</v>
          </cell>
          <cell r="AQ69">
            <v>16</v>
          </cell>
          <cell r="AR69">
            <v>25</v>
          </cell>
          <cell r="AS69">
            <v>41</v>
          </cell>
          <cell r="AT69">
            <v>0</v>
          </cell>
          <cell r="AU69">
            <v>5</v>
          </cell>
          <cell r="AV69">
            <v>17</v>
          </cell>
          <cell r="AW69">
            <v>29</v>
          </cell>
          <cell r="AX69">
            <v>46</v>
          </cell>
          <cell r="AY69">
            <v>26</v>
          </cell>
          <cell r="AZ69">
            <v>72</v>
          </cell>
          <cell r="BA69">
            <v>0</v>
          </cell>
          <cell r="BB69">
            <v>4</v>
          </cell>
          <cell r="BC69">
            <v>11</v>
          </cell>
          <cell r="BD69">
            <v>29</v>
          </cell>
          <cell r="BE69">
            <v>40</v>
          </cell>
          <cell r="BF69">
            <v>28</v>
          </cell>
          <cell r="BG69">
            <v>68</v>
          </cell>
          <cell r="BH69">
            <v>0</v>
          </cell>
          <cell r="BI69">
            <v>3.5</v>
          </cell>
          <cell r="BJ69">
            <v>7</v>
          </cell>
          <cell r="BK69">
            <v>24</v>
          </cell>
          <cell r="BL69">
            <v>31</v>
          </cell>
          <cell r="BM69">
            <v>31</v>
          </cell>
          <cell r="BN69">
            <v>0</v>
          </cell>
          <cell r="BO69">
            <v>3.5</v>
          </cell>
          <cell r="BP69">
            <v>25.5</v>
          </cell>
          <cell r="BQ69">
            <v>3.6428571428571428</v>
          </cell>
          <cell r="BR69" t="str">
            <v>A-</v>
          </cell>
          <cell r="BS69" t="str">
            <v>GOOD</v>
          </cell>
          <cell r="BT69">
            <v>486</v>
          </cell>
          <cell r="BU69">
            <v>34</v>
          </cell>
          <cell r="BV69">
            <v>67</v>
          </cell>
        </row>
        <row r="70">
          <cell r="B70">
            <v>76</v>
          </cell>
          <cell r="C70" t="str">
            <v xml:space="preserve">Md. Fahad Hossain </v>
          </cell>
          <cell r="D70" t="str">
            <v xml:space="preserve">Md. Shukur </v>
          </cell>
          <cell r="E70" t="str">
            <v xml:space="preserve">Forida Akter </v>
          </cell>
          <cell r="F70" t="str">
            <v>01638-297604                             01620-087660</v>
          </cell>
          <cell r="G70">
            <v>12</v>
          </cell>
          <cell r="H70">
            <v>14</v>
          </cell>
          <cell r="I70">
            <v>26</v>
          </cell>
          <cell r="J70">
            <v>22</v>
          </cell>
          <cell r="K70">
            <v>48</v>
          </cell>
          <cell r="L70">
            <v>7</v>
          </cell>
          <cell r="M70">
            <v>19</v>
          </cell>
          <cell r="N70">
            <v>26</v>
          </cell>
          <cell r="O70">
            <v>26</v>
          </cell>
          <cell r="P70">
            <v>74</v>
          </cell>
          <cell r="Q70">
            <v>0</v>
          </cell>
          <cell r="R70">
            <v>3</v>
          </cell>
          <cell r="S70">
            <v>14</v>
          </cell>
          <cell r="T70">
            <v>46</v>
          </cell>
          <cell r="U70">
            <v>60</v>
          </cell>
          <cell r="V70">
            <v>4</v>
          </cell>
          <cell r="W70">
            <v>16</v>
          </cell>
          <cell r="X70">
            <v>20</v>
          </cell>
          <cell r="Y70">
            <v>80</v>
          </cell>
          <cell r="Z70">
            <v>80</v>
          </cell>
          <cell r="AA70">
            <v>0</v>
          </cell>
          <cell r="AB70">
            <v>3</v>
          </cell>
          <cell r="AC70">
            <v>5</v>
          </cell>
          <cell r="AD70">
            <v>21</v>
          </cell>
          <cell r="AE70">
            <v>26</v>
          </cell>
          <cell r="AF70">
            <v>22</v>
          </cell>
          <cell r="AG70">
            <v>48</v>
          </cell>
          <cell r="AH70">
            <v>0</v>
          </cell>
          <cell r="AI70">
            <v>2</v>
          </cell>
          <cell r="AJ70">
            <v>11</v>
          </cell>
          <cell r="AK70">
            <v>9</v>
          </cell>
          <cell r="AL70">
            <v>20</v>
          </cell>
          <cell r="AM70">
            <v>9</v>
          </cell>
          <cell r="AN70">
            <v>29</v>
          </cell>
          <cell r="AO70">
            <v>0</v>
          </cell>
          <cell r="AP70" t="str">
            <v>F</v>
          </cell>
          <cell r="AQ70">
            <v>11</v>
          </cell>
          <cell r="AR70">
            <v>25</v>
          </cell>
          <cell r="AS70">
            <v>36</v>
          </cell>
          <cell r="AT70">
            <v>0</v>
          </cell>
          <cell r="AU70">
            <v>4</v>
          </cell>
          <cell r="AV70">
            <v>12</v>
          </cell>
          <cell r="AW70">
            <v>17</v>
          </cell>
          <cell r="AX70">
            <v>29</v>
          </cell>
          <cell r="AY70">
            <v>19</v>
          </cell>
          <cell r="AZ70">
            <v>48</v>
          </cell>
          <cell r="BA70">
            <v>0</v>
          </cell>
          <cell r="BB70">
            <v>2</v>
          </cell>
          <cell r="BC70">
            <v>10</v>
          </cell>
          <cell r="BD70">
            <v>13</v>
          </cell>
          <cell r="BE70">
            <v>23</v>
          </cell>
          <cell r="BF70">
            <v>18</v>
          </cell>
          <cell r="BG70">
            <v>41</v>
          </cell>
          <cell r="BH70">
            <v>0</v>
          </cell>
          <cell r="BI70">
            <v>2</v>
          </cell>
          <cell r="BJ70">
            <v>7</v>
          </cell>
          <cell r="BK70">
            <v>24</v>
          </cell>
          <cell r="BL70">
            <v>31</v>
          </cell>
          <cell r="BM70">
            <v>31</v>
          </cell>
          <cell r="BN70">
            <v>0</v>
          </cell>
          <cell r="BO70">
            <v>3.5</v>
          </cell>
          <cell r="BP70" t="str">
            <v>F</v>
          </cell>
          <cell r="BQ70" t="str">
            <v>F</v>
          </cell>
          <cell r="BR70" t="str">
            <v>F</v>
          </cell>
          <cell r="BS70" t="str">
            <v>NEED TO PROGRESS</v>
          </cell>
          <cell r="BT70">
            <v>356</v>
          </cell>
          <cell r="BU70">
            <v>0</v>
          </cell>
          <cell r="BV70">
            <v>65</v>
          </cell>
        </row>
        <row r="71">
          <cell r="B71">
            <v>77</v>
          </cell>
          <cell r="C71" t="str">
            <v>Yasin Ahmed</v>
          </cell>
          <cell r="D71" t="str">
            <v xml:space="preserve">Md. Salem </v>
          </cell>
          <cell r="E71" t="str">
            <v xml:space="preserve">Syeda Yeasmin </v>
          </cell>
          <cell r="F71" t="str">
            <v>01739-641604                  01760-066672</v>
          </cell>
          <cell r="G71">
            <v>9</v>
          </cell>
          <cell r="H71">
            <v>21</v>
          </cell>
          <cell r="I71">
            <v>30</v>
          </cell>
          <cell r="J71">
            <v>21</v>
          </cell>
          <cell r="K71">
            <v>51</v>
          </cell>
          <cell r="L71">
            <v>9</v>
          </cell>
          <cell r="M71">
            <v>26</v>
          </cell>
          <cell r="N71">
            <v>35</v>
          </cell>
          <cell r="O71">
            <v>35</v>
          </cell>
          <cell r="P71">
            <v>86</v>
          </cell>
          <cell r="Q71">
            <v>0</v>
          </cell>
          <cell r="R71">
            <v>3</v>
          </cell>
          <cell r="S71">
            <v>8</v>
          </cell>
          <cell r="T71">
            <v>32</v>
          </cell>
          <cell r="U71">
            <v>40</v>
          </cell>
          <cell r="V71">
            <v>4</v>
          </cell>
          <cell r="W71">
            <v>8</v>
          </cell>
          <cell r="X71">
            <v>12</v>
          </cell>
          <cell r="Y71">
            <v>52</v>
          </cell>
          <cell r="Z71">
            <v>52</v>
          </cell>
          <cell r="AA71">
            <v>0</v>
          </cell>
          <cell r="AB71" t="str">
            <v>F</v>
          </cell>
          <cell r="AC71">
            <v>8</v>
          </cell>
          <cell r="AD71">
            <v>12</v>
          </cell>
          <cell r="AE71">
            <v>20</v>
          </cell>
          <cell r="AF71">
            <v>21</v>
          </cell>
          <cell r="AG71">
            <v>41</v>
          </cell>
          <cell r="AH71">
            <v>0</v>
          </cell>
          <cell r="AI71">
            <v>2</v>
          </cell>
          <cell r="AJ71">
            <v>11</v>
          </cell>
          <cell r="AK71">
            <v>22</v>
          </cell>
          <cell r="AL71">
            <v>33</v>
          </cell>
          <cell r="AM71">
            <v>12</v>
          </cell>
          <cell r="AN71">
            <v>45</v>
          </cell>
          <cell r="AO71">
            <v>0</v>
          </cell>
          <cell r="AP71">
            <v>2</v>
          </cell>
          <cell r="AQ71">
            <v>15</v>
          </cell>
          <cell r="AR71">
            <v>25</v>
          </cell>
          <cell r="AS71">
            <v>40</v>
          </cell>
          <cell r="AT71">
            <v>0</v>
          </cell>
          <cell r="AU71">
            <v>5</v>
          </cell>
          <cell r="AV71">
            <v>11</v>
          </cell>
          <cell r="AW71">
            <v>19</v>
          </cell>
          <cell r="AX71">
            <v>30</v>
          </cell>
          <cell r="AY71">
            <v>16</v>
          </cell>
          <cell r="AZ71">
            <v>46</v>
          </cell>
          <cell r="BA71">
            <v>0</v>
          </cell>
          <cell r="BB71">
            <v>2</v>
          </cell>
          <cell r="BC71">
            <v>9</v>
          </cell>
          <cell r="BD71">
            <v>13</v>
          </cell>
          <cell r="BE71">
            <v>22</v>
          </cell>
          <cell r="BF71">
            <v>20</v>
          </cell>
          <cell r="BG71">
            <v>42</v>
          </cell>
          <cell r="BH71">
            <v>0</v>
          </cell>
          <cell r="BI71">
            <v>2</v>
          </cell>
          <cell r="BJ71">
            <v>6</v>
          </cell>
          <cell r="BK71">
            <v>20</v>
          </cell>
          <cell r="BL71">
            <v>26</v>
          </cell>
          <cell r="BM71">
            <v>26</v>
          </cell>
          <cell r="BN71">
            <v>0</v>
          </cell>
          <cell r="BO71">
            <v>3</v>
          </cell>
          <cell r="BP71" t="str">
            <v>F</v>
          </cell>
          <cell r="BQ71" t="str">
            <v>F</v>
          </cell>
          <cell r="BR71" t="str">
            <v>F</v>
          </cell>
          <cell r="BS71" t="str">
            <v>NEED TO PROGRESS</v>
          </cell>
          <cell r="BT71">
            <v>352</v>
          </cell>
          <cell r="BU71">
            <v>0</v>
          </cell>
          <cell r="BV71">
            <v>62</v>
          </cell>
        </row>
        <row r="72">
          <cell r="B72">
            <v>78</v>
          </cell>
          <cell r="C72" t="str">
            <v xml:space="preserve">Md Saymon Arafat </v>
          </cell>
          <cell r="D72" t="str">
            <v xml:space="preserve">Md. Bablu Miah </v>
          </cell>
          <cell r="E72" t="str">
            <v>Miss Yesmin Akter</v>
          </cell>
          <cell r="F72" t="str">
            <v>01790-842624     01790-842622</v>
          </cell>
          <cell r="G72">
            <v>10</v>
          </cell>
          <cell r="H72">
            <v>21</v>
          </cell>
          <cell r="I72">
            <v>31</v>
          </cell>
          <cell r="J72">
            <v>26</v>
          </cell>
          <cell r="K72">
            <v>57</v>
          </cell>
          <cell r="L72">
            <v>4</v>
          </cell>
          <cell r="M72">
            <v>30</v>
          </cell>
          <cell r="N72">
            <v>34</v>
          </cell>
          <cell r="O72">
            <v>34</v>
          </cell>
          <cell r="P72">
            <v>91</v>
          </cell>
          <cell r="Q72">
            <v>0</v>
          </cell>
          <cell r="R72">
            <v>3</v>
          </cell>
          <cell r="S72">
            <v>10</v>
          </cell>
          <cell r="T72">
            <v>41</v>
          </cell>
          <cell r="U72">
            <v>51</v>
          </cell>
          <cell r="V72">
            <v>5</v>
          </cell>
          <cell r="W72">
            <v>20</v>
          </cell>
          <cell r="X72">
            <v>25</v>
          </cell>
          <cell r="Y72">
            <v>76</v>
          </cell>
          <cell r="Z72">
            <v>76</v>
          </cell>
          <cell r="AA72">
            <v>0</v>
          </cell>
          <cell r="AB72">
            <v>3</v>
          </cell>
          <cell r="AC72">
            <v>18</v>
          </cell>
          <cell r="AD72">
            <v>35</v>
          </cell>
          <cell r="AE72">
            <v>53</v>
          </cell>
          <cell r="AF72">
            <v>27</v>
          </cell>
          <cell r="AG72">
            <v>80</v>
          </cell>
          <cell r="AH72">
            <v>0</v>
          </cell>
          <cell r="AI72">
            <v>5</v>
          </cell>
          <cell r="AJ72">
            <v>12</v>
          </cell>
          <cell r="AK72">
            <v>24</v>
          </cell>
          <cell r="AL72">
            <v>36</v>
          </cell>
          <cell r="AM72">
            <v>17</v>
          </cell>
          <cell r="AN72">
            <v>53</v>
          </cell>
          <cell r="AO72">
            <v>0</v>
          </cell>
          <cell r="AP72">
            <v>3</v>
          </cell>
          <cell r="AQ72">
            <v>20</v>
          </cell>
          <cell r="AR72">
            <v>25</v>
          </cell>
          <cell r="AS72">
            <v>45</v>
          </cell>
          <cell r="AT72">
            <v>0</v>
          </cell>
          <cell r="AU72">
            <v>5</v>
          </cell>
          <cell r="AV72">
            <v>13</v>
          </cell>
          <cell r="AW72">
            <v>28</v>
          </cell>
          <cell r="AX72">
            <v>41</v>
          </cell>
          <cell r="AY72">
            <v>22</v>
          </cell>
          <cell r="AZ72">
            <v>63</v>
          </cell>
          <cell r="BA72">
            <v>0</v>
          </cell>
          <cell r="BB72">
            <v>3.5</v>
          </cell>
          <cell r="BC72">
            <v>10</v>
          </cell>
          <cell r="BD72">
            <v>21</v>
          </cell>
          <cell r="BE72">
            <v>31</v>
          </cell>
          <cell r="BF72">
            <v>27</v>
          </cell>
          <cell r="BG72">
            <v>58</v>
          </cell>
          <cell r="BH72">
            <v>0</v>
          </cell>
          <cell r="BI72">
            <v>3</v>
          </cell>
          <cell r="BJ72">
            <v>9</v>
          </cell>
          <cell r="BK72">
            <v>24</v>
          </cell>
          <cell r="BL72">
            <v>33</v>
          </cell>
          <cell r="BM72">
            <v>33</v>
          </cell>
          <cell r="BN72">
            <v>0</v>
          </cell>
          <cell r="BO72">
            <v>3.5</v>
          </cell>
          <cell r="BP72">
            <v>25.5</v>
          </cell>
          <cell r="BQ72">
            <v>3.6428571428571428</v>
          </cell>
          <cell r="BR72" t="str">
            <v>A-</v>
          </cell>
          <cell r="BS72" t="str">
            <v>GOOD</v>
          </cell>
          <cell r="BT72">
            <v>466</v>
          </cell>
          <cell r="BU72">
            <v>35</v>
          </cell>
          <cell r="BV72">
            <v>55</v>
          </cell>
        </row>
        <row r="73">
          <cell r="B73">
            <v>79</v>
          </cell>
          <cell r="C73" t="str">
            <v>Rownak Hossain</v>
          </cell>
          <cell r="D73" t="str">
            <v xml:space="preserve">Bayezid Hossain </v>
          </cell>
          <cell r="E73" t="str">
            <v xml:space="preserve">Shahida Yesmin </v>
          </cell>
          <cell r="F73" t="str">
            <v>01313-951693</v>
          </cell>
          <cell r="G73">
            <v>8</v>
          </cell>
          <cell r="H73">
            <v>17</v>
          </cell>
          <cell r="I73">
            <v>25</v>
          </cell>
          <cell r="J73">
            <v>16</v>
          </cell>
          <cell r="K73">
            <v>41</v>
          </cell>
          <cell r="L73">
            <v>6</v>
          </cell>
          <cell r="M73">
            <v>16</v>
          </cell>
          <cell r="N73">
            <v>22</v>
          </cell>
          <cell r="O73">
            <v>22</v>
          </cell>
          <cell r="P73">
            <v>63</v>
          </cell>
          <cell r="Q73">
            <v>0</v>
          </cell>
          <cell r="R73">
            <v>2</v>
          </cell>
          <cell r="S73">
            <v>9</v>
          </cell>
          <cell r="T73">
            <v>16</v>
          </cell>
          <cell r="U73">
            <v>25</v>
          </cell>
          <cell r="V73">
            <v>1</v>
          </cell>
          <cell r="W73">
            <v>9</v>
          </cell>
          <cell r="X73">
            <v>10</v>
          </cell>
          <cell r="Y73">
            <v>35</v>
          </cell>
          <cell r="Z73">
            <v>35</v>
          </cell>
          <cell r="AA73">
            <v>0</v>
          </cell>
          <cell r="AB73" t="str">
            <v>F</v>
          </cell>
          <cell r="AC73">
            <v>5</v>
          </cell>
          <cell r="AD73">
            <v>5</v>
          </cell>
          <cell r="AE73">
            <v>10</v>
          </cell>
          <cell r="AF73">
            <v>9</v>
          </cell>
          <cell r="AG73">
            <v>19</v>
          </cell>
          <cell r="AH73">
            <v>0</v>
          </cell>
          <cell r="AI73" t="str">
            <v>F</v>
          </cell>
          <cell r="AJ73">
            <v>12</v>
          </cell>
          <cell r="AK73">
            <v>9</v>
          </cell>
          <cell r="AL73">
            <v>21</v>
          </cell>
          <cell r="AM73">
            <v>19</v>
          </cell>
          <cell r="AN73">
            <v>40</v>
          </cell>
          <cell r="AO73">
            <v>0</v>
          </cell>
          <cell r="AP73">
            <v>2</v>
          </cell>
          <cell r="AQ73">
            <v>8</v>
          </cell>
          <cell r="AR73">
            <v>25</v>
          </cell>
          <cell r="AS73">
            <v>33</v>
          </cell>
          <cell r="AT73">
            <v>0</v>
          </cell>
          <cell r="AU73">
            <v>3.5</v>
          </cell>
          <cell r="AV73">
            <v>11</v>
          </cell>
          <cell r="AW73">
            <v>2</v>
          </cell>
          <cell r="AX73">
            <v>13</v>
          </cell>
          <cell r="AY73">
            <v>14</v>
          </cell>
          <cell r="AZ73">
            <v>27</v>
          </cell>
          <cell r="BA73">
            <v>0</v>
          </cell>
          <cell r="BB73" t="str">
            <v>F</v>
          </cell>
          <cell r="BC73">
            <v>8</v>
          </cell>
          <cell r="BD73">
            <v>15</v>
          </cell>
          <cell r="BE73">
            <v>23</v>
          </cell>
          <cell r="BF73">
            <v>17</v>
          </cell>
          <cell r="BG73">
            <v>40</v>
          </cell>
          <cell r="BH73">
            <v>0</v>
          </cell>
          <cell r="BI73">
            <v>2</v>
          </cell>
          <cell r="BJ73">
            <v>5</v>
          </cell>
          <cell r="BK73">
            <v>20</v>
          </cell>
          <cell r="BL73">
            <v>25</v>
          </cell>
          <cell r="BM73">
            <v>25</v>
          </cell>
          <cell r="BN73">
            <v>0</v>
          </cell>
          <cell r="BO73">
            <v>3</v>
          </cell>
          <cell r="BP73" t="str">
            <v>F</v>
          </cell>
          <cell r="BQ73" t="str">
            <v>F</v>
          </cell>
          <cell r="BR73" t="str">
            <v>F</v>
          </cell>
          <cell r="BS73" t="str">
            <v>NEED TO PROGRESS</v>
          </cell>
          <cell r="BT73">
            <v>257</v>
          </cell>
          <cell r="BU73">
            <v>0</v>
          </cell>
          <cell r="BV73">
            <v>56</v>
          </cell>
        </row>
        <row r="74">
          <cell r="B74">
            <v>80</v>
          </cell>
          <cell r="C74" t="str">
            <v xml:space="preserve">Mohammad Nihad Hosen </v>
          </cell>
          <cell r="D74" t="str">
            <v xml:space="preserve">Md Nazir Patwary </v>
          </cell>
          <cell r="E74" t="str">
            <v xml:space="preserve">Khadiza Begum </v>
          </cell>
          <cell r="F74" t="str">
            <v>01711-716233     01916-803533</v>
          </cell>
          <cell r="G74">
            <v>12</v>
          </cell>
          <cell r="H74">
            <v>25</v>
          </cell>
          <cell r="I74">
            <v>37</v>
          </cell>
          <cell r="J74">
            <v>16</v>
          </cell>
          <cell r="K74">
            <v>53</v>
          </cell>
          <cell r="L74">
            <v>8</v>
          </cell>
          <cell r="M74">
            <v>19</v>
          </cell>
          <cell r="N74">
            <v>27</v>
          </cell>
          <cell r="O74">
            <v>27</v>
          </cell>
          <cell r="P74">
            <v>80</v>
          </cell>
          <cell r="Q74">
            <v>0</v>
          </cell>
          <cell r="R74">
            <v>3</v>
          </cell>
          <cell r="S74">
            <v>12</v>
          </cell>
          <cell r="T74">
            <v>32</v>
          </cell>
          <cell r="U74">
            <v>44</v>
          </cell>
          <cell r="V74">
            <v>5</v>
          </cell>
          <cell r="W74">
            <v>16</v>
          </cell>
          <cell r="X74">
            <v>21</v>
          </cell>
          <cell r="Y74">
            <v>65</v>
          </cell>
          <cell r="Z74">
            <v>65</v>
          </cell>
          <cell r="AA74">
            <v>0</v>
          </cell>
          <cell r="AB74">
            <v>2</v>
          </cell>
          <cell r="AC74">
            <v>13</v>
          </cell>
          <cell r="AD74">
            <v>13</v>
          </cell>
          <cell r="AE74">
            <v>26</v>
          </cell>
          <cell r="AF74">
            <v>17</v>
          </cell>
          <cell r="AG74">
            <v>43</v>
          </cell>
          <cell r="AH74">
            <v>0</v>
          </cell>
          <cell r="AI74">
            <v>2</v>
          </cell>
          <cell r="AJ74">
            <v>15</v>
          </cell>
          <cell r="AK74">
            <v>22</v>
          </cell>
          <cell r="AL74">
            <v>37</v>
          </cell>
          <cell r="AM74">
            <v>26</v>
          </cell>
          <cell r="AN74">
            <v>63</v>
          </cell>
          <cell r="AO74">
            <v>0</v>
          </cell>
          <cell r="AP74">
            <v>3.5</v>
          </cell>
          <cell r="AQ74">
            <v>11</v>
          </cell>
          <cell r="AR74">
            <v>25</v>
          </cell>
          <cell r="AS74">
            <v>36</v>
          </cell>
          <cell r="AT74">
            <v>0</v>
          </cell>
          <cell r="AU74">
            <v>4</v>
          </cell>
          <cell r="AV74">
            <v>11</v>
          </cell>
          <cell r="AW74">
            <v>17</v>
          </cell>
          <cell r="AX74">
            <v>28</v>
          </cell>
          <cell r="AY74">
            <v>21</v>
          </cell>
          <cell r="AZ74">
            <v>49</v>
          </cell>
          <cell r="BA74">
            <v>0</v>
          </cell>
          <cell r="BB74">
            <v>2</v>
          </cell>
          <cell r="BC74">
            <v>10</v>
          </cell>
          <cell r="BD74">
            <v>21</v>
          </cell>
          <cell r="BE74">
            <v>31</v>
          </cell>
          <cell r="BF74">
            <v>14</v>
          </cell>
          <cell r="BG74">
            <v>45</v>
          </cell>
          <cell r="BH74">
            <v>0</v>
          </cell>
          <cell r="BI74">
            <v>2</v>
          </cell>
          <cell r="BJ74">
            <v>7</v>
          </cell>
          <cell r="BK74">
            <v>20</v>
          </cell>
          <cell r="BL74">
            <v>27</v>
          </cell>
          <cell r="BM74">
            <v>27</v>
          </cell>
          <cell r="BN74">
            <v>0</v>
          </cell>
          <cell r="BO74">
            <v>3</v>
          </cell>
          <cell r="BP74">
            <v>18.5</v>
          </cell>
          <cell r="BQ74">
            <v>2.6428571428571428</v>
          </cell>
          <cell r="BR74" t="str">
            <v>C</v>
          </cell>
          <cell r="BS74" t="str">
            <v>GOOD</v>
          </cell>
          <cell r="BT74">
            <v>381</v>
          </cell>
          <cell r="BU74">
            <v>52</v>
          </cell>
          <cell r="BV74">
            <v>58</v>
          </cell>
        </row>
        <row r="75">
          <cell r="B75">
            <v>82</v>
          </cell>
          <cell r="C75" t="str">
            <v xml:space="preserve">Moriom Akther Riya </v>
          </cell>
          <cell r="D75" t="str">
            <v xml:space="preserve">Md Rasal Hossain </v>
          </cell>
          <cell r="E75" t="str">
            <v xml:space="preserve">Mst. Salma Begum </v>
          </cell>
          <cell r="F75" t="str">
            <v xml:space="preserve">01929-564162 </v>
          </cell>
          <cell r="G75">
            <v>13</v>
          </cell>
          <cell r="H75">
            <v>21</v>
          </cell>
          <cell r="I75">
            <v>34</v>
          </cell>
          <cell r="J75">
            <v>15</v>
          </cell>
          <cell r="K75">
            <v>49</v>
          </cell>
          <cell r="L75">
            <v>9</v>
          </cell>
          <cell r="M75">
            <v>25</v>
          </cell>
          <cell r="N75">
            <v>34</v>
          </cell>
          <cell r="O75">
            <v>34</v>
          </cell>
          <cell r="P75">
            <v>83</v>
          </cell>
          <cell r="Q75">
            <v>0</v>
          </cell>
          <cell r="R75">
            <v>3</v>
          </cell>
          <cell r="S75">
            <v>10</v>
          </cell>
          <cell r="T75">
            <v>36</v>
          </cell>
          <cell r="U75">
            <v>46</v>
          </cell>
          <cell r="V75">
            <v>5</v>
          </cell>
          <cell r="W75">
            <v>16</v>
          </cell>
          <cell r="X75">
            <v>21</v>
          </cell>
          <cell r="Y75">
            <v>67</v>
          </cell>
          <cell r="Z75">
            <v>67</v>
          </cell>
          <cell r="AA75">
            <v>0</v>
          </cell>
          <cell r="AB75">
            <v>2</v>
          </cell>
          <cell r="AC75">
            <v>12</v>
          </cell>
          <cell r="AD75">
            <v>15</v>
          </cell>
          <cell r="AE75">
            <v>27</v>
          </cell>
          <cell r="AF75">
            <v>17</v>
          </cell>
          <cell r="AG75">
            <v>44</v>
          </cell>
          <cell r="AH75">
            <v>0</v>
          </cell>
          <cell r="AI75">
            <v>2</v>
          </cell>
          <cell r="AJ75">
            <v>11</v>
          </cell>
          <cell r="AK75">
            <v>19</v>
          </cell>
          <cell r="AL75">
            <v>30</v>
          </cell>
          <cell r="AM75">
            <v>14</v>
          </cell>
          <cell r="AN75">
            <v>44</v>
          </cell>
          <cell r="AO75">
            <v>0</v>
          </cell>
          <cell r="AP75">
            <v>2</v>
          </cell>
          <cell r="AQ75">
            <v>15</v>
          </cell>
          <cell r="AR75">
            <v>25</v>
          </cell>
          <cell r="AS75">
            <v>40</v>
          </cell>
          <cell r="AT75">
            <v>0</v>
          </cell>
          <cell r="AU75">
            <v>5</v>
          </cell>
          <cell r="AV75">
            <v>13</v>
          </cell>
          <cell r="AW75">
            <v>19</v>
          </cell>
          <cell r="AX75">
            <v>32</v>
          </cell>
          <cell r="AY75">
            <v>21</v>
          </cell>
          <cell r="AZ75">
            <v>53</v>
          </cell>
          <cell r="BA75">
            <v>0</v>
          </cell>
          <cell r="BB75">
            <v>3</v>
          </cell>
          <cell r="BC75">
            <v>9</v>
          </cell>
          <cell r="BD75">
            <v>17</v>
          </cell>
          <cell r="BE75">
            <v>26</v>
          </cell>
          <cell r="BF75">
            <v>14</v>
          </cell>
          <cell r="BG75">
            <v>40</v>
          </cell>
          <cell r="BH75">
            <v>0</v>
          </cell>
          <cell r="BI75">
            <v>2</v>
          </cell>
          <cell r="BJ75">
            <v>7</v>
          </cell>
          <cell r="BK75">
            <v>20</v>
          </cell>
          <cell r="BL75">
            <v>27</v>
          </cell>
          <cell r="BM75">
            <v>27</v>
          </cell>
          <cell r="BN75">
            <v>0</v>
          </cell>
          <cell r="BO75">
            <v>3</v>
          </cell>
          <cell r="BP75">
            <v>19</v>
          </cell>
          <cell r="BQ75">
            <v>2.7142857142857144</v>
          </cell>
          <cell r="BR75" t="str">
            <v>C</v>
          </cell>
          <cell r="BS75" t="str">
            <v>GOOD</v>
          </cell>
          <cell r="BT75">
            <v>371</v>
          </cell>
          <cell r="BU75">
            <v>53</v>
          </cell>
          <cell r="BV75">
            <v>57</v>
          </cell>
        </row>
        <row r="76">
          <cell r="B76">
            <v>83</v>
          </cell>
          <cell r="C76" t="str">
            <v xml:space="preserve">Md. Mafidul Alam </v>
          </cell>
          <cell r="D76" t="str">
            <v xml:space="preserve">Md. Mahbubul Alam </v>
          </cell>
          <cell r="E76" t="str">
            <v xml:space="preserve">Dil Afroze </v>
          </cell>
          <cell r="F76" t="str">
            <v>01779-528999                   01736-181876</v>
          </cell>
          <cell r="G76">
            <v>8</v>
          </cell>
          <cell r="H76">
            <v>14</v>
          </cell>
          <cell r="I76">
            <v>22</v>
          </cell>
          <cell r="J76">
            <v>13</v>
          </cell>
          <cell r="K76">
            <v>35</v>
          </cell>
          <cell r="L76">
            <v>5</v>
          </cell>
          <cell r="M76">
            <v>16</v>
          </cell>
          <cell r="N76">
            <v>21</v>
          </cell>
          <cell r="O76">
            <v>21</v>
          </cell>
          <cell r="P76">
            <v>56</v>
          </cell>
          <cell r="Q76">
            <v>0</v>
          </cell>
          <cell r="R76" t="str">
            <v>F</v>
          </cell>
          <cell r="S76">
            <v>12</v>
          </cell>
          <cell r="T76">
            <v>28</v>
          </cell>
          <cell r="U76">
            <v>40</v>
          </cell>
          <cell r="V76">
            <v>4</v>
          </cell>
          <cell r="W76">
            <v>9</v>
          </cell>
          <cell r="X76">
            <v>13</v>
          </cell>
          <cell r="Y76">
            <v>53</v>
          </cell>
          <cell r="Z76">
            <v>53</v>
          </cell>
          <cell r="AA76">
            <v>0</v>
          </cell>
          <cell r="AB76" t="str">
            <v>F</v>
          </cell>
          <cell r="AC76">
            <v>5</v>
          </cell>
          <cell r="AD76">
            <v>0</v>
          </cell>
          <cell r="AE76">
            <v>5</v>
          </cell>
          <cell r="AF76">
            <v>8</v>
          </cell>
          <cell r="AG76">
            <v>13</v>
          </cell>
          <cell r="AH76">
            <v>0</v>
          </cell>
          <cell r="AI76" t="str">
            <v>F</v>
          </cell>
          <cell r="AJ76">
            <v>9</v>
          </cell>
          <cell r="AK76">
            <v>20</v>
          </cell>
          <cell r="AL76">
            <v>29</v>
          </cell>
          <cell r="AM76">
            <v>11</v>
          </cell>
          <cell r="AN76">
            <v>40</v>
          </cell>
          <cell r="AO76">
            <v>0</v>
          </cell>
          <cell r="AP76">
            <v>2</v>
          </cell>
          <cell r="AQ76">
            <v>12</v>
          </cell>
          <cell r="AR76">
            <v>25</v>
          </cell>
          <cell r="AS76">
            <v>37</v>
          </cell>
          <cell r="AT76">
            <v>0</v>
          </cell>
          <cell r="AU76">
            <v>4</v>
          </cell>
          <cell r="AV76">
            <v>10</v>
          </cell>
          <cell r="AW76">
            <v>5</v>
          </cell>
          <cell r="AX76">
            <v>15</v>
          </cell>
          <cell r="AY76">
            <v>17</v>
          </cell>
          <cell r="AZ76">
            <v>32</v>
          </cell>
          <cell r="BA76">
            <v>0</v>
          </cell>
          <cell r="BB76" t="str">
            <v>F</v>
          </cell>
          <cell r="BC76">
            <v>4</v>
          </cell>
          <cell r="BD76">
            <v>18</v>
          </cell>
          <cell r="BE76">
            <v>22</v>
          </cell>
          <cell r="BF76">
            <v>18</v>
          </cell>
          <cell r="BG76">
            <v>40</v>
          </cell>
          <cell r="BH76">
            <v>0</v>
          </cell>
          <cell r="BI76">
            <v>2</v>
          </cell>
          <cell r="BJ76">
            <v>4</v>
          </cell>
          <cell r="BK76">
            <v>20</v>
          </cell>
          <cell r="BL76">
            <v>24</v>
          </cell>
          <cell r="BM76">
            <v>24</v>
          </cell>
          <cell r="BN76">
            <v>0</v>
          </cell>
          <cell r="BO76">
            <v>2</v>
          </cell>
          <cell r="BP76" t="str">
            <v>F</v>
          </cell>
          <cell r="BQ76" t="str">
            <v>F</v>
          </cell>
          <cell r="BR76" t="str">
            <v>F</v>
          </cell>
          <cell r="BS76" t="str">
            <v>NEED TO PROGRESS</v>
          </cell>
          <cell r="BT76">
            <v>271</v>
          </cell>
          <cell r="BU76">
            <v>0</v>
          </cell>
          <cell r="BV76">
            <v>64</v>
          </cell>
        </row>
        <row r="77">
          <cell r="B77">
            <v>84</v>
          </cell>
          <cell r="C77" t="str">
            <v xml:space="preserve">Kashfi Mahamud Rahat </v>
          </cell>
          <cell r="D77" t="str">
            <v xml:space="preserve">Md. Rabiul Awal </v>
          </cell>
          <cell r="E77" t="str">
            <v xml:space="preserve">Kulsum Akter Riya </v>
          </cell>
          <cell r="F77" t="str">
            <v>01978-607017      01939-771183</v>
          </cell>
          <cell r="G77">
            <v>8</v>
          </cell>
          <cell r="H77">
            <v>6</v>
          </cell>
          <cell r="I77">
            <v>14</v>
          </cell>
          <cell r="J77">
            <v>23</v>
          </cell>
          <cell r="K77">
            <v>37</v>
          </cell>
          <cell r="L77">
            <v>3</v>
          </cell>
          <cell r="M77">
            <v>14</v>
          </cell>
          <cell r="N77">
            <v>17</v>
          </cell>
          <cell r="O77">
            <v>17</v>
          </cell>
          <cell r="P77">
            <v>54</v>
          </cell>
          <cell r="Q77">
            <v>0</v>
          </cell>
          <cell r="R77" t="str">
            <v>F</v>
          </cell>
          <cell r="S77">
            <v>11</v>
          </cell>
          <cell r="T77">
            <v>29</v>
          </cell>
          <cell r="U77">
            <v>40</v>
          </cell>
          <cell r="V77">
            <v>3</v>
          </cell>
          <cell r="W77">
            <v>7</v>
          </cell>
          <cell r="X77">
            <v>10</v>
          </cell>
          <cell r="Y77">
            <v>50</v>
          </cell>
          <cell r="Z77">
            <v>50</v>
          </cell>
          <cell r="AA77">
            <v>0</v>
          </cell>
          <cell r="AB77" t="str">
            <v>F</v>
          </cell>
          <cell r="AC77">
            <v>5</v>
          </cell>
          <cell r="AD77">
            <v>2</v>
          </cell>
          <cell r="AE77">
            <v>7</v>
          </cell>
          <cell r="AF77">
            <v>10</v>
          </cell>
          <cell r="AG77">
            <v>17</v>
          </cell>
          <cell r="AH77">
            <v>0</v>
          </cell>
          <cell r="AI77" t="str">
            <v>F</v>
          </cell>
          <cell r="AJ77">
            <v>10</v>
          </cell>
          <cell r="AK77">
            <v>4</v>
          </cell>
          <cell r="AL77">
            <v>14</v>
          </cell>
          <cell r="AM77">
            <v>3</v>
          </cell>
          <cell r="AN77">
            <v>17</v>
          </cell>
          <cell r="AO77">
            <v>0</v>
          </cell>
          <cell r="AP77" t="str">
            <v>F</v>
          </cell>
          <cell r="AQ77">
            <v>12</v>
          </cell>
          <cell r="AR77">
            <v>25</v>
          </cell>
          <cell r="AS77">
            <v>37</v>
          </cell>
          <cell r="AT77">
            <v>0</v>
          </cell>
          <cell r="AU77">
            <v>4</v>
          </cell>
          <cell r="AV77">
            <v>8</v>
          </cell>
          <cell r="AW77">
            <v>1</v>
          </cell>
          <cell r="AX77">
            <v>9</v>
          </cell>
          <cell r="AY77">
            <v>17</v>
          </cell>
          <cell r="AZ77">
            <v>26</v>
          </cell>
          <cell r="BA77">
            <v>0</v>
          </cell>
          <cell r="BB77" t="str">
            <v>F</v>
          </cell>
          <cell r="BC77">
            <v>4</v>
          </cell>
          <cell r="BD77">
            <v>14</v>
          </cell>
          <cell r="BE77">
            <v>18</v>
          </cell>
          <cell r="BF77">
            <v>22</v>
          </cell>
          <cell r="BG77">
            <v>40</v>
          </cell>
          <cell r="BH77">
            <v>0</v>
          </cell>
          <cell r="BI77">
            <v>2</v>
          </cell>
          <cell r="BJ77">
            <v>5</v>
          </cell>
          <cell r="BK77">
            <v>20</v>
          </cell>
          <cell r="BL77">
            <v>25</v>
          </cell>
          <cell r="BM77">
            <v>25</v>
          </cell>
          <cell r="BN77">
            <v>0</v>
          </cell>
          <cell r="BO77">
            <v>3</v>
          </cell>
          <cell r="BP77" t="str">
            <v>F</v>
          </cell>
          <cell r="BQ77" t="str">
            <v>F</v>
          </cell>
          <cell r="BR77" t="str">
            <v>F</v>
          </cell>
          <cell r="BS77" t="str">
            <v>NEED TO PROGRESS</v>
          </cell>
          <cell r="BT77">
            <v>241</v>
          </cell>
          <cell r="BU77">
            <v>0</v>
          </cell>
          <cell r="BV77">
            <v>64</v>
          </cell>
        </row>
        <row r="78">
          <cell r="B78">
            <v>85</v>
          </cell>
          <cell r="C78" t="str">
            <v xml:space="preserve">Md. Tamim </v>
          </cell>
          <cell r="D78" t="str">
            <v xml:space="preserve">Md. Jahangir </v>
          </cell>
          <cell r="E78" t="str">
            <v xml:space="preserve">Arju </v>
          </cell>
          <cell r="F78" t="str">
            <v>01718-729346</v>
          </cell>
          <cell r="G78">
            <v>12</v>
          </cell>
          <cell r="H78">
            <v>20</v>
          </cell>
          <cell r="I78">
            <v>32</v>
          </cell>
          <cell r="J78">
            <v>23</v>
          </cell>
          <cell r="K78">
            <v>55</v>
          </cell>
          <cell r="L78">
            <v>4</v>
          </cell>
          <cell r="M78">
            <v>22</v>
          </cell>
          <cell r="N78">
            <v>26</v>
          </cell>
          <cell r="O78">
            <v>26</v>
          </cell>
          <cell r="P78">
            <v>81</v>
          </cell>
          <cell r="Q78">
            <v>0</v>
          </cell>
          <cell r="R78">
            <v>3</v>
          </cell>
          <cell r="S78">
            <v>11</v>
          </cell>
          <cell r="T78">
            <v>21</v>
          </cell>
          <cell r="U78">
            <v>32</v>
          </cell>
          <cell r="V78">
            <v>4</v>
          </cell>
          <cell r="W78">
            <v>11</v>
          </cell>
          <cell r="X78">
            <v>15</v>
          </cell>
          <cell r="Y78">
            <v>47</v>
          </cell>
          <cell r="Z78">
            <v>47</v>
          </cell>
          <cell r="AA78">
            <v>0</v>
          </cell>
          <cell r="AB78" t="str">
            <v>F</v>
          </cell>
          <cell r="AC78">
            <v>5</v>
          </cell>
          <cell r="AD78">
            <v>7</v>
          </cell>
          <cell r="AE78">
            <v>12</v>
          </cell>
          <cell r="AF78">
            <v>16</v>
          </cell>
          <cell r="AG78">
            <v>28</v>
          </cell>
          <cell r="AH78">
            <v>0</v>
          </cell>
          <cell r="AI78" t="str">
            <v>F</v>
          </cell>
          <cell r="AJ78">
            <v>9</v>
          </cell>
          <cell r="AK78">
            <v>26</v>
          </cell>
          <cell r="AL78">
            <v>35</v>
          </cell>
          <cell r="AM78">
            <v>8</v>
          </cell>
          <cell r="AN78">
            <v>43</v>
          </cell>
          <cell r="AO78">
            <v>0</v>
          </cell>
          <cell r="AP78">
            <v>2</v>
          </cell>
          <cell r="AQ78">
            <v>15</v>
          </cell>
          <cell r="AR78">
            <v>25</v>
          </cell>
          <cell r="AS78">
            <v>40</v>
          </cell>
          <cell r="AT78">
            <v>0</v>
          </cell>
          <cell r="AU78">
            <v>5</v>
          </cell>
          <cell r="AV78">
            <v>10</v>
          </cell>
          <cell r="AW78">
            <v>28</v>
          </cell>
          <cell r="AX78">
            <v>38</v>
          </cell>
          <cell r="AY78">
            <v>20</v>
          </cell>
          <cell r="AZ78">
            <v>58</v>
          </cell>
          <cell r="BA78">
            <v>0</v>
          </cell>
          <cell r="BB78">
            <v>3</v>
          </cell>
          <cell r="BC78">
            <v>9</v>
          </cell>
          <cell r="BD78">
            <v>25</v>
          </cell>
          <cell r="BE78">
            <v>34</v>
          </cell>
          <cell r="BF78">
            <v>18</v>
          </cell>
          <cell r="BG78">
            <v>52</v>
          </cell>
          <cell r="BH78">
            <v>0</v>
          </cell>
          <cell r="BI78">
            <v>3</v>
          </cell>
          <cell r="BJ78">
            <v>6</v>
          </cell>
          <cell r="BK78">
            <v>24</v>
          </cell>
          <cell r="BL78">
            <v>30</v>
          </cell>
          <cell r="BM78">
            <v>30</v>
          </cell>
          <cell r="BN78">
            <v>0</v>
          </cell>
          <cell r="BO78">
            <v>3.5</v>
          </cell>
          <cell r="BP78" t="str">
            <v>F</v>
          </cell>
          <cell r="BQ78" t="str">
            <v>F</v>
          </cell>
          <cell r="BR78" t="str">
            <v>F</v>
          </cell>
          <cell r="BS78" t="str">
            <v>NEED TO PROGRESS</v>
          </cell>
          <cell r="BT78">
            <v>349</v>
          </cell>
          <cell r="BU78">
            <v>0</v>
          </cell>
          <cell r="BV78">
            <v>68</v>
          </cell>
        </row>
        <row r="79">
          <cell r="B79">
            <v>87</v>
          </cell>
          <cell r="C79" t="str">
            <v xml:space="preserve">Ruhan Shanta </v>
          </cell>
          <cell r="D79" t="str">
            <v xml:space="preserve">Md. Hanif Mia </v>
          </cell>
          <cell r="E79" t="str">
            <v xml:space="preserve">Rupa Akter </v>
          </cell>
          <cell r="F79" t="str">
            <v>01777-778631      01716-269069</v>
          </cell>
          <cell r="G79">
            <v>15</v>
          </cell>
          <cell r="H79">
            <v>38</v>
          </cell>
          <cell r="I79">
            <v>53</v>
          </cell>
          <cell r="J79">
            <v>26</v>
          </cell>
          <cell r="K79">
            <v>79</v>
          </cell>
          <cell r="L79">
            <v>9</v>
          </cell>
          <cell r="M79">
            <v>33</v>
          </cell>
          <cell r="N79">
            <v>42</v>
          </cell>
          <cell r="O79">
            <v>42</v>
          </cell>
          <cell r="P79">
            <v>121</v>
          </cell>
          <cell r="Q79">
            <v>0</v>
          </cell>
          <cell r="R79">
            <v>5</v>
          </cell>
          <cell r="S79">
            <v>15</v>
          </cell>
          <cell r="T79">
            <v>60</v>
          </cell>
          <cell r="U79">
            <v>75</v>
          </cell>
          <cell r="V79">
            <v>8</v>
          </cell>
          <cell r="W79">
            <v>19</v>
          </cell>
          <cell r="X79">
            <v>27</v>
          </cell>
          <cell r="Y79">
            <v>102</v>
          </cell>
          <cell r="Z79">
            <v>102</v>
          </cell>
          <cell r="AA79">
            <v>0</v>
          </cell>
          <cell r="AB79">
            <v>3.5</v>
          </cell>
          <cell r="AC79">
            <v>15</v>
          </cell>
          <cell r="AD79">
            <v>33</v>
          </cell>
          <cell r="AE79">
            <v>48</v>
          </cell>
          <cell r="AF79">
            <v>25</v>
          </cell>
          <cell r="AG79">
            <v>73</v>
          </cell>
          <cell r="AH79">
            <v>0</v>
          </cell>
          <cell r="AI79">
            <v>4</v>
          </cell>
          <cell r="AJ79">
            <v>15</v>
          </cell>
          <cell r="AK79">
            <v>44</v>
          </cell>
          <cell r="AL79">
            <v>59</v>
          </cell>
          <cell r="AM79">
            <v>17</v>
          </cell>
          <cell r="AN79">
            <v>76</v>
          </cell>
          <cell r="AO79">
            <v>0</v>
          </cell>
          <cell r="AP79">
            <v>4</v>
          </cell>
          <cell r="AQ79">
            <v>20</v>
          </cell>
          <cell r="AR79">
            <v>25</v>
          </cell>
          <cell r="AS79">
            <v>45</v>
          </cell>
          <cell r="AT79">
            <v>0</v>
          </cell>
          <cell r="AU79">
            <v>5</v>
          </cell>
          <cell r="AV79">
            <v>18</v>
          </cell>
          <cell r="AW79">
            <v>37</v>
          </cell>
          <cell r="AX79">
            <v>55</v>
          </cell>
          <cell r="AY79">
            <v>22</v>
          </cell>
          <cell r="AZ79">
            <v>77</v>
          </cell>
          <cell r="BA79">
            <v>0</v>
          </cell>
          <cell r="BB79">
            <v>4</v>
          </cell>
          <cell r="BC79">
            <v>13</v>
          </cell>
          <cell r="BD79">
            <v>34</v>
          </cell>
          <cell r="BE79">
            <v>47</v>
          </cell>
          <cell r="BF79">
            <v>26</v>
          </cell>
          <cell r="BG79">
            <v>73</v>
          </cell>
          <cell r="BH79">
            <v>0</v>
          </cell>
          <cell r="BI79">
            <v>4</v>
          </cell>
          <cell r="BJ79">
            <v>10</v>
          </cell>
          <cell r="BK79">
            <v>24</v>
          </cell>
          <cell r="BL79">
            <v>34</v>
          </cell>
          <cell r="BM79">
            <v>34</v>
          </cell>
          <cell r="BN79">
            <v>0</v>
          </cell>
          <cell r="BO79">
            <v>3.5</v>
          </cell>
          <cell r="BP79">
            <v>29.5</v>
          </cell>
          <cell r="BQ79">
            <v>4.2142857142857144</v>
          </cell>
          <cell r="BR79" t="str">
            <v>A</v>
          </cell>
          <cell r="BS79" t="str">
            <v>BETTER</v>
          </cell>
          <cell r="BT79">
            <v>567</v>
          </cell>
          <cell r="BU79">
            <v>18</v>
          </cell>
          <cell r="BV79">
            <v>68</v>
          </cell>
        </row>
        <row r="80">
          <cell r="B80">
            <v>91</v>
          </cell>
          <cell r="C80" t="str">
            <v xml:space="preserve">Md. Fahim Fuad Aditto </v>
          </cell>
          <cell r="D80" t="str">
            <v xml:space="preserve">Md. Hannan Miah </v>
          </cell>
          <cell r="E80" t="str">
            <v xml:space="preserve">Momena Akter </v>
          </cell>
          <cell r="F80" t="str">
            <v>01728-116299     01882-053617</v>
          </cell>
          <cell r="G80">
            <v>12</v>
          </cell>
          <cell r="H80">
            <v>41</v>
          </cell>
          <cell r="I80">
            <v>53</v>
          </cell>
          <cell r="J80">
            <v>23</v>
          </cell>
          <cell r="K80">
            <v>76</v>
          </cell>
          <cell r="L80">
            <v>9</v>
          </cell>
          <cell r="M80">
            <v>34</v>
          </cell>
          <cell r="N80">
            <v>43</v>
          </cell>
          <cell r="O80">
            <v>43</v>
          </cell>
          <cell r="P80">
            <v>119</v>
          </cell>
          <cell r="Q80">
            <v>0</v>
          </cell>
          <cell r="R80">
            <v>4</v>
          </cell>
          <cell r="S80">
            <v>16</v>
          </cell>
          <cell r="T80">
            <v>64</v>
          </cell>
          <cell r="U80">
            <v>80</v>
          </cell>
          <cell r="V80">
            <v>7</v>
          </cell>
          <cell r="W80">
            <v>20</v>
          </cell>
          <cell r="X80">
            <v>27</v>
          </cell>
          <cell r="Y80">
            <v>107</v>
          </cell>
          <cell r="Z80">
            <v>107</v>
          </cell>
          <cell r="AA80">
            <v>0</v>
          </cell>
          <cell r="AB80">
            <v>4</v>
          </cell>
          <cell r="AC80">
            <v>14</v>
          </cell>
          <cell r="AD80">
            <v>25</v>
          </cell>
          <cell r="AE80">
            <v>39</v>
          </cell>
          <cell r="AF80">
            <v>19</v>
          </cell>
          <cell r="AG80">
            <v>58</v>
          </cell>
          <cell r="AH80">
            <v>0</v>
          </cell>
          <cell r="AI80">
            <v>3</v>
          </cell>
          <cell r="AJ80">
            <v>15</v>
          </cell>
          <cell r="AK80">
            <v>39</v>
          </cell>
          <cell r="AL80">
            <v>54</v>
          </cell>
          <cell r="AM80">
            <v>17</v>
          </cell>
          <cell r="AN80">
            <v>71</v>
          </cell>
          <cell r="AO80">
            <v>0</v>
          </cell>
          <cell r="AP80">
            <v>4</v>
          </cell>
          <cell r="AQ80">
            <v>20</v>
          </cell>
          <cell r="AR80">
            <v>25</v>
          </cell>
          <cell r="AS80">
            <v>45</v>
          </cell>
          <cell r="AT80">
            <v>0</v>
          </cell>
          <cell r="AU80">
            <v>5</v>
          </cell>
          <cell r="AV80">
            <v>17</v>
          </cell>
          <cell r="AW80">
            <v>36</v>
          </cell>
          <cell r="AX80">
            <v>53</v>
          </cell>
          <cell r="AY80">
            <v>24</v>
          </cell>
          <cell r="AZ80">
            <v>77</v>
          </cell>
          <cell r="BA80">
            <v>0</v>
          </cell>
          <cell r="BB80">
            <v>4</v>
          </cell>
          <cell r="BC80">
            <v>16</v>
          </cell>
          <cell r="BD80">
            <v>43</v>
          </cell>
          <cell r="BE80">
            <v>59</v>
          </cell>
          <cell r="BF80">
            <v>23</v>
          </cell>
          <cell r="BG80">
            <v>82</v>
          </cell>
          <cell r="BH80">
            <v>0</v>
          </cell>
          <cell r="BI80">
            <v>5</v>
          </cell>
          <cell r="BJ80">
            <v>10</v>
          </cell>
          <cell r="BK80">
            <v>32</v>
          </cell>
          <cell r="BL80">
            <v>42</v>
          </cell>
          <cell r="BM80">
            <v>42</v>
          </cell>
          <cell r="BN80">
            <v>0</v>
          </cell>
          <cell r="BO80">
            <v>5</v>
          </cell>
          <cell r="BP80">
            <v>29</v>
          </cell>
          <cell r="BQ80">
            <v>4.1428571428571432</v>
          </cell>
          <cell r="BR80" t="str">
            <v>A</v>
          </cell>
          <cell r="BS80" t="str">
            <v>BETTER</v>
          </cell>
          <cell r="BT80">
            <v>559</v>
          </cell>
          <cell r="BU80">
            <v>20</v>
          </cell>
          <cell r="BV80">
            <v>67</v>
          </cell>
        </row>
        <row r="81">
          <cell r="B81">
            <v>94</v>
          </cell>
          <cell r="C81" t="str">
            <v xml:space="preserve">Md. Mahim Islam </v>
          </cell>
          <cell r="D81" t="str">
            <v xml:space="preserve">Md. Johirul Islam </v>
          </cell>
          <cell r="E81" t="str">
            <v>Khadiza Akter Mousomi</v>
          </cell>
          <cell r="F81" t="str">
            <v>01796-524243                            01764-406664</v>
          </cell>
          <cell r="G81">
            <v>13</v>
          </cell>
          <cell r="H81">
            <v>33</v>
          </cell>
          <cell r="I81">
            <v>46</v>
          </cell>
          <cell r="J81">
            <v>25</v>
          </cell>
          <cell r="K81">
            <v>71</v>
          </cell>
          <cell r="L81">
            <v>6</v>
          </cell>
          <cell r="M81">
            <v>35</v>
          </cell>
          <cell r="N81">
            <v>41</v>
          </cell>
          <cell r="O81">
            <v>41</v>
          </cell>
          <cell r="P81">
            <v>112</v>
          </cell>
          <cell r="Q81">
            <v>0</v>
          </cell>
          <cell r="R81">
            <v>4</v>
          </cell>
          <cell r="S81">
            <v>13</v>
          </cell>
          <cell r="T81">
            <v>65</v>
          </cell>
          <cell r="U81">
            <v>78</v>
          </cell>
          <cell r="V81">
            <v>8</v>
          </cell>
          <cell r="W81">
            <v>25</v>
          </cell>
          <cell r="X81">
            <v>33</v>
          </cell>
          <cell r="Y81">
            <v>111</v>
          </cell>
          <cell r="Z81">
            <v>111</v>
          </cell>
          <cell r="AA81">
            <v>0</v>
          </cell>
          <cell r="AB81">
            <v>4</v>
          </cell>
          <cell r="AC81">
            <v>10</v>
          </cell>
          <cell r="AD81">
            <v>31</v>
          </cell>
          <cell r="AE81">
            <v>41</v>
          </cell>
          <cell r="AF81">
            <v>25</v>
          </cell>
          <cell r="AG81">
            <v>66</v>
          </cell>
          <cell r="AH81">
            <v>0</v>
          </cell>
          <cell r="AI81">
            <v>3.5</v>
          </cell>
          <cell r="AJ81">
            <v>13</v>
          </cell>
          <cell r="AK81">
            <v>40</v>
          </cell>
          <cell r="AL81">
            <v>53</v>
          </cell>
          <cell r="AM81">
            <v>22</v>
          </cell>
          <cell r="AN81">
            <v>75</v>
          </cell>
          <cell r="AO81">
            <v>0</v>
          </cell>
          <cell r="AP81">
            <v>4</v>
          </cell>
          <cell r="AQ81">
            <v>16</v>
          </cell>
          <cell r="AR81">
            <v>25</v>
          </cell>
          <cell r="AS81">
            <v>41</v>
          </cell>
          <cell r="AT81">
            <v>0</v>
          </cell>
          <cell r="AU81">
            <v>5</v>
          </cell>
          <cell r="AV81">
            <v>16</v>
          </cell>
          <cell r="AW81">
            <v>34</v>
          </cell>
          <cell r="AX81">
            <v>50</v>
          </cell>
          <cell r="AY81">
            <v>25</v>
          </cell>
          <cell r="AZ81">
            <v>75</v>
          </cell>
          <cell r="BA81">
            <v>0</v>
          </cell>
          <cell r="BB81">
            <v>4</v>
          </cell>
          <cell r="BC81">
            <v>13</v>
          </cell>
          <cell r="BD81">
            <v>36</v>
          </cell>
          <cell r="BE81">
            <v>49</v>
          </cell>
          <cell r="BF81">
            <v>27</v>
          </cell>
          <cell r="BG81">
            <v>76</v>
          </cell>
          <cell r="BH81">
            <v>0</v>
          </cell>
          <cell r="BI81">
            <v>4</v>
          </cell>
          <cell r="BJ81">
            <v>8</v>
          </cell>
          <cell r="BK81">
            <v>32</v>
          </cell>
          <cell r="BL81">
            <v>40</v>
          </cell>
          <cell r="BM81">
            <v>40</v>
          </cell>
          <cell r="BN81">
            <v>0</v>
          </cell>
          <cell r="BO81">
            <v>5</v>
          </cell>
          <cell r="BP81">
            <v>28.5</v>
          </cell>
          <cell r="BQ81">
            <v>4.0714285714285712</v>
          </cell>
          <cell r="BR81" t="str">
            <v>A</v>
          </cell>
          <cell r="BS81" t="str">
            <v>BETTER</v>
          </cell>
          <cell r="BT81">
            <v>556</v>
          </cell>
          <cell r="BU81">
            <v>22</v>
          </cell>
          <cell r="BV81">
            <v>65</v>
          </cell>
        </row>
        <row r="82">
          <cell r="B82">
            <v>98</v>
          </cell>
          <cell r="C82" t="str">
            <v>Israt Jahan Pinky</v>
          </cell>
          <cell r="D82" t="str">
            <v xml:space="preserve">Md. Bushir Ahammed </v>
          </cell>
          <cell r="E82" t="str">
            <v xml:space="preserve">Mst. Rozina Begum </v>
          </cell>
          <cell r="F82" t="str">
            <v>01722-910542                        01722-884993</v>
          </cell>
          <cell r="G82">
            <v>8</v>
          </cell>
          <cell r="H82">
            <v>21</v>
          </cell>
          <cell r="I82">
            <v>29</v>
          </cell>
          <cell r="J82">
            <v>28</v>
          </cell>
          <cell r="K82">
            <v>57</v>
          </cell>
          <cell r="L82">
            <v>4</v>
          </cell>
          <cell r="M82">
            <v>20</v>
          </cell>
          <cell r="N82">
            <v>24</v>
          </cell>
          <cell r="O82">
            <v>24</v>
          </cell>
          <cell r="P82">
            <v>81</v>
          </cell>
          <cell r="Q82">
            <v>0</v>
          </cell>
          <cell r="R82">
            <v>3</v>
          </cell>
          <cell r="S82">
            <v>11</v>
          </cell>
          <cell r="T82">
            <v>39</v>
          </cell>
          <cell r="U82">
            <v>50</v>
          </cell>
          <cell r="V82">
            <v>5</v>
          </cell>
          <cell r="W82">
            <v>6</v>
          </cell>
          <cell r="X82">
            <v>11</v>
          </cell>
          <cell r="Y82">
            <v>61</v>
          </cell>
          <cell r="Z82">
            <v>61</v>
          </cell>
          <cell r="AA82">
            <v>0</v>
          </cell>
          <cell r="AB82">
            <v>2</v>
          </cell>
          <cell r="AC82">
            <v>10</v>
          </cell>
          <cell r="AD82">
            <v>2</v>
          </cell>
          <cell r="AE82">
            <v>12</v>
          </cell>
          <cell r="AF82">
            <v>17</v>
          </cell>
          <cell r="AG82">
            <v>29</v>
          </cell>
          <cell r="AH82">
            <v>0</v>
          </cell>
          <cell r="AI82" t="str">
            <v>F</v>
          </cell>
          <cell r="AJ82">
            <v>14</v>
          </cell>
          <cell r="AK82">
            <v>19</v>
          </cell>
          <cell r="AL82">
            <v>33</v>
          </cell>
          <cell r="AM82">
            <v>11</v>
          </cell>
          <cell r="AN82">
            <v>44</v>
          </cell>
          <cell r="AO82">
            <v>0</v>
          </cell>
          <cell r="AP82">
            <v>2</v>
          </cell>
          <cell r="AQ82">
            <v>15</v>
          </cell>
          <cell r="AR82">
            <v>25</v>
          </cell>
          <cell r="AS82">
            <v>40</v>
          </cell>
          <cell r="AT82">
            <v>0</v>
          </cell>
          <cell r="AU82">
            <v>5</v>
          </cell>
          <cell r="AV82">
            <v>12</v>
          </cell>
          <cell r="AW82">
            <v>14</v>
          </cell>
          <cell r="AX82">
            <v>26</v>
          </cell>
          <cell r="AY82">
            <v>14</v>
          </cell>
          <cell r="AZ82">
            <v>40</v>
          </cell>
          <cell r="BA82">
            <v>0</v>
          </cell>
          <cell r="BB82">
            <v>2</v>
          </cell>
          <cell r="BC82">
            <v>10</v>
          </cell>
          <cell r="BD82">
            <v>17</v>
          </cell>
          <cell r="BE82">
            <v>27</v>
          </cell>
          <cell r="BF82">
            <v>25</v>
          </cell>
          <cell r="BG82">
            <v>52</v>
          </cell>
          <cell r="BH82">
            <v>0</v>
          </cell>
          <cell r="BI82">
            <v>3</v>
          </cell>
          <cell r="BJ82">
            <v>7</v>
          </cell>
          <cell r="BK82">
            <v>24</v>
          </cell>
          <cell r="BL82">
            <v>31</v>
          </cell>
          <cell r="BM82">
            <v>31</v>
          </cell>
          <cell r="BN82">
            <v>0</v>
          </cell>
          <cell r="BO82">
            <v>3.5</v>
          </cell>
          <cell r="BP82" t="str">
            <v>F</v>
          </cell>
          <cell r="BQ82" t="str">
            <v>F</v>
          </cell>
          <cell r="BR82" t="str">
            <v>F</v>
          </cell>
          <cell r="BS82" t="str">
            <v>NEED TO PROGRESS</v>
          </cell>
          <cell r="BT82">
            <v>347</v>
          </cell>
          <cell r="BU82">
            <v>0</v>
          </cell>
          <cell r="BV82">
            <v>62</v>
          </cell>
        </row>
        <row r="83">
          <cell r="B83">
            <v>100</v>
          </cell>
          <cell r="C83" t="str">
            <v>Md. Tamim Uddin</v>
          </cell>
          <cell r="D83" t="str">
            <v>Md. Asam Uddin</v>
          </cell>
          <cell r="E83" t="str">
            <v>Shafali Begum</v>
          </cell>
          <cell r="F83" t="str">
            <v>017175-67097 01721-891042</v>
          </cell>
          <cell r="G83">
            <v>12</v>
          </cell>
          <cell r="H83">
            <v>41</v>
          </cell>
          <cell r="I83">
            <v>53</v>
          </cell>
          <cell r="J83">
            <v>24</v>
          </cell>
          <cell r="K83">
            <v>77</v>
          </cell>
          <cell r="L83">
            <v>9</v>
          </cell>
          <cell r="M83">
            <v>34</v>
          </cell>
          <cell r="N83">
            <v>43</v>
          </cell>
          <cell r="O83">
            <v>43</v>
          </cell>
          <cell r="P83">
            <v>120</v>
          </cell>
          <cell r="Q83">
            <v>0</v>
          </cell>
          <cell r="R83">
            <v>5</v>
          </cell>
          <cell r="S83">
            <v>17</v>
          </cell>
          <cell r="T83">
            <v>65</v>
          </cell>
          <cell r="U83">
            <v>82</v>
          </cell>
          <cell r="V83">
            <v>8</v>
          </cell>
          <cell r="W83">
            <v>23</v>
          </cell>
          <cell r="X83">
            <v>31</v>
          </cell>
          <cell r="Y83">
            <v>113</v>
          </cell>
          <cell r="Z83">
            <v>113</v>
          </cell>
          <cell r="AA83">
            <v>0</v>
          </cell>
          <cell r="AB83">
            <v>4</v>
          </cell>
          <cell r="AC83">
            <v>20</v>
          </cell>
          <cell r="AD83">
            <v>28</v>
          </cell>
          <cell r="AE83">
            <v>48</v>
          </cell>
          <cell r="AF83">
            <v>22</v>
          </cell>
          <cell r="AG83">
            <v>70</v>
          </cell>
          <cell r="AH83">
            <v>0</v>
          </cell>
          <cell r="AI83">
            <v>4</v>
          </cell>
          <cell r="AJ83">
            <v>17</v>
          </cell>
          <cell r="AK83">
            <v>38</v>
          </cell>
          <cell r="AL83">
            <v>55</v>
          </cell>
          <cell r="AM83">
            <v>18</v>
          </cell>
          <cell r="AN83">
            <v>73</v>
          </cell>
          <cell r="AO83">
            <v>0</v>
          </cell>
          <cell r="AP83">
            <v>4</v>
          </cell>
          <cell r="AQ83">
            <v>20</v>
          </cell>
          <cell r="AR83">
            <v>25</v>
          </cell>
          <cell r="AS83">
            <v>45</v>
          </cell>
          <cell r="AT83">
            <v>0</v>
          </cell>
          <cell r="AU83">
            <v>5</v>
          </cell>
          <cell r="AV83">
            <v>16</v>
          </cell>
          <cell r="AW83">
            <v>39</v>
          </cell>
          <cell r="AX83">
            <v>55</v>
          </cell>
          <cell r="AY83">
            <v>24</v>
          </cell>
          <cell r="AZ83">
            <v>79</v>
          </cell>
          <cell r="BA83">
            <v>0</v>
          </cell>
          <cell r="BB83">
            <v>4</v>
          </cell>
          <cell r="BC83">
            <v>11</v>
          </cell>
          <cell r="BD83">
            <v>39</v>
          </cell>
          <cell r="BE83">
            <v>50</v>
          </cell>
          <cell r="BF83">
            <v>28</v>
          </cell>
          <cell r="BG83">
            <v>78</v>
          </cell>
          <cell r="BH83">
            <v>0</v>
          </cell>
          <cell r="BI83">
            <v>4</v>
          </cell>
          <cell r="BJ83">
            <v>7</v>
          </cell>
          <cell r="BK83">
            <v>24</v>
          </cell>
          <cell r="BL83">
            <v>31</v>
          </cell>
          <cell r="BM83">
            <v>31</v>
          </cell>
          <cell r="BN83">
            <v>0</v>
          </cell>
          <cell r="BO83">
            <v>3.5</v>
          </cell>
          <cell r="BP83">
            <v>30</v>
          </cell>
          <cell r="BQ83">
            <v>4.2857142857142856</v>
          </cell>
          <cell r="BR83" t="str">
            <v>A</v>
          </cell>
          <cell r="BS83" t="str">
            <v>BETTER</v>
          </cell>
          <cell r="BT83">
            <v>578</v>
          </cell>
          <cell r="BU83">
            <v>15</v>
          </cell>
          <cell r="BV83">
            <v>55</v>
          </cell>
        </row>
        <row r="84">
          <cell r="B84">
            <v>101</v>
          </cell>
          <cell r="C84" t="str">
            <v>Md. Alif Rahman</v>
          </cell>
          <cell r="D84" t="str">
            <v>Muklesur Rahman</v>
          </cell>
          <cell r="E84" t="str">
            <v>Sabia Parvin Asha</v>
          </cell>
          <cell r="F84" t="str">
            <v>01607037189 01926115090</v>
          </cell>
          <cell r="G84">
            <v>5</v>
          </cell>
          <cell r="H84">
            <v>11</v>
          </cell>
          <cell r="I84">
            <v>16</v>
          </cell>
          <cell r="J84">
            <v>23</v>
          </cell>
          <cell r="K84">
            <v>39</v>
          </cell>
          <cell r="L84">
            <v>2</v>
          </cell>
          <cell r="M84">
            <v>12</v>
          </cell>
          <cell r="N84">
            <v>14</v>
          </cell>
          <cell r="O84">
            <v>14</v>
          </cell>
          <cell r="P84">
            <v>53</v>
          </cell>
          <cell r="Q84">
            <v>0</v>
          </cell>
          <cell r="R84" t="str">
            <v>F</v>
          </cell>
          <cell r="S84">
            <v>11</v>
          </cell>
          <cell r="T84">
            <v>34</v>
          </cell>
          <cell r="U84">
            <v>45</v>
          </cell>
          <cell r="V84">
            <v>4</v>
          </cell>
          <cell r="W84">
            <v>5</v>
          </cell>
          <cell r="X84">
            <v>9</v>
          </cell>
          <cell r="Y84">
            <v>54</v>
          </cell>
          <cell r="Z84">
            <v>54</v>
          </cell>
          <cell r="AA84">
            <v>0</v>
          </cell>
          <cell r="AB84" t="str">
            <v>F</v>
          </cell>
          <cell r="AC84">
            <v>8</v>
          </cell>
          <cell r="AD84">
            <v>3</v>
          </cell>
          <cell r="AE84">
            <v>11</v>
          </cell>
          <cell r="AF84">
            <v>18</v>
          </cell>
          <cell r="AG84">
            <v>29</v>
          </cell>
          <cell r="AH84">
            <v>0</v>
          </cell>
          <cell r="AI84" t="str">
            <v>F</v>
          </cell>
          <cell r="AJ84">
            <v>8</v>
          </cell>
          <cell r="AK84">
            <v>4</v>
          </cell>
          <cell r="AL84">
            <v>12</v>
          </cell>
          <cell r="AM84">
            <v>8</v>
          </cell>
          <cell r="AN84">
            <v>20</v>
          </cell>
          <cell r="AO84">
            <v>0</v>
          </cell>
          <cell r="AP84" t="str">
            <v>F</v>
          </cell>
          <cell r="AQ84">
            <v>11</v>
          </cell>
          <cell r="AR84">
            <v>25</v>
          </cell>
          <cell r="AS84">
            <v>36</v>
          </cell>
          <cell r="AT84">
            <v>0</v>
          </cell>
          <cell r="AU84">
            <v>4</v>
          </cell>
          <cell r="AV84">
            <v>10</v>
          </cell>
          <cell r="AW84">
            <v>14</v>
          </cell>
          <cell r="AX84">
            <v>24</v>
          </cell>
          <cell r="AY84">
            <v>16</v>
          </cell>
          <cell r="AZ84">
            <v>40</v>
          </cell>
          <cell r="BA84">
            <v>0</v>
          </cell>
          <cell r="BB84">
            <v>2</v>
          </cell>
          <cell r="BC84">
            <v>8</v>
          </cell>
          <cell r="BD84">
            <v>20</v>
          </cell>
          <cell r="BE84">
            <v>28</v>
          </cell>
          <cell r="BF84">
            <v>15</v>
          </cell>
          <cell r="BG84">
            <v>43</v>
          </cell>
          <cell r="BH84">
            <v>0</v>
          </cell>
          <cell r="BI84">
            <v>2</v>
          </cell>
          <cell r="BJ84">
            <v>6</v>
          </cell>
          <cell r="BK84">
            <v>24</v>
          </cell>
          <cell r="BL84">
            <v>30</v>
          </cell>
          <cell r="BM84">
            <v>30</v>
          </cell>
          <cell r="BN84">
            <v>0</v>
          </cell>
          <cell r="BO84">
            <v>3.5</v>
          </cell>
          <cell r="BP84" t="str">
            <v>F</v>
          </cell>
          <cell r="BQ84" t="str">
            <v>F</v>
          </cell>
          <cell r="BR84" t="str">
            <v>F</v>
          </cell>
          <cell r="BS84" t="str">
            <v>NEED TO PROGRESS</v>
          </cell>
          <cell r="BT84">
            <v>275</v>
          </cell>
          <cell r="BU84">
            <v>0</v>
          </cell>
          <cell r="BV84">
            <v>56</v>
          </cell>
        </row>
        <row r="85">
          <cell r="B85">
            <v>102</v>
          </cell>
          <cell r="C85" t="str">
            <v>Md. Wasi Anan</v>
          </cell>
          <cell r="D85">
            <v>0</v>
          </cell>
          <cell r="E85">
            <v>0</v>
          </cell>
          <cell r="F85">
            <v>0</v>
          </cell>
          <cell r="G85">
            <v>19</v>
          </cell>
          <cell r="H85">
            <v>44</v>
          </cell>
          <cell r="I85">
            <v>63</v>
          </cell>
          <cell r="J85">
            <v>25</v>
          </cell>
          <cell r="K85">
            <v>88</v>
          </cell>
          <cell r="L85">
            <v>9</v>
          </cell>
          <cell r="M85">
            <v>38</v>
          </cell>
          <cell r="N85">
            <v>47</v>
          </cell>
          <cell r="O85">
            <v>47</v>
          </cell>
          <cell r="P85">
            <v>135</v>
          </cell>
          <cell r="Q85">
            <v>0</v>
          </cell>
          <cell r="R85">
            <v>5</v>
          </cell>
          <cell r="S85">
            <v>19</v>
          </cell>
          <cell r="T85">
            <v>58</v>
          </cell>
          <cell r="U85">
            <v>77</v>
          </cell>
          <cell r="V85">
            <v>4</v>
          </cell>
          <cell r="W85">
            <v>28</v>
          </cell>
          <cell r="X85">
            <v>32</v>
          </cell>
          <cell r="Y85">
            <v>109</v>
          </cell>
          <cell r="Z85">
            <v>109</v>
          </cell>
          <cell r="AA85">
            <v>0</v>
          </cell>
          <cell r="AB85">
            <v>4</v>
          </cell>
          <cell r="AC85">
            <v>19</v>
          </cell>
          <cell r="AD85">
            <v>48</v>
          </cell>
          <cell r="AE85">
            <v>67</v>
          </cell>
          <cell r="AF85">
            <v>29</v>
          </cell>
          <cell r="AG85">
            <v>96</v>
          </cell>
          <cell r="AH85">
            <v>0</v>
          </cell>
          <cell r="AI85">
            <v>5</v>
          </cell>
          <cell r="AJ85">
            <v>18</v>
          </cell>
          <cell r="AK85">
            <v>46</v>
          </cell>
          <cell r="AL85">
            <v>64</v>
          </cell>
          <cell r="AM85">
            <v>17</v>
          </cell>
          <cell r="AN85">
            <v>81</v>
          </cell>
          <cell r="AO85">
            <v>0</v>
          </cell>
          <cell r="AP85">
            <v>5</v>
          </cell>
          <cell r="AQ85">
            <v>20</v>
          </cell>
          <cell r="AR85">
            <v>25</v>
          </cell>
          <cell r="AS85">
            <v>45</v>
          </cell>
          <cell r="AT85">
            <v>0</v>
          </cell>
          <cell r="AU85">
            <v>5</v>
          </cell>
          <cell r="AV85">
            <v>18</v>
          </cell>
          <cell r="AW85">
            <v>46</v>
          </cell>
          <cell r="AX85">
            <v>64</v>
          </cell>
          <cell r="AY85">
            <v>25</v>
          </cell>
          <cell r="AZ85">
            <v>89</v>
          </cell>
          <cell r="BA85">
            <v>0</v>
          </cell>
          <cell r="BB85">
            <v>5</v>
          </cell>
          <cell r="BC85">
            <v>20</v>
          </cell>
          <cell r="BD85">
            <v>46</v>
          </cell>
          <cell r="BE85">
            <v>66</v>
          </cell>
          <cell r="BF85">
            <v>27</v>
          </cell>
          <cell r="BG85">
            <v>93</v>
          </cell>
          <cell r="BH85">
            <v>0</v>
          </cell>
          <cell r="BI85">
            <v>5</v>
          </cell>
          <cell r="BJ85">
            <v>9</v>
          </cell>
          <cell r="BK85">
            <v>28</v>
          </cell>
          <cell r="BL85">
            <v>37</v>
          </cell>
          <cell r="BM85">
            <v>37</v>
          </cell>
          <cell r="BN85">
            <v>0</v>
          </cell>
          <cell r="BO85">
            <v>4</v>
          </cell>
          <cell r="BP85">
            <v>34</v>
          </cell>
          <cell r="BQ85">
            <v>4.8571428571428568</v>
          </cell>
          <cell r="BR85" t="str">
            <v>A</v>
          </cell>
          <cell r="BS85" t="str">
            <v>BETTER</v>
          </cell>
          <cell r="BT85">
            <v>648</v>
          </cell>
          <cell r="BU85">
            <v>6</v>
          </cell>
          <cell r="BV85">
            <v>58</v>
          </cell>
        </row>
        <row r="86">
          <cell r="B86">
            <v>103</v>
          </cell>
          <cell r="C86" t="str">
            <v>Nafisa Parvin Raisa</v>
          </cell>
          <cell r="D86">
            <v>0</v>
          </cell>
          <cell r="E86">
            <v>0</v>
          </cell>
          <cell r="F86">
            <v>0</v>
          </cell>
          <cell r="G86">
            <v>14</v>
          </cell>
          <cell r="H86">
            <v>32</v>
          </cell>
          <cell r="I86">
            <v>46</v>
          </cell>
          <cell r="J86">
            <v>16</v>
          </cell>
          <cell r="K86">
            <v>62</v>
          </cell>
          <cell r="L86">
            <v>9</v>
          </cell>
          <cell r="M86">
            <v>29</v>
          </cell>
          <cell r="N86">
            <v>38</v>
          </cell>
          <cell r="O86">
            <v>38</v>
          </cell>
          <cell r="P86">
            <v>100</v>
          </cell>
          <cell r="Q86">
            <v>0</v>
          </cell>
          <cell r="R86">
            <v>3.5</v>
          </cell>
          <cell r="S86">
            <v>17</v>
          </cell>
          <cell r="T86">
            <v>29</v>
          </cell>
          <cell r="U86">
            <v>46</v>
          </cell>
          <cell r="V86">
            <v>8</v>
          </cell>
          <cell r="W86">
            <v>8</v>
          </cell>
          <cell r="X86">
            <v>16</v>
          </cell>
          <cell r="Y86">
            <v>62</v>
          </cell>
          <cell r="Z86">
            <v>62</v>
          </cell>
          <cell r="AA86">
            <v>0</v>
          </cell>
          <cell r="AB86">
            <v>2</v>
          </cell>
          <cell r="AC86">
            <v>8</v>
          </cell>
          <cell r="AD86">
            <v>8</v>
          </cell>
          <cell r="AE86">
            <v>16</v>
          </cell>
          <cell r="AF86">
            <v>11</v>
          </cell>
          <cell r="AG86">
            <v>27</v>
          </cell>
          <cell r="AH86">
            <v>0</v>
          </cell>
          <cell r="AI86" t="str">
            <v>F</v>
          </cell>
          <cell r="AJ86">
            <v>16</v>
          </cell>
          <cell r="AK86">
            <v>34</v>
          </cell>
          <cell r="AL86">
            <v>50</v>
          </cell>
          <cell r="AM86">
            <v>14</v>
          </cell>
          <cell r="AN86">
            <v>64</v>
          </cell>
          <cell r="AO86">
            <v>0</v>
          </cell>
          <cell r="AP86">
            <v>3.5</v>
          </cell>
          <cell r="AQ86">
            <v>15</v>
          </cell>
          <cell r="AR86">
            <v>25</v>
          </cell>
          <cell r="AS86">
            <v>40</v>
          </cell>
          <cell r="AT86">
            <v>0</v>
          </cell>
          <cell r="AU86">
            <v>5</v>
          </cell>
          <cell r="AV86">
            <v>14</v>
          </cell>
          <cell r="AW86">
            <v>26</v>
          </cell>
          <cell r="AX86">
            <v>40</v>
          </cell>
          <cell r="AY86">
            <v>12</v>
          </cell>
          <cell r="AZ86">
            <v>52</v>
          </cell>
          <cell r="BA86">
            <v>0</v>
          </cell>
          <cell r="BB86">
            <v>3</v>
          </cell>
          <cell r="BC86">
            <v>14</v>
          </cell>
          <cell r="BD86">
            <v>29</v>
          </cell>
          <cell r="BE86">
            <v>43</v>
          </cell>
          <cell r="BF86">
            <v>14</v>
          </cell>
          <cell r="BG86">
            <v>57</v>
          </cell>
          <cell r="BH86">
            <v>0</v>
          </cell>
          <cell r="BI86">
            <v>3</v>
          </cell>
          <cell r="BJ86">
            <v>7</v>
          </cell>
          <cell r="BK86">
            <v>24</v>
          </cell>
          <cell r="BL86">
            <v>31</v>
          </cell>
          <cell r="BM86">
            <v>31</v>
          </cell>
          <cell r="BN86">
            <v>0</v>
          </cell>
          <cell r="BO86">
            <v>3.5</v>
          </cell>
          <cell r="BP86" t="str">
            <v>F</v>
          </cell>
          <cell r="BQ86" t="str">
            <v>F</v>
          </cell>
          <cell r="BR86" t="str">
            <v>F</v>
          </cell>
          <cell r="BS86" t="str">
            <v>NEED TO PROGRESS</v>
          </cell>
          <cell r="BT86">
            <v>402</v>
          </cell>
          <cell r="BU86">
            <v>0</v>
          </cell>
          <cell r="BV86">
            <v>57</v>
          </cell>
        </row>
        <row r="87">
          <cell r="B87">
            <v>104</v>
          </cell>
          <cell r="C87" t="str">
            <v>Lamiul Islam Ratul</v>
          </cell>
          <cell r="D87">
            <v>0</v>
          </cell>
          <cell r="E87">
            <v>0</v>
          </cell>
          <cell r="F87">
            <v>0</v>
          </cell>
          <cell r="G87">
            <v>9</v>
          </cell>
          <cell r="H87">
            <v>36</v>
          </cell>
          <cell r="I87">
            <v>45</v>
          </cell>
          <cell r="J87">
            <v>22</v>
          </cell>
          <cell r="K87">
            <v>67</v>
          </cell>
          <cell r="L87">
            <v>5</v>
          </cell>
          <cell r="M87">
            <v>29</v>
          </cell>
          <cell r="N87">
            <v>34</v>
          </cell>
          <cell r="O87">
            <v>34</v>
          </cell>
          <cell r="P87">
            <v>101</v>
          </cell>
          <cell r="Q87">
            <v>0</v>
          </cell>
          <cell r="R87">
            <v>3.5</v>
          </cell>
          <cell r="S87">
            <v>10</v>
          </cell>
          <cell r="T87">
            <v>43</v>
          </cell>
          <cell r="U87">
            <v>53</v>
          </cell>
          <cell r="V87">
            <v>5</v>
          </cell>
          <cell r="W87">
            <v>17</v>
          </cell>
          <cell r="X87">
            <v>22</v>
          </cell>
          <cell r="Y87">
            <v>75</v>
          </cell>
          <cell r="Z87">
            <v>75</v>
          </cell>
          <cell r="AA87">
            <v>0</v>
          </cell>
          <cell r="AB87">
            <v>3</v>
          </cell>
          <cell r="AC87">
            <v>10</v>
          </cell>
          <cell r="AD87">
            <v>37</v>
          </cell>
          <cell r="AE87">
            <v>47</v>
          </cell>
          <cell r="AF87">
            <v>26</v>
          </cell>
          <cell r="AG87">
            <v>73</v>
          </cell>
          <cell r="AH87">
            <v>0</v>
          </cell>
          <cell r="AI87">
            <v>4</v>
          </cell>
          <cell r="AJ87">
            <v>14</v>
          </cell>
          <cell r="AK87">
            <v>33</v>
          </cell>
          <cell r="AL87">
            <v>47</v>
          </cell>
          <cell r="AM87">
            <v>15</v>
          </cell>
          <cell r="AN87">
            <v>62</v>
          </cell>
          <cell r="AO87">
            <v>0</v>
          </cell>
          <cell r="AP87">
            <v>3.5</v>
          </cell>
          <cell r="AQ87">
            <v>20</v>
          </cell>
          <cell r="AR87">
            <v>25</v>
          </cell>
          <cell r="AS87">
            <v>45</v>
          </cell>
          <cell r="AT87">
            <v>0</v>
          </cell>
          <cell r="AU87">
            <v>5</v>
          </cell>
          <cell r="AV87">
            <v>14</v>
          </cell>
          <cell r="AW87">
            <v>35</v>
          </cell>
          <cell r="AX87">
            <v>49</v>
          </cell>
          <cell r="AY87">
            <v>23</v>
          </cell>
          <cell r="AZ87">
            <v>72</v>
          </cell>
          <cell r="BA87">
            <v>0</v>
          </cell>
          <cell r="BB87">
            <v>4</v>
          </cell>
          <cell r="BC87">
            <v>13</v>
          </cell>
          <cell r="BD87">
            <v>17</v>
          </cell>
          <cell r="BE87">
            <v>30</v>
          </cell>
          <cell r="BF87">
            <v>20</v>
          </cell>
          <cell r="BG87">
            <v>50</v>
          </cell>
          <cell r="BH87">
            <v>0</v>
          </cell>
          <cell r="BI87">
            <v>3</v>
          </cell>
          <cell r="BJ87">
            <v>7</v>
          </cell>
          <cell r="BK87">
            <v>24</v>
          </cell>
          <cell r="BL87">
            <v>31</v>
          </cell>
          <cell r="BM87">
            <v>31</v>
          </cell>
          <cell r="BN87">
            <v>0</v>
          </cell>
          <cell r="BO87">
            <v>3.5</v>
          </cell>
          <cell r="BP87">
            <v>26</v>
          </cell>
          <cell r="BQ87">
            <v>3.7142857142857144</v>
          </cell>
          <cell r="BR87" t="str">
            <v>A-</v>
          </cell>
          <cell r="BS87" t="str">
            <v>GOOD</v>
          </cell>
          <cell r="BT87">
            <v>478</v>
          </cell>
          <cell r="BU87">
            <v>32</v>
          </cell>
          <cell r="BV87">
            <v>55</v>
          </cell>
        </row>
        <row r="88"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2</v>
          </cell>
          <cell r="H88">
            <v>4</v>
          </cell>
          <cell r="I88">
            <v>6</v>
          </cell>
          <cell r="J88">
            <v>19</v>
          </cell>
          <cell r="K88">
            <v>25</v>
          </cell>
          <cell r="L88">
            <v>3</v>
          </cell>
          <cell r="M88">
            <v>6</v>
          </cell>
          <cell r="N88">
            <v>9</v>
          </cell>
          <cell r="O88">
            <v>9</v>
          </cell>
          <cell r="P88">
            <v>34</v>
          </cell>
          <cell r="Q88">
            <v>0</v>
          </cell>
          <cell r="R88" t="str">
            <v>F</v>
          </cell>
          <cell r="S88">
            <v>6</v>
          </cell>
          <cell r="T88">
            <v>34</v>
          </cell>
          <cell r="U88">
            <v>40</v>
          </cell>
          <cell r="V88">
            <v>5</v>
          </cell>
          <cell r="W88">
            <v>8</v>
          </cell>
          <cell r="X88">
            <v>13</v>
          </cell>
          <cell r="Y88">
            <v>53</v>
          </cell>
          <cell r="Z88">
            <v>53</v>
          </cell>
          <cell r="AA88">
            <v>0</v>
          </cell>
          <cell r="AB88" t="str">
            <v>F</v>
          </cell>
          <cell r="AC88">
            <v>5</v>
          </cell>
          <cell r="AD88">
            <v>2</v>
          </cell>
          <cell r="AE88">
            <v>7</v>
          </cell>
          <cell r="AF88">
            <v>18</v>
          </cell>
          <cell r="AG88">
            <v>25</v>
          </cell>
          <cell r="AH88">
            <v>0</v>
          </cell>
          <cell r="AI88" t="str">
            <v>F</v>
          </cell>
          <cell r="AJ88">
            <v>9</v>
          </cell>
          <cell r="AK88">
            <v>10</v>
          </cell>
          <cell r="AL88">
            <v>19</v>
          </cell>
          <cell r="AM88">
            <v>5</v>
          </cell>
          <cell r="AN88">
            <v>24</v>
          </cell>
          <cell r="AO88">
            <v>0</v>
          </cell>
          <cell r="AP88" t="str">
            <v>F</v>
          </cell>
          <cell r="AQ88">
            <v>11</v>
          </cell>
          <cell r="AR88">
            <v>25</v>
          </cell>
          <cell r="AS88">
            <v>36</v>
          </cell>
          <cell r="AT88">
            <v>0</v>
          </cell>
          <cell r="AU88">
            <v>4</v>
          </cell>
          <cell r="AV88">
            <v>12</v>
          </cell>
          <cell r="AW88">
            <v>16</v>
          </cell>
          <cell r="AX88">
            <v>28</v>
          </cell>
          <cell r="AY88">
            <v>16</v>
          </cell>
          <cell r="AZ88">
            <v>44</v>
          </cell>
          <cell r="BA88">
            <v>0</v>
          </cell>
          <cell r="BB88">
            <v>2</v>
          </cell>
          <cell r="BC88">
            <v>10</v>
          </cell>
          <cell r="BD88">
            <v>15</v>
          </cell>
          <cell r="BE88">
            <v>25</v>
          </cell>
          <cell r="BF88">
            <v>15</v>
          </cell>
          <cell r="BG88">
            <v>40</v>
          </cell>
          <cell r="BH88">
            <v>0</v>
          </cell>
          <cell r="BI88">
            <v>2</v>
          </cell>
          <cell r="BJ88">
            <v>6</v>
          </cell>
          <cell r="BK88">
            <v>24</v>
          </cell>
          <cell r="BL88">
            <v>30</v>
          </cell>
          <cell r="BM88">
            <v>30</v>
          </cell>
          <cell r="BN88">
            <v>0</v>
          </cell>
          <cell r="BO88">
            <v>3.5</v>
          </cell>
          <cell r="BP88" t="str">
            <v>F</v>
          </cell>
          <cell r="BQ88" t="str">
            <v>F</v>
          </cell>
          <cell r="BR88" t="str">
            <v>F</v>
          </cell>
          <cell r="BS88" t="str">
            <v>NEED TO PROGRESS</v>
          </cell>
          <cell r="BT88">
            <v>256</v>
          </cell>
          <cell r="BU88">
            <v>0</v>
          </cell>
          <cell r="BV88">
            <v>54</v>
          </cell>
        </row>
        <row r="89"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13</v>
          </cell>
          <cell r="H89">
            <v>36</v>
          </cell>
          <cell r="I89">
            <v>49</v>
          </cell>
          <cell r="J89">
            <v>26</v>
          </cell>
          <cell r="K89">
            <v>75</v>
          </cell>
          <cell r="L89">
            <v>9</v>
          </cell>
          <cell r="M89">
            <v>33</v>
          </cell>
          <cell r="N89">
            <v>42</v>
          </cell>
          <cell r="O89">
            <v>42</v>
          </cell>
          <cell r="P89">
            <v>117</v>
          </cell>
          <cell r="Q89">
            <v>0</v>
          </cell>
          <cell r="R89">
            <v>4</v>
          </cell>
          <cell r="S89">
            <v>15</v>
          </cell>
          <cell r="T89">
            <v>60</v>
          </cell>
          <cell r="U89">
            <v>75</v>
          </cell>
          <cell r="V89">
            <v>5</v>
          </cell>
          <cell r="W89">
            <v>18</v>
          </cell>
          <cell r="X89">
            <v>23</v>
          </cell>
          <cell r="Y89">
            <v>98</v>
          </cell>
          <cell r="Z89">
            <v>98</v>
          </cell>
          <cell r="AA89">
            <v>0</v>
          </cell>
          <cell r="AB89">
            <v>3.5</v>
          </cell>
          <cell r="AC89">
            <v>5</v>
          </cell>
          <cell r="AD89">
            <v>46</v>
          </cell>
          <cell r="AE89">
            <v>51</v>
          </cell>
          <cell r="AF89">
            <v>24</v>
          </cell>
          <cell r="AG89">
            <v>75</v>
          </cell>
          <cell r="AH89">
            <v>0</v>
          </cell>
          <cell r="AI89">
            <v>4</v>
          </cell>
          <cell r="AJ89">
            <v>16</v>
          </cell>
          <cell r="AK89">
            <v>40</v>
          </cell>
          <cell r="AL89">
            <v>56</v>
          </cell>
          <cell r="AM89">
            <v>23</v>
          </cell>
          <cell r="AN89">
            <v>79</v>
          </cell>
          <cell r="AO89">
            <v>0</v>
          </cell>
          <cell r="AP89">
            <v>4</v>
          </cell>
          <cell r="AQ89">
            <v>20</v>
          </cell>
          <cell r="AR89">
            <v>25</v>
          </cell>
          <cell r="AS89">
            <v>45</v>
          </cell>
          <cell r="AT89">
            <v>0</v>
          </cell>
          <cell r="AU89">
            <v>5</v>
          </cell>
          <cell r="AV89">
            <v>18</v>
          </cell>
          <cell r="AW89">
            <v>44</v>
          </cell>
          <cell r="AX89">
            <v>62</v>
          </cell>
          <cell r="AY89">
            <v>26</v>
          </cell>
          <cell r="AZ89">
            <v>88</v>
          </cell>
          <cell r="BA89">
            <v>0</v>
          </cell>
          <cell r="BB89">
            <v>5</v>
          </cell>
          <cell r="BC89">
            <v>16</v>
          </cell>
          <cell r="BD89">
            <v>41</v>
          </cell>
          <cell r="BE89">
            <v>57</v>
          </cell>
          <cell r="BF89">
            <v>29</v>
          </cell>
          <cell r="BG89">
            <v>86</v>
          </cell>
          <cell r="BH89">
            <v>0</v>
          </cell>
          <cell r="BI89">
            <v>5</v>
          </cell>
          <cell r="BJ89">
            <v>10</v>
          </cell>
          <cell r="BK89">
            <v>32</v>
          </cell>
          <cell r="BL89">
            <v>42</v>
          </cell>
          <cell r="BM89">
            <v>42</v>
          </cell>
          <cell r="BN89">
            <v>0</v>
          </cell>
          <cell r="BO89">
            <v>5</v>
          </cell>
          <cell r="BP89">
            <v>30.5</v>
          </cell>
          <cell r="BQ89">
            <v>4.3571428571428568</v>
          </cell>
          <cell r="BR89" t="str">
            <v>A</v>
          </cell>
          <cell r="BS89" t="str">
            <v>BETTER</v>
          </cell>
          <cell r="BT89">
            <v>588</v>
          </cell>
          <cell r="BU89">
            <v>12</v>
          </cell>
          <cell r="BV89">
            <v>52</v>
          </cell>
        </row>
        <row r="90"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12</v>
          </cell>
          <cell r="H90">
            <v>38</v>
          </cell>
          <cell r="I90">
            <v>50</v>
          </cell>
          <cell r="J90">
            <v>25</v>
          </cell>
          <cell r="K90">
            <v>75</v>
          </cell>
          <cell r="L90">
            <v>5</v>
          </cell>
          <cell r="M90">
            <v>33</v>
          </cell>
          <cell r="N90">
            <v>38</v>
          </cell>
          <cell r="O90">
            <v>38</v>
          </cell>
          <cell r="P90">
            <v>113</v>
          </cell>
          <cell r="Q90">
            <v>0</v>
          </cell>
          <cell r="R90">
            <v>4</v>
          </cell>
          <cell r="S90">
            <v>16</v>
          </cell>
          <cell r="T90">
            <v>63</v>
          </cell>
          <cell r="U90">
            <v>79</v>
          </cell>
          <cell r="V90">
            <v>5</v>
          </cell>
          <cell r="W90">
            <v>32</v>
          </cell>
          <cell r="X90">
            <v>37</v>
          </cell>
          <cell r="Y90">
            <v>116</v>
          </cell>
          <cell r="Z90">
            <v>116</v>
          </cell>
          <cell r="AA90">
            <v>0</v>
          </cell>
          <cell r="AB90">
            <v>4</v>
          </cell>
          <cell r="AC90">
            <v>5</v>
          </cell>
          <cell r="AD90">
            <v>38</v>
          </cell>
          <cell r="AE90">
            <v>43</v>
          </cell>
          <cell r="AF90">
            <v>27</v>
          </cell>
          <cell r="AG90">
            <v>70</v>
          </cell>
          <cell r="AH90">
            <v>0</v>
          </cell>
          <cell r="AI90">
            <v>4</v>
          </cell>
          <cell r="AJ90">
            <v>17</v>
          </cell>
          <cell r="AK90">
            <v>46</v>
          </cell>
          <cell r="AL90">
            <v>63</v>
          </cell>
          <cell r="AM90">
            <v>25</v>
          </cell>
          <cell r="AN90">
            <v>88</v>
          </cell>
          <cell r="AO90">
            <v>0</v>
          </cell>
          <cell r="AP90">
            <v>5</v>
          </cell>
          <cell r="AQ90">
            <v>20</v>
          </cell>
          <cell r="AR90">
            <v>25</v>
          </cell>
          <cell r="AS90">
            <v>45</v>
          </cell>
          <cell r="AT90">
            <v>0</v>
          </cell>
          <cell r="AU90">
            <v>5</v>
          </cell>
          <cell r="AV90">
            <v>10</v>
          </cell>
          <cell r="AW90">
            <v>35</v>
          </cell>
          <cell r="AX90">
            <v>45</v>
          </cell>
          <cell r="AY90">
            <v>20</v>
          </cell>
          <cell r="AZ90">
            <v>65</v>
          </cell>
          <cell r="BA90">
            <v>0</v>
          </cell>
          <cell r="BB90">
            <v>3.5</v>
          </cell>
          <cell r="BC90">
            <v>11</v>
          </cell>
          <cell r="BD90">
            <v>40</v>
          </cell>
          <cell r="BE90">
            <v>51</v>
          </cell>
          <cell r="BF90">
            <v>24</v>
          </cell>
          <cell r="BG90">
            <v>75</v>
          </cell>
          <cell r="BH90">
            <v>0</v>
          </cell>
          <cell r="BI90">
            <v>4</v>
          </cell>
          <cell r="BJ90">
            <v>7</v>
          </cell>
          <cell r="BK90">
            <v>24</v>
          </cell>
          <cell r="BL90">
            <v>31</v>
          </cell>
          <cell r="BM90">
            <v>31</v>
          </cell>
          <cell r="BN90">
            <v>0</v>
          </cell>
          <cell r="BO90">
            <v>3.5</v>
          </cell>
          <cell r="BP90">
            <v>29.5</v>
          </cell>
          <cell r="BQ90">
            <v>4.2142857142857144</v>
          </cell>
          <cell r="BR90" t="str">
            <v>A</v>
          </cell>
          <cell r="BS90" t="str">
            <v>BETTER</v>
          </cell>
          <cell r="BT90">
            <v>572</v>
          </cell>
          <cell r="BU90">
            <v>17</v>
          </cell>
          <cell r="BV90">
            <v>53</v>
          </cell>
        </row>
        <row r="91"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9</v>
          </cell>
          <cell r="H91">
            <v>11</v>
          </cell>
          <cell r="I91">
            <v>20</v>
          </cell>
          <cell r="J91">
            <v>15</v>
          </cell>
          <cell r="K91">
            <v>35</v>
          </cell>
          <cell r="L91">
            <v>5</v>
          </cell>
          <cell r="M91">
            <v>27</v>
          </cell>
          <cell r="N91">
            <v>32</v>
          </cell>
          <cell r="O91">
            <v>32</v>
          </cell>
          <cell r="P91">
            <v>67</v>
          </cell>
          <cell r="Q91">
            <v>0</v>
          </cell>
          <cell r="R91">
            <v>2</v>
          </cell>
          <cell r="S91">
            <v>11</v>
          </cell>
          <cell r="T91">
            <v>32</v>
          </cell>
          <cell r="U91">
            <v>43</v>
          </cell>
          <cell r="V91">
            <v>3</v>
          </cell>
          <cell r="W91">
            <v>14</v>
          </cell>
          <cell r="X91">
            <v>17</v>
          </cell>
          <cell r="Y91">
            <v>60</v>
          </cell>
          <cell r="Z91">
            <v>60</v>
          </cell>
          <cell r="AA91">
            <v>0</v>
          </cell>
          <cell r="AB91">
            <v>2</v>
          </cell>
          <cell r="AC91">
            <v>5</v>
          </cell>
          <cell r="AD91">
            <v>6</v>
          </cell>
          <cell r="AE91">
            <v>11</v>
          </cell>
          <cell r="AF91">
            <v>8</v>
          </cell>
          <cell r="AG91">
            <v>19</v>
          </cell>
          <cell r="AH91">
            <v>0</v>
          </cell>
          <cell r="AI91" t="str">
            <v>F</v>
          </cell>
          <cell r="AJ91">
            <v>15</v>
          </cell>
          <cell r="AK91">
            <v>24</v>
          </cell>
          <cell r="AL91">
            <v>39</v>
          </cell>
          <cell r="AM91">
            <v>25</v>
          </cell>
          <cell r="AN91">
            <v>64</v>
          </cell>
          <cell r="AO91">
            <v>0</v>
          </cell>
          <cell r="AP91">
            <v>3.5</v>
          </cell>
          <cell r="AQ91">
            <v>15</v>
          </cell>
          <cell r="AR91">
            <v>25</v>
          </cell>
          <cell r="AS91">
            <v>40</v>
          </cell>
          <cell r="AT91">
            <v>0</v>
          </cell>
          <cell r="AU91">
            <v>5</v>
          </cell>
          <cell r="AV91">
            <v>12</v>
          </cell>
          <cell r="AW91">
            <v>23</v>
          </cell>
          <cell r="AX91">
            <v>35</v>
          </cell>
          <cell r="AY91">
            <v>24</v>
          </cell>
          <cell r="AZ91">
            <v>59</v>
          </cell>
          <cell r="BA91">
            <v>0</v>
          </cell>
          <cell r="BB91">
            <v>3</v>
          </cell>
          <cell r="BC91">
            <v>10</v>
          </cell>
          <cell r="BD91">
            <v>14</v>
          </cell>
          <cell r="BE91">
            <v>24</v>
          </cell>
          <cell r="BF91">
            <v>17</v>
          </cell>
          <cell r="BG91">
            <v>41</v>
          </cell>
          <cell r="BH91">
            <v>0</v>
          </cell>
          <cell r="BI91">
            <v>2</v>
          </cell>
          <cell r="BJ91">
            <v>6</v>
          </cell>
          <cell r="BK91">
            <v>24</v>
          </cell>
          <cell r="BL91">
            <v>30</v>
          </cell>
          <cell r="BM91">
            <v>30</v>
          </cell>
          <cell r="BN91">
            <v>0</v>
          </cell>
          <cell r="BO91">
            <v>3.5</v>
          </cell>
          <cell r="BP91" t="str">
            <v>F</v>
          </cell>
          <cell r="BQ91" t="str">
            <v>F</v>
          </cell>
          <cell r="BR91" t="str">
            <v>F</v>
          </cell>
          <cell r="BS91" t="str">
            <v>NEED TO PROGRESS</v>
          </cell>
          <cell r="BT91">
            <v>350</v>
          </cell>
          <cell r="BU91">
            <v>0</v>
          </cell>
          <cell r="BV91">
            <v>54</v>
          </cell>
        </row>
        <row r="92"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4</v>
          </cell>
          <cell r="H92">
            <v>15</v>
          </cell>
          <cell r="I92">
            <v>19</v>
          </cell>
          <cell r="J92">
            <v>19</v>
          </cell>
          <cell r="K92">
            <v>38</v>
          </cell>
          <cell r="L92">
            <v>3</v>
          </cell>
          <cell r="M92">
            <v>26</v>
          </cell>
          <cell r="N92">
            <v>29</v>
          </cell>
          <cell r="O92">
            <v>29</v>
          </cell>
          <cell r="P92">
            <v>67</v>
          </cell>
          <cell r="Q92">
            <v>0</v>
          </cell>
          <cell r="R92">
            <v>2</v>
          </cell>
          <cell r="S92">
            <v>12</v>
          </cell>
          <cell r="T92">
            <v>43</v>
          </cell>
          <cell r="U92">
            <v>55</v>
          </cell>
          <cell r="V92">
            <v>5</v>
          </cell>
          <cell r="W92">
            <v>21</v>
          </cell>
          <cell r="X92">
            <v>26</v>
          </cell>
          <cell r="Y92">
            <v>81</v>
          </cell>
          <cell r="Z92">
            <v>81</v>
          </cell>
          <cell r="AA92">
            <v>0</v>
          </cell>
          <cell r="AB92">
            <v>3</v>
          </cell>
          <cell r="AC92">
            <v>5</v>
          </cell>
          <cell r="AD92">
            <v>2</v>
          </cell>
          <cell r="AE92">
            <v>7</v>
          </cell>
          <cell r="AF92">
            <v>7</v>
          </cell>
          <cell r="AG92">
            <v>14</v>
          </cell>
          <cell r="AH92">
            <v>0</v>
          </cell>
          <cell r="AI92" t="str">
            <v>F</v>
          </cell>
          <cell r="AJ92">
            <v>13</v>
          </cell>
          <cell r="AK92">
            <v>29</v>
          </cell>
          <cell r="AL92">
            <v>42</v>
          </cell>
          <cell r="AM92">
            <v>16</v>
          </cell>
          <cell r="AN92">
            <v>58</v>
          </cell>
          <cell r="AO92">
            <v>0</v>
          </cell>
          <cell r="AP92">
            <v>3</v>
          </cell>
          <cell r="AQ92">
            <v>20</v>
          </cell>
          <cell r="AR92">
            <v>25</v>
          </cell>
          <cell r="AS92">
            <v>45</v>
          </cell>
          <cell r="AT92">
            <v>0</v>
          </cell>
          <cell r="AU92">
            <v>5</v>
          </cell>
          <cell r="AV92">
            <v>10</v>
          </cell>
          <cell r="AW92">
            <v>18</v>
          </cell>
          <cell r="AX92">
            <v>28</v>
          </cell>
          <cell r="AY92">
            <v>15</v>
          </cell>
          <cell r="AZ92">
            <v>43</v>
          </cell>
          <cell r="BA92">
            <v>0</v>
          </cell>
          <cell r="BB92">
            <v>2</v>
          </cell>
          <cell r="BC92">
            <v>9</v>
          </cell>
          <cell r="BD92">
            <v>20</v>
          </cell>
          <cell r="BE92">
            <v>29</v>
          </cell>
          <cell r="BF92">
            <v>17</v>
          </cell>
          <cell r="BG92">
            <v>46</v>
          </cell>
          <cell r="BH92">
            <v>0</v>
          </cell>
          <cell r="BI92">
            <v>2</v>
          </cell>
          <cell r="BJ92">
            <v>7</v>
          </cell>
          <cell r="BK92">
            <v>24</v>
          </cell>
          <cell r="BL92">
            <v>31</v>
          </cell>
          <cell r="BM92">
            <v>31</v>
          </cell>
          <cell r="BN92">
            <v>0</v>
          </cell>
          <cell r="BO92">
            <v>3.5</v>
          </cell>
          <cell r="BP92" t="str">
            <v>F</v>
          </cell>
          <cell r="BQ92" t="str">
            <v>F</v>
          </cell>
          <cell r="BR92" t="str">
            <v>F</v>
          </cell>
          <cell r="BS92" t="str">
            <v>NEED TO PROGRESS</v>
          </cell>
          <cell r="BT92">
            <v>354</v>
          </cell>
          <cell r="BU92">
            <v>0</v>
          </cell>
          <cell r="BV92">
            <v>52</v>
          </cell>
        </row>
        <row r="93"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12</v>
          </cell>
          <cell r="H93">
            <v>31</v>
          </cell>
          <cell r="I93">
            <v>43</v>
          </cell>
          <cell r="J93">
            <v>26</v>
          </cell>
          <cell r="K93">
            <v>69</v>
          </cell>
          <cell r="L93">
            <v>2</v>
          </cell>
          <cell r="M93">
            <v>30</v>
          </cell>
          <cell r="N93">
            <v>32</v>
          </cell>
          <cell r="O93">
            <v>32</v>
          </cell>
          <cell r="P93">
            <v>101</v>
          </cell>
          <cell r="Q93">
            <v>0</v>
          </cell>
          <cell r="R93">
            <v>3.5</v>
          </cell>
          <cell r="S93">
            <v>3</v>
          </cell>
          <cell r="T93">
            <v>9</v>
          </cell>
          <cell r="U93">
            <v>12</v>
          </cell>
          <cell r="V93">
            <v>1</v>
          </cell>
          <cell r="W93">
            <v>14</v>
          </cell>
          <cell r="X93">
            <v>15</v>
          </cell>
          <cell r="Y93">
            <v>27</v>
          </cell>
          <cell r="Z93">
            <v>27</v>
          </cell>
          <cell r="AA93">
            <v>0</v>
          </cell>
          <cell r="AB93" t="str">
            <v>F</v>
          </cell>
          <cell r="AC93">
            <v>0</v>
          </cell>
          <cell r="AD93">
            <v>2</v>
          </cell>
          <cell r="AE93">
            <v>2</v>
          </cell>
          <cell r="AF93">
            <v>12</v>
          </cell>
          <cell r="AG93">
            <v>14</v>
          </cell>
          <cell r="AH93">
            <v>0</v>
          </cell>
          <cell r="AI93" t="str">
            <v>F</v>
          </cell>
          <cell r="AJ93">
            <v>0</v>
          </cell>
          <cell r="AK93">
            <v>56</v>
          </cell>
          <cell r="AL93">
            <v>56</v>
          </cell>
          <cell r="AM93">
            <v>17</v>
          </cell>
          <cell r="AN93">
            <v>73</v>
          </cell>
          <cell r="AO93">
            <v>0</v>
          </cell>
          <cell r="AP93">
            <v>4</v>
          </cell>
          <cell r="AQ93">
            <v>12</v>
          </cell>
          <cell r="AR93">
            <v>25</v>
          </cell>
          <cell r="AS93">
            <v>37</v>
          </cell>
          <cell r="AT93">
            <v>0</v>
          </cell>
          <cell r="AU93">
            <v>4</v>
          </cell>
          <cell r="AV93">
            <v>0</v>
          </cell>
          <cell r="AW93">
            <v>16</v>
          </cell>
          <cell r="AX93">
            <v>16</v>
          </cell>
          <cell r="AY93">
            <v>23</v>
          </cell>
          <cell r="AZ93">
            <v>39</v>
          </cell>
          <cell r="BA93">
            <v>0</v>
          </cell>
          <cell r="BB93" t="str">
            <v>F</v>
          </cell>
          <cell r="BC93">
            <v>0</v>
          </cell>
          <cell r="BD93">
            <v>30</v>
          </cell>
          <cell r="BE93">
            <v>30</v>
          </cell>
          <cell r="BF93">
            <v>24</v>
          </cell>
          <cell r="BG93">
            <v>54</v>
          </cell>
          <cell r="BH93">
            <v>0</v>
          </cell>
          <cell r="BI93">
            <v>3</v>
          </cell>
          <cell r="BJ93">
            <v>10</v>
          </cell>
          <cell r="BK93">
            <v>25</v>
          </cell>
          <cell r="BL93">
            <v>35</v>
          </cell>
          <cell r="BM93">
            <v>35</v>
          </cell>
          <cell r="BN93">
            <v>0</v>
          </cell>
          <cell r="BO93">
            <v>4</v>
          </cell>
          <cell r="BP93" t="str">
            <v>F</v>
          </cell>
          <cell r="BQ93" t="str">
            <v>F</v>
          </cell>
          <cell r="BR93" t="str">
            <v>F</v>
          </cell>
          <cell r="BS93" t="str">
            <v>NEED TO PROGRESS</v>
          </cell>
          <cell r="BT93">
            <v>345</v>
          </cell>
          <cell r="BU93">
            <v>0</v>
          </cell>
          <cell r="BV93">
            <v>50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1</v>
          </cell>
          <cell r="C96">
            <v>2</v>
          </cell>
          <cell r="D96">
            <v>3</v>
          </cell>
          <cell r="E96">
            <v>4</v>
          </cell>
          <cell r="F96">
            <v>5</v>
          </cell>
          <cell r="G96">
            <v>6</v>
          </cell>
          <cell r="H96">
            <v>7</v>
          </cell>
          <cell r="I96">
            <v>8</v>
          </cell>
          <cell r="J96">
            <v>9</v>
          </cell>
          <cell r="K96">
            <v>10</v>
          </cell>
          <cell r="L96">
            <v>11</v>
          </cell>
          <cell r="M96">
            <v>12</v>
          </cell>
          <cell r="N96">
            <v>13</v>
          </cell>
          <cell r="O96">
            <v>14</v>
          </cell>
          <cell r="P96">
            <v>15</v>
          </cell>
          <cell r="Q96">
            <v>16</v>
          </cell>
          <cell r="R96">
            <v>17</v>
          </cell>
          <cell r="S96">
            <v>18</v>
          </cell>
          <cell r="T96">
            <v>19</v>
          </cell>
          <cell r="U96">
            <v>20</v>
          </cell>
          <cell r="V96">
            <v>21</v>
          </cell>
          <cell r="W96">
            <v>22</v>
          </cell>
          <cell r="X96">
            <v>23</v>
          </cell>
          <cell r="Y96">
            <v>24</v>
          </cell>
          <cell r="Z96">
            <v>25</v>
          </cell>
          <cell r="AA96">
            <v>26</v>
          </cell>
          <cell r="AB96">
            <v>27</v>
          </cell>
          <cell r="AC96">
            <v>28</v>
          </cell>
          <cell r="AD96">
            <v>29</v>
          </cell>
          <cell r="AE96">
            <v>30</v>
          </cell>
          <cell r="AF96">
            <v>31</v>
          </cell>
          <cell r="AG96">
            <v>32</v>
          </cell>
          <cell r="AH96">
            <v>33</v>
          </cell>
          <cell r="AI96">
            <v>34</v>
          </cell>
          <cell r="AJ96">
            <v>35</v>
          </cell>
          <cell r="AK96">
            <v>36</v>
          </cell>
          <cell r="AL96">
            <v>37</v>
          </cell>
          <cell r="AM96">
            <v>38</v>
          </cell>
          <cell r="AN96">
            <v>39</v>
          </cell>
          <cell r="AO96">
            <v>40</v>
          </cell>
          <cell r="AP96">
            <v>41</v>
          </cell>
          <cell r="AQ96">
            <v>42</v>
          </cell>
          <cell r="AR96">
            <v>43</v>
          </cell>
          <cell r="AS96">
            <v>44</v>
          </cell>
          <cell r="AT96">
            <v>45</v>
          </cell>
          <cell r="AU96">
            <v>46</v>
          </cell>
          <cell r="AV96">
            <v>47</v>
          </cell>
          <cell r="AW96">
            <v>48</v>
          </cell>
          <cell r="AX96">
            <v>49</v>
          </cell>
          <cell r="AY96">
            <v>50</v>
          </cell>
          <cell r="AZ96">
            <v>51</v>
          </cell>
          <cell r="BA96">
            <v>52</v>
          </cell>
          <cell r="BB96">
            <v>53</v>
          </cell>
          <cell r="BC96">
            <v>54</v>
          </cell>
          <cell r="BD96">
            <v>55</v>
          </cell>
          <cell r="BE96">
            <v>56</v>
          </cell>
          <cell r="BF96">
            <v>57</v>
          </cell>
          <cell r="BG96">
            <v>58</v>
          </cell>
          <cell r="BH96">
            <v>59</v>
          </cell>
          <cell r="BI96">
            <v>60</v>
          </cell>
          <cell r="BJ96">
            <v>61</v>
          </cell>
          <cell r="BK96">
            <v>62</v>
          </cell>
          <cell r="BL96">
            <v>63</v>
          </cell>
          <cell r="BM96">
            <v>64</v>
          </cell>
          <cell r="BN96">
            <v>65</v>
          </cell>
          <cell r="BO96">
            <v>66</v>
          </cell>
          <cell r="BP96">
            <v>67</v>
          </cell>
          <cell r="BQ96">
            <v>68</v>
          </cell>
          <cell r="BR96">
            <v>69</v>
          </cell>
          <cell r="BS96">
            <v>70</v>
          </cell>
          <cell r="BT96">
            <v>71</v>
          </cell>
          <cell r="BU96">
            <v>72</v>
          </cell>
          <cell r="BV96">
            <v>73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V355"/>
  <sheetViews>
    <sheetView tabSelected="1" topLeftCell="A4" zoomScale="85" zoomScaleNormal="85" workbookViewId="0">
      <selection activeCell="AE24" sqref="AE24"/>
    </sheetView>
  </sheetViews>
  <sheetFormatPr defaultRowHeight="15"/>
  <cols>
    <col min="1" max="2" width="9.140625" style="64"/>
    <col min="3" max="3" width="29.140625" style="64" bestFit="1" customWidth="1"/>
    <col min="4" max="4" width="26.7109375" style="64" hidden="1" customWidth="1"/>
    <col min="5" max="5" width="23" style="64" hidden="1" customWidth="1"/>
    <col min="6" max="6" width="18.42578125" style="64" hidden="1" customWidth="1"/>
    <col min="7" max="47" width="9.140625" style="64"/>
    <col min="48" max="48" width="14.85546875" style="64" bestFit="1" customWidth="1"/>
    <col min="49" max="70" width="9.140625" style="64"/>
    <col min="71" max="71" width="19.140625" style="64" bestFit="1" customWidth="1"/>
    <col min="72" max="16384" width="9.140625" style="64"/>
  </cols>
  <sheetData>
    <row r="1" spans="1:74" ht="27.95" customHeight="1">
      <c r="B1" s="171" t="s">
        <v>398</v>
      </c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  <c r="BU1" s="171"/>
    </row>
    <row r="2" spans="1:74" ht="27.95" customHeight="1"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  <c r="BU2" s="171"/>
    </row>
    <row r="3" spans="1:74" ht="27.95" customHeight="1"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1"/>
      <c r="BK3" s="171"/>
      <c r="BL3" s="171"/>
      <c r="BM3" s="171"/>
      <c r="BN3" s="171"/>
      <c r="BO3" s="171"/>
      <c r="BP3" s="171"/>
      <c r="BQ3" s="171"/>
      <c r="BR3" s="171"/>
      <c r="BS3" s="171"/>
      <c r="BT3" s="171"/>
      <c r="BU3" s="171"/>
    </row>
    <row r="4" spans="1:74" ht="27.95" customHeight="1"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171"/>
      <c r="AN4" s="171"/>
      <c r="AO4" s="171"/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71"/>
      <c r="BA4" s="171"/>
      <c r="BB4" s="171"/>
      <c r="BC4" s="171"/>
      <c r="BD4" s="171"/>
      <c r="BE4" s="171"/>
      <c r="BF4" s="171"/>
      <c r="BG4" s="171"/>
      <c r="BH4" s="171"/>
      <c r="BI4" s="171"/>
      <c r="BJ4" s="171"/>
      <c r="BK4" s="171"/>
      <c r="BL4" s="171"/>
      <c r="BM4" s="171"/>
      <c r="BN4" s="171"/>
      <c r="BO4" s="171"/>
      <c r="BP4" s="171"/>
      <c r="BQ4" s="171"/>
      <c r="BR4" s="171"/>
      <c r="BS4" s="171"/>
      <c r="BT4" s="171"/>
      <c r="BU4" s="171"/>
    </row>
    <row r="5" spans="1:74" ht="27.95" customHeight="1"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71"/>
      <c r="BI5" s="171"/>
      <c r="BJ5" s="171"/>
      <c r="BK5" s="171"/>
      <c r="BL5" s="171"/>
      <c r="BM5" s="171"/>
      <c r="BN5" s="171"/>
      <c r="BO5" s="171"/>
      <c r="BP5" s="171"/>
      <c r="BQ5" s="171"/>
      <c r="BR5" s="171"/>
      <c r="BS5" s="171"/>
      <c r="BT5" s="171"/>
      <c r="BU5" s="171"/>
    </row>
    <row r="6" spans="1:74" s="65" customFormat="1" ht="27.95" customHeight="1">
      <c r="A6" s="172" t="s">
        <v>59</v>
      </c>
      <c r="B6" s="173" t="s">
        <v>0</v>
      </c>
      <c r="C6" s="174" t="s">
        <v>60</v>
      </c>
      <c r="D6" s="174" t="s">
        <v>61</v>
      </c>
      <c r="E6" s="174" t="s">
        <v>62</v>
      </c>
      <c r="F6" s="174" t="s">
        <v>63</v>
      </c>
      <c r="G6" s="170" t="s">
        <v>64</v>
      </c>
      <c r="H6" s="170"/>
      <c r="I6" s="170"/>
      <c r="J6" s="170"/>
      <c r="K6" s="170" t="s">
        <v>65</v>
      </c>
      <c r="L6" s="170" t="s">
        <v>66</v>
      </c>
      <c r="M6" s="170"/>
      <c r="N6" s="170"/>
      <c r="O6" s="170" t="s">
        <v>65</v>
      </c>
      <c r="P6" s="170" t="s">
        <v>9</v>
      </c>
      <c r="Q6" s="170" t="s">
        <v>67</v>
      </c>
      <c r="R6" s="170" t="s">
        <v>1</v>
      </c>
      <c r="S6" s="170" t="s">
        <v>27</v>
      </c>
      <c r="T6" s="170"/>
      <c r="U6" s="170"/>
      <c r="V6" s="170"/>
      <c r="W6" s="170"/>
      <c r="X6" s="170"/>
      <c r="Y6" s="170" t="s">
        <v>65</v>
      </c>
      <c r="Z6" s="170" t="s">
        <v>9</v>
      </c>
      <c r="AA6" s="170" t="s">
        <v>67</v>
      </c>
      <c r="AB6" s="170" t="s">
        <v>1</v>
      </c>
      <c r="AC6" s="170" t="s">
        <v>13</v>
      </c>
      <c r="AD6" s="170"/>
      <c r="AE6" s="170"/>
      <c r="AF6" s="170"/>
      <c r="AG6" s="170" t="s">
        <v>9</v>
      </c>
      <c r="AH6" s="170" t="s">
        <v>67</v>
      </c>
      <c r="AI6" s="170" t="s">
        <v>1</v>
      </c>
      <c r="AJ6" s="170" t="s">
        <v>23</v>
      </c>
      <c r="AK6" s="170"/>
      <c r="AL6" s="170"/>
      <c r="AM6" s="170"/>
      <c r="AN6" s="170" t="s">
        <v>9</v>
      </c>
      <c r="AO6" s="170" t="s">
        <v>67</v>
      </c>
      <c r="AP6" s="170" t="s">
        <v>1</v>
      </c>
      <c r="AQ6" s="170" t="s">
        <v>8</v>
      </c>
      <c r="AR6" s="170"/>
      <c r="AS6" s="170" t="s">
        <v>9</v>
      </c>
      <c r="AT6" s="170" t="s">
        <v>67</v>
      </c>
      <c r="AU6" s="170" t="s">
        <v>1</v>
      </c>
      <c r="AV6" s="170" t="s">
        <v>5</v>
      </c>
      <c r="AW6" s="170"/>
      <c r="AX6" s="170"/>
      <c r="AY6" s="170"/>
      <c r="AZ6" s="170" t="s">
        <v>9</v>
      </c>
      <c r="BA6" s="170" t="s">
        <v>67</v>
      </c>
      <c r="BB6" s="170" t="s">
        <v>1</v>
      </c>
      <c r="BC6" s="170" t="s">
        <v>6</v>
      </c>
      <c r="BD6" s="170"/>
      <c r="BE6" s="170"/>
      <c r="BF6" s="170"/>
      <c r="BG6" s="170" t="s">
        <v>9</v>
      </c>
      <c r="BH6" s="170" t="s">
        <v>67</v>
      </c>
      <c r="BI6" s="170" t="s">
        <v>1</v>
      </c>
      <c r="BJ6" s="170" t="s">
        <v>68</v>
      </c>
      <c r="BK6" s="170"/>
      <c r="BL6" s="170"/>
      <c r="BM6" s="170" t="s">
        <v>9</v>
      </c>
      <c r="BN6" s="170" t="s">
        <v>67</v>
      </c>
      <c r="BO6" s="170" t="s">
        <v>1</v>
      </c>
      <c r="BP6" s="170" t="s">
        <v>2</v>
      </c>
      <c r="BQ6" s="170" t="s">
        <v>3</v>
      </c>
      <c r="BR6" s="170" t="s">
        <v>36</v>
      </c>
      <c r="BS6" s="170" t="s">
        <v>69</v>
      </c>
      <c r="BT6" s="170" t="s">
        <v>17</v>
      </c>
      <c r="BU6" s="170" t="s">
        <v>70</v>
      </c>
      <c r="BV6" s="170" t="s">
        <v>71</v>
      </c>
    </row>
    <row r="7" spans="1:74" s="66" customFormat="1" ht="27.95" customHeight="1">
      <c r="A7" s="172"/>
      <c r="B7" s="173"/>
      <c r="C7" s="174"/>
      <c r="D7" s="174"/>
      <c r="E7" s="174"/>
      <c r="F7" s="174"/>
      <c r="G7" s="32" t="s">
        <v>14</v>
      </c>
      <c r="H7" s="32" t="s">
        <v>4</v>
      </c>
      <c r="I7" s="32" t="s">
        <v>72</v>
      </c>
      <c r="J7" s="32" t="s">
        <v>7</v>
      </c>
      <c r="K7" s="170"/>
      <c r="L7" s="32" t="s">
        <v>14</v>
      </c>
      <c r="M7" s="32" t="s">
        <v>4</v>
      </c>
      <c r="N7" s="32" t="s">
        <v>72</v>
      </c>
      <c r="O7" s="170"/>
      <c r="P7" s="170"/>
      <c r="Q7" s="170"/>
      <c r="R7" s="170"/>
      <c r="S7" s="32" t="s">
        <v>14</v>
      </c>
      <c r="T7" s="32" t="s">
        <v>73</v>
      </c>
      <c r="U7" s="32" t="s">
        <v>74</v>
      </c>
      <c r="V7" s="32" t="s">
        <v>14</v>
      </c>
      <c r="W7" s="32" t="s">
        <v>75</v>
      </c>
      <c r="X7" s="32" t="s">
        <v>74</v>
      </c>
      <c r="Y7" s="170"/>
      <c r="Z7" s="170"/>
      <c r="AA7" s="170"/>
      <c r="AB7" s="170"/>
      <c r="AC7" s="32" t="s">
        <v>14</v>
      </c>
      <c r="AD7" s="32" t="s">
        <v>4</v>
      </c>
      <c r="AE7" s="32" t="s">
        <v>72</v>
      </c>
      <c r="AF7" s="32" t="s">
        <v>7</v>
      </c>
      <c r="AG7" s="170"/>
      <c r="AH7" s="170"/>
      <c r="AI7" s="170"/>
      <c r="AJ7" s="126" t="s">
        <v>14</v>
      </c>
      <c r="AK7" s="126" t="s">
        <v>4</v>
      </c>
      <c r="AL7" s="126" t="s">
        <v>72</v>
      </c>
      <c r="AM7" s="126" t="s">
        <v>7</v>
      </c>
      <c r="AN7" s="170"/>
      <c r="AO7" s="170"/>
      <c r="AP7" s="170"/>
      <c r="AQ7" s="32" t="s">
        <v>7</v>
      </c>
      <c r="AR7" s="32" t="s">
        <v>76</v>
      </c>
      <c r="AS7" s="170"/>
      <c r="AT7" s="170"/>
      <c r="AU7" s="170"/>
      <c r="AV7" s="32" t="s">
        <v>14</v>
      </c>
      <c r="AW7" s="32" t="s">
        <v>4</v>
      </c>
      <c r="AX7" s="32" t="s">
        <v>72</v>
      </c>
      <c r="AY7" s="32" t="s">
        <v>7</v>
      </c>
      <c r="AZ7" s="170"/>
      <c r="BA7" s="170"/>
      <c r="BB7" s="170"/>
      <c r="BC7" s="32" t="s">
        <v>14</v>
      </c>
      <c r="BD7" s="32" t="s">
        <v>4</v>
      </c>
      <c r="BE7" s="32" t="s">
        <v>72</v>
      </c>
      <c r="BF7" s="32" t="s">
        <v>7</v>
      </c>
      <c r="BG7" s="170"/>
      <c r="BH7" s="170"/>
      <c r="BI7" s="170"/>
      <c r="BJ7" s="32" t="s">
        <v>14</v>
      </c>
      <c r="BK7" s="32" t="s">
        <v>4</v>
      </c>
      <c r="BL7" s="32" t="s">
        <v>72</v>
      </c>
      <c r="BM7" s="170"/>
      <c r="BN7" s="170"/>
      <c r="BO7" s="170"/>
      <c r="BP7" s="170"/>
      <c r="BQ7" s="170"/>
      <c r="BR7" s="170"/>
      <c r="BS7" s="170"/>
      <c r="BT7" s="170"/>
      <c r="BU7" s="170"/>
      <c r="BV7" s="170"/>
    </row>
    <row r="8" spans="1:74" s="68" customFormat="1" ht="27.95" customHeight="1">
      <c r="A8" s="130">
        <v>1</v>
      </c>
      <c r="B8" s="37">
        <v>1</v>
      </c>
      <c r="C8" s="34" t="s">
        <v>83</v>
      </c>
      <c r="D8" s="34" t="s">
        <v>84</v>
      </c>
      <c r="E8" s="34" t="s">
        <v>85</v>
      </c>
      <c r="F8" s="35" t="s">
        <v>397</v>
      </c>
      <c r="G8" s="124">
        <v>20</v>
      </c>
      <c r="H8" s="124">
        <v>45</v>
      </c>
      <c r="I8" s="131">
        <f>H8+G8</f>
        <v>65</v>
      </c>
      <c r="J8" s="132">
        <v>30</v>
      </c>
      <c r="K8" s="131">
        <f>I8+J8</f>
        <v>95</v>
      </c>
      <c r="L8" s="132">
        <v>10</v>
      </c>
      <c r="M8" s="132">
        <v>38</v>
      </c>
      <c r="N8" s="131">
        <f>M8+L8</f>
        <v>48</v>
      </c>
      <c r="O8" s="131">
        <f>N8</f>
        <v>48</v>
      </c>
      <c r="P8" s="125">
        <f t="shared" ref="P8:P71" si="0">K8+O8</f>
        <v>143</v>
      </c>
      <c r="Q8" s="176">
        <f>MAX(P8:P88)</f>
        <v>145</v>
      </c>
      <c r="R8" s="124">
        <f>IF(P8&lt;60,"F",IF(P8&lt;75,2,IF(P8&lt;90,3,IF(P8&lt;105,3.5,IF(P8&lt;120,4,5)))))</f>
        <v>5</v>
      </c>
      <c r="S8" s="124">
        <v>20</v>
      </c>
      <c r="T8" s="124">
        <v>74</v>
      </c>
      <c r="U8" s="125">
        <f>T8+S8</f>
        <v>94</v>
      </c>
      <c r="V8" s="133">
        <v>10</v>
      </c>
      <c r="W8" s="133">
        <v>39</v>
      </c>
      <c r="X8" s="125">
        <f>W8+V8</f>
        <v>49</v>
      </c>
      <c r="Y8" s="125">
        <f>U8+X8</f>
        <v>143</v>
      </c>
      <c r="Z8" s="125">
        <f t="shared" ref="Z8:Z50" si="1">Y8</f>
        <v>143</v>
      </c>
      <c r="AA8" s="176">
        <f>MAX(Z8:Z88)</f>
        <v>143</v>
      </c>
      <c r="AB8" s="124">
        <f>IF(Z8&lt;60,0,IF(Z8&lt;75,2,IF(Z8&lt;90,3,IF(Z8&lt;105,3.5,IF(Z8&lt;120,4,5)))))</f>
        <v>5</v>
      </c>
      <c r="AC8" s="134">
        <v>20</v>
      </c>
      <c r="AD8" s="133">
        <v>45</v>
      </c>
      <c r="AE8" s="135">
        <f>AD8+AC8</f>
        <v>65</v>
      </c>
      <c r="AF8" s="133">
        <v>22</v>
      </c>
      <c r="AG8" s="125">
        <f>AE8+AF8</f>
        <v>87</v>
      </c>
      <c r="AH8" s="176">
        <f>MAX(AG8:AG88)</f>
        <v>88</v>
      </c>
      <c r="AI8" s="124">
        <f>IF(AG8&lt;40,"F",IF(AG8&lt;50,2,IF(AG8&lt;60,3,IF(AG8&lt;70,3.5,IF(AG8&lt;80,4,5)))))</f>
        <v>5</v>
      </c>
      <c r="AJ8" s="134">
        <v>20</v>
      </c>
      <c r="AK8" s="133">
        <v>49</v>
      </c>
      <c r="AL8" s="135">
        <f>AK8+AJ8</f>
        <v>69</v>
      </c>
      <c r="AM8" s="133">
        <v>28</v>
      </c>
      <c r="AN8" s="125">
        <f>+AL8+AM8</f>
        <v>97</v>
      </c>
      <c r="AO8" s="176">
        <f>MAX(AN8:AN88)</f>
        <v>98</v>
      </c>
      <c r="AP8" s="124">
        <f>IF(AN8&lt;40,"F",IF(AN8&lt;50,2,IF(AN8&lt;60,3,IF(AN8&lt;70,3.5,IF(AN8&lt;80,4,5)))))</f>
        <v>5</v>
      </c>
      <c r="AQ8" s="124">
        <v>25</v>
      </c>
      <c r="AR8" s="124">
        <v>25</v>
      </c>
      <c r="AS8" s="124">
        <f>AQ8+AR8</f>
        <v>50</v>
      </c>
      <c r="AT8" s="175">
        <f>MAX(AS8:AS88)</f>
        <v>50</v>
      </c>
      <c r="AU8" s="124">
        <f>IF(AS8&lt;20,"F",IF(AS8&lt;25,2,IF(AS8&lt;30,3,IF(AS8&lt;35,3.5,IF(AS8&lt;40,4,5)))))</f>
        <v>5</v>
      </c>
      <c r="AV8" s="134">
        <v>20</v>
      </c>
      <c r="AW8" s="133">
        <v>49</v>
      </c>
      <c r="AX8" s="135">
        <f>AW8+AV8</f>
        <v>69</v>
      </c>
      <c r="AY8" s="133">
        <v>29</v>
      </c>
      <c r="AZ8" s="125">
        <f>AX8+AY8</f>
        <v>98</v>
      </c>
      <c r="BA8" s="176">
        <f>MAX(AZ8:AZ88)</f>
        <v>99</v>
      </c>
      <c r="BB8" s="124">
        <f>IF(AZ8&lt;40,"F",IF(AZ8&lt;50,2,IF(AZ8&lt;60,3,IF(AZ8&lt;70,3.5,IF(AZ8&lt;80,4,5)))))</f>
        <v>5</v>
      </c>
      <c r="BC8" s="134">
        <v>19</v>
      </c>
      <c r="BD8" s="133">
        <v>46</v>
      </c>
      <c r="BE8" s="135">
        <f>BD8+BC8</f>
        <v>65</v>
      </c>
      <c r="BF8" s="133">
        <v>29</v>
      </c>
      <c r="BG8" s="125">
        <f>BE8+BF8</f>
        <v>94</v>
      </c>
      <c r="BH8" s="176">
        <f>MAX(BG8:BG88)</f>
        <v>98</v>
      </c>
      <c r="BI8" s="124">
        <f>IF(BG8&lt;40,"F",IF(BG8&lt;50,2,IF(BG8&lt;60,3,IF(BG8&lt;70,3.5,IF(BG8&lt;80,4,5)))))</f>
        <v>5</v>
      </c>
      <c r="BJ8" s="134">
        <v>10</v>
      </c>
      <c r="BK8" s="133">
        <v>32</v>
      </c>
      <c r="BL8" s="125">
        <f>BK8+BJ8</f>
        <v>42</v>
      </c>
      <c r="BM8" s="125">
        <f>BL8</f>
        <v>42</v>
      </c>
      <c r="BN8" s="176">
        <f>MAX(BM8:BM88)</f>
        <v>48</v>
      </c>
      <c r="BO8" s="124">
        <f t="shared" ref="BO8:BO71" si="2">IF(BL8&lt;20,"F",IF(BM8&lt;20,"F",IF(BM8&lt;25,2,IF(BM8&lt;30,3,IF(BM8&lt;35,3.5,IF(BM8&lt;40,4,5))))))</f>
        <v>5</v>
      </c>
      <c r="BP8" s="124">
        <f>IF(R8="F","F",IF(AB8="F","F",IF(AI8="F","F",IF(AP8="F","F",IF(BB8="F","F",IF(BI8="F","F",IF(AU8="F","F",IF(BO8="F","F",SUM(R8,AB8,AI8,AP8,AU8,BB8,BI8,BO8)))))))))</f>
        <v>40</v>
      </c>
      <c r="BQ8" s="70">
        <f>IF(BP8="F","F",IF(BP8&gt;=45,5,IF(BP8&lt;45,BP8/8)))</f>
        <v>5</v>
      </c>
      <c r="BR8" s="70" t="str">
        <f>IF(BQ8="F","F",IF(BQ8&lt;2.5,"D",IF(BQ8&lt;3,"C",IF(BQ8&lt;3.5,"B",IF(BQ8&lt;4,"A-",IF(BQ8&lt;5,"A","A+"))))))</f>
        <v>A+</v>
      </c>
      <c r="BS8" s="124" t="str">
        <f t="shared" ref="BS8:BS71" si="3">IF(BQ8="F","NEED TO PROGRESS",IF(BQ8&gt;=5,"BEST",IF(BQ8&gt;=4,"BETTER",IF(BQ8&gt;=2,"GOOD"))))</f>
        <v>BEST</v>
      </c>
      <c r="BT8" s="125">
        <f>P8+Z8+AG8+AN8+AS8+AZ8+BG8+BM8</f>
        <v>754</v>
      </c>
      <c r="BU8" s="124"/>
      <c r="BV8" s="124"/>
    </row>
    <row r="9" spans="1:74" s="68" customFormat="1" ht="27.95" customHeight="1">
      <c r="A9" s="67">
        <v>2</v>
      </c>
      <c r="B9" s="37">
        <v>2</v>
      </c>
      <c r="C9" s="34" t="s">
        <v>86</v>
      </c>
      <c r="D9" s="34" t="s">
        <v>87</v>
      </c>
      <c r="E9" s="34" t="s">
        <v>88</v>
      </c>
      <c r="F9" s="35" t="s">
        <v>89</v>
      </c>
      <c r="G9" s="124">
        <v>20</v>
      </c>
      <c r="H9" s="124">
        <v>47</v>
      </c>
      <c r="I9" s="125">
        <f>H9+G9</f>
        <v>67</v>
      </c>
      <c r="J9" s="124">
        <v>30</v>
      </c>
      <c r="K9" s="125">
        <f>I9+J9</f>
        <v>97</v>
      </c>
      <c r="L9" s="124">
        <v>10</v>
      </c>
      <c r="M9" s="124">
        <v>38</v>
      </c>
      <c r="N9" s="125">
        <f>M9+L9</f>
        <v>48</v>
      </c>
      <c r="O9" s="125">
        <f t="shared" ref="O9:O72" si="4">N9</f>
        <v>48</v>
      </c>
      <c r="P9" s="125">
        <f t="shared" si="0"/>
        <v>145</v>
      </c>
      <c r="Q9" s="176"/>
      <c r="R9" s="124">
        <f t="shared" ref="R9:R49" si="5">IF(P9&lt;60,"F",IF(P9&lt;75,2,IF(P9&lt;90,3,IF(P9&lt;105,3.5,IF(P9&lt;120,4,5)))))</f>
        <v>5</v>
      </c>
      <c r="S9" s="71">
        <v>19</v>
      </c>
      <c r="T9" s="72">
        <v>76</v>
      </c>
      <c r="U9" s="73">
        <f>T9+S9</f>
        <v>95</v>
      </c>
      <c r="V9" s="72">
        <v>9</v>
      </c>
      <c r="W9" s="72">
        <v>37</v>
      </c>
      <c r="X9" s="125">
        <f t="shared" ref="X9:X49" si="6">W9+V9</f>
        <v>46</v>
      </c>
      <c r="Y9" s="125">
        <f t="shared" ref="Y9:Y50" si="7">U9+X9</f>
        <v>141</v>
      </c>
      <c r="Z9" s="125">
        <f t="shared" si="1"/>
        <v>141</v>
      </c>
      <c r="AA9" s="176"/>
      <c r="AB9" s="124">
        <f t="shared" ref="AB9:AB49" si="8">IF(Z9&lt;60,0,IF(Z9&lt;75,2,IF(Z9&lt;90,3,IF(Z9&lt;105,3.5,IF(Z9&lt;120,4,5)))))</f>
        <v>5</v>
      </c>
      <c r="AC9" s="71">
        <v>18</v>
      </c>
      <c r="AD9" s="72">
        <v>45</v>
      </c>
      <c r="AE9" s="73">
        <f>AD9+AC9</f>
        <v>63</v>
      </c>
      <c r="AF9" s="72">
        <v>23</v>
      </c>
      <c r="AG9" s="125">
        <f t="shared" ref="AG9:AG49" si="9">AE9+AF9</f>
        <v>86</v>
      </c>
      <c r="AH9" s="176"/>
      <c r="AI9" s="124">
        <f t="shared" ref="AI9:AI49" si="10">IF(AG9&lt;40,"F",IF(AG9&lt;50,2,IF(AG9&lt;60,3,IF(AG9&lt;70,3.5,IF(AG9&lt;80,4,5)))))</f>
        <v>5</v>
      </c>
      <c r="AJ9" s="71">
        <v>20</v>
      </c>
      <c r="AK9" s="72">
        <v>49</v>
      </c>
      <c r="AL9" s="73">
        <f>AK9+AJ9</f>
        <v>69</v>
      </c>
      <c r="AM9" s="72">
        <v>27</v>
      </c>
      <c r="AN9" s="125">
        <f t="shared" ref="AN9:AN49" si="11">+AL9+AM9</f>
        <v>96</v>
      </c>
      <c r="AO9" s="176"/>
      <c r="AP9" s="124">
        <f t="shared" ref="AP9:AP49" si="12">IF(AN9&lt;40,"F",IF(AN9&lt;50,2,IF(AN9&lt;60,3,IF(AN9&lt;70,3.5,IF(AN9&lt;80,4,5)))))</f>
        <v>5</v>
      </c>
      <c r="AQ9" s="124">
        <v>25</v>
      </c>
      <c r="AR9" s="124">
        <v>25</v>
      </c>
      <c r="AS9" s="124">
        <f t="shared" ref="AS9:AS72" si="13">AQ9+AR9</f>
        <v>50</v>
      </c>
      <c r="AT9" s="175"/>
      <c r="AU9" s="124">
        <f t="shared" ref="AU9:AU49" si="14">IF(AS9&lt;20,"F",IF(AS9&lt;25,2,IF(AS9&lt;30,3,IF(AS9&lt;35,3.5,IF(AS9&lt;40,4,5)))))</f>
        <v>5</v>
      </c>
      <c r="AV9" s="71">
        <v>20</v>
      </c>
      <c r="AW9" s="72">
        <v>49</v>
      </c>
      <c r="AX9" s="73">
        <f>AW9+AV9</f>
        <v>69</v>
      </c>
      <c r="AY9" s="72">
        <v>30</v>
      </c>
      <c r="AZ9" s="73">
        <f>AX9+AY9</f>
        <v>99</v>
      </c>
      <c r="BA9" s="176"/>
      <c r="BB9" s="124">
        <f t="shared" ref="BB9:BB49" si="15">IF(AZ9&lt;40,"F",IF(AZ9&lt;50,2,IF(AZ9&lt;60,3,IF(AZ9&lt;70,3.5,IF(AZ9&lt;80,4,5)))))</f>
        <v>5</v>
      </c>
      <c r="BC9" s="71">
        <v>20</v>
      </c>
      <c r="BD9" s="72">
        <v>48</v>
      </c>
      <c r="BE9" s="73">
        <f>BD9+BC9</f>
        <v>68</v>
      </c>
      <c r="BF9" s="72">
        <v>30</v>
      </c>
      <c r="BG9" s="125">
        <f t="shared" ref="BG9:BG49" si="16">BE9+BF9</f>
        <v>98</v>
      </c>
      <c r="BH9" s="176"/>
      <c r="BI9" s="124">
        <f t="shared" ref="BI9:BI49" si="17">IF(BG9&lt;40,"F",IF(BG9&lt;50,2,IF(BG9&lt;60,3,IF(BG9&lt;70,3.5,IF(BG9&lt;80,4,5)))))</f>
        <v>5</v>
      </c>
      <c r="BJ9" s="71">
        <v>10</v>
      </c>
      <c r="BK9" s="72">
        <v>38</v>
      </c>
      <c r="BL9" s="125">
        <f t="shared" ref="BL9:BL49" si="18">BK9+BJ9</f>
        <v>48</v>
      </c>
      <c r="BM9" s="125">
        <f t="shared" ref="BM9:BM72" si="19">BL9</f>
        <v>48</v>
      </c>
      <c r="BN9" s="176"/>
      <c r="BO9" s="124">
        <f t="shared" si="2"/>
        <v>5</v>
      </c>
      <c r="BP9" s="124">
        <f t="shared" ref="BP9:BP72" si="20">IF(R9="F","F",IF(AB9="F","F",IF(AI9="F","F",IF(AP9="F","F",IF(BB9="F","F",IF(BI9="F","F",IF(AU9="F","F",IF(BO9="F","F",SUM(R9,AB9,AI9,AP9,AU9,BB9,BI9,BO9)))))))))</f>
        <v>40</v>
      </c>
      <c r="BQ9" s="70">
        <f t="shared" ref="BQ9:BQ72" si="21">IF(BP9="F","F",IF(BP9&gt;=45,5,IF(BP9&lt;45,BP9/8)))</f>
        <v>5</v>
      </c>
      <c r="BR9" s="70" t="str">
        <f t="shared" ref="BR9:BR49" si="22">IF(BQ9="F","F",IF(BQ9&lt;2.5,"D",IF(BQ9&lt;3,"C",IF(BQ9&lt;3.5,"B",IF(BQ9&lt;4,"A-",IF(BQ9&lt;5,"A","A+"))))))</f>
        <v>A+</v>
      </c>
      <c r="BS9" s="124" t="str">
        <f t="shared" si="3"/>
        <v>BEST</v>
      </c>
      <c r="BT9" s="125">
        <f t="shared" ref="BT9:BT72" si="23">P9+Z9+AG9+AN9+AS9+AZ9+BG9+BM9</f>
        <v>763</v>
      </c>
      <c r="BU9" s="124"/>
      <c r="BV9" s="124"/>
    </row>
    <row r="10" spans="1:74" s="68" customFormat="1" ht="27.95" customHeight="1">
      <c r="A10" s="67">
        <v>3</v>
      </c>
      <c r="B10" s="37">
        <v>3</v>
      </c>
      <c r="C10" s="34" t="s">
        <v>90</v>
      </c>
      <c r="D10" s="34" t="s">
        <v>91</v>
      </c>
      <c r="E10" s="34" t="s">
        <v>92</v>
      </c>
      <c r="F10" s="35" t="s">
        <v>93</v>
      </c>
      <c r="G10" s="124">
        <v>20</v>
      </c>
      <c r="H10" s="124">
        <v>44</v>
      </c>
      <c r="I10" s="125">
        <f t="shared" ref="I10:I48" si="24">H10+G10</f>
        <v>64</v>
      </c>
      <c r="J10" s="124">
        <v>30</v>
      </c>
      <c r="K10" s="125">
        <f t="shared" ref="K10:K49" si="25">I10+J10</f>
        <v>94</v>
      </c>
      <c r="L10" s="124">
        <v>10</v>
      </c>
      <c r="M10" s="124">
        <v>36</v>
      </c>
      <c r="N10" s="125">
        <f t="shared" ref="N10:N49" si="26">M10+L10</f>
        <v>46</v>
      </c>
      <c r="O10" s="125">
        <f t="shared" si="4"/>
        <v>46</v>
      </c>
      <c r="P10" s="125">
        <f t="shared" si="0"/>
        <v>140</v>
      </c>
      <c r="Q10" s="176"/>
      <c r="R10" s="124">
        <f t="shared" si="5"/>
        <v>5</v>
      </c>
      <c r="S10" s="124">
        <v>20</v>
      </c>
      <c r="T10" s="124">
        <v>73</v>
      </c>
      <c r="U10" s="125">
        <f t="shared" ref="U10:U51" si="27">T10+S10</f>
        <v>93</v>
      </c>
      <c r="V10" s="133">
        <v>10</v>
      </c>
      <c r="W10" s="133">
        <v>38</v>
      </c>
      <c r="X10" s="125">
        <f t="shared" si="6"/>
        <v>48</v>
      </c>
      <c r="Y10" s="125">
        <f t="shared" si="7"/>
        <v>141</v>
      </c>
      <c r="Z10" s="125">
        <f t="shared" si="1"/>
        <v>141</v>
      </c>
      <c r="AA10" s="176"/>
      <c r="AB10" s="124">
        <f t="shared" si="8"/>
        <v>5</v>
      </c>
      <c r="AC10" s="134">
        <v>20</v>
      </c>
      <c r="AD10" s="133">
        <v>45</v>
      </c>
      <c r="AE10" s="135">
        <f t="shared" ref="AE10:AE14" si="28">AD10+AC10</f>
        <v>65</v>
      </c>
      <c r="AF10" s="133">
        <v>23</v>
      </c>
      <c r="AG10" s="125">
        <f t="shared" si="9"/>
        <v>88</v>
      </c>
      <c r="AH10" s="176"/>
      <c r="AI10" s="124">
        <f t="shared" si="10"/>
        <v>5</v>
      </c>
      <c r="AJ10" s="134">
        <v>20</v>
      </c>
      <c r="AK10" s="133">
        <v>49</v>
      </c>
      <c r="AL10" s="135">
        <f t="shared" ref="AL10:AL57" si="29">AK10+AJ10</f>
        <v>69</v>
      </c>
      <c r="AM10" s="133">
        <v>29</v>
      </c>
      <c r="AN10" s="125">
        <f t="shared" si="11"/>
        <v>98</v>
      </c>
      <c r="AO10" s="176"/>
      <c r="AP10" s="124">
        <f t="shared" si="12"/>
        <v>5</v>
      </c>
      <c r="AQ10" s="124">
        <v>25</v>
      </c>
      <c r="AR10" s="124">
        <v>25</v>
      </c>
      <c r="AS10" s="124">
        <f t="shared" si="13"/>
        <v>50</v>
      </c>
      <c r="AT10" s="175"/>
      <c r="AU10" s="124">
        <f t="shared" si="14"/>
        <v>5</v>
      </c>
      <c r="AV10" s="134">
        <v>20</v>
      </c>
      <c r="AW10" s="133">
        <v>49</v>
      </c>
      <c r="AX10" s="135">
        <f t="shared" ref="AX10:AX44" si="30">AW10+AV10</f>
        <v>69</v>
      </c>
      <c r="AY10" s="133">
        <v>30</v>
      </c>
      <c r="AZ10" s="125">
        <f t="shared" ref="AZ10:AZ49" si="31">AX10+AY10</f>
        <v>99</v>
      </c>
      <c r="BA10" s="176"/>
      <c r="BB10" s="124">
        <f t="shared" si="15"/>
        <v>5</v>
      </c>
      <c r="BC10" s="134">
        <v>19</v>
      </c>
      <c r="BD10" s="133">
        <v>45</v>
      </c>
      <c r="BE10" s="135">
        <f t="shared" ref="BE10:BE44" si="32">BD10+BC10</f>
        <v>64</v>
      </c>
      <c r="BF10" s="133">
        <v>29</v>
      </c>
      <c r="BG10" s="125">
        <f t="shared" si="16"/>
        <v>93</v>
      </c>
      <c r="BH10" s="176"/>
      <c r="BI10" s="124">
        <f t="shared" si="17"/>
        <v>5</v>
      </c>
      <c r="BJ10" s="134">
        <v>10</v>
      </c>
      <c r="BK10" s="133">
        <v>32</v>
      </c>
      <c r="BL10" s="125">
        <f t="shared" si="18"/>
        <v>42</v>
      </c>
      <c r="BM10" s="125">
        <f t="shared" si="19"/>
        <v>42</v>
      </c>
      <c r="BN10" s="176"/>
      <c r="BO10" s="124">
        <f t="shared" si="2"/>
        <v>5</v>
      </c>
      <c r="BP10" s="124">
        <f t="shared" si="20"/>
        <v>40</v>
      </c>
      <c r="BQ10" s="70">
        <f t="shared" si="21"/>
        <v>5</v>
      </c>
      <c r="BR10" s="70" t="str">
        <f t="shared" si="22"/>
        <v>A+</v>
      </c>
      <c r="BS10" s="124" t="str">
        <f t="shared" si="3"/>
        <v>BEST</v>
      </c>
      <c r="BT10" s="125">
        <f t="shared" si="23"/>
        <v>751</v>
      </c>
      <c r="BU10" s="124"/>
      <c r="BV10" s="124"/>
    </row>
    <row r="11" spans="1:74" s="68" customFormat="1" ht="27.95" customHeight="1">
      <c r="A11" s="67">
        <v>4</v>
      </c>
      <c r="B11" s="37">
        <v>4</v>
      </c>
      <c r="C11" s="136" t="s">
        <v>94</v>
      </c>
      <c r="D11" s="136" t="s">
        <v>95</v>
      </c>
      <c r="E11" s="136" t="s">
        <v>96</v>
      </c>
      <c r="F11" s="35" t="s">
        <v>97</v>
      </c>
      <c r="G11" s="124">
        <v>18</v>
      </c>
      <c r="H11" s="124">
        <v>46</v>
      </c>
      <c r="I11" s="125">
        <f t="shared" si="24"/>
        <v>64</v>
      </c>
      <c r="J11" s="124">
        <v>30</v>
      </c>
      <c r="K11" s="125">
        <f t="shared" si="25"/>
        <v>94</v>
      </c>
      <c r="L11" s="124">
        <v>10</v>
      </c>
      <c r="M11" s="124">
        <v>36</v>
      </c>
      <c r="N11" s="125">
        <f t="shared" si="26"/>
        <v>46</v>
      </c>
      <c r="O11" s="125">
        <f t="shared" si="4"/>
        <v>46</v>
      </c>
      <c r="P11" s="125">
        <f t="shared" si="0"/>
        <v>140</v>
      </c>
      <c r="Q11" s="176"/>
      <c r="R11" s="124">
        <f t="shared" si="5"/>
        <v>5</v>
      </c>
      <c r="S11" s="71">
        <v>17</v>
      </c>
      <c r="T11" s="72">
        <v>70</v>
      </c>
      <c r="U11" s="73">
        <f t="shared" si="27"/>
        <v>87</v>
      </c>
      <c r="V11" s="72">
        <v>9</v>
      </c>
      <c r="W11" s="72">
        <v>32</v>
      </c>
      <c r="X11" s="125">
        <f t="shared" si="6"/>
        <v>41</v>
      </c>
      <c r="Y11" s="125">
        <f t="shared" si="7"/>
        <v>128</v>
      </c>
      <c r="Z11" s="125">
        <f t="shared" si="1"/>
        <v>128</v>
      </c>
      <c r="AA11" s="176"/>
      <c r="AB11" s="124">
        <f t="shared" si="8"/>
        <v>5</v>
      </c>
      <c r="AC11" s="71">
        <v>17</v>
      </c>
      <c r="AD11" s="72">
        <v>39</v>
      </c>
      <c r="AE11" s="73">
        <f t="shared" si="28"/>
        <v>56</v>
      </c>
      <c r="AF11" s="72">
        <v>18</v>
      </c>
      <c r="AG11" s="125">
        <f t="shared" si="9"/>
        <v>74</v>
      </c>
      <c r="AH11" s="176"/>
      <c r="AI11" s="124">
        <f t="shared" si="10"/>
        <v>4</v>
      </c>
      <c r="AJ11" s="71">
        <v>20</v>
      </c>
      <c r="AK11" s="72">
        <v>46</v>
      </c>
      <c r="AL11" s="73">
        <f t="shared" si="29"/>
        <v>66</v>
      </c>
      <c r="AM11" s="72">
        <v>27</v>
      </c>
      <c r="AN11" s="125">
        <f t="shared" si="11"/>
        <v>93</v>
      </c>
      <c r="AO11" s="176"/>
      <c r="AP11" s="124">
        <f t="shared" si="12"/>
        <v>5</v>
      </c>
      <c r="AQ11" s="124">
        <v>21</v>
      </c>
      <c r="AR11" s="124">
        <v>25</v>
      </c>
      <c r="AS11" s="124">
        <f t="shared" si="13"/>
        <v>46</v>
      </c>
      <c r="AT11" s="175"/>
      <c r="AU11" s="124">
        <f t="shared" si="14"/>
        <v>5</v>
      </c>
      <c r="AV11" s="71">
        <v>20</v>
      </c>
      <c r="AW11" s="72">
        <v>47</v>
      </c>
      <c r="AX11" s="73">
        <f t="shared" si="30"/>
        <v>67</v>
      </c>
      <c r="AY11" s="72">
        <v>29</v>
      </c>
      <c r="AZ11" s="125">
        <f t="shared" si="31"/>
        <v>96</v>
      </c>
      <c r="BA11" s="176"/>
      <c r="BB11" s="124">
        <f t="shared" si="15"/>
        <v>5</v>
      </c>
      <c r="BC11" s="71">
        <v>18</v>
      </c>
      <c r="BD11" s="72">
        <v>47</v>
      </c>
      <c r="BE11" s="73">
        <f t="shared" si="32"/>
        <v>65</v>
      </c>
      <c r="BF11" s="72">
        <v>28</v>
      </c>
      <c r="BG11" s="125">
        <f t="shared" si="16"/>
        <v>93</v>
      </c>
      <c r="BH11" s="176"/>
      <c r="BI11" s="124">
        <f t="shared" si="17"/>
        <v>5</v>
      </c>
      <c r="BJ11" s="71">
        <v>10</v>
      </c>
      <c r="BK11" s="72">
        <v>34</v>
      </c>
      <c r="BL11" s="125">
        <f t="shared" si="18"/>
        <v>44</v>
      </c>
      <c r="BM11" s="125">
        <f t="shared" si="19"/>
        <v>44</v>
      </c>
      <c r="BN11" s="176"/>
      <c r="BO11" s="124">
        <f t="shared" si="2"/>
        <v>5</v>
      </c>
      <c r="BP11" s="124">
        <f t="shared" si="20"/>
        <v>39</v>
      </c>
      <c r="BQ11" s="70">
        <f t="shared" si="21"/>
        <v>4.875</v>
      </c>
      <c r="BR11" s="70" t="str">
        <f t="shared" si="22"/>
        <v>A</v>
      </c>
      <c r="BS11" s="124" t="str">
        <f t="shared" si="3"/>
        <v>BETTER</v>
      </c>
      <c r="BT11" s="125">
        <f t="shared" si="23"/>
        <v>714</v>
      </c>
      <c r="BU11" s="124"/>
      <c r="BV11" s="124"/>
    </row>
    <row r="12" spans="1:74" s="68" customFormat="1" ht="27.95" customHeight="1">
      <c r="A12" s="67">
        <v>5</v>
      </c>
      <c r="B12" s="37">
        <v>5</v>
      </c>
      <c r="C12" s="34" t="s">
        <v>98</v>
      </c>
      <c r="D12" s="34" t="s">
        <v>99</v>
      </c>
      <c r="E12" s="34" t="s">
        <v>100</v>
      </c>
      <c r="F12" s="35" t="s">
        <v>101</v>
      </c>
      <c r="G12" s="124">
        <v>18</v>
      </c>
      <c r="H12" s="124">
        <v>41</v>
      </c>
      <c r="I12" s="125">
        <f t="shared" si="24"/>
        <v>59</v>
      </c>
      <c r="J12" s="124">
        <v>28</v>
      </c>
      <c r="K12" s="125">
        <f t="shared" si="25"/>
        <v>87</v>
      </c>
      <c r="L12" s="124">
        <v>10</v>
      </c>
      <c r="M12" s="124">
        <v>32</v>
      </c>
      <c r="N12" s="125">
        <f t="shared" si="26"/>
        <v>42</v>
      </c>
      <c r="O12" s="125">
        <f t="shared" si="4"/>
        <v>42</v>
      </c>
      <c r="P12" s="125">
        <f t="shared" si="0"/>
        <v>129</v>
      </c>
      <c r="Q12" s="176"/>
      <c r="R12" s="124">
        <f t="shared" si="5"/>
        <v>5</v>
      </c>
      <c r="S12" s="124">
        <v>20</v>
      </c>
      <c r="T12" s="124">
        <v>60</v>
      </c>
      <c r="U12" s="125">
        <f t="shared" si="27"/>
        <v>80</v>
      </c>
      <c r="V12" s="133">
        <v>10</v>
      </c>
      <c r="W12" s="133">
        <v>32</v>
      </c>
      <c r="X12" s="125">
        <f t="shared" si="6"/>
        <v>42</v>
      </c>
      <c r="Y12" s="125">
        <f t="shared" si="7"/>
        <v>122</v>
      </c>
      <c r="Z12" s="125">
        <f t="shared" si="1"/>
        <v>122</v>
      </c>
      <c r="AA12" s="176"/>
      <c r="AB12" s="124">
        <f t="shared" si="8"/>
        <v>5</v>
      </c>
      <c r="AC12" s="134">
        <v>19</v>
      </c>
      <c r="AD12" s="133">
        <v>31</v>
      </c>
      <c r="AE12" s="135">
        <f t="shared" si="28"/>
        <v>50</v>
      </c>
      <c r="AF12" s="133">
        <v>18</v>
      </c>
      <c r="AG12" s="125">
        <f t="shared" si="9"/>
        <v>68</v>
      </c>
      <c r="AH12" s="176"/>
      <c r="AI12" s="124">
        <f t="shared" si="10"/>
        <v>3.5</v>
      </c>
      <c r="AJ12" s="134">
        <v>20</v>
      </c>
      <c r="AK12" s="133">
        <v>48</v>
      </c>
      <c r="AL12" s="135">
        <f t="shared" si="29"/>
        <v>68</v>
      </c>
      <c r="AM12" s="133">
        <v>28</v>
      </c>
      <c r="AN12" s="125">
        <f t="shared" si="11"/>
        <v>96</v>
      </c>
      <c r="AO12" s="176"/>
      <c r="AP12" s="124">
        <f t="shared" si="12"/>
        <v>5</v>
      </c>
      <c r="AQ12" s="124">
        <v>25</v>
      </c>
      <c r="AR12" s="124">
        <v>25</v>
      </c>
      <c r="AS12" s="124">
        <f t="shared" si="13"/>
        <v>50</v>
      </c>
      <c r="AT12" s="175"/>
      <c r="AU12" s="124">
        <f t="shared" si="14"/>
        <v>5</v>
      </c>
      <c r="AV12" s="134">
        <v>19</v>
      </c>
      <c r="AW12" s="133">
        <v>44</v>
      </c>
      <c r="AX12" s="135">
        <f t="shared" si="30"/>
        <v>63</v>
      </c>
      <c r="AY12" s="133">
        <v>27</v>
      </c>
      <c r="AZ12" s="125">
        <f t="shared" si="31"/>
        <v>90</v>
      </c>
      <c r="BA12" s="176"/>
      <c r="BB12" s="124">
        <f t="shared" si="15"/>
        <v>5</v>
      </c>
      <c r="BC12" s="134">
        <v>18</v>
      </c>
      <c r="BD12" s="133">
        <v>39</v>
      </c>
      <c r="BE12" s="135">
        <f t="shared" si="32"/>
        <v>57</v>
      </c>
      <c r="BF12" s="133">
        <v>29</v>
      </c>
      <c r="BG12" s="125">
        <f t="shared" si="16"/>
        <v>86</v>
      </c>
      <c r="BH12" s="176"/>
      <c r="BI12" s="124">
        <f t="shared" si="17"/>
        <v>5</v>
      </c>
      <c r="BJ12" s="134">
        <v>10</v>
      </c>
      <c r="BK12" s="133">
        <v>28</v>
      </c>
      <c r="BL12" s="125">
        <f t="shared" si="18"/>
        <v>38</v>
      </c>
      <c r="BM12" s="125">
        <f t="shared" si="19"/>
        <v>38</v>
      </c>
      <c r="BN12" s="176"/>
      <c r="BO12" s="124">
        <f t="shared" si="2"/>
        <v>4</v>
      </c>
      <c r="BP12" s="124">
        <f t="shared" si="20"/>
        <v>37.5</v>
      </c>
      <c r="BQ12" s="70">
        <f t="shared" si="21"/>
        <v>4.6875</v>
      </c>
      <c r="BR12" s="70" t="str">
        <f t="shared" si="22"/>
        <v>A</v>
      </c>
      <c r="BS12" s="124" t="str">
        <f t="shared" si="3"/>
        <v>BETTER</v>
      </c>
      <c r="BT12" s="125">
        <f t="shared" si="23"/>
        <v>679</v>
      </c>
      <c r="BU12" s="124"/>
      <c r="BV12" s="124"/>
    </row>
    <row r="13" spans="1:74" s="68" customFormat="1" ht="27.95" customHeight="1">
      <c r="A13" s="67">
        <v>6</v>
      </c>
      <c r="B13" s="37">
        <v>7</v>
      </c>
      <c r="C13" s="34" t="s">
        <v>102</v>
      </c>
      <c r="D13" s="34" t="s">
        <v>103</v>
      </c>
      <c r="E13" s="34" t="s">
        <v>104</v>
      </c>
      <c r="F13" s="35" t="s">
        <v>105</v>
      </c>
      <c r="G13" s="124">
        <v>16</v>
      </c>
      <c r="H13" s="124">
        <v>40</v>
      </c>
      <c r="I13" s="125">
        <f t="shared" si="24"/>
        <v>56</v>
      </c>
      <c r="J13" s="124">
        <v>29</v>
      </c>
      <c r="K13" s="125">
        <f t="shared" si="25"/>
        <v>85</v>
      </c>
      <c r="L13" s="124">
        <v>9</v>
      </c>
      <c r="M13" s="124">
        <v>36</v>
      </c>
      <c r="N13" s="125">
        <f t="shared" si="26"/>
        <v>45</v>
      </c>
      <c r="O13" s="125">
        <f t="shared" si="4"/>
        <v>45</v>
      </c>
      <c r="P13" s="125">
        <f t="shared" si="0"/>
        <v>130</v>
      </c>
      <c r="Q13" s="176"/>
      <c r="R13" s="124">
        <f t="shared" si="5"/>
        <v>5</v>
      </c>
      <c r="S13" s="124">
        <v>19</v>
      </c>
      <c r="T13" s="124">
        <v>71</v>
      </c>
      <c r="U13" s="125">
        <f t="shared" si="27"/>
        <v>90</v>
      </c>
      <c r="V13" s="133">
        <v>10</v>
      </c>
      <c r="W13" s="133">
        <v>40</v>
      </c>
      <c r="X13" s="125">
        <f t="shared" si="6"/>
        <v>50</v>
      </c>
      <c r="Y13" s="125">
        <f t="shared" si="7"/>
        <v>140</v>
      </c>
      <c r="Z13" s="125">
        <f t="shared" si="1"/>
        <v>140</v>
      </c>
      <c r="AA13" s="176"/>
      <c r="AB13" s="124">
        <f t="shared" si="8"/>
        <v>5</v>
      </c>
      <c r="AC13" s="134">
        <v>19</v>
      </c>
      <c r="AD13" s="133">
        <v>43</v>
      </c>
      <c r="AE13" s="135">
        <f t="shared" si="28"/>
        <v>62</v>
      </c>
      <c r="AF13" s="133">
        <v>26</v>
      </c>
      <c r="AG13" s="125">
        <f t="shared" si="9"/>
        <v>88</v>
      </c>
      <c r="AH13" s="176"/>
      <c r="AI13" s="124">
        <f t="shared" si="10"/>
        <v>5</v>
      </c>
      <c r="AJ13" s="134">
        <v>20</v>
      </c>
      <c r="AK13" s="133">
        <v>46</v>
      </c>
      <c r="AL13" s="135">
        <f t="shared" si="29"/>
        <v>66</v>
      </c>
      <c r="AM13" s="133">
        <v>27</v>
      </c>
      <c r="AN13" s="125">
        <f t="shared" si="11"/>
        <v>93</v>
      </c>
      <c r="AO13" s="176"/>
      <c r="AP13" s="124">
        <f t="shared" si="12"/>
        <v>5</v>
      </c>
      <c r="AQ13" s="124">
        <v>25</v>
      </c>
      <c r="AR13" s="124">
        <v>25</v>
      </c>
      <c r="AS13" s="124">
        <f t="shared" si="13"/>
        <v>50</v>
      </c>
      <c r="AT13" s="175"/>
      <c r="AU13" s="124">
        <f t="shared" si="14"/>
        <v>5</v>
      </c>
      <c r="AV13" s="134">
        <v>20</v>
      </c>
      <c r="AW13" s="133">
        <v>49</v>
      </c>
      <c r="AX13" s="135">
        <f t="shared" si="30"/>
        <v>69</v>
      </c>
      <c r="AY13" s="133">
        <v>29</v>
      </c>
      <c r="AZ13" s="125">
        <f t="shared" si="31"/>
        <v>98</v>
      </c>
      <c r="BA13" s="176"/>
      <c r="BB13" s="124">
        <f t="shared" si="15"/>
        <v>5</v>
      </c>
      <c r="BC13" s="134">
        <v>18</v>
      </c>
      <c r="BD13" s="133">
        <v>44</v>
      </c>
      <c r="BE13" s="135">
        <f t="shared" si="32"/>
        <v>62</v>
      </c>
      <c r="BF13" s="133">
        <v>26</v>
      </c>
      <c r="BG13" s="125">
        <f t="shared" si="16"/>
        <v>88</v>
      </c>
      <c r="BH13" s="176"/>
      <c r="BI13" s="124">
        <f t="shared" si="17"/>
        <v>5</v>
      </c>
      <c r="BJ13" s="134">
        <v>10</v>
      </c>
      <c r="BK13" s="133">
        <v>24</v>
      </c>
      <c r="BL13" s="125">
        <f t="shared" si="18"/>
        <v>34</v>
      </c>
      <c r="BM13" s="125">
        <f t="shared" si="19"/>
        <v>34</v>
      </c>
      <c r="BN13" s="176"/>
      <c r="BO13" s="124">
        <f t="shared" si="2"/>
        <v>3.5</v>
      </c>
      <c r="BP13" s="124">
        <f t="shared" si="20"/>
        <v>38.5</v>
      </c>
      <c r="BQ13" s="70">
        <f t="shared" si="21"/>
        <v>4.8125</v>
      </c>
      <c r="BR13" s="70" t="str">
        <f t="shared" si="22"/>
        <v>A</v>
      </c>
      <c r="BS13" s="124" t="str">
        <f t="shared" si="3"/>
        <v>BETTER</v>
      </c>
      <c r="BT13" s="125">
        <f t="shared" si="23"/>
        <v>721</v>
      </c>
      <c r="BU13" s="124"/>
      <c r="BV13" s="124"/>
    </row>
    <row r="14" spans="1:74" s="68" customFormat="1" ht="27.95" customHeight="1">
      <c r="A14" s="67">
        <v>7</v>
      </c>
      <c r="B14" s="37">
        <v>8</v>
      </c>
      <c r="C14" s="34" t="s">
        <v>106</v>
      </c>
      <c r="D14" s="34" t="s">
        <v>107</v>
      </c>
      <c r="E14" s="34" t="s">
        <v>108</v>
      </c>
      <c r="F14" s="35" t="s">
        <v>109</v>
      </c>
      <c r="G14" s="124">
        <v>19</v>
      </c>
      <c r="H14" s="124">
        <v>44</v>
      </c>
      <c r="I14" s="125">
        <f t="shared" si="24"/>
        <v>63</v>
      </c>
      <c r="J14" s="124">
        <v>29</v>
      </c>
      <c r="K14" s="125">
        <f t="shared" si="25"/>
        <v>92</v>
      </c>
      <c r="L14" s="124">
        <v>9</v>
      </c>
      <c r="M14" s="124">
        <v>36</v>
      </c>
      <c r="N14" s="125">
        <f t="shared" si="26"/>
        <v>45</v>
      </c>
      <c r="O14" s="125">
        <f t="shared" si="4"/>
        <v>45</v>
      </c>
      <c r="P14" s="125">
        <f t="shared" si="0"/>
        <v>137</v>
      </c>
      <c r="Q14" s="176"/>
      <c r="R14" s="124">
        <f t="shared" si="5"/>
        <v>5</v>
      </c>
      <c r="S14" s="71">
        <v>17</v>
      </c>
      <c r="T14" s="72">
        <v>72</v>
      </c>
      <c r="U14" s="73">
        <f t="shared" si="27"/>
        <v>89</v>
      </c>
      <c r="V14" s="72">
        <v>8</v>
      </c>
      <c r="W14" s="72">
        <v>32</v>
      </c>
      <c r="X14" s="125">
        <f t="shared" si="6"/>
        <v>40</v>
      </c>
      <c r="Y14" s="125">
        <f t="shared" si="7"/>
        <v>129</v>
      </c>
      <c r="Z14" s="125">
        <f t="shared" si="1"/>
        <v>129</v>
      </c>
      <c r="AA14" s="176"/>
      <c r="AB14" s="124">
        <f t="shared" si="8"/>
        <v>5</v>
      </c>
      <c r="AC14" s="71">
        <v>18</v>
      </c>
      <c r="AD14" s="72">
        <v>45</v>
      </c>
      <c r="AE14" s="73">
        <f t="shared" si="28"/>
        <v>63</v>
      </c>
      <c r="AF14" s="72">
        <v>21</v>
      </c>
      <c r="AG14" s="125">
        <f t="shared" si="9"/>
        <v>84</v>
      </c>
      <c r="AH14" s="176"/>
      <c r="AI14" s="124">
        <f t="shared" si="10"/>
        <v>5</v>
      </c>
      <c r="AJ14" s="71">
        <v>20</v>
      </c>
      <c r="AK14" s="72">
        <v>48</v>
      </c>
      <c r="AL14" s="73">
        <f t="shared" si="29"/>
        <v>68</v>
      </c>
      <c r="AM14" s="72">
        <v>23</v>
      </c>
      <c r="AN14" s="125">
        <f t="shared" si="11"/>
        <v>91</v>
      </c>
      <c r="AO14" s="176"/>
      <c r="AP14" s="124">
        <f t="shared" si="12"/>
        <v>5</v>
      </c>
      <c r="AQ14" s="124">
        <v>25</v>
      </c>
      <c r="AR14" s="124">
        <v>25</v>
      </c>
      <c r="AS14" s="124">
        <f t="shared" si="13"/>
        <v>50</v>
      </c>
      <c r="AT14" s="175"/>
      <c r="AU14" s="124">
        <f t="shared" si="14"/>
        <v>5</v>
      </c>
      <c r="AV14" s="71">
        <v>20</v>
      </c>
      <c r="AW14" s="72">
        <v>46</v>
      </c>
      <c r="AX14" s="73">
        <f t="shared" si="30"/>
        <v>66</v>
      </c>
      <c r="AY14" s="72">
        <v>29</v>
      </c>
      <c r="AZ14" s="125">
        <f t="shared" si="31"/>
        <v>95</v>
      </c>
      <c r="BA14" s="176"/>
      <c r="BB14" s="124">
        <f t="shared" si="15"/>
        <v>5</v>
      </c>
      <c r="BC14" s="71">
        <v>16</v>
      </c>
      <c r="BD14" s="72">
        <v>46</v>
      </c>
      <c r="BE14" s="73">
        <f t="shared" si="32"/>
        <v>62</v>
      </c>
      <c r="BF14" s="72">
        <v>30</v>
      </c>
      <c r="BG14" s="125">
        <f t="shared" si="16"/>
        <v>92</v>
      </c>
      <c r="BH14" s="176"/>
      <c r="BI14" s="124">
        <f t="shared" si="17"/>
        <v>5</v>
      </c>
      <c r="BJ14" s="71">
        <v>10</v>
      </c>
      <c r="BK14" s="72">
        <v>38</v>
      </c>
      <c r="BL14" s="125">
        <f t="shared" si="18"/>
        <v>48</v>
      </c>
      <c r="BM14" s="125">
        <f t="shared" si="19"/>
        <v>48</v>
      </c>
      <c r="BN14" s="176"/>
      <c r="BO14" s="124">
        <f t="shared" si="2"/>
        <v>5</v>
      </c>
      <c r="BP14" s="124">
        <f t="shared" si="20"/>
        <v>40</v>
      </c>
      <c r="BQ14" s="70">
        <f t="shared" si="21"/>
        <v>5</v>
      </c>
      <c r="BR14" s="70" t="str">
        <f t="shared" si="22"/>
        <v>A+</v>
      </c>
      <c r="BS14" s="124" t="str">
        <f t="shared" si="3"/>
        <v>BEST</v>
      </c>
      <c r="BT14" s="125">
        <f t="shared" si="23"/>
        <v>726</v>
      </c>
      <c r="BU14" s="124"/>
      <c r="BV14" s="124"/>
    </row>
    <row r="15" spans="1:74" s="68" customFormat="1" ht="27.95" customHeight="1">
      <c r="A15" s="67">
        <v>8</v>
      </c>
      <c r="B15" s="37">
        <v>9</v>
      </c>
      <c r="C15" s="34" t="s">
        <v>110</v>
      </c>
      <c r="D15" s="34" t="s">
        <v>111</v>
      </c>
      <c r="E15" s="34" t="s">
        <v>112</v>
      </c>
      <c r="F15" s="35" t="s">
        <v>113</v>
      </c>
      <c r="G15" s="124">
        <v>19</v>
      </c>
      <c r="H15" s="124">
        <v>39</v>
      </c>
      <c r="I15" s="125">
        <f t="shared" si="24"/>
        <v>58</v>
      </c>
      <c r="J15" s="124">
        <v>29</v>
      </c>
      <c r="K15" s="125">
        <f t="shared" si="25"/>
        <v>87</v>
      </c>
      <c r="L15" s="124">
        <v>9</v>
      </c>
      <c r="M15" s="124">
        <v>31</v>
      </c>
      <c r="N15" s="125">
        <f t="shared" si="26"/>
        <v>40</v>
      </c>
      <c r="O15" s="125">
        <f t="shared" si="4"/>
        <v>40</v>
      </c>
      <c r="P15" s="125">
        <f t="shared" si="0"/>
        <v>127</v>
      </c>
      <c r="Q15" s="176"/>
      <c r="R15" s="124">
        <f t="shared" si="5"/>
        <v>5</v>
      </c>
      <c r="S15" s="124">
        <v>20</v>
      </c>
      <c r="T15" s="124">
        <v>63</v>
      </c>
      <c r="U15" s="125">
        <f t="shared" si="27"/>
        <v>83</v>
      </c>
      <c r="V15" s="133">
        <v>10</v>
      </c>
      <c r="W15" s="133">
        <v>36</v>
      </c>
      <c r="X15" s="125">
        <f t="shared" si="6"/>
        <v>46</v>
      </c>
      <c r="Y15" s="125">
        <f t="shared" si="7"/>
        <v>129</v>
      </c>
      <c r="Z15" s="125">
        <f t="shared" si="1"/>
        <v>129</v>
      </c>
      <c r="AA15" s="176"/>
      <c r="AB15" s="124">
        <f t="shared" si="8"/>
        <v>5</v>
      </c>
      <c r="AC15" s="124">
        <v>15</v>
      </c>
      <c r="AD15" s="124">
        <v>39</v>
      </c>
      <c r="AE15" s="125">
        <f t="shared" ref="AE15:AE57" si="33">AD15+AC15</f>
        <v>54</v>
      </c>
      <c r="AF15" s="124">
        <v>19</v>
      </c>
      <c r="AG15" s="125">
        <f t="shared" si="9"/>
        <v>73</v>
      </c>
      <c r="AH15" s="176"/>
      <c r="AI15" s="124">
        <f t="shared" si="10"/>
        <v>4</v>
      </c>
      <c r="AJ15" s="134">
        <v>20</v>
      </c>
      <c r="AK15" s="133">
        <v>49</v>
      </c>
      <c r="AL15" s="135">
        <f t="shared" si="29"/>
        <v>69</v>
      </c>
      <c r="AM15" s="133">
        <v>26</v>
      </c>
      <c r="AN15" s="125">
        <f t="shared" si="11"/>
        <v>95</v>
      </c>
      <c r="AO15" s="176"/>
      <c r="AP15" s="124">
        <f t="shared" si="12"/>
        <v>5</v>
      </c>
      <c r="AQ15" s="124">
        <v>25</v>
      </c>
      <c r="AR15" s="124">
        <v>25</v>
      </c>
      <c r="AS15" s="124">
        <f t="shared" si="13"/>
        <v>50</v>
      </c>
      <c r="AT15" s="175"/>
      <c r="AU15" s="124">
        <f t="shared" si="14"/>
        <v>5</v>
      </c>
      <c r="AV15" s="134">
        <v>19</v>
      </c>
      <c r="AW15" s="133">
        <v>49</v>
      </c>
      <c r="AX15" s="135">
        <f t="shared" si="30"/>
        <v>68</v>
      </c>
      <c r="AY15" s="133">
        <v>29</v>
      </c>
      <c r="AZ15" s="125">
        <f t="shared" si="31"/>
        <v>97</v>
      </c>
      <c r="BA15" s="176"/>
      <c r="BB15" s="124">
        <f t="shared" si="15"/>
        <v>5</v>
      </c>
      <c r="BC15" s="134">
        <v>18</v>
      </c>
      <c r="BD15" s="133">
        <v>40</v>
      </c>
      <c r="BE15" s="135">
        <f t="shared" si="32"/>
        <v>58</v>
      </c>
      <c r="BF15" s="133">
        <v>27</v>
      </c>
      <c r="BG15" s="125">
        <f t="shared" si="16"/>
        <v>85</v>
      </c>
      <c r="BH15" s="176"/>
      <c r="BI15" s="124">
        <f t="shared" si="17"/>
        <v>5</v>
      </c>
      <c r="BJ15" s="134">
        <v>10</v>
      </c>
      <c r="BK15" s="133">
        <v>32</v>
      </c>
      <c r="BL15" s="125">
        <f t="shared" si="18"/>
        <v>42</v>
      </c>
      <c r="BM15" s="125">
        <f t="shared" si="19"/>
        <v>42</v>
      </c>
      <c r="BN15" s="176"/>
      <c r="BO15" s="124">
        <f t="shared" si="2"/>
        <v>5</v>
      </c>
      <c r="BP15" s="124">
        <f t="shared" si="20"/>
        <v>39</v>
      </c>
      <c r="BQ15" s="70">
        <f t="shared" si="21"/>
        <v>4.875</v>
      </c>
      <c r="BR15" s="70" t="str">
        <f t="shared" si="22"/>
        <v>A</v>
      </c>
      <c r="BS15" s="124" t="str">
        <f t="shared" si="3"/>
        <v>BETTER</v>
      </c>
      <c r="BT15" s="125">
        <f t="shared" si="23"/>
        <v>698</v>
      </c>
      <c r="BU15" s="124"/>
      <c r="BV15" s="124"/>
    </row>
    <row r="16" spans="1:74" s="68" customFormat="1" ht="27.95" customHeight="1">
      <c r="A16" s="67">
        <v>9</v>
      </c>
      <c r="B16" s="37">
        <v>10</v>
      </c>
      <c r="C16" s="34" t="s">
        <v>114</v>
      </c>
      <c r="D16" s="34" t="s">
        <v>115</v>
      </c>
      <c r="E16" s="34" t="s">
        <v>116</v>
      </c>
      <c r="F16" s="35" t="s">
        <v>117</v>
      </c>
      <c r="G16" s="124">
        <v>19</v>
      </c>
      <c r="H16" s="124">
        <v>46</v>
      </c>
      <c r="I16" s="125">
        <f t="shared" si="24"/>
        <v>65</v>
      </c>
      <c r="J16" s="124">
        <v>28</v>
      </c>
      <c r="K16" s="125">
        <f t="shared" si="25"/>
        <v>93</v>
      </c>
      <c r="L16" s="124">
        <v>10</v>
      </c>
      <c r="M16" s="124">
        <v>38</v>
      </c>
      <c r="N16" s="125">
        <f t="shared" si="26"/>
        <v>48</v>
      </c>
      <c r="O16" s="125">
        <f t="shared" si="4"/>
        <v>48</v>
      </c>
      <c r="P16" s="125">
        <f t="shared" si="0"/>
        <v>141</v>
      </c>
      <c r="Q16" s="176"/>
      <c r="R16" s="124">
        <f t="shared" si="5"/>
        <v>5</v>
      </c>
      <c r="S16" s="71">
        <v>18</v>
      </c>
      <c r="T16" s="72">
        <v>73</v>
      </c>
      <c r="U16" s="73">
        <f t="shared" si="27"/>
        <v>91</v>
      </c>
      <c r="V16" s="72">
        <v>10</v>
      </c>
      <c r="W16" s="72">
        <v>38</v>
      </c>
      <c r="X16" s="125">
        <f t="shared" si="6"/>
        <v>48</v>
      </c>
      <c r="Y16" s="125">
        <f t="shared" si="7"/>
        <v>139</v>
      </c>
      <c r="Z16" s="125">
        <f t="shared" si="1"/>
        <v>139</v>
      </c>
      <c r="AA16" s="176"/>
      <c r="AB16" s="124">
        <f t="shared" si="8"/>
        <v>5</v>
      </c>
      <c r="AC16" s="134">
        <v>15</v>
      </c>
      <c r="AD16" s="133">
        <v>39</v>
      </c>
      <c r="AE16" s="135">
        <f t="shared" si="33"/>
        <v>54</v>
      </c>
      <c r="AF16" s="133">
        <v>19</v>
      </c>
      <c r="AG16" s="125">
        <f t="shared" si="9"/>
        <v>73</v>
      </c>
      <c r="AH16" s="176"/>
      <c r="AI16" s="124">
        <f t="shared" si="10"/>
        <v>4</v>
      </c>
      <c r="AJ16" s="71">
        <v>20</v>
      </c>
      <c r="AK16" s="72">
        <v>45</v>
      </c>
      <c r="AL16" s="73">
        <f t="shared" si="29"/>
        <v>65</v>
      </c>
      <c r="AM16" s="72">
        <v>22</v>
      </c>
      <c r="AN16" s="125">
        <f t="shared" si="11"/>
        <v>87</v>
      </c>
      <c r="AO16" s="176"/>
      <c r="AP16" s="124">
        <f t="shared" si="12"/>
        <v>5</v>
      </c>
      <c r="AQ16" s="124">
        <v>13</v>
      </c>
      <c r="AR16" s="124">
        <v>25</v>
      </c>
      <c r="AS16" s="124">
        <f t="shared" si="13"/>
        <v>38</v>
      </c>
      <c r="AT16" s="175"/>
      <c r="AU16" s="124">
        <f t="shared" si="14"/>
        <v>4</v>
      </c>
      <c r="AV16" s="71">
        <v>20</v>
      </c>
      <c r="AW16" s="72">
        <v>38</v>
      </c>
      <c r="AX16" s="73">
        <f t="shared" si="30"/>
        <v>58</v>
      </c>
      <c r="AY16" s="72">
        <v>30</v>
      </c>
      <c r="AZ16" s="125">
        <f t="shared" si="31"/>
        <v>88</v>
      </c>
      <c r="BA16" s="176"/>
      <c r="BB16" s="124">
        <f t="shared" si="15"/>
        <v>5</v>
      </c>
      <c r="BC16" s="71">
        <v>20</v>
      </c>
      <c r="BD16" s="72">
        <v>46</v>
      </c>
      <c r="BE16" s="73">
        <f t="shared" si="32"/>
        <v>66</v>
      </c>
      <c r="BF16" s="72">
        <v>27</v>
      </c>
      <c r="BG16" s="125">
        <f t="shared" si="16"/>
        <v>93</v>
      </c>
      <c r="BH16" s="176"/>
      <c r="BI16" s="124">
        <f t="shared" si="17"/>
        <v>5</v>
      </c>
      <c r="BJ16" s="71">
        <v>10</v>
      </c>
      <c r="BK16" s="72">
        <v>38</v>
      </c>
      <c r="BL16" s="125">
        <f t="shared" si="18"/>
        <v>48</v>
      </c>
      <c r="BM16" s="125">
        <f t="shared" si="19"/>
        <v>48</v>
      </c>
      <c r="BN16" s="176"/>
      <c r="BO16" s="124">
        <f t="shared" si="2"/>
        <v>5</v>
      </c>
      <c r="BP16" s="124">
        <f t="shared" si="20"/>
        <v>38</v>
      </c>
      <c r="BQ16" s="70">
        <f t="shared" si="21"/>
        <v>4.75</v>
      </c>
      <c r="BR16" s="70" t="str">
        <f t="shared" si="22"/>
        <v>A</v>
      </c>
      <c r="BS16" s="124" t="str">
        <f t="shared" si="3"/>
        <v>BETTER</v>
      </c>
      <c r="BT16" s="125">
        <f t="shared" si="23"/>
        <v>707</v>
      </c>
      <c r="BU16" s="124"/>
      <c r="BV16" s="124"/>
    </row>
    <row r="17" spans="1:74" s="68" customFormat="1" ht="27.95" customHeight="1">
      <c r="A17" s="67">
        <v>10</v>
      </c>
      <c r="B17" s="37">
        <v>11</v>
      </c>
      <c r="C17" s="34" t="s">
        <v>118</v>
      </c>
      <c r="D17" s="34" t="s">
        <v>119</v>
      </c>
      <c r="E17" s="34" t="s">
        <v>120</v>
      </c>
      <c r="F17" s="35" t="s">
        <v>121</v>
      </c>
      <c r="G17" s="124">
        <v>15</v>
      </c>
      <c r="H17" s="124">
        <v>36</v>
      </c>
      <c r="I17" s="125">
        <f t="shared" si="24"/>
        <v>51</v>
      </c>
      <c r="J17" s="124">
        <v>30</v>
      </c>
      <c r="K17" s="125">
        <f t="shared" si="25"/>
        <v>81</v>
      </c>
      <c r="L17" s="124">
        <v>9</v>
      </c>
      <c r="M17" s="124">
        <v>31</v>
      </c>
      <c r="N17" s="125">
        <f t="shared" si="26"/>
        <v>40</v>
      </c>
      <c r="O17" s="125">
        <f t="shared" si="4"/>
        <v>40</v>
      </c>
      <c r="P17" s="125">
        <f t="shared" si="0"/>
        <v>121</v>
      </c>
      <c r="Q17" s="176"/>
      <c r="R17" s="124">
        <f t="shared" si="5"/>
        <v>5</v>
      </c>
      <c r="S17" s="124">
        <v>19</v>
      </c>
      <c r="T17" s="124">
        <v>40</v>
      </c>
      <c r="U17" s="125">
        <f t="shared" si="27"/>
        <v>59</v>
      </c>
      <c r="V17" s="133">
        <v>8</v>
      </c>
      <c r="W17" s="133">
        <v>28</v>
      </c>
      <c r="X17" s="125">
        <f t="shared" si="6"/>
        <v>36</v>
      </c>
      <c r="Y17" s="125">
        <f t="shared" si="7"/>
        <v>95</v>
      </c>
      <c r="Z17" s="125">
        <f t="shared" si="1"/>
        <v>95</v>
      </c>
      <c r="AA17" s="176"/>
      <c r="AB17" s="124">
        <f t="shared" si="8"/>
        <v>3.5</v>
      </c>
      <c r="AC17" s="134">
        <v>10</v>
      </c>
      <c r="AD17" s="133">
        <v>26</v>
      </c>
      <c r="AE17" s="135">
        <f t="shared" si="33"/>
        <v>36</v>
      </c>
      <c r="AF17" s="133">
        <v>15</v>
      </c>
      <c r="AG17" s="125">
        <f t="shared" si="9"/>
        <v>51</v>
      </c>
      <c r="AH17" s="176"/>
      <c r="AI17" s="124">
        <f t="shared" si="10"/>
        <v>3</v>
      </c>
      <c r="AJ17" s="134">
        <v>20</v>
      </c>
      <c r="AK17" s="133">
        <v>43</v>
      </c>
      <c r="AL17" s="135">
        <f t="shared" si="29"/>
        <v>63</v>
      </c>
      <c r="AM17" s="133">
        <v>28</v>
      </c>
      <c r="AN17" s="125">
        <f t="shared" si="11"/>
        <v>91</v>
      </c>
      <c r="AO17" s="176"/>
      <c r="AP17" s="124">
        <f t="shared" si="12"/>
        <v>5</v>
      </c>
      <c r="AQ17" s="124">
        <v>25</v>
      </c>
      <c r="AR17" s="124">
        <v>25</v>
      </c>
      <c r="AS17" s="124">
        <f t="shared" si="13"/>
        <v>50</v>
      </c>
      <c r="AT17" s="175"/>
      <c r="AU17" s="124">
        <f t="shared" si="14"/>
        <v>5</v>
      </c>
      <c r="AV17" s="134">
        <v>16</v>
      </c>
      <c r="AW17" s="133">
        <v>30</v>
      </c>
      <c r="AX17" s="135">
        <f t="shared" si="30"/>
        <v>46</v>
      </c>
      <c r="AY17" s="133">
        <v>21</v>
      </c>
      <c r="AZ17" s="125">
        <f t="shared" si="31"/>
        <v>67</v>
      </c>
      <c r="BA17" s="176"/>
      <c r="BB17" s="124">
        <f t="shared" si="15"/>
        <v>3.5</v>
      </c>
      <c r="BC17" s="134">
        <v>10</v>
      </c>
      <c r="BD17" s="133">
        <v>37</v>
      </c>
      <c r="BE17" s="135">
        <f t="shared" si="32"/>
        <v>47</v>
      </c>
      <c r="BF17" s="133">
        <v>17</v>
      </c>
      <c r="BG17" s="125">
        <f t="shared" si="16"/>
        <v>64</v>
      </c>
      <c r="BH17" s="176"/>
      <c r="BI17" s="124">
        <f t="shared" si="17"/>
        <v>3.5</v>
      </c>
      <c r="BJ17" s="134">
        <v>10</v>
      </c>
      <c r="BK17" s="133">
        <v>28</v>
      </c>
      <c r="BL17" s="125">
        <f t="shared" si="18"/>
        <v>38</v>
      </c>
      <c r="BM17" s="125">
        <f t="shared" si="19"/>
        <v>38</v>
      </c>
      <c r="BN17" s="176"/>
      <c r="BO17" s="124">
        <f t="shared" si="2"/>
        <v>4</v>
      </c>
      <c r="BP17" s="124">
        <f t="shared" si="20"/>
        <v>32.5</v>
      </c>
      <c r="BQ17" s="70">
        <f t="shared" si="21"/>
        <v>4.0625</v>
      </c>
      <c r="BR17" s="70" t="str">
        <f t="shared" si="22"/>
        <v>A</v>
      </c>
      <c r="BS17" s="124" t="str">
        <f t="shared" si="3"/>
        <v>BETTER</v>
      </c>
      <c r="BT17" s="125">
        <f t="shared" si="23"/>
        <v>577</v>
      </c>
      <c r="BU17" s="124"/>
      <c r="BV17" s="124"/>
    </row>
    <row r="18" spans="1:74" s="68" customFormat="1" ht="27.95" customHeight="1">
      <c r="A18" s="67">
        <v>11</v>
      </c>
      <c r="B18" s="37">
        <v>12</v>
      </c>
      <c r="C18" s="34" t="s">
        <v>122</v>
      </c>
      <c r="D18" s="34" t="s">
        <v>123</v>
      </c>
      <c r="E18" s="34" t="s">
        <v>124</v>
      </c>
      <c r="F18" s="35" t="s">
        <v>125</v>
      </c>
      <c r="G18" s="124">
        <v>11</v>
      </c>
      <c r="H18" s="124">
        <v>43</v>
      </c>
      <c r="I18" s="125">
        <f t="shared" si="24"/>
        <v>54</v>
      </c>
      <c r="J18" s="124">
        <v>29</v>
      </c>
      <c r="K18" s="125">
        <f t="shared" si="25"/>
        <v>83</v>
      </c>
      <c r="L18" s="124">
        <v>10</v>
      </c>
      <c r="M18" s="124">
        <v>35</v>
      </c>
      <c r="N18" s="125">
        <f t="shared" si="26"/>
        <v>45</v>
      </c>
      <c r="O18" s="125">
        <f t="shared" si="4"/>
        <v>45</v>
      </c>
      <c r="P18" s="125">
        <f t="shared" si="0"/>
        <v>128</v>
      </c>
      <c r="Q18" s="176"/>
      <c r="R18" s="124">
        <f t="shared" si="5"/>
        <v>5</v>
      </c>
      <c r="S18" s="71">
        <v>18</v>
      </c>
      <c r="T18" s="72">
        <v>71</v>
      </c>
      <c r="U18" s="73">
        <f t="shared" si="27"/>
        <v>89</v>
      </c>
      <c r="V18" s="72">
        <v>8</v>
      </c>
      <c r="W18" s="72">
        <v>28</v>
      </c>
      <c r="X18" s="125">
        <f t="shared" si="6"/>
        <v>36</v>
      </c>
      <c r="Y18" s="125">
        <f t="shared" si="7"/>
        <v>125</v>
      </c>
      <c r="Z18" s="125">
        <f t="shared" si="1"/>
        <v>125</v>
      </c>
      <c r="AA18" s="176"/>
      <c r="AB18" s="124">
        <f t="shared" si="8"/>
        <v>5</v>
      </c>
      <c r="AC18" s="71">
        <v>12</v>
      </c>
      <c r="AD18" s="72">
        <v>32</v>
      </c>
      <c r="AE18" s="73">
        <f t="shared" si="33"/>
        <v>44</v>
      </c>
      <c r="AF18" s="72">
        <v>27</v>
      </c>
      <c r="AG18" s="125">
        <f t="shared" si="9"/>
        <v>71</v>
      </c>
      <c r="AH18" s="176"/>
      <c r="AI18" s="124">
        <f t="shared" si="10"/>
        <v>4</v>
      </c>
      <c r="AJ18" s="71">
        <v>17</v>
      </c>
      <c r="AK18" s="72">
        <v>46</v>
      </c>
      <c r="AL18" s="73">
        <f t="shared" si="29"/>
        <v>63</v>
      </c>
      <c r="AM18" s="72">
        <v>23</v>
      </c>
      <c r="AN18" s="125">
        <f t="shared" si="11"/>
        <v>86</v>
      </c>
      <c r="AO18" s="176"/>
      <c r="AP18" s="124">
        <f t="shared" si="12"/>
        <v>5</v>
      </c>
      <c r="AQ18" s="124">
        <v>20</v>
      </c>
      <c r="AR18" s="124">
        <v>25</v>
      </c>
      <c r="AS18" s="124">
        <f t="shared" si="13"/>
        <v>45</v>
      </c>
      <c r="AT18" s="175"/>
      <c r="AU18" s="124">
        <f t="shared" si="14"/>
        <v>5</v>
      </c>
      <c r="AV18" s="71">
        <v>20</v>
      </c>
      <c r="AW18" s="72">
        <v>38</v>
      </c>
      <c r="AX18" s="73">
        <f t="shared" si="30"/>
        <v>58</v>
      </c>
      <c r="AY18" s="72">
        <v>21</v>
      </c>
      <c r="AZ18" s="125">
        <f t="shared" si="31"/>
        <v>79</v>
      </c>
      <c r="BA18" s="176"/>
      <c r="BB18" s="124">
        <f t="shared" si="15"/>
        <v>4</v>
      </c>
      <c r="BC18" s="71">
        <v>15</v>
      </c>
      <c r="BD18" s="72">
        <v>45</v>
      </c>
      <c r="BE18" s="73">
        <f t="shared" si="32"/>
        <v>60</v>
      </c>
      <c r="BF18" s="72">
        <v>29</v>
      </c>
      <c r="BG18" s="125">
        <f t="shared" si="16"/>
        <v>89</v>
      </c>
      <c r="BH18" s="176"/>
      <c r="BI18" s="124">
        <f t="shared" si="17"/>
        <v>5</v>
      </c>
      <c r="BJ18" s="71">
        <v>9</v>
      </c>
      <c r="BK18" s="72">
        <v>36</v>
      </c>
      <c r="BL18" s="125">
        <f t="shared" si="18"/>
        <v>45</v>
      </c>
      <c r="BM18" s="125">
        <f t="shared" si="19"/>
        <v>45</v>
      </c>
      <c r="BN18" s="176"/>
      <c r="BO18" s="124">
        <f t="shared" si="2"/>
        <v>5</v>
      </c>
      <c r="BP18" s="124">
        <f t="shared" si="20"/>
        <v>38</v>
      </c>
      <c r="BQ18" s="70">
        <f t="shared" si="21"/>
        <v>4.75</v>
      </c>
      <c r="BR18" s="70" t="str">
        <f t="shared" si="22"/>
        <v>A</v>
      </c>
      <c r="BS18" s="124" t="str">
        <f t="shared" si="3"/>
        <v>BETTER</v>
      </c>
      <c r="BT18" s="125">
        <f t="shared" si="23"/>
        <v>668</v>
      </c>
      <c r="BU18" s="124"/>
      <c r="BV18" s="124"/>
    </row>
    <row r="19" spans="1:74" s="68" customFormat="1" ht="27.95" customHeight="1">
      <c r="A19" s="67">
        <v>12</v>
      </c>
      <c r="B19" s="37">
        <v>14</v>
      </c>
      <c r="C19" s="34" t="s">
        <v>126</v>
      </c>
      <c r="D19" s="34" t="s">
        <v>127</v>
      </c>
      <c r="E19" s="34" t="s">
        <v>128</v>
      </c>
      <c r="F19" s="35" t="s">
        <v>129</v>
      </c>
      <c r="G19" s="124">
        <v>17</v>
      </c>
      <c r="H19" s="124">
        <v>46</v>
      </c>
      <c r="I19" s="125">
        <f t="shared" si="24"/>
        <v>63</v>
      </c>
      <c r="J19" s="124">
        <v>30</v>
      </c>
      <c r="K19" s="125">
        <f t="shared" si="25"/>
        <v>93</v>
      </c>
      <c r="L19" s="124">
        <v>10</v>
      </c>
      <c r="M19" s="124">
        <v>34</v>
      </c>
      <c r="N19" s="125">
        <f t="shared" si="26"/>
        <v>44</v>
      </c>
      <c r="O19" s="125">
        <f t="shared" si="4"/>
        <v>44</v>
      </c>
      <c r="P19" s="125">
        <f t="shared" si="0"/>
        <v>137</v>
      </c>
      <c r="Q19" s="176"/>
      <c r="R19" s="124">
        <f t="shared" si="5"/>
        <v>5</v>
      </c>
      <c r="S19" s="71">
        <v>18</v>
      </c>
      <c r="T19" s="72">
        <v>70</v>
      </c>
      <c r="U19" s="73">
        <f t="shared" si="27"/>
        <v>88</v>
      </c>
      <c r="V19" s="72">
        <v>9</v>
      </c>
      <c r="W19" s="72">
        <v>32</v>
      </c>
      <c r="X19" s="125">
        <f t="shared" si="6"/>
        <v>41</v>
      </c>
      <c r="Y19" s="125">
        <f t="shared" si="7"/>
        <v>129</v>
      </c>
      <c r="Z19" s="125">
        <f t="shared" si="1"/>
        <v>129</v>
      </c>
      <c r="AA19" s="176"/>
      <c r="AB19" s="124">
        <f t="shared" si="8"/>
        <v>5</v>
      </c>
      <c r="AC19" s="71">
        <v>17</v>
      </c>
      <c r="AD19" s="72">
        <v>41</v>
      </c>
      <c r="AE19" s="73">
        <f t="shared" si="33"/>
        <v>58</v>
      </c>
      <c r="AF19" s="72">
        <v>22</v>
      </c>
      <c r="AG19" s="125">
        <f t="shared" si="9"/>
        <v>80</v>
      </c>
      <c r="AH19" s="176"/>
      <c r="AI19" s="124">
        <f t="shared" si="10"/>
        <v>5</v>
      </c>
      <c r="AJ19" s="71">
        <v>19</v>
      </c>
      <c r="AK19" s="72">
        <v>44</v>
      </c>
      <c r="AL19" s="73">
        <f t="shared" si="29"/>
        <v>63</v>
      </c>
      <c r="AM19" s="72">
        <v>20</v>
      </c>
      <c r="AN19" s="125">
        <f t="shared" si="11"/>
        <v>83</v>
      </c>
      <c r="AO19" s="176"/>
      <c r="AP19" s="124">
        <f t="shared" si="12"/>
        <v>5</v>
      </c>
      <c r="AQ19" s="124">
        <v>20</v>
      </c>
      <c r="AR19" s="124">
        <v>25</v>
      </c>
      <c r="AS19" s="124">
        <f t="shared" si="13"/>
        <v>45</v>
      </c>
      <c r="AT19" s="175"/>
      <c r="AU19" s="124">
        <f t="shared" si="14"/>
        <v>5</v>
      </c>
      <c r="AV19" s="71">
        <v>20</v>
      </c>
      <c r="AW19" s="72">
        <v>39</v>
      </c>
      <c r="AX19" s="73">
        <f t="shared" si="30"/>
        <v>59</v>
      </c>
      <c r="AY19" s="72">
        <v>25</v>
      </c>
      <c r="AZ19" s="125">
        <f t="shared" si="31"/>
        <v>84</v>
      </c>
      <c r="BA19" s="176"/>
      <c r="BB19" s="124">
        <f t="shared" si="15"/>
        <v>5</v>
      </c>
      <c r="BC19" s="71">
        <v>19</v>
      </c>
      <c r="BD19" s="72">
        <v>45</v>
      </c>
      <c r="BE19" s="73">
        <f t="shared" si="32"/>
        <v>64</v>
      </c>
      <c r="BF19" s="72">
        <v>27</v>
      </c>
      <c r="BG19" s="125">
        <f t="shared" si="16"/>
        <v>91</v>
      </c>
      <c r="BH19" s="176"/>
      <c r="BI19" s="124">
        <f t="shared" si="17"/>
        <v>5</v>
      </c>
      <c r="BJ19" s="71">
        <v>10</v>
      </c>
      <c r="BK19" s="72">
        <v>30</v>
      </c>
      <c r="BL19" s="125">
        <f t="shared" si="18"/>
        <v>40</v>
      </c>
      <c r="BM19" s="125">
        <f t="shared" si="19"/>
        <v>40</v>
      </c>
      <c r="BN19" s="176"/>
      <c r="BO19" s="124">
        <f t="shared" si="2"/>
        <v>5</v>
      </c>
      <c r="BP19" s="124">
        <f t="shared" si="20"/>
        <v>40</v>
      </c>
      <c r="BQ19" s="70">
        <f t="shared" si="21"/>
        <v>5</v>
      </c>
      <c r="BR19" s="70" t="str">
        <f t="shared" si="22"/>
        <v>A+</v>
      </c>
      <c r="BS19" s="124" t="str">
        <f t="shared" si="3"/>
        <v>BEST</v>
      </c>
      <c r="BT19" s="125">
        <f t="shared" si="23"/>
        <v>689</v>
      </c>
      <c r="BU19" s="124"/>
      <c r="BV19" s="124"/>
    </row>
    <row r="20" spans="1:74" s="68" customFormat="1" ht="27.95" customHeight="1">
      <c r="A20" s="67">
        <v>13</v>
      </c>
      <c r="B20" s="37">
        <v>16</v>
      </c>
      <c r="C20" s="34" t="s">
        <v>130</v>
      </c>
      <c r="D20" s="34" t="s">
        <v>131</v>
      </c>
      <c r="E20" s="34" t="s">
        <v>132</v>
      </c>
      <c r="F20" s="35" t="s">
        <v>133</v>
      </c>
      <c r="G20" s="124">
        <v>15</v>
      </c>
      <c r="H20" s="124">
        <v>31</v>
      </c>
      <c r="I20" s="125">
        <f t="shared" si="24"/>
        <v>46</v>
      </c>
      <c r="J20" s="124">
        <v>24</v>
      </c>
      <c r="K20" s="125">
        <f t="shared" si="25"/>
        <v>70</v>
      </c>
      <c r="L20" s="124">
        <v>9</v>
      </c>
      <c r="M20" s="124">
        <v>22</v>
      </c>
      <c r="N20" s="125">
        <f t="shared" si="26"/>
        <v>31</v>
      </c>
      <c r="O20" s="125">
        <f t="shared" si="4"/>
        <v>31</v>
      </c>
      <c r="P20" s="125">
        <f t="shared" si="0"/>
        <v>101</v>
      </c>
      <c r="Q20" s="176"/>
      <c r="R20" s="124">
        <f t="shared" si="5"/>
        <v>3.5</v>
      </c>
      <c r="S20" s="71">
        <v>17</v>
      </c>
      <c r="T20" s="72">
        <v>62</v>
      </c>
      <c r="U20" s="73">
        <f t="shared" si="27"/>
        <v>79</v>
      </c>
      <c r="V20" s="72">
        <v>6</v>
      </c>
      <c r="W20" s="72">
        <v>20</v>
      </c>
      <c r="X20" s="125">
        <f t="shared" si="6"/>
        <v>26</v>
      </c>
      <c r="Y20" s="125">
        <f t="shared" si="7"/>
        <v>105</v>
      </c>
      <c r="Z20" s="125">
        <f t="shared" si="1"/>
        <v>105</v>
      </c>
      <c r="AA20" s="176"/>
      <c r="AB20" s="124">
        <f t="shared" si="8"/>
        <v>4</v>
      </c>
      <c r="AC20" s="71">
        <v>9</v>
      </c>
      <c r="AD20" s="72">
        <v>25</v>
      </c>
      <c r="AE20" s="73">
        <f t="shared" si="33"/>
        <v>34</v>
      </c>
      <c r="AF20" s="72">
        <v>17</v>
      </c>
      <c r="AG20" s="125">
        <f t="shared" si="9"/>
        <v>51</v>
      </c>
      <c r="AH20" s="176"/>
      <c r="AI20" s="124">
        <f t="shared" si="10"/>
        <v>3</v>
      </c>
      <c r="AJ20" s="71">
        <v>18</v>
      </c>
      <c r="AK20" s="72">
        <v>42</v>
      </c>
      <c r="AL20" s="73">
        <f t="shared" si="29"/>
        <v>60</v>
      </c>
      <c r="AM20" s="72">
        <v>21</v>
      </c>
      <c r="AN20" s="125">
        <f t="shared" si="11"/>
        <v>81</v>
      </c>
      <c r="AO20" s="176"/>
      <c r="AP20" s="124">
        <f t="shared" si="12"/>
        <v>5</v>
      </c>
      <c r="AQ20" s="124">
        <v>19</v>
      </c>
      <c r="AR20" s="124">
        <v>25</v>
      </c>
      <c r="AS20" s="124">
        <f t="shared" si="13"/>
        <v>44</v>
      </c>
      <c r="AT20" s="175"/>
      <c r="AU20" s="124">
        <f t="shared" si="14"/>
        <v>5</v>
      </c>
      <c r="AV20" s="71">
        <v>18</v>
      </c>
      <c r="AW20" s="72">
        <v>33</v>
      </c>
      <c r="AX20" s="73">
        <f t="shared" si="30"/>
        <v>51</v>
      </c>
      <c r="AY20" s="72">
        <v>18</v>
      </c>
      <c r="AZ20" s="125">
        <f t="shared" si="31"/>
        <v>69</v>
      </c>
      <c r="BA20" s="176"/>
      <c r="BB20" s="124">
        <f t="shared" si="15"/>
        <v>3.5</v>
      </c>
      <c r="BC20" s="71">
        <v>16</v>
      </c>
      <c r="BD20" s="72">
        <v>36</v>
      </c>
      <c r="BE20" s="73">
        <f t="shared" si="32"/>
        <v>52</v>
      </c>
      <c r="BF20" s="72">
        <v>28</v>
      </c>
      <c r="BG20" s="125">
        <f t="shared" si="16"/>
        <v>80</v>
      </c>
      <c r="BH20" s="176"/>
      <c r="BI20" s="124">
        <f t="shared" si="17"/>
        <v>5</v>
      </c>
      <c r="BJ20" s="71">
        <v>9</v>
      </c>
      <c r="BK20" s="72">
        <v>28</v>
      </c>
      <c r="BL20" s="125">
        <f t="shared" si="18"/>
        <v>37</v>
      </c>
      <c r="BM20" s="125">
        <f t="shared" si="19"/>
        <v>37</v>
      </c>
      <c r="BN20" s="176"/>
      <c r="BO20" s="124">
        <f t="shared" si="2"/>
        <v>4</v>
      </c>
      <c r="BP20" s="124">
        <f t="shared" si="20"/>
        <v>33</v>
      </c>
      <c r="BQ20" s="70">
        <f t="shared" si="21"/>
        <v>4.125</v>
      </c>
      <c r="BR20" s="70" t="str">
        <f t="shared" si="22"/>
        <v>A</v>
      </c>
      <c r="BS20" s="124" t="str">
        <f t="shared" si="3"/>
        <v>BETTER</v>
      </c>
      <c r="BT20" s="125">
        <f t="shared" si="23"/>
        <v>568</v>
      </c>
      <c r="BU20" s="124"/>
      <c r="BV20" s="124"/>
    </row>
    <row r="21" spans="1:74" s="68" customFormat="1" ht="27.95" customHeight="1">
      <c r="A21" s="67">
        <v>14</v>
      </c>
      <c r="B21" s="37">
        <v>18</v>
      </c>
      <c r="C21" s="34" t="s">
        <v>134</v>
      </c>
      <c r="D21" s="34" t="s">
        <v>135</v>
      </c>
      <c r="E21" s="34" t="s">
        <v>136</v>
      </c>
      <c r="F21" s="35" t="s">
        <v>137</v>
      </c>
      <c r="G21" s="124">
        <v>17</v>
      </c>
      <c r="H21" s="124">
        <v>38</v>
      </c>
      <c r="I21" s="125">
        <f t="shared" ref="I21" si="34">H21+G21</f>
        <v>55</v>
      </c>
      <c r="J21" s="124">
        <v>30</v>
      </c>
      <c r="K21" s="125">
        <f t="shared" si="25"/>
        <v>85</v>
      </c>
      <c r="L21" s="124">
        <v>9</v>
      </c>
      <c r="M21" s="124">
        <v>28</v>
      </c>
      <c r="N21" s="125">
        <f t="shared" si="26"/>
        <v>37</v>
      </c>
      <c r="O21" s="125">
        <f t="shared" si="4"/>
        <v>37</v>
      </c>
      <c r="P21" s="125">
        <f t="shared" si="0"/>
        <v>122</v>
      </c>
      <c r="Q21" s="176"/>
      <c r="R21" s="124">
        <f t="shared" si="5"/>
        <v>5</v>
      </c>
      <c r="S21" s="124">
        <v>20</v>
      </c>
      <c r="T21" s="124">
        <v>74</v>
      </c>
      <c r="U21" s="125">
        <f t="shared" si="27"/>
        <v>94</v>
      </c>
      <c r="V21" s="133">
        <v>9</v>
      </c>
      <c r="W21" s="133">
        <v>37</v>
      </c>
      <c r="X21" s="125">
        <f t="shared" si="6"/>
        <v>46</v>
      </c>
      <c r="Y21" s="125">
        <f t="shared" si="7"/>
        <v>140</v>
      </c>
      <c r="Z21" s="125">
        <f t="shared" si="1"/>
        <v>140</v>
      </c>
      <c r="AA21" s="176"/>
      <c r="AB21" s="124">
        <f t="shared" si="8"/>
        <v>5</v>
      </c>
      <c r="AC21" s="134">
        <v>19</v>
      </c>
      <c r="AD21" s="133">
        <v>39</v>
      </c>
      <c r="AE21" s="135">
        <f t="shared" si="33"/>
        <v>58</v>
      </c>
      <c r="AF21" s="133">
        <v>18</v>
      </c>
      <c r="AG21" s="125">
        <f t="shared" si="9"/>
        <v>76</v>
      </c>
      <c r="AH21" s="176"/>
      <c r="AI21" s="124">
        <f t="shared" si="10"/>
        <v>4</v>
      </c>
      <c r="AJ21" s="134">
        <v>20</v>
      </c>
      <c r="AK21" s="133">
        <v>46</v>
      </c>
      <c r="AL21" s="135">
        <f t="shared" si="29"/>
        <v>66</v>
      </c>
      <c r="AM21" s="133">
        <v>26</v>
      </c>
      <c r="AN21" s="125">
        <f t="shared" si="11"/>
        <v>92</v>
      </c>
      <c r="AO21" s="176"/>
      <c r="AP21" s="124">
        <f t="shared" si="12"/>
        <v>5</v>
      </c>
      <c r="AQ21" s="124">
        <v>25</v>
      </c>
      <c r="AR21" s="124">
        <v>25</v>
      </c>
      <c r="AS21" s="124">
        <f t="shared" si="13"/>
        <v>50</v>
      </c>
      <c r="AT21" s="175"/>
      <c r="AU21" s="124">
        <f t="shared" si="14"/>
        <v>5</v>
      </c>
      <c r="AV21" s="134">
        <v>19</v>
      </c>
      <c r="AW21" s="133">
        <v>49</v>
      </c>
      <c r="AX21" s="135">
        <f t="shared" si="30"/>
        <v>68</v>
      </c>
      <c r="AY21" s="133">
        <v>28</v>
      </c>
      <c r="AZ21" s="125">
        <f t="shared" si="31"/>
        <v>96</v>
      </c>
      <c r="BA21" s="176"/>
      <c r="BB21" s="124">
        <f t="shared" si="15"/>
        <v>5</v>
      </c>
      <c r="BC21" s="134">
        <v>19</v>
      </c>
      <c r="BD21" s="133">
        <v>42</v>
      </c>
      <c r="BE21" s="135">
        <f t="shared" si="32"/>
        <v>61</v>
      </c>
      <c r="BF21" s="133">
        <v>28</v>
      </c>
      <c r="BG21" s="125">
        <f t="shared" si="16"/>
        <v>89</v>
      </c>
      <c r="BH21" s="176"/>
      <c r="BI21" s="124">
        <f t="shared" si="17"/>
        <v>5</v>
      </c>
      <c r="BJ21" s="134">
        <v>10</v>
      </c>
      <c r="BK21" s="133">
        <v>24</v>
      </c>
      <c r="BL21" s="125">
        <f t="shared" si="18"/>
        <v>34</v>
      </c>
      <c r="BM21" s="125">
        <f t="shared" si="19"/>
        <v>34</v>
      </c>
      <c r="BN21" s="176"/>
      <c r="BO21" s="124">
        <f t="shared" si="2"/>
        <v>3.5</v>
      </c>
      <c r="BP21" s="124">
        <f t="shared" si="20"/>
        <v>37.5</v>
      </c>
      <c r="BQ21" s="70">
        <f t="shared" si="21"/>
        <v>4.6875</v>
      </c>
      <c r="BR21" s="70" t="str">
        <f t="shared" si="22"/>
        <v>A</v>
      </c>
      <c r="BS21" s="124" t="str">
        <f t="shared" si="3"/>
        <v>BETTER</v>
      </c>
      <c r="BT21" s="125">
        <f t="shared" si="23"/>
        <v>699</v>
      </c>
      <c r="BU21" s="124"/>
      <c r="BV21" s="124"/>
    </row>
    <row r="22" spans="1:74" s="68" customFormat="1" ht="27.95" customHeight="1">
      <c r="A22" s="67">
        <v>15</v>
      </c>
      <c r="B22" s="37">
        <v>19</v>
      </c>
      <c r="C22" s="34" t="s">
        <v>138</v>
      </c>
      <c r="D22" s="34" t="s">
        <v>135</v>
      </c>
      <c r="E22" s="34" t="s">
        <v>136</v>
      </c>
      <c r="F22" s="35" t="s">
        <v>137</v>
      </c>
      <c r="G22" s="124">
        <v>17</v>
      </c>
      <c r="H22" s="124">
        <v>36</v>
      </c>
      <c r="I22" s="125">
        <f t="shared" si="24"/>
        <v>53</v>
      </c>
      <c r="J22" s="124">
        <v>30</v>
      </c>
      <c r="K22" s="125">
        <f t="shared" si="25"/>
        <v>83</v>
      </c>
      <c r="L22" s="124">
        <v>9</v>
      </c>
      <c r="M22" s="124">
        <v>31</v>
      </c>
      <c r="N22" s="125">
        <f t="shared" si="26"/>
        <v>40</v>
      </c>
      <c r="O22" s="125">
        <f t="shared" si="4"/>
        <v>40</v>
      </c>
      <c r="P22" s="125">
        <f t="shared" si="0"/>
        <v>123</v>
      </c>
      <c r="Q22" s="176"/>
      <c r="R22" s="124">
        <f t="shared" si="5"/>
        <v>5</v>
      </c>
      <c r="S22" s="124">
        <v>20</v>
      </c>
      <c r="T22" s="124">
        <v>71</v>
      </c>
      <c r="U22" s="125">
        <f t="shared" si="27"/>
        <v>91</v>
      </c>
      <c r="V22" s="133">
        <v>10</v>
      </c>
      <c r="W22" s="133">
        <v>38</v>
      </c>
      <c r="X22" s="125">
        <f t="shared" si="6"/>
        <v>48</v>
      </c>
      <c r="Y22" s="125">
        <f t="shared" si="7"/>
        <v>139</v>
      </c>
      <c r="Z22" s="125">
        <f t="shared" si="1"/>
        <v>139</v>
      </c>
      <c r="AA22" s="176"/>
      <c r="AB22" s="124">
        <f t="shared" si="8"/>
        <v>5</v>
      </c>
      <c r="AC22" s="134">
        <v>20</v>
      </c>
      <c r="AD22" s="133">
        <v>36</v>
      </c>
      <c r="AE22" s="135">
        <f t="shared" si="33"/>
        <v>56</v>
      </c>
      <c r="AF22" s="133">
        <v>22</v>
      </c>
      <c r="AG22" s="125">
        <f t="shared" si="9"/>
        <v>78</v>
      </c>
      <c r="AH22" s="176"/>
      <c r="AI22" s="124">
        <f t="shared" si="10"/>
        <v>4</v>
      </c>
      <c r="AJ22" s="134">
        <v>20</v>
      </c>
      <c r="AK22" s="133">
        <v>48</v>
      </c>
      <c r="AL22" s="135">
        <f t="shared" si="29"/>
        <v>68</v>
      </c>
      <c r="AM22" s="133">
        <v>27</v>
      </c>
      <c r="AN22" s="125">
        <f t="shared" si="11"/>
        <v>95</v>
      </c>
      <c r="AO22" s="176"/>
      <c r="AP22" s="124">
        <f t="shared" si="12"/>
        <v>5</v>
      </c>
      <c r="AQ22" s="124">
        <v>25</v>
      </c>
      <c r="AR22" s="124">
        <v>25</v>
      </c>
      <c r="AS22" s="124">
        <f t="shared" si="13"/>
        <v>50</v>
      </c>
      <c r="AT22" s="175"/>
      <c r="AU22" s="124">
        <f t="shared" si="14"/>
        <v>5</v>
      </c>
      <c r="AV22" s="134">
        <v>19</v>
      </c>
      <c r="AW22" s="133">
        <v>49</v>
      </c>
      <c r="AX22" s="135">
        <f t="shared" si="30"/>
        <v>68</v>
      </c>
      <c r="AY22" s="133">
        <v>27</v>
      </c>
      <c r="AZ22" s="125">
        <f t="shared" si="31"/>
        <v>95</v>
      </c>
      <c r="BA22" s="176"/>
      <c r="BB22" s="124">
        <f t="shared" si="15"/>
        <v>5</v>
      </c>
      <c r="BC22" s="134">
        <v>19</v>
      </c>
      <c r="BD22" s="133">
        <v>44</v>
      </c>
      <c r="BE22" s="135">
        <f t="shared" si="32"/>
        <v>63</v>
      </c>
      <c r="BF22" s="133">
        <v>28</v>
      </c>
      <c r="BG22" s="125">
        <f t="shared" si="16"/>
        <v>91</v>
      </c>
      <c r="BH22" s="176"/>
      <c r="BI22" s="124">
        <f t="shared" si="17"/>
        <v>5</v>
      </c>
      <c r="BJ22" s="134">
        <v>10</v>
      </c>
      <c r="BK22" s="133">
        <v>24</v>
      </c>
      <c r="BL22" s="125">
        <f t="shared" si="18"/>
        <v>34</v>
      </c>
      <c r="BM22" s="125">
        <f t="shared" si="19"/>
        <v>34</v>
      </c>
      <c r="BN22" s="176"/>
      <c r="BO22" s="124">
        <f t="shared" si="2"/>
        <v>3.5</v>
      </c>
      <c r="BP22" s="124">
        <f t="shared" si="20"/>
        <v>37.5</v>
      </c>
      <c r="BQ22" s="70">
        <f t="shared" si="21"/>
        <v>4.6875</v>
      </c>
      <c r="BR22" s="70" t="str">
        <f t="shared" si="22"/>
        <v>A</v>
      </c>
      <c r="BS22" s="124" t="str">
        <f t="shared" si="3"/>
        <v>BETTER</v>
      </c>
      <c r="BT22" s="125">
        <f t="shared" si="23"/>
        <v>705</v>
      </c>
      <c r="BU22" s="124"/>
      <c r="BV22" s="124"/>
    </row>
    <row r="23" spans="1:74" s="68" customFormat="1" ht="27.95" customHeight="1">
      <c r="A23" s="67">
        <v>16</v>
      </c>
      <c r="B23" s="37">
        <v>20</v>
      </c>
      <c r="C23" s="34" t="s">
        <v>139</v>
      </c>
      <c r="D23" s="34" t="s">
        <v>140</v>
      </c>
      <c r="E23" s="34" t="s">
        <v>141</v>
      </c>
      <c r="F23" s="35" t="s">
        <v>142</v>
      </c>
      <c r="G23" s="124">
        <v>15</v>
      </c>
      <c r="H23" s="124">
        <v>33</v>
      </c>
      <c r="I23" s="125">
        <f t="shared" si="24"/>
        <v>48</v>
      </c>
      <c r="J23" s="124">
        <v>24</v>
      </c>
      <c r="K23" s="125">
        <f t="shared" si="25"/>
        <v>72</v>
      </c>
      <c r="L23" s="124">
        <v>9</v>
      </c>
      <c r="M23" s="124">
        <v>30</v>
      </c>
      <c r="N23" s="125">
        <f t="shared" si="26"/>
        <v>39</v>
      </c>
      <c r="O23" s="125">
        <f t="shared" si="4"/>
        <v>39</v>
      </c>
      <c r="P23" s="125">
        <f t="shared" si="0"/>
        <v>111</v>
      </c>
      <c r="Q23" s="176"/>
      <c r="R23" s="124">
        <f t="shared" si="5"/>
        <v>4</v>
      </c>
      <c r="S23" s="71">
        <v>14</v>
      </c>
      <c r="T23" s="72">
        <v>56</v>
      </c>
      <c r="U23" s="73">
        <f t="shared" si="27"/>
        <v>70</v>
      </c>
      <c r="V23" s="72">
        <v>9</v>
      </c>
      <c r="W23" s="72">
        <v>25</v>
      </c>
      <c r="X23" s="125">
        <f t="shared" si="6"/>
        <v>34</v>
      </c>
      <c r="Y23" s="125">
        <f t="shared" si="7"/>
        <v>104</v>
      </c>
      <c r="Z23" s="125">
        <f t="shared" si="1"/>
        <v>104</v>
      </c>
      <c r="AA23" s="176"/>
      <c r="AB23" s="124">
        <f t="shared" si="8"/>
        <v>3.5</v>
      </c>
      <c r="AC23" s="71">
        <v>9</v>
      </c>
      <c r="AD23" s="72">
        <v>20</v>
      </c>
      <c r="AE23" s="73">
        <f t="shared" si="33"/>
        <v>29</v>
      </c>
      <c r="AF23" s="72">
        <v>12</v>
      </c>
      <c r="AG23" s="125">
        <f t="shared" si="9"/>
        <v>41</v>
      </c>
      <c r="AH23" s="176"/>
      <c r="AI23" s="124">
        <f t="shared" si="10"/>
        <v>2</v>
      </c>
      <c r="AJ23" s="71">
        <v>18</v>
      </c>
      <c r="AK23" s="72">
        <v>35</v>
      </c>
      <c r="AL23" s="73">
        <f t="shared" si="29"/>
        <v>53</v>
      </c>
      <c r="AM23" s="72">
        <v>18</v>
      </c>
      <c r="AN23" s="125">
        <f t="shared" si="11"/>
        <v>71</v>
      </c>
      <c r="AO23" s="176"/>
      <c r="AP23" s="124">
        <f t="shared" si="12"/>
        <v>4</v>
      </c>
      <c r="AQ23" s="124">
        <v>25</v>
      </c>
      <c r="AR23" s="124">
        <v>25</v>
      </c>
      <c r="AS23" s="124">
        <f t="shared" si="13"/>
        <v>50</v>
      </c>
      <c r="AT23" s="175"/>
      <c r="AU23" s="124">
        <f t="shared" si="14"/>
        <v>5</v>
      </c>
      <c r="AV23" s="71">
        <v>20</v>
      </c>
      <c r="AW23" s="72">
        <v>26</v>
      </c>
      <c r="AX23" s="73">
        <f t="shared" si="30"/>
        <v>46</v>
      </c>
      <c r="AY23" s="72">
        <v>28</v>
      </c>
      <c r="AZ23" s="125">
        <f t="shared" si="31"/>
        <v>74</v>
      </c>
      <c r="BA23" s="176"/>
      <c r="BB23" s="124">
        <f t="shared" si="15"/>
        <v>4</v>
      </c>
      <c r="BC23" s="71">
        <v>18</v>
      </c>
      <c r="BD23" s="72">
        <v>44</v>
      </c>
      <c r="BE23" s="73">
        <f t="shared" si="32"/>
        <v>62</v>
      </c>
      <c r="BF23" s="72">
        <v>30</v>
      </c>
      <c r="BG23" s="125">
        <f t="shared" si="16"/>
        <v>92</v>
      </c>
      <c r="BH23" s="176"/>
      <c r="BI23" s="124">
        <f t="shared" si="17"/>
        <v>5</v>
      </c>
      <c r="BJ23" s="71">
        <v>10</v>
      </c>
      <c r="BK23" s="72">
        <v>38</v>
      </c>
      <c r="BL23" s="125">
        <f t="shared" si="18"/>
        <v>48</v>
      </c>
      <c r="BM23" s="125">
        <f t="shared" si="19"/>
        <v>48</v>
      </c>
      <c r="BN23" s="176"/>
      <c r="BO23" s="124">
        <f t="shared" si="2"/>
        <v>5</v>
      </c>
      <c r="BP23" s="124">
        <f t="shared" si="20"/>
        <v>32.5</v>
      </c>
      <c r="BQ23" s="70">
        <f t="shared" si="21"/>
        <v>4.0625</v>
      </c>
      <c r="BR23" s="70" t="str">
        <f t="shared" si="22"/>
        <v>A</v>
      </c>
      <c r="BS23" s="124" t="str">
        <f t="shared" si="3"/>
        <v>BETTER</v>
      </c>
      <c r="BT23" s="125">
        <f t="shared" si="23"/>
        <v>591</v>
      </c>
      <c r="BU23" s="124"/>
      <c r="BV23" s="124"/>
    </row>
    <row r="24" spans="1:74" s="68" customFormat="1" ht="27.95" customHeight="1">
      <c r="A24" s="67">
        <v>17</v>
      </c>
      <c r="B24" s="37">
        <v>21</v>
      </c>
      <c r="C24" s="34" t="s">
        <v>143</v>
      </c>
      <c r="D24" s="34" t="s">
        <v>144</v>
      </c>
      <c r="E24" s="34" t="s">
        <v>145</v>
      </c>
      <c r="F24" s="35" t="s">
        <v>146</v>
      </c>
      <c r="G24" s="124">
        <v>19</v>
      </c>
      <c r="H24" s="124">
        <v>38</v>
      </c>
      <c r="I24" s="125">
        <f>H24+G24</f>
        <v>57</v>
      </c>
      <c r="J24" s="124">
        <v>29</v>
      </c>
      <c r="K24" s="125">
        <f t="shared" si="25"/>
        <v>86</v>
      </c>
      <c r="L24" s="124">
        <v>8</v>
      </c>
      <c r="M24" s="124">
        <v>35</v>
      </c>
      <c r="N24" s="125">
        <f t="shared" si="26"/>
        <v>43</v>
      </c>
      <c r="O24" s="125">
        <f t="shared" si="4"/>
        <v>43</v>
      </c>
      <c r="P24" s="125">
        <f t="shared" si="0"/>
        <v>129</v>
      </c>
      <c r="Q24" s="176"/>
      <c r="R24" s="124">
        <f t="shared" si="5"/>
        <v>5</v>
      </c>
      <c r="S24" s="124">
        <v>19</v>
      </c>
      <c r="T24" s="124">
        <v>67</v>
      </c>
      <c r="U24" s="125">
        <f t="shared" si="27"/>
        <v>86</v>
      </c>
      <c r="V24" s="133">
        <v>10</v>
      </c>
      <c r="W24" s="133">
        <v>37</v>
      </c>
      <c r="X24" s="125">
        <f t="shared" si="6"/>
        <v>47</v>
      </c>
      <c r="Y24" s="125">
        <f t="shared" si="7"/>
        <v>133</v>
      </c>
      <c r="Z24" s="125">
        <f t="shared" si="1"/>
        <v>133</v>
      </c>
      <c r="AA24" s="176"/>
      <c r="AB24" s="124">
        <f t="shared" si="8"/>
        <v>5</v>
      </c>
      <c r="AC24" s="124">
        <v>17</v>
      </c>
      <c r="AD24" s="124">
        <v>38</v>
      </c>
      <c r="AE24" s="125">
        <f t="shared" si="33"/>
        <v>55</v>
      </c>
      <c r="AF24" s="124">
        <v>23</v>
      </c>
      <c r="AG24" s="125">
        <f t="shared" si="9"/>
        <v>78</v>
      </c>
      <c r="AH24" s="176"/>
      <c r="AI24" s="124">
        <f t="shared" si="10"/>
        <v>4</v>
      </c>
      <c r="AJ24" s="134">
        <v>20</v>
      </c>
      <c r="AK24" s="133">
        <v>45</v>
      </c>
      <c r="AL24" s="135">
        <f t="shared" si="29"/>
        <v>65</v>
      </c>
      <c r="AM24" s="133">
        <v>26</v>
      </c>
      <c r="AN24" s="125">
        <f t="shared" si="11"/>
        <v>91</v>
      </c>
      <c r="AO24" s="176"/>
      <c r="AP24" s="124">
        <f t="shared" si="12"/>
        <v>5</v>
      </c>
      <c r="AQ24" s="124">
        <v>25</v>
      </c>
      <c r="AR24" s="124">
        <v>25</v>
      </c>
      <c r="AS24" s="124">
        <f t="shared" si="13"/>
        <v>50</v>
      </c>
      <c r="AT24" s="175"/>
      <c r="AU24" s="124">
        <f t="shared" si="14"/>
        <v>5</v>
      </c>
      <c r="AV24" s="134">
        <v>19</v>
      </c>
      <c r="AW24" s="133">
        <v>49</v>
      </c>
      <c r="AX24" s="135">
        <f t="shared" si="30"/>
        <v>68</v>
      </c>
      <c r="AY24" s="133">
        <v>28</v>
      </c>
      <c r="AZ24" s="125">
        <f t="shared" si="31"/>
        <v>96</v>
      </c>
      <c r="BA24" s="176"/>
      <c r="BB24" s="124">
        <f t="shared" si="15"/>
        <v>5</v>
      </c>
      <c r="BC24" s="134">
        <v>17</v>
      </c>
      <c r="BD24" s="133">
        <v>42</v>
      </c>
      <c r="BE24" s="135">
        <f t="shared" si="32"/>
        <v>59</v>
      </c>
      <c r="BF24" s="133">
        <v>19</v>
      </c>
      <c r="BG24" s="125">
        <f t="shared" si="16"/>
        <v>78</v>
      </c>
      <c r="BH24" s="176"/>
      <c r="BI24" s="124">
        <f t="shared" si="17"/>
        <v>4</v>
      </c>
      <c r="BJ24" s="134">
        <v>10</v>
      </c>
      <c r="BK24" s="133">
        <v>24</v>
      </c>
      <c r="BL24" s="125">
        <f t="shared" si="18"/>
        <v>34</v>
      </c>
      <c r="BM24" s="125">
        <f t="shared" si="19"/>
        <v>34</v>
      </c>
      <c r="BN24" s="176"/>
      <c r="BO24" s="124">
        <f t="shared" si="2"/>
        <v>3.5</v>
      </c>
      <c r="BP24" s="124">
        <f t="shared" si="20"/>
        <v>36.5</v>
      </c>
      <c r="BQ24" s="70">
        <f t="shared" si="21"/>
        <v>4.5625</v>
      </c>
      <c r="BR24" s="70" t="str">
        <f t="shared" si="22"/>
        <v>A</v>
      </c>
      <c r="BS24" s="124" t="str">
        <f t="shared" si="3"/>
        <v>BETTER</v>
      </c>
      <c r="BT24" s="125">
        <f t="shared" si="23"/>
        <v>689</v>
      </c>
      <c r="BU24" s="124"/>
      <c r="BV24" s="124"/>
    </row>
    <row r="25" spans="1:74" s="68" customFormat="1" ht="27.95" customHeight="1">
      <c r="A25" s="67">
        <v>18</v>
      </c>
      <c r="B25" s="37">
        <v>22</v>
      </c>
      <c r="C25" s="34" t="s">
        <v>147</v>
      </c>
      <c r="D25" s="34" t="s">
        <v>148</v>
      </c>
      <c r="E25" s="34" t="s">
        <v>80</v>
      </c>
      <c r="F25" s="35" t="s">
        <v>149</v>
      </c>
      <c r="G25" s="124">
        <v>8</v>
      </c>
      <c r="H25" s="124">
        <v>24</v>
      </c>
      <c r="I25" s="125">
        <f>H25+G25</f>
        <v>32</v>
      </c>
      <c r="J25" s="124">
        <v>29</v>
      </c>
      <c r="K25" s="125">
        <f t="shared" si="25"/>
        <v>61</v>
      </c>
      <c r="L25" s="124">
        <v>6</v>
      </c>
      <c r="M25" s="124">
        <v>32</v>
      </c>
      <c r="N25" s="125">
        <f t="shared" si="26"/>
        <v>38</v>
      </c>
      <c r="O25" s="125">
        <f t="shared" si="4"/>
        <v>38</v>
      </c>
      <c r="P25" s="125">
        <f t="shared" si="0"/>
        <v>99</v>
      </c>
      <c r="Q25" s="176"/>
      <c r="R25" s="124">
        <f t="shared" si="5"/>
        <v>3.5</v>
      </c>
      <c r="S25" s="71">
        <v>16</v>
      </c>
      <c r="T25" s="72">
        <v>61</v>
      </c>
      <c r="U25" s="73">
        <f t="shared" si="27"/>
        <v>77</v>
      </c>
      <c r="V25" s="72">
        <v>5</v>
      </c>
      <c r="W25" s="72">
        <v>22</v>
      </c>
      <c r="X25" s="125">
        <f t="shared" si="6"/>
        <v>27</v>
      </c>
      <c r="Y25" s="125">
        <f t="shared" si="7"/>
        <v>104</v>
      </c>
      <c r="Z25" s="125">
        <f t="shared" si="1"/>
        <v>104</v>
      </c>
      <c r="AA25" s="176"/>
      <c r="AB25" s="124">
        <f t="shared" si="8"/>
        <v>3.5</v>
      </c>
      <c r="AC25" s="71">
        <v>15</v>
      </c>
      <c r="AD25" s="72">
        <v>24</v>
      </c>
      <c r="AE25" s="73">
        <f t="shared" si="33"/>
        <v>39</v>
      </c>
      <c r="AF25" s="72">
        <v>12</v>
      </c>
      <c r="AG25" s="125">
        <f t="shared" si="9"/>
        <v>51</v>
      </c>
      <c r="AH25" s="176"/>
      <c r="AI25" s="124">
        <f t="shared" si="10"/>
        <v>3</v>
      </c>
      <c r="AJ25" s="71">
        <v>13</v>
      </c>
      <c r="AK25" s="72">
        <v>40</v>
      </c>
      <c r="AL25" s="73">
        <f t="shared" si="29"/>
        <v>53</v>
      </c>
      <c r="AM25" s="72">
        <v>20</v>
      </c>
      <c r="AN25" s="125">
        <f t="shared" si="11"/>
        <v>73</v>
      </c>
      <c r="AO25" s="176"/>
      <c r="AP25" s="124">
        <f t="shared" si="12"/>
        <v>4</v>
      </c>
      <c r="AQ25" s="124">
        <v>21</v>
      </c>
      <c r="AR25" s="124">
        <v>25</v>
      </c>
      <c r="AS25" s="124">
        <f t="shared" si="13"/>
        <v>46</v>
      </c>
      <c r="AT25" s="175"/>
      <c r="AU25" s="124">
        <f t="shared" si="14"/>
        <v>5</v>
      </c>
      <c r="AV25" s="71">
        <v>17</v>
      </c>
      <c r="AW25" s="72">
        <v>20</v>
      </c>
      <c r="AX25" s="73">
        <f t="shared" si="30"/>
        <v>37</v>
      </c>
      <c r="AY25" s="72">
        <v>18</v>
      </c>
      <c r="AZ25" s="125">
        <f t="shared" si="31"/>
        <v>55</v>
      </c>
      <c r="BA25" s="176"/>
      <c r="BB25" s="124">
        <f t="shared" si="15"/>
        <v>3</v>
      </c>
      <c r="BC25" s="71">
        <v>12</v>
      </c>
      <c r="BD25" s="72">
        <v>21</v>
      </c>
      <c r="BE25" s="73">
        <f t="shared" si="32"/>
        <v>33</v>
      </c>
      <c r="BF25" s="72">
        <v>9</v>
      </c>
      <c r="BG25" s="125">
        <f t="shared" si="16"/>
        <v>42</v>
      </c>
      <c r="BH25" s="176"/>
      <c r="BI25" s="124">
        <f t="shared" si="17"/>
        <v>2</v>
      </c>
      <c r="BJ25" s="71">
        <v>6</v>
      </c>
      <c r="BK25" s="72">
        <v>32</v>
      </c>
      <c r="BL25" s="125">
        <f t="shared" si="18"/>
        <v>38</v>
      </c>
      <c r="BM25" s="125">
        <f t="shared" si="19"/>
        <v>38</v>
      </c>
      <c r="BN25" s="176"/>
      <c r="BO25" s="124">
        <f t="shared" si="2"/>
        <v>4</v>
      </c>
      <c r="BP25" s="124">
        <f t="shared" si="20"/>
        <v>28</v>
      </c>
      <c r="BQ25" s="70">
        <f t="shared" si="21"/>
        <v>3.5</v>
      </c>
      <c r="BR25" s="70" t="str">
        <f t="shared" si="22"/>
        <v>A-</v>
      </c>
      <c r="BS25" s="124" t="str">
        <f t="shared" si="3"/>
        <v>GOOD</v>
      </c>
      <c r="BT25" s="125">
        <f t="shared" si="23"/>
        <v>508</v>
      </c>
      <c r="BU25" s="124"/>
      <c r="BV25" s="124"/>
    </row>
    <row r="26" spans="1:74" s="68" customFormat="1" ht="27.95" customHeight="1">
      <c r="A26" s="67">
        <v>19</v>
      </c>
      <c r="B26" s="37">
        <v>23</v>
      </c>
      <c r="C26" s="34" t="s">
        <v>150</v>
      </c>
      <c r="D26" s="34" t="s">
        <v>151</v>
      </c>
      <c r="E26" s="34" t="s">
        <v>81</v>
      </c>
      <c r="F26" s="35" t="s">
        <v>152</v>
      </c>
      <c r="G26" s="124">
        <v>14</v>
      </c>
      <c r="H26" s="124">
        <v>34</v>
      </c>
      <c r="I26" s="125">
        <f t="shared" si="24"/>
        <v>48</v>
      </c>
      <c r="J26" s="124">
        <v>29</v>
      </c>
      <c r="K26" s="125">
        <f t="shared" si="25"/>
        <v>77</v>
      </c>
      <c r="L26" s="124">
        <v>9</v>
      </c>
      <c r="M26" s="124">
        <v>32</v>
      </c>
      <c r="N26" s="125">
        <f t="shared" si="26"/>
        <v>41</v>
      </c>
      <c r="O26" s="125">
        <f t="shared" si="4"/>
        <v>41</v>
      </c>
      <c r="P26" s="125">
        <f t="shared" si="0"/>
        <v>118</v>
      </c>
      <c r="Q26" s="176"/>
      <c r="R26" s="124">
        <f t="shared" si="5"/>
        <v>4</v>
      </c>
      <c r="S26" s="134">
        <v>20</v>
      </c>
      <c r="T26" s="133">
        <v>64</v>
      </c>
      <c r="U26" s="125">
        <f t="shared" si="27"/>
        <v>84</v>
      </c>
      <c r="V26" s="133">
        <v>9</v>
      </c>
      <c r="W26" s="133">
        <v>31</v>
      </c>
      <c r="X26" s="125">
        <f t="shared" si="6"/>
        <v>40</v>
      </c>
      <c r="Y26" s="125">
        <f t="shared" si="7"/>
        <v>124</v>
      </c>
      <c r="Z26" s="125">
        <f t="shared" si="1"/>
        <v>124</v>
      </c>
      <c r="AA26" s="176"/>
      <c r="AB26" s="124">
        <f t="shared" si="8"/>
        <v>5</v>
      </c>
      <c r="AC26" s="134">
        <v>20</v>
      </c>
      <c r="AD26" s="133">
        <v>39</v>
      </c>
      <c r="AE26" s="135">
        <f t="shared" si="33"/>
        <v>59</v>
      </c>
      <c r="AF26" s="133">
        <v>27</v>
      </c>
      <c r="AG26" s="125">
        <f t="shared" si="9"/>
        <v>86</v>
      </c>
      <c r="AH26" s="176"/>
      <c r="AI26" s="124">
        <f t="shared" si="10"/>
        <v>5</v>
      </c>
      <c r="AJ26" s="134">
        <v>19</v>
      </c>
      <c r="AK26" s="133">
        <v>46</v>
      </c>
      <c r="AL26" s="135">
        <f t="shared" si="29"/>
        <v>65</v>
      </c>
      <c r="AM26" s="133">
        <v>28</v>
      </c>
      <c r="AN26" s="125">
        <f t="shared" si="11"/>
        <v>93</v>
      </c>
      <c r="AO26" s="176"/>
      <c r="AP26" s="124">
        <f t="shared" si="12"/>
        <v>5</v>
      </c>
      <c r="AQ26" s="124">
        <v>25</v>
      </c>
      <c r="AR26" s="124">
        <v>25</v>
      </c>
      <c r="AS26" s="124">
        <f t="shared" si="13"/>
        <v>50</v>
      </c>
      <c r="AT26" s="175"/>
      <c r="AU26" s="124">
        <f t="shared" si="14"/>
        <v>5</v>
      </c>
      <c r="AV26" s="134">
        <v>19</v>
      </c>
      <c r="AW26" s="133">
        <v>41</v>
      </c>
      <c r="AX26" s="135">
        <f t="shared" si="30"/>
        <v>60</v>
      </c>
      <c r="AY26" s="133">
        <v>26</v>
      </c>
      <c r="AZ26" s="125">
        <f t="shared" si="31"/>
        <v>86</v>
      </c>
      <c r="BA26" s="176"/>
      <c r="BB26" s="124">
        <f t="shared" si="15"/>
        <v>5</v>
      </c>
      <c r="BC26" s="134">
        <v>17</v>
      </c>
      <c r="BD26" s="133">
        <v>42</v>
      </c>
      <c r="BE26" s="135">
        <f t="shared" si="32"/>
        <v>59</v>
      </c>
      <c r="BF26" s="133">
        <v>28</v>
      </c>
      <c r="BG26" s="125">
        <f t="shared" si="16"/>
        <v>87</v>
      </c>
      <c r="BH26" s="176"/>
      <c r="BI26" s="124">
        <f t="shared" si="17"/>
        <v>5</v>
      </c>
      <c r="BJ26" s="134">
        <v>10</v>
      </c>
      <c r="BK26" s="133">
        <v>24</v>
      </c>
      <c r="BL26" s="125">
        <f t="shared" si="18"/>
        <v>34</v>
      </c>
      <c r="BM26" s="125">
        <f t="shared" si="19"/>
        <v>34</v>
      </c>
      <c r="BN26" s="176"/>
      <c r="BO26" s="124">
        <f t="shared" si="2"/>
        <v>3.5</v>
      </c>
      <c r="BP26" s="124">
        <f t="shared" si="20"/>
        <v>37.5</v>
      </c>
      <c r="BQ26" s="70">
        <f t="shared" si="21"/>
        <v>4.6875</v>
      </c>
      <c r="BR26" s="70" t="str">
        <f t="shared" si="22"/>
        <v>A</v>
      </c>
      <c r="BS26" s="124" t="str">
        <f t="shared" si="3"/>
        <v>BETTER</v>
      </c>
      <c r="BT26" s="125">
        <f t="shared" si="23"/>
        <v>678</v>
      </c>
      <c r="BU26" s="124"/>
      <c r="BV26" s="124"/>
    </row>
    <row r="27" spans="1:74" s="68" customFormat="1" ht="27.95" customHeight="1">
      <c r="A27" s="67">
        <v>20</v>
      </c>
      <c r="B27" s="37">
        <v>24</v>
      </c>
      <c r="C27" s="34" t="s">
        <v>153</v>
      </c>
      <c r="D27" s="34" t="s">
        <v>154</v>
      </c>
      <c r="E27" s="34" t="s">
        <v>155</v>
      </c>
      <c r="F27" s="35" t="s">
        <v>156</v>
      </c>
      <c r="G27" s="124">
        <v>14</v>
      </c>
      <c r="H27" s="124">
        <v>41</v>
      </c>
      <c r="I27" s="125">
        <f t="shared" si="24"/>
        <v>55</v>
      </c>
      <c r="J27" s="124">
        <v>26</v>
      </c>
      <c r="K27" s="125">
        <f t="shared" si="25"/>
        <v>81</v>
      </c>
      <c r="L27" s="124">
        <v>10</v>
      </c>
      <c r="M27" s="124">
        <v>36</v>
      </c>
      <c r="N27" s="125">
        <f t="shared" si="26"/>
        <v>46</v>
      </c>
      <c r="O27" s="125">
        <f t="shared" si="4"/>
        <v>46</v>
      </c>
      <c r="P27" s="125">
        <f t="shared" si="0"/>
        <v>127</v>
      </c>
      <c r="Q27" s="176"/>
      <c r="R27" s="124">
        <f t="shared" si="5"/>
        <v>5</v>
      </c>
      <c r="S27" s="134">
        <v>14</v>
      </c>
      <c r="T27" s="133">
        <v>33</v>
      </c>
      <c r="U27" s="125">
        <f t="shared" si="27"/>
        <v>47</v>
      </c>
      <c r="V27" s="133">
        <v>6</v>
      </c>
      <c r="W27" s="133">
        <v>16</v>
      </c>
      <c r="X27" s="125">
        <f t="shared" si="6"/>
        <v>22</v>
      </c>
      <c r="Y27" s="125">
        <f t="shared" si="7"/>
        <v>69</v>
      </c>
      <c r="Z27" s="125">
        <f t="shared" si="1"/>
        <v>69</v>
      </c>
      <c r="AA27" s="176"/>
      <c r="AB27" s="124">
        <f t="shared" si="8"/>
        <v>2</v>
      </c>
      <c r="AC27" s="71">
        <v>9</v>
      </c>
      <c r="AD27" s="72">
        <v>25</v>
      </c>
      <c r="AE27" s="73">
        <f t="shared" si="33"/>
        <v>34</v>
      </c>
      <c r="AF27" s="72">
        <v>14</v>
      </c>
      <c r="AG27" s="125">
        <f t="shared" si="9"/>
        <v>48</v>
      </c>
      <c r="AH27" s="176"/>
      <c r="AI27" s="124">
        <f t="shared" si="10"/>
        <v>2</v>
      </c>
      <c r="AJ27" s="71">
        <v>17</v>
      </c>
      <c r="AK27" s="72">
        <v>43</v>
      </c>
      <c r="AL27" s="73">
        <f t="shared" si="29"/>
        <v>60</v>
      </c>
      <c r="AM27" s="72">
        <v>23</v>
      </c>
      <c r="AN27" s="125">
        <f t="shared" si="11"/>
        <v>83</v>
      </c>
      <c r="AO27" s="176"/>
      <c r="AP27" s="124">
        <f t="shared" si="12"/>
        <v>5</v>
      </c>
      <c r="AQ27" s="124">
        <v>25</v>
      </c>
      <c r="AR27" s="124">
        <v>25</v>
      </c>
      <c r="AS27" s="124">
        <f t="shared" si="13"/>
        <v>50</v>
      </c>
      <c r="AT27" s="175"/>
      <c r="AU27" s="124">
        <f t="shared" si="14"/>
        <v>5</v>
      </c>
      <c r="AV27" s="71">
        <v>20</v>
      </c>
      <c r="AW27" s="72">
        <v>28</v>
      </c>
      <c r="AX27" s="73">
        <f t="shared" si="30"/>
        <v>48</v>
      </c>
      <c r="AY27" s="72">
        <v>29</v>
      </c>
      <c r="AZ27" s="125">
        <f t="shared" si="31"/>
        <v>77</v>
      </c>
      <c r="BA27" s="176"/>
      <c r="BB27" s="124">
        <f t="shared" si="15"/>
        <v>4</v>
      </c>
      <c r="BC27" s="71">
        <v>17</v>
      </c>
      <c r="BD27" s="72">
        <v>38</v>
      </c>
      <c r="BE27" s="73">
        <f t="shared" si="32"/>
        <v>55</v>
      </c>
      <c r="BF27" s="72">
        <v>28</v>
      </c>
      <c r="BG27" s="125">
        <f t="shared" si="16"/>
        <v>83</v>
      </c>
      <c r="BH27" s="176"/>
      <c r="BI27" s="124">
        <f t="shared" si="17"/>
        <v>5</v>
      </c>
      <c r="BJ27" s="71">
        <v>10</v>
      </c>
      <c r="BK27" s="72">
        <v>35</v>
      </c>
      <c r="BL27" s="125">
        <f t="shared" si="18"/>
        <v>45</v>
      </c>
      <c r="BM27" s="125">
        <f t="shared" si="19"/>
        <v>45</v>
      </c>
      <c r="BN27" s="176"/>
      <c r="BO27" s="124">
        <f t="shared" si="2"/>
        <v>5</v>
      </c>
      <c r="BP27" s="124">
        <f t="shared" si="20"/>
        <v>33</v>
      </c>
      <c r="BQ27" s="70">
        <f t="shared" si="21"/>
        <v>4.125</v>
      </c>
      <c r="BR27" s="70" t="str">
        <f t="shared" si="22"/>
        <v>A</v>
      </c>
      <c r="BS27" s="124" t="str">
        <f t="shared" si="3"/>
        <v>BETTER</v>
      </c>
      <c r="BT27" s="125">
        <f t="shared" si="23"/>
        <v>582</v>
      </c>
      <c r="BU27" s="124"/>
      <c r="BV27" s="124"/>
    </row>
    <row r="28" spans="1:74" s="68" customFormat="1" ht="27.95" customHeight="1">
      <c r="A28" s="67">
        <v>21</v>
      </c>
      <c r="B28" s="37">
        <v>25</v>
      </c>
      <c r="C28" s="136" t="s">
        <v>157</v>
      </c>
      <c r="D28" s="34" t="s">
        <v>158</v>
      </c>
      <c r="E28" s="34" t="s">
        <v>159</v>
      </c>
      <c r="F28" s="35" t="s">
        <v>160</v>
      </c>
      <c r="G28" s="124">
        <v>12</v>
      </c>
      <c r="H28" s="124">
        <v>24</v>
      </c>
      <c r="I28" s="125">
        <f t="shared" si="24"/>
        <v>36</v>
      </c>
      <c r="J28" s="124">
        <v>24</v>
      </c>
      <c r="K28" s="125">
        <f t="shared" si="25"/>
        <v>60</v>
      </c>
      <c r="L28" s="124">
        <v>9</v>
      </c>
      <c r="M28" s="124">
        <v>25</v>
      </c>
      <c r="N28" s="125">
        <f t="shared" si="26"/>
        <v>34</v>
      </c>
      <c r="O28" s="125">
        <f t="shared" si="4"/>
        <v>34</v>
      </c>
      <c r="P28" s="125">
        <f t="shared" si="0"/>
        <v>94</v>
      </c>
      <c r="Q28" s="176"/>
      <c r="R28" s="124">
        <f t="shared" si="5"/>
        <v>3.5</v>
      </c>
      <c r="S28" s="134">
        <v>14</v>
      </c>
      <c r="T28" s="133">
        <v>33</v>
      </c>
      <c r="U28" s="135">
        <f t="shared" si="27"/>
        <v>47</v>
      </c>
      <c r="V28" s="133">
        <v>6</v>
      </c>
      <c r="W28" s="133">
        <v>16</v>
      </c>
      <c r="X28" s="125">
        <f t="shared" si="6"/>
        <v>22</v>
      </c>
      <c r="Y28" s="125">
        <f t="shared" si="7"/>
        <v>69</v>
      </c>
      <c r="Z28" s="125">
        <f t="shared" si="1"/>
        <v>69</v>
      </c>
      <c r="AA28" s="176"/>
      <c r="AB28" s="124">
        <f t="shared" si="8"/>
        <v>2</v>
      </c>
      <c r="AC28" s="134">
        <v>10</v>
      </c>
      <c r="AD28" s="133">
        <v>19</v>
      </c>
      <c r="AE28" s="135">
        <f t="shared" si="33"/>
        <v>29</v>
      </c>
      <c r="AF28" s="133">
        <v>15</v>
      </c>
      <c r="AG28" s="125">
        <f t="shared" si="9"/>
        <v>44</v>
      </c>
      <c r="AH28" s="176"/>
      <c r="AI28" s="124">
        <f t="shared" si="10"/>
        <v>2</v>
      </c>
      <c r="AJ28" s="134">
        <v>16</v>
      </c>
      <c r="AK28" s="133">
        <v>35</v>
      </c>
      <c r="AL28" s="135">
        <f t="shared" si="29"/>
        <v>51</v>
      </c>
      <c r="AM28" s="133">
        <v>25</v>
      </c>
      <c r="AN28" s="125">
        <f t="shared" si="11"/>
        <v>76</v>
      </c>
      <c r="AO28" s="176"/>
      <c r="AP28" s="124">
        <f t="shared" si="12"/>
        <v>4</v>
      </c>
      <c r="AQ28" s="124">
        <v>23</v>
      </c>
      <c r="AR28" s="124">
        <v>25</v>
      </c>
      <c r="AS28" s="124">
        <f t="shared" si="13"/>
        <v>48</v>
      </c>
      <c r="AT28" s="175"/>
      <c r="AU28" s="124">
        <f t="shared" si="14"/>
        <v>5</v>
      </c>
      <c r="AV28" s="134">
        <v>14</v>
      </c>
      <c r="AW28" s="133">
        <v>29</v>
      </c>
      <c r="AX28" s="135">
        <f t="shared" si="30"/>
        <v>43</v>
      </c>
      <c r="AY28" s="133">
        <v>20</v>
      </c>
      <c r="AZ28" s="125">
        <f t="shared" si="31"/>
        <v>63</v>
      </c>
      <c r="BA28" s="176"/>
      <c r="BB28" s="124">
        <f t="shared" si="15"/>
        <v>3.5</v>
      </c>
      <c r="BC28" s="134">
        <v>14</v>
      </c>
      <c r="BD28" s="133">
        <v>29</v>
      </c>
      <c r="BE28" s="135">
        <f t="shared" si="32"/>
        <v>43</v>
      </c>
      <c r="BF28" s="133">
        <v>20</v>
      </c>
      <c r="BG28" s="125">
        <f t="shared" si="16"/>
        <v>63</v>
      </c>
      <c r="BH28" s="176"/>
      <c r="BI28" s="124">
        <f t="shared" si="17"/>
        <v>3.5</v>
      </c>
      <c r="BJ28" s="134">
        <v>10</v>
      </c>
      <c r="BK28" s="133">
        <v>28</v>
      </c>
      <c r="BL28" s="125">
        <f t="shared" si="18"/>
        <v>38</v>
      </c>
      <c r="BM28" s="125">
        <f t="shared" si="19"/>
        <v>38</v>
      </c>
      <c r="BN28" s="176"/>
      <c r="BO28" s="124">
        <f t="shared" si="2"/>
        <v>4</v>
      </c>
      <c r="BP28" s="124">
        <f t="shared" si="20"/>
        <v>27.5</v>
      </c>
      <c r="BQ28" s="70">
        <f t="shared" si="21"/>
        <v>3.4375</v>
      </c>
      <c r="BR28" s="70" t="str">
        <f t="shared" si="22"/>
        <v>B</v>
      </c>
      <c r="BS28" s="124" t="str">
        <f t="shared" si="3"/>
        <v>GOOD</v>
      </c>
      <c r="BT28" s="125">
        <f t="shared" si="23"/>
        <v>495</v>
      </c>
      <c r="BU28" s="124"/>
      <c r="BV28" s="124"/>
    </row>
    <row r="29" spans="1:74" s="68" customFormat="1" ht="27.95" customHeight="1">
      <c r="A29" s="67">
        <v>22</v>
      </c>
      <c r="B29" s="37">
        <v>28</v>
      </c>
      <c r="C29" s="34" t="s">
        <v>161</v>
      </c>
      <c r="D29" s="34" t="s">
        <v>162</v>
      </c>
      <c r="E29" s="34" t="s">
        <v>163</v>
      </c>
      <c r="F29" s="35" t="s">
        <v>164</v>
      </c>
      <c r="G29" s="124">
        <v>17</v>
      </c>
      <c r="H29" s="124">
        <v>44</v>
      </c>
      <c r="I29" s="125">
        <f t="shared" si="24"/>
        <v>61</v>
      </c>
      <c r="J29" s="124">
        <v>30</v>
      </c>
      <c r="K29" s="125">
        <f t="shared" si="25"/>
        <v>91</v>
      </c>
      <c r="L29" s="124">
        <v>9</v>
      </c>
      <c r="M29" s="124">
        <v>31</v>
      </c>
      <c r="N29" s="125">
        <f t="shared" si="26"/>
        <v>40</v>
      </c>
      <c r="O29" s="125">
        <f t="shared" si="4"/>
        <v>40</v>
      </c>
      <c r="P29" s="125">
        <f t="shared" si="0"/>
        <v>131</v>
      </c>
      <c r="Q29" s="176"/>
      <c r="R29" s="124">
        <f t="shared" si="5"/>
        <v>5</v>
      </c>
      <c r="S29" s="71">
        <v>17</v>
      </c>
      <c r="T29" s="72">
        <v>64</v>
      </c>
      <c r="U29" s="73">
        <f t="shared" si="27"/>
        <v>81</v>
      </c>
      <c r="V29" s="72">
        <v>5</v>
      </c>
      <c r="W29" s="72">
        <v>15</v>
      </c>
      <c r="X29" s="125">
        <f t="shared" si="6"/>
        <v>20</v>
      </c>
      <c r="Y29" s="125">
        <f t="shared" si="7"/>
        <v>101</v>
      </c>
      <c r="Z29" s="125">
        <f t="shared" si="1"/>
        <v>101</v>
      </c>
      <c r="AA29" s="176"/>
      <c r="AB29" s="124">
        <f t="shared" si="8"/>
        <v>3.5</v>
      </c>
      <c r="AC29" s="71">
        <v>16</v>
      </c>
      <c r="AD29" s="72">
        <v>33</v>
      </c>
      <c r="AE29" s="73">
        <f t="shared" si="33"/>
        <v>49</v>
      </c>
      <c r="AF29" s="72">
        <v>13</v>
      </c>
      <c r="AG29" s="125">
        <f t="shared" si="9"/>
        <v>62</v>
      </c>
      <c r="AH29" s="176"/>
      <c r="AI29" s="124">
        <f t="shared" si="10"/>
        <v>3.5</v>
      </c>
      <c r="AJ29" s="71">
        <v>13</v>
      </c>
      <c r="AK29" s="72">
        <v>36</v>
      </c>
      <c r="AL29" s="73">
        <f t="shared" si="29"/>
        <v>49</v>
      </c>
      <c r="AM29" s="72">
        <v>26</v>
      </c>
      <c r="AN29" s="125">
        <f t="shared" si="11"/>
        <v>75</v>
      </c>
      <c r="AO29" s="176"/>
      <c r="AP29" s="124">
        <f t="shared" si="12"/>
        <v>4</v>
      </c>
      <c r="AQ29" s="124">
        <v>20</v>
      </c>
      <c r="AR29" s="124">
        <v>25</v>
      </c>
      <c r="AS29" s="124">
        <f t="shared" si="13"/>
        <v>45</v>
      </c>
      <c r="AT29" s="175"/>
      <c r="AU29" s="124">
        <f t="shared" si="14"/>
        <v>5</v>
      </c>
      <c r="AV29" s="71">
        <v>17</v>
      </c>
      <c r="AW29" s="72">
        <v>31</v>
      </c>
      <c r="AX29" s="73">
        <f t="shared" si="30"/>
        <v>48</v>
      </c>
      <c r="AY29" s="72">
        <v>29</v>
      </c>
      <c r="AZ29" s="125">
        <f t="shared" si="31"/>
        <v>77</v>
      </c>
      <c r="BA29" s="176"/>
      <c r="BB29" s="124">
        <f t="shared" si="15"/>
        <v>4</v>
      </c>
      <c r="BC29" s="71">
        <v>20</v>
      </c>
      <c r="BD29" s="72">
        <v>29</v>
      </c>
      <c r="BE29" s="73">
        <f t="shared" si="32"/>
        <v>49</v>
      </c>
      <c r="BF29" s="72">
        <v>29</v>
      </c>
      <c r="BG29" s="125">
        <f t="shared" si="16"/>
        <v>78</v>
      </c>
      <c r="BH29" s="176"/>
      <c r="BI29" s="124">
        <f t="shared" si="17"/>
        <v>4</v>
      </c>
      <c r="BJ29" s="71">
        <v>10</v>
      </c>
      <c r="BK29" s="72">
        <v>36</v>
      </c>
      <c r="BL29" s="125">
        <f t="shared" si="18"/>
        <v>46</v>
      </c>
      <c r="BM29" s="125">
        <f t="shared" si="19"/>
        <v>46</v>
      </c>
      <c r="BN29" s="176"/>
      <c r="BO29" s="124">
        <f t="shared" si="2"/>
        <v>5</v>
      </c>
      <c r="BP29" s="124">
        <f t="shared" si="20"/>
        <v>34</v>
      </c>
      <c r="BQ29" s="70">
        <f t="shared" si="21"/>
        <v>4.25</v>
      </c>
      <c r="BR29" s="70" t="str">
        <f t="shared" si="22"/>
        <v>A</v>
      </c>
      <c r="BS29" s="124" t="str">
        <f t="shared" si="3"/>
        <v>BETTER</v>
      </c>
      <c r="BT29" s="125">
        <f t="shared" si="23"/>
        <v>615</v>
      </c>
      <c r="BU29" s="124"/>
      <c r="BV29" s="124"/>
    </row>
    <row r="30" spans="1:74" s="68" customFormat="1" ht="27.95" customHeight="1">
      <c r="A30" s="67">
        <v>23</v>
      </c>
      <c r="B30" s="37">
        <v>29</v>
      </c>
      <c r="C30" s="34" t="s">
        <v>165</v>
      </c>
      <c r="D30" s="34" t="s">
        <v>166</v>
      </c>
      <c r="E30" s="34" t="s">
        <v>167</v>
      </c>
      <c r="F30" s="35" t="s">
        <v>168</v>
      </c>
      <c r="G30" s="124">
        <v>11</v>
      </c>
      <c r="H30" s="124">
        <v>24</v>
      </c>
      <c r="I30" s="125">
        <f t="shared" si="24"/>
        <v>35</v>
      </c>
      <c r="J30" s="124">
        <v>26</v>
      </c>
      <c r="K30" s="125">
        <f t="shared" si="25"/>
        <v>61</v>
      </c>
      <c r="L30" s="124">
        <v>10</v>
      </c>
      <c r="M30" s="124">
        <v>24</v>
      </c>
      <c r="N30" s="125">
        <f t="shared" si="26"/>
        <v>34</v>
      </c>
      <c r="O30" s="125">
        <f t="shared" si="4"/>
        <v>34</v>
      </c>
      <c r="P30" s="125">
        <f t="shared" si="0"/>
        <v>95</v>
      </c>
      <c r="Q30" s="176"/>
      <c r="R30" s="124">
        <f t="shared" si="5"/>
        <v>3.5</v>
      </c>
      <c r="S30" s="134">
        <v>19</v>
      </c>
      <c r="T30" s="133">
        <v>50</v>
      </c>
      <c r="U30" s="125">
        <f t="shared" si="27"/>
        <v>69</v>
      </c>
      <c r="V30" s="133">
        <v>5</v>
      </c>
      <c r="W30" s="133">
        <v>22</v>
      </c>
      <c r="X30" s="125">
        <f t="shared" si="6"/>
        <v>27</v>
      </c>
      <c r="Y30" s="125">
        <f t="shared" si="7"/>
        <v>96</v>
      </c>
      <c r="Z30" s="125">
        <f t="shared" si="1"/>
        <v>96</v>
      </c>
      <c r="AA30" s="176"/>
      <c r="AB30" s="124">
        <f t="shared" si="8"/>
        <v>3.5</v>
      </c>
      <c r="AC30" s="134">
        <v>9</v>
      </c>
      <c r="AD30" s="133">
        <v>19</v>
      </c>
      <c r="AE30" s="135">
        <f t="shared" si="33"/>
        <v>28</v>
      </c>
      <c r="AF30" s="133">
        <v>12</v>
      </c>
      <c r="AG30" s="125">
        <f t="shared" si="9"/>
        <v>40</v>
      </c>
      <c r="AH30" s="176"/>
      <c r="AI30" s="124">
        <f t="shared" si="10"/>
        <v>2</v>
      </c>
      <c r="AJ30" s="134">
        <v>15</v>
      </c>
      <c r="AK30" s="133">
        <v>36</v>
      </c>
      <c r="AL30" s="135">
        <f t="shared" si="29"/>
        <v>51</v>
      </c>
      <c r="AM30" s="133">
        <v>21</v>
      </c>
      <c r="AN30" s="125">
        <f t="shared" si="11"/>
        <v>72</v>
      </c>
      <c r="AO30" s="176"/>
      <c r="AP30" s="124">
        <f t="shared" si="12"/>
        <v>4</v>
      </c>
      <c r="AQ30" s="124">
        <v>21</v>
      </c>
      <c r="AR30" s="124">
        <v>25</v>
      </c>
      <c r="AS30" s="124">
        <f t="shared" si="13"/>
        <v>46</v>
      </c>
      <c r="AT30" s="175"/>
      <c r="AU30" s="124">
        <f t="shared" si="14"/>
        <v>5</v>
      </c>
      <c r="AV30" s="134">
        <v>14</v>
      </c>
      <c r="AW30" s="133">
        <v>20</v>
      </c>
      <c r="AX30" s="135">
        <f t="shared" si="30"/>
        <v>34</v>
      </c>
      <c r="AY30" s="133">
        <v>22</v>
      </c>
      <c r="AZ30" s="125">
        <f t="shared" si="31"/>
        <v>56</v>
      </c>
      <c r="BA30" s="176"/>
      <c r="BB30" s="124">
        <f t="shared" si="15"/>
        <v>3</v>
      </c>
      <c r="BC30" s="134">
        <v>10</v>
      </c>
      <c r="BD30" s="133">
        <v>27</v>
      </c>
      <c r="BE30" s="135">
        <f t="shared" si="32"/>
        <v>37</v>
      </c>
      <c r="BF30" s="133">
        <v>13</v>
      </c>
      <c r="BG30" s="125">
        <f t="shared" si="16"/>
        <v>50</v>
      </c>
      <c r="BH30" s="176"/>
      <c r="BI30" s="124">
        <f t="shared" si="17"/>
        <v>3</v>
      </c>
      <c r="BJ30" s="134">
        <v>10</v>
      </c>
      <c r="BK30" s="133">
        <v>28</v>
      </c>
      <c r="BL30" s="125">
        <f t="shared" si="18"/>
        <v>38</v>
      </c>
      <c r="BM30" s="125">
        <f t="shared" si="19"/>
        <v>38</v>
      </c>
      <c r="BN30" s="176"/>
      <c r="BO30" s="124">
        <f t="shared" si="2"/>
        <v>4</v>
      </c>
      <c r="BP30" s="124">
        <f t="shared" si="20"/>
        <v>28</v>
      </c>
      <c r="BQ30" s="70">
        <f t="shared" si="21"/>
        <v>3.5</v>
      </c>
      <c r="BR30" s="70" t="str">
        <f t="shared" si="22"/>
        <v>A-</v>
      </c>
      <c r="BS30" s="124" t="str">
        <f t="shared" si="3"/>
        <v>GOOD</v>
      </c>
      <c r="BT30" s="125">
        <f t="shared" si="23"/>
        <v>493</v>
      </c>
      <c r="BU30" s="124"/>
      <c r="BV30" s="124"/>
    </row>
    <row r="31" spans="1:74" s="68" customFormat="1" ht="27.95" customHeight="1">
      <c r="A31" s="67">
        <v>24</v>
      </c>
      <c r="B31" s="37">
        <v>63</v>
      </c>
      <c r="C31" s="34" t="s">
        <v>169</v>
      </c>
      <c r="D31" s="34" t="s">
        <v>170</v>
      </c>
      <c r="E31" s="34" t="s">
        <v>171</v>
      </c>
      <c r="F31" s="35" t="s">
        <v>172</v>
      </c>
      <c r="G31" s="124">
        <v>15</v>
      </c>
      <c r="H31" s="124">
        <v>33</v>
      </c>
      <c r="I31" s="125">
        <f t="shared" si="24"/>
        <v>48</v>
      </c>
      <c r="J31" s="124">
        <v>26</v>
      </c>
      <c r="K31" s="125">
        <f t="shared" si="25"/>
        <v>74</v>
      </c>
      <c r="L31" s="124">
        <v>8</v>
      </c>
      <c r="M31" s="124">
        <v>30</v>
      </c>
      <c r="N31" s="125">
        <f t="shared" si="26"/>
        <v>38</v>
      </c>
      <c r="O31" s="125">
        <f t="shared" si="4"/>
        <v>38</v>
      </c>
      <c r="P31" s="125">
        <f t="shared" si="0"/>
        <v>112</v>
      </c>
      <c r="Q31" s="176"/>
      <c r="R31" s="124">
        <f t="shared" si="5"/>
        <v>4</v>
      </c>
      <c r="S31" s="134">
        <v>20</v>
      </c>
      <c r="T31" s="133">
        <v>60</v>
      </c>
      <c r="U31" s="125">
        <f t="shared" si="27"/>
        <v>80</v>
      </c>
      <c r="V31" s="133">
        <v>10</v>
      </c>
      <c r="W31" s="133">
        <v>36</v>
      </c>
      <c r="X31" s="125">
        <f t="shared" si="6"/>
        <v>46</v>
      </c>
      <c r="Y31" s="125">
        <f t="shared" si="7"/>
        <v>126</v>
      </c>
      <c r="Z31" s="125">
        <f t="shared" si="1"/>
        <v>126</v>
      </c>
      <c r="AA31" s="176"/>
      <c r="AB31" s="124">
        <f t="shared" si="8"/>
        <v>5</v>
      </c>
      <c r="AC31" s="134">
        <v>19</v>
      </c>
      <c r="AD31" s="133">
        <v>39</v>
      </c>
      <c r="AE31" s="135">
        <f t="shared" si="33"/>
        <v>58</v>
      </c>
      <c r="AF31" s="133">
        <v>22</v>
      </c>
      <c r="AG31" s="125">
        <f t="shared" si="9"/>
        <v>80</v>
      </c>
      <c r="AH31" s="176"/>
      <c r="AI31" s="124">
        <f t="shared" si="10"/>
        <v>5</v>
      </c>
      <c r="AJ31" s="134">
        <v>19</v>
      </c>
      <c r="AK31" s="133">
        <v>45</v>
      </c>
      <c r="AL31" s="135">
        <f t="shared" si="29"/>
        <v>64</v>
      </c>
      <c r="AM31" s="133">
        <v>28</v>
      </c>
      <c r="AN31" s="125">
        <f t="shared" si="11"/>
        <v>92</v>
      </c>
      <c r="AO31" s="176"/>
      <c r="AP31" s="124">
        <f t="shared" si="12"/>
        <v>5</v>
      </c>
      <c r="AQ31" s="124">
        <v>25</v>
      </c>
      <c r="AR31" s="124">
        <v>25</v>
      </c>
      <c r="AS31" s="124">
        <f t="shared" si="13"/>
        <v>50</v>
      </c>
      <c r="AT31" s="175"/>
      <c r="AU31" s="124">
        <f t="shared" si="14"/>
        <v>5</v>
      </c>
      <c r="AV31" s="134">
        <v>19</v>
      </c>
      <c r="AW31" s="133">
        <v>44</v>
      </c>
      <c r="AX31" s="135">
        <f t="shared" si="30"/>
        <v>63</v>
      </c>
      <c r="AY31" s="133">
        <v>26</v>
      </c>
      <c r="AZ31" s="125">
        <f t="shared" si="31"/>
        <v>89</v>
      </c>
      <c r="BA31" s="176"/>
      <c r="BB31" s="124">
        <f t="shared" si="15"/>
        <v>5</v>
      </c>
      <c r="BC31" s="134">
        <v>17</v>
      </c>
      <c r="BD31" s="133">
        <v>40</v>
      </c>
      <c r="BE31" s="135">
        <f t="shared" si="32"/>
        <v>57</v>
      </c>
      <c r="BF31" s="133">
        <v>25</v>
      </c>
      <c r="BG31" s="125">
        <f t="shared" si="16"/>
        <v>82</v>
      </c>
      <c r="BH31" s="176"/>
      <c r="BI31" s="124">
        <f t="shared" si="17"/>
        <v>5</v>
      </c>
      <c r="BJ31" s="134">
        <v>10</v>
      </c>
      <c r="BK31" s="133">
        <v>24</v>
      </c>
      <c r="BL31" s="125">
        <f t="shared" si="18"/>
        <v>34</v>
      </c>
      <c r="BM31" s="125">
        <f t="shared" si="19"/>
        <v>34</v>
      </c>
      <c r="BN31" s="176"/>
      <c r="BO31" s="124">
        <f t="shared" si="2"/>
        <v>3.5</v>
      </c>
      <c r="BP31" s="124">
        <f t="shared" si="20"/>
        <v>37.5</v>
      </c>
      <c r="BQ31" s="70">
        <f t="shared" si="21"/>
        <v>4.6875</v>
      </c>
      <c r="BR31" s="70" t="str">
        <f t="shared" si="22"/>
        <v>A</v>
      </c>
      <c r="BS31" s="124" t="str">
        <f t="shared" si="3"/>
        <v>BETTER</v>
      </c>
      <c r="BT31" s="125">
        <f t="shared" si="23"/>
        <v>665</v>
      </c>
      <c r="BU31" s="124"/>
      <c r="BV31" s="124"/>
    </row>
    <row r="32" spans="1:74" s="68" customFormat="1" ht="27.95" customHeight="1">
      <c r="A32" s="67">
        <v>25</v>
      </c>
      <c r="B32" s="37">
        <v>65</v>
      </c>
      <c r="C32" s="136" t="s">
        <v>173</v>
      </c>
      <c r="D32" s="34" t="s">
        <v>174</v>
      </c>
      <c r="E32" s="34" t="s">
        <v>175</v>
      </c>
      <c r="F32" s="35" t="s">
        <v>176</v>
      </c>
      <c r="G32" s="124">
        <v>13</v>
      </c>
      <c r="H32" s="124">
        <v>23</v>
      </c>
      <c r="I32" s="125">
        <f>H32+G32</f>
        <v>36</v>
      </c>
      <c r="J32" s="124">
        <v>27</v>
      </c>
      <c r="K32" s="125">
        <f t="shared" si="25"/>
        <v>63</v>
      </c>
      <c r="L32" s="124">
        <v>9</v>
      </c>
      <c r="M32" s="124">
        <v>24</v>
      </c>
      <c r="N32" s="125">
        <f t="shared" si="26"/>
        <v>33</v>
      </c>
      <c r="O32" s="125">
        <f t="shared" si="4"/>
        <v>33</v>
      </c>
      <c r="P32" s="125">
        <f t="shared" si="0"/>
        <v>96</v>
      </c>
      <c r="Q32" s="176"/>
      <c r="R32" s="124">
        <f t="shared" si="5"/>
        <v>3.5</v>
      </c>
      <c r="S32" s="134">
        <v>0</v>
      </c>
      <c r="T32" s="133">
        <v>50</v>
      </c>
      <c r="U32" s="125">
        <f t="shared" si="27"/>
        <v>50</v>
      </c>
      <c r="V32" s="133">
        <v>0</v>
      </c>
      <c r="W32" s="133">
        <v>20</v>
      </c>
      <c r="X32" s="125">
        <f t="shared" si="6"/>
        <v>20</v>
      </c>
      <c r="Y32" s="125">
        <f t="shared" si="7"/>
        <v>70</v>
      </c>
      <c r="Z32" s="125">
        <f t="shared" si="1"/>
        <v>70</v>
      </c>
      <c r="AA32" s="176"/>
      <c r="AB32" s="124">
        <f t="shared" si="8"/>
        <v>2</v>
      </c>
      <c r="AC32" s="134">
        <v>10</v>
      </c>
      <c r="AD32" s="133">
        <v>18</v>
      </c>
      <c r="AE32" s="135">
        <f t="shared" si="33"/>
        <v>28</v>
      </c>
      <c r="AF32" s="133">
        <v>12</v>
      </c>
      <c r="AG32" s="125">
        <f t="shared" si="9"/>
        <v>40</v>
      </c>
      <c r="AH32" s="176"/>
      <c r="AI32" s="124">
        <f t="shared" si="10"/>
        <v>2</v>
      </c>
      <c r="AJ32" s="134">
        <v>17</v>
      </c>
      <c r="AK32" s="133">
        <v>41</v>
      </c>
      <c r="AL32" s="135">
        <f t="shared" si="29"/>
        <v>58</v>
      </c>
      <c r="AM32" s="133">
        <v>22</v>
      </c>
      <c r="AN32" s="125">
        <f t="shared" si="11"/>
        <v>80</v>
      </c>
      <c r="AO32" s="176"/>
      <c r="AP32" s="124">
        <f t="shared" si="12"/>
        <v>5</v>
      </c>
      <c r="AQ32" s="124">
        <v>25</v>
      </c>
      <c r="AR32" s="124">
        <v>25</v>
      </c>
      <c r="AS32" s="124">
        <f t="shared" si="13"/>
        <v>50</v>
      </c>
      <c r="AT32" s="175"/>
      <c r="AU32" s="124">
        <f t="shared" si="14"/>
        <v>5</v>
      </c>
      <c r="AV32" s="134">
        <v>11</v>
      </c>
      <c r="AW32" s="133">
        <v>20</v>
      </c>
      <c r="AX32" s="135">
        <f t="shared" si="30"/>
        <v>31</v>
      </c>
      <c r="AY32" s="133">
        <v>25</v>
      </c>
      <c r="AZ32" s="125">
        <f t="shared" si="31"/>
        <v>56</v>
      </c>
      <c r="BA32" s="176"/>
      <c r="BB32" s="124">
        <f t="shared" si="15"/>
        <v>3</v>
      </c>
      <c r="BC32" s="134">
        <v>13</v>
      </c>
      <c r="BD32" s="133">
        <v>34</v>
      </c>
      <c r="BE32" s="135">
        <f t="shared" si="32"/>
        <v>47</v>
      </c>
      <c r="BF32" s="133">
        <v>25</v>
      </c>
      <c r="BG32" s="125">
        <f t="shared" si="16"/>
        <v>72</v>
      </c>
      <c r="BH32" s="176"/>
      <c r="BI32" s="124">
        <f t="shared" si="17"/>
        <v>4</v>
      </c>
      <c r="BJ32" s="134">
        <v>10</v>
      </c>
      <c r="BK32" s="133">
        <v>28</v>
      </c>
      <c r="BL32" s="125">
        <f t="shared" si="18"/>
        <v>38</v>
      </c>
      <c r="BM32" s="125">
        <f t="shared" si="19"/>
        <v>38</v>
      </c>
      <c r="BN32" s="176"/>
      <c r="BO32" s="124">
        <f t="shared" si="2"/>
        <v>4</v>
      </c>
      <c r="BP32" s="124">
        <f t="shared" si="20"/>
        <v>28.5</v>
      </c>
      <c r="BQ32" s="70">
        <f t="shared" si="21"/>
        <v>3.5625</v>
      </c>
      <c r="BR32" s="70" t="str">
        <f t="shared" si="22"/>
        <v>A-</v>
      </c>
      <c r="BS32" s="124" t="str">
        <f t="shared" si="3"/>
        <v>GOOD</v>
      </c>
      <c r="BT32" s="125">
        <f t="shared" si="23"/>
        <v>502</v>
      </c>
      <c r="BU32" s="124"/>
      <c r="BV32" s="124"/>
    </row>
    <row r="33" spans="1:74" s="68" customFormat="1" ht="27.95" customHeight="1">
      <c r="A33" s="67">
        <v>26</v>
      </c>
      <c r="B33" s="37">
        <v>66</v>
      </c>
      <c r="C33" s="34" t="s">
        <v>177</v>
      </c>
      <c r="D33" s="34" t="s">
        <v>178</v>
      </c>
      <c r="E33" s="34" t="s">
        <v>179</v>
      </c>
      <c r="F33" s="35" t="s">
        <v>180</v>
      </c>
      <c r="G33" s="124">
        <v>10</v>
      </c>
      <c r="H33" s="124">
        <v>35</v>
      </c>
      <c r="I33" s="125">
        <f t="shared" si="24"/>
        <v>45</v>
      </c>
      <c r="J33" s="124">
        <v>19</v>
      </c>
      <c r="K33" s="125">
        <f t="shared" si="25"/>
        <v>64</v>
      </c>
      <c r="L33" s="124">
        <v>9</v>
      </c>
      <c r="M33" s="124">
        <v>32</v>
      </c>
      <c r="N33" s="125">
        <f t="shared" si="26"/>
        <v>41</v>
      </c>
      <c r="O33" s="125">
        <f t="shared" si="4"/>
        <v>41</v>
      </c>
      <c r="P33" s="125">
        <f t="shared" si="0"/>
        <v>105</v>
      </c>
      <c r="Q33" s="176"/>
      <c r="R33" s="124">
        <f t="shared" si="5"/>
        <v>4</v>
      </c>
      <c r="S33" s="71">
        <v>18</v>
      </c>
      <c r="T33" s="72">
        <v>67</v>
      </c>
      <c r="U33" s="73">
        <f t="shared" si="27"/>
        <v>85</v>
      </c>
      <c r="V33" s="72">
        <v>8</v>
      </c>
      <c r="W33" s="72">
        <v>13</v>
      </c>
      <c r="X33" s="125">
        <f t="shared" si="6"/>
        <v>21</v>
      </c>
      <c r="Y33" s="125">
        <f t="shared" si="7"/>
        <v>106</v>
      </c>
      <c r="Z33" s="125">
        <f t="shared" si="1"/>
        <v>106</v>
      </c>
      <c r="AA33" s="176"/>
      <c r="AB33" s="124">
        <f t="shared" si="8"/>
        <v>4</v>
      </c>
      <c r="AC33" s="71">
        <v>14</v>
      </c>
      <c r="AD33" s="72">
        <v>33</v>
      </c>
      <c r="AE33" s="73">
        <f t="shared" si="33"/>
        <v>47</v>
      </c>
      <c r="AF33" s="72">
        <v>12</v>
      </c>
      <c r="AG33" s="125">
        <f t="shared" si="9"/>
        <v>59</v>
      </c>
      <c r="AH33" s="176"/>
      <c r="AI33" s="124">
        <f t="shared" si="10"/>
        <v>3</v>
      </c>
      <c r="AJ33" s="71">
        <v>18</v>
      </c>
      <c r="AK33" s="72">
        <v>35</v>
      </c>
      <c r="AL33" s="73">
        <f t="shared" si="29"/>
        <v>53</v>
      </c>
      <c r="AM33" s="72">
        <v>21</v>
      </c>
      <c r="AN33" s="125">
        <f t="shared" si="11"/>
        <v>74</v>
      </c>
      <c r="AO33" s="176"/>
      <c r="AP33" s="124">
        <f t="shared" si="12"/>
        <v>4</v>
      </c>
      <c r="AQ33" s="124">
        <v>24</v>
      </c>
      <c r="AR33" s="124">
        <v>25</v>
      </c>
      <c r="AS33" s="124">
        <f t="shared" si="13"/>
        <v>49</v>
      </c>
      <c r="AT33" s="175"/>
      <c r="AU33" s="124">
        <f t="shared" si="14"/>
        <v>5</v>
      </c>
      <c r="AV33" s="71">
        <v>17</v>
      </c>
      <c r="AW33" s="72">
        <v>34</v>
      </c>
      <c r="AX33" s="73">
        <f t="shared" si="30"/>
        <v>51</v>
      </c>
      <c r="AY33" s="72">
        <v>29</v>
      </c>
      <c r="AZ33" s="125">
        <f t="shared" si="31"/>
        <v>80</v>
      </c>
      <c r="BA33" s="176"/>
      <c r="BB33" s="124">
        <f t="shared" si="15"/>
        <v>5</v>
      </c>
      <c r="BC33" s="71">
        <v>17</v>
      </c>
      <c r="BD33" s="72">
        <v>17</v>
      </c>
      <c r="BE33" s="73">
        <v>34</v>
      </c>
      <c r="BF33" s="72">
        <v>29</v>
      </c>
      <c r="BG33" s="125">
        <f t="shared" si="16"/>
        <v>63</v>
      </c>
      <c r="BH33" s="176"/>
      <c r="BI33" s="124">
        <f t="shared" si="17"/>
        <v>3.5</v>
      </c>
      <c r="BJ33" s="71">
        <v>8</v>
      </c>
      <c r="BK33" s="72">
        <v>38</v>
      </c>
      <c r="BL33" s="125">
        <f t="shared" si="18"/>
        <v>46</v>
      </c>
      <c r="BM33" s="125">
        <f t="shared" si="19"/>
        <v>46</v>
      </c>
      <c r="BN33" s="176"/>
      <c r="BO33" s="124">
        <f t="shared" si="2"/>
        <v>5</v>
      </c>
      <c r="BP33" s="124">
        <f t="shared" si="20"/>
        <v>33.5</v>
      </c>
      <c r="BQ33" s="70">
        <f t="shared" si="21"/>
        <v>4.1875</v>
      </c>
      <c r="BR33" s="70" t="str">
        <f t="shared" si="22"/>
        <v>A</v>
      </c>
      <c r="BS33" s="124" t="str">
        <f t="shared" si="3"/>
        <v>BETTER</v>
      </c>
      <c r="BT33" s="125">
        <f t="shared" si="23"/>
        <v>582</v>
      </c>
      <c r="BU33" s="124"/>
      <c r="BV33" s="124"/>
    </row>
    <row r="34" spans="1:74" s="68" customFormat="1" ht="27.95" customHeight="1">
      <c r="A34" s="67">
        <v>27</v>
      </c>
      <c r="B34" s="37">
        <v>72</v>
      </c>
      <c r="C34" s="34" t="s">
        <v>181</v>
      </c>
      <c r="D34" s="34" t="s">
        <v>182</v>
      </c>
      <c r="E34" s="34" t="s">
        <v>183</v>
      </c>
      <c r="F34" s="35" t="s">
        <v>184</v>
      </c>
      <c r="G34" s="124">
        <v>14</v>
      </c>
      <c r="H34" s="124">
        <v>36</v>
      </c>
      <c r="I34" s="125">
        <f t="shared" si="24"/>
        <v>50</v>
      </c>
      <c r="J34" s="124">
        <v>25</v>
      </c>
      <c r="K34" s="125">
        <f t="shared" si="25"/>
        <v>75</v>
      </c>
      <c r="L34" s="124">
        <v>10</v>
      </c>
      <c r="M34" s="124">
        <v>36</v>
      </c>
      <c r="N34" s="125">
        <f t="shared" si="26"/>
        <v>46</v>
      </c>
      <c r="O34" s="125">
        <f t="shared" si="4"/>
        <v>46</v>
      </c>
      <c r="P34" s="125">
        <f t="shared" si="0"/>
        <v>121</v>
      </c>
      <c r="Q34" s="176"/>
      <c r="R34" s="124">
        <f t="shared" si="5"/>
        <v>5</v>
      </c>
      <c r="S34" s="71">
        <v>15</v>
      </c>
      <c r="T34" s="72">
        <v>58</v>
      </c>
      <c r="U34" s="73">
        <f t="shared" si="27"/>
        <v>73</v>
      </c>
      <c r="V34" s="72">
        <v>8</v>
      </c>
      <c r="W34" s="72">
        <v>29</v>
      </c>
      <c r="X34" s="125">
        <f t="shared" si="6"/>
        <v>37</v>
      </c>
      <c r="Y34" s="125">
        <f t="shared" si="7"/>
        <v>110</v>
      </c>
      <c r="Z34" s="125">
        <f t="shared" si="1"/>
        <v>110</v>
      </c>
      <c r="AA34" s="176"/>
      <c r="AB34" s="124">
        <f t="shared" si="8"/>
        <v>4</v>
      </c>
      <c r="AC34" s="71">
        <v>11</v>
      </c>
      <c r="AD34" s="72">
        <v>32</v>
      </c>
      <c r="AE34" s="73">
        <f t="shared" si="33"/>
        <v>43</v>
      </c>
      <c r="AF34" s="72">
        <v>28</v>
      </c>
      <c r="AG34" s="125">
        <f t="shared" si="9"/>
        <v>71</v>
      </c>
      <c r="AH34" s="176"/>
      <c r="AI34" s="124">
        <f t="shared" si="10"/>
        <v>4</v>
      </c>
      <c r="AJ34" s="71">
        <v>19</v>
      </c>
      <c r="AK34" s="72">
        <v>40</v>
      </c>
      <c r="AL34" s="73">
        <f t="shared" si="29"/>
        <v>59</v>
      </c>
      <c r="AM34" s="72">
        <v>28</v>
      </c>
      <c r="AN34" s="125">
        <f t="shared" si="11"/>
        <v>87</v>
      </c>
      <c r="AO34" s="176"/>
      <c r="AP34" s="124">
        <f t="shared" si="12"/>
        <v>5</v>
      </c>
      <c r="AQ34" s="124">
        <v>25</v>
      </c>
      <c r="AR34" s="124">
        <v>25</v>
      </c>
      <c r="AS34" s="124">
        <f t="shared" si="13"/>
        <v>50</v>
      </c>
      <c r="AT34" s="175"/>
      <c r="AU34" s="124">
        <f t="shared" si="14"/>
        <v>5</v>
      </c>
      <c r="AV34" s="71">
        <v>19</v>
      </c>
      <c r="AW34" s="72">
        <v>44</v>
      </c>
      <c r="AX34" s="73">
        <f t="shared" si="30"/>
        <v>63</v>
      </c>
      <c r="AY34" s="72">
        <v>29</v>
      </c>
      <c r="AZ34" s="125">
        <f t="shared" si="31"/>
        <v>92</v>
      </c>
      <c r="BA34" s="176"/>
      <c r="BB34" s="124">
        <f t="shared" si="15"/>
        <v>5</v>
      </c>
      <c r="BC34" s="71">
        <v>17</v>
      </c>
      <c r="BD34" s="72">
        <v>29</v>
      </c>
      <c r="BE34" s="73">
        <v>46</v>
      </c>
      <c r="BF34" s="72">
        <v>29</v>
      </c>
      <c r="BG34" s="125">
        <f t="shared" si="16"/>
        <v>75</v>
      </c>
      <c r="BH34" s="176"/>
      <c r="BI34" s="124">
        <f t="shared" si="17"/>
        <v>4</v>
      </c>
      <c r="BJ34" s="71">
        <v>10</v>
      </c>
      <c r="BK34" s="72">
        <v>38</v>
      </c>
      <c r="BL34" s="125">
        <f t="shared" si="18"/>
        <v>48</v>
      </c>
      <c r="BM34" s="125">
        <f t="shared" si="19"/>
        <v>48</v>
      </c>
      <c r="BN34" s="176"/>
      <c r="BO34" s="124">
        <f t="shared" si="2"/>
        <v>5</v>
      </c>
      <c r="BP34" s="124">
        <f t="shared" si="20"/>
        <v>37</v>
      </c>
      <c r="BQ34" s="70">
        <f t="shared" si="21"/>
        <v>4.625</v>
      </c>
      <c r="BR34" s="70" t="str">
        <f t="shared" si="22"/>
        <v>A</v>
      </c>
      <c r="BS34" s="124" t="str">
        <f t="shared" si="3"/>
        <v>BETTER</v>
      </c>
      <c r="BT34" s="125">
        <f t="shared" si="23"/>
        <v>654</v>
      </c>
      <c r="BU34" s="124"/>
      <c r="BV34" s="124"/>
    </row>
    <row r="35" spans="1:74" s="68" customFormat="1" ht="27.95" customHeight="1">
      <c r="A35" s="67">
        <v>28</v>
      </c>
      <c r="B35" s="37">
        <v>73</v>
      </c>
      <c r="C35" s="34" t="s">
        <v>185</v>
      </c>
      <c r="D35" s="34" t="s">
        <v>186</v>
      </c>
      <c r="E35" s="34" t="s">
        <v>187</v>
      </c>
      <c r="F35" s="35" t="s">
        <v>188</v>
      </c>
      <c r="G35" s="124">
        <v>16</v>
      </c>
      <c r="H35" s="124">
        <v>27</v>
      </c>
      <c r="I35" s="125">
        <f t="shared" si="24"/>
        <v>43</v>
      </c>
      <c r="J35" s="124">
        <v>17</v>
      </c>
      <c r="K35" s="125">
        <f t="shared" si="25"/>
        <v>60</v>
      </c>
      <c r="L35" s="124">
        <v>8</v>
      </c>
      <c r="M35" s="124">
        <v>30</v>
      </c>
      <c r="N35" s="125">
        <f t="shared" si="26"/>
        <v>38</v>
      </c>
      <c r="O35" s="125">
        <f t="shared" si="4"/>
        <v>38</v>
      </c>
      <c r="P35" s="125">
        <f t="shared" si="0"/>
        <v>98</v>
      </c>
      <c r="Q35" s="176"/>
      <c r="R35" s="124">
        <f t="shared" si="5"/>
        <v>3.5</v>
      </c>
      <c r="S35" s="134">
        <v>18</v>
      </c>
      <c r="T35" s="133">
        <v>53</v>
      </c>
      <c r="U35" s="125">
        <f t="shared" si="27"/>
        <v>71</v>
      </c>
      <c r="V35" s="133">
        <v>4</v>
      </c>
      <c r="W35" s="133">
        <v>31</v>
      </c>
      <c r="X35" s="125">
        <f t="shared" si="6"/>
        <v>35</v>
      </c>
      <c r="Y35" s="125">
        <f t="shared" si="7"/>
        <v>106</v>
      </c>
      <c r="Z35" s="125">
        <f t="shared" si="1"/>
        <v>106</v>
      </c>
      <c r="AA35" s="176"/>
      <c r="AB35" s="124">
        <f t="shared" si="8"/>
        <v>4</v>
      </c>
      <c r="AC35" s="134">
        <v>16</v>
      </c>
      <c r="AD35" s="133">
        <v>29</v>
      </c>
      <c r="AE35" s="135">
        <f t="shared" si="33"/>
        <v>45</v>
      </c>
      <c r="AF35" s="133">
        <v>12</v>
      </c>
      <c r="AG35" s="125">
        <f t="shared" si="9"/>
        <v>57</v>
      </c>
      <c r="AH35" s="176"/>
      <c r="AI35" s="124">
        <f t="shared" si="10"/>
        <v>3</v>
      </c>
      <c r="AJ35" s="134">
        <v>16</v>
      </c>
      <c r="AK35" s="133">
        <v>40</v>
      </c>
      <c r="AL35" s="135">
        <f t="shared" si="29"/>
        <v>56</v>
      </c>
      <c r="AM35" s="133">
        <v>20</v>
      </c>
      <c r="AN35" s="125">
        <f t="shared" si="11"/>
        <v>76</v>
      </c>
      <c r="AO35" s="176"/>
      <c r="AP35" s="124">
        <f t="shared" si="12"/>
        <v>4</v>
      </c>
      <c r="AQ35" s="124">
        <v>24</v>
      </c>
      <c r="AR35" s="124">
        <v>25</v>
      </c>
      <c r="AS35" s="124">
        <f t="shared" si="13"/>
        <v>49</v>
      </c>
      <c r="AT35" s="175"/>
      <c r="AU35" s="124">
        <f t="shared" si="14"/>
        <v>5</v>
      </c>
      <c r="AV35" s="134">
        <v>14</v>
      </c>
      <c r="AW35" s="133">
        <v>24</v>
      </c>
      <c r="AX35" s="135">
        <f t="shared" si="30"/>
        <v>38</v>
      </c>
      <c r="AY35" s="133">
        <v>18</v>
      </c>
      <c r="AZ35" s="125">
        <f t="shared" si="31"/>
        <v>56</v>
      </c>
      <c r="BA35" s="176"/>
      <c r="BB35" s="124">
        <f t="shared" si="15"/>
        <v>3</v>
      </c>
      <c r="BC35" s="134">
        <v>13</v>
      </c>
      <c r="BD35" s="133">
        <v>27</v>
      </c>
      <c r="BE35" s="135">
        <f t="shared" ref="BE35:BE36" si="35">BD35+BC35</f>
        <v>40</v>
      </c>
      <c r="BF35" s="133">
        <v>20</v>
      </c>
      <c r="BG35" s="125">
        <f t="shared" si="16"/>
        <v>60</v>
      </c>
      <c r="BH35" s="176"/>
      <c r="BI35" s="124">
        <f t="shared" si="17"/>
        <v>3.5</v>
      </c>
      <c r="BJ35" s="134">
        <v>10</v>
      </c>
      <c r="BK35" s="133">
        <v>24</v>
      </c>
      <c r="BL35" s="125">
        <f t="shared" si="18"/>
        <v>34</v>
      </c>
      <c r="BM35" s="125">
        <f t="shared" si="19"/>
        <v>34</v>
      </c>
      <c r="BN35" s="176"/>
      <c r="BO35" s="124">
        <f t="shared" si="2"/>
        <v>3.5</v>
      </c>
      <c r="BP35" s="124">
        <f t="shared" si="20"/>
        <v>29.5</v>
      </c>
      <c r="BQ35" s="70">
        <f t="shared" si="21"/>
        <v>3.6875</v>
      </c>
      <c r="BR35" s="70" t="str">
        <f t="shared" si="22"/>
        <v>A-</v>
      </c>
      <c r="BS35" s="124" t="str">
        <f t="shared" si="3"/>
        <v>GOOD</v>
      </c>
      <c r="BT35" s="125">
        <f t="shared" si="23"/>
        <v>536</v>
      </c>
      <c r="BU35" s="124"/>
      <c r="BV35" s="124"/>
    </row>
    <row r="36" spans="1:74" s="68" customFormat="1" ht="27.95" customHeight="1">
      <c r="A36" s="67">
        <v>29</v>
      </c>
      <c r="B36" s="37">
        <v>74</v>
      </c>
      <c r="C36" s="34" t="s">
        <v>189</v>
      </c>
      <c r="D36" s="34" t="s">
        <v>190</v>
      </c>
      <c r="E36" s="34" t="s">
        <v>191</v>
      </c>
      <c r="F36" s="35" t="s">
        <v>192</v>
      </c>
      <c r="G36" s="124">
        <v>10</v>
      </c>
      <c r="H36" s="124">
        <v>42</v>
      </c>
      <c r="I36" s="125">
        <f t="shared" si="24"/>
        <v>52</v>
      </c>
      <c r="J36" s="124">
        <v>28</v>
      </c>
      <c r="K36" s="125">
        <f t="shared" si="25"/>
        <v>80</v>
      </c>
      <c r="L36" s="124">
        <v>10</v>
      </c>
      <c r="M36" s="124">
        <v>32</v>
      </c>
      <c r="N36" s="125">
        <f t="shared" si="26"/>
        <v>42</v>
      </c>
      <c r="O36" s="125">
        <f t="shared" si="4"/>
        <v>42</v>
      </c>
      <c r="P36" s="125">
        <f t="shared" si="0"/>
        <v>122</v>
      </c>
      <c r="Q36" s="176"/>
      <c r="R36" s="124">
        <f t="shared" si="5"/>
        <v>5</v>
      </c>
      <c r="S36" s="71">
        <v>16</v>
      </c>
      <c r="T36" s="72">
        <v>64</v>
      </c>
      <c r="U36" s="73">
        <f t="shared" si="27"/>
        <v>80</v>
      </c>
      <c r="V36" s="72">
        <v>6</v>
      </c>
      <c r="W36" s="72">
        <v>24</v>
      </c>
      <c r="X36" s="125">
        <f t="shared" si="6"/>
        <v>30</v>
      </c>
      <c r="Y36" s="125">
        <f t="shared" si="7"/>
        <v>110</v>
      </c>
      <c r="Z36" s="125">
        <f t="shared" si="1"/>
        <v>110</v>
      </c>
      <c r="AA36" s="176"/>
      <c r="AB36" s="124">
        <f t="shared" si="8"/>
        <v>4</v>
      </c>
      <c r="AC36" s="71">
        <v>9</v>
      </c>
      <c r="AD36" s="72">
        <v>26</v>
      </c>
      <c r="AE36" s="73">
        <f t="shared" si="33"/>
        <v>35</v>
      </c>
      <c r="AF36" s="72">
        <v>12</v>
      </c>
      <c r="AG36" s="125">
        <f t="shared" si="9"/>
        <v>47</v>
      </c>
      <c r="AH36" s="176"/>
      <c r="AI36" s="124">
        <f t="shared" si="10"/>
        <v>2</v>
      </c>
      <c r="AJ36" s="71">
        <v>18</v>
      </c>
      <c r="AK36" s="72">
        <v>42</v>
      </c>
      <c r="AL36" s="73">
        <f t="shared" si="29"/>
        <v>60</v>
      </c>
      <c r="AM36" s="72">
        <v>23</v>
      </c>
      <c r="AN36" s="125">
        <f t="shared" si="11"/>
        <v>83</v>
      </c>
      <c r="AO36" s="176"/>
      <c r="AP36" s="124">
        <f t="shared" si="12"/>
        <v>5</v>
      </c>
      <c r="AQ36" s="124">
        <v>20</v>
      </c>
      <c r="AR36" s="124">
        <v>25</v>
      </c>
      <c r="AS36" s="124">
        <f t="shared" si="13"/>
        <v>45</v>
      </c>
      <c r="AT36" s="175"/>
      <c r="AU36" s="124">
        <f t="shared" si="14"/>
        <v>5</v>
      </c>
      <c r="AV36" s="71">
        <v>20</v>
      </c>
      <c r="AW36" s="72">
        <v>47</v>
      </c>
      <c r="AX36" s="73">
        <f t="shared" si="30"/>
        <v>67</v>
      </c>
      <c r="AY36" s="72">
        <v>29</v>
      </c>
      <c r="AZ36" s="125">
        <f t="shared" si="31"/>
        <v>96</v>
      </c>
      <c r="BA36" s="176"/>
      <c r="BB36" s="124">
        <f t="shared" si="15"/>
        <v>5</v>
      </c>
      <c r="BC36" s="71">
        <v>18</v>
      </c>
      <c r="BD36" s="72">
        <v>44</v>
      </c>
      <c r="BE36" s="73">
        <f t="shared" si="35"/>
        <v>62</v>
      </c>
      <c r="BF36" s="72">
        <v>22</v>
      </c>
      <c r="BG36" s="125">
        <f t="shared" si="16"/>
        <v>84</v>
      </c>
      <c r="BH36" s="176"/>
      <c r="BI36" s="124">
        <f t="shared" si="17"/>
        <v>5</v>
      </c>
      <c r="BJ36" s="71">
        <v>9</v>
      </c>
      <c r="BK36" s="72">
        <v>38</v>
      </c>
      <c r="BL36" s="125">
        <f t="shared" si="18"/>
        <v>47</v>
      </c>
      <c r="BM36" s="125">
        <f t="shared" si="19"/>
        <v>47</v>
      </c>
      <c r="BN36" s="176"/>
      <c r="BO36" s="124">
        <f t="shared" si="2"/>
        <v>5</v>
      </c>
      <c r="BP36" s="124">
        <f t="shared" si="20"/>
        <v>36</v>
      </c>
      <c r="BQ36" s="70">
        <f t="shared" si="21"/>
        <v>4.5</v>
      </c>
      <c r="BR36" s="70" t="str">
        <f t="shared" si="22"/>
        <v>A</v>
      </c>
      <c r="BS36" s="124" t="str">
        <f t="shared" si="3"/>
        <v>BETTER</v>
      </c>
      <c r="BT36" s="125">
        <f t="shared" si="23"/>
        <v>634</v>
      </c>
      <c r="BU36" s="124"/>
      <c r="BV36" s="124"/>
    </row>
    <row r="37" spans="1:74" s="68" customFormat="1" ht="27.95" customHeight="1">
      <c r="A37" s="67">
        <v>30</v>
      </c>
      <c r="B37" s="37">
        <v>75</v>
      </c>
      <c r="C37" s="34" t="s">
        <v>193</v>
      </c>
      <c r="D37" s="34" t="s">
        <v>194</v>
      </c>
      <c r="E37" s="34" t="s">
        <v>195</v>
      </c>
      <c r="F37" s="35" t="s">
        <v>196</v>
      </c>
      <c r="G37" s="124">
        <v>15</v>
      </c>
      <c r="H37" s="124">
        <v>33</v>
      </c>
      <c r="I37" s="125">
        <f t="shared" ref="I37" si="36">H37+G37</f>
        <v>48</v>
      </c>
      <c r="J37" s="124">
        <v>28</v>
      </c>
      <c r="K37" s="125">
        <f t="shared" ref="K37" si="37">I37+J37</f>
        <v>76</v>
      </c>
      <c r="L37" s="124">
        <v>9</v>
      </c>
      <c r="M37" s="124">
        <v>30</v>
      </c>
      <c r="N37" s="125">
        <f t="shared" si="26"/>
        <v>39</v>
      </c>
      <c r="O37" s="125">
        <f t="shared" si="4"/>
        <v>39</v>
      </c>
      <c r="P37" s="125">
        <f t="shared" si="0"/>
        <v>115</v>
      </c>
      <c r="Q37" s="176"/>
      <c r="R37" s="124">
        <f t="shared" si="5"/>
        <v>4</v>
      </c>
      <c r="S37" s="134">
        <v>20</v>
      </c>
      <c r="T37" s="133">
        <v>63</v>
      </c>
      <c r="U37" s="125">
        <f t="shared" si="27"/>
        <v>83</v>
      </c>
      <c r="V37" s="133">
        <v>4</v>
      </c>
      <c r="W37" s="133">
        <v>25</v>
      </c>
      <c r="X37" s="125">
        <f t="shared" si="6"/>
        <v>29</v>
      </c>
      <c r="Y37" s="125">
        <f t="shared" si="7"/>
        <v>112</v>
      </c>
      <c r="Z37" s="125">
        <f t="shared" si="1"/>
        <v>112</v>
      </c>
      <c r="AA37" s="176"/>
      <c r="AB37" s="124">
        <f t="shared" si="8"/>
        <v>4</v>
      </c>
      <c r="AC37" s="134">
        <v>8</v>
      </c>
      <c r="AD37" s="133">
        <v>24</v>
      </c>
      <c r="AE37" s="135">
        <f t="shared" si="33"/>
        <v>32</v>
      </c>
      <c r="AF37" s="133">
        <v>12</v>
      </c>
      <c r="AG37" s="125">
        <f t="shared" si="9"/>
        <v>44</v>
      </c>
      <c r="AH37" s="176"/>
      <c r="AI37" s="124">
        <f t="shared" si="10"/>
        <v>2</v>
      </c>
      <c r="AJ37" s="134">
        <v>19</v>
      </c>
      <c r="AK37" s="133">
        <v>43</v>
      </c>
      <c r="AL37" s="135">
        <f t="shared" si="29"/>
        <v>62</v>
      </c>
      <c r="AM37" s="133">
        <v>23</v>
      </c>
      <c r="AN37" s="125">
        <f t="shared" si="11"/>
        <v>85</v>
      </c>
      <c r="AO37" s="176"/>
      <c r="AP37" s="124">
        <f t="shared" si="12"/>
        <v>5</v>
      </c>
      <c r="AQ37" s="124">
        <v>25</v>
      </c>
      <c r="AR37" s="124">
        <v>25</v>
      </c>
      <c r="AS37" s="124">
        <f t="shared" si="13"/>
        <v>50</v>
      </c>
      <c r="AT37" s="175"/>
      <c r="AU37" s="124">
        <f t="shared" si="14"/>
        <v>5</v>
      </c>
      <c r="AV37" s="134">
        <v>13</v>
      </c>
      <c r="AW37" s="133">
        <v>29</v>
      </c>
      <c r="AX37" s="135">
        <f t="shared" si="30"/>
        <v>42</v>
      </c>
      <c r="AY37" s="133">
        <v>26</v>
      </c>
      <c r="AZ37" s="125">
        <f t="shared" si="31"/>
        <v>68</v>
      </c>
      <c r="BA37" s="176"/>
      <c r="BB37" s="124">
        <f t="shared" si="15"/>
        <v>3.5</v>
      </c>
      <c r="BC37" s="134">
        <v>16</v>
      </c>
      <c r="BD37" s="133">
        <v>37</v>
      </c>
      <c r="BE37" s="135">
        <f t="shared" si="32"/>
        <v>53</v>
      </c>
      <c r="BF37" s="133">
        <v>28</v>
      </c>
      <c r="BG37" s="125">
        <f t="shared" si="16"/>
        <v>81</v>
      </c>
      <c r="BH37" s="176"/>
      <c r="BI37" s="124">
        <f t="shared" si="17"/>
        <v>5</v>
      </c>
      <c r="BJ37" s="134">
        <v>10</v>
      </c>
      <c r="BK37" s="133">
        <v>32</v>
      </c>
      <c r="BL37" s="125">
        <f t="shared" si="18"/>
        <v>42</v>
      </c>
      <c r="BM37" s="125">
        <f t="shared" si="19"/>
        <v>42</v>
      </c>
      <c r="BN37" s="176"/>
      <c r="BO37" s="124">
        <f t="shared" si="2"/>
        <v>5</v>
      </c>
      <c r="BP37" s="124">
        <f t="shared" si="20"/>
        <v>33.5</v>
      </c>
      <c r="BQ37" s="70">
        <f t="shared" si="21"/>
        <v>4.1875</v>
      </c>
      <c r="BR37" s="70" t="str">
        <f t="shared" si="22"/>
        <v>A</v>
      </c>
      <c r="BS37" s="124" t="str">
        <f t="shared" si="3"/>
        <v>BETTER</v>
      </c>
      <c r="BT37" s="125">
        <f t="shared" si="23"/>
        <v>597</v>
      </c>
      <c r="BU37" s="124"/>
      <c r="BV37" s="124"/>
    </row>
    <row r="38" spans="1:74" s="68" customFormat="1" ht="27.95" customHeight="1">
      <c r="A38" s="67">
        <v>31</v>
      </c>
      <c r="B38" s="37">
        <v>81</v>
      </c>
      <c r="C38" s="34" t="s">
        <v>197</v>
      </c>
      <c r="D38" s="34" t="s">
        <v>198</v>
      </c>
      <c r="E38" s="34" t="s">
        <v>199</v>
      </c>
      <c r="F38" s="35" t="s">
        <v>200</v>
      </c>
      <c r="G38" s="124">
        <v>16</v>
      </c>
      <c r="H38" s="124">
        <v>31</v>
      </c>
      <c r="I38" s="125">
        <f t="shared" si="24"/>
        <v>47</v>
      </c>
      <c r="J38" s="124">
        <v>28</v>
      </c>
      <c r="K38" s="125">
        <f t="shared" si="25"/>
        <v>75</v>
      </c>
      <c r="L38" s="124">
        <v>7</v>
      </c>
      <c r="M38" s="124">
        <v>17</v>
      </c>
      <c r="N38" s="125">
        <f t="shared" si="26"/>
        <v>24</v>
      </c>
      <c r="O38" s="125">
        <f t="shared" si="4"/>
        <v>24</v>
      </c>
      <c r="P38" s="125">
        <f t="shared" si="0"/>
        <v>99</v>
      </c>
      <c r="Q38" s="176"/>
      <c r="R38" s="124">
        <f t="shared" si="5"/>
        <v>3.5</v>
      </c>
      <c r="S38" s="134">
        <v>20</v>
      </c>
      <c r="T38" s="133">
        <v>66</v>
      </c>
      <c r="U38" s="125">
        <f t="shared" si="27"/>
        <v>86</v>
      </c>
      <c r="V38" s="133">
        <v>10</v>
      </c>
      <c r="W38" s="133">
        <v>36</v>
      </c>
      <c r="X38" s="125">
        <f t="shared" si="6"/>
        <v>46</v>
      </c>
      <c r="Y38" s="125">
        <f t="shared" si="7"/>
        <v>132</v>
      </c>
      <c r="Z38" s="125">
        <f t="shared" si="1"/>
        <v>132</v>
      </c>
      <c r="AA38" s="176"/>
      <c r="AB38" s="124">
        <f t="shared" si="8"/>
        <v>5</v>
      </c>
      <c r="AC38" s="134">
        <v>19</v>
      </c>
      <c r="AD38" s="133">
        <v>36</v>
      </c>
      <c r="AE38" s="135">
        <f t="shared" si="33"/>
        <v>55</v>
      </c>
      <c r="AF38" s="133">
        <v>12</v>
      </c>
      <c r="AG38" s="125">
        <f t="shared" si="9"/>
        <v>67</v>
      </c>
      <c r="AH38" s="176"/>
      <c r="AI38" s="124">
        <f t="shared" si="10"/>
        <v>3.5</v>
      </c>
      <c r="AJ38" s="134">
        <v>20</v>
      </c>
      <c r="AK38" s="133">
        <v>43</v>
      </c>
      <c r="AL38" s="135">
        <f t="shared" si="29"/>
        <v>63</v>
      </c>
      <c r="AM38" s="133">
        <v>28</v>
      </c>
      <c r="AN38" s="125">
        <f t="shared" si="11"/>
        <v>91</v>
      </c>
      <c r="AO38" s="176"/>
      <c r="AP38" s="124">
        <f t="shared" si="12"/>
        <v>5</v>
      </c>
      <c r="AQ38" s="124">
        <v>25</v>
      </c>
      <c r="AR38" s="124">
        <v>25</v>
      </c>
      <c r="AS38" s="124">
        <f t="shared" si="13"/>
        <v>50</v>
      </c>
      <c r="AT38" s="175"/>
      <c r="AU38" s="124">
        <f t="shared" si="14"/>
        <v>5</v>
      </c>
      <c r="AV38" s="134">
        <v>16</v>
      </c>
      <c r="AW38" s="133">
        <v>34</v>
      </c>
      <c r="AX38" s="135">
        <f t="shared" si="30"/>
        <v>50</v>
      </c>
      <c r="AY38" s="133">
        <v>23</v>
      </c>
      <c r="AZ38" s="125">
        <f t="shared" si="31"/>
        <v>73</v>
      </c>
      <c r="BA38" s="176"/>
      <c r="BB38" s="124">
        <f t="shared" si="15"/>
        <v>4</v>
      </c>
      <c r="BC38" s="134">
        <v>14</v>
      </c>
      <c r="BD38" s="133">
        <v>34</v>
      </c>
      <c r="BE38" s="135">
        <f t="shared" si="32"/>
        <v>48</v>
      </c>
      <c r="BF38" s="133">
        <v>20</v>
      </c>
      <c r="BG38" s="125">
        <f t="shared" si="16"/>
        <v>68</v>
      </c>
      <c r="BH38" s="176"/>
      <c r="BI38" s="124">
        <f t="shared" si="17"/>
        <v>3.5</v>
      </c>
      <c r="BJ38" s="134">
        <v>10</v>
      </c>
      <c r="BK38" s="133">
        <v>32</v>
      </c>
      <c r="BL38" s="125">
        <f t="shared" si="18"/>
        <v>42</v>
      </c>
      <c r="BM38" s="125">
        <f t="shared" si="19"/>
        <v>42</v>
      </c>
      <c r="BN38" s="176"/>
      <c r="BO38" s="124">
        <f t="shared" si="2"/>
        <v>5</v>
      </c>
      <c r="BP38" s="124">
        <f t="shared" si="20"/>
        <v>34.5</v>
      </c>
      <c r="BQ38" s="70">
        <f t="shared" si="21"/>
        <v>4.3125</v>
      </c>
      <c r="BR38" s="70" t="str">
        <f t="shared" si="22"/>
        <v>A</v>
      </c>
      <c r="BS38" s="124" t="str">
        <f t="shared" si="3"/>
        <v>BETTER</v>
      </c>
      <c r="BT38" s="125">
        <f t="shared" si="23"/>
        <v>622</v>
      </c>
      <c r="BU38" s="124"/>
      <c r="BV38" s="124"/>
    </row>
    <row r="39" spans="1:74" s="68" customFormat="1" ht="27.95" customHeight="1">
      <c r="A39" s="67">
        <v>32</v>
      </c>
      <c r="B39" s="37">
        <v>86</v>
      </c>
      <c r="C39" s="34" t="s">
        <v>201</v>
      </c>
      <c r="D39" s="34" t="s">
        <v>202</v>
      </c>
      <c r="E39" s="34" t="s">
        <v>203</v>
      </c>
      <c r="F39" s="35" t="s">
        <v>204</v>
      </c>
      <c r="G39" s="124">
        <v>11</v>
      </c>
      <c r="H39" s="124">
        <v>26</v>
      </c>
      <c r="I39" s="125">
        <f t="shared" si="24"/>
        <v>37</v>
      </c>
      <c r="J39" s="124">
        <v>28</v>
      </c>
      <c r="K39" s="125">
        <f t="shared" si="25"/>
        <v>65</v>
      </c>
      <c r="L39" s="124">
        <v>8</v>
      </c>
      <c r="M39" s="124">
        <v>34</v>
      </c>
      <c r="N39" s="125">
        <f t="shared" si="26"/>
        <v>42</v>
      </c>
      <c r="O39" s="125">
        <f t="shared" si="4"/>
        <v>42</v>
      </c>
      <c r="P39" s="125">
        <f t="shared" si="0"/>
        <v>107</v>
      </c>
      <c r="Q39" s="176"/>
      <c r="R39" s="124">
        <f t="shared" si="5"/>
        <v>4</v>
      </c>
      <c r="S39" s="71">
        <v>14</v>
      </c>
      <c r="T39" s="72">
        <v>50</v>
      </c>
      <c r="U39" s="73">
        <f t="shared" si="27"/>
        <v>64</v>
      </c>
      <c r="V39" s="72">
        <v>5</v>
      </c>
      <c r="W39" s="72">
        <v>10</v>
      </c>
      <c r="X39" s="125">
        <f t="shared" si="6"/>
        <v>15</v>
      </c>
      <c r="Y39" s="125">
        <f t="shared" si="7"/>
        <v>79</v>
      </c>
      <c r="Z39" s="125">
        <f t="shared" si="1"/>
        <v>79</v>
      </c>
      <c r="AA39" s="176"/>
      <c r="AB39" s="124">
        <f t="shared" si="8"/>
        <v>3</v>
      </c>
      <c r="AC39" s="71">
        <v>9</v>
      </c>
      <c r="AD39" s="72">
        <v>29</v>
      </c>
      <c r="AE39" s="73">
        <f t="shared" si="33"/>
        <v>38</v>
      </c>
      <c r="AF39" s="72">
        <v>18</v>
      </c>
      <c r="AG39" s="125">
        <f t="shared" si="9"/>
        <v>56</v>
      </c>
      <c r="AH39" s="176"/>
      <c r="AI39" s="124">
        <f t="shared" si="10"/>
        <v>3</v>
      </c>
      <c r="AJ39" s="71">
        <v>13</v>
      </c>
      <c r="AK39" s="72">
        <v>31</v>
      </c>
      <c r="AL39" s="73">
        <f t="shared" si="29"/>
        <v>44</v>
      </c>
      <c r="AM39" s="72">
        <v>21</v>
      </c>
      <c r="AN39" s="125">
        <f t="shared" si="11"/>
        <v>65</v>
      </c>
      <c r="AO39" s="176"/>
      <c r="AP39" s="124">
        <f t="shared" si="12"/>
        <v>3.5</v>
      </c>
      <c r="AQ39" s="124">
        <v>20</v>
      </c>
      <c r="AR39" s="124">
        <v>25</v>
      </c>
      <c r="AS39" s="124">
        <f t="shared" si="13"/>
        <v>45</v>
      </c>
      <c r="AT39" s="175"/>
      <c r="AU39" s="124">
        <f t="shared" si="14"/>
        <v>5</v>
      </c>
      <c r="AV39" s="71">
        <v>16</v>
      </c>
      <c r="AW39" s="72">
        <v>29</v>
      </c>
      <c r="AX39" s="73">
        <f t="shared" si="30"/>
        <v>45</v>
      </c>
      <c r="AY39" s="72">
        <v>28</v>
      </c>
      <c r="AZ39" s="125">
        <f t="shared" si="31"/>
        <v>73</v>
      </c>
      <c r="BA39" s="176"/>
      <c r="BB39" s="124">
        <f t="shared" si="15"/>
        <v>4</v>
      </c>
      <c r="BC39" s="71">
        <v>10</v>
      </c>
      <c r="BD39" s="72">
        <v>19</v>
      </c>
      <c r="BE39" s="73">
        <f t="shared" si="32"/>
        <v>29</v>
      </c>
      <c r="BF39" s="72">
        <v>23</v>
      </c>
      <c r="BG39" s="125">
        <f t="shared" si="16"/>
        <v>52</v>
      </c>
      <c r="BH39" s="176"/>
      <c r="BI39" s="124">
        <f t="shared" si="17"/>
        <v>3</v>
      </c>
      <c r="BJ39" s="71">
        <v>8</v>
      </c>
      <c r="BK39" s="72">
        <v>35</v>
      </c>
      <c r="BL39" s="125">
        <f t="shared" si="18"/>
        <v>43</v>
      </c>
      <c r="BM39" s="125">
        <f t="shared" si="19"/>
        <v>43</v>
      </c>
      <c r="BN39" s="176"/>
      <c r="BO39" s="124">
        <f t="shared" si="2"/>
        <v>5</v>
      </c>
      <c r="BP39" s="124">
        <f t="shared" si="20"/>
        <v>30.5</v>
      </c>
      <c r="BQ39" s="70">
        <f t="shared" si="21"/>
        <v>3.8125</v>
      </c>
      <c r="BR39" s="70" t="str">
        <f t="shared" si="22"/>
        <v>A-</v>
      </c>
      <c r="BS39" s="124" t="str">
        <f t="shared" si="3"/>
        <v>GOOD</v>
      </c>
      <c r="BT39" s="125">
        <f t="shared" si="23"/>
        <v>520</v>
      </c>
      <c r="BU39" s="124"/>
      <c r="BV39" s="124"/>
    </row>
    <row r="40" spans="1:74" s="68" customFormat="1" ht="27.95" customHeight="1">
      <c r="A40" s="67">
        <v>33</v>
      </c>
      <c r="B40" s="37">
        <v>89</v>
      </c>
      <c r="C40" s="34" t="s">
        <v>205</v>
      </c>
      <c r="D40" s="34" t="s">
        <v>78</v>
      </c>
      <c r="E40" s="34" t="s">
        <v>206</v>
      </c>
      <c r="F40" s="35" t="s">
        <v>207</v>
      </c>
      <c r="G40" s="124">
        <v>20</v>
      </c>
      <c r="H40" s="124">
        <v>41</v>
      </c>
      <c r="I40" s="125">
        <f t="shared" si="24"/>
        <v>61</v>
      </c>
      <c r="J40" s="124">
        <v>28</v>
      </c>
      <c r="K40" s="125">
        <f t="shared" si="25"/>
        <v>89</v>
      </c>
      <c r="L40" s="124">
        <v>9</v>
      </c>
      <c r="M40" s="124">
        <v>31</v>
      </c>
      <c r="N40" s="125">
        <f t="shared" si="26"/>
        <v>40</v>
      </c>
      <c r="O40" s="125">
        <f t="shared" si="4"/>
        <v>40</v>
      </c>
      <c r="P40" s="125">
        <f t="shared" si="0"/>
        <v>129</v>
      </c>
      <c r="Q40" s="176"/>
      <c r="R40" s="124">
        <f t="shared" si="5"/>
        <v>5</v>
      </c>
      <c r="S40" s="134">
        <v>19</v>
      </c>
      <c r="T40" s="133">
        <v>56</v>
      </c>
      <c r="U40" s="125">
        <f t="shared" si="27"/>
        <v>75</v>
      </c>
      <c r="V40" s="133">
        <v>10</v>
      </c>
      <c r="W40" s="133">
        <v>37</v>
      </c>
      <c r="X40" s="125">
        <f t="shared" si="6"/>
        <v>47</v>
      </c>
      <c r="Y40" s="125">
        <f t="shared" si="7"/>
        <v>122</v>
      </c>
      <c r="Z40" s="125">
        <f t="shared" si="1"/>
        <v>122</v>
      </c>
      <c r="AA40" s="176"/>
      <c r="AB40" s="124">
        <f t="shared" si="8"/>
        <v>5</v>
      </c>
      <c r="AC40" s="134">
        <v>8</v>
      </c>
      <c r="AD40" s="133">
        <v>7</v>
      </c>
      <c r="AE40" s="135">
        <f t="shared" si="33"/>
        <v>15</v>
      </c>
      <c r="AF40" s="133">
        <v>13</v>
      </c>
      <c r="AG40" s="125">
        <f t="shared" si="9"/>
        <v>28</v>
      </c>
      <c r="AH40" s="176"/>
      <c r="AI40" s="124" t="str">
        <f t="shared" si="10"/>
        <v>F</v>
      </c>
      <c r="AJ40" s="134">
        <v>17</v>
      </c>
      <c r="AK40" s="133">
        <v>45</v>
      </c>
      <c r="AL40" s="135">
        <f t="shared" si="29"/>
        <v>62</v>
      </c>
      <c r="AM40" s="133">
        <v>25</v>
      </c>
      <c r="AN40" s="125">
        <f t="shared" si="11"/>
        <v>87</v>
      </c>
      <c r="AO40" s="176"/>
      <c r="AP40" s="124">
        <f t="shared" si="12"/>
        <v>5</v>
      </c>
      <c r="AQ40" s="124">
        <v>24</v>
      </c>
      <c r="AR40" s="124">
        <v>25</v>
      </c>
      <c r="AS40" s="124">
        <f t="shared" si="13"/>
        <v>49</v>
      </c>
      <c r="AT40" s="175"/>
      <c r="AU40" s="124">
        <f t="shared" si="14"/>
        <v>5</v>
      </c>
      <c r="AV40" s="134">
        <v>17</v>
      </c>
      <c r="AW40" s="133">
        <v>27</v>
      </c>
      <c r="AX40" s="135">
        <f t="shared" si="30"/>
        <v>44</v>
      </c>
      <c r="AY40" s="133">
        <v>22</v>
      </c>
      <c r="AZ40" s="125">
        <f t="shared" si="31"/>
        <v>66</v>
      </c>
      <c r="BA40" s="176"/>
      <c r="BB40" s="124">
        <f t="shared" si="15"/>
        <v>3.5</v>
      </c>
      <c r="BC40" s="134">
        <v>11</v>
      </c>
      <c r="BD40" s="133">
        <v>39</v>
      </c>
      <c r="BE40" s="135">
        <f t="shared" si="32"/>
        <v>50</v>
      </c>
      <c r="BF40" s="133">
        <v>20</v>
      </c>
      <c r="BG40" s="125">
        <f t="shared" si="16"/>
        <v>70</v>
      </c>
      <c r="BH40" s="176"/>
      <c r="BI40" s="124">
        <f t="shared" si="17"/>
        <v>4</v>
      </c>
      <c r="BJ40" s="134">
        <v>10</v>
      </c>
      <c r="BK40" s="133">
        <v>32</v>
      </c>
      <c r="BL40" s="125">
        <f t="shared" si="18"/>
        <v>42</v>
      </c>
      <c r="BM40" s="125">
        <f t="shared" si="19"/>
        <v>42</v>
      </c>
      <c r="BN40" s="176"/>
      <c r="BO40" s="124">
        <f t="shared" si="2"/>
        <v>5</v>
      </c>
      <c r="BP40" s="124" t="str">
        <f t="shared" si="20"/>
        <v>F</v>
      </c>
      <c r="BQ40" s="70" t="str">
        <f t="shared" si="21"/>
        <v>F</v>
      </c>
      <c r="BR40" s="70" t="str">
        <f t="shared" si="22"/>
        <v>F</v>
      </c>
      <c r="BS40" s="124" t="str">
        <f t="shared" si="3"/>
        <v>NEED TO PROGRESS</v>
      </c>
      <c r="BT40" s="125">
        <f t="shared" si="23"/>
        <v>593</v>
      </c>
      <c r="BU40" s="124"/>
      <c r="BV40" s="124"/>
    </row>
    <row r="41" spans="1:74" s="68" customFormat="1" ht="27.95" customHeight="1">
      <c r="A41" s="67">
        <v>34</v>
      </c>
      <c r="B41" s="37">
        <v>90</v>
      </c>
      <c r="C41" s="34" t="s">
        <v>208</v>
      </c>
      <c r="D41" s="34" t="s">
        <v>209</v>
      </c>
      <c r="E41" s="34" t="s">
        <v>210</v>
      </c>
      <c r="F41" s="35" t="s">
        <v>211</v>
      </c>
      <c r="G41" s="124">
        <v>14</v>
      </c>
      <c r="H41" s="124">
        <v>39</v>
      </c>
      <c r="I41" s="125">
        <f t="shared" si="24"/>
        <v>53</v>
      </c>
      <c r="J41" s="124">
        <v>20</v>
      </c>
      <c r="K41" s="125">
        <f t="shared" si="25"/>
        <v>73</v>
      </c>
      <c r="L41" s="124">
        <v>10</v>
      </c>
      <c r="M41" s="124">
        <v>31</v>
      </c>
      <c r="N41" s="125">
        <f t="shared" si="26"/>
        <v>41</v>
      </c>
      <c r="O41" s="125">
        <f t="shared" si="4"/>
        <v>41</v>
      </c>
      <c r="P41" s="125">
        <f t="shared" si="0"/>
        <v>114</v>
      </c>
      <c r="Q41" s="176"/>
      <c r="R41" s="124">
        <f t="shared" si="5"/>
        <v>4</v>
      </c>
      <c r="S41" s="71">
        <v>17</v>
      </c>
      <c r="T41" s="72">
        <v>64</v>
      </c>
      <c r="U41" s="73">
        <f t="shared" si="27"/>
        <v>81</v>
      </c>
      <c r="V41" s="72">
        <v>8</v>
      </c>
      <c r="W41" s="72">
        <v>21</v>
      </c>
      <c r="X41" s="125">
        <f t="shared" si="6"/>
        <v>29</v>
      </c>
      <c r="Y41" s="125">
        <f t="shared" si="7"/>
        <v>110</v>
      </c>
      <c r="Z41" s="125">
        <f t="shared" si="1"/>
        <v>110</v>
      </c>
      <c r="AA41" s="176"/>
      <c r="AB41" s="124">
        <f t="shared" si="8"/>
        <v>4</v>
      </c>
      <c r="AC41" s="71">
        <v>9</v>
      </c>
      <c r="AD41" s="72">
        <v>30</v>
      </c>
      <c r="AE41" s="73">
        <f t="shared" si="33"/>
        <v>39</v>
      </c>
      <c r="AF41" s="72">
        <v>16</v>
      </c>
      <c r="AG41" s="125">
        <f t="shared" si="9"/>
        <v>55</v>
      </c>
      <c r="AH41" s="176"/>
      <c r="AI41" s="124">
        <f t="shared" si="10"/>
        <v>3</v>
      </c>
      <c r="AJ41" s="71">
        <v>14</v>
      </c>
      <c r="AK41" s="72">
        <v>40</v>
      </c>
      <c r="AL41" s="73">
        <f t="shared" si="29"/>
        <v>54</v>
      </c>
      <c r="AM41" s="72">
        <v>22</v>
      </c>
      <c r="AN41" s="125">
        <f t="shared" si="11"/>
        <v>76</v>
      </c>
      <c r="AO41" s="176"/>
      <c r="AP41" s="124">
        <f t="shared" si="12"/>
        <v>4</v>
      </c>
      <c r="AQ41" s="124">
        <v>25</v>
      </c>
      <c r="AR41" s="124">
        <v>25</v>
      </c>
      <c r="AS41" s="124">
        <f t="shared" si="13"/>
        <v>50</v>
      </c>
      <c r="AT41" s="175"/>
      <c r="AU41" s="124">
        <f t="shared" si="14"/>
        <v>5</v>
      </c>
      <c r="AV41" s="71">
        <v>18</v>
      </c>
      <c r="AW41" s="72">
        <v>34</v>
      </c>
      <c r="AX41" s="73">
        <f t="shared" si="30"/>
        <v>52</v>
      </c>
      <c r="AY41" s="72">
        <v>29</v>
      </c>
      <c r="AZ41" s="125">
        <f t="shared" si="31"/>
        <v>81</v>
      </c>
      <c r="BA41" s="176"/>
      <c r="BB41" s="124">
        <f t="shared" si="15"/>
        <v>5</v>
      </c>
      <c r="BC41" s="71">
        <v>19</v>
      </c>
      <c r="BD41" s="72">
        <v>38</v>
      </c>
      <c r="BE41" s="73">
        <f t="shared" si="32"/>
        <v>57</v>
      </c>
      <c r="BF41" s="72">
        <v>23</v>
      </c>
      <c r="BG41" s="125">
        <f t="shared" si="16"/>
        <v>80</v>
      </c>
      <c r="BH41" s="176"/>
      <c r="BI41" s="124">
        <f t="shared" si="17"/>
        <v>5</v>
      </c>
      <c r="BJ41" s="71">
        <v>9</v>
      </c>
      <c r="BK41" s="72">
        <v>34</v>
      </c>
      <c r="BL41" s="125">
        <f t="shared" si="18"/>
        <v>43</v>
      </c>
      <c r="BM41" s="125">
        <f t="shared" si="19"/>
        <v>43</v>
      </c>
      <c r="BN41" s="176"/>
      <c r="BO41" s="124">
        <f t="shared" si="2"/>
        <v>5</v>
      </c>
      <c r="BP41" s="124">
        <f t="shared" si="20"/>
        <v>35</v>
      </c>
      <c r="BQ41" s="70">
        <f t="shared" si="21"/>
        <v>4.375</v>
      </c>
      <c r="BR41" s="70" t="str">
        <f t="shared" si="22"/>
        <v>A</v>
      </c>
      <c r="BS41" s="124" t="str">
        <f t="shared" si="3"/>
        <v>BETTER</v>
      </c>
      <c r="BT41" s="125">
        <f t="shared" si="23"/>
        <v>609</v>
      </c>
      <c r="BU41" s="124"/>
      <c r="BV41" s="124"/>
    </row>
    <row r="42" spans="1:74" s="68" customFormat="1" ht="27.95" customHeight="1">
      <c r="A42" s="67">
        <v>35</v>
      </c>
      <c r="B42" s="37">
        <v>92</v>
      </c>
      <c r="C42" s="34" t="s">
        <v>212</v>
      </c>
      <c r="D42" s="34" t="s">
        <v>170</v>
      </c>
      <c r="E42" s="34" t="s">
        <v>213</v>
      </c>
      <c r="F42" s="35" t="s">
        <v>214</v>
      </c>
      <c r="G42" s="124">
        <v>13</v>
      </c>
      <c r="H42" s="124">
        <v>39</v>
      </c>
      <c r="I42" s="125">
        <f t="shared" si="24"/>
        <v>52</v>
      </c>
      <c r="J42" s="124">
        <v>20</v>
      </c>
      <c r="K42" s="125">
        <f t="shared" si="25"/>
        <v>72</v>
      </c>
      <c r="L42" s="124">
        <v>10</v>
      </c>
      <c r="M42" s="124">
        <v>32</v>
      </c>
      <c r="N42" s="125">
        <f t="shared" si="26"/>
        <v>42</v>
      </c>
      <c r="O42" s="125">
        <f t="shared" si="4"/>
        <v>42</v>
      </c>
      <c r="P42" s="125">
        <f t="shared" si="0"/>
        <v>114</v>
      </c>
      <c r="Q42" s="176"/>
      <c r="R42" s="124">
        <f t="shared" si="5"/>
        <v>4</v>
      </c>
      <c r="S42" s="71">
        <v>18</v>
      </c>
      <c r="T42" s="72">
        <v>63</v>
      </c>
      <c r="U42" s="73">
        <f t="shared" si="27"/>
        <v>81</v>
      </c>
      <c r="V42" s="72">
        <v>10</v>
      </c>
      <c r="W42" s="72">
        <v>25</v>
      </c>
      <c r="X42" s="125">
        <f t="shared" si="6"/>
        <v>35</v>
      </c>
      <c r="Y42" s="125">
        <f t="shared" si="7"/>
        <v>116</v>
      </c>
      <c r="Z42" s="125">
        <f t="shared" si="1"/>
        <v>116</v>
      </c>
      <c r="AA42" s="176"/>
      <c r="AB42" s="124">
        <f t="shared" si="8"/>
        <v>4</v>
      </c>
      <c r="AC42" s="71">
        <v>15</v>
      </c>
      <c r="AD42" s="72">
        <v>37</v>
      </c>
      <c r="AE42" s="73">
        <f t="shared" si="33"/>
        <v>52</v>
      </c>
      <c r="AF42" s="72">
        <v>14</v>
      </c>
      <c r="AG42" s="125">
        <f t="shared" si="9"/>
        <v>66</v>
      </c>
      <c r="AH42" s="176"/>
      <c r="AI42" s="124">
        <f t="shared" si="10"/>
        <v>3.5</v>
      </c>
      <c r="AJ42" s="71">
        <v>18</v>
      </c>
      <c r="AK42" s="72">
        <v>40</v>
      </c>
      <c r="AL42" s="73">
        <f t="shared" si="29"/>
        <v>58</v>
      </c>
      <c r="AM42" s="72">
        <v>25</v>
      </c>
      <c r="AN42" s="125">
        <f t="shared" si="11"/>
        <v>83</v>
      </c>
      <c r="AO42" s="176"/>
      <c r="AP42" s="124">
        <f t="shared" si="12"/>
        <v>5</v>
      </c>
      <c r="AQ42" s="124">
        <v>25</v>
      </c>
      <c r="AR42" s="124">
        <v>25</v>
      </c>
      <c r="AS42" s="124">
        <f t="shared" si="13"/>
        <v>50</v>
      </c>
      <c r="AT42" s="175"/>
      <c r="AU42" s="124">
        <f t="shared" si="14"/>
        <v>5</v>
      </c>
      <c r="AV42" s="71">
        <v>2</v>
      </c>
      <c r="AW42" s="72">
        <v>20</v>
      </c>
      <c r="AX42" s="73">
        <f t="shared" si="30"/>
        <v>22</v>
      </c>
      <c r="AY42" s="72">
        <v>23</v>
      </c>
      <c r="AZ42" s="125">
        <f t="shared" si="31"/>
        <v>45</v>
      </c>
      <c r="BA42" s="176"/>
      <c r="BB42" s="124">
        <f t="shared" si="15"/>
        <v>2</v>
      </c>
      <c r="BC42" s="71">
        <v>18</v>
      </c>
      <c r="BD42" s="72">
        <v>34</v>
      </c>
      <c r="BE42" s="73">
        <f t="shared" si="32"/>
        <v>52</v>
      </c>
      <c r="BF42" s="72">
        <v>29</v>
      </c>
      <c r="BG42" s="125">
        <f t="shared" si="16"/>
        <v>81</v>
      </c>
      <c r="BH42" s="176"/>
      <c r="BI42" s="124">
        <f t="shared" si="17"/>
        <v>5</v>
      </c>
      <c r="BJ42" s="71">
        <v>8</v>
      </c>
      <c r="BK42" s="72">
        <v>32</v>
      </c>
      <c r="BL42" s="125">
        <f t="shared" si="18"/>
        <v>40</v>
      </c>
      <c r="BM42" s="125">
        <f t="shared" si="19"/>
        <v>40</v>
      </c>
      <c r="BN42" s="176"/>
      <c r="BO42" s="124">
        <f t="shared" si="2"/>
        <v>5</v>
      </c>
      <c r="BP42" s="124">
        <f t="shared" si="20"/>
        <v>33.5</v>
      </c>
      <c r="BQ42" s="70">
        <f t="shared" si="21"/>
        <v>4.1875</v>
      </c>
      <c r="BR42" s="70" t="str">
        <f t="shared" si="22"/>
        <v>A</v>
      </c>
      <c r="BS42" s="124" t="str">
        <f t="shared" si="3"/>
        <v>BETTER</v>
      </c>
      <c r="BT42" s="125">
        <f t="shared" si="23"/>
        <v>595</v>
      </c>
      <c r="BU42" s="124"/>
      <c r="BV42" s="124"/>
    </row>
    <row r="43" spans="1:74" s="68" customFormat="1" ht="27.95" customHeight="1">
      <c r="A43" s="67">
        <v>36</v>
      </c>
      <c r="B43" s="37">
        <v>93</v>
      </c>
      <c r="C43" s="34" t="s">
        <v>215</v>
      </c>
      <c r="D43" s="34" t="s">
        <v>216</v>
      </c>
      <c r="E43" s="34" t="s">
        <v>217</v>
      </c>
      <c r="F43" s="35" t="s">
        <v>218</v>
      </c>
      <c r="G43" s="124">
        <v>12</v>
      </c>
      <c r="H43" s="124">
        <v>20</v>
      </c>
      <c r="I43" s="125">
        <f t="shared" si="24"/>
        <v>32</v>
      </c>
      <c r="J43" s="124">
        <v>28</v>
      </c>
      <c r="K43" s="125">
        <f t="shared" si="25"/>
        <v>60</v>
      </c>
      <c r="L43" s="124">
        <v>9</v>
      </c>
      <c r="M43" s="124">
        <v>30</v>
      </c>
      <c r="N43" s="125">
        <f t="shared" si="26"/>
        <v>39</v>
      </c>
      <c r="O43" s="125">
        <f t="shared" si="4"/>
        <v>39</v>
      </c>
      <c r="P43" s="125">
        <f t="shared" si="0"/>
        <v>99</v>
      </c>
      <c r="Q43" s="176"/>
      <c r="R43" s="124">
        <f t="shared" si="5"/>
        <v>3.5</v>
      </c>
      <c r="S43" s="134">
        <v>17</v>
      </c>
      <c r="T43" s="133">
        <v>47</v>
      </c>
      <c r="U43" s="125">
        <f t="shared" si="27"/>
        <v>64</v>
      </c>
      <c r="V43" s="133">
        <v>6</v>
      </c>
      <c r="W43" s="133">
        <v>26</v>
      </c>
      <c r="X43" s="125">
        <f t="shared" si="6"/>
        <v>32</v>
      </c>
      <c r="Y43" s="125">
        <f t="shared" si="7"/>
        <v>96</v>
      </c>
      <c r="Z43" s="125">
        <f t="shared" si="1"/>
        <v>96</v>
      </c>
      <c r="AA43" s="176"/>
      <c r="AB43" s="124">
        <f t="shared" si="8"/>
        <v>3.5</v>
      </c>
      <c r="AC43" s="134">
        <v>14</v>
      </c>
      <c r="AD43" s="133">
        <v>24</v>
      </c>
      <c r="AE43" s="135">
        <f t="shared" si="33"/>
        <v>38</v>
      </c>
      <c r="AF43" s="133">
        <v>12</v>
      </c>
      <c r="AG43" s="125">
        <f t="shared" si="9"/>
        <v>50</v>
      </c>
      <c r="AH43" s="176"/>
      <c r="AI43" s="124">
        <f t="shared" si="10"/>
        <v>3</v>
      </c>
      <c r="AJ43" s="134">
        <v>17</v>
      </c>
      <c r="AK43" s="133">
        <v>34</v>
      </c>
      <c r="AL43" s="135">
        <f t="shared" si="29"/>
        <v>51</v>
      </c>
      <c r="AM43" s="133">
        <v>25</v>
      </c>
      <c r="AN43" s="125">
        <f t="shared" si="11"/>
        <v>76</v>
      </c>
      <c r="AO43" s="176"/>
      <c r="AP43" s="124">
        <f t="shared" si="12"/>
        <v>4</v>
      </c>
      <c r="AQ43" s="124">
        <v>24</v>
      </c>
      <c r="AR43" s="124">
        <v>25</v>
      </c>
      <c r="AS43" s="124">
        <f t="shared" si="13"/>
        <v>49</v>
      </c>
      <c r="AT43" s="175"/>
      <c r="AU43" s="124">
        <f t="shared" si="14"/>
        <v>5</v>
      </c>
      <c r="AV43" s="134">
        <v>15</v>
      </c>
      <c r="AW43" s="133">
        <v>28</v>
      </c>
      <c r="AX43" s="135">
        <f t="shared" si="30"/>
        <v>43</v>
      </c>
      <c r="AY43" s="133">
        <v>24</v>
      </c>
      <c r="AZ43" s="125">
        <f t="shared" si="31"/>
        <v>67</v>
      </c>
      <c r="BA43" s="176"/>
      <c r="BB43" s="124">
        <f t="shared" si="15"/>
        <v>3.5</v>
      </c>
      <c r="BC43" s="134">
        <v>14</v>
      </c>
      <c r="BD43" s="133">
        <v>29</v>
      </c>
      <c r="BE43" s="135">
        <f t="shared" si="32"/>
        <v>43</v>
      </c>
      <c r="BF43" s="133">
        <v>26</v>
      </c>
      <c r="BG43" s="125">
        <f t="shared" si="16"/>
        <v>69</v>
      </c>
      <c r="BH43" s="176"/>
      <c r="BI43" s="124">
        <f t="shared" si="17"/>
        <v>3.5</v>
      </c>
      <c r="BJ43" s="134">
        <v>10</v>
      </c>
      <c r="BK43" s="133">
        <v>32</v>
      </c>
      <c r="BL43" s="125">
        <f t="shared" si="18"/>
        <v>42</v>
      </c>
      <c r="BM43" s="125">
        <f t="shared" si="19"/>
        <v>42</v>
      </c>
      <c r="BN43" s="176"/>
      <c r="BO43" s="124">
        <f t="shared" si="2"/>
        <v>5</v>
      </c>
      <c r="BP43" s="124">
        <f t="shared" si="20"/>
        <v>31</v>
      </c>
      <c r="BQ43" s="70">
        <f t="shared" si="21"/>
        <v>3.875</v>
      </c>
      <c r="BR43" s="70" t="str">
        <f t="shared" si="22"/>
        <v>A-</v>
      </c>
      <c r="BS43" s="124" t="str">
        <f t="shared" si="3"/>
        <v>GOOD</v>
      </c>
      <c r="BT43" s="125">
        <f t="shared" si="23"/>
        <v>548</v>
      </c>
      <c r="BU43" s="124"/>
      <c r="BV43" s="124"/>
    </row>
    <row r="44" spans="1:74" s="68" customFormat="1" ht="27.95" customHeight="1">
      <c r="A44" s="67">
        <v>37</v>
      </c>
      <c r="B44" s="37">
        <v>95</v>
      </c>
      <c r="C44" s="34" t="s">
        <v>219</v>
      </c>
      <c r="D44" s="34" t="s">
        <v>220</v>
      </c>
      <c r="E44" s="34" t="s">
        <v>221</v>
      </c>
      <c r="F44" s="35" t="s">
        <v>222</v>
      </c>
      <c r="G44" s="124">
        <v>13</v>
      </c>
      <c r="H44" s="124">
        <v>27</v>
      </c>
      <c r="I44" s="125">
        <f t="shared" si="24"/>
        <v>40</v>
      </c>
      <c r="J44" s="124">
        <v>24</v>
      </c>
      <c r="K44" s="125">
        <f t="shared" si="25"/>
        <v>64</v>
      </c>
      <c r="L44" s="124">
        <v>10</v>
      </c>
      <c r="M44" s="124">
        <v>22</v>
      </c>
      <c r="N44" s="125">
        <f t="shared" si="26"/>
        <v>32</v>
      </c>
      <c r="O44" s="125">
        <f t="shared" si="4"/>
        <v>32</v>
      </c>
      <c r="P44" s="125">
        <f t="shared" si="0"/>
        <v>96</v>
      </c>
      <c r="Q44" s="176"/>
      <c r="R44" s="124">
        <f t="shared" si="5"/>
        <v>3.5</v>
      </c>
      <c r="S44" s="134">
        <v>20</v>
      </c>
      <c r="T44" s="133">
        <v>60</v>
      </c>
      <c r="U44" s="125">
        <f t="shared" si="27"/>
        <v>80</v>
      </c>
      <c r="V44" s="133">
        <v>9</v>
      </c>
      <c r="W44" s="133">
        <v>35</v>
      </c>
      <c r="X44" s="125">
        <f t="shared" si="6"/>
        <v>44</v>
      </c>
      <c r="Y44" s="125">
        <f t="shared" si="7"/>
        <v>124</v>
      </c>
      <c r="Z44" s="125">
        <f t="shared" si="1"/>
        <v>124</v>
      </c>
      <c r="AA44" s="176"/>
      <c r="AB44" s="124">
        <f t="shared" si="8"/>
        <v>5</v>
      </c>
      <c r="AC44" s="134">
        <v>9</v>
      </c>
      <c r="AD44" s="133">
        <v>27</v>
      </c>
      <c r="AE44" s="135">
        <f t="shared" si="33"/>
        <v>36</v>
      </c>
      <c r="AF44" s="133">
        <v>14</v>
      </c>
      <c r="AG44" s="125">
        <f t="shared" si="9"/>
        <v>50</v>
      </c>
      <c r="AH44" s="176"/>
      <c r="AI44" s="124">
        <f t="shared" si="10"/>
        <v>3</v>
      </c>
      <c r="AJ44" s="134">
        <v>19</v>
      </c>
      <c r="AK44" s="133">
        <v>40</v>
      </c>
      <c r="AL44" s="135">
        <f t="shared" si="29"/>
        <v>59</v>
      </c>
      <c r="AM44" s="133">
        <v>23</v>
      </c>
      <c r="AN44" s="125">
        <f t="shared" si="11"/>
        <v>82</v>
      </c>
      <c r="AO44" s="176"/>
      <c r="AP44" s="124">
        <f t="shared" si="12"/>
        <v>5</v>
      </c>
      <c r="AQ44" s="124">
        <v>22</v>
      </c>
      <c r="AR44" s="124">
        <v>25</v>
      </c>
      <c r="AS44" s="124">
        <f t="shared" si="13"/>
        <v>47</v>
      </c>
      <c r="AT44" s="175"/>
      <c r="AU44" s="124">
        <f t="shared" si="14"/>
        <v>5</v>
      </c>
      <c r="AV44" s="134">
        <v>15</v>
      </c>
      <c r="AW44" s="133">
        <v>4</v>
      </c>
      <c r="AX44" s="135">
        <f t="shared" si="30"/>
        <v>19</v>
      </c>
      <c r="AY44" s="133">
        <v>25</v>
      </c>
      <c r="AZ44" s="125">
        <f t="shared" si="31"/>
        <v>44</v>
      </c>
      <c r="BA44" s="176"/>
      <c r="BB44" s="124">
        <f t="shared" si="15"/>
        <v>2</v>
      </c>
      <c r="BC44" s="134">
        <v>17</v>
      </c>
      <c r="BD44" s="133">
        <v>32</v>
      </c>
      <c r="BE44" s="135">
        <f t="shared" si="32"/>
        <v>49</v>
      </c>
      <c r="BF44" s="133">
        <v>27</v>
      </c>
      <c r="BG44" s="125">
        <f t="shared" si="16"/>
        <v>76</v>
      </c>
      <c r="BH44" s="176"/>
      <c r="BI44" s="124">
        <f t="shared" si="17"/>
        <v>4</v>
      </c>
      <c r="BJ44" s="134">
        <v>10</v>
      </c>
      <c r="BK44" s="133">
        <v>24</v>
      </c>
      <c r="BL44" s="125">
        <f t="shared" si="18"/>
        <v>34</v>
      </c>
      <c r="BM44" s="125">
        <f t="shared" si="19"/>
        <v>34</v>
      </c>
      <c r="BN44" s="176"/>
      <c r="BO44" s="124">
        <f t="shared" si="2"/>
        <v>3.5</v>
      </c>
      <c r="BP44" s="124">
        <f t="shared" si="20"/>
        <v>31</v>
      </c>
      <c r="BQ44" s="70">
        <f t="shared" si="21"/>
        <v>3.875</v>
      </c>
      <c r="BR44" s="70" t="str">
        <f t="shared" si="22"/>
        <v>A-</v>
      </c>
      <c r="BS44" s="124" t="str">
        <f t="shared" si="3"/>
        <v>GOOD</v>
      </c>
      <c r="BT44" s="125">
        <f t="shared" si="23"/>
        <v>553</v>
      </c>
      <c r="BU44" s="124"/>
      <c r="BV44" s="124"/>
    </row>
    <row r="45" spans="1:74" s="68" customFormat="1" ht="27.95" customHeight="1">
      <c r="A45" s="67">
        <v>38</v>
      </c>
      <c r="B45" s="37">
        <v>96</v>
      </c>
      <c r="C45" s="137" t="s">
        <v>223</v>
      </c>
      <c r="D45" s="34" t="s">
        <v>224</v>
      </c>
      <c r="E45" s="34" t="s">
        <v>225</v>
      </c>
      <c r="F45" s="35" t="s">
        <v>226</v>
      </c>
      <c r="G45" s="124">
        <v>12</v>
      </c>
      <c r="H45" s="124">
        <v>36</v>
      </c>
      <c r="I45" s="125">
        <f t="shared" si="24"/>
        <v>48</v>
      </c>
      <c r="J45" s="124">
        <v>28</v>
      </c>
      <c r="K45" s="125">
        <f t="shared" si="25"/>
        <v>76</v>
      </c>
      <c r="L45" s="124">
        <v>9</v>
      </c>
      <c r="M45" s="124">
        <v>30</v>
      </c>
      <c r="N45" s="125">
        <f t="shared" si="26"/>
        <v>39</v>
      </c>
      <c r="O45" s="125">
        <f t="shared" si="4"/>
        <v>39</v>
      </c>
      <c r="P45" s="125">
        <f t="shared" si="0"/>
        <v>115</v>
      </c>
      <c r="Q45" s="176"/>
      <c r="R45" s="124">
        <f t="shared" si="5"/>
        <v>4</v>
      </c>
      <c r="S45" s="71">
        <v>5</v>
      </c>
      <c r="T45" s="72">
        <v>60</v>
      </c>
      <c r="U45" s="73">
        <f t="shared" si="27"/>
        <v>65</v>
      </c>
      <c r="V45" s="72">
        <v>9</v>
      </c>
      <c r="W45" s="72">
        <v>28</v>
      </c>
      <c r="X45" s="125">
        <f t="shared" si="6"/>
        <v>37</v>
      </c>
      <c r="Y45" s="125">
        <f t="shared" si="7"/>
        <v>102</v>
      </c>
      <c r="Z45" s="125">
        <f t="shared" si="1"/>
        <v>102</v>
      </c>
      <c r="AA45" s="176"/>
      <c r="AB45" s="124">
        <f t="shared" si="8"/>
        <v>3.5</v>
      </c>
      <c r="AC45" s="71">
        <v>0</v>
      </c>
      <c r="AD45" s="72">
        <v>39</v>
      </c>
      <c r="AE45" s="73">
        <f t="shared" si="33"/>
        <v>39</v>
      </c>
      <c r="AF45" s="72">
        <v>23</v>
      </c>
      <c r="AG45" s="125">
        <f t="shared" si="9"/>
        <v>62</v>
      </c>
      <c r="AH45" s="176"/>
      <c r="AI45" s="124">
        <f t="shared" si="10"/>
        <v>3.5</v>
      </c>
      <c r="AJ45" s="71">
        <v>0</v>
      </c>
      <c r="AK45" s="72">
        <v>31</v>
      </c>
      <c r="AL45" s="73">
        <f t="shared" si="29"/>
        <v>31</v>
      </c>
      <c r="AM45" s="72">
        <v>23</v>
      </c>
      <c r="AN45" s="125">
        <f t="shared" si="11"/>
        <v>54</v>
      </c>
      <c r="AO45" s="176"/>
      <c r="AP45" s="124">
        <f t="shared" si="12"/>
        <v>3</v>
      </c>
      <c r="AQ45" s="124">
        <v>20</v>
      </c>
      <c r="AR45" s="124">
        <v>25</v>
      </c>
      <c r="AS45" s="124">
        <f t="shared" si="13"/>
        <v>45</v>
      </c>
      <c r="AT45" s="175"/>
      <c r="AU45" s="124">
        <f t="shared" si="14"/>
        <v>5</v>
      </c>
      <c r="AV45" s="71">
        <v>5</v>
      </c>
      <c r="AW45" s="72">
        <v>34</v>
      </c>
      <c r="AX45" s="73">
        <f>AW45+AV45</f>
        <v>39</v>
      </c>
      <c r="AY45" s="72">
        <v>25</v>
      </c>
      <c r="AZ45" s="125">
        <f t="shared" si="31"/>
        <v>64</v>
      </c>
      <c r="BA45" s="176"/>
      <c r="BB45" s="124">
        <f t="shared" si="15"/>
        <v>3.5</v>
      </c>
      <c r="BC45" s="71">
        <v>5</v>
      </c>
      <c r="BD45" s="72">
        <v>34</v>
      </c>
      <c r="BE45" s="73">
        <f>BD45+BC45</f>
        <v>39</v>
      </c>
      <c r="BF45" s="72">
        <v>25</v>
      </c>
      <c r="BG45" s="125">
        <f t="shared" si="16"/>
        <v>64</v>
      </c>
      <c r="BH45" s="176"/>
      <c r="BI45" s="124">
        <f t="shared" si="17"/>
        <v>3.5</v>
      </c>
      <c r="BJ45" s="71">
        <v>3</v>
      </c>
      <c r="BK45" s="72">
        <v>38</v>
      </c>
      <c r="BL45" s="125">
        <f t="shared" si="18"/>
        <v>41</v>
      </c>
      <c r="BM45" s="125">
        <f t="shared" si="19"/>
        <v>41</v>
      </c>
      <c r="BN45" s="176"/>
      <c r="BO45" s="124">
        <f t="shared" si="2"/>
        <v>5</v>
      </c>
      <c r="BP45" s="124">
        <f t="shared" si="20"/>
        <v>31</v>
      </c>
      <c r="BQ45" s="70">
        <f t="shared" si="21"/>
        <v>3.875</v>
      </c>
      <c r="BR45" s="70" t="str">
        <f t="shared" si="22"/>
        <v>A-</v>
      </c>
      <c r="BS45" s="124" t="str">
        <f t="shared" si="3"/>
        <v>GOOD</v>
      </c>
      <c r="BT45" s="125">
        <f t="shared" si="23"/>
        <v>547</v>
      </c>
      <c r="BU45" s="124"/>
      <c r="BV45" s="124"/>
    </row>
    <row r="46" spans="1:74" s="68" customFormat="1" ht="27.95" customHeight="1">
      <c r="A46" s="67">
        <v>39</v>
      </c>
      <c r="B46" s="37">
        <v>97</v>
      </c>
      <c r="C46" s="34" t="s">
        <v>227</v>
      </c>
      <c r="D46" s="34" t="s">
        <v>228</v>
      </c>
      <c r="E46" s="34" t="s">
        <v>229</v>
      </c>
      <c r="F46" s="35" t="s">
        <v>230</v>
      </c>
      <c r="G46" s="124">
        <v>14</v>
      </c>
      <c r="H46" s="124">
        <v>30</v>
      </c>
      <c r="I46" s="125">
        <f t="shared" si="24"/>
        <v>44</v>
      </c>
      <c r="J46" s="124">
        <v>28</v>
      </c>
      <c r="K46" s="125">
        <f t="shared" si="25"/>
        <v>72</v>
      </c>
      <c r="L46" s="124">
        <v>9</v>
      </c>
      <c r="M46" s="124">
        <v>32</v>
      </c>
      <c r="N46" s="125">
        <f t="shared" si="26"/>
        <v>41</v>
      </c>
      <c r="O46" s="125">
        <f t="shared" si="4"/>
        <v>41</v>
      </c>
      <c r="P46" s="125">
        <f t="shared" si="0"/>
        <v>113</v>
      </c>
      <c r="Q46" s="176"/>
      <c r="R46" s="124">
        <f t="shared" si="5"/>
        <v>4</v>
      </c>
      <c r="S46" s="134">
        <v>20</v>
      </c>
      <c r="T46" s="133">
        <v>60</v>
      </c>
      <c r="U46" s="135">
        <f t="shared" si="27"/>
        <v>80</v>
      </c>
      <c r="V46" s="133">
        <v>9</v>
      </c>
      <c r="W46" s="133">
        <v>32</v>
      </c>
      <c r="X46" s="125">
        <f t="shared" si="6"/>
        <v>41</v>
      </c>
      <c r="Y46" s="125">
        <f t="shared" si="7"/>
        <v>121</v>
      </c>
      <c r="Z46" s="125">
        <f t="shared" si="1"/>
        <v>121</v>
      </c>
      <c r="AA46" s="176"/>
      <c r="AB46" s="124">
        <f t="shared" si="8"/>
        <v>5</v>
      </c>
      <c r="AC46" s="134">
        <v>16</v>
      </c>
      <c r="AD46" s="133">
        <v>33</v>
      </c>
      <c r="AE46" s="135">
        <f t="shared" si="33"/>
        <v>49</v>
      </c>
      <c r="AF46" s="133">
        <v>15</v>
      </c>
      <c r="AG46" s="125">
        <f t="shared" si="9"/>
        <v>64</v>
      </c>
      <c r="AH46" s="176"/>
      <c r="AI46" s="124">
        <f t="shared" si="10"/>
        <v>3.5</v>
      </c>
      <c r="AJ46" s="134">
        <v>20</v>
      </c>
      <c r="AK46" s="133">
        <v>44</v>
      </c>
      <c r="AL46" s="135">
        <f t="shared" si="29"/>
        <v>64</v>
      </c>
      <c r="AM46" s="133">
        <v>27</v>
      </c>
      <c r="AN46" s="125">
        <f t="shared" si="11"/>
        <v>91</v>
      </c>
      <c r="AO46" s="176"/>
      <c r="AP46" s="124">
        <f t="shared" si="12"/>
        <v>5</v>
      </c>
      <c r="AQ46" s="124">
        <v>24</v>
      </c>
      <c r="AR46" s="124">
        <v>25</v>
      </c>
      <c r="AS46" s="124">
        <f t="shared" si="13"/>
        <v>49</v>
      </c>
      <c r="AT46" s="175"/>
      <c r="AU46" s="124">
        <f t="shared" si="14"/>
        <v>5</v>
      </c>
      <c r="AV46" s="134">
        <v>16</v>
      </c>
      <c r="AW46" s="133">
        <v>43</v>
      </c>
      <c r="AX46" s="135">
        <f t="shared" ref="AX46:AX57" si="38">AW46+AV46</f>
        <v>59</v>
      </c>
      <c r="AY46" s="133">
        <v>25</v>
      </c>
      <c r="AZ46" s="125">
        <f t="shared" si="31"/>
        <v>84</v>
      </c>
      <c r="BA46" s="176"/>
      <c r="BB46" s="124">
        <f t="shared" si="15"/>
        <v>5</v>
      </c>
      <c r="BC46" s="134">
        <v>18</v>
      </c>
      <c r="BD46" s="133">
        <v>42</v>
      </c>
      <c r="BE46" s="135">
        <f t="shared" ref="BE46:BE57" si="39">BD46+BC46</f>
        <v>60</v>
      </c>
      <c r="BF46" s="133">
        <v>27</v>
      </c>
      <c r="BG46" s="125">
        <f t="shared" si="16"/>
        <v>87</v>
      </c>
      <c r="BH46" s="176"/>
      <c r="BI46" s="124">
        <f t="shared" si="17"/>
        <v>5</v>
      </c>
      <c r="BJ46" s="134">
        <v>10</v>
      </c>
      <c r="BK46" s="133">
        <v>24</v>
      </c>
      <c r="BL46" s="125">
        <f t="shared" si="18"/>
        <v>34</v>
      </c>
      <c r="BM46" s="125">
        <f t="shared" si="19"/>
        <v>34</v>
      </c>
      <c r="BN46" s="176"/>
      <c r="BO46" s="124">
        <f t="shared" si="2"/>
        <v>3.5</v>
      </c>
      <c r="BP46" s="124">
        <f t="shared" si="20"/>
        <v>36</v>
      </c>
      <c r="BQ46" s="70">
        <f t="shared" si="21"/>
        <v>4.5</v>
      </c>
      <c r="BR46" s="70" t="str">
        <f t="shared" si="22"/>
        <v>A</v>
      </c>
      <c r="BS46" s="124" t="str">
        <f t="shared" si="3"/>
        <v>BETTER</v>
      </c>
      <c r="BT46" s="125">
        <f t="shared" si="23"/>
        <v>643</v>
      </c>
      <c r="BU46" s="124"/>
      <c r="BV46" s="124"/>
    </row>
    <row r="47" spans="1:74" s="68" customFormat="1" ht="27.95" customHeight="1">
      <c r="A47" s="67">
        <v>40</v>
      </c>
      <c r="B47" s="37">
        <v>99</v>
      </c>
      <c r="C47" s="34" t="s">
        <v>231</v>
      </c>
      <c r="D47" s="34" t="s">
        <v>232</v>
      </c>
      <c r="E47" s="34" t="s">
        <v>233</v>
      </c>
      <c r="F47" s="35" t="s">
        <v>234</v>
      </c>
      <c r="G47" s="124">
        <v>9</v>
      </c>
      <c r="H47" s="124">
        <v>30</v>
      </c>
      <c r="I47" s="125">
        <f t="shared" si="24"/>
        <v>39</v>
      </c>
      <c r="J47" s="124">
        <v>24</v>
      </c>
      <c r="K47" s="125">
        <f t="shared" si="25"/>
        <v>63</v>
      </c>
      <c r="L47" s="124">
        <v>10</v>
      </c>
      <c r="M47" s="124">
        <v>30</v>
      </c>
      <c r="N47" s="125">
        <f t="shared" si="26"/>
        <v>40</v>
      </c>
      <c r="O47" s="125">
        <f t="shared" si="4"/>
        <v>40</v>
      </c>
      <c r="P47" s="125">
        <f t="shared" si="0"/>
        <v>103</v>
      </c>
      <c r="Q47" s="176"/>
      <c r="R47" s="124">
        <f t="shared" si="5"/>
        <v>3.5</v>
      </c>
      <c r="S47" s="134">
        <v>20</v>
      </c>
      <c r="T47" s="133">
        <v>63</v>
      </c>
      <c r="U47" s="135">
        <f t="shared" si="27"/>
        <v>83</v>
      </c>
      <c r="V47" s="133">
        <v>10</v>
      </c>
      <c r="W47" s="133">
        <v>37</v>
      </c>
      <c r="X47" s="125">
        <f t="shared" si="6"/>
        <v>47</v>
      </c>
      <c r="Y47" s="125">
        <f t="shared" si="7"/>
        <v>130</v>
      </c>
      <c r="Z47" s="125">
        <f t="shared" si="1"/>
        <v>130</v>
      </c>
      <c r="AA47" s="176"/>
      <c r="AB47" s="124">
        <f t="shared" si="8"/>
        <v>5</v>
      </c>
      <c r="AC47" s="134">
        <v>20</v>
      </c>
      <c r="AD47" s="133">
        <v>38</v>
      </c>
      <c r="AE47" s="135">
        <f t="shared" si="33"/>
        <v>58</v>
      </c>
      <c r="AF47" s="133">
        <v>23</v>
      </c>
      <c r="AG47" s="125">
        <f t="shared" si="9"/>
        <v>81</v>
      </c>
      <c r="AH47" s="176"/>
      <c r="AI47" s="124">
        <f t="shared" si="10"/>
        <v>5</v>
      </c>
      <c r="AJ47" s="134">
        <v>17</v>
      </c>
      <c r="AK47" s="133">
        <v>44</v>
      </c>
      <c r="AL47" s="135">
        <f t="shared" si="29"/>
        <v>61</v>
      </c>
      <c r="AM47" s="133">
        <v>26</v>
      </c>
      <c r="AN47" s="125">
        <f t="shared" si="11"/>
        <v>87</v>
      </c>
      <c r="AO47" s="176"/>
      <c r="AP47" s="124">
        <f t="shared" si="12"/>
        <v>5</v>
      </c>
      <c r="AQ47" s="124">
        <v>24</v>
      </c>
      <c r="AR47" s="124">
        <v>25</v>
      </c>
      <c r="AS47" s="124">
        <f t="shared" si="13"/>
        <v>49</v>
      </c>
      <c r="AT47" s="175"/>
      <c r="AU47" s="124">
        <f t="shared" si="14"/>
        <v>5</v>
      </c>
      <c r="AV47" s="134">
        <v>18</v>
      </c>
      <c r="AW47" s="133">
        <v>49</v>
      </c>
      <c r="AX47" s="135">
        <f t="shared" si="38"/>
        <v>67</v>
      </c>
      <c r="AY47" s="133">
        <v>22</v>
      </c>
      <c r="AZ47" s="125">
        <f t="shared" si="31"/>
        <v>89</v>
      </c>
      <c r="BA47" s="176"/>
      <c r="BB47" s="124">
        <f t="shared" si="15"/>
        <v>5</v>
      </c>
      <c r="BC47" s="134">
        <v>18</v>
      </c>
      <c r="BD47" s="133">
        <v>42</v>
      </c>
      <c r="BE47" s="135">
        <f t="shared" si="39"/>
        <v>60</v>
      </c>
      <c r="BF47" s="133">
        <v>24</v>
      </c>
      <c r="BG47" s="125">
        <f t="shared" si="16"/>
        <v>84</v>
      </c>
      <c r="BH47" s="176"/>
      <c r="BI47" s="124">
        <f t="shared" si="17"/>
        <v>5</v>
      </c>
      <c r="BJ47" s="134">
        <v>10</v>
      </c>
      <c r="BK47" s="133">
        <v>28</v>
      </c>
      <c r="BL47" s="125">
        <f t="shared" si="18"/>
        <v>38</v>
      </c>
      <c r="BM47" s="125">
        <f t="shared" si="19"/>
        <v>38</v>
      </c>
      <c r="BN47" s="176"/>
      <c r="BO47" s="124">
        <f t="shared" si="2"/>
        <v>4</v>
      </c>
      <c r="BP47" s="124">
        <f t="shared" si="20"/>
        <v>37.5</v>
      </c>
      <c r="BQ47" s="70">
        <f t="shared" si="21"/>
        <v>4.6875</v>
      </c>
      <c r="BR47" s="70" t="str">
        <f t="shared" si="22"/>
        <v>A</v>
      </c>
      <c r="BS47" s="124" t="str">
        <f t="shared" si="3"/>
        <v>BETTER</v>
      </c>
      <c r="BT47" s="125">
        <f t="shared" si="23"/>
        <v>661</v>
      </c>
      <c r="BU47" s="124"/>
      <c r="BV47" s="124"/>
    </row>
    <row r="48" spans="1:74" s="68" customFormat="1" ht="27.95" customHeight="1">
      <c r="A48" s="67">
        <v>41</v>
      </c>
      <c r="B48" s="37">
        <v>27</v>
      </c>
      <c r="C48" s="34" t="s">
        <v>235</v>
      </c>
      <c r="D48" s="34" t="s">
        <v>236</v>
      </c>
      <c r="E48" s="34" t="s">
        <v>237</v>
      </c>
      <c r="F48" s="51" t="s">
        <v>238</v>
      </c>
      <c r="G48" s="125">
        <v>13</v>
      </c>
      <c r="H48" s="124">
        <v>32</v>
      </c>
      <c r="I48" s="125">
        <f t="shared" si="24"/>
        <v>45</v>
      </c>
      <c r="J48" s="124">
        <v>26</v>
      </c>
      <c r="K48" s="125">
        <f t="shared" si="25"/>
        <v>71</v>
      </c>
      <c r="L48" s="124">
        <v>9</v>
      </c>
      <c r="M48" s="124">
        <v>29</v>
      </c>
      <c r="N48" s="125">
        <f t="shared" si="26"/>
        <v>38</v>
      </c>
      <c r="O48" s="125">
        <f t="shared" si="4"/>
        <v>38</v>
      </c>
      <c r="P48" s="125">
        <f t="shared" si="0"/>
        <v>109</v>
      </c>
      <c r="Q48" s="176"/>
      <c r="R48" s="124">
        <f t="shared" si="5"/>
        <v>4</v>
      </c>
      <c r="S48" s="134">
        <v>12</v>
      </c>
      <c r="T48" s="133">
        <v>56</v>
      </c>
      <c r="U48" s="125">
        <f t="shared" si="27"/>
        <v>68</v>
      </c>
      <c r="V48" s="133">
        <v>4</v>
      </c>
      <c r="W48" s="133">
        <v>20</v>
      </c>
      <c r="X48" s="125">
        <f t="shared" si="6"/>
        <v>24</v>
      </c>
      <c r="Y48" s="125">
        <f t="shared" si="7"/>
        <v>92</v>
      </c>
      <c r="Z48" s="125">
        <f t="shared" si="1"/>
        <v>92</v>
      </c>
      <c r="AA48" s="176"/>
      <c r="AB48" s="124">
        <f t="shared" si="8"/>
        <v>3.5</v>
      </c>
      <c r="AC48" s="134">
        <v>6</v>
      </c>
      <c r="AD48" s="133">
        <v>9</v>
      </c>
      <c r="AE48" s="135">
        <f t="shared" si="33"/>
        <v>15</v>
      </c>
      <c r="AF48" s="133">
        <v>8</v>
      </c>
      <c r="AG48" s="125">
        <f t="shared" si="9"/>
        <v>23</v>
      </c>
      <c r="AH48" s="176"/>
      <c r="AI48" s="124" t="str">
        <f t="shared" si="10"/>
        <v>F</v>
      </c>
      <c r="AJ48" s="134">
        <v>15</v>
      </c>
      <c r="AK48" s="133">
        <v>37</v>
      </c>
      <c r="AL48" s="135">
        <f t="shared" si="29"/>
        <v>52</v>
      </c>
      <c r="AM48" s="133">
        <v>22</v>
      </c>
      <c r="AN48" s="125">
        <f t="shared" si="11"/>
        <v>74</v>
      </c>
      <c r="AO48" s="176"/>
      <c r="AP48" s="124">
        <f t="shared" si="12"/>
        <v>4</v>
      </c>
      <c r="AQ48" s="124">
        <v>25</v>
      </c>
      <c r="AR48" s="124">
        <v>25</v>
      </c>
      <c r="AS48" s="124">
        <f t="shared" si="13"/>
        <v>50</v>
      </c>
      <c r="AT48" s="175"/>
      <c r="AU48" s="124">
        <f t="shared" si="14"/>
        <v>5</v>
      </c>
      <c r="AV48" s="134">
        <v>13</v>
      </c>
      <c r="AW48" s="133">
        <v>20</v>
      </c>
      <c r="AX48" s="135">
        <f t="shared" si="38"/>
        <v>33</v>
      </c>
      <c r="AY48" s="133">
        <v>21</v>
      </c>
      <c r="AZ48" s="125">
        <f t="shared" si="31"/>
        <v>54</v>
      </c>
      <c r="BA48" s="176"/>
      <c r="BB48" s="124">
        <f t="shared" si="15"/>
        <v>3</v>
      </c>
      <c r="BC48" s="134">
        <v>12</v>
      </c>
      <c r="BD48" s="133">
        <v>31</v>
      </c>
      <c r="BE48" s="135">
        <f t="shared" si="39"/>
        <v>43</v>
      </c>
      <c r="BF48" s="133">
        <v>14</v>
      </c>
      <c r="BG48" s="125">
        <f t="shared" si="16"/>
        <v>57</v>
      </c>
      <c r="BH48" s="176"/>
      <c r="BI48" s="124">
        <f t="shared" si="17"/>
        <v>3</v>
      </c>
      <c r="BJ48" s="134">
        <v>10</v>
      </c>
      <c r="BK48" s="133">
        <v>32</v>
      </c>
      <c r="BL48" s="125">
        <f t="shared" si="18"/>
        <v>42</v>
      </c>
      <c r="BM48" s="125">
        <f t="shared" si="19"/>
        <v>42</v>
      </c>
      <c r="BN48" s="176"/>
      <c r="BO48" s="124">
        <f t="shared" si="2"/>
        <v>5</v>
      </c>
      <c r="BP48" s="124" t="str">
        <f t="shared" si="20"/>
        <v>F</v>
      </c>
      <c r="BQ48" s="70" t="str">
        <f t="shared" si="21"/>
        <v>F</v>
      </c>
      <c r="BR48" s="70" t="str">
        <f t="shared" si="22"/>
        <v>F</v>
      </c>
      <c r="BS48" s="124" t="str">
        <f t="shared" si="3"/>
        <v>NEED TO PROGRESS</v>
      </c>
      <c r="BT48" s="125">
        <f t="shared" si="23"/>
        <v>501</v>
      </c>
      <c r="BU48" s="124"/>
      <c r="BV48" s="124"/>
    </row>
    <row r="49" spans="1:74" s="68" customFormat="1" ht="27.95" customHeight="1">
      <c r="A49" s="67">
        <v>42</v>
      </c>
      <c r="B49" s="37">
        <v>30</v>
      </c>
      <c r="C49" s="34" t="s">
        <v>239</v>
      </c>
      <c r="D49" s="34" t="s">
        <v>240</v>
      </c>
      <c r="E49" s="34" t="s">
        <v>241</v>
      </c>
      <c r="F49" s="51" t="s">
        <v>242</v>
      </c>
      <c r="G49" s="124">
        <v>5</v>
      </c>
      <c r="H49" s="124">
        <v>15</v>
      </c>
      <c r="I49" s="125">
        <f>H49+G49</f>
        <v>20</v>
      </c>
      <c r="J49" s="124">
        <v>27</v>
      </c>
      <c r="K49" s="125">
        <f t="shared" si="25"/>
        <v>47</v>
      </c>
      <c r="L49" s="124">
        <v>7</v>
      </c>
      <c r="M49" s="124">
        <v>24</v>
      </c>
      <c r="N49" s="125">
        <f t="shared" si="26"/>
        <v>31</v>
      </c>
      <c r="O49" s="125">
        <f t="shared" si="4"/>
        <v>31</v>
      </c>
      <c r="P49" s="125">
        <f t="shared" si="0"/>
        <v>78</v>
      </c>
      <c r="Q49" s="176"/>
      <c r="R49" s="124">
        <f t="shared" si="5"/>
        <v>3</v>
      </c>
      <c r="S49" s="71">
        <v>12</v>
      </c>
      <c r="T49" s="72">
        <v>48</v>
      </c>
      <c r="U49" s="73">
        <f t="shared" si="27"/>
        <v>60</v>
      </c>
      <c r="V49" s="72">
        <v>8</v>
      </c>
      <c r="W49" s="72">
        <v>15</v>
      </c>
      <c r="X49" s="125">
        <f t="shared" si="6"/>
        <v>23</v>
      </c>
      <c r="Y49" s="125">
        <f t="shared" si="7"/>
        <v>83</v>
      </c>
      <c r="Z49" s="125">
        <f t="shared" si="1"/>
        <v>83</v>
      </c>
      <c r="AA49" s="176"/>
      <c r="AB49" s="124">
        <f t="shared" si="8"/>
        <v>3</v>
      </c>
      <c r="AC49" s="71">
        <v>9</v>
      </c>
      <c r="AD49" s="72">
        <v>20</v>
      </c>
      <c r="AE49" s="73">
        <f t="shared" si="33"/>
        <v>29</v>
      </c>
      <c r="AF49" s="72">
        <v>13</v>
      </c>
      <c r="AG49" s="125">
        <f t="shared" si="9"/>
        <v>42</v>
      </c>
      <c r="AH49" s="176"/>
      <c r="AI49" s="124">
        <f t="shared" si="10"/>
        <v>2</v>
      </c>
      <c r="AJ49" s="71">
        <v>12</v>
      </c>
      <c r="AK49" s="72">
        <v>22</v>
      </c>
      <c r="AL49" s="73">
        <f t="shared" si="29"/>
        <v>34</v>
      </c>
      <c r="AM49" s="72">
        <v>19</v>
      </c>
      <c r="AN49" s="125">
        <f t="shared" si="11"/>
        <v>53</v>
      </c>
      <c r="AO49" s="176"/>
      <c r="AP49" s="124">
        <f t="shared" si="12"/>
        <v>3</v>
      </c>
      <c r="AQ49" s="124">
        <v>23</v>
      </c>
      <c r="AR49" s="124">
        <v>25</v>
      </c>
      <c r="AS49" s="124">
        <f t="shared" si="13"/>
        <v>48</v>
      </c>
      <c r="AT49" s="175"/>
      <c r="AU49" s="124">
        <f t="shared" si="14"/>
        <v>5</v>
      </c>
      <c r="AV49" s="71">
        <v>5</v>
      </c>
      <c r="AW49" s="72">
        <v>8</v>
      </c>
      <c r="AX49" s="73">
        <f t="shared" si="38"/>
        <v>13</v>
      </c>
      <c r="AY49" s="72">
        <v>27</v>
      </c>
      <c r="AZ49" s="125">
        <f t="shared" si="31"/>
        <v>40</v>
      </c>
      <c r="BA49" s="176"/>
      <c r="BB49" s="124">
        <f t="shared" si="15"/>
        <v>2</v>
      </c>
      <c r="BC49" s="71">
        <v>5</v>
      </c>
      <c r="BD49" s="72">
        <v>8</v>
      </c>
      <c r="BE49" s="73">
        <f t="shared" si="39"/>
        <v>13</v>
      </c>
      <c r="BF49" s="72">
        <v>27</v>
      </c>
      <c r="BG49" s="125">
        <f t="shared" si="16"/>
        <v>40</v>
      </c>
      <c r="BH49" s="176"/>
      <c r="BI49" s="124">
        <f t="shared" si="17"/>
        <v>2</v>
      </c>
      <c r="BJ49" s="71">
        <v>10</v>
      </c>
      <c r="BK49" s="72">
        <v>32</v>
      </c>
      <c r="BL49" s="125">
        <f t="shared" si="18"/>
        <v>42</v>
      </c>
      <c r="BM49" s="125">
        <f t="shared" si="19"/>
        <v>42</v>
      </c>
      <c r="BN49" s="176"/>
      <c r="BO49" s="124">
        <f t="shared" si="2"/>
        <v>5</v>
      </c>
      <c r="BP49" s="124">
        <f t="shared" si="20"/>
        <v>25</v>
      </c>
      <c r="BQ49" s="70">
        <f t="shared" si="21"/>
        <v>3.125</v>
      </c>
      <c r="BR49" s="70" t="str">
        <f t="shared" si="22"/>
        <v>B</v>
      </c>
      <c r="BS49" s="124" t="str">
        <f t="shared" si="3"/>
        <v>GOOD</v>
      </c>
      <c r="BT49" s="125">
        <f t="shared" si="23"/>
        <v>426</v>
      </c>
      <c r="BU49" s="124"/>
      <c r="BV49" s="124"/>
    </row>
    <row r="50" spans="1:74" s="68" customFormat="1" ht="27.95" customHeight="1">
      <c r="A50" s="67">
        <v>43</v>
      </c>
      <c r="B50" s="37">
        <v>32</v>
      </c>
      <c r="C50" s="34" t="s">
        <v>243</v>
      </c>
      <c r="D50" s="34" t="s">
        <v>244</v>
      </c>
      <c r="E50" s="34" t="s">
        <v>245</v>
      </c>
      <c r="F50" s="51" t="s">
        <v>246</v>
      </c>
      <c r="G50" s="124">
        <v>8</v>
      </c>
      <c r="H50" s="124">
        <v>23</v>
      </c>
      <c r="I50" s="125">
        <f>H50+G50</f>
        <v>31</v>
      </c>
      <c r="J50" s="124">
        <v>13</v>
      </c>
      <c r="K50" s="125">
        <f>I50+J50</f>
        <v>44</v>
      </c>
      <c r="L50" s="124">
        <v>6</v>
      </c>
      <c r="M50" s="124">
        <v>16</v>
      </c>
      <c r="N50" s="125">
        <f>M50+L50</f>
        <v>22</v>
      </c>
      <c r="O50" s="125">
        <f t="shared" si="4"/>
        <v>22</v>
      </c>
      <c r="P50" s="125">
        <f t="shared" si="0"/>
        <v>66</v>
      </c>
      <c r="Q50" s="176"/>
      <c r="R50" s="124">
        <f>IF(P50&lt;60,"F",IF(P50&lt;70,2,IF(P50&lt;95,3,IF(P50&lt;105,3.5,IF(P50&lt;120,4,5)))))</f>
        <v>2</v>
      </c>
      <c r="S50" s="71">
        <v>18</v>
      </c>
      <c r="T50" s="72">
        <v>38</v>
      </c>
      <c r="U50" s="73">
        <f t="shared" si="27"/>
        <v>56</v>
      </c>
      <c r="V50" s="72">
        <v>8</v>
      </c>
      <c r="W50" s="72">
        <v>21</v>
      </c>
      <c r="X50" s="125">
        <f>W50+V50</f>
        <v>29</v>
      </c>
      <c r="Y50" s="125">
        <f t="shared" si="7"/>
        <v>85</v>
      </c>
      <c r="Z50" s="125">
        <f t="shared" si="1"/>
        <v>85</v>
      </c>
      <c r="AA50" s="176"/>
      <c r="AB50" s="124">
        <f>IF(Z50&lt;60,"F",IF(Z50&lt;75,2,IF(Z50&lt;90,3,IF(Z50&lt;105,3.5,IF(Z50&lt;120,4,5)))))</f>
        <v>3</v>
      </c>
      <c r="AC50" s="71">
        <v>11</v>
      </c>
      <c r="AD50" s="72">
        <v>17</v>
      </c>
      <c r="AE50" s="73">
        <f t="shared" si="33"/>
        <v>28</v>
      </c>
      <c r="AF50" s="72">
        <v>12</v>
      </c>
      <c r="AG50" s="125">
        <f>AE50+AF50</f>
        <v>40</v>
      </c>
      <c r="AH50" s="176"/>
      <c r="AI50" s="124">
        <f>IF(AG50&lt;40,"F",IF(AG50&lt;50,2,IF(AG50&lt;60,3,IF(AG50&lt;70,3.5,IF(AG50&lt;80,4,5)))))</f>
        <v>2</v>
      </c>
      <c r="AJ50" s="71">
        <v>9</v>
      </c>
      <c r="AK50" s="72">
        <v>20</v>
      </c>
      <c r="AL50" s="73">
        <f t="shared" si="29"/>
        <v>29</v>
      </c>
      <c r="AM50" s="72">
        <v>19</v>
      </c>
      <c r="AN50" s="125">
        <f>+AL50+AM50</f>
        <v>48</v>
      </c>
      <c r="AO50" s="176"/>
      <c r="AP50" s="124">
        <f>IF(AN50&lt;40,"F",IF(AN50&lt;50,2,IF(AN50&lt;60,3,IF(AN50&lt;70,3.5,IF(AN50&lt;80,4,5)))))</f>
        <v>2</v>
      </c>
      <c r="AQ50" s="72">
        <v>20</v>
      </c>
      <c r="AR50" s="72">
        <v>25</v>
      </c>
      <c r="AS50" s="124">
        <f t="shared" si="13"/>
        <v>45</v>
      </c>
      <c r="AT50" s="175"/>
      <c r="AU50" s="124">
        <f>IF(AS50&lt;20,"F",IF(AS50&lt;25,2,IF(AS50&lt;30,3,IF(AS50&lt;35,3.5,IF(AS50&lt;40,4,5)))))</f>
        <v>5</v>
      </c>
      <c r="AV50" s="71">
        <v>10</v>
      </c>
      <c r="AW50" s="72">
        <v>15</v>
      </c>
      <c r="AX50" s="73">
        <f t="shared" si="38"/>
        <v>25</v>
      </c>
      <c r="AY50" s="72">
        <v>21</v>
      </c>
      <c r="AZ50" s="125">
        <f>AX50+AY50</f>
        <v>46</v>
      </c>
      <c r="BA50" s="176"/>
      <c r="BB50" s="124">
        <f>IF(AZ50&lt;40,"F",IF(AZ50&lt;50,2,IF(AZ50&lt;60,3,IF(AZ50&lt;70,3.5,IF(AZ50&lt;80,4,5)))))</f>
        <v>2</v>
      </c>
      <c r="BC50" s="71">
        <v>10</v>
      </c>
      <c r="BD50" s="72">
        <v>15</v>
      </c>
      <c r="BE50" s="73">
        <f t="shared" si="39"/>
        <v>25</v>
      </c>
      <c r="BF50" s="72">
        <v>21</v>
      </c>
      <c r="BG50" s="125">
        <f>BE50+BF50</f>
        <v>46</v>
      </c>
      <c r="BH50" s="176"/>
      <c r="BI50" s="124">
        <f>IF(BG50&lt;40,"F",IF(BG50&lt;50,2,IF(BG50&lt;60,3,IF(BG50&lt;70,3.5,IF(BG50&lt;80,4,5)))))</f>
        <v>2</v>
      </c>
      <c r="BJ50" s="71">
        <v>3</v>
      </c>
      <c r="BK50" s="72">
        <v>25</v>
      </c>
      <c r="BL50" s="125">
        <f>BK50+BJ50</f>
        <v>28</v>
      </c>
      <c r="BM50" s="125">
        <f t="shared" si="19"/>
        <v>28</v>
      </c>
      <c r="BN50" s="176"/>
      <c r="BO50" s="124">
        <f t="shared" si="2"/>
        <v>3</v>
      </c>
      <c r="BP50" s="124">
        <f t="shared" si="20"/>
        <v>21</v>
      </c>
      <c r="BQ50" s="70">
        <f t="shared" si="21"/>
        <v>2.625</v>
      </c>
      <c r="BR50" s="70" t="str">
        <f>IF(BQ50="F","F",IF(BQ50&lt;2.5,"D",IF(BQ50&lt;3,"C",IF(BQ50&lt;3.5,"B",IF(BQ50&lt;4,"A-",IF(BQ50&lt;5,"A","A+"))))))</f>
        <v>C</v>
      </c>
      <c r="BS50" s="124" t="str">
        <f t="shared" si="3"/>
        <v>GOOD</v>
      </c>
      <c r="BT50" s="125">
        <f t="shared" si="23"/>
        <v>404</v>
      </c>
      <c r="BU50" s="124"/>
      <c r="BV50" s="124"/>
    </row>
    <row r="51" spans="1:74" s="68" customFormat="1" ht="27.95" customHeight="1">
      <c r="A51" s="67">
        <v>44</v>
      </c>
      <c r="B51" s="37">
        <v>34</v>
      </c>
      <c r="C51" s="34" t="s">
        <v>247</v>
      </c>
      <c r="D51" s="34" t="s">
        <v>248</v>
      </c>
      <c r="E51" s="34" t="s">
        <v>77</v>
      </c>
      <c r="F51" s="51" t="s">
        <v>249</v>
      </c>
      <c r="G51" s="124">
        <v>5</v>
      </c>
      <c r="H51" s="124">
        <v>31</v>
      </c>
      <c r="I51" s="125">
        <f>H51+G51</f>
        <v>36</v>
      </c>
      <c r="J51" s="124">
        <v>23</v>
      </c>
      <c r="K51" s="125">
        <f>I51+J51</f>
        <v>59</v>
      </c>
      <c r="L51" s="124">
        <v>7</v>
      </c>
      <c r="M51" s="124">
        <v>25</v>
      </c>
      <c r="N51" s="125">
        <f>M51+L51</f>
        <v>32</v>
      </c>
      <c r="O51" s="125">
        <f t="shared" si="4"/>
        <v>32</v>
      </c>
      <c r="P51" s="125">
        <f t="shared" si="0"/>
        <v>91</v>
      </c>
      <c r="Q51" s="176"/>
      <c r="R51" s="124">
        <f t="shared" ref="R51:R88" si="40">IF(P51&lt;60,"F",IF(P51&lt;70,2,IF(P51&lt;95,3,IF(P51&lt;105,3.5,IF(P51&lt;120,4,5)))))</f>
        <v>3</v>
      </c>
      <c r="S51" s="71">
        <v>11</v>
      </c>
      <c r="T51" s="72">
        <v>36</v>
      </c>
      <c r="U51" s="73">
        <f t="shared" si="27"/>
        <v>47</v>
      </c>
      <c r="V51" s="72">
        <v>7</v>
      </c>
      <c r="W51" s="72">
        <v>18</v>
      </c>
      <c r="X51" s="125">
        <f t="shared" ref="X51:X88" si="41">W51+V51</f>
        <v>25</v>
      </c>
      <c r="Y51" s="125">
        <f>U51+X51</f>
        <v>72</v>
      </c>
      <c r="Z51" s="125">
        <f>Y51</f>
        <v>72</v>
      </c>
      <c r="AA51" s="176"/>
      <c r="AB51" s="124">
        <f t="shared" ref="AB51:AB88" si="42">IF(Z51&lt;60,"F",IF(Z51&lt;75,2,IF(Z51&lt;90,3,IF(Z51&lt;105,3.5,IF(Z51&lt;120,4,5)))))</f>
        <v>2</v>
      </c>
      <c r="AC51" s="71">
        <v>3</v>
      </c>
      <c r="AD51" s="72">
        <v>19</v>
      </c>
      <c r="AE51" s="73">
        <f t="shared" si="33"/>
        <v>22</v>
      </c>
      <c r="AF51" s="72">
        <v>9</v>
      </c>
      <c r="AG51" s="125">
        <f t="shared" ref="AG51:AG88" si="43">AE51+AF51</f>
        <v>31</v>
      </c>
      <c r="AH51" s="176"/>
      <c r="AI51" s="124" t="str">
        <f t="shared" ref="AI51:AI88" si="44">IF(AG51&lt;40,"F",IF(AG51&lt;50,2,IF(AG51&lt;60,3,IF(AG51&lt;70,3.5,IF(AG51&lt;80,4,5)))))</f>
        <v>F</v>
      </c>
      <c r="AJ51" s="71">
        <v>11</v>
      </c>
      <c r="AK51" s="72">
        <v>24</v>
      </c>
      <c r="AL51" s="73">
        <f t="shared" si="29"/>
        <v>35</v>
      </c>
      <c r="AM51" s="72">
        <v>23</v>
      </c>
      <c r="AN51" s="125">
        <f>AL51+AM51</f>
        <v>58</v>
      </c>
      <c r="AO51" s="176"/>
      <c r="AP51" s="124">
        <f t="shared" ref="AP51:AP88" si="45">IF(AN51&lt;40,"F",IF(AN51&lt;50,2,IF(AN51&lt;60,3,IF(AN51&lt;70,3.5,IF(AN51&lt;80,4,5)))))</f>
        <v>3</v>
      </c>
      <c r="AQ51" s="72">
        <v>21</v>
      </c>
      <c r="AR51" s="72">
        <v>25</v>
      </c>
      <c r="AS51" s="124">
        <f t="shared" si="13"/>
        <v>46</v>
      </c>
      <c r="AT51" s="175"/>
      <c r="AU51" s="124">
        <f t="shared" ref="AU51:AU88" si="46">IF(AS51&lt;20,"F",IF(AS51&lt;25,2,IF(AS51&lt;30,3,IF(AS51&lt;35,3.5,IF(AS51&lt;40,4,5)))))</f>
        <v>5</v>
      </c>
      <c r="AV51" s="71">
        <v>9</v>
      </c>
      <c r="AW51" s="72">
        <v>20</v>
      </c>
      <c r="AX51" s="73">
        <f t="shared" si="38"/>
        <v>29</v>
      </c>
      <c r="AY51" s="72">
        <v>16</v>
      </c>
      <c r="AZ51" s="125">
        <f t="shared" ref="AZ51:AZ88" si="47">AX51+AY51</f>
        <v>45</v>
      </c>
      <c r="BA51" s="176"/>
      <c r="BB51" s="124">
        <f t="shared" ref="BB51:BB88" si="48">IF(AZ51&lt;40,"F",IF(AZ51&lt;50,2,IF(AZ51&lt;60,3,IF(AZ51&lt;70,3.5,IF(AZ51&lt;80,4,5)))))</f>
        <v>2</v>
      </c>
      <c r="BC51" s="71">
        <v>9</v>
      </c>
      <c r="BD51" s="72">
        <v>20</v>
      </c>
      <c r="BE51" s="73">
        <f t="shared" si="39"/>
        <v>29</v>
      </c>
      <c r="BF51" s="72">
        <v>16</v>
      </c>
      <c r="BG51" s="125">
        <f t="shared" ref="BG51:BG88" si="49">BE51+BF51</f>
        <v>45</v>
      </c>
      <c r="BH51" s="176"/>
      <c r="BI51" s="124">
        <f t="shared" ref="BI51:BI88" si="50">IF(BG51&lt;40,"F",IF(BG51&lt;50,2,IF(BG51&lt;60,3,IF(BG51&lt;70,3.5,IF(BG51&lt;80,4,5)))))</f>
        <v>2</v>
      </c>
      <c r="BJ51" s="71">
        <v>4</v>
      </c>
      <c r="BK51" s="72">
        <v>25</v>
      </c>
      <c r="BL51" s="125">
        <f t="shared" ref="BL51:BL88" si="51">BK51+BJ51</f>
        <v>29</v>
      </c>
      <c r="BM51" s="125">
        <f t="shared" si="19"/>
        <v>29</v>
      </c>
      <c r="BN51" s="176"/>
      <c r="BO51" s="124">
        <f t="shared" si="2"/>
        <v>3</v>
      </c>
      <c r="BP51" s="124" t="str">
        <f t="shared" si="20"/>
        <v>F</v>
      </c>
      <c r="BQ51" s="70" t="str">
        <f t="shared" si="21"/>
        <v>F</v>
      </c>
      <c r="BR51" s="70" t="str">
        <f t="shared" ref="BR51:BR88" si="52">IF(BQ51="F","F",IF(BQ51&lt;2.5,"D",IF(BQ51&lt;3,"C",IF(BQ51&lt;3.5,"B",IF(BQ51&lt;4,"A-",IF(BQ51&lt;5,"A","A+"))))))</f>
        <v>F</v>
      </c>
      <c r="BS51" s="124" t="str">
        <f t="shared" si="3"/>
        <v>NEED TO PROGRESS</v>
      </c>
      <c r="BT51" s="125">
        <f t="shared" si="23"/>
        <v>417</v>
      </c>
      <c r="BU51" s="124"/>
      <c r="BV51" s="124"/>
    </row>
    <row r="52" spans="1:74" s="138" customFormat="1" ht="27.95" customHeight="1">
      <c r="A52" s="67">
        <v>45</v>
      </c>
      <c r="B52" s="37">
        <v>35</v>
      </c>
      <c r="C52" s="34" t="s">
        <v>250</v>
      </c>
      <c r="D52" s="34" t="s">
        <v>251</v>
      </c>
      <c r="E52" s="34" t="s">
        <v>252</v>
      </c>
      <c r="F52" s="51" t="s">
        <v>253</v>
      </c>
      <c r="G52" s="124">
        <v>9</v>
      </c>
      <c r="H52" s="124">
        <v>16</v>
      </c>
      <c r="I52" s="125">
        <f t="shared" ref="I52:I88" si="53">H52+G52</f>
        <v>25</v>
      </c>
      <c r="J52" s="124">
        <v>19</v>
      </c>
      <c r="K52" s="125">
        <f t="shared" ref="K52:K88" si="54">I52+J52</f>
        <v>44</v>
      </c>
      <c r="L52" s="124">
        <v>6</v>
      </c>
      <c r="M52" s="124">
        <v>16</v>
      </c>
      <c r="N52" s="125">
        <f t="shared" ref="N52:N88" si="55">M52+L52</f>
        <v>22</v>
      </c>
      <c r="O52" s="125">
        <f t="shared" si="4"/>
        <v>22</v>
      </c>
      <c r="P52" s="125">
        <f t="shared" si="0"/>
        <v>66</v>
      </c>
      <c r="Q52" s="176"/>
      <c r="R52" s="124">
        <f t="shared" si="40"/>
        <v>2</v>
      </c>
      <c r="S52" s="134">
        <v>18</v>
      </c>
      <c r="T52" s="133">
        <v>40</v>
      </c>
      <c r="U52" s="125">
        <f t="shared" ref="U52:U88" si="56">T52+S52</f>
        <v>58</v>
      </c>
      <c r="V52" s="133">
        <v>8</v>
      </c>
      <c r="W52" s="133">
        <v>7</v>
      </c>
      <c r="X52" s="125">
        <f t="shared" si="41"/>
        <v>15</v>
      </c>
      <c r="Y52" s="125">
        <f t="shared" ref="Y52:Y88" si="57">U52+X52</f>
        <v>73</v>
      </c>
      <c r="Z52" s="125">
        <f t="shared" ref="Z52:Z88" si="58">Y52</f>
        <v>73</v>
      </c>
      <c r="AA52" s="176"/>
      <c r="AB52" s="124">
        <f t="shared" si="42"/>
        <v>2</v>
      </c>
      <c r="AC52" s="134">
        <v>5</v>
      </c>
      <c r="AD52" s="133">
        <v>1</v>
      </c>
      <c r="AE52" s="135">
        <f t="shared" si="33"/>
        <v>6</v>
      </c>
      <c r="AF52" s="133">
        <v>6</v>
      </c>
      <c r="AG52" s="125">
        <f t="shared" si="43"/>
        <v>12</v>
      </c>
      <c r="AH52" s="176"/>
      <c r="AI52" s="124" t="str">
        <f t="shared" si="44"/>
        <v>F</v>
      </c>
      <c r="AJ52" s="134">
        <v>10</v>
      </c>
      <c r="AK52" s="133">
        <v>33</v>
      </c>
      <c r="AL52" s="135">
        <f t="shared" si="29"/>
        <v>43</v>
      </c>
      <c r="AM52" s="133">
        <v>17</v>
      </c>
      <c r="AN52" s="125">
        <f t="shared" ref="AN52:AN88" si="59">AL52+AM52</f>
        <v>60</v>
      </c>
      <c r="AO52" s="176"/>
      <c r="AP52" s="124">
        <f t="shared" si="45"/>
        <v>3.5</v>
      </c>
      <c r="AQ52" s="72">
        <v>23</v>
      </c>
      <c r="AR52" s="72">
        <v>25</v>
      </c>
      <c r="AS52" s="124">
        <f t="shared" si="13"/>
        <v>48</v>
      </c>
      <c r="AT52" s="175"/>
      <c r="AU52" s="124">
        <f t="shared" si="46"/>
        <v>5</v>
      </c>
      <c r="AV52" s="134">
        <v>8</v>
      </c>
      <c r="AW52" s="133">
        <v>33</v>
      </c>
      <c r="AX52" s="135">
        <f t="shared" si="38"/>
        <v>41</v>
      </c>
      <c r="AY52" s="133">
        <v>13</v>
      </c>
      <c r="AZ52" s="125">
        <f t="shared" si="47"/>
        <v>54</v>
      </c>
      <c r="BA52" s="176"/>
      <c r="BB52" s="124">
        <f t="shared" si="48"/>
        <v>3</v>
      </c>
      <c r="BC52" s="134">
        <v>17</v>
      </c>
      <c r="BD52" s="133">
        <v>20</v>
      </c>
      <c r="BE52" s="135">
        <f t="shared" si="39"/>
        <v>37</v>
      </c>
      <c r="BF52" s="133">
        <v>12</v>
      </c>
      <c r="BG52" s="125">
        <f t="shared" si="49"/>
        <v>49</v>
      </c>
      <c r="BH52" s="176"/>
      <c r="BI52" s="124">
        <f t="shared" si="50"/>
        <v>2</v>
      </c>
      <c r="BJ52" s="134">
        <v>10</v>
      </c>
      <c r="BK52" s="133">
        <v>28</v>
      </c>
      <c r="BL52" s="125">
        <f t="shared" si="51"/>
        <v>38</v>
      </c>
      <c r="BM52" s="125">
        <f t="shared" si="19"/>
        <v>38</v>
      </c>
      <c r="BN52" s="176"/>
      <c r="BO52" s="124">
        <f t="shared" si="2"/>
        <v>4</v>
      </c>
      <c r="BP52" s="124" t="str">
        <f t="shared" si="20"/>
        <v>F</v>
      </c>
      <c r="BQ52" s="70" t="str">
        <f t="shared" si="21"/>
        <v>F</v>
      </c>
      <c r="BR52" s="70" t="str">
        <f t="shared" si="52"/>
        <v>F</v>
      </c>
      <c r="BS52" s="124" t="str">
        <f t="shared" si="3"/>
        <v>NEED TO PROGRESS</v>
      </c>
      <c r="BT52" s="125">
        <f t="shared" si="23"/>
        <v>400</v>
      </c>
      <c r="BU52" s="124"/>
      <c r="BV52" s="124"/>
    </row>
    <row r="53" spans="1:74" s="68" customFormat="1" ht="27.95" customHeight="1">
      <c r="A53" s="67">
        <v>46</v>
      </c>
      <c r="B53" s="37">
        <v>36</v>
      </c>
      <c r="C53" s="34" t="s">
        <v>254</v>
      </c>
      <c r="D53" s="34" t="s">
        <v>255</v>
      </c>
      <c r="E53" s="34" t="s">
        <v>256</v>
      </c>
      <c r="F53" s="51" t="s">
        <v>257</v>
      </c>
      <c r="G53" s="124">
        <v>5</v>
      </c>
      <c r="H53" s="124">
        <v>6</v>
      </c>
      <c r="I53" s="125">
        <f t="shared" si="53"/>
        <v>11</v>
      </c>
      <c r="J53" s="124">
        <v>16</v>
      </c>
      <c r="K53" s="125">
        <f t="shared" si="54"/>
        <v>27</v>
      </c>
      <c r="L53" s="124">
        <v>2</v>
      </c>
      <c r="M53" s="124">
        <v>20</v>
      </c>
      <c r="N53" s="125">
        <f t="shared" si="55"/>
        <v>22</v>
      </c>
      <c r="O53" s="125">
        <f t="shared" si="4"/>
        <v>22</v>
      </c>
      <c r="P53" s="125">
        <f t="shared" si="0"/>
        <v>49</v>
      </c>
      <c r="Q53" s="176"/>
      <c r="R53" s="124" t="str">
        <f t="shared" si="40"/>
        <v>F</v>
      </c>
      <c r="S53" s="71">
        <v>5</v>
      </c>
      <c r="T53" s="72">
        <v>35</v>
      </c>
      <c r="U53" s="73">
        <f t="shared" si="56"/>
        <v>40</v>
      </c>
      <c r="V53" s="72">
        <v>0</v>
      </c>
      <c r="W53" s="72">
        <v>20</v>
      </c>
      <c r="X53" s="125">
        <f t="shared" si="41"/>
        <v>20</v>
      </c>
      <c r="Y53" s="125">
        <f t="shared" si="57"/>
        <v>60</v>
      </c>
      <c r="Z53" s="125">
        <f t="shared" si="58"/>
        <v>60</v>
      </c>
      <c r="AA53" s="176"/>
      <c r="AB53" s="124">
        <f t="shared" si="42"/>
        <v>2</v>
      </c>
      <c r="AC53" s="71">
        <v>0</v>
      </c>
      <c r="AD53" s="72">
        <v>9</v>
      </c>
      <c r="AE53" s="73">
        <f t="shared" si="33"/>
        <v>9</v>
      </c>
      <c r="AF53" s="72">
        <v>7</v>
      </c>
      <c r="AG53" s="125">
        <f t="shared" si="43"/>
        <v>16</v>
      </c>
      <c r="AH53" s="176"/>
      <c r="AI53" s="124" t="str">
        <f t="shared" si="44"/>
        <v>F</v>
      </c>
      <c r="AJ53" s="71">
        <v>0</v>
      </c>
      <c r="AK53" s="72">
        <v>24</v>
      </c>
      <c r="AL53" s="73">
        <f t="shared" si="29"/>
        <v>24</v>
      </c>
      <c r="AM53" s="72">
        <v>20</v>
      </c>
      <c r="AN53" s="125">
        <f t="shared" si="59"/>
        <v>44</v>
      </c>
      <c r="AO53" s="176"/>
      <c r="AP53" s="124">
        <f t="shared" si="45"/>
        <v>2</v>
      </c>
      <c r="AQ53" s="124">
        <v>12</v>
      </c>
      <c r="AR53" s="124">
        <v>25</v>
      </c>
      <c r="AS53" s="124">
        <f t="shared" si="13"/>
        <v>37</v>
      </c>
      <c r="AT53" s="175"/>
      <c r="AU53" s="124">
        <f t="shared" si="46"/>
        <v>4</v>
      </c>
      <c r="AV53" s="71">
        <v>4</v>
      </c>
      <c r="AW53" s="72">
        <v>1</v>
      </c>
      <c r="AX53" s="73">
        <f t="shared" si="38"/>
        <v>5</v>
      </c>
      <c r="AY53" s="72">
        <v>9</v>
      </c>
      <c r="AZ53" s="125">
        <f t="shared" si="47"/>
        <v>14</v>
      </c>
      <c r="BA53" s="176"/>
      <c r="BB53" s="124" t="str">
        <f t="shared" si="48"/>
        <v>F</v>
      </c>
      <c r="BC53" s="71">
        <v>4</v>
      </c>
      <c r="BD53" s="72">
        <v>1</v>
      </c>
      <c r="BE53" s="73">
        <f t="shared" si="39"/>
        <v>5</v>
      </c>
      <c r="BF53" s="72">
        <v>9</v>
      </c>
      <c r="BG53" s="125">
        <f t="shared" si="49"/>
        <v>14</v>
      </c>
      <c r="BH53" s="176"/>
      <c r="BI53" s="124" t="str">
        <f t="shared" si="50"/>
        <v>F</v>
      </c>
      <c r="BJ53" s="71">
        <v>3</v>
      </c>
      <c r="BK53" s="72">
        <v>28</v>
      </c>
      <c r="BL53" s="125">
        <f t="shared" si="51"/>
        <v>31</v>
      </c>
      <c r="BM53" s="125">
        <f t="shared" si="19"/>
        <v>31</v>
      </c>
      <c r="BN53" s="176"/>
      <c r="BO53" s="124">
        <f t="shared" si="2"/>
        <v>3.5</v>
      </c>
      <c r="BP53" s="124" t="str">
        <f t="shared" si="20"/>
        <v>F</v>
      </c>
      <c r="BQ53" s="70" t="str">
        <f t="shared" si="21"/>
        <v>F</v>
      </c>
      <c r="BR53" s="70" t="str">
        <f t="shared" si="52"/>
        <v>F</v>
      </c>
      <c r="BS53" s="124" t="str">
        <f t="shared" si="3"/>
        <v>NEED TO PROGRESS</v>
      </c>
      <c r="BT53" s="125">
        <f t="shared" si="23"/>
        <v>265</v>
      </c>
      <c r="BU53" s="124"/>
      <c r="BV53" s="124"/>
    </row>
    <row r="54" spans="1:74" s="68" customFormat="1" ht="27.95" customHeight="1">
      <c r="A54" s="67">
        <v>47</v>
      </c>
      <c r="B54" s="37">
        <v>37</v>
      </c>
      <c r="C54" s="34" t="s">
        <v>258</v>
      </c>
      <c r="D54" s="34" t="s">
        <v>259</v>
      </c>
      <c r="E54" s="34" t="s">
        <v>260</v>
      </c>
      <c r="F54" s="51" t="s">
        <v>261</v>
      </c>
      <c r="G54" s="124">
        <v>12</v>
      </c>
      <c r="H54" s="124">
        <v>18</v>
      </c>
      <c r="I54" s="125">
        <f t="shared" si="53"/>
        <v>30</v>
      </c>
      <c r="J54" s="124">
        <v>17</v>
      </c>
      <c r="K54" s="125">
        <f t="shared" si="54"/>
        <v>47</v>
      </c>
      <c r="L54" s="124">
        <v>6</v>
      </c>
      <c r="M54" s="124">
        <v>16</v>
      </c>
      <c r="N54" s="125">
        <f t="shared" si="55"/>
        <v>22</v>
      </c>
      <c r="O54" s="125">
        <f t="shared" si="4"/>
        <v>22</v>
      </c>
      <c r="P54" s="125">
        <f t="shared" si="0"/>
        <v>69</v>
      </c>
      <c r="Q54" s="176"/>
      <c r="R54" s="124">
        <f t="shared" si="40"/>
        <v>2</v>
      </c>
      <c r="S54" s="134">
        <v>17</v>
      </c>
      <c r="T54" s="133">
        <v>37</v>
      </c>
      <c r="U54" s="125">
        <f t="shared" si="56"/>
        <v>54</v>
      </c>
      <c r="V54" s="124">
        <v>4</v>
      </c>
      <c r="W54" s="124">
        <v>14</v>
      </c>
      <c r="X54" s="125">
        <f t="shared" si="41"/>
        <v>18</v>
      </c>
      <c r="Y54" s="125">
        <f t="shared" si="57"/>
        <v>72</v>
      </c>
      <c r="Z54" s="125">
        <f t="shared" si="58"/>
        <v>72</v>
      </c>
      <c r="AA54" s="176"/>
      <c r="AB54" s="124">
        <f t="shared" si="42"/>
        <v>2</v>
      </c>
      <c r="AC54" s="134">
        <v>10</v>
      </c>
      <c r="AD54" s="133">
        <v>20</v>
      </c>
      <c r="AE54" s="135">
        <f t="shared" si="33"/>
        <v>30</v>
      </c>
      <c r="AF54" s="133">
        <v>12</v>
      </c>
      <c r="AG54" s="125">
        <f t="shared" si="43"/>
        <v>42</v>
      </c>
      <c r="AH54" s="176"/>
      <c r="AI54" s="124">
        <f t="shared" si="44"/>
        <v>2</v>
      </c>
      <c r="AJ54" s="134">
        <v>18</v>
      </c>
      <c r="AK54" s="133">
        <v>39</v>
      </c>
      <c r="AL54" s="135">
        <f t="shared" si="29"/>
        <v>57</v>
      </c>
      <c r="AM54" s="133">
        <v>28</v>
      </c>
      <c r="AN54" s="125">
        <f t="shared" si="59"/>
        <v>85</v>
      </c>
      <c r="AO54" s="176"/>
      <c r="AP54" s="124">
        <f t="shared" si="45"/>
        <v>5</v>
      </c>
      <c r="AQ54" s="124">
        <v>23</v>
      </c>
      <c r="AR54" s="124">
        <v>25</v>
      </c>
      <c r="AS54" s="124">
        <f t="shared" si="13"/>
        <v>48</v>
      </c>
      <c r="AT54" s="175"/>
      <c r="AU54" s="124">
        <f t="shared" si="46"/>
        <v>5</v>
      </c>
      <c r="AV54" s="134">
        <v>11</v>
      </c>
      <c r="AW54" s="133">
        <v>20</v>
      </c>
      <c r="AX54" s="135">
        <f t="shared" si="38"/>
        <v>31</v>
      </c>
      <c r="AY54" s="133">
        <v>21</v>
      </c>
      <c r="AZ54" s="125">
        <f t="shared" si="47"/>
        <v>52</v>
      </c>
      <c r="BA54" s="176"/>
      <c r="BB54" s="124">
        <f t="shared" si="48"/>
        <v>3</v>
      </c>
      <c r="BC54" s="134">
        <v>9</v>
      </c>
      <c r="BD54" s="133">
        <v>20</v>
      </c>
      <c r="BE54" s="135">
        <f t="shared" si="39"/>
        <v>29</v>
      </c>
      <c r="BF54" s="133">
        <v>12</v>
      </c>
      <c r="BG54" s="125">
        <f t="shared" si="49"/>
        <v>41</v>
      </c>
      <c r="BH54" s="176"/>
      <c r="BI54" s="124">
        <f t="shared" si="50"/>
        <v>2</v>
      </c>
      <c r="BJ54" s="134">
        <v>10</v>
      </c>
      <c r="BK54" s="133">
        <v>28</v>
      </c>
      <c r="BL54" s="125">
        <f t="shared" si="51"/>
        <v>38</v>
      </c>
      <c r="BM54" s="125">
        <f t="shared" si="19"/>
        <v>38</v>
      </c>
      <c r="BN54" s="176"/>
      <c r="BO54" s="124">
        <f t="shared" si="2"/>
        <v>4</v>
      </c>
      <c r="BP54" s="124">
        <f t="shared" si="20"/>
        <v>25</v>
      </c>
      <c r="BQ54" s="70">
        <f t="shared" si="21"/>
        <v>3.125</v>
      </c>
      <c r="BR54" s="70" t="str">
        <f t="shared" si="52"/>
        <v>B</v>
      </c>
      <c r="BS54" s="124" t="str">
        <f t="shared" si="3"/>
        <v>GOOD</v>
      </c>
      <c r="BT54" s="125">
        <f t="shared" si="23"/>
        <v>447</v>
      </c>
      <c r="BU54" s="124"/>
      <c r="BV54" s="124"/>
    </row>
    <row r="55" spans="1:74" s="68" customFormat="1" ht="27.95" customHeight="1">
      <c r="A55" s="67">
        <v>48</v>
      </c>
      <c r="B55" s="37">
        <v>39</v>
      </c>
      <c r="C55" s="34" t="s">
        <v>262</v>
      </c>
      <c r="D55" s="34" t="s">
        <v>263</v>
      </c>
      <c r="E55" s="34" t="s">
        <v>264</v>
      </c>
      <c r="F55" s="51" t="s">
        <v>265</v>
      </c>
      <c r="G55" s="124">
        <v>11</v>
      </c>
      <c r="H55" s="124">
        <v>22</v>
      </c>
      <c r="I55" s="125">
        <f t="shared" si="53"/>
        <v>33</v>
      </c>
      <c r="J55" s="124">
        <v>10</v>
      </c>
      <c r="K55" s="125">
        <f t="shared" si="54"/>
        <v>43</v>
      </c>
      <c r="L55" s="124">
        <v>6</v>
      </c>
      <c r="M55" s="124">
        <v>16</v>
      </c>
      <c r="N55" s="125">
        <f t="shared" si="55"/>
        <v>22</v>
      </c>
      <c r="O55" s="125">
        <f t="shared" si="4"/>
        <v>22</v>
      </c>
      <c r="P55" s="125">
        <f t="shared" si="0"/>
        <v>65</v>
      </c>
      <c r="Q55" s="176"/>
      <c r="R55" s="124">
        <f t="shared" si="40"/>
        <v>2</v>
      </c>
      <c r="S55" s="134">
        <v>10</v>
      </c>
      <c r="T55" s="133">
        <v>32</v>
      </c>
      <c r="U55" s="125">
        <f t="shared" si="56"/>
        <v>42</v>
      </c>
      <c r="V55" s="133">
        <v>4</v>
      </c>
      <c r="W55" s="133">
        <v>7</v>
      </c>
      <c r="X55" s="125">
        <f t="shared" si="41"/>
        <v>11</v>
      </c>
      <c r="Y55" s="125">
        <f t="shared" si="57"/>
        <v>53</v>
      </c>
      <c r="Z55" s="125">
        <f t="shared" si="58"/>
        <v>53</v>
      </c>
      <c r="AA55" s="176"/>
      <c r="AB55" s="124" t="str">
        <f t="shared" si="42"/>
        <v>F</v>
      </c>
      <c r="AC55" s="134">
        <v>4</v>
      </c>
      <c r="AD55" s="133">
        <v>6</v>
      </c>
      <c r="AE55" s="135">
        <f t="shared" si="33"/>
        <v>10</v>
      </c>
      <c r="AF55" s="133">
        <v>10</v>
      </c>
      <c r="AG55" s="125">
        <f t="shared" si="43"/>
        <v>20</v>
      </c>
      <c r="AH55" s="176"/>
      <c r="AI55" s="124" t="str">
        <f t="shared" si="44"/>
        <v>F</v>
      </c>
      <c r="AJ55" s="134">
        <v>13</v>
      </c>
      <c r="AK55" s="133">
        <v>21</v>
      </c>
      <c r="AL55" s="135">
        <f t="shared" si="29"/>
        <v>34</v>
      </c>
      <c r="AM55" s="133">
        <v>16</v>
      </c>
      <c r="AN55" s="125">
        <f t="shared" si="59"/>
        <v>50</v>
      </c>
      <c r="AO55" s="176"/>
      <c r="AP55" s="124">
        <f t="shared" si="45"/>
        <v>3</v>
      </c>
      <c r="AQ55" s="133">
        <v>20</v>
      </c>
      <c r="AR55" s="133">
        <v>25</v>
      </c>
      <c r="AS55" s="124">
        <f t="shared" si="13"/>
        <v>45</v>
      </c>
      <c r="AT55" s="175"/>
      <c r="AU55" s="124">
        <f t="shared" si="46"/>
        <v>5</v>
      </c>
      <c r="AV55" s="134">
        <v>8</v>
      </c>
      <c r="AW55" s="133">
        <v>1</v>
      </c>
      <c r="AX55" s="135">
        <f t="shared" si="38"/>
        <v>9</v>
      </c>
      <c r="AY55" s="133">
        <v>16</v>
      </c>
      <c r="AZ55" s="125">
        <f t="shared" si="47"/>
        <v>25</v>
      </c>
      <c r="BA55" s="176"/>
      <c r="BB55" s="124" t="str">
        <f t="shared" si="48"/>
        <v>F</v>
      </c>
      <c r="BC55" s="134">
        <v>9</v>
      </c>
      <c r="BD55" s="133">
        <v>19</v>
      </c>
      <c r="BE55" s="135">
        <f t="shared" si="39"/>
        <v>28</v>
      </c>
      <c r="BF55" s="133">
        <v>12</v>
      </c>
      <c r="BG55" s="125">
        <f t="shared" si="49"/>
        <v>40</v>
      </c>
      <c r="BH55" s="176"/>
      <c r="BI55" s="124">
        <f t="shared" si="50"/>
        <v>2</v>
      </c>
      <c r="BJ55" s="134">
        <v>10</v>
      </c>
      <c r="BK55" s="133">
        <v>32</v>
      </c>
      <c r="BL55" s="125">
        <f t="shared" si="51"/>
        <v>42</v>
      </c>
      <c r="BM55" s="125">
        <f t="shared" si="19"/>
        <v>42</v>
      </c>
      <c r="BN55" s="176"/>
      <c r="BO55" s="124">
        <f t="shared" si="2"/>
        <v>5</v>
      </c>
      <c r="BP55" s="124" t="str">
        <f t="shared" si="20"/>
        <v>F</v>
      </c>
      <c r="BQ55" s="70" t="str">
        <f t="shared" si="21"/>
        <v>F</v>
      </c>
      <c r="BR55" s="70" t="str">
        <f t="shared" si="52"/>
        <v>F</v>
      </c>
      <c r="BS55" s="124" t="str">
        <f t="shared" si="3"/>
        <v>NEED TO PROGRESS</v>
      </c>
      <c r="BT55" s="125">
        <f t="shared" si="23"/>
        <v>340</v>
      </c>
      <c r="BU55" s="124"/>
      <c r="BV55" s="124"/>
    </row>
    <row r="56" spans="1:74" s="68" customFormat="1" ht="27.95" customHeight="1">
      <c r="A56" s="67">
        <v>49</v>
      </c>
      <c r="B56" s="37">
        <v>41</v>
      </c>
      <c r="C56" s="34" t="s">
        <v>266</v>
      </c>
      <c r="D56" s="34" t="s">
        <v>267</v>
      </c>
      <c r="E56" s="34" t="s">
        <v>268</v>
      </c>
      <c r="F56" s="51" t="s">
        <v>269</v>
      </c>
      <c r="G56" s="124">
        <v>9</v>
      </c>
      <c r="H56" s="124">
        <v>10</v>
      </c>
      <c r="I56" s="125">
        <f t="shared" si="53"/>
        <v>19</v>
      </c>
      <c r="J56" s="124">
        <v>26</v>
      </c>
      <c r="K56" s="125">
        <f t="shared" si="54"/>
        <v>45</v>
      </c>
      <c r="L56" s="124">
        <v>6</v>
      </c>
      <c r="M56" s="124">
        <v>21</v>
      </c>
      <c r="N56" s="125">
        <f t="shared" si="55"/>
        <v>27</v>
      </c>
      <c r="O56" s="125">
        <f t="shared" si="4"/>
        <v>27</v>
      </c>
      <c r="P56" s="125">
        <f t="shared" si="0"/>
        <v>72</v>
      </c>
      <c r="Q56" s="176"/>
      <c r="R56" s="124">
        <f t="shared" si="40"/>
        <v>3</v>
      </c>
      <c r="S56" s="134">
        <v>11</v>
      </c>
      <c r="T56" s="133">
        <v>36</v>
      </c>
      <c r="U56" s="125">
        <f t="shared" si="56"/>
        <v>47</v>
      </c>
      <c r="V56" s="133">
        <v>4</v>
      </c>
      <c r="W56" s="133">
        <v>15</v>
      </c>
      <c r="X56" s="125">
        <f t="shared" si="41"/>
        <v>19</v>
      </c>
      <c r="Y56" s="125">
        <f t="shared" si="57"/>
        <v>66</v>
      </c>
      <c r="Z56" s="125">
        <f t="shared" si="58"/>
        <v>66</v>
      </c>
      <c r="AA56" s="176"/>
      <c r="AB56" s="124">
        <f t="shared" si="42"/>
        <v>2</v>
      </c>
      <c r="AC56" s="134">
        <v>7</v>
      </c>
      <c r="AD56" s="133">
        <v>18</v>
      </c>
      <c r="AE56" s="135">
        <f t="shared" si="33"/>
        <v>25</v>
      </c>
      <c r="AF56" s="133">
        <v>15</v>
      </c>
      <c r="AG56" s="125">
        <f t="shared" si="43"/>
        <v>40</v>
      </c>
      <c r="AH56" s="176"/>
      <c r="AI56" s="124">
        <f t="shared" si="44"/>
        <v>2</v>
      </c>
      <c r="AJ56" s="134">
        <v>12</v>
      </c>
      <c r="AK56" s="133">
        <v>29</v>
      </c>
      <c r="AL56" s="135">
        <f t="shared" si="29"/>
        <v>41</v>
      </c>
      <c r="AM56" s="133">
        <v>26</v>
      </c>
      <c r="AN56" s="125">
        <f t="shared" si="59"/>
        <v>67</v>
      </c>
      <c r="AO56" s="176"/>
      <c r="AP56" s="124">
        <f t="shared" si="45"/>
        <v>3.5</v>
      </c>
      <c r="AQ56" s="133">
        <v>22</v>
      </c>
      <c r="AR56" s="133">
        <v>25</v>
      </c>
      <c r="AS56" s="124">
        <f t="shared" si="13"/>
        <v>47</v>
      </c>
      <c r="AT56" s="175"/>
      <c r="AU56" s="124">
        <f t="shared" si="46"/>
        <v>5</v>
      </c>
      <c r="AV56" s="134">
        <v>11</v>
      </c>
      <c r="AW56" s="133">
        <v>20</v>
      </c>
      <c r="AX56" s="135">
        <f t="shared" si="38"/>
        <v>31</v>
      </c>
      <c r="AY56" s="133">
        <v>18</v>
      </c>
      <c r="AZ56" s="125">
        <f t="shared" si="47"/>
        <v>49</v>
      </c>
      <c r="BA56" s="176"/>
      <c r="BB56" s="124">
        <f t="shared" si="48"/>
        <v>2</v>
      </c>
      <c r="BC56" s="134">
        <v>12</v>
      </c>
      <c r="BD56" s="133">
        <v>19</v>
      </c>
      <c r="BE56" s="135">
        <f t="shared" si="39"/>
        <v>31</v>
      </c>
      <c r="BF56" s="133">
        <v>27</v>
      </c>
      <c r="BG56" s="125">
        <f t="shared" si="49"/>
        <v>58</v>
      </c>
      <c r="BH56" s="176"/>
      <c r="BI56" s="124">
        <f t="shared" si="50"/>
        <v>3</v>
      </c>
      <c r="BJ56" s="134">
        <v>10</v>
      </c>
      <c r="BK56" s="133">
        <v>24</v>
      </c>
      <c r="BL56" s="125">
        <f t="shared" si="51"/>
        <v>34</v>
      </c>
      <c r="BM56" s="125">
        <f t="shared" si="19"/>
        <v>34</v>
      </c>
      <c r="BN56" s="176"/>
      <c r="BO56" s="124">
        <f t="shared" si="2"/>
        <v>3.5</v>
      </c>
      <c r="BP56" s="124">
        <f t="shared" si="20"/>
        <v>24</v>
      </c>
      <c r="BQ56" s="70">
        <f t="shared" si="21"/>
        <v>3</v>
      </c>
      <c r="BR56" s="70" t="str">
        <f t="shared" si="52"/>
        <v>B</v>
      </c>
      <c r="BS56" s="124" t="str">
        <f t="shared" si="3"/>
        <v>GOOD</v>
      </c>
      <c r="BT56" s="125">
        <f t="shared" si="23"/>
        <v>433</v>
      </c>
      <c r="BU56" s="124"/>
      <c r="BV56" s="124"/>
    </row>
    <row r="57" spans="1:74" s="68" customFormat="1" ht="27.95" customHeight="1">
      <c r="A57" s="67">
        <v>50</v>
      </c>
      <c r="B57" s="37">
        <v>43</v>
      </c>
      <c r="C57" s="34" t="s">
        <v>270</v>
      </c>
      <c r="D57" s="34" t="s">
        <v>271</v>
      </c>
      <c r="E57" s="136" t="s">
        <v>272</v>
      </c>
      <c r="F57" s="51" t="s">
        <v>273</v>
      </c>
      <c r="G57" s="124">
        <v>8</v>
      </c>
      <c r="H57" s="124">
        <v>18</v>
      </c>
      <c r="I57" s="125">
        <f t="shared" si="53"/>
        <v>26</v>
      </c>
      <c r="J57" s="124">
        <v>17</v>
      </c>
      <c r="K57" s="125">
        <f t="shared" si="54"/>
        <v>43</v>
      </c>
      <c r="L57" s="124">
        <v>7</v>
      </c>
      <c r="M57" s="124">
        <v>18</v>
      </c>
      <c r="N57" s="125">
        <f t="shared" si="55"/>
        <v>25</v>
      </c>
      <c r="O57" s="125">
        <f t="shared" si="4"/>
        <v>25</v>
      </c>
      <c r="P57" s="125">
        <f t="shared" si="0"/>
        <v>68</v>
      </c>
      <c r="Q57" s="176"/>
      <c r="R57" s="124">
        <f t="shared" si="40"/>
        <v>2</v>
      </c>
      <c r="S57" s="134">
        <v>16</v>
      </c>
      <c r="T57" s="133">
        <v>33</v>
      </c>
      <c r="U57" s="125">
        <f t="shared" si="56"/>
        <v>49</v>
      </c>
      <c r="V57" s="133">
        <v>4</v>
      </c>
      <c r="W57" s="133">
        <v>16</v>
      </c>
      <c r="X57" s="125">
        <f t="shared" si="41"/>
        <v>20</v>
      </c>
      <c r="Y57" s="125">
        <f t="shared" si="57"/>
        <v>69</v>
      </c>
      <c r="Z57" s="125">
        <f t="shared" si="58"/>
        <v>69</v>
      </c>
      <c r="AA57" s="176"/>
      <c r="AB57" s="124">
        <f t="shared" si="42"/>
        <v>2</v>
      </c>
      <c r="AC57" s="134">
        <v>10</v>
      </c>
      <c r="AD57" s="133">
        <v>8</v>
      </c>
      <c r="AE57" s="135">
        <f t="shared" si="33"/>
        <v>18</v>
      </c>
      <c r="AF57" s="133">
        <v>10</v>
      </c>
      <c r="AG57" s="125">
        <f t="shared" si="43"/>
        <v>28</v>
      </c>
      <c r="AH57" s="176"/>
      <c r="AI57" s="124" t="str">
        <f t="shared" si="44"/>
        <v>F</v>
      </c>
      <c r="AJ57" s="134">
        <v>8</v>
      </c>
      <c r="AK57" s="133">
        <v>21</v>
      </c>
      <c r="AL57" s="135">
        <f t="shared" si="29"/>
        <v>29</v>
      </c>
      <c r="AM57" s="133">
        <v>28</v>
      </c>
      <c r="AN57" s="125">
        <f t="shared" si="59"/>
        <v>57</v>
      </c>
      <c r="AO57" s="176"/>
      <c r="AP57" s="124">
        <f t="shared" si="45"/>
        <v>3</v>
      </c>
      <c r="AQ57" s="124">
        <v>23</v>
      </c>
      <c r="AR57" s="124">
        <v>25</v>
      </c>
      <c r="AS57" s="124">
        <f t="shared" si="13"/>
        <v>48</v>
      </c>
      <c r="AT57" s="175"/>
      <c r="AU57" s="124">
        <f t="shared" si="46"/>
        <v>5</v>
      </c>
      <c r="AV57" s="134">
        <v>11</v>
      </c>
      <c r="AW57" s="133">
        <v>20</v>
      </c>
      <c r="AX57" s="135">
        <f t="shared" si="38"/>
        <v>31</v>
      </c>
      <c r="AY57" s="133">
        <v>14</v>
      </c>
      <c r="AZ57" s="125">
        <f t="shared" si="47"/>
        <v>45</v>
      </c>
      <c r="BA57" s="176"/>
      <c r="BB57" s="124">
        <f t="shared" si="48"/>
        <v>2</v>
      </c>
      <c r="BC57" s="134">
        <v>10</v>
      </c>
      <c r="BD57" s="133">
        <v>18</v>
      </c>
      <c r="BE57" s="135">
        <f t="shared" si="39"/>
        <v>28</v>
      </c>
      <c r="BF57" s="133">
        <v>24</v>
      </c>
      <c r="BG57" s="125">
        <f t="shared" si="49"/>
        <v>52</v>
      </c>
      <c r="BH57" s="176"/>
      <c r="BI57" s="124">
        <f t="shared" si="50"/>
        <v>3</v>
      </c>
      <c r="BJ57" s="134">
        <v>10</v>
      </c>
      <c r="BK57" s="133">
        <v>24</v>
      </c>
      <c r="BL57" s="125">
        <f t="shared" si="51"/>
        <v>34</v>
      </c>
      <c r="BM57" s="125">
        <f t="shared" si="19"/>
        <v>34</v>
      </c>
      <c r="BN57" s="176"/>
      <c r="BO57" s="124">
        <f t="shared" si="2"/>
        <v>3.5</v>
      </c>
      <c r="BP57" s="124" t="str">
        <f t="shared" si="20"/>
        <v>F</v>
      </c>
      <c r="BQ57" s="70" t="str">
        <f t="shared" si="21"/>
        <v>F</v>
      </c>
      <c r="BR57" s="70" t="str">
        <f t="shared" si="52"/>
        <v>F</v>
      </c>
      <c r="BS57" s="124" t="str">
        <f t="shared" si="3"/>
        <v>NEED TO PROGRESS</v>
      </c>
      <c r="BT57" s="125">
        <f t="shared" si="23"/>
        <v>401</v>
      </c>
      <c r="BU57" s="124"/>
      <c r="BV57" s="124"/>
    </row>
    <row r="58" spans="1:74" s="68" customFormat="1" ht="27.95" customHeight="1">
      <c r="A58" s="67">
        <v>51</v>
      </c>
      <c r="B58" s="37">
        <v>48</v>
      </c>
      <c r="C58" s="34" t="s">
        <v>274</v>
      </c>
      <c r="D58" s="34" t="s">
        <v>275</v>
      </c>
      <c r="E58" s="34" t="s">
        <v>276</v>
      </c>
      <c r="F58" s="51" t="s">
        <v>277</v>
      </c>
      <c r="G58" s="124">
        <v>0</v>
      </c>
      <c r="H58" s="124">
        <v>0</v>
      </c>
      <c r="I58" s="125">
        <f t="shared" si="53"/>
        <v>0</v>
      </c>
      <c r="J58" s="124">
        <v>0</v>
      </c>
      <c r="K58" s="125">
        <f t="shared" si="54"/>
        <v>0</v>
      </c>
      <c r="L58" s="124">
        <v>0</v>
      </c>
      <c r="M58" s="124">
        <v>0</v>
      </c>
      <c r="N58" s="125">
        <f t="shared" si="55"/>
        <v>0</v>
      </c>
      <c r="O58" s="125">
        <f t="shared" si="4"/>
        <v>0</v>
      </c>
      <c r="P58" s="125">
        <f t="shared" si="0"/>
        <v>0</v>
      </c>
      <c r="Q58" s="176"/>
      <c r="R58" s="124" t="str">
        <f t="shared" si="40"/>
        <v>F</v>
      </c>
      <c r="S58" s="124">
        <v>0</v>
      </c>
      <c r="T58" s="124">
        <v>0</v>
      </c>
      <c r="U58" s="125">
        <f t="shared" si="56"/>
        <v>0</v>
      </c>
      <c r="V58" s="124">
        <v>0</v>
      </c>
      <c r="W58" s="124">
        <v>0</v>
      </c>
      <c r="X58" s="125">
        <f t="shared" si="41"/>
        <v>0</v>
      </c>
      <c r="Y58" s="125">
        <f t="shared" si="57"/>
        <v>0</v>
      </c>
      <c r="Z58" s="125">
        <f t="shared" si="58"/>
        <v>0</v>
      </c>
      <c r="AA58" s="176"/>
      <c r="AB58" s="124" t="str">
        <f t="shared" si="42"/>
        <v>F</v>
      </c>
      <c r="AC58" s="124">
        <v>0</v>
      </c>
      <c r="AD58" s="124">
        <v>0</v>
      </c>
      <c r="AE58" s="125">
        <f t="shared" ref="AE58:AE88" si="60">AD58+AC58</f>
        <v>0</v>
      </c>
      <c r="AF58" s="124">
        <v>0</v>
      </c>
      <c r="AG58" s="125">
        <f t="shared" si="43"/>
        <v>0</v>
      </c>
      <c r="AH58" s="176"/>
      <c r="AI58" s="124" t="str">
        <f t="shared" si="44"/>
        <v>F</v>
      </c>
      <c r="AJ58" s="124">
        <v>0</v>
      </c>
      <c r="AK58" s="124">
        <v>0</v>
      </c>
      <c r="AL58" s="125">
        <f t="shared" ref="AL58:AL88" si="61">AK58+AJ58</f>
        <v>0</v>
      </c>
      <c r="AM58" s="124">
        <v>0</v>
      </c>
      <c r="AN58" s="125">
        <f t="shared" si="59"/>
        <v>0</v>
      </c>
      <c r="AO58" s="176"/>
      <c r="AP58" s="124" t="str">
        <f t="shared" si="45"/>
        <v>F</v>
      </c>
      <c r="AQ58" s="124">
        <v>0</v>
      </c>
      <c r="AR58" s="124">
        <v>0</v>
      </c>
      <c r="AS58" s="124">
        <f t="shared" si="13"/>
        <v>0</v>
      </c>
      <c r="AT58" s="175"/>
      <c r="AU58" s="124" t="str">
        <f t="shared" si="46"/>
        <v>F</v>
      </c>
      <c r="AV58" s="124">
        <v>0</v>
      </c>
      <c r="AW58" s="124">
        <v>0</v>
      </c>
      <c r="AX58" s="125">
        <f t="shared" ref="AX58:AX88" si="62">AW58+AV58</f>
        <v>0</v>
      </c>
      <c r="AY58" s="124">
        <v>0</v>
      </c>
      <c r="AZ58" s="125">
        <f t="shared" si="47"/>
        <v>0</v>
      </c>
      <c r="BA58" s="176"/>
      <c r="BB58" s="124" t="str">
        <f t="shared" si="48"/>
        <v>F</v>
      </c>
      <c r="BC58" s="124">
        <v>0</v>
      </c>
      <c r="BD58" s="124">
        <v>0</v>
      </c>
      <c r="BE58" s="125">
        <f t="shared" ref="BE58:BE88" si="63">BD58+BC58</f>
        <v>0</v>
      </c>
      <c r="BF58" s="124">
        <v>0</v>
      </c>
      <c r="BG58" s="125">
        <f t="shared" si="49"/>
        <v>0</v>
      </c>
      <c r="BH58" s="176"/>
      <c r="BI58" s="124" t="str">
        <f t="shared" si="50"/>
        <v>F</v>
      </c>
      <c r="BJ58" s="124">
        <v>0</v>
      </c>
      <c r="BK58" s="124">
        <v>0</v>
      </c>
      <c r="BL58" s="125">
        <f t="shared" si="51"/>
        <v>0</v>
      </c>
      <c r="BM58" s="125">
        <f t="shared" si="19"/>
        <v>0</v>
      </c>
      <c r="BN58" s="176"/>
      <c r="BO58" s="124" t="str">
        <f t="shared" si="2"/>
        <v>F</v>
      </c>
      <c r="BP58" s="124" t="str">
        <f t="shared" si="20"/>
        <v>F</v>
      </c>
      <c r="BQ58" s="70" t="str">
        <f t="shared" si="21"/>
        <v>F</v>
      </c>
      <c r="BR58" s="70" t="str">
        <f t="shared" si="52"/>
        <v>F</v>
      </c>
      <c r="BS58" s="124" t="str">
        <f t="shared" si="3"/>
        <v>NEED TO PROGRESS</v>
      </c>
      <c r="BT58" s="125">
        <f t="shared" si="23"/>
        <v>0</v>
      </c>
      <c r="BU58" s="124"/>
      <c r="BV58" s="124"/>
    </row>
    <row r="59" spans="1:74" s="68" customFormat="1" ht="27.75" customHeight="1">
      <c r="A59" s="67">
        <v>52</v>
      </c>
      <c r="B59" s="37">
        <v>49</v>
      </c>
      <c r="C59" s="34" t="s">
        <v>278</v>
      </c>
      <c r="D59" s="34" t="s">
        <v>244</v>
      </c>
      <c r="E59" s="34" t="s">
        <v>279</v>
      </c>
      <c r="F59" s="51" t="s">
        <v>280</v>
      </c>
      <c r="G59" s="124">
        <v>9</v>
      </c>
      <c r="H59" s="124">
        <v>14</v>
      </c>
      <c r="I59" s="125">
        <f t="shared" si="53"/>
        <v>23</v>
      </c>
      <c r="J59" s="124">
        <v>24</v>
      </c>
      <c r="K59" s="125">
        <f t="shared" si="54"/>
        <v>47</v>
      </c>
      <c r="L59" s="124">
        <v>6</v>
      </c>
      <c r="M59" s="124">
        <v>16</v>
      </c>
      <c r="N59" s="125">
        <f t="shared" si="55"/>
        <v>22</v>
      </c>
      <c r="O59" s="125">
        <f t="shared" si="4"/>
        <v>22</v>
      </c>
      <c r="P59" s="125">
        <f t="shared" si="0"/>
        <v>69</v>
      </c>
      <c r="Q59" s="176"/>
      <c r="R59" s="124">
        <f t="shared" si="40"/>
        <v>2</v>
      </c>
      <c r="S59" s="134">
        <v>10</v>
      </c>
      <c r="T59" s="133">
        <v>40</v>
      </c>
      <c r="U59" s="125">
        <f t="shared" si="56"/>
        <v>50</v>
      </c>
      <c r="V59" s="133">
        <v>4</v>
      </c>
      <c r="W59" s="133">
        <v>17</v>
      </c>
      <c r="X59" s="125">
        <f t="shared" si="41"/>
        <v>21</v>
      </c>
      <c r="Y59" s="125">
        <f t="shared" si="57"/>
        <v>71</v>
      </c>
      <c r="Z59" s="125">
        <f t="shared" si="58"/>
        <v>71</v>
      </c>
      <c r="AA59" s="176"/>
      <c r="AB59" s="124">
        <f t="shared" si="42"/>
        <v>2</v>
      </c>
      <c r="AC59" s="134">
        <v>9</v>
      </c>
      <c r="AD59" s="133">
        <v>18</v>
      </c>
      <c r="AE59" s="135">
        <f t="shared" si="60"/>
        <v>27</v>
      </c>
      <c r="AF59" s="133">
        <v>13</v>
      </c>
      <c r="AG59" s="125">
        <f t="shared" si="43"/>
        <v>40</v>
      </c>
      <c r="AH59" s="176"/>
      <c r="AI59" s="124">
        <f t="shared" si="44"/>
        <v>2</v>
      </c>
      <c r="AJ59" s="134">
        <v>11</v>
      </c>
      <c r="AK59" s="133">
        <v>14</v>
      </c>
      <c r="AL59" s="135">
        <f t="shared" si="61"/>
        <v>25</v>
      </c>
      <c r="AM59" s="133">
        <v>22</v>
      </c>
      <c r="AN59" s="125">
        <f t="shared" si="59"/>
        <v>47</v>
      </c>
      <c r="AO59" s="176"/>
      <c r="AP59" s="124">
        <f t="shared" si="45"/>
        <v>2</v>
      </c>
      <c r="AQ59" s="133">
        <v>18</v>
      </c>
      <c r="AR59" s="133">
        <v>25</v>
      </c>
      <c r="AS59" s="124">
        <f t="shared" si="13"/>
        <v>43</v>
      </c>
      <c r="AT59" s="175"/>
      <c r="AU59" s="124">
        <f t="shared" si="46"/>
        <v>5</v>
      </c>
      <c r="AV59" s="134">
        <v>11</v>
      </c>
      <c r="AW59" s="133">
        <v>20</v>
      </c>
      <c r="AX59" s="135">
        <f t="shared" si="62"/>
        <v>31</v>
      </c>
      <c r="AY59" s="133">
        <v>14</v>
      </c>
      <c r="AZ59" s="125">
        <f t="shared" si="47"/>
        <v>45</v>
      </c>
      <c r="BA59" s="176"/>
      <c r="BB59" s="124">
        <f t="shared" si="48"/>
        <v>2</v>
      </c>
      <c r="BC59" s="134">
        <v>9</v>
      </c>
      <c r="BD59" s="133">
        <v>19</v>
      </c>
      <c r="BE59" s="135">
        <f t="shared" si="63"/>
        <v>28</v>
      </c>
      <c r="BF59" s="133">
        <v>21</v>
      </c>
      <c r="BG59" s="125">
        <f t="shared" si="49"/>
        <v>49</v>
      </c>
      <c r="BH59" s="176"/>
      <c r="BI59" s="124">
        <f t="shared" si="50"/>
        <v>2</v>
      </c>
      <c r="BJ59" s="134">
        <v>10</v>
      </c>
      <c r="BK59" s="133">
        <v>24</v>
      </c>
      <c r="BL59" s="125">
        <f t="shared" si="51"/>
        <v>34</v>
      </c>
      <c r="BM59" s="125">
        <f t="shared" si="19"/>
        <v>34</v>
      </c>
      <c r="BN59" s="176"/>
      <c r="BO59" s="124">
        <f t="shared" si="2"/>
        <v>3.5</v>
      </c>
      <c r="BP59" s="124">
        <f t="shared" si="20"/>
        <v>20.5</v>
      </c>
      <c r="BQ59" s="70">
        <f t="shared" si="21"/>
        <v>2.5625</v>
      </c>
      <c r="BR59" s="70" t="str">
        <f t="shared" si="52"/>
        <v>C</v>
      </c>
      <c r="BS59" s="124" t="str">
        <f t="shared" si="3"/>
        <v>GOOD</v>
      </c>
      <c r="BT59" s="125">
        <f t="shared" si="23"/>
        <v>398</v>
      </c>
      <c r="BU59" s="124"/>
      <c r="BV59" s="124"/>
    </row>
    <row r="60" spans="1:74" s="68" customFormat="1" ht="27.95" customHeight="1">
      <c r="A60" s="67">
        <v>53</v>
      </c>
      <c r="B60" s="37">
        <v>51</v>
      </c>
      <c r="C60" s="34" t="s">
        <v>281</v>
      </c>
      <c r="D60" s="34" t="s">
        <v>282</v>
      </c>
      <c r="E60" s="34" t="s">
        <v>283</v>
      </c>
      <c r="F60" s="51" t="s">
        <v>284</v>
      </c>
      <c r="G60" s="124">
        <v>9</v>
      </c>
      <c r="H60" s="124">
        <v>15</v>
      </c>
      <c r="I60" s="125">
        <f t="shared" si="53"/>
        <v>24</v>
      </c>
      <c r="J60" s="124">
        <v>21</v>
      </c>
      <c r="K60" s="125">
        <f t="shared" si="54"/>
        <v>45</v>
      </c>
      <c r="L60" s="124">
        <v>7</v>
      </c>
      <c r="M60" s="124">
        <v>16</v>
      </c>
      <c r="N60" s="125">
        <f t="shared" si="55"/>
        <v>23</v>
      </c>
      <c r="O60" s="125">
        <f t="shared" si="4"/>
        <v>23</v>
      </c>
      <c r="P60" s="125">
        <f t="shared" si="0"/>
        <v>68</v>
      </c>
      <c r="Q60" s="176"/>
      <c r="R60" s="124">
        <f t="shared" si="40"/>
        <v>2</v>
      </c>
      <c r="S60" s="134">
        <v>10</v>
      </c>
      <c r="T60" s="133">
        <v>12</v>
      </c>
      <c r="U60" s="125">
        <f t="shared" si="56"/>
        <v>22</v>
      </c>
      <c r="V60" s="133">
        <v>4</v>
      </c>
      <c r="W60" s="133">
        <v>10</v>
      </c>
      <c r="X60" s="125">
        <f t="shared" si="41"/>
        <v>14</v>
      </c>
      <c r="Y60" s="125">
        <f t="shared" si="57"/>
        <v>36</v>
      </c>
      <c r="Z60" s="125">
        <f t="shared" si="58"/>
        <v>36</v>
      </c>
      <c r="AA60" s="176"/>
      <c r="AB60" s="124" t="str">
        <f t="shared" si="42"/>
        <v>F</v>
      </c>
      <c r="AC60" s="134">
        <v>10</v>
      </c>
      <c r="AD60" s="133">
        <v>21</v>
      </c>
      <c r="AE60" s="135">
        <f t="shared" si="60"/>
        <v>31</v>
      </c>
      <c r="AF60" s="133">
        <v>9</v>
      </c>
      <c r="AG60" s="125">
        <f t="shared" si="43"/>
        <v>40</v>
      </c>
      <c r="AH60" s="176"/>
      <c r="AI60" s="124">
        <f t="shared" si="44"/>
        <v>2</v>
      </c>
      <c r="AJ60" s="134">
        <v>9</v>
      </c>
      <c r="AK60" s="133">
        <v>20</v>
      </c>
      <c r="AL60" s="135">
        <f t="shared" si="61"/>
        <v>29</v>
      </c>
      <c r="AM60" s="133">
        <v>18</v>
      </c>
      <c r="AN60" s="125">
        <f t="shared" si="59"/>
        <v>47</v>
      </c>
      <c r="AO60" s="176"/>
      <c r="AP60" s="124">
        <f t="shared" si="45"/>
        <v>2</v>
      </c>
      <c r="AQ60" s="133">
        <v>15</v>
      </c>
      <c r="AR60" s="133">
        <v>25</v>
      </c>
      <c r="AS60" s="124">
        <f t="shared" si="13"/>
        <v>40</v>
      </c>
      <c r="AT60" s="175"/>
      <c r="AU60" s="124">
        <f t="shared" si="46"/>
        <v>5</v>
      </c>
      <c r="AV60" s="134">
        <v>8</v>
      </c>
      <c r="AW60" s="133">
        <v>20</v>
      </c>
      <c r="AX60" s="135">
        <f t="shared" si="62"/>
        <v>28</v>
      </c>
      <c r="AY60" s="133">
        <v>12</v>
      </c>
      <c r="AZ60" s="125">
        <f t="shared" si="47"/>
        <v>40</v>
      </c>
      <c r="BA60" s="176"/>
      <c r="BB60" s="124">
        <f t="shared" si="48"/>
        <v>2</v>
      </c>
      <c r="BC60" s="134">
        <v>9</v>
      </c>
      <c r="BD60" s="133">
        <v>7</v>
      </c>
      <c r="BE60" s="135">
        <f t="shared" si="63"/>
        <v>16</v>
      </c>
      <c r="BF60" s="133">
        <v>12</v>
      </c>
      <c r="BG60" s="125">
        <f t="shared" si="49"/>
        <v>28</v>
      </c>
      <c r="BH60" s="176"/>
      <c r="BI60" s="124" t="str">
        <f t="shared" si="50"/>
        <v>F</v>
      </c>
      <c r="BJ60" s="134">
        <v>10</v>
      </c>
      <c r="BK60" s="133">
        <v>32</v>
      </c>
      <c r="BL60" s="125">
        <f t="shared" si="51"/>
        <v>42</v>
      </c>
      <c r="BM60" s="125">
        <f t="shared" si="19"/>
        <v>42</v>
      </c>
      <c r="BN60" s="176"/>
      <c r="BO60" s="124">
        <f t="shared" si="2"/>
        <v>5</v>
      </c>
      <c r="BP60" s="124" t="str">
        <f t="shared" si="20"/>
        <v>F</v>
      </c>
      <c r="BQ60" s="70" t="str">
        <f t="shared" si="21"/>
        <v>F</v>
      </c>
      <c r="BR60" s="70" t="str">
        <f t="shared" si="52"/>
        <v>F</v>
      </c>
      <c r="BS60" s="124" t="str">
        <f t="shared" si="3"/>
        <v>NEED TO PROGRESS</v>
      </c>
      <c r="BT60" s="125">
        <f t="shared" si="23"/>
        <v>341</v>
      </c>
      <c r="BU60" s="124"/>
      <c r="BV60" s="124"/>
    </row>
    <row r="61" spans="1:74" s="68" customFormat="1" ht="27.95" customHeight="1">
      <c r="A61" s="67">
        <v>54</v>
      </c>
      <c r="B61" s="37">
        <v>52</v>
      </c>
      <c r="C61" s="34" t="s">
        <v>285</v>
      </c>
      <c r="D61" s="34" t="s">
        <v>286</v>
      </c>
      <c r="E61" s="34" t="s">
        <v>287</v>
      </c>
      <c r="F61" s="51" t="s">
        <v>288</v>
      </c>
      <c r="G61" s="124">
        <v>12</v>
      </c>
      <c r="H61" s="124">
        <v>20</v>
      </c>
      <c r="I61" s="125">
        <f t="shared" si="53"/>
        <v>32</v>
      </c>
      <c r="J61" s="124">
        <v>22</v>
      </c>
      <c r="K61" s="125">
        <f t="shared" si="54"/>
        <v>54</v>
      </c>
      <c r="L61" s="124">
        <v>9</v>
      </c>
      <c r="M61" s="124">
        <v>27</v>
      </c>
      <c r="N61" s="125">
        <f t="shared" si="55"/>
        <v>36</v>
      </c>
      <c r="O61" s="125">
        <f t="shared" si="4"/>
        <v>36</v>
      </c>
      <c r="P61" s="125">
        <f t="shared" si="0"/>
        <v>90</v>
      </c>
      <c r="Q61" s="176"/>
      <c r="R61" s="124">
        <f t="shared" si="40"/>
        <v>3</v>
      </c>
      <c r="S61" s="71">
        <v>16</v>
      </c>
      <c r="T61" s="72">
        <v>44</v>
      </c>
      <c r="U61" s="73">
        <f t="shared" si="56"/>
        <v>60</v>
      </c>
      <c r="V61" s="72">
        <v>6</v>
      </c>
      <c r="W61" s="72">
        <v>8</v>
      </c>
      <c r="X61" s="125">
        <f t="shared" si="41"/>
        <v>14</v>
      </c>
      <c r="Y61" s="125">
        <f t="shared" si="57"/>
        <v>74</v>
      </c>
      <c r="Z61" s="125">
        <f t="shared" si="58"/>
        <v>74</v>
      </c>
      <c r="AA61" s="176"/>
      <c r="AB61" s="124">
        <f t="shared" si="42"/>
        <v>2</v>
      </c>
      <c r="AC61" s="71">
        <v>5</v>
      </c>
      <c r="AD61" s="72">
        <v>18</v>
      </c>
      <c r="AE61" s="73">
        <f t="shared" si="60"/>
        <v>23</v>
      </c>
      <c r="AF61" s="72">
        <v>10</v>
      </c>
      <c r="AG61" s="125">
        <f t="shared" si="43"/>
        <v>33</v>
      </c>
      <c r="AH61" s="176"/>
      <c r="AI61" s="124" t="str">
        <f t="shared" si="44"/>
        <v>F</v>
      </c>
      <c r="AJ61" s="71">
        <v>12</v>
      </c>
      <c r="AK61" s="72">
        <v>25</v>
      </c>
      <c r="AL61" s="73">
        <f t="shared" si="61"/>
        <v>37</v>
      </c>
      <c r="AM61" s="72">
        <v>22</v>
      </c>
      <c r="AN61" s="125">
        <f t="shared" si="59"/>
        <v>59</v>
      </c>
      <c r="AO61" s="176"/>
      <c r="AP61" s="124">
        <f t="shared" si="45"/>
        <v>3</v>
      </c>
      <c r="AQ61" s="124">
        <v>18</v>
      </c>
      <c r="AR61" s="124">
        <v>25</v>
      </c>
      <c r="AS61" s="124">
        <f t="shared" si="13"/>
        <v>43</v>
      </c>
      <c r="AT61" s="175"/>
      <c r="AU61" s="124">
        <f t="shared" si="46"/>
        <v>5</v>
      </c>
      <c r="AV61" s="71">
        <v>15</v>
      </c>
      <c r="AW61" s="72">
        <v>20</v>
      </c>
      <c r="AX61" s="73">
        <f t="shared" si="62"/>
        <v>35</v>
      </c>
      <c r="AY61" s="72">
        <v>26</v>
      </c>
      <c r="AZ61" s="125">
        <f t="shared" si="47"/>
        <v>61</v>
      </c>
      <c r="BA61" s="176"/>
      <c r="BB61" s="124">
        <f t="shared" si="48"/>
        <v>3.5</v>
      </c>
      <c r="BC61" s="71">
        <v>9</v>
      </c>
      <c r="BD61" s="72">
        <v>22</v>
      </c>
      <c r="BE61" s="73">
        <f t="shared" si="63"/>
        <v>31</v>
      </c>
      <c r="BF61" s="72">
        <v>24</v>
      </c>
      <c r="BG61" s="125">
        <f t="shared" si="49"/>
        <v>55</v>
      </c>
      <c r="BH61" s="176"/>
      <c r="BI61" s="124">
        <f t="shared" si="50"/>
        <v>3</v>
      </c>
      <c r="BJ61" s="71">
        <v>3</v>
      </c>
      <c r="BK61" s="72">
        <v>28</v>
      </c>
      <c r="BL61" s="125">
        <f t="shared" si="51"/>
        <v>31</v>
      </c>
      <c r="BM61" s="125">
        <f t="shared" si="19"/>
        <v>31</v>
      </c>
      <c r="BN61" s="176"/>
      <c r="BO61" s="124">
        <f t="shared" si="2"/>
        <v>3.5</v>
      </c>
      <c r="BP61" s="124" t="str">
        <f t="shared" si="20"/>
        <v>F</v>
      </c>
      <c r="BQ61" s="70" t="str">
        <f t="shared" si="21"/>
        <v>F</v>
      </c>
      <c r="BR61" s="70" t="str">
        <f t="shared" si="52"/>
        <v>F</v>
      </c>
      <c r="BS61" s="124" t="str">
        <f t="shared" si="3"/>
        <v>NEED TO PROGRESS</v>
      </c>
      <c r="BT61" s="125">
        <f t="shared" si="23"/>
        <v>446</v>
      </c>
      <c r="BU61" s="124"/>
      <c r="BV61" s="124"/>
    </row>
    <row r="62" spans="1:74" s="68" customFormat="1" ht="27.95" customHeight="1">
      <c r="A62" s="67">
        <v>55</v>
      </c>
      <c r="B62" s="37">
        <v>53</v>
      </c>
      <c r="C62" s="34" t="s">
        <v>289</v>
      </c>
      <c r="D62" s="34" t="s">
        <v>290</v>
      </c>
      <c r="E62" s="34" t="s">
        <v>291</v>
      </c>
      <c r="F62" s="51" t="s">
        <v>292</v>
      </c>
      <c r="G62" s="124">
        <v>9</v>
      </c>
      <c r="H62" s="124">
        <v>0</v>
      </c>
      <c r="I62" s="125">
        <f t="shared" si="53"/>
        <v>9</v>
      </c>
      <c r="J62" s="124">
        <v>0</v>
      </c>
      <c r="K62" s="125">
        <f t="shared" si="54"/>
        <v>9</v>
      </c>
      <c r="L62" s="124">
        <v>7</v>
      </c>
      <c r="M62" s="124">
        <v>0</v>
      </c>
      <c r="N62" s="125">
        <f t="shared" si="55"/>
        <v>7</v>
      </c>
      <c r="O62" s="125">
        <f t="shared" si="4"/>
        <v>7</v>
      </c>
      <c r="P62" s="125">
        <f t="shared" si="0"/>
        <v>16</v>
      </c>
      <c r="Q62" s="176"/>
      <c r="R62" s="124" t="str">
        <f t="shared" si="40"/>
        <v>F</v>
      </c>
      <c r="S62" s="124">
        <v>12</v>
      </c>
      <c r="T62" s="124">
        <v>0</v>
      </c>
      <c r="U62" s="125">
        <f t="shared" si="56"/>
        <v>12</v>
      </c>
      <c r="V62" s="133">
        <v>4</v>
      </c>
      <c r="W62" s="133">
        <v>0</v>
      </c>
      <c r="X62" s="125">
        <f t="shared" si="41"/>
        <v>4</v>
      </c>
      <c r="Y62" s="125">
        <f t="shared" si="57"/>
        <v>16</v>
      </c>
      <c r="Z62" s="125">
        <f t="shared" si="58"/>
        <v>16</v>
      </c>
      <c r="AA62" s="176"/>
      <c r="AB62" s="124" t="str">
        <f t="shared" si="42"/>
        <v>F</v>
      </c>
      <c r="AC62" s="134">
        <v>11</v>
      </c>
      <c r="AD62" s="133">
        <v>0</v>
      </c>
      <c r="AE62" s="135">
        <f t="shared" si="60"/>
        <v>11</v>
      </c>
      <c r="AF62" s="133">
        <v>0</v>
      </c>
      <c r="AG62" s="125">
        <f t="shared" si="43"/>
        <v>11</v>
      </c>
      <c r="AH62" s="176"/>
      <c r="AI62" s="124" t="str">
        <f t="shared" si="44"/>
        <v>F</v>
      </c>
      <c r="AJ62" s="134">
        <v>11</v>
      </c>
      <c r="AK62" s="133">
        <v>0</v>
      </c>
      <c r="AL62" s="135">
        <f t="shared" si="61"/>
        <v>11</v>
      </c>
      <c r="AM62" s="133">
        <v>0</v>
      </c>
      <c r="AN62" s="125">
        <f t="shared" si="59"/>
        <v>11</v>
      </c>
      <c r="AO62" s="176"/>
      <c r="AP62" s="124" t="str">
        <f t="shared" si="45"/>
        <v>F</v>
      </c>
      <c r="AQ62" s="124">
        <v>4</v>
      </c>
      <c r="AR62" s="124">
        <v>25</v>
      </c>
      <c r="AS62" s="124">
        <f t="shared" si="13"/>
        <v>29</v>
      </c>
      <c r="AT62" s="175"/>
      <c r="AU62" s="124">
        <f t="shared" si="46"/>
        <v>3</v>
      </c>
      <c r="AV62" s="134">
        <v>13</v>
      </c>
      <c r="AW62" s="133"/>
      <c r="AX62" s="135">
        <f t="shared" si="62"/>
        <v>13</v>
      </c>
      <c r="AY62" s="133"/>
      <c r="AZ62" s="125">
        <f t="shared" si="47"/>
        <v>13</v>
      </c>
      <c r="BA62" s="176"/>
      <c r="BB62" s="124" t="str">
        <f t="shared" si="48"/>
        <v>F</v>
      </c>
      <c r="BC62" s="134">
        <v>10</v>
      </c>
      <c r="BD62" s="133">
        <v>0</v>
      </c>
      <c r="BE62" s="135">
        <f t="shared" si="63"/>
        <v>10</v>
      </c>
      <c r="BF62" s="133">
        <v>0</v>
      </c>
      <c r="BG62" s="125">
        <f t="shared" si="49"/>
        <v>10</v>
      </c>
      <c r="BH62" s="176"/>
      <c r="BI62" s="124" t="str">
        <f t="shared" si="50"/>
        <v>F</v>
      </c>
      <c r="BJ62" s="134">
        <v>9</v>
      </c>
      <c r="BK62" s="133">
        <v>0</v>
      </c>
      <c r="BL62" s="125">
        <f t="shared" si="51"/>
        <v>9</v>
      </c>
      <c r="BM62" s="125">
        <f t="shared" si="19"/>
        <v>9</v>
      </c>
      <c r="BN62" s="176"/>
      <c r="BO62" s="124" t="str">
        <f t="shared" si="2"/>
        <v>F</v>
      </c>
      <c r="BP62" s="124" t="str">
        <f t="shared" si="20"/>
        <v>F</v>
      </c>
      <c r="BQ62" s="70" t="str">
        <f t="shared" si="21"/>
        <v>F</v>
      </c>
      <c r="BR62" s="70" t="str">
        <f t="shared" si="52"/>
        <v>F</v>
      </c>
      <c r="BS62" s="124" t="str">
        <f t="shared" si="3"/>
        <v>NEED TO PROGRESS</v>
      </c>
      <c r="BT62" s="125">
        <f t="shared" si="23"/>
        <v>115</v>
      </c>
      <c r="BU62" s="124"/>
      <c r="BV62" s="124"/>
    </row>
    <row r="63" spans="1:74" s="68" customFormat="1" ht="27.95" customHeight="1">
      <c r="A63" s="67">
        <v>56</v>
      </c>
      <c r="B63" s="37">
        <v>54</v>
      </c>
      <c r="C63" s="34" t="s">
        <v>293</v>
      </c>
      <c r="D63" s="34" t="s">
        <v>294</v>
      </c>
      <c r="E63" s="34" t="s">
        <v>295</v>
      </c>
      <c r="F63" s="51" t="s">
        <v>296</v>
      </c>
      <c r="G63" s="124">
        <v>4</v>
      </c>
      <c r="H63" s="124">
        <v>17</v>
      </c>
      <c r="I63" s="125">
        <f>H63+G63</f>
        <v>21</v>
      </c>
      <c r="J63" s="124">
        <v>19</v>
      </c>
      <c r="K63" s="125">
        <f t="shared" si="54"/>
        <v>40</v>
      </c>
      <c r="L63" s="124">
        <v>5</v>
      </c>
      <c r="M63" s="124">
        <v>16</v>
      </c>
      <c r="N63" s="125">
        <f t="shared" si="55"/>
        <v>21</v>
      </c>
      <c r="O63" s="125">
        <f t="shared" si="4"/>
        <v>21</v>
      </c>
      <c r="P63" s="125">
        <f t="shared" si="0"/>
        <v>61</v>
      </c>
      <c r="Q63" s="176"/>
      <c r="R63" s="124">
        <f t="shared" si="40"/>
        <v>2</v>
      </c>
      <c r="S63" s="71">
        <v>13</v>
      </c>
      <c r="T63" s="72">
        <v>36</v>
      </c>
      <c r="U63" s="73">
        <f t="shared" si="56"/>
        <v>49</v>
      </c>
      <c r="V63" s="72">
        <v>4</v>
      </c>
      <c r="W63" s="72">
        <v>7</v>
      </c>
      <c r="X63" s="125">
        <f t="shared" si="41"/>
        <v>11</v>
      </c>
      <c r="Y63" s="125">
        <f t="shared" si="57"/>
        <v>60</v>
      </c>
      <c r="Z63" s="125">
        <f t="shared" si="58"/>
        <v>60</v>
      </c>
      <c r="AA63" s="176"/>
      <c r="AB63" s="124">
        <f t="shared" si="42"/>
        <v>2</v>
      </c>
      <c r="AC63" s="71">
        <v>4</v>
      </c>
      <c r="AD63" s="72">
        <v>13</v>
      </c>
      <c r="AE63" s="73">
        <f t="shared" si="60"/>
        <v>17</v>
      </c>
      <c r="AF63" s="72">
        <v>10</v>
      </c>
      <c r="AG63" s="125">
        <f t="shared" si="43"/>
        <v>27</v>
      </c>
      <c r="AH63" s="176"/>
      <c r="AI63" s="124" t="str">
        <f t="shared" si="44"/>
        <v>F</v>
      </c>
      <c r="AJ63" s="71">
        <v>7</v>
      </c>
      <c r="AK63" s="72">
        <v>15</v>
      </c>
      <c r="AL63" s="73">
        <f t="shared" si="61"/>
        <v>22</v>
      </c>
      <c r="AM63" s="72">
        <v>20</v>
      </c>
      <c r="AN63" s="125">
        <f t="shared" si="59"/>
        <v>42</v>
      </c>
      <c r="AO63" s="176"/>
      <c r="AP63" s="124">
        <f t="shared" si="45"/>
        <v>2</v>
      </c>
      <c r="AQ63" s="124">
        <v>19</v>
      </c>
      <c r="AR63" s="124">
        <v>25</v>
      </c>
      <c r="AS63" s="124">
        <f t="shared" si="13"/>
        <v>44</v>
      </c>
      <c r="AT63" s="175"/>
      <c r="AU63" s="124">
        <f t="shared" si="46"/>
        <v>5</v>
      </c>
      <c r="AV63" s="71">
        <v>12</v>
      </c>
      <c r="AW63" s="72">
        <v>19</v>
      </c>
      <c r="AX63" s="73">
        <f t="shared" si="62"/>
        <v>31</v>
      </c>
      <c r="AY63" s="72">
        <v>21</v>
      </c>
      <c r="AZ63" s="125">
        <f t="shared" si="47"/>
        <v>52</v>
      </c>
      <c r="BA63" s="176"/>
      <c r="BB63" s="124">
        <f t="shared" si="48"/>
        <v>3</v>
      </c>
      <c r="BC63" s="71">
        <v>3</v>
      </c>
      <c r="BD63" s="72">
        <v>2</v>
      </c>
      <c r="BE63" s="73">
        <f t="shared" si="63"/>
        <v>5</v>
      </c>
      <c r="BF63" s="72">
        <v>18</v>
      </c>
      <c r="BG63" s="125">
        <f t="shared" si="49"/>
        <v>23</v>
      </c>
      <c r="BH63" s="176"/>
      <c r="BI63" s="124" t="str">
        <f t="shared" si="50"/>
        <v>F</v>
      </c>
      <c r="BJ63" s="71">
        <v>7</v>
      </c>
      <c r="BK63" s="72">
        <v>30</v>
      </c>
      <c r="BL63" s="125">
        <f t="shared" si="51"/>
        <v>37</v>
      </c>
      <c r="BM63" s="125">
        <f t="shared" si="19"/>
        <v>37</v>
      </c>
      <c r="BN63" s="176"/>
      <c r="BO63" s="124">
        <f t="shared" si="2"/>
        <v>4</v>
      </c>
      <c r="BP63" s="124" t="str">
        <f t="shared" si="20"/>
        <v>F</v>
      </c>
      <c r="BQ63" s="70" t="str">
        <f t="shared" si="21"/>
        <v>F</v>
      </c>
      <c r="BR63" s="70" t="str">
        <f t="shared" si="52"/>
        <v>F</v>
      </c>
      <c r="BS63" s="124" t="str">
        <f t="shared" si="3"/>
        <v>NEED TO PROGRESS</v>
      </c>
      <c r="BT63" s="125">
        <f t="shared" si="23"/>
        <v>346</v>
      </c>
      <c r="BU63" s="124"/>
      <c r="BV63" s="124"/>
    </row>
    <row r="64" spans="1:74" s="68" customFormat="1" ht="27.95" customHeight="1">
      <c r="A64" s="67">
        <v>57</v>
      </c>
      <c r="B64" s="37">
        <v>55</v>
      </c>
      <c r="C64" s="34" t="s">
        <v>297</v>
      </c>
      <c r="D64" s="34" t="s">
        <v>298</v>
      </c>
      <c r="E64" s="34" t="s">
        <v>229</v>
      </c>
      <c r="F64" s="51" t="s">
        <v>299</v>
      </c>
      <c r="G64" s="124">
        <v>9</v>
      </c>
      <c r="H64" s="124">
        <v>23</v>
      </c>
      <c r="I64" s="125">
        <f t="shared" si="53"/>
        <v>32</v>
      </c>
      <c r="J64" s="124">
        <v>10</v>
      </c>
      <c r="K64" s="125">
        <f t="shared" si="54"/>
        <v>42</v>
      </c>
      <c r="L64" s="124">
        <v>5</v>
      </c>
      <c r="M64" s="124">
        <v>16</v>
      </c>
      <c r="N64" s="125">
        <f t="shared" si="55"/>
        <v>21</v>
      </c>
      <c r="O64" s="125">
        <f t="shared" si="4"/>
        <v>21</v>
      </c>
      <c r="P64" s="125">
        <f t="shared" si="0"/>
        <v>63</v>
      </c>
      <c r="Q64" s="176"/>
      <c r="R64" s="124">
        <f t="shared" si="40"/>
        <v>2</v>
      </c>
      <c r="S64" s="134">
        <v>13</v>
      </c>
      <c r="T64" s="133">
        <v>32</v>
      </c>
      <c r="U64" s="135">
        <f t="shared" si="56"/>
        <v>45</v>
      </c>
      <c r="V64" s="133">
        <v>2</v>
      </c>
      <c r="W64" s="133">
        <v>2</v>
      </c>
      <c r="X64" s="125">
        <f t="shared" si="41"/>
        <v>4</v>
      </c>
      <c r="Y64" s="125">
        <f t="shared" si="57"/>
        <v>49</v>
      </c>
      <c r="Z64" s="125">
        <f t="shared" si="58"/>
        <v>49</v>
      </c>
      <c r="AA64" s="176"/>
      <c r="AB64" s="124" t="str">
        <f t="shared" si="42"/>
        <v>F</v>
      </c>
      <c r="AC64" s="134">
        <v>5</v>
      </c>
      <c r="AD64" s="133">
        <v>1</v>
      </c>
      <c r="AE64" s="135">
        <f t="shared" si="60"/>
        <v>6</v>
      </c>
      <c r="AF64" s="133">
        <v>11</v>
      </c>
      <c r="AG64" s="125">
        <f t="shared" si="43"/>
        <v>17</v>
      </c>
      <c r="AH64" s="176"/>
      <c r="AI64" s="124" t="str">
        <f t="shared" si="44"/>
        <v>F</v>
      </c>
      <c r="AJ64" s="134">
        <v>11</v>
      </c>
      <c r="AK64" s="133">
        <v>29</v>
      </c>
      <c r="AL64" s="135">
        <f t="shared" si="61"/>
        <v>40</v>
      </c>
      <c r="AM64" s="133">
        <v>15</v>
      </c>
      <c r="AN64" s="125">
        <f t="shared" si="59"/>
        <v>55</v>
      </c>
      <c r="AO64" s="176"/>
      <c r="AP64" s="124">
        <f t="shared" si="45"/>
        <v>3</v>
      </c>
      <c r="AQ64" s="124">
        <v>17</v>
      </c>
      <c r="AR64" s="124">
        <v>25</v>
      </c>
      <c r="AS64" s="124">
        <f t="shared" si="13"/>
        <v>42</v>
      </c>
      <c r="AT64" s="175"/>
      <c r="AU64" s="124">
        <f t="shared" si="46"/>
        <v>5</v>
      </c>
      <c r="AV64" s="134">
        <v>8</v>
      </c>
      <c r="AW64" s="133">
        <v>0</v>
      </c>
      <c r="AX64" s="135">
        <f t="shared" si="62"/>
        <v>8</v>
      </c>
      <c r="AY64" s="133">
        <v>15</v>
      </c>
      <c r="AZ64" s="125">
        <f t="shared" si="47"/>
        <v>23</v>
      </c>
      <c r="BA64" s="176"/>
      <c r="BB64" s="124" t="str">
        <f t="shared" si="48"/>
        <v>F</v>
      </c>
      <c r="BC64" s="134">
        <v>10</v>
      </c>
      <c r="BD64" s="133">
        <v>19</v>
      </c>
      <c r="BE64" s="135">
        <f t="shared" si="63"/>
        <v>29</v>
      </c>
      <c r="BF64" s="133">
        <v>12</v>
      </c>
      <c r="BG64" s="125">
        <f t="shared" si="49"/>
        <v>41</v>
      </c>
      <c r="BH64" s="176"/>
      <c r="BI64" s="124">
        <f t="shared" si="50"/>
        <v>2</v>
      </c>
      <c r="BJ64" s="134">
        <v>9</v>
      </c>
      <c r="BK64" s="133">
        <v>32</v>
      </c>
      <c r="BL64" s="125">
        <f t="shared" si="51"/>
        <v>41</v>
      </c>
      <c r="BM64" s="125">
        <f t="shared" si="19"/>
        <v>41</v>
      </c>
      <c r="BN64" s="176"/>
      <c r="BO64" s="124">
        <f t="shared" si="2"/>
        <v>5</v>
      </c>
      <c r="BP64" s="124" t="str">
        <f t="shared" si="20"/>
        <v>F</v>
      </c>
      <c r="BQ64" s="70" t="str">
        <f t="shared" si="21"/>
        <v>F</v>
      </c>
      <c r="BR64" s="70" t="str">
        <f t="shared" si="52"/>
        <v>F</v>
      </c>
      <c r="BS64" s="124" t="str">
        <f t="shared" si="3"/>
        <v>NEED TO PROGRESS</v>
      </c>
      <c r="BT64" s="125">
        <f t="shared" si="23"/>
        <v>331</v>
      </c>
      <c r="BU64" s="124"/>
      <c r="BV64" s="124"/>
    </row>
    <row r="65" spans="1:74" s="68" customFormat="1" ht="27.95" customHeight="1">
      <c r="A65" s="67">
        <v>58</v>
      </c>
      <c r="B65" s="37">
        <v>62</v>
      </c>
      <c r="C65" s="34" t="s">
        <v>300</v>
      </c>
      <c r="D65" s="34" t="s">
        <v>301</v>
      </c>
      <c r="E65" s="34" t="s">
        <v>302</v>
      </c>
      <c r="F65" s="51" t="s">
        <v>303</v>
      </c>
      <c r="G65" s="124">
        <v>8</v>
      </c>
      <c r="H65" s="124">
        <v>32</v>
      </c>
      <c r="I65" s="125">
        <f t="shared" si="53"/>
        <v>40</v>
      </c>
      <c r="J65" s="124">
        <v>26</v>
      </c>
      <c r="K65" s="125">
        <f t="shared" si="54"/>
        <v>66</v>
      </c>
      <c r="L65" s="124">
        <v>10</v>
      </c>
      <c r="M65" s="124">
        <v>23</v>
      </c>
      <c r="N65" s="125">
        <f t="shared" si="55"/>
        <v>33</v>
      </c>
      <c r="O65" s="125">
        <f t="shared" si="4"/>
        <v>33</v>
      </c>
      <c r="P65" s="125">
        <f t="shared" si="0"/>
        <v>99</v>
      </c>
      <c r="Q65" s="176"/>
      <c r="R65" s="124">
        <f t="shared" si="40"/>
        <v>3.5</v>
      </c>
      <c r="S65" s="71">
        <v>12</v>
      </c>
      <c r="T65" s="72">
        <v>36</v>
      </c>
      <c r="U65" s="73">
        <f t="shared" si="56"/>
        <v>48</v>
      </c>
      <c r="V65" s="72">
        <v>4</v>
      </c>
      <c r="W65" s="72">
        <v>12</v>
      </c>
      <c r="X65" s="125">
        <f t="shared" si="41"/>
        <v>16</v>
      </c>
      <c r="Y65" s="125">
        <f t="shared" si="57"/>
        <v>64</v>
      </c>
      <c r="Z65" s="125">
        <f t="shared" si="58"/>
        <v>64</v>
      </c>
      <c r="AA65" s="176"/>
      <c r="AB65" s="124">
        <f t="shared" si="42"/>
        <v>2</v>
      </c>
      <c r="AC65" s="71">
        <v>9</v>
      </c>
      <c r="AD65" s="72">
        <v>21</v>
      </c>
      <c r="AE65" s="73">
        <f t="shared" si="60"/>
        <v>30</v>
      </c>
      <c r="AF65" s="72">
        <v>12</v>
      </c>
      <c r="AG65" s="125">
        <f t="shared" si="43"/>
        <v>42</v>
      </c>
      <c r="AH65" s="176"/>
      <c r="AI65" s="124">
        <f t="shared" si="44"/>
        <v>2</v>
      </c>
      <c r="AJ65" s="71">
        <v>17</v>
      </c>
      <c r="AK65" s="72">
        <v>23</v>
      </c>
      <c r="AL65" s="73">
        <f t="shared" si="61"/>
        <v>40</v>
      </c>
      <c r="AM65" s="72">
        <v>20</v>
      </c>
      <c r="AN65" s="125">
        <f t="shared" si="59"/>
        <v>60</v>
      </c>
      <c r="AO65" s="176"/>
      <c r="AP65" s="124">
        <f t="shared" si="45"/>
        <v>3.5</v>
      </c>
      <c r="AQ65" s="124">
        <v>19</v>
      </c>
      <c r="AR65" s="124">
        <v>25</v>
      </c>
      <c r="AS65" s="124">
        <f t="shared" si="13"/>
        <v>44</v>
      </c>
      <c r="AT65" s="175"/>
      <c r="AU65" s="124">
        <f t="shared" si="46"/>
        <v>5</v>
      </c>
      <c r="AV65" s="71">
        <v>11</v>
      </c>
      <c r="AW65" s="72">
        <v>20</v>
      </c>
      <c r="AX65" s="73">
        <f t="shared" si="62"/>
        <v>31</v>
      </c>
      <c r="AY65" s="72">
        <v>25</v>
      </c>
      <c r="AZ65" s="125">
        <f t="shared" si="47"/>
        <v>56</v>
      </c>
      <c r="BA65" s="176"/>
      <c r="BB65" s="124">
        <f t="shared" si="48"/>
        <v>3</v>
      </c>
      <c r="BC65" s="71">
        <v>12</v>
      </c>
      <c r="BD65" s="72">
        <v>20</v>
      </c>
      <c r="BE65" s="73">
        <f t="shared" si="63"/>
        <v>32</v>
      </c>
      <c r="BF65" s="72">
        <v>22</v>
      </c>
      <c r="BG65" s="125">
        <f t="shared" si="49"/>
        <v>54</v>
      </c>
      <c r="BH65" s="176"/>
      <c r="BI65" s="124">
        <f t="shared" si="50"/>
        <v>3</v>
      </c>
      <c r="BJ65" s="71">
        <v>7</v>
      </c>
      <c r="BK65" s="72">
        <v>32</v>
      </c>
      <c r="BL65" s="125">
        <f t="shared" si="51"/>
        <v>39</v>
      </c>
      <c r="BM65" s="125">
        <f t="shared" si="19"/>
        <v>39</v>
      </c>
      <c r="BN65" s="176"/>
      <c r="BO65" s="124">
        <f t="shared" si="2"/>
        <v>4</v>
      </c>
      <c r="BP65" s="124">
        <f t="shared" si="20"/>
        <v>26</v>
      </c>
      <c r="BQ65" s="70">
        <f t="shared" si="21"/>
        <v>3.25</v>
      </c>
      <c r="BR65" s="70" t="str">
        <f t="shared" si="52"/>
        <v>B</v>
      </c>
      <c r="BS65" s="124" t="str">
        <f t="shared" si="3"/>
        <v>GOOD</v>
      </c>
      <c r="BT65" s="125">
        <f t="shared" si="23"/>
        <v>458</v>
      </c>
      <c r="BU65" s="124"/>
      <c r="BV65" s="124"/>
    </row>
    <row r="66" spans="1:74" s="68" customFormat="1" ht="27.95" customHeight="1">
      <c r="A66" s="67">
        <v>59</v>
      </c>
      <c r="B66" s="37">
        <v>64</v>
      </c>
      <c r="C66" s="34" t="s">
        <v>304</v>
      </c>
      <c r="D66" s="34" t="s">
        <v>305</v>
      </c>
      <c r="E66" s="34" t="s">
        <v>306</v>
      </c>
      <c r="F66" s="51" t="s">
        <v>307</v>
      </c>
      <c r="G66" s="124">
        <v>5</v>
      </c>
      <c r="H66" s="124">
        <v>11</v>
      </c>
      <c r="I66" s="125">
        <f t="shared" si="53"/>
        <v>16</v>
      </c>
      <c r="J66" s="124">
        <v>11</v>
      </c>
      <c r="K66" s="125">
        <f t="shared" si="54"/>
        <v>27</v>
      </c>
      <c r="L66" s="124">
        <v>3</v>
      </c>
      <c r="M66" s="124">
        <v>8</v>
      </c>
      <c r="N66" s="125">
        <f t="shared" si="55"/>
        <v>11</v>
      </c>
      <c r="O66" s="125">
        <f t="shared" si="4"/>
        <v>11</v>
      </c>
      <c r="P66" s="125">
        <f t="shared" si="0"/>
        <v>38</v>
      </c>
      <c r="Q66" s="176"/>
      <c r="R66" s="124" t="str">
        <f t="shared" si="40"/>
        <v>F</v>
      </c>
      <c r="S66" s="71">
        <v>13</v>
      </c>
      <c r="T66" s="72">
        <v>33</v>
      </c>
      <c r="U66" s="73">
        <f t="shared" si="56"/>
        <v>46</v>
      </c>
      <c r="V66" s="72">
        <v>4</v>
      </c>
      <c r="W66" s="72">
        <v>5</v>
      </c>
      <c r="X66" s="125">
        <f t="shared" si="41"/>
        <v>9</v>
      </c>
      <c r="Y66" s="125">
        <f t="shared" si="57"/>
        <v>55</v>
      </c>
      <c r="Z66" s="125">
        <f t="shared" si="58"/>
        <v>55</v>
      </c>
      <c r="AA66" s="176"/>
      <c r="AB66" s="124" t="str">
        <f t="shared" si="42"/>
        <v>F</v>
      </c>
      <c r="AC66" s="71">
        <v>4</v>
      </c>
      <c r="AD66" s="72">
        <v>6</v>
      </c>
      <c r="AE66" s="73">
        <f t="shared" si="60"/>
        <v>10</v>
      </c>
      <c r="AF66" s="72">
        <v>6</v>
      </c>
      <c r="AG66" s="125">
        <f t="shared" si="43"/>
        <v>16</v>
      </c>
      <c r="AH66" s="176"/>
      <c r="AI66" s="124" t="str">
        <f t="shared" si="44"/>
        <v>F</v>
      </c>
      <c r="AJ66" s="71">
        <v>8</v>
      </c>
      <c r="AK66" s="72">
        <v>19</v>
      </c>
      <c r="AL66" s="73">
        <f t="shared" si="61"/>
        <v>27</v>
      </c>
      <c r="AM66" s="72">
        <v>22</v>
      </c>
      <c r="AN66" s="125">
        <f t="shared" si="59"/>
        <v>49</v>
      </c>
      <c r="AO66" s="176"/>
      <c r="AP66" s="124">
        <f t="shared" si="45"/>
        <v>2</v>
      </c>
      <c r="AQ66" s="72">
        <v>19</v>
      </c>
      <c r="AR66" s="72">
        <v>25</v>
      </c>
      <c r="AS66" s="124">
        <f t="shared" si="13"/>
        <v>44</v>
      </c>
      <c r="AT66" s="175"/>
      <c r="AU66" s="124">
        <f t="shared" si="46"/>
        <v>5</v>
      </c>
      <c r="AV66" s="71">
        <v>12</v>
      </c>
      <c r="AW66" s="72">
        <v>16</v>
      </c>
      <c r="AX66" s="73">
        <f t="shared" si="62"/>
        <v>28</v>
      </c>
      <c r="AY66" s="72">
        <v>21</v>
      </c>
      <c r="AZ66" s="125">
        <f t="shared" si="47"/>
        <v>49</v>
      </c>
      <c r="BA66" s="176"/>
      <c r="BB66" s="124">
        <f t="shared" si="48"/>
        <v>2</v>
      </c>
      <c r="BC66" s="71">
        <v>8</v>
      </c>
      <c r="BD66" s="72">
        <v>6</v>
      </c>
      <c r="BE66" s="73">
        <f t="shared" si="63"/>
        <v>14</v>
      </c>
      <c r="BF66" s="72">
        <v>29</v>
      </c>
      <c r="BG66" s="125">
        <f t="shared" si="49"/>
        <v>43</v>
      </c>
      <c r="BH66" s="176"/>
      <c r="BI66" s="124">
        <f t="shared" si="50"/>
        <v>2</v>
      </c>
      <c r="BJ66" s="71">
        <v>3</v>
      </c>
      <c r="BK66" s="72">
        <v>38</v>
      </c>
      <c r="BL66" s="125">
        <f t="shared" si="51"/>
        <v>41</v>
      </c>
      <c r="BM66" s="125">
        <f t="shared" si="19"/>
        <v>41</v>
      </c>
      <c r="BN66" s="176"/>
      <c r="BO66" s="124">
        <f t="shared" si="2"/>
        <v>5</v>
      </c>
      <c r="BP66" s="124" t="str">
        <f t="shared" si="20"/>
        <v>F</v>
      </c>
      <c r="BQ66" s="70" t="str">
        <f t="shared" si="21"/>
        <v>F</v>
      </c>
      <c r="BR66" s="70" t="str">
        <f t="shared" si="52"/>
        <v>F</v>
      </c>
      <c r="BS66" s="124" t="str">
        <f t="shared" si="3"/>
        <v>NEED TO PROGRESS</v>
      </c>
      <c r="BT66" s="125">
        <f t="shared" si="23"/>
        <v>335</v>
      </c>
      <c r="BU66" s="124"/>
      <c r="BV66" s="124"/>
    </row>
    <row r="67" spans="1:74" s="68" customFormat="1" ht="27.95" customHeight="1">
      <c r="A67" s="67">
        <v>60</v>
      </c>
      <c r="B67" s="37">
        <v>68</v>
      </c>
      <c r="C67" s="34" t="s">
        <v>308</v>
      </c>
      <c r="D67" s="34" t="s">
        <v>309</v>
      </c>
      <c r="E67" s="34" t="s">
        <v>310</v>
      </c>
      <c r="F67" s="51" t="s">
        <v>311</v>
      </c>
      <c r="G67" s="124">
        <v>13</v>
      </c>
      <c r="H67" s="124">
        <v>35</v>
      </c>
      <c r="I67" s="125">
        <f t="shared" si="53"/>
        <v>48</v>
      </c>
      <c r="J67" s="124">
        <v>20</v>
      </c>
      <c r="K67" s="125">
        <f t="shared" si="54"/>
        <v>68</v>
      </c>
      <c r="L67" s="124">
        <v>10</v>
      </c>
      <c r="M67" s="124">
        <v>26</v>
      </c>
      <c r="N67" s="125">
        <f t="shared" si="55"/>
        <v>36</v>
      </c>
      <c r="O67" s="125">
        <f t="shared" si="4"/>
        <v>36</v>
      </c>
      <c r="P67" s="125">
        <f t="shared" si="0"/>
        <v>104</v>
      </c>
      <c r="Q67" s="176"/>
      <c r="R67" s="124">
        <f t="shared" si="40"/>
        <v>3.5</v>
      </c>
      <c r="S67" s="71">
        <v>15</v>
      </c>
      <c r="T67" s="72">
        <v>35</v>
      </c>
      <c r="U67" s="73">
        <f t="shared" si="56"/>
        <v>50</v>
      </c>
      <c r="V67" s="72">
        <v>6</v>
      </c>
      <c r="W67" s="72">
        <v>15</v>
      </c>
      <c r="X67" s="125">
        <f t="shared" si="41"/>
        <v>21</v>
      </c>
      <c r="Y67" s="125">
        <f t="shared" si="57"/>
        <v>71</v>
      </c>
      <c r="Z67" s="125">
        <f t="shared" si="58"/>
        <v>71</v>
      </c>
      <c r="AA67" s="176"/>
      <c r="AB67" s="124">
        <f t="shared" si="42"/>
        <v>2</v>
      </c>
      <c r="AC67" s="71">
        <v>9</v>
      </c>
      <c r="AD67" s="72">
        <v>17</v>
      </c>
      <c r="AE67" s="73">
        <f t="shared" si="60"/>
        <v>26</v>
      </c>
      <c r="AF67" s="72">
        <v>14</v>
      </c>
      <c r="AG67" s="125">
        <f t="shared" si="43"/>
        <v>40</v>
      </c>
      <c r="AH67" s="176"/>
      <c r="AI67" s="124">
        <f t="shared" si="44"/>
        <v>2</v>
      </c>
      <c r="AJ67" s="71">
        <v>16</v>
      </c>
      <c r="AK67" s="72">
        <v>33</v>
      </c>
      <c r="AL67" s="73">
        <f t="shared" si="61"/>
        <v>49</v>
      </c>
      <c r="AM67" s="72">
        <v>14</v>
      </c>
      <c r="AN67" s="125">
        <f t="shared" si="59"/>
        <v>63</v>
      </c>
      <c r="AO67" s="176"/>
      <c r="AP67" s="124">
        <f t="shared" si="45"/>
        <v>3.5</v>
      </c>
      <c r="AQ67" s="72">
        <v>20</v>
      </c>
      <c r="AR67" s="72">
        <v>25</v>
      </c>
      <c r="AS67" s="124">
        <f t="shared" si="13"/>
        <v>45</v>
      </c>
      <c r="AT67" s="175"/>
      <c r="AU67" s="124">
        <f t="shared" si="46"/>
        <v>5</v>
      </c>
      <c r="AV67" s="71">
        <v>18</v>
      </c>
      <c r="AW67" s="72">
        <v>22</v>
      </c>
      <c r="AX67" s="73">
        <f t="shared" si="62"/>
        <v>40</v>
      </c>
      <c r="AY67" s="72">
        <v>20</v>
      </c>
      <c r="AZ67" s="125">
        <f t="shared" si="47"/>
        <v>60</v>
      </c>
      <c r="BA67" s="176"/>
      <c r="BB67" s="124">
        <f t="shared" si="48"/>
        <v>3.5</v>
      </c>
      <c r="BC67" s="71">
        <v>6</v>
      </c>
      <c r="BD67" s="72">
        <v>25</v>
      </c>
      <c r="BE67" s="73">
        <f t="shared" si="63"/>
        <v>31</v>
      </c>
      <c r="BF67" s="72">
        <v>20</v>
      </c>
      <c r="BG67" s="125">
        <f t="shared" si="49"/>
        <v>51</v>
      </c>
      <c r="BH67" s="176"/>
      <c r="BI67" s="124">
        <f t="shared" si="50"/>
        <v>3</v>
      </c>
      <c r="BJ67" s="71">
        <v>10</v>
      </c>
      <c r="BK67" s="72">
        <v>38</v>
      </c>
      <c r="BL67" s="125">
        <f t="shared" si="51"/>
        <v>48</v>
      </c>
      <c r="BM67" s="125">
        <f t="shared" si="19"/>
        <v>48</v>
      </c>
      <c r="BN67" s="176"/>
      <c r="BO67" s="124">
        <f t="shared" si="2"/>
        <v>5</v>
      </c>
      <c r="BP67" s="124">
        <f t="shared" si="20"/>
        <v>27.5</v>
      </c>
      <c r="BQ67" s="70">
        <f t="shared" si="21"/>
        <v>3.4375</v>
      </c>
      <c r="BR67" s="70" t="str">
        <f t="shared" si="52"/>
        <v>B</v>
      </c>
      <c r="BS67" s="124" t="str">
        <f t="shared" si="3"/>
        <v>GOOD</v>
      </c>
      <c r="BT67" s="125">
        <f t="shared" si="23"/>
        <v>482</v>
      </c>
      <c r="BU67" s="124"/>
      <c r="BV67" s="124"/>
    </row>
    <row r="68" spans="1:74" s="68" customFormat="1" ht="27.95" customHeight="1">
      <c r="A68" s="67">
        <v>61</v>
      </c>
      <c r="B68" s="37">
        <v>69</v>
      </c>
      <c r="C68" s="34" t="s">
        <v>79</v>
      </c>
      <c r="D68" s="34" t="s">
        <v>312</v>
      </c>
      <c r="E68" s="34" t="s">
        <v>313</v>
      </c>
      <c r="F68" s="51" t="s">
        <v>314</v>
      </c>
      <c r="G68" s="124">
        <v>9</v>
      </c>
      <c r="H68" s="124">
        <v>18</v>
      </c>
      <c r="I68" s="125">
        <f t="shared" si="53"/>
        <v>27</v>
      </c>
      <c r="J68" s="124">
        <v>20</v>
      </c>
      <c r="K68" s="125">
        <f t="shared" si="54"/>
        <v>47</v>
      </c>
      <c r="L68" s="124">
        <v>6</v>
      </c>
      <c r="M68" s="124">
        <v>16</v>
      </c>
      <c r="N68" s="125">
        <f t="shared" si="55"/>
        <v>22</v>
      </c>
      <c r="O68" s="125">
        <f t="shared" si="4"/>
        <v>22</v>
      </c>
      <c r="P68" s="125">
        <f t="shared" si="0"/>
        <v>69</v>
      </c>
      <c r="Q68" s="176"/>
      <c r="R68" s="124">
        <f t="shared" si="40"/>
        <v>2</v>
      </c>
      <c r="S68" s="134">
        <v>10</v>
      </c>
      <c r="T68" s="133">
        <v>32</v>
      </c>
      <c r="U68" s="135">
        <f t="shared" si="56"/>
        <v>42</v>
      </c>
      <c r="V68" s="133">
        <v>2</v>
      </c>
      <c r="W68" s="133">
        <v>8</v>
      </c>
      <c r="X68" s="125">
        <f t="shared" si="41"/>
        <v>10</v>
      </c>
      <c r="Y68" s="125">
        <f t="shared" si="57"/>
        <v>52</v>
      </c>
      <c r="Z68" s="125">
        <f t="shared" si="58"/>
        <v>52</v>
      </c>
      <c r="AA68" s="176"/>
      <c r="AB68" s="124" t="str">
        <f t="shared" si="42"/>
        <v>F</v>
      </c>
      <c r="AC68" s="134">
        <v>9</v>
      </c>
      <c r="AD68" s="133">
        <v>9</v>
      </c>
      <c r="AE68" s="135">
        <f t="shared" si="60"/>
        <v>18</v>
      </c>
      <c r="AF68" s="133">
        <v>9</v>
      </c>
      <c r="AG68" s="125">
        <f t="shared" si="43"/>
        <v>27</v>
      </c>
      <c r="AH68" s="176"/>
      <c r="AI68" s="124" t="str">
        <f t="shared" si="44"/>
        <v>F</v>
      </c>
      <c r="AJ68" s="134">
        <v>8</v>
      </c>
      <c r="AK68" s="133">
        <v>24</v>
      </c>
      <c r="AL68" s="135">
        <f t="shared" si="61"/>
        <v>32</v>
      </c>
      <c r="AM68" s="133">
        <v>21</v>
      </c>
      <c r="AN68" s="125">
        <f t="shared" si="59"/>
        <v>53</v>
      </c>
      <c r="AO68" s="176"/>
      <c r="AP68" s="124">
        <f t="shared" si="45"/>
        <v>3</v>
      </c>
      <c r="AQ68" s="124">
        <v>23</v>
      </c>
      <c r="AR68" s="124">
        <v>25</v>
      </c>
      <c r="AS68" s="124">
        <f t="shared" si="13"/>
        <v>48</v>
      </c>
      <c r="AT68" s="175"/>
      <c r="AU68" s="124">
        <f t="shared" si="46"/>
        <v>5</v>
      </c>
      <c r="AV68" s="134">
        <v>10</v>
      </c>
      <c r="AW68" s="133">
        <v>20</v>
      </c>
      <c r="AX68" s="135">
        <f t="shared" si="62"/>
        <v>30</v>
      </c>
      <c r="AY68" s="133">
        <v>13</v>
      </c>
      <c r="AZ68" s="125">
        <f t="shared" si="47"/>
        <v>43</v>
      </c>
      <c r="BA68" s="176"/>
      <c r="BB68" s="124">
        <f t="shared" si="48"/>
        <v>2</v>
      </c>
      <c r="BC68" s="134">
        <v>9</v>
      </c>
      <c r="BD68" s="133">
        <v>22</v>
      </c>
      <c r="BE68" s="135">
        <f t="shared" si="63"/>
        <v>31</v>
      </c>
      <c r="BF68" s="133">
        <v>16</v>
      </c>
      <c r="BG68" s="125">
        <f t="shared" si="49"/>
        <v>47</v>
      </c>
      <c r="BH68" s="176"/>
      <c r="BI68" s="124">
        <f t="shared" si="50"/>
        <v>2</v>
      </c>
      <c r="BJ68" s="134">
        <v>10</v>
      </c>
      <c r="BK68" s="133">
        <v>24</v>
      </c>
      <c r="BL68" s="125">
        <f t="shared" si="51"/>
        <v>34</v>
      </c>
      <c r="BM68" s="125">
        <f t="shared" si="19"/>
        <v>34</v>
      </c>
      <c r="BN68" s="176"/>
      <c r="BO68" s="124">
        <f t="shared" si="2"/>
        <v>3.5</v>
      </c>
      <c r="BP68" s="124" t="str">
        <f t="shared" si="20"/>
        <v>F</v>
      </c>
      <c r="BQ68" s="70" t="str">
        <f t="shared" si="21"/>
        <v>F</v>
      </c>
      <c r="BR68" s="70" t="str">
        <f t="shared" si="52"/>
        <v>F</v>
      </c>
      <c r="BS68" s="124" t="str">
        <f t="shared" si="3"/>
        <v>NEED TO PROGRESS</v>
      </c>
      <c r="BT68" s="125">
        <f t="shared" si="23"/>
        <v>373</v>
      </c>
      <c r="BU68" s="124"/>
      <c r="BV68" s="124"/>
    </row>
    <row r="69" spans="1:74" s="68" customFormat="1" ht="27.95" customHeight="1">
      <c r="A69" s="67">
        <v>62</v>
      </c>
      <c r="B69" s="37">
        <v>70</v>
      </c>
      <c r="C69" s="34" t="s">
        <v>315</v>
      </c>
      <c r="D69" s="34" t="s">
        <v>316</v>
      </c>
      <c r="E69" s="34" t="s">
        <v>317</v>
      </c>
      <c r="F69" s="51" t="s">
        <v>318</v>
      </c>
      <c r="G69" s="124">
        <v>10</v>
      </c>
      <c r="H69" s="124">
        <v>24</v>
      </c>
      <c r="I69" s="125">
        <f t="shared" si="53"/>
        <v>34</v>
      </c>
      <c r="J69" s="124">
        <v>20</v>
      </c>
      <c r="K69" s="125">
        <f t="shared" si="54"/>
        <v>54</v>
      </c>
      <c r="L69" s="124">
        <v>10</v>
      </c>
      <c r="M69" s="124">
        <v>27</v>
      </c>
      <c r="N69" s="125">
        <f t="shared" si="55"/>
        <v>37</v>
      </c>
      <c r="O69" s="125">
        <f t="shared" si="4"/>
        <v>37</v>
      </c>
      <c r="P69" s="125">
        <f t="shared" si="0"/>
        <v>91</v>
      </c>
      <c r="Q69" s="176"/>
      <c r="R69" s="124">
        <f t="shared" si="40"/>
        <v>3</v>
      </c>
      <c r="S69" s="71">
        <v>17</v>
      </c>
      <c r="T69" s="72">
        <v>39</v>
      </c>
      <c r="U69" s="73">
        <f t="shared" si="56"/>
        <v>56</v>
      </c>
      <c r="V69" s="72">
        <v>6</v>
      </c>
      <c r="W69" s="72">
        <v>7</v>
      </c>
      <c r="X69" s="125">
        <f t="shared" si="41"/>
        <v>13</v>
      </c>
      <c r="Y69" s="125">
        <f t="shared" si="57"/>
        <v>69</v>
      </c>
      <c r="Z69" s="125">
        <f t="shared" si="58"/>
        <v>69</v>
      </c>
      <c r="AA69" s="176"/>
      <c r="AB69" s="124">
        <f t="shared" si="42"/>
        <v>2</v>
      </c>
      <c r="AC69" s="71">
        <v>9</v>
      </c>
      <c r="AD69" s="72">
        <v>23</v>
      </c>
      <c r="AE69" s="73">
        <f t="shared" si="60"/>
        <v>32</v>
      </c>
      <c r="AF69" s="72">
        <v>12</v>
      </c>
      <c r="AG69" s="125">
        <f t="shared" si="43"/>
        <v>44</v>
      </c>
      <c r="AH69" s="176"/>
      <c r="AI69" s="124">
        <f t="shared" si="44"/>
        <v>2</v>
      </c>
      <c r="AJ69" s="71">
        <v>16</v>
      </c>
      <c r="AK69" s="72">
        <v>31</v>
      </c>
      <c r="AL69" s="73">
        <f t="shared" si="61"/>
        <v>47</v>
      </c>
      <c r="AM69" s="72">
        <v>20</v>
      </c>
      <c r="AN69" s="125">
        <f t="shared" si="59"/>
        <v>67</v>
      </c>
      <c r="AO69" s="176"/>
      <c r="AP69" s="124">
        <f t="shared" si="45"/>
        <v>3.5</v>
      </c>
      <c r="AQ69" s="124">
        <v>20</v>
      </c>
      <c r="AR69" s="124">
        <v>25</v>
      </c>
      <c r="AS69" s="124">
        <f t="shared" si="13"/>
        <v>45</v>
      </c>
      <c r="AT69" s="175"/>
      <c r="AU69" s="124">
        <f t="shared" si="46"/>
        <v>5</v>
      </c>
      <c r="AV69" s="71">
        <v>15</v>
      </c>
      <c r="AW69" s="72">
        <v>22</v>
      </c>
      <c r="AX69" s="73">
        <f t="shared" si="62"/>
        <v>37</v>
      </c>
      <c r="AY69" s="72">
        <v>30</v>
      </c>
      <c r="AZ69" s="125">
        <f t="shared" si="47"/>
        <v>67</v>
      </c>
      <c r="BA69" s="176"/>
      <c r="BB69" s="124">
        <f t="shared" si="48"/>
        <v>3.5</v>
      </c>
      <c r="BC69" s="71">
        <v>11</v>
      </c>
      <c r="BD69" s="72">
        <v>8</v>
      </c>
      <c r="BE69" s="73">
        <f t="shared" si="63"/>
        <v>19</v>
      </c>
      <c r="BF69" s="72">
        <v>12</v>
      </c>
      <c r="BG69" s="125">
        <f t="shared" si="49"/>
        <v>31</v>
      </c>
      <c r="BH69" s="176"/>
      <c r="BI69" s="124" t="str">
        <f t="shared" si="50"/>
        <v>F</v>
      </c>
      <c r="BJ69" s="71">
        <v>8</v>
      </c>
      <c r="BK69" s="72">
        <v>30</v>
      </c>
      <c r="BL69" s="125">
        <f t="shared" si="51"/>
        <v>38</v>
      </c>
      <c r="BM69" s="125">
        <f t="shared" si="19"/>
        <v>38</v>
      </c>
      <c r="BN69" s="176"/>
      <c r="BO69" s="124">
        <f t="shared" si="2"/>
        <v>4</v>
      </c>
      <c r="BP69" s="124" t="str">
        <f t="shared" si="20"/>
        <v>F</v>
      </c>
      <c r="BQ69" s="70" t="str">
        <f t="shared" si="21"/>
        <v>F</v>
      </c>
      <c r="BR69" s="70" t="str">
        <f t="shared" si="52"/>
        <v>F</v>
      </c>
      <c r="BS69" s="124" t="str">
        <f t="shared" si="3"/>
        <v>NEED TO PROGRESS</v>
      </c>
      <c r="BT69" s="125">
        <f t="shared" si="23"/>
        <v>452</v>
      </c>
      <c r="BU69" s="124"/>
      <c r="BV69" s="124"/>
    </row>
    <row r="70" spans="1:74" s="68" customFormat="1" ht="27.95" customHeight="1">
      <c r="A70" s="67">
        <v>63</v>
      </c>
      <c r="B70" s="37">
        <v>76</v>
      </c>
      <c r="C70" s="34" t="s">
        <v>319</v>
      </c>
      <c r="D70" s="34" t="s">
        <v>320</v>
      </c>
      <c r="E70" s="34" t="s">
        <v>321</v>
      </c>
      <c r="F70" s="51" t="s">
        <v>322</v>
      </c>
      <c r="G70" s="124">
        <v>8</v>
      </c>
      <c r="H70" s="124">
        <v>20</v>
      </c>
      <c r="I70" s="125">
        <f t="shared" si="53"/>
        <v>28</v>
      </c>
      <c r="J70" s="124">
        <v>20</v>
      </c>
      <c r="K70" s="125">
        <f t="shared" si="54"/>
        <v>48</v>
      </c>
      <c r="L70" s="124">
        <v>7</v>
      </c>
      <c r="M70" s="124">
        <v>24</v>
      </c>
      <c r="N70" s="125">
        <f t="shared" si="55"/>
        <v>31</v>
      </c>
      <c r="O70" s="125">
        <f t="shared" si="4"/>
        <v>31</v>
      </c>
      <c r="P70" s="125">
        <f t="shared" si="0"/>
        <v>79</v>
      </c>
      <c r="Q70" s="176"/>
      <c r="R70" s="124">
        <f t="shared" si="40"/>
        <v>3</v>
      </c>
      <c r="S70" s="71">
        <v>15</v>
      </c>
      <c r="T70" s="72">
        <v>67</v>
      </c>
      <c r="U70" s="73">
        <f t="shared" si="56"/>
        <v>82</v>
      </c>
      <c r="V70" s="72">
        <v>4</v>
      </c>
      <c r="W70" s="72">
        <v>16</v>
      </c>
      <c r="X70" s="125">
        <f t="shared" si="41"/>
        <v>20</v>
      </c>
      <c r="Y70" s="125">
        <f t="shared" si="57"/>
        <v>102</v>
      </c>
      <c r="Z70" s="125">
        <f t="shared" si="58"/>
        <v>102</v>
      </c>
      <c r="AA70" s="176"/>
      <c r="AB70" s="124">
        <f t="shared" si="42"/>
        <v>3.5</v>
      </c>
      <c r="AC70" s="71">
        <v>10</v>
      </c>
      <c r="AD70" s="72">
        <v>18</v>
      </c>
      <c r="AE70" s="73">
        <f t="shared" si="60"/>
        <v>28</v>
      </c>
      <c r="AF70" s="72">
        <v>12</v>
      </c>
      <c r="AG70" s="125">
        <f t="shared" si="43"/>
        <v>40</v>
      </c>
      <c r="AH70" s="176"/>
      <c r="AI70" s="124">
        <f t="shared" si="44"/>
        <v>2</v>
      </c>
      <c r="AJ70" s="71">
        <v>10</v>
      </c>
      <c r="AK70" s="72">
        <v>18</v>
      </c>
      <c r="AL70" s="73">
        <f t="shared" si="61"/>
        <v>28</v>
      </c>
      <c r="AM70" s="72">
        <v>12</v>
      </c>
      <c r="AN70" s="125">
        <f t="shared" si="59"/>
        <v>40</v>
      </c>
      <c r="AO70" s="176"/>
      <c r="AP70" s="124">
        <f t="shared" si="45"/>
        <v>2</v>
      </c>
      <c r="AQ70" s="124">
        <v>16</v>
      </c>
      <c r="AR70" s="124">
        <v>25</v>
      </c>
      <c r="AS70" s="124">
        <f t="shared" si="13"/>
        <v>41</v>
      </c>
      <c r="AT70" s="175"/>
      <c r="AU70" s="124">
        <f t="shared" si="46"/>
        <v>5</v>
      </c>
      <c r="AV70" s="71">
        <v>17</v>
      </c>
      <c r="AW70" s="72">
        <v>26</v>
      </c>
      <c r="AX70" s="73">
        <f t="shared" si="62"/>
        <v>43</v>
      </c>
      <c r="AY70" s="72">
        <v>21</v>
      </c>
      <c r="AZ70" s="125">
        <f t="shared" si="47"/>
        <v>64</v>
      </c>
      <c r="BA70" s="176"/>
      <c r="BB70" s="124">
        <f t="shared" si="48"/>
        <v>3.5</v>
      </c>
      <c r="BC70" s="71">
        <v>10</v>
      </c>
      <c r="BD70" s="72">
        <v>19</v>
      </c>
      <c r="BE70" s="73">
        <f t="shared" si="63"/>
        <v>29</v>
      </c>
      <c r="BF70" s="72">
        <v>23</v>
      </c>
      <c r="BG70" s="125">
        <f t="shared" si="49"/>
        <v>52</v>
      </c>
      <c r="BH70" s="176"/>
      <c r="BI70" s="124">
        <f t="shared" si="50"/>
        <v>3</v>
      </c>
      <c r="BJ70" s="71">
        <v>8</v>
      </c>
      <c r="BK70" s="72">
        <v>36</v>
      </c>
      <c r="BL70" s="125">
        <f t="shared" si="51"/>
        <v>44</v>
      </c>
      <c r="BM70" s="125">
        <f t="shared" si="19"/>
        <v>44</v>
      </c>
      <c r="BN70" s="176"/>
      <c r="BO70" s="124">
        <f t="shared" si="2"/>
        <v>5</v>
      </c>
      <c r="BP70" s="124">
        <f t="shared" si="20"/>
        <v>27</v>
      </c>
      <c r="BQ70" s="70">
        <f t="shared" si="21"/>
        <v>3.375</v>
      </c>
      <c r="BR70" s="70" t="str">
        <f t="shared" si="52"/>
        <v>B</v>
      </c>
      <c r="BS70" s="124" t="str">
        <f t="shared" si="3"/>
        <v>GOOD</v>
      </c>
      <c r="BT70" s="125">
        <f t="shared" si="23"/>
        <v>462</v>
      </c>
      <c r="BU70" s="124"/>
      <c r="BV70" s="124"/>
    </row>
    <row r="71" spans="1:74" s="68" customFormat="1" ht="27.95" customHeight="1">
      <c r="A71" s="67">
        <v>64</v>
      </c>
      <c r="B71" s="37">
        <v>77</v>
      </c>
      <c r="C71" s="34" t="s">
        <v>323</v>
      </c>
      <c r="D71" s="34" t="s">
        <v>324</v>
      </c>
      <c r="E71" s="34" t="s">
        <v>325</v>
      </c>
      <c r="F71" s="51" t="s">
        <v>326</v>
      </c>
      <c r="G71" s="124">
        <v>9</v>
      </c>
      <c r="H71" s="124">
        <v>19</v>
      </c>
      <c r="I71" s="125">
        <f t="shared" si="53"/>
        <v>28</v>
      </c>
      <c r="J71" s="124">
        <v>13</v>
      </c>
      <c r="K71" s="125">
        <f t="shared" si="54"/>
        <v>41</v>
      </c>
      <c r="L71" s="124">
        <v>5</v>
      </c>
      <c r="M71" s="124">
        <v>16</v>
      </c>
      <c r="N71" s="125">
        <f t="shared" si="55"/>
        <v>21</v>
      </c>
      <c r="O71" s="125">
        <f t="shared" si="4"/>
        <v>21</v>
      </c>
      <c r="P71" s="125">
        <f t="shared" si="0"/>
        <v>62</v>
      </c>
      <c r="Q71" s="176"/>
      <c r="R71" s="124">
        <f t="shared" si="40"/>
        <v>2</v>
      </c>
      <c r="S71" s="134">
        <v>10</v>
      </c>
      <c r="T71" s="133">
        <v>32</v>
      </c>
      <c r="U71" s="135">
        <f t="shared" si="56"/>
        <v>42</v>
      </c>
      <c r="V71" s="133">
        <v>2</v>
      </c>
      <c r="W71" s="133">
        <v>10</v>
      </c>
      <c r="X71" s="125">
        <f t="shared" si="41"/>
        <v>12</v>
      </c>
      <c r="Y71" s="125">
        <f t="shared" si="57"/>
        <v>54</v>
      </c>
      <c r="Z71" s="125">
        <f t="shared" si="58"/>
        <v>54</v>
      </c>
      <c r="AA71" s="176"/>
      <c r="AB71" s="124" t="str">
        <f t="shared" si="42"/>
        <v>F</v>
      </c>
      <c r="AC71" s="134">
        <v>5</v>
      </c>
      <c r="AD71" s="133">
        <v>7</v>
      </c>
      <c r="AE71" s="135">
        <f t="shared" si="60"/>
        <v>12</v>
      </c>
      <c r="AF71" s="133">
        <v>6</v>
      </c>
      <c r="AG71" s="125">
        <f t="shared" si="43"/>
        <v>18</v>
      </c>
      <c r="AH71" s="176"/>
      <c r="AI71" s="124" t="str">
        <f t="shared" si="44"/>
        <v>F</v>
      </c>
      <c r="AJ71" s="134">
        <v>8</v>
      </c>
      <c r="AK71" s="133">
        <v>14</v>
      </c>
      <c r="AL71" s="135">
        <f t="shared" si="61"/>
        <v>22</v>
      </c>
      <c r="AM71" s="133">
        <v>11</v>
      </c>
      <c r="AN71" s="125">
        <f t="shared" si="59"/>
        <v>33</v>
      </c>
      <c r="AO71" s="176"/>
      <c r="AP71" s="124" t="str">
        <f t="shared" si="45"/>
        <v>F</v>
      </c>
      <c r="AQ71" s="124">
        <v>19</v>
      </c>
      <c r="AR71" s="124">
        <v>25</v>
      </c>
      <c r="AS71" s="124">
        <f t="shared" si="13"/>
        <v>44</v>
      </c>
      <c r="AT71" s="175"/>
      <c r="AU71" s="124">
        <f t="shared" si="46"/>
        <v>5</v>
      </c>
      <c r="AV71" s="134">
        <v>8</v>
      </c>
      <c r="AW71" s="133">
        <v>1</v>
      </c>
      <c r="AX71" s="135">
        <f t="shared" si="62"/>
        <v>9</v>
      </c>
      <c r="AY71" s="133">
        <v>26</v>
      </c>
      <c r="AZ71" s="125">
        <f t="shared" si="47"/>
        <v>35</v>
      </c>
      <c r="BA71" s="176"/>
      <c r="BB71" s="124" t="str">
        <f t="shared" si="48"/>
        <v>F</v>
      </c>
      <c r="BC71" s="134">
        <v>9</v>
      </c>
      <c r="BD71" s="133">
        <v>19</v>
      </c>
      <c r="BE71" s="135">
        <f t="shared" si="63"/>
        <v>28</v>
      </c>
      <c r="BF71" s="133">
        <v>17</v>
      </c>
      <c r="BG71" s="125">
        <f t="shared" si="49"/>
        <v>45</v>
      </c>
      <c r="BH71" s="176"/>
      <c r="BI71" s="124">
        <f t="shared" si="50"/>
        <v>2</v>
      </c>
      <c r="BJ71" s="134">
        <v>10</v>
      </c>
      <c r="BK71" s="133">
        <v>28</v>
      </c>
      <c r="BL71" s="125">
        <f t="shared" si="51"/>
        <v>38</v>
      </c>
      <c r="BM71" s="125">
        <f t="shared" si="19"/>
        <v>38</v>
      </c>
      <c r="BN71" s="176"/>
      <c r="BO71" s="124">
        <f t="shared" si="2"/>
        <v>4</v>
      </c>
      <c r="BP71" s="124" t="str">
        <f t="shared" si="20"/>
        <v>F</v>
      </c>
      <c r="BQ71" s="70" t="str">
        <f t="shared" si="21"/>
        <v>F</v>
      </c>
      <c r="BR71" s="70" t="str">
        <f t="shared" si="52"/>
        <v>F</v>
      </c>
      <c r="BS71" s="124" t="str">
        <f t="shared" si="3"/>
        <v>NEED TO PROGRESS</v>
      </c>
      <c r="BT71" s="125">
        <f t="shared" si="23"/>
        <v>329</v>
      </c>
      <c r="BU71" s="124"/>
      <c r="BV71" s="124"/>
    </row>
    <row r="72" spans="1:74" s="68" customFormat="1" ht="27.95" customHeight="1">
      <c r="A72" s="67">
        <v>65</v>
      </c>
      <c r="B72" s="37">
        <v>78</v>
      </c>
      <c r="C72" s="34" t="s">
        <v>327</v>
      </c>
      <c r="D72" s="34" t="s">
        <v>328</v>
      </c>
      <c r="E72" s="34" t="s">
        <v>329</v>
      </c>
      <c r="F72" s="51" t="s">
        <v>330</v>
      </c>
      <c r="G72" s="124">
        <v>12</v>
      </c>
      <c r="H72" s="124">
        <v>28</v>
      </c>
      <c r="I72" s="125">
        <f t="shared" si="53"/>
        <v>40</v>
      </c>
      <c r="J72" s="124">
        <v>22</v>
      </c>
      <c r="K72" s="125">
        <f t="shared" si="54"/>
        <v>62</v>
      </c>
      <c r="L72" s="124">
        <v>9</v>
      </c>
      <c r="M72" s="124">
        <v>23</v>
      </c>
      <c r="N72" s="125">
        <f t="shared" si="55"/>
        <v>32</v>
      </c>
      <c r="O72" s="125">
        <f t="shared" si="4"/>
        <v>32</v>
      </c>
      <c r="P72" s="125">
        <f t="shared" ref="P72:P88" si="64">K72+O72</f>
        <v>94</v>
      </c>
      <c r="Q72" s="176"/>
      <c r="R72" s="124">
        <f t="shared" si="40"/>
        <v>3</v>
      </c>
      <c r="S72" s="71">
        <v>14</v>
      </c>
      <c r="T72" s="72">
        <v>0</v>
      </c>
      <c r="U72" s="73">
        <f t="shared" si="56"/>
        <v>14</v>
      </c>
      <c r="V72" s="72">
        <v>9</v>
      </c>
      <c r="W72" s="72">
        <v>17</v>
      </c>
      <c r="X72" s="125">
        <f t="shared" si="41"/>
        <v>26</v>
      </c>
      <c r="Y72" s="125">
        <f t="shared" si="57"/>
        <v>40</v>
      </c>
      <c r="Z72" s="125">
        <f t="shared" si="58"/>
        <v>40</v>
      </c>
      <c r="AA72" s="176"/>
      <c r="AB72" s="124" t="str">
        <f t="shared" si="42"/>
        <v>F</v>
      </c>
      <c r="AC72" s="71">
        <v>11</v>
      </c>
      <c r="AD72" s="72">
        <v>28</v>
      </c>
      <c r="AE72" s="73">
        <f t="shared" si="60"/>
        <v>39</v>
      </c>
      <c r="AF72" s="72">
        <v>13</v>
      </c>
      <c r="AG72" s="125">
        <f t="shared" si="43"/>
        <v>52</v>
      </c>
      <c r="AH72" s="176"/>
      <c r="AI72" s="124">
        <f t="shared" si="44"/>
        <v>3</v>
      </c>
      <c r="AJ72" s="71">
        <v>11</v>
      </c>
      <c r="AK72" s="72">
        <v>28</v>
      </c>
      <c r="AL72" s="73">
        <f t="shared" si="61"/>
        <v>39</v>
      </c>
      <c r="AM72" s="72">
        <v>13</v>
      </c>
      <c r="AN72" s="125">
        <f t="shared" si="59"/>
        <v>52</v>
      </c>
      <c r="AO72" s="176"/>
      <c r="AP72" s="124">
        <f t="shared" si="45"/>
        <v>3</v>
      </c>
      <c r="AQ72" s="124">
        <v>22</v>
      </c>
      <c r="AR72" s="124">
        <v>25</v>
      </c>
      <c r="AS72" s="124">
        <f t="shared" si="13"/>
        <v>47</v>
      </c>
      <c r="AT72" s="175"/>
      <c r="AU72" s="124">
        <f t="shared" si="46"/>
        <v>5</v>
      </c>
      <c r="AV72" s="71">
        <v>17</v>
      </c>
      <c r="AW72" s="72">
        <v>0</v>
      </c>
      <c r="AX72" s="73">
        <f>AW72+AV72</f>
        <v>17</v>
      </c>
      <c r="AY72" s="72">
        <v>0</v>
      </c>
      <c r="AZ72" s="125">
        <f t="shared" si="47"/>
        <v>17</v>
      </c>
      <c r="BA72" s="176"/>
      <c r="BB72" s="124" t="str">
        <f t="shared" si="48"/>
        <v>F</v>
      </c>
      <c r="BC72" s="71">
        <v>11</v>
      </c>
      <c r="BD72" s="72">
        <v>27</v>
      </c>
      <c r="BE72" s="73">
        <f>BD72+BC72</f>
        <v>38</v>
      </c>
      <c r="BF72" s="72">
        <v>22</v>
      </c>
      <c r="BG72" s="125">
        <f t="shared" si="49"/>
        <v>60</v>
      </c>
      <c r="BH72" s="176"/>
      <c r="BI72" s="124">
        <f t="shared" si="50"/>
        <v>3.5</v>
      </c>
      <c r="BJ72" s="71">
        <v>10</v>
      </c>
      <c r="BK72" s="72">
        <v>38</v>
      </c>
      <c r="BL72" s="125">
        <f t="shared" si="51"/>
        <v>48</v>
      </c>
      <c r="BM72" s="125">
        <f t="shared" si="19"/>
        <v>48</v>
      </c>
      <c r="BN72" s="176"/>
      <c r="BO72" s="124">
        <f t="shared" ref="BO72:BO88" si="65">IF(BL72&lt;20,"F",IF(BM72&lt;20,"F",IF(BM72&lt;25,2,IF(BM72&lt;30,3,IF(BM72&lt;35,3.5,IF(BM72&lt;40,4,5))))))</f>
        <v>5</v>
      </c>
      <c r="BP72" s="124" t="str">
        <f t="shared" si="20"/>
        <v>F</v>
      </c>
      <c r="BQ72" s="70" t="str">
        <f t="shared" si="21"/>
        <v>F</v>
      </c>
      <c r="BR72" s="70" t="str">
        <f t="shared" si="52"/>
        <v>F</v>
      </c>
      <c r="BS72" s="124" t="str">
        <f t="shared" ref="BS72:BS88" si="66">IF(BQ72="F","NEED TO PROGRESS",IF(BQ72&gt;=5,"BEST",IF(BQ72&gt;=4,"BETTER",IF(BQ72&gt;=2,"GOOD"))))</f>
        <v>NEED TO PROGRESS</v>
      </c>
      <c r="BT72" s="125">
        <f t="shared" si="23"/>
        <v>410</v>
      </c>
      <c r="BU72" s="124"/>
      <c r="BV72" s="124"/>
    </row>
    <row r="73" spans="1:74" s="68" customFormat="1" ht="27.95" customHeight="1">
      <c r="A73" s="67">
        <v>66</v>
      </c>
      <c r="B73" s="37">
        <v>79</v>
      </c>
      <c r="C73" s="34" t="s">
        <v>331</v>
      </c>
      <c r="D73" s="34" t="s">
        <v>332</v>
      </c>
      <c r="E73" s="34" t="s">
        <v>333</v>
      </c>
      <c r="F73" s="51" t="s">
        <v>334</v>
      </c>
      <c r="G73" s="124">
        <v>9</v>
      </c>
      <c r="H73" s="124">
        <v>19</v>
      </c>
      <c r="I73" s="125">
        <f t="shared" si="53"/>
        <v>28</v>
      </c>
      <c r="J73" s="124">
        <v>14</v>
      </c>
      <c r="K73" s="125">
        <f t="shared" si="54"/>
        <v>42</v>
      </c>
      <c r="L73" s="124">
        <v>7</v>
      </c>
      <c r="M73" s="124">
        <v>17</v>
      </c>
      <c r="N73" s="125">
        <f t="shared" si="55"/>
        <v>24</v>
      </c>
      <c r="O73" s="125">
        <f t="shared" ref="O73:O88" si="67">N73</f>
        <v>24</v>
      </c>
      <c r="P73" s="125">
        <f t="shared" si="64"/>
        <v>66</v>
      </c>
      <c r="Q73" s="176"/>
      <c r="R73" s="124">
        <f t="shared" si="40"/>
        <v>2</v>
      </c>
      <c r="S73" s="134">
        <v>13</v>
      </c>
      <c r="T73" s="133">
        <v>12</v>
      </c>
      <c r="U73" s="135">
        <f t="shared" si="56"/>
        <v>25</v>
      </c>
      <c r="V73" s="133">
        <v>4</v>
      </c>
      <c r="W73" s="133">
        <v>10</v>
      </c>
      <c r="X73" s="125">
        <f t="shared" si="41"/>
        <v>14</v>
      </c>
      <c r="Y73" s="125">
        <f t="shared" si="57"/>
        <v>39</v>
      </c>
      <c r="Z73" s="125">
        <f t="shared" si="58"/>
        <v>39</v>
      </c>
      <c r="AA73" s="176"/>
      <c r="AB73" s="124" t="str">
        <f t="shared" si="42"/>
        <v>F</v>
      </c>
      <c r="AC73" s="71">
        <v>3</v>
      </c>
      <c r="AD73" s="72">
        <v>25</v>
      </c>
      <c r="AE73" s="73">
        <f t="shared" si="60"/>
        <v>28</v>
      </c>
      <c r="AF73" s="72">
        <v>14</v>
      </c>
      <c r="AG73" s="125">
        <f t="shared" si="43"/>
        <v>42</v>
      </c>
      <c r="AH73" s="176"/>
      <c r="AI73" s="124">
        <f t="shared" si="44"/>
        <v>2</v>
      </c>
      <c r="AJ73" s="134">
        <v>11</v>
      </c>
      <c r="AK73" s="133">
        <v>25</v>
      </c>
      <c r="AL73" s="135">
        <f t="shared" si="61"/>
        <v>36</v>
      </c>
      <c r="AM73" s="133">
        <v>20</v>
      </c>
      <c r="AN73" s="125">
        <f t="shared" si="59"/>
        <v>56</v>
      </c>
      <c r="AO73" s="176"/>
      <c r="AP73" s="124">
        <f t="shared" si="45"/>
        <v>3</v>
      </c>
      <c r="AQ73" s="124">
        <v>15</v>
      </c>
      <c r="AR73" s="124">
        <v>25</v>
      </c>
      <c r="AS73" s="124">
        <f t="shared" ref="AS73:AS88" si="68">AQ73+AR73</f>
        <v>40</v>
      </c>
      <c r="AT73" s="175"/>
      <c r="AU73" s="124">
        <f t="shared" si="46"/>
        <v>5</v>
      </c>
      <c r="AV73" s="134">
        <v>10</v>
      </c>
      <c r="AW73" s="133">
        <v>1</v>
      </c>
      <c r="AX73" s="135">
        <f t="shared" ref="AX73:AX84" si="69">AW73+AV73</f>
        <v>11</v>
      </c>
      <c r="AY73" s="133">
        <v>19</v>
      </c>
      <c r="AZ73" s="125">
        <f t="shared" si="47"/>
        <v>30</v>
      </c>
      <c r="BA73" s="176"/>
      <c r="BB73" s="124" t="str">
        <f t="shared" si="48"/>
        <v>F</v>
      </c>
      <c r="BC73" s="134">
        <v>12</v>
      </c>
      <c r="BD73" s="133">
        <v>6</v>
      </c>
      <c r="BE73" s="135">
        <f t="shared" si="63"/>
        <v>18</v>
      </c>
      <c r="BF73" s="133">
        <v>16</v>
      </c>
      <c r="BG73" s="125">
        <f t="shared" si="49"/>
        <v>34</v>
      </c>
      <c r="BH73" s="176"/>
      <c r="BI73" s="124" t="str">
        <f t="shared" si="50"/>
        <v>F</v>
      </c>
      <c r="BJ73" s="134">
        <v>9</v>
      </c>
      <c r="BK73" s="133">
        <v>24</v>
      </c>
      <c r="BL73" s="125">
        <f t="shared" si="51"/>
        <v>33</v>
      </c>
      <c r="BM73" s="125">
        <f t="shared" ref="BM73:BM88" si="70">BL73</f>
        <v>33</v>
      </c>
      <c r="BN73" s="176"/>
      <c r="BO73" s="124">
        <f t="shared" si="65"/>
        <v>3.5</v>
      </c>
      <c r="BP73" s="124" t="str">
        <f t="shared" ref="BP73:BP88" si="71">IF(R73="F","F",IF(AB73="F","F",IF(AI73="F","F",IF(AP73="F","F",IF(BB73="F","F",IF(BI73="F","F",IF(AU73="F","F",IF(BO73="F","F",SUM(R73,AB73,AI73,AP73,AU73,BB73,BI73,BO73)))))))))</f>
        <v>F</v>
      </c>
      <c r="BQ73" s="70" t="str">
        <f t="shared" ref="BQ73:BQ88" si="72">IF(BP73="F","F",IF(BP73&gt;=45,5,IF(BP73&lt;45,BP73/8)))</f>
        <v>F</v>
      </c>
      <c r="BR73" s="70" t="str">
        <f t="shared" si="52"/>
        <v>F</v>
      </c>
      <c r="BS73" s="124" t="str">
        <f t="shared" si="66"/>
        <v>NEED TO PROGRESS</v>
      </c>
      <c r="BT73" s="125">
        <f t="shared" ref="BT73:BT88" si="73">P73+Z73+AG73+AN73+AS73+AZ73+BG73+BM73</f>
        <v>340</v>
      </c>
      <c r="BU73" s="124"/>
      <c r="BV73" s="124"/>
    </row>
    <row r="74" spans="1:74" s="68" customFormat="1" ht="27.95" customHeight="1">
      <c r="A74" s="67">
        <v>67</v>
      </c>
      <c r="B74" s="37">
        <v>80</v>
      </c>
      <c r="C74" s="34" t="s">
        <v>335</v>
      </c>
      <c r="D74" s="34" t="s">
        <v>336</v>
      </c>
      <c r="E74" s="34" t="s">
        <v>337</v>
      </c>
      <c r="F74" s="51" t="s">
        <v>338</v>
      </c>
      <c r="G74" s="124">
        <v>6</v>
      </c>
      <c r="H74" s="124">
        <v>4</v>
      </c>
      <c r="I74" s="125">
        <f t="shared" si="53"/>
        <v>10</v>
      </c>
      <c r="J74" s="124">
        <v>14</v>
      </c>
      <c r="K74" s="125">
        <f t="shared" si="54"/>
        <v>24</v>
      </c>
      <c r="L74" s="124">
        <v>9</v>
      </c>
      <c r="M74" s="124">
        <v>18</v>
      </c>
      <c r="N74" s="125">
        <f t="shared" si="55"/>
        <v>27</v>
      </c>
      <c r="O74" s="125">
        <f t="shared" si="67"/>
        <v>27</v>
      </c>
      <c r="P74" s="125">
        <f t="shared" si="64"/>
        <v>51</v>
      </c>
      <c r="Q74" s="176"/>
      <c r="R74" s="124" t="str">
        <f t="shared" si="40"/>
        <v>F</v>
      </c>
      <c r="S74" s="71">
        <v>16</v>
      </c>
      <c r="T74" s="72">
        <v>44</v>
      </c>
      <c r="U74" s="73">
        <f t="shared" si="56"/>
        <v>60</v>
      </c>
      <c r="V74" s="72">
        <v>5</v>
      </c>
      <c r="W74" s="72">
        <v>7</v>
      </c>
      <c r="X74" s="125">
        <f t="shared" si="41"/>
        <v>12</v>
      </c>
      <c r="Y74" s="125">
        <f t="shared" si="57"/>
        <v>72</v>
      </c>
      <c r="Z74" s="125">
        <f t="shared" si="58"/>
        <v>72</v>
      </c>
      <c r="AA74" s="176"/>
      <c r="AB74" s="124">
        <f t="shared" si="42"/>
        <v>2</v>
      </c>
      <c r="AC74" s="71">
        <v>3</v>
      </c>
      <c r="AD74" s="72">
        <v>25</v>
      </c>
      <c r="AE74" s="73">
        <f t="shared" ref="AE74:AE84" si="74">AD74+AC74</f>
        <v>28</v>
      </c>
      <c r="AF74" s="72">
        <v>14</v>
      </c>
      <c r="AG74" s="125">
        <f t="shared" si="43"/>
        <v>42</v>
      </c>
      <c r="AH74" s="176"/>
      <c r="AI74" s="124">
        <f t="shared" si="44"/>
        <v>2</v>
      </c>
      <c r="AJ74" s="71">
        <v>10</v>
      </c>
      <c r="AK74" s="72">
        <v>19</v>
      </c>
      <c r="AL74" s="73">
        <f t="shared" si="61"/>
        <v>29</v>
      </c>
      <c r="AM74" s="72">
        <v>20</v>
      </c>
      <c r="AN74" s="125">
        <f t="shared" si="59"/>
        <v>49</v>
      </c>
      <c r="AO74" s="176"/>
      <c r="AP74" s="124">
        <f t="shared" si="45"/>
        <v>2</v>
      </c>
      <c r="AQ74" s="124">
        <v>19</v>
      </c>
      <c r="AR74" s="124">
        <v>25</v>
      </c>
      <c r="AS74" s="124">
        <f t="shared" si="68"/>
        <v>44</v>
      </c>
      <c r="AT74" s="175"/>
      <c r="AU74" s="124">
        <f t="shared" si="46"/>
        <v>5</v>
      </c>
      <c r="AV74" s="71">
        <v>14</v>
      </c>
      <c r="AW74" s="72">
        <v>26</v>
      </c>
      <c r="AX74" s="73">
        <f t="shared" si="69"/>
        <v>40</v>
      </c>
      <c r="AY74" s="72">
        <v>26</v>
      </c>
      <c r="AZ74" s="125">
        <f t="shared" si="47"/>
        <v>66</v>
      </c>
      <c r="BA74" s="176"/>
      <c r="BB74" s="124">
        <f t="shared" si="48"/>
        <v>3.5</v>
      </c>
      <c r="BC74" s="71">
        <v>8</v>
      </c>
      <c r="BD74" s="72">
        <v>9</v>
      </c>
      <c r="BE74" s="73">
        <f t="shared" si="63"/>
        <v>17</v>
      </c>
      <c r="BF74" s="72">
        <v>29</v>
      </c>
      <c r="BG74" s="125">
        <f t="shared" si="49"/>
        <v>46</v>
      </c>
      <c r="BH74" s="176"/>
      <c r="BI74" s="124">
        <f t="shared" si="50"/>
        <v>2</v>
      </c>
      <c r="BJ74" s="71">
        <v>6</v>
      </c>
      <c r="BK74" s="72">
        <v>33</v>
      </c>
      <c r="BL74" s="125">
        <f t="shared" si="51"/>
        <v>39</v>
      </c>
      <c r="BM74" s="125">
        <f t="shared" si="70"/>
        <v>39</v>
      </c>
      <c r="BN74" s="176"/>
      <c r="BO74" s="124">
        <f t="shared" si="65"/>
        <v>4</v>
      </c>
      <c r="BP74" s="124" t="str">
        <f t="shared" si="71"/>
        <v>F</v>
      </c>
      <c r="BQ74" s="70" t="str">
        <f t="shared" si="72"/>
        <v>F</v>
      </c>
      <c r="BR74" s="70" t="str">
        <f t="shared" si="52"/>
        <v>F</v>
      </c>
      <c r="BS74" s="124" t="str">
        <f t="shared" si="66"/>
        <v>NEED TO PROGRESS</v>
      </c>
      <c r="BT74" s="125">
        <f t="shared" si="73"/>
        <v>409</v>
      </c>
      <c r="BU74" s="124"/>
      <c r="BV74" s="124"/>
    </row>
    <row r="75" spans="1:74" s="68" customFormat="1" ht="27.95" customHeight="1">
      <c r="A75" s="67">
        <v>68</v>
      </c>
      <c r="B75" s="37">
        <v>82</v>
      </c>
      <c r="C75" s="34" t="s">
        <v>339</v>
      </c>
      <c r="D75" s="34" t="s">
        <v>340</v>
      </c>
      <c r="E75" s="34" t="s">
        <v>341</v>
      </c>
      <c r="F75" s="51" t="s">
        <v>342</v>
      </c>
      <c r="G75" s="124">
        <v>11</v>
      </c>
      <c r="H75" s="124">
        <v>19</v>
      </c>
      <c r="I75" s="125">
        <f t="shared" si="53"/>
        <v>30</v>
      </c>
      <c r="J75" s="124">
        <v>18</v>
      </c>
      <c r="K75" s="125">
        <f t="shared" si="54"/>
        <v>48</v>
      </c>
      <c r="L75" s="124">
        <v>8</v>
      </c>
      <c r="M75" s="124">
        <v>20</v>
      </c>
      <c r="N75" s="125">
        <f t="shared" si="55"/>
        <v>28</v>
      </c>
      <c r="O75" s="125">
        <f t="shared" si="67"/>
        <v>28</v>
      </c>
      <c r="P75" s="125">
        <f t="shared" si="64"/>
        <v>76</v>
      </c>
      <c r="Q75" s="176"/>
      <c r="R75" s="124">
        <f t="shared" si="40"/>
        <v>3</v>
      </c>
      <c r="S75" s="71">
        <v>14</v>
      </c>
      <c r="T75" s="72">
        <v>48</v>
      </c>
      <c r="U75" s="73">
        <f t="shared" si="56"/>
        <v>62</v>
      </c>
      <c r="V75" s="72">
        <v>3</v>
      </c>
      <c r="W75" s="72">
        <v>17</v>
      </c>
      <c r="X75" s="125">
        <f t="shared" si="41"/>
        <v>20</v>
      </c>
      <c r="Y75" s="125">
        <f t="shared" si="57"/>
        <v>82</v>
      </c>
      <c r="Z75" s="125">
        <f t="shared" si="58"/>
        <v>82</v>
      </c>
      <c r="AA75" s="176"/>
      <c r="AB75" s="124">
        <f t="shared" si="42"/>
        <v>3</v>
      </c>
      <c r="AC75" s="71">
        <v>9</v>
      </c>
      <c r="AD75" s="72">
        <v>22</v>
      </c>
      <c r="AE75" s="73">
        <f t="shared" si="74"/>
        <v>31</v>
      </c>
      <c r="AF75" s="72">
        <v>15</v>
      </c>
      <c r="AG75" s="125">
        <f t="shared" si="43"/>
        <v>46</v>
      </c>
      <c r="AH75" s="176"/>
      <c r="AI75" s="124">
        <f t="shared" si="44"/>
        <v>2</v>
      </c>
      <c r="AJ75" s="71">
        <v>9</v>
      </c>
      <c r="AK75" s="72">
        <v>22</v>
      </c>
      <c r="AL75" s="73">
        <f t="shared" si="61"/>
        <v>31</v>
      </c>
      <c r="AM75" s="72">
        <v>15</v>
      </c>
      <c r="AN75" s="125">
        <f t="shared" si="59"/>
        <v>46</v>
      </c>
      <c r="AO75" s="176"/>
      <c r="AP75" s="124">
        <f t="shared" si="45"/>
        <v>2</v>
      </c>
      <c r="AQ75" s="72">
        <v>25</v>
      </c>
      <c r="AR75" s="72">
        <v>25</v>
      </c>
      <c r="AS75" s="124">
        <f t="shared" si="68"/>
        <v>50</v>
      </c>
      <c r="AT75" s="175"/>
      <c r="AU75" s="124">
        <f t="shared" si="46"/>
        <v>5</v>
      </c>
      <c r="AV75" s="71">
        <v>11</v>
      </c>
      <c r="AW75" s="72">
        <v>20</v>
      </c>
      <c r="AX75" s="73">
        <f t="shared" si="69"/>
        <v>31</v>
      </c>
      <c r="AY75" s="72">
        <v>29</v>
      </c>
      <c r="AZ75" s="125">
        <f t="shared" si="47"/>
        <v>60</v>
      </c>
      <c r="BA75" s="176"/>
      <c r="BB75" s="124">
        <f t="shared" si="48"/>
        <v>3.5</v>
      </c>
      <c r="BC75" s="71">
        <v>11</v>
      </c>
      <c r="BD75" s="72">
        <v>19</v>
      </c>
      <c r="BE75" s="73">
        <f t="shared" si="63"/>
        <v>30</v>
      </c>
      <c r="BF75" s="72">
        <v>28</v>
      </c>
      <c r="BG75" s="125">
        <f t="shared" si="49"/>
        <v>58</v>
      </c>
      <c r="BH75" s="176"/>
      <c r="BI75" s="124">
        <f t="shared" si="50"/>
        <v>3</v>
      </c>
      <c r="BJ75" s="71">
        <v>10</v>
      </c>
      <c r="BK75" s="72">
        <v>37</v>
      </c>
      <c r="BL75" s="125">
        <f t="shared" si="51"/>
        <v>47</v>
      </c>
      <c r="BM75" s="125">
        <f t="shared" si="70"/>
        <v>47</v>
      </c>
      <c r="BN75" s="176"/>
      <c r="BO75" s="124">
        <f t="shared" si="65"/>
        <v>5</v>
      </c>
      <c r="BP75" s="124">
        <f t="shared" si="71"/>
        <v>26.5</v>
      </c>
      <c r="BQ75" s="70">
        <f t="shared" si="72"/>
        <v>3.3125</v>
      </c>
      <c r="BR75" s="70" t="str">
        <f t="shared" si="52"/>
        <v>B</v>
      </c>
      <c r="BS75" s="124" t="str">
        <f t="shared" si="66"/>
        <v>GOOD</v>
      </c>
      <c r="BT75" s="125">
        <f t="shared" si="73"/>
        <v>465</v>
      </c>
      <c r="BU75" s="124"/>
      <c r="BV75" s="124"/>
    </row>
    <row r="76" spans="1:74" s="68" customFormat="1" ht="27.95" customHeight="1">
      <c r="A76" s="67">
        <v>69</v>
      </c>
      <c r="B76" s="37">
        <v>83</v>
      </c>
      <c r="C76" s="34" t="s">
        <v>343</v>
      </c>
      <c r="D76" s="34" t="s">
        <v>344</v>
      </c>
      <c r="E76" s="34" t="s">
        <v>345</v>
      </c>
      <c r="F76" s="51" t="s">
        <v>346</v>
      </c>
      <c r="G76" s="124">
        <v>11</v>
      </c>
      <c r="H76" s="124">
        <v>15</v>
      </c>
      <c r="I76" s="125">
        <f t="shared" si="53"/>
        <v>26</v>
      </c>
      <c r="J76" s="124">
        <v>24</v>
      </c>
      <c r="K76" s="125">
        <f t="shared" si="54"/>
        <v>50</v>
      </c>
      <c r="L76" s="124">
        <v>8</v>
      </c>
      <c r="M76" s="124">
        <v>23</v>
      </c>
      <c r="N76" s="125">
        <f t="shared" si="55"/>
        <v>31</v>
      </c>
      <c r="O76" s="125">
        <f t="shared" si="67"/>
        <v>31</v>
      </c>
      <c r="P76" s="125">
        <f t="shared" si="64"/>
        <v>81</v>
      </c>
      <c r="Q76" s="176"/>
      <c r="R76" s="124">
        <f t="shared" si="40"/>
        <v>3</v>
      </c>
      <c r="S76" s="134">
        <v>17</v>
      </c>
      <c r="T76" s="133">
        <v>58</v>
      </c>
      <c r="U76" s="135">
        <f t="shared" si="56"/>
        <v>75</v>
      </c>
      <c r="V76" s="133">
        <v>4</v>
      </c>
      <c r="W76" s="133">
        <v>14</v>
      </c>
      <c r="X76" s="125">
        <f t="shared" si="41"/>
        <v>18</v>
      </c>
      <c r="Y76" s="125">
        <f t="shared" si="57"/>
        <v>93</v>
      </c>
      <c r="Z76" s="125">
        <f t="shared" si="58"/>
        <v>93</v>
      </c>
      <c r="AA76" s="176"/>
      <c r="AB76" s="124">
        <f t="shared" si="42"/>
        <v>3.5</v>
      </c>
      <c r="AC76" s="134">
        <v>18</v>
      </c>
      <c r="AD76" s="133">
        <v>30</v>
      </c>
      <c r="AE76" s="135">
        <f t="shared" si="74"/>
        <v>48</v>
      </c>
      <c r="AF76" s="133">
        <v>13</v>
      </c>
      <c r="AG76" s="125">
        <f t="shared" si="43"/>
        <v>61</v>
      </c>
      <c r="AH76" s="176"/>
      <c r="AI76" s="124">
        <f t="shared" si="44"/>
        <v>3.5</v>
      </c>
      <c r="AJ76" s="134">
        <v>16</v>
      </c>
      <c r="AK76" s="133">
        <v>31</v>
      </c>
      <c r="AL76" s="135">
        <f t="shared" si="61"/>
        <v>47</v>
      </c>
      <c r="AM76" s="133">
        <v>19</v>
      </c>
      <c r="AN76" s="125">
        <f t="shared" si="59"/>
        <v>66</v>
      </c>
      <c r="AO76" s="176"/>
      <c r="AP76" s="124">
        <f t="shared" si="45"/>
        <v>3.5</v>
      </c>
      <c r="AQ76" s="72">
        <v>19</v>
      </c>
      <c r="AR76" s="72">
        <v>25</v>
      </c>
      <c r="AS76" s="124">
        <f t="shared" si="68"/>
        <v>44</v>
      </c>
      <c r="AT76" s="175"/>
      <c r="AU76" s="124">
        <f t="shared" si="46"/>
        <v>5</v>
      </c>
      <c r="AV76" s="134">
        <v>13</v>
      </c>
      <c r="AW76" s="133">
        <v>20</v>
      </c>
      <c r="AX76" s="135">
        <f t="shared" si="69"/>
        <v>33</v>
      </c>
      <c r="AY76" s="133">
        <v>15</v>
      </c>
      <c r="AZ76" s="125">
        <f t="shared" si="47"/>
        <v>48</v>
      </c>
      <c r="BA76" s="176"/>
      <c r="BB76" s="124">
        <f t="shared" si="48"/>
        <v>2</v>
      </c>
      <c r="BC76" s="134">
        <v>15</v>
      </c>
      <c r="BD76" s="133">
        <v>23</v>
      </c>
      <c r="BE76" s="135">
        <f t="shared" si="63"/>
        <v>38</v>
      </c>
      <c r="BF76" s="133">
        <v>13</v>
      </c>
      <c r="BG76" s="125">
        <f t="shared" si="49"/>
        <v>51</v>
      </c>
      <c r="BH76" s="176"/>
      <c r="BI76" s="124">
        <f t="shared" si="50"/>
        <v>3</v>
      </c>
      <c r="BJ76" s="134">
        <v>10</v>
      </c>
      <c r="BK76" s="133">
        <v>24</v>
      </c>
      <c r="BL76" s="125">
        <f t="shared" si="51"/>
        <v>34</v>
      </c>
      <c r="BM76" s="125">
        <f t="shared" si="70"/>
        <v>34</v>
      </c>
      <c r="BN76" s="176"/>
      <c r="BO76" s="124">
        <f t="shared" si="65"/>
        <v>3.5</v>
      </c>
      <c r="BP76" s="124">
        <f t="shared" si="71"/>
        <v>27</v>
      </c>
      <c r="BQ76" s="70">
        <f t="shared" si="72"/>
        <v>3.375</v>
      </c>
      <c r="BR76" s="70" t="str">
        <f t="shared" si="52"/>
        <v>B</v>
      </c>
      <c r="BS76" s="124" t="str">
        <f t="shared" si="66"/>
        <v>GOOD</v>
      </c>
      <c r="BT76" s="125">
        <f t="shared" si="73"/>
        <v>478</v>
      </c>
      <c r="BU76" s="124"/>
      <c r="BV76" s="124"/>
    </row>
    <row r="77" spans="1:74" s="68" customFormat="1" ht="27.95" customHeight="1">
      <c r="A77" s="67">
        <v>70</v>
      </c>
      <c r="B77" s="37">
        <v>84</v>
      </c>
      <c r="C77" s="34" t="s">
        <v>347</v>
      </c>
      <c r="D77" s="34" t="s">
        <v>348</v>
      </c>
      <c r="E77" s="34" t="s">
        <v>349</v>
      </c>
      <c r="F77" s="51" t="s">
        <v>350</v>
      </c>
      <c r="G77" s="124">
        <v>11</v>
      </c>
      <c r="H77" s="124">
        <v>17</v>
      </c>
      <c r="I77" s="125">
        <f t="shared" si="53"/>
        <v>28</v>
      </c>
      <c r="J77" s="124">
        <v>15</v>
      </c>
      <c r="K77" s="125">
        <f t="shared" si="54"/>
        <v>43</v>
      </c>
      <c r="L77" s="124">
        <v>6</v>
      </c>
      <c r="M77" s="124">
        <v>19</v>
      </c>
      <c r="N77" s="125">
        <f t="shared" si="55"/>
        <v>25</v>
      </c>
      <c r="O77" s="125">
        <f t="shared" si="67"/>
        <v>25</v>
      </c>
      <c r="P77" s="125">
        <f t="shared" si="64"/>
        <v>68</v>
      </c>
      <c r="Q77" s="176"/>
      <c r="R77" s="124">
        <f>IF(P77&lt;60,"F",IF(P77&lt;70,2,IF(P77&lt;95,3,IF(P77&lt;105,3.5,IF(P77&lt;120,4,5)))))</f>
        <v>2</v>
      </c>
      <c r="S77" s="71">
        <v>15</v>
      </c>
      <c r="T77" s="72">
        <v>35</v>
      </c>
      <c r="U77" s="73">
        <f t="shared" si="56"/>
        <v>50</v>
      </c>
      <c r="V77" s="72">
        <v>6</v>
      </c>
      <c r="W77" s="72">
        <v>15</v>
      </c>
      <c r="X77" s="125">
        <f t="shared" si="41"/>
        <v>21</v>
      </c>
      <c r="Y77" s="125">
        <f t="shared" si="57"/>
        <v>71</v>
      </c>
      <c r="Z77" s="125">
        <f t="shared" si="58"/>
        <v>71</v>
      </c>
      <c r="AA77" s="176"/>
      <c r="AB77" s="124">
        <f t="shared" si="42"/>
        <v>2</v>
      </c>
      <c r="AC77" s="71">
        <v>9</v>
      </c>
      <c r="AD77" s="72">
        <v>34</v>
      </c>
      <c r="AE77" s="73">
        <f t="shared" si="74"/>
        <v>43</v>
      </c>
      <c r="AF77" s="72">
        <v>13</v>
      </c>
      <c r="AG77" s="125">
        <f t="shared" si="43"/>
        <v>56</v>
      </c>
      <c r="AH77" s="176"/>
      <c r="AI77" s="124">
        <f t="shared" si="44"/>
        <v>3</v>
      </c>
      <c r="AJ77" s="71">
        <v>9</v>
      </c>
      <c r="AK77" s="72">
        <v>22</v>
      </c>
      <c r="AL77" s="73">
        <f t="shared" si="61"/>
        <v>31</v>
      </c>
      <c r="AM77" s="72">
        <v>20</v>
      </c>
      <c r="AN77" s="125">
        <f t="shared" si="59"/>
        <v>51</v>
      </c>
      <c r="AO77" s="176"/>
      <c r="AP77" s="124">
        <f t="shared" si="45"/>
        <v>3</v>
      </c>
      <c r="AQ77" s="72">
        <v>18</v>
      </c>
      <c r="AR77" s="72">
        <v>25</v>
      </c>
      <c r="AS77" s="124">
        <f t="shared" si="68"/>
        <v>43</v>
      </c>
      <c r="AT77" s="175"/>
      <c r="AU77" s="124">
        <f t="shared" si="46"/>
        <v>5</v>
      </c>
      <c r="AV77" s="71">
        <v>16</v>
      </c>
      <c r="AW77" s="72">
        <v>24</v>
      </c>
      <c r="AX77" s="73">
        <f t="shared" si="69"/>
        <v>40</v>
      </c>
      <c r="AY77" s="72">
        <v>26</v>
      </c>
      <c r="AZ77" s="125">
        <f t="shared" si="47"/>
        <v>66</v>
      </c>
      <c r="BA77" s="176"/>
      <c r="BB77" s="124">
        <f t="shared" si="48"/>
        <v>3.5</v>
      </c>
      <c r="BC77" s="71">
        <v>11</v>
      </c>
      <c r="BD77" s="72">
        <v>9</v>
      </c>
      <c r="BE77" s="73">
        <f t="shared" si="63"/>
        <v>20</v>
      </c>
      <c r="BF77" s="72">
        <v>29</v>
      </c>
      <c r="BG77" s="125">
        <f t="shared" si="49"/>
        <v>49</v>
      </c>
      <c r="BH77" s="176"/>
      <c r="BI77" s="124">
        <f t="shared" si="50"/>
        <v>2</v>
      </c>
      <c r="BJ77" s="71">
        <v>8</v>
      </c>
      <c r="BK77" s="72">
        <v>36</v>
      </c>
      <c r="BL77" s="125">
        <f t="shared" si="51"/>
        <v>44</v>
      </c>
      <c r="BM77" s="125">
        <f t="shared" si="70"/>
        <v>44</v>
      </c>
      <c r="BN77" s="176"/>
      <c r="BO77" s="124">
        <f t="shared" si="65"/>
        <v>5</v>
      </c>
      <c r="BP77" s="124">
        <f t="shared" si="71"/>
        <v>25.5</v>
      </c>
      <c r="BQ77" s="70">
        <f t="shared" si="72"/>
        <v>3.1875</v>
      </c>
      <c r="BR77" s="70" t="str">
        <f t="shared" si="52"/>
        <v>B</v>
      </c>
      <c r="BS77" s="124" t="str">
        <f t="shared" si="66"/>
        <v>GOOD</v>
      </c>
      <c r="BT77" s="125">
        <f t="shared" si="73"/>
        <v>448</v>
      </c>
      <c r="BU77" s="124"/>
      <c r="BV77" s="124"/>
    </row>
    <row r="78" spans="1:74" s="68" customFormat="1" ht="27.95" customHeight="1">
      <c r="A78" s="67">
        <v>71</v>
      </c>
      <c r="B78" s="37">
        <v>85</v>
      </c>
      <c r="C78" s="34" t="s">
        <v>351</v>
      </c>
      <c r="D78" s="34" t="s">
        <v>352</v>
      </c>
      <c r="E78" s="34" t="s">
        <v>353</v>
      </c>
      <c r="F78" s="51" t="s">
        <v>354</v>
      </c>
      <c r="G78" s="124">
        <v>9</v>
      </c>
      <c r="H78" s="124">
        <v>24</v>
      </c>
      <c r="I78" s="125">
        <f t="shared" si="53"/>
        <v>33</v>
      </c>
      <c r="J78" s="124">
        <v>10</v>
      </c>
      <c r="K78" s="125">
        <f t="shared" si="54"/>
        <v>43</v>
      </c>
      <c r="L78" s="124">
        <v>5</v>
      </c>
      <c r="M78" s="124">
        <v>16</v>
      </c>
      <c r="N78" s="125">
        <f t="shared" si="55"/>
        <v>21</v>
      </c>
      <c r="O78" s="125">
        <f t="shared" si="67"/>
        <v>21</v>
      </c>
      <c r="P78" s="125">
        <f t="shared" si="64"/>
        <v>64</v>
      </c>
      <c r="Q78" s="176"/>
      <c r="R78" s="124">
        <f t="shared" si="40"/>
        <v>2</v>
      </c>
      <c r="S78" s="134">
        <v>10</v>
      </c>
      <c r="T78" s="133">
        <v>32</v>
      </c>
      <c r="U78" s="135">
        <f t="shared" si="56"/>
        <v>42</v>
      </c>
      <c r="V78" s="133">
        <v>2</v>
      </c>
      <c r="W78" s="133">
        <v>7</v>
      </c>
      <c r="X78" s="125">
        <f t="shared" si="41"/>
        <v>9</v>
      </c>
      <c r="Y78" s="125">
        <f t="shared" si="57"/>
        <v>51</v>
      </c>
      <c r="Z78" s="125">
        <f t="shared" si="58"/>
        <v>51</v>
      </c>
      <c r="AA78" s="176"/>
      <c r="AB78" s="124" t="str">
        <f t="shared" si="42"/>
        <v>F</v>
      </c>
      <c r="AC78" s="134">
        <v>5</v>
      </c>
      <c r="AD78" s="133">
        <v>18</v>
      </c>
      <c r="AE78" s="135">
        <f t="shared" si="74"/>
        <v>23</v>
      </c>
      <c r="AF78" s="133">
        <v>8</v>
      </c>
      <c r="AG78" s="125">
        <f t="shared" si="43"/>
        <v>31</v>
      </c>
      <c r="AH78" s="176"/>
      <c r="AI78" s="124" t="str">
        <f t="shared" si="44"/>
        <v>F</v>
      </c>
      <c r="AJ78" s="134">
        <v>9</v>
      </c>
      <c r="AK78" s="133">
        <v>27</v>
      </c>
      <c r="AL78" s="135">
        <f t="shared" si="61"/>
        <v>36</v>
      </c>
      <c r="AM78" s="133">
        <v>12</v>
      </c>
      <c r="AN78" s="125">
        <f t="shared" si="59"/>
        <v>48</v>
      </c>
      <c r="AO78" s="176"/>
      <c r="AP78" s="124">
        <f t="shared" si="45"/>
        <v>2</v>
      </c>
      <c r="AQ78" s="72">
        <v>23</v>
      </c>
      <c r="AR78" s="72">
        <v>25</v>
      </c>
      <c r="AS78" s="124">
        <f t="shared" si="68"/>
        <v>48</v>
      </c>
      <c r="AT78" s="175"/>
      <c r="AU78" s="124">
        <f t="shared" si="46"/>
        <v>5</v>
      </c>
      <c r="AV78" s="134">
        <v>10</v>
      </c>
      <c r="AW78" s="133">
        <v>20</v>
      </c>
      <c r="AX78" s="135">
        <f t="shared" si="69"/>
        <v>30</v>
      </c>
      <c r="AY78" s="133">
        <v>12</v>
      </c>
      <c r="AZ78" s="125">
        <f t="shared" si="47"/>
        <v>42</v>
      </c>
      <c r="BA78" s="176"/>
      <c r="BB78" s="124">
        <f t="shared" si="48"/>
        <v>2</v>
      </c>
      <c r="BC78" s="134">
        <v>10</v>
      </c>
      <c r="BD78" s="133">
        <v>23</v>
      </c>
      <c r="BE78" s="135">
        <f t="shared" si="63"/>
        <v>33</v>
      </c>
      <c r="BF78" s="133">
        <v>15</v>
      </c>
      <c r="BG78" s="125">
        <f t="shared" si="49"/>
        <v>48</v>
      </c>
      <c r="BH78" s="176"/>
      <c r="BI78" s="124">
        <f t="shared" si="50"/>
        <v>2</v>
      </c>
      <c r="BJ78" s="134">
        <v>10</v>
      </c>
      <c r="BK78" s="133">
        <v>24</v>
      </c>
      <c r="BL78" s="125">
        <f t="shared" si="51"/>
        <v>34</v>
      </c>
      <c r="BM78" s="125">
        <f t="shared" si="70"/>
        <v>34</v>
      </c>
      <c r="BN78" s="176"/>
      <c r="BO78" s="124">
        <f t="shared" si="65"/>
        <v>3.5</v>
      </c>
      <c r="BP78" s="124" t="str">
        <f t="shared" si="71"/>
        <v>F</v>
      </c>
      <c r="BQ78" s="70" t="str">
        <f t="shared" si="72"/>
        <v>F</v>
      </c>
      <c r="BR78" s="70" t="str">
        <f t="shared" si="52"/>
        <v>F</v>
      </c>
      <c r="BS78" s="124" t="str">
        <f t="shared" si="66"/>
        <v>NEED TO PROGRESS</v>
      </c>
      <c r="BT78" s="125">
        <f t="shared" si="73"/>
        <v>366</v>
      </c>
      <c r="BU78" s="124"/>
      <c r="BV78" s="124"/>
    </row>
    <row r="79" spans="1:74" s="68" customFormat="1" ht="27.95" customHeight="1">
      <c r="A79" s="67">
        <v>72</v>
      </c>
      <c r="B79" s="37">
        <v>87</v>
      </c>
      <c r="C79" s="34" t="s">
        <v>355</v>
      </c>
      <c r="D79" s="34" t="s">
        <v>356</v>
      </c>
      <c r="E79" s="34" t="s">
        <v>357</v>
      </c>
      <c r="F79" s="51" t="s">
        <v>358</v>
      </c>
      <c r="G79" s="124">
        <v>10</v>
      </c>
      <c r="H79" s="124">
        <v>14</v>
      </c>
      <c r="I79" s="125">
        <f t="shared" si="53"/>
        <v>24</v>
      </c>
      <c r="J79" s="124">
        <v>28</v>
      </c>
      <c r="K79" s="125">
        <f t="shared" si="54"/>
        <v>52</v>
      </c>
      <c r="L79" s="124">
        <v>7</v>
      </c>
      <c r="M79" s="124">
        <v>16</v>
      </c>
      <c r="N79" s="125">
        <f t="shared" si="55"/>
        <v>23</v>
      </c>
      <c r="O79" s="125">
        <f t="shared" si="67"/>
        <v>23</v>
      </c>
      <c r="P79" s="125">
        <f t="shared" si="64"/>
        <v>75</v>
      </c>
      <c r="Q79" s="176"/>
      <c r="R79" s="124">
        <f t="shared" si="40"/>
        <v>3</v>
      </c>
      <c r="S79" s="134">
        <v>12</v>
      </c>
      <c r="T79" s="133">
        <v>34</v>
      </c>
      <c r="U79" s="135">
        <f t="shared" si="56"/>
        <v>46</v>
      </c>
      <c r="V79" s="133">
        <v>4</v>
      </c>
      <c r="W79" s="133">
        <v>11</v>
      </c>
      <c r="X79" s="125">
        <f t="shared" si="41"/>
        <v>15</v>
      </c>
      <c r="Y79" s="125">
        <f t="shared" si="57"/>
        <v>61</v>
      </c>
      <c r="Z79" s="125">
        <f t="shared" si="58"/>
        <v>61</v>
      </c>
      <c r="AA79" s="176"/>
      <c r="AB79" s="124">
        <f t="shared" si="42"/>
        <v>2</v>
      </c>
      <c r="AC79" s="134">
        <v>9</v>
      </c>
      <c r="AD79" s="133">
        <v>9</v>
      </c>
      <c r="AE79" s="135">
        <f t="shared" si="74"/>
        <v>18</v>
      </c>
      <c r="AF79" s="133">
        <v>7</v>
      </c>
      <c r="AG79" s="125">
        <f t="shared" si="43"/>
        <v>25</v>
      </c>
      <c r="AH79" s="176"/>
      <c r="AI79" s="124" t="str">
        <f t="shared" si="44"/>
        <v>F</v>
      </c>
      <c r="AJ79" s="134">
        <v>10</v>
      </c>
      <c r="AK79" s="133">
        <v>19</v>
      </c>
      <c r="AL79" s="135">
        <f t="shared" si="61"/>
        <v>29</v>
      </c>
      <c r="AM79" s="133">
        <v>18</v>
      </c>
      <c r="AN79" s="125">
        <f t="shared" si="59"/>
        <v>47</v>
      </c>
      <c r="AO79" s="176"/>
      <c r="AP79" s="124">
        <f t="shared" si="45"/>
        <v>2</v>
      </c>
      <c r="AQ79" s="124">
        <v>22</v>
      </c>
      <c r="AR79" s="124">
        <v>25</v>
      </c>
      <c r="AS79" s="124">
        <f t="shared" si="68"/>
        <v>47</v>
      </c>
      <c r="AT79" s="175"/>
      <c r="AU79" s="124">
        <f t="shared" si="46"/>
        <v>5</v>
      </c>
      <c r="AV79" s="134">
        <v>8</v>
      </c>
      <c r="AW79" s="133">
        <v>2</v>
      </c>
      <c r="AX79" s="135">
        <f t="shared" si="69"/>
        <v>10</v>
      </c>
      <c r="AY79" s="133">
        <v>13</v>
      </c>
      <c r="AZ79" s="125">
        <f t="shared" si="47"/>
        <v>23</v>
      </c>
      <c r="BA79" s="176"/>
      <c r="BB79" s="124" t="str">
        <f t="shared" si="48"/>
        <v>F</v>
      </c>
      <c r="BC79" s="134">
        <v>9</v>
      </c>
      <c r="BD79" s="133">
        <v>19</v>
      </c>
      <c r="BE79" s="135">
        <f t="shared" si="63"/>
        <v>28</v>
      </c>
      <c r="BF79" s="133">
        <v>19</v>
      </c>
      <c r="BG79" s="125">
        <f t="shared" si="49"/>
        <v>47</v>
      </c>
      <c r="BH79" s="176"/>
      <c r="BI79" s="124">
        <f t="shared" si="50"/>
        <v>2</v>
      </c>
      <c r="BJ79" s="134">
        <v>9</v>
      </c>
      <c r="BK79" s="133">
        <v>24</v>
      </c>
      <c r="BL79" s="125">
        <f t="shared" si="51"/>
        <v>33</v>
      </c>
      <c r="BM79" s="125">
        <f t="shared" si="70"/>
        <v>33</v>
      </c>
      <c r="BN79" s="176"/>
      <c r="BO79" s="124">
        <f t="shared" si="65"/>
        <v>3.5</v>
      </c>
      <c r="BP79" s="124" t="str">
        <f t="shared" si="71"/>
        <v>F</v>
      </c>
      <c r="BQ79" s="70" t="str">
        <f t="shared" si="72"/>
        <v>F</v>
      </c>
      <c r="BR79" s="70" t="str">
        <f t="shared" si="52"/>
        <v>F</v>
      </c>
      <c r="BS79" s="124" t="str">
        <f t="shared" si="66"/>
        <v>NEED TO PROGRESS</v>
      </c>
      <c r="BT79" s="125">
        <f t="shared" si="73"/>
        <v>358</v>
      </c>
      <c r="BU79" s="124"/>
      <c r="BV79" s="124"/>
    </row>
    <row r="80" spans="1:74" s="68" customFormat="1" ht="27.95" customHeight="1">
      <c r="A80" s="67">
        <v>73</v>
      </c>
      <c r="B80" s="37">
        <v>91</v>
      </c>
      <c r="C80" s="34" t="s">
        <v>359</v>
      </c>
      <c r="D80" s="34" t="s">
        <v>360</v>
      </c>
      <c r="E80" s="34" t="s">
        <v>361</v>
      </c>
      <c r="F80" s="51" t="s">
        <v>362</v>
      </c>
      <c r="G80" s="124">
        <v>11</v>
      </c>
      <c r="H80" s="124">
        <v>24</v>
      </c>
      <c r="I80" s="125">
        <f t="shared" si="53"/>
        <v>35</v>
      </c>
      <c r="J80" s="124">
        <v>24</v>
      </c>
      <c r="K80" s="125">
        <f t="shared" si="54"/>
        <v>59</v>
      </c>
      <c r="L80" s="124">
        <v>6</v>
      </c>
      <c r="M80" s="124">
        <v>25</v>
      </c>
      <c r="N80" s="125">
        <f t="shared" si="55"/>
        <v>31</v>
      </c>
      <c r="O80" s="125">
        <f t="shared" si="67"/>
        <v>31</v>
      </c>
      <c r="P80" s="125">
        <f t="shared" si="64"/>
        <v>90</v>
      </c>
      <c r="Q80" s="176"/>
      <c r="R80" s="124">
        <f t="shared" si="40"/>
        <v>3</v>
      </c>
      <c r="S80" s="134">
        <v>17</v>
      </c>
      <c r="T80" s="133">
        <v>32</v>
      </c>
      <c r="U80" s="135">
        <f t="shared" si="56"/>
        <v>49</v>
      </c>
      <c r="V80" s="133">
        <v>7</v>
      </c>
      <c r="W80" s="133">
        <v>12</v>
      </c>
      <c r="X80" s="125">
        <f t="shared" si="41"/>
        <v>19</v>
      </c>
      <c r="Y80" s="125">
        <f t="shared" si="57"/>
        <v>68</v>
      </c>
      <c r="Z80" s="125">
        <f t="shared" si="58"/>
        <v>68</v>
      </c>
      <c r="AA80" s="176"/>
      <c r="AB80" s="124">
        <f t="shared" si="42"/>
        <v>2</v>
      </c>
      <c r="AC80" s="134">
        <v>15</v>
      </c>
      <c r="AD80" s="133">
        <v>19</v>
      </c>
      <c r="AE80" s="135">
        <f t="shared" si="74"/>
        <v>34</v>
      </c>
      <c r="AF80" s="133">
        <v>20</v>
      </c>
      <c r="AG80" s="125">
        <f t="shared" si="43"/>
        <v>54</v>
      </c>
      <c r="AH80" s="176"/>
      <c r="AI80" s="124">
        <f t="shared" si="44"/>
        <v>3</v>
      </c>
      <c r="AJ80" s="134">
        <v>10</v>
      </c>
      <c r="AK80" s="133">
        <v>19</v>
      </c>
      <c r="AL80" s="135">
        <f t="shared" si="61"/>
        <v>29</v>
      </c>
      <c r="AM80" s="133">
        <v>19</v>
      </c>
      <c r="AN80" s="125">
        <f t="shared" si="59"/>
        <v>48</v>
      </c>
      <c r="AO80" s="176"/>
      <c r="AP80" s="124">
        <f t="shared" si="45"/>
        <v>2</v>
      </c>
      <c r="AQ80" s="124">
        <v>23</v>
      </c>
      <c r="AR80" s="124">
        <v>25</v>
      </c>
      <c r="AS80" s="124">
        <f t="shared" si="68"/>
        <v>48</v>
      </c>
      <c r="AT80" s="175"/>
      <c r="AU80" s="124">
        <f t="shared" si="46"/>
        <v>5</v>
      </c>
      <c r="AV80" s="134">
        <v>17</v>
      </c>
      <c r="AW80" s="133">
        <v>27</v>
      </c>
      <c r="AX80" s="135">
        <f t="shared" si="69"/>
        <v>44</v>
      </c>
      <c r="AY80" s="133">
        <v>22</v>
      </c>
      <c r="AZ80" s="125">
        <f t="shared" si="47"/>
        <v>66</v>
      </c>
      <c r="BA80" s="176"/>
      <c r="BB80" s="124">
        <f t="shared" si="48"/>
        <v>3.5</v>
      </c>
      <c r="BC80" s="134">
        <v>14</v>
      </c>
      <c r="BD80" s="133">
        <v>19</v>
      </c>
      <c r="BE80" s="135">
        <f t="shared" si="63"/>
        <v>33</v>
      </c>
      <c r="BF80" s="133">
        <v>15</v>
      </c>
      <c r="BG80" s="125">
        <f t="shared" si="49"/>
        <v>48</v>
      </c>
      <c r="BH80" s="176"/>
      <c r="BI80" s="124">
        <f t="shared" si="50"/>
        <v>2</v>
      </c>
      <c r="BJ80" s="134">
        <v>10</v>
      </c>
      <c r="BK80" s="133">
        <v>24</v>
      </c>
      <c r="BL80" s="125">
        <f t="shared" si="51"/>
        <v>34</v>
      </c>
      <c r="BM80" s="125">
        <f t="shared" si="70"/>
        <v>34</v>
      </c>
      <c r="BN80" s="176"/>
      <c r="BO80" s="124">
        <f t="shared" si="65"/>
        <v>3.5</v>
      </c>
      <c r="BP80" s="124">
        <f t="shared" si="71"/>
        <v>24</v>
      </c>
      <c r="BQ80" s="70">
        <f t="shared" si="72"/>
        <v>3</v>
      </c>
      <c r="BR80" s="70" t="str">
        <f t="shared" si="52"/>
        <v>B</v>
      </c>
      <c r="BS80" s="124" t="str">
        <f t="shared" si="66"/>
        <v>GOOD</v>
      </c>
      <c r="BT80" s="125">
        <f t="shared" si="73"/>
        <v>456</v>
      </c>
      <c r="BU80" s="124"/>
      <c r="BV80" s="124"/>
    </row>
    <row r="81" spans="1:74" s="68" customFormat="1" ht="27.95" customHeight="1">
      <c r="A81" s="67">
        <v>74</v>
      </c>
      <c r="B81" s="37">
        <v>94</v>
      </c>
      <c r="C81" s="34" t="s">
        <v>363</v>
      </c>
      <c r="D81" s="34" t="s">
        <v>364</v>
      </c>
      <c r="E81" s="34" t="s">
        <v>365</v>
      </c>
      <c r="F81" s="51" t="s">
        <v>366</v>
      </c>
      <c r="G81" s="124">
        <v>9</v>
      </c>
      <c r="H81" s="124">
        <v>31</v>
      </c>
      <c r="I81" s="125">
        <f t="shared" si="53"/>
        <v>40</v>
      </c>
      <c r="J81" s="124">
        <v>27</v>
      </c>
      <c r="K81" s="125">
        <f t="shared" si="54"/>
        <v>67</v>
      </c>
      <c r="L81" s="124">
        <v>8</v>
      </c>
      <c r="M81" s="124">
        <v>26</v>
      </c>
      <c r="N81" s="125">
        <f t="shared" si="55"/>
        <v>34</v>
      </c>
      <c r="O81" s="125">
        <f t="shared" si="67"/>
        <v>34</v>
      </c>
      <c r="P81" s="125">
        <f t="shared" si="64"/>
        <v>101</v>
      </c>
      <c r="Q81" s="176"/>
      <c r="R81" s="124">
        <f t="shared" si="40"/>
        <v>3.5</v>
      </c>
      <c r="S81" s="71">
        <v>13</v>
      </c>
      <c r="T81" s="72">
        <v>36</v>
      </c>
      <c r="U81" s="73">
        <f t="shared" si="56"/>
        <v>49</v>
      </c>
      <c r="V81" s="72">
        <v>7</v>
      </c>
      <c r="W81" s="72">
        <v>17</v>
      </c>
      <c r="X81" s="125">
        <f t="shared" si="41"/>
        <v>24</v>
      </c>
      <c r="Y81" s="125">
        <f t="shared" si="57"/>
        <v>73</v>
      </c>
      <c r="Z81" s="125">
        <f t="shared" si="58"/>
        <v>73</v>
      </c>
      <c r="AA81" s="176"/>
      <c r="AB81" s="124">
        <f t="shared" si="42"/>
        <v>2</v>
      </c>
      <c r="AC81" s="71">
        <v>9</v>
      </c>
      <c r="AD81" s="72">
        <v>16</v>
      </c>
      <c r="AE81" s="73">
        <f t="shared" si="74"/>
        <v>25</v>
      </c>
      <c r="AF81" s="72">
        <v>20</v>
      </c>
      <c r="AG81" s="125">
        <f t="shared" si="43"/>
        <v>45</v>
      </c>
      <c r="AH81" s="176"/>
      <c r="AI81" s="124">
        <f t="shared" si="44"/>
        <v>2</v>
      </c>
      <c r="AJ81" s="71">
        <v>12</v>
      </c>
      <c r="AK81" s="72">
        <v>30</v>
      </c>
      <c r="AL81" s="73">
        <f t="shared" si="61"/>
        <v>42</v>
      </c>
      <c r="AM81" s="72">
        <v>20</v>
      </c>
      <c r="AN81" s="125">
        <f t="shared" si="59"/>
        <v>62</v>
      </c>
      <c r="AO81" s="176"/>
      <c r="AP81" s="124">
        <f t="shared" si="45"/>
        <v>3.5</v>
      </c>
      <c r="AQ81" s="124">
        <v>23</v>
      </c>
      <c r="AR81" s="124">
        <v>25</v>
      </c>
      <c r="AS81" s="124">
        <f t="shared" si="68"/>
        <v>48</v>
      </c>
      <c r="AT81" s="175"/>
      <c r="AU81" s="124">
        <f t="shared" si="46"/>
        <v>5</v>
      </c>
      <c r="AV81" s="71">
        <v>13</v>
      </c>
      <c r="AW81" s="72">
        <v>36</v>
      </c>
      <c r="AX81" s="73">
        <f t="shared" si="69"/>
        <v>49</v>
      </c>
      <c r="AY81" s="72">
        <v>28</v>
      </c>
      <c r="AZ81" s="125">
        <f t="shared" si="47"/>
        <v>77</v>
      </c>
      <c r="BA81" s="176"/>
      <c r="BB81" s="124">
        <f t="shared" si="48"/>
        <v>4</v>
      </c>
      <c r="BC81" s="71">
        <v>2</v>
      </c>
      <c r="BD81" s="72">
        <v>20</v>
      </c>
      <c r="BE81" s="73">
        <v>22</v>
      </c>
      <c r="BF81" s="72">
        <v>23</v>
      </c>
      <c r="BG81" s="125">
        <f t="shared" si="49"/>
        <v>45</v>
      </c>
      <c r="BH81" s="176"/>
      <c r="BI81" s="124">
        <f t="shared" si="50"/>
        <v>2</v>
      </c>
      <c r="BJ81" s="71">
        <v>9</v>
      </c>
      <c r="BK81" s="72">
        <v>38</v>
      </c>
      <c r="BL81" s="125">
        <f t="shared" si="51"/>
        <v>47</v>
      </c>
      <c r="BM81" s="125">
        <f t="shared" si="70"/>
        <v>47</v>
      </c>
      <c r="BN81" s="176"/>
      <c r="BO81" s="124">
        <f t="shared" si="65"/>
        <v>5</v>
      </c>
      <c r="BP81" s="124">
        <f t="shared" si="71"/>
        <v>27</v>
      </c>
      <c r="BQ81" s="70">
        <f t="shared" si="72"/>
        <v>3.375</v>
      </c>
      <c r="BR81" s="70" t="str">
        <f t="shared" si="52"/>
        <v>B</v>
      </c>
      <c r="BS81" s="124" t="str">
        <f t="shared" si="66"/>
        <v>GOOD</v>
      </c>
      <c r="BT81" s="125">
        <f t="shared" si="73"/>
        <v>498</v>
      </c>
      <c r="BU81" s="124"/>
      <c r="BV81" s="124"/>
    </row>
    <row r="82" spans="1:74" s="68" customFormat="1" ht="27.95" customHeight="1">
      <c r="A82" s="67">
        <v>75</v>
      </c>
      <c r="B82" s="37">
        <v>98</v>
      </c>
      <c r="C82" s="34" t="s">
        <v>367</v>
      </c>
      <c r="D82" s="34" t="s">
        <v>368</v>
      </c>
      <c r="E82" s="34" t="s">
        <v>369</v>
      </c>
      <c r="F82" s="51" t="s">
        <v>370</v>
      </c>
      <c r="G82" s="124">
        <v>11</v>
      </c>
      <c r="H82" s="124">
        <v>29</v>
      </c>
      <c r="I82" s="125">
        <f t="shared" si="53"/>
        <v>40</v>
      </c>
      <c r="J82" s="124">
        <v>22</v>
      </c>
      <c r="K82" s="125">
        <f t="shared" si="54"/>
        <v>62</v>
      </c>
      <c r="L82" s="124">
        <v>10</v>
      </c>
      <c r="M82" s="124">
        <v>26</v>
      </c>
      <c r="N82" s="125">
        <f t="shared" si="55"/>
        <v>36</v>
      </c>
      <c r="O82" s="125">
        <f t="shared" si="67"/>
        <v>36</v>
      </c>
      <c r="P82" s="125">
        <f t="shared" si="64"/>
        <v>98</v>
      </c>
      <c r="Q82" s="176"/>
      <c r="R82" s="124">
        <f t="shared" si="40"/>
        <v>3.5</v>
      </c>
      <c r="S82" s="71">
        <v>15</v>
      </c>
      <c r="T82" s="72">
        <v>65</v>
      </c>
      <c r="U82" s="73">
        <f t="shared" si="56"/>
        <v>80</v>
      </c>
      <c r="V82" s="72">
        <v>8</v>
      </c>
      <c r="W82" s="72">
        <v>18</v>
      </c>
      <c r="X82" s="125">
        <f t="shared" si="41"/>
        <v>26</v>
      </c>
      <c r="Y82" s="125">
        <f t="shared" si="57"/>
        <v>106</v>
      </c>
      <c r="Z82" s="125">
        <f t="shared" si="58"/>
        <v>106</v>
      </c>
      <c r="AA82" s="176"/>
      <c r="AB82" s="124">
        <f t="shared" si="42"/>
        <v>4</v>
      </c>
      <c r="AC82" s="71">
        <v>4</v>
      </c>
      <c r="AD82" s="72">
        <v>24</v>
      </c>
      <c r="AE82" s="73">
        <f t="shared" si="74"/>
        <v>28</v>
      </c>
      <c r="AF82" s="72">
        <v>13</v>
      </c>
      <c r="AG82" s="125">
        <f t="shared" si="43"/>
        <v>41</v>
      </c>
      <c r="AH82" s="176"/>
      <c r="AI82" s="124">
        <f t="shared" si="44"/>
        <v>2</v>
      </c>
      <c r="AJ82" s="71">
        <v>14</v>
      </c>
      <c r="AK82" s="72">
        <v>30</v>
      </c>
      <c r="AL82" s="73">
        <f t="shared" si="61"/>
        <v>44</v>
      </c>
      <c r="AM82" s="72">
        <v>22</v>
      </c>
      <c r="AN82" s="125">
        <f t="shared" si="59"/>
        <v>66</v>
      </c>
      <c r="AO82" s="176"/>
      <c r="AP82" s="124">
        <f t="shared" si="45"/>
        <v>3.5</v>
      </c>
      <c r="AQ82" s="124">
        <v>25</v>
      </c>
      <c r="AR82" s="124">
        <v>25</v>
      </c>
      <c r="AS82" s="124">
        <f t="shared" si="68"/>
        <v>50</v>
      </c>
      <c r="AT82" s="175"/>
      <c r="AU82" s="124">
        <f t="shared" si="46"/>
        <v>5</v>
      </c>
      <c r="AV82" s="71">
        <v>8</v>
      </c>
      <c r="AW82" s="72">
        <v>20</v>
      </c>
      <c r="AX82" s="73">
        <f t="shared" si="69"/>
        <v>28</v>
      </c>
      <c r="AY82" s="72">
        <v>25</v>
      </c>
      <c r="AZ82" s="125">
        <f t="shared" si="47"/>
        <v>53</v>
      </c>
      <c r="BA82" s="176"/>
      <c r="BB82" s="124">
        <f t="shared" si="48"/>
        <v>3</v>
      </c>
      <c r="BC82" s="71">
        <v>12</v>
      </c>
      <c r="BD82" s="72">
        <v>0</v>
      </c>
      <c r="BE82" s="73">
        <v>12</v>
      </c>
      <c r="BF82" s="72">
        <v>0</v>
      </c>
      <c r="BG82" s="125">
        <f t="shared" si="49"/>
        <v>12</v>
      </c>
      <c r="BH82" s="176"/>
      <c r="BI82" s="124" t="str">
        <f t="shared" si="50"/>
        <v>F</v>
      </c>
      <c r="BJ82" s="71">
        <v>9</v>
      </c>
      <c r="BK82" s="72">
        <v>38</v>
      </c>
      <c r="BL82" s="125">
        <f t="shared" si="51"/>
        <v>47</v>
      </c>
      <c r="BM82" s="125">
        <f t="shared" si="70"/>
        <v>47</v>
      </c>
      <c r="BN82" s="176"/>
      <c r="BO82" s="124">
        <f t="shared" si="65"/>
        <v>5</v>
      </c>
      <c r="BP82" s="124" t="str">
        <f t="shared" si="71"/>
        <v>F</v>
      </c>
      <c r="BQ82" s="70" t="str">
        <f t="shared" si="72"/>
        <v>F</v>
      </c>
      <c r="BR82" s="70" t="str">
        <f t="shared" si="52"/>
        <v>F</v>
      </c>
      <c r="BS82" s="124" t="str">
        <f t="shared" si="66"/>
        <v>NEED TO PROGRESS</v>
      </c>
      <c r="BT82" s="125">
        <f t="shared" si="73"/>
        <v>473</v>
      </c>
      <c r="BU82" s="124"/>
      <c r="BV82" s="124"/>
    </row>
    <row r="83" spans="1:74" s="68" customFormat="1" ht="27.95" customHeight="1">
      <c r="A83" s="67">
        <v>76</v>
      </c>
      <c r="B83" s="37">
        <v>100</v>
      </c>
      <c r="C83" s="34" t="s">
        <v>371</v>
      </c>
      <c r="D83" s="34" t="s">
        <v>372</v>
      </c>
      <c r="E83" s="34" t="s">
        <v>373</v>
      </c>
      <c r="F83" s="51" t="s">
        <v>374</v>
      </c>
      <c r="G83" s="124">
        <v>0</v>
      </c>
      <c r="H83" s="124">
        <v>16</v>
      </c>
      <c r="I83" s="125">
        <f t="shared" si="53"/>
        <v>16</v>
      </c>
      <c r="J83" s="124">
        <v>16</v>
      </c>
      <c r="K83" s="125">
        <f t="shared" si="54"/>
        <v>32</v>
      </c>
      <c r="L83" s="124">
        <v>0</v>
      </c>
      <c r="M83" s="124">
        <v>30</v>
      </c>
      <c r="N83" s="125">
        <f t="shared" si="55"/>
        <v>30</v>
      </c>
      <c r="O83" s="125">
        <f t="shared" si="67"/>
        <v>30</v>
      </c>
      <c r="P83" s="125">
        <f t="shared" si="64"/>
        <v>62</v>
      </c>
      <c r="Q83" s="176"/>
      <c r="R83" s="124">
        <f t="shared" si="40"/>
        <v>2</v>
      </c>
      <c r="S83" s="124">
        <v>0</v>
      </c>
      <c r="T83" s="124">
        <v>0</v>
      </c>
      <c r="U83" s="125">
        <f t="shared" si="56"/>
        <v>0</v>
      </c>
      <c r="V83" s="124">
        <v>0</v>
      </c>
      <c r="W83" s="124">
        <v>0</v>
      </c>
      <c r="X83" s="125">
        <f t="shared" si="41"/>
        <v>0</v>
      </c>
      <c r="Y83" s="125">
        <f t="shared" si="57"/>
        <v>0</v>
      </c>
      <c r="Z83" s="125">
        <f t="shared" si="58"/>
        <v>0</v>
      </c>
      <c r="AA83" s="176"/>
      <c r="AB83" s="124" t="str">
        <f t="shared" si="42"/>
        <v>F</v>
      </c>
      <c r="AC83" s="71">
        <v>0</v>
      </c>
      <c r="AD83" s="72">
        <v>0</v>
      </c>
      <c r="AE83" s="73">
        <f t="shared" si="74"/>
        <v>0</v>
      </c>
      <c r="AF83" s="72">
        <v>0</v>
      </c>
      <c r="AG83" s="125">
        <f t="shared" si="43"/>
        <v>0</v>
      </c>
      <c r="AH83" s="176"/>
      <c r="AI83" s="124" t="str">
        <f t="shared" si="44"/>
        <v>F</v>
      </c>
      <c r="AJ83" s="71">
        <v>0</v>
      </c>
      <c r="AK83" s="72">
        <v>16</v>
      </c>
      <c r="AL83" s="73">
        <f t="shared" si="61"/>
        <v>16</v>
      </c>
      <c r="AM83" s="72">
        <v>18</v>
      </c>
      <c r="AN83" s="125">
        <f t="shared" si="59"/>
        <v>34</v>
      </c>
      <c r="AO83" s="176"/>
      <c r="AP83" s="124" t="str">
        <f t="shared" si="45"/>
        <v>F</v>
      </c>
      <c r="AQ83" s="124">
        <v>0</v>
      </c>
      <c r="AR83" s="124">
        <v>0</v>
      </c>
      <c r="AS83" s="124">
        <f t="shared" si="68"/>
        <v>0</v>
      </c>
      <c r="AT83" s="175"/>
      <c r="AU83" s="124" t="str">
        <f t="shared" si="46"/>
        <v>F</v>
      </c>
      <c r="AV83" s="71">
        <v>0</v>
      </c>
      <c r="AW83" s="72">
        <v>28</v>
      </c>
      <c r="AX83" s="73">
        <f t="shared" si="69"/>
        <v>28</v>
      </c>
      <c r="AY83" s="72">
        <v>17</v>
      </c>
      <c r="AZ83" s="125">
        <f t="shared" si="47"/>
        <v>45</v>
      </c>
      <c r="BA83" s="176"/>
      <c r="BB83" s="124">
        <f t="shared" si="48"/>
        <v>2</v>
      </c>
      <c r="BC83" s="71">
        <v>1</v>
      </c>
      <c r="BD83" s="72">
        <v>0</v>
      </c>
      <c r="BE83" s="73">
        <v>0</v>
      </c>
      <c r="BF83" s="72">
        <v>0</v>
      </c>
      <c r="BG83" s="125">
        <f t="shared" si="49"/>
        <v>0</v>
      </c>
      <c r="BH83" s="176"/>
      <c r="BI83" s="124" t="str">
        <f t="shared" si="50"/>
        <v>F</v>
      </c>
      <c r="BJ83" s="124">
        <v>0</v>
      </c>
      <c r="BK83" s="124">
        <v>0</v>
      </c>
      <c r="BL83" s="125">
        <f t="shared" si="51"/>
        <v>0</v>
      </c>
      <c r="BM83" s="125">
        <f t="shared" si="70"/>
        <v>0</v>
      </c>
      <c r="BN83" s="176"/>
      <c r="BO83" s="124" t="str">
        <f t="shared" si="65"/>
        <v>F</v>
      </c>
      <c r="BP83" s="124" t="str">
        <f t="shared" si="71"/>
        <v>F</v>
      </c>
      <c r="BQ83" s="70" t="str">
        <f t="shared" si="72"/>
        <v>F</v>
      </c>
      <c r="BR83" s="70" t="str">
        <f t="shared" si="52"/>
        <v>F</v>
      </c>
      <c r="BS83" s="124" t="str">
        <f t="shared" si="66"/>
        <v>NEED TO PROGRESS</v>
      </c>
      <c r="BT83" s="125">
        <f t="shared" si="73"/>
        <v>141</v>
      </c>
      <c r="BU83" s="124"/>
      <c r="BV83" s="124"/>
    </row>
    <row r="84" spans="1:74" s="68" customFormat="1" ht="27.95" customHeight="1">
      <c r="A84" s="67">
        <v>77</v>
      </c>
      <c r="B84" s="37">
        <v>101</v>
      </c>
      <c r="C84" s="34" t="s">
        <v>375</v>
      </c>
      <c r="D84" s="34" t="s">
        <v>376</v>
      </c>
      <c r="E84" s="34" t="s">
        <v>377</v>
      </c>
      <c r="F84" s="51" t="s">
        <v>378</v>
      </c>
      <c r="G84" s="124">
        <v>0</v>
      </c>
      <c r="H84" s="124">
        <v>24</v>
      </c>
      <c r="I84" s="125">
        <f t="shared" si="53"/>
        <v>24</v>
      </c>
      <c r="J84" s="124">
        <v>17</v>
      </c>
      <c r="K84" s="125">
        <f t="shared" si="54"/>
        <v>41</v>
      </c>
      <c r="L84" s="124">
        <v>0</v>
      </c>
      <c r="M84" s="124">
        <v>24</v>
      </c>
      <c r="N84" s="125">
        <f t="shared" si="55"/>
        <v>24</v>
      </c>
      <c r="O84" s="125">
        <f t="shared" si="67"/>
        <v>24</v>
      </c>
      <c r="P84" s="125">
        <f t="shared" si="64"/>
        <v>65</v>
      </c>
      <c r="Q84" s="176"/>
      <c r="R84" s="124">
        <f t="shared" si="40"/>
        <v>2</v>
      </c>
      <c r="S84" s="134">
        <v>20</v>
      </c>
      <c r="T84" s="133">
        <v>46</v>
      </c>
      <c r="U84" s="135">
        <f t="shared" si="56"/>
        <v>66</v>
      </c>
      <c r="V84" s="133">
        <v>0</v>
      </c>
      <c r="W84" s="133">
        <v>12</v>
      </c>
      <c r="X84" s="125">
        <f t="shared" si="41"/>
        <v>12</v>
      </c>
      <c r="Y84" s="125">
        <f t="shared" si="57"/>
        <v>78</v>
      </c>
      <c r="Z84" s="125">
        <f t="shared" si="58"/>
        <v>78</v>
      </c>
      <c r="AA84" s="176"/>
      <c r="AB84" s="124">
        <f t="shared" si="42"/>
        <v>3</v>
      </c>
      <c r="AC84" s="134">
        <v>0</v>
      </c>
      <c r="AD84" s="133">
        <v>25</v>
      </c>
      <c r="AE84" s="135">
        <f t="shared" si="74"/>
        <v>25</v>
      </c>
      <c r="AF84" s="133">
        <v>16</v>
      </c>
      <c r="AG84" s="125">
        <f t="shared" si="43"/>
        <v>41</v>
      </c>
      <c r="AH84" s="176"/>
      <c r="AI84" s="124">
        <f t="shared" si="44"/>
        <v>2</v>
      </c>
      <c r="AJ84" s="134">
        <v>0</v>
      </c>
      <c r="AK84" s="133">
        <v>29</v>
      </c>
      <c r="AL84" s="135">
        <f t="shared" si="61"/>
        <v>29</v>
      </c>
      <c r="AM84" s="133">
        <v>16</v>
      </c>
      <c r="AN84" s="125">
        <f t="shared" si="59"/>
        <v>45</v>
      </c>
      <c r="AO84" s="176"/>
      <c r="AP84" s="124">
        <f t="shared" si="45"/>
        <v>2</v>
      </c>
      <c r="AQ84" s="124">
        <v>16</v>
      </c>
      <c r="AR84" s="124">
        <v>25</v>
      </c>
      <c r="AS84" s="124">
        <f t="shared" si="68"/>
        <v>41</v>
      </c>
      <c r="AT84" s="175"/>
      <c r="AU84" s="124">
        <f t="shared" si="46"/>
        <v>5</v>
      </c>
      <c r="AV84" s="134">
        <v>0</v>
      </c>
      <c r="AW84" s="133">
        <v>28</v>
      </c>
      <c r="AX84" s="135">
        <f t="shared" si="69"/>
        <v>28</v>
      </c>
      <c r="AY84" s="133">
        <v>14</v>
      </c>
      <c r="AZ84" s="125">
        <f t="shared" si="47"/>
        <v>42</v>
      </c>
      <c r="BA84" s="176"/>
      <c r="BB84" s="124">
        <f t="shared" si="48"/>
        <v>2</v>
      </c>
      <c r="BC84" s="134">
        <v>0</v>
      </c>
      <c r="BD84" s="133">
        <v>28</v>
      </c>
      <c r="BE84" s="135">
        <f t="shared" ref="BE84" si="75">BD84+BC84</f>
        <v>28</v>
      </c>
      <c r="BF84" s="133">
        <v>15</v>
      </c>
      <c r="BG84" s="125">
        <f t="shared" si="49"/>
        <v>43</v>
      </c>
      <c r="BH84" s="176"/>
      <c r="BI84" s="124">
        <f t="shared" si="50"/>
        <v>2</v>
      </c>
      <c r="BJ84" s="124">
        <v>10</v>
      </c>
      <c r="BK84" s="124">
        <v>0</v>
      </c>
      <c r="BL84" s="125">
        <f t="shared" si="51"/>
        <v>10</v>
      </c>
      <c r="BM84" s="125">
        <f t="shared" si="70"/>
        <v>10</v>
      </c>
      <c r="BN84" s="176"/>
      <c r="BO84" s="124" t="str">
        <f t="shared" si="65"/>
        <v>F</v>
      </c>
      <c r="BP84" s="124" t="str">
        <f t="shared" si="71"/>
        <v>F</v>
      </c>
      <c r="BQ84" s="70" t="str">
        <f t="shared" si="72"/>
        <v>F</v>
      </c>
      <c r="BR84" s="70" t="str">
        <f t="shared" si="52"/>
        <v>F</v>
      </c>
      <c r="BS84" s="124" t="str">
        <f t="shared" si="66"/>
        <v>NEED TO PROGRESS</v>
      </c>
      <c r="BT84" s="125">
        <f t="shared" si="73"/>
        <v>365</v>
      </c>
      <c r="BU84" s="124"/>
      <c r="BV84" s="124"/>
    </row>
    <row r="85" spans="1:74" s="68" customFormat="1" ht="27.95" customHeight="1">
      <c r="A85" s="67">
        <v>78</v>
      </c>
      <c r="B85" s="37">
        <v>102</v>
      </c>
      <c r="C85" s="34" t="s">
        <v>379</v>
      </c>
      <c r="D85" s="34"/>
      <c r="E85" s="34"/>
      <c r="F85" s="51"/>
      <c r="G85" s="124">
        <v>0</v>
      </c>
      <c r="H85" s="124">
        <v>0</v>
      </c>
      <c r="I85" s="125">
        <f t="shared" si="53"/>
        <v>0</v>
      </c>
      <c r="J85" s="124">
        <v>0</v>
      </c>
      <c r="K85" s="125">
        <f t="shared" si="54"/>
        <v>0</v>
      </c>
      <c r="L85" s="124">
        <v>0</v>
      </c>
      <c r="M85" s="124">
        <v>0</v>
      </c>
      <c r="N85" s="125">
        <f t="shared" si="55"/>
        <v>0</v>
      </c>
      <c r="O85" s="125">
        <f t="shared" si="67"/>
        <v>0</v>
      </c>
      <c r="P85" s="125">
        <f t="shared" si="64"/>
        <v>0</v>
      </c>
      <c r="Q85" s="176"/>
      <c r="R85" s="124" t="str">
        <f t="shared" si="40"/>
        <v>F</v>
      </c>
      <c r="S85" s="124">
        <v>0</v>
      </c>
      <c r="T85" s="124">
        <v>0</v>
      </c>
      <c r="U85" s="125">
        <f t="shared" si="56"/>
        <v>0</v>
      </c>
      <c r="V85" s="124">
        <v>0</v>
      </c>
      <c r="W85" s="124">
        <v>0</v>
      </c>
      <c r="X85" s="125">
        <f t="shared" si="41"/>
        <v>0</v>
      </c>
      <c r="Y85" s="125">
        <f t="shared" si="57"/>
        <v>0</v>
      </c>
      <c r="Z85" s="125">
        <f t="shared" si="58"/>
        <v>0</v>
      </c>
      <c r="AA85" s="176"/>
      <c r="AB85" s="124" t="str">
        <f t="shared" si="42"/>
        <v>F</v>
      </c>
      <c r="AC85" s="124">
        <v>0</v>
      </c>
      <c r="AD85" s="124">
        <v>0</v>
      </c>
      <c r="AE85" s="125">
        <f t="shared" si="60"/>
        <v>0</v>
      </c>
      <c r="AF85" s="124">
        <v>0</v>
      </c>
      <c r="AG85" s="125">
        <f t="shared" si="43"/>
        <v>0</v>
      </c>
      <c r="AH85" s="176"/>
      <c r="AI85" s="124" t="str">
        <f t="shared" si="44"/>
        <v>F</v>
      </c>
      <c r="AJ85" s="124">
        <v>0</v>
      </c>
      <c r="AK85" s="124">
        <v>0</v>
      </c>
      <c r="AL85" s="125">
        <f t="shared" si="61"/>
        <v>0</v>
      </c>
      <c r="AM85" s="124">
        <v>0</v>
      </c>
      <c r="AN85" s="125">
        <f t="shared" si="59"/>
        <v>0</v>
      </c>
      <c r="AO85" s="176"/>
      <c r="AP85" s="124" t="str">
        <f t="shared" si="45"/>
        <v>F</v>
      </c>
      <c r="AQ85" s="124">
        <v>0</v>
      </c>
      <c r="AR85" s="124">
        <v>0</v>
      </c>
      <c r="AS85" s="124">
        <f t="shared" si="68"/>
        <v>0</v>
      </c>
      <c r="AT85" s="175"/>
      <c r="AU85" s="124" t="str">
        <f t="shared" si="46"/>
        <v>F</v>
      </c>
      <c r="AV85" s="124">
        <v>0</v>
      </c>
      <c r="AW85" s="124">
        <v>0</v>
      </c>
      <c r="AX85" s="125">
        <f t="shared" si="62"/>
        <v>0</v>
      </c>
      <c r="AY85" s="124">
        <v>0</v>
      </c>
      <c r="AZ85" s="125">
        <f t="shared" si="47"/>
        <v>0</v>
      </c>
      <c r="BA85" s="176"/>
      <c r="BB85" s="124" t="str">
        <f t="shared" si="48"/>
        <v>F</v>
      </c>
      <c r="BC85" s="124">
        <v>0</v>
      </c>
      <c r="BD85" s="124">
        <v>0</v>
      </c>
      <c r="BE85" s="125">
        <f t="shared" si="63"/>
        <v>0</v>
      </c>
      <c r="BF85" s="124">
        <v>0</v>
      </c>
      <c r="BG85" s="125">
        <f t="shared" si="49"/>
        <v>0</v>
      </c>
      <c r="BH85" s="176"/>
      <c r="BI85" s="124" t="str">
        <f t="shared" si="50"/>
        <v>F</v>
      </c>
      <c r="BJ85" s="124">
        <v>0</v>
      </c>
      <c r="BK85" s="124">
        <v>0</v>
      </c>
      <c r="BL85" s="125">
        <f t="shared" si="51"/>
        <v>0</v>
      </c>
      <c r="BM85" s="125">
        <f t="shared" si="70"/>
        <v>0</v>
      </c>
      <c r="BN85" s="176"/>
      <c r="BO85" s="124" t="str">
        <f t="shared" si="65"/>
        <v>F</v>
      </c>
      <c r="BP85" s="124" t="str">
        <f t="shared" si="71"/>
        <v>F</v>
      </c>
      <c r="BQ85" s="70" t="str">
        <f t="shared" si="72"/>
        <v>F</v>
      </c>
      <c r="BR85" s="70" t="str">
        <f t="shared" si="52"/>
        <v>F</v>
      </c>
      <c r="BS85" s="124" t="str">
        <f t="shared" si="66"/>
        <v>NEED TO PROGRESS</v>
      </c>
      <c r="BT85" s="125">
        <f t="shared" si="73"/>
        <v>0</v>
      </c>
      <c r="BU85" s="124"/>
      <c r="BV85" s="124"/>
    </row>
    <row r="86" spans="1:74" s="68" customFormat="1" ht="27.95" customHeight="1">
      <c r="A86" s="67">
        <v>79</v>
      </c>
      <c r="B86" s="37">
        <v>103</v>
      </c>
      <c r="C86" s="34" t="s">
        <v>380</v>
      </c>
      <c r="D86" s="34"/>
      <c r="E86" s="34"/>
      <c r="F86" s="51"/>
      <c r="G86" s="124">
        <v>0</v>
      </c>
      <c r="H86" s="124">
        <v>0</v>
      </c>
      <c r="I86" s="125">
        <f t="shared" si="53"/>
        <v>0</v>
      </c>
      <c r="J86" s="124">
        <v>0</v>
      </c>
      <c r="K86" s="125">
        <f t="shared" si="54"/>
        <v>0</v>
      </c>
      <c r="L86" s="124">
        <v>0</v>
      </c>
      <c r="M86" s="124">
        <v>0</v>
      </c>
      <c r="N86" s="125">
        <f t="shared" si="55"/>
        <v>0</v>
      </c>
      <c r="O86" s="125">
        <f t="shared" si="67"/>
        <v>0</v>
      </c>
      <c r="P86" s="125">
        <f t="shared" si="64"/>
        <v>0</v>
      </c>
      <c r="Q86" s="176"/>
      <c r="R86" s="124" t="str">
        <f t="shared" si="40"/>
        <v>F</v>
      </c>
      <c r="S86" s="124">
        <v>0</v>
      </c>
      <c r="T86" s="124">
        <v>0</v>
      </c>
      <c r="U86" s="125">
        <f t="shared" si="56"/>
        <v>0</v>
      </c>
      <c r="V86" s="124">
        <v>0</v>
      </c>
      <c r="W86" s="124">
        <v>0</v>
      </c>
      <c r="X86" s="125">
        <f t="shared" si="41"/>
        <v>0</v>
      </c>
      <c r="Y86" s="125">
        <f t="shared" si="57"/>
        <v>0</v>
      </c>
      <c r="Z86" s="125">
        <f t="shared" si="58"/>
        <v>0</v>
      </c>
      <c r="AA86" s="176"/>
      <c r="AB86" s="124" t="str">
        <f t="shared" si="42"/>
        <v>F</v>
      </c>
      <c r="AC86" s="124">
        <v>0</v>
      </c>
      <c r="AD86" s="124">
        <v>0</v>
      </c>
      <c r="AE86" s="125">
        <f t="shared" si="60"/>
        <v>0</v>
      </c>
      <c r="AF86" s="124">
        <v>0</v>
      </c>
      <c r="AG86" s="125">
        <f t="shared" si="43"/>
        <v>0</v>
      </c>
      <c r="AH86" s="176"/>
      <c r="AI86" s="124" t="str">
        <f t="shared" si="44"/>
        <v>F</v>
      </c>
      <c r="AJ86" s="124">
        <v>0</v>
      </c>
      <c r="AK86" s="124">
        <v>0</v>
      </c>
      <c r="AL86" s="125">
        <f t="shared" si="61"/>
        <v>0</v>
      </c>
      <c r="AM86" s="124">
        <v>0</v>
      </c>
      <c r="AN86" s="125">
        <f t="shared" si="59"/>
        <v>0</v>
      </c>
      <c r="AO86" s="176"/>
      <c r="AP86" s="124" t="str">
        <f t="shared" si="45"/>
        <v>F</v>
      </c>
      <c r="AQ86" s="124">
        <v>0</v>
      </c>
      <c r="AR86" s="124">
        <v>0</v>
      </c>
      <c r="AS86" s="124">
        <f t="shared" si="68"/>
        <v>0</v>
      </c>
      <c r="AT86" s="175"/>
      <c r="AU86" s="124" t="str">
        <f t="shared" si="46"/>
        <v>F</v>
      </c>
      <c r="AV86" s="124">
        <v>0</v>
      </c>
      <c r="AW86" s="124">
        <v>0</v>
      </c>
      <c r="AX86" s="125">
        <f t="shared" si="62"/>
        <v>0</v>
      </c>
      <c r="AY86" s="124">
        <v>0</v>
      </c>
      <c r="AZ86" s="125">
        <f t="shared" si="47"/>
        <v>0</v>
      </c>
      <c r="BA86" s="176"/>
      <c r="BB86" s="124" t="str">
        <f t="shared" si="48"/>
        <v>F</v>
      </c>
      <c r="BC86" s="124">
        <v>0</v>
      </c>
      <c r="BD86" s="124">
        <v>0</v>
      </c>
      <c r="BE86" s="125">
        <f t="shared" si="63"/>
        <v>0</v>
      </c>
      <c r="BF86" s="124">
        <v>0</v>
      </c>
      <c r="BG86" s="125">
        <f t="shared" si="49"/>
        <v>0</v>
      </c>
      <c r="BH86" s="176"/>
      <c r="BI86" s="124" t="str">
        <f t="shared" si="50"/>
        <v>F</v>
      </c>
      <c r="BJ86" s="124">
        <v>0</v>
      </c>
      <c r="BK86" s="124">
        <v>0</v>
      </c>
      <c r="BL86" s="125">
        <f t="shared" si="51"/>
        <v>0</v>
      </c>
      <c r="BM86" s="125">
        <f t="shared" si="70"/>
        <v>0</v>
      </c>
      <c r="BN86" s="176"/>
      <c r="BO86" s="124" t="str">
        <f t="shared" si="65"/>
        <v>F</v>
      </c>
      <c r="BP86" s="124" t="str">
        <f t="shared" si="71"/>
        <v>F</v>
      </c>
      <c r="BQ86" s="70" t="str">
        <f t="shared" si="72"/>
        <v>F</v>
      </c>
      <c r="BR86" s="70" t="str">
        <f t="shared" si="52"/>
        <v>F</v>
      </c>
      <c r="BS86" s="124" t="str">
        <f t="shared" si="66"/>
        <v>NEED TO PROGRESS</v>
      </c>
      <c r="BT86" s="125">
        <f t="shared" si="73"/>
        <v>0</v>
      </c>
      <c r="BU86" s="124"/>
      <c r="BV86" s="124"/>
    </row>
    <row r="87" spans="1:74" s="68" customFormat="1" ht="27.95" customHeight="1">
      <c r="A87" s="67">
        <v>80</v>
      </c>
      <c r="B87" s="37">
        <v>104</v>
      </c>
      <c r="C87" s="34" t="s">
        <v>381</v>
      </c>
      <c r="D87" s="34"/>
      <c r="E87" s="34"/>
      <c r="F87" s="51"/>
      <c r="G87" s="124">
        <v>0</v>
      </c>
      <c r="H87" s="124">
        <v>0</v>
      </c>
      <c r="I87" s="125">
        <f t="shared" si="53"/>
        <v>0</v>
      </c>
      <c r="J87" s="124">
        <v>0</v>
      </c>
      <c r="K87" s="125">
        <f t="shared" si="54"/>
        <v>0</v>
      </c>
      <c r="L87" s="124">
        <v>0</v>
      </c>
      <c r="M87" s="124">
        <v>0</v>
      </c>
      <c r="N87" s="125">
        <f t="shared" si="55"/>
        <v>0</v>
      </c>
      <c r="O87" s="125">
        <f t="shared" si="67"/>
        <v>0</v>
      </c>
      <c r="P87" s="125">
        <f t="shared" si="64"/>
        <v>0</v>
      </c>
      <c r="Q87" s="176"/>
      <c r="R87" s="124" t="str">
        <f t="shared" si="40"/>
        <v>F</v>
      </c>
      <c r="S87" s="124">
        <v>0</v>
      </c>
      <c r="T87" s="124">
        <v>0</v>
      </c>
      <c r="U87" s="125">
        <f t="shared" si="56"/>
        <v>0</v>
      </c>
      <c r="V87" s="124">
        <v>0</v>
      </c>
      <c r="W87" s="124">
        <v>0</v>
      </c>
      <c r="X87" s="125">
        <f t="shared" si="41"/>
        <v>0</v>
      </c>
      <c r="Y87" s="125">
        <f t="shared" si="57"/>
        <v>0</v>
      </c>
      <c r="Z87" s="125">
        <f t="shared" si="58"/>
        <v>0</v>
      </c>
      <c r="AA87" s="176"/>
      <c r="AB87" s="124" t="str">
        <f t="shared" si="42"/>
        <v>F</v>
      </c>
      <c r="AC87" s="124">
        <v>0</v>
      </c>
      <c r="AD87" s="124">
        <v>0</v>
      </c>
      <c r="AE87" s="125">
        <f t="shared" si="60"/>
        <v>0</v>
      </c>
      <c r="AF87" s="124">
        <v>0</v>
      </c>
      <c r="AG87" s="125">
        <f t="shared" si="43"/>
        <v>0</v>
      </c>
      <c r="AH87" s="176"/>
      <c r="AI87" s="124" t="str">
        <f t="shared" si="44"/>
        <v>F</v>
      </c>
      <c r="AJ87" s="124">
        <v>0</v>
      </c>
      <c r="AK87" s="124">
        <v>0</v>
      </c>
      <c r="AL87" s="125">
        <f t="shared" si="61"/>
        <v>0</v>
      </c>
      <c r="AM87" s="124">
        <v>0</v>
      </c>
      <c r="AN87" s="125">
        <f t="shared" si="59"/>
        <v>0</v>
      </c>
      <c r="AO87" s="176"/>
      <c r="AP87" s="124" t="str">
        <f t="shared" si="45"/>
        <v>F</v>
      </c>
      <c r="AQ87" s="124">
        <v>0</v>
      </c>
      <c r="AR87" s="124">
        <v>0</v>
      </c>
      <c r="AS87" s="124">
        <f t="shared" si="68"/>
        <v>0</v>
      </c>
      <c r="AT87" s="175"/>
      <c r="AU87" s="124" t="str">
        <f t="shared" si="46"/>
        <v>F</v>
      </c>
      <c r="AV87" s="124">
        <v>0</v>
      </c>
      <c r="AW87" s="124">
        <v>0</v>
      </c>
      <c r="AX87" s="125">
        <f t="shared" si="62"/>
        <v>0</v>
      </c>
      <c r="AY87" s="124">
        <v>0</v>
      </c>
      <c r="AZ87" s="125">
        <f t="shared" si="47"/>
        <v>0</v>
      </c>
      <c r="BA87" s="176"/>
      <c r="BB87" s="124" t="str">
        <f t="shared" si="48"/>
        <v>F</v>
      </c>
      <c r="BC87" s="124">
        <v>0</v>
      </c>
      <c r="BD87" s="124">
        <v>0</v>
      </c>
      <c r="BE87" s="125">
        <f t="shared" si="63"/>
        <v>0</v>
      </c>
      <c r="BF87" s="124">
        <v>0</v>
      </c>
      <c r="BG87" s="125">
        <f t="shared" si="49"/>
        <v>0</v>
      </c>
      <c r="BH87" s="176"/>
      <c r="BI87" s="124" t="str">
        <f t="shared" si="50"/>
        <v>F</v>
      </c>
      <c r="BJ87" s="124">
        <v>0</v>
      </c>
      <c r="BK87" s="124">
        <v>0</v>
      </c>
      <c r="BL87" s="125">
        <f t="shared" si="51"/>
        <v>0</v>
      </c>
      <c r="BM87" s="125">
        <f t="shared" si="70"/>
        <v>0</v>
      </c>
      <c r="BN87" s="176"/>
      <c r="BO87" s="124" t="str">
        <f t="shared" si="65"/>
        <v>F</v>
      </c>
      <c r="BP87" s="124" t="str">
        <f t="shared" si="71"/>
        <v>F</v>
      </c>
      <c r="BQ87" s="70" t="str">
        <f t="shared" si="72"/>
        <v>F</v>
      </c>
      <c r="BR87" s="70" t="str">
        <f t="shared" si="52"/>
        <v>F</v>
      </c>
      <c r="BS87" s="124" t="str">
        <f t="shared" si="66"/>
        <v>NEED TO PROGRESS</v>
      </c>
      <c r="BT87" s="125">
        <f t="shared" si="73"/>
        <v>0</v>
      </c>
      <c r="BU87" s="124"/>
      <c r="BV87" s="124"/>
    </row>
    <row r="88" spans="1:74" s="68" customFormat="1" ht="27.95" customHeight="1">
      <c r="A88" s="67">
        <v>81</v>
      </c>
      <c r="B88" s="139"/>
      <c r="C88" s="140"/>
      <c r="D88" s="34"/>
      <c r="E88" s="34"/>
      <c r="F88" s="35"/>
      <c r="G88" s="124">
        <v>0</v>
      </c>
      <c r="H88" s="124">
        <v>0</v>
      </c>
      <c r="I88" s="125">
        <f t="shared" si="53"/>
        <v>0</v>
      </c>
      <c r="J88" s="124">
        <v>0</v>
      </c>
      <c r="K88" s="125">
        <f t="shared" si="54"/>
        <v>0</v>
      </c>
      <c r="L88" s="124">
        <v>0</v>
      </c>
      <c r="M88" s="124">
        <v>0</v>
      </c>
      <c r="N88" s="125">
        <f t="shared" si="55"/>
        <v>0</v>
      </c>
      <c r="O88" s="125">
        <f t="shared" si="67"/>
        <v>0</v>
      </c>
      <c r="P88" s="125">
        <f t="shared" si="64"/>
        <v>0</v>
      </c>
      <c r="Q88" s="176"/>
      <c r="R88" s="124" t="str">
        <f t="shared" si="40"/>
        <v>F</v>
      </c>
      <c r="S88" s="124">
        <v>0</v>
      </c>
      <c r="T88" s="124">
        <v>0</v>
      </c>
      <c r="U88" s="125">
        <f t="shared" si="56"/>
        <v>0</v>
      </c>
      <c r="V88" s="124">
        <v>0</v>
      </c>
      <c r="W88" s="124">
        <v>0</v>
      </c>
      <c r="X88" s="125">
        <f t="shared" si="41"/>
        <v>0</v>
      </c>
      <c r="Y88" s="125">
        <f t="shared" si="57"/>
        <v>0</v>
      </c>
      <c r="Z88" s="125">
        <f t="shared" si="58"/>
        <v>0</v>
      </c>
      <c r="AA88" s="176"/>
      <c r="AB88" s="124" t="str">
        <f t="shared" si="42"/>
        <v>F</v>
      </c>
      <c r="AC88" s="124">
        <v>0</v>
      </c>
      <c r="AD88" s="124">
        <v>0</v>
      </c>
      <c r="AE88" s="125">
        <f t="shared" si="60"/>
        <v>0</v>
      </c>
      <c r="AF88" s="124">
        <v>0</v>
      </c>
      <c r="AG88" s="125">
        <f t="shared" si="43"/>
        <v>0</v>
      </c>
      <c r="AH88" s="176"/>
      <c r="AI88" s="124" t="str">
        <f t="shared" si="44"/>
        <v>F</v>
      </c>
      <c r="AJ88" s="124">
        <v>0</v>
      </c>
      <c r="AK88" s="124">
        <v>0</v>
      </c>
      <c r="AL88" s="125">
        <f t="shared" si="61"/>
        <v>0</v>
      </c>
      <c r="AM88" s="124">
        <v>0</v>
      </c>
      <c r="AN88" s="125">
        <f t="shared" si="59"/>
        <v>0</v>
      </c>
      <c r="AO88" s="176"/>
      <c r="AP88" s="124" t="str">
        <f t="shared" si="45"/>
        <v>F</v>
      </c>
      <c r="AQ88" s="124">
        <v>0</v>
      </c>
      <c r="AR88" s="124">
        <v>0</v>
      </c>
      <c r="AS88" s="124">
        <f t="shared" si="68"/>
        <v>0</v>
      </c>
      <c r="AT88" s="175"/>
      <c r="AU88" s="124" t="str">
        <f t="shared" si="46"/>
        <v>F</v>
      </c>
      <c r="AV88" s="124">
        <v>0</v>
      </c>
      <c r="AW88" s="124">
        <v>0</v>
      </c>
      <c r="AX88" s="125">
        <f t="shared" si="62"/>
        <v>0</v>
      </c>
      <c r="AY88" s="124">
        <v>0</v>
      </c>
      <c r="AZ88" s="125">
        <f t="shared" si="47"/>
        <v>0</v>
      </c>
      <c r="BA88" s="176"/>
      <c r="BB88" s="124" t="str">
        <f t="shared" si="48"/>
        <v>F</v>
      </c>
      <c r="BC88" s="124">
        <v>0</v>
      </c>
      <c r="BD88" s="124">
        <v>0</v>
      </c>
      <c r="BE88" s="125">
        <f t="shared" si="63"/>
        <v>0</v>
      </c>
      <c r="BF88" s="124">
        <v>0</v>
      </c>
      <c r="BG88" s="125">
        <f t="shared" si="49"/>
        <v>0</v>
      </c>
      <c r="BH88" s="176"/>
      <c r="BI88" s="124" t="str">
        <f t="shared" si="50"/>
        <v>F</v>
      </c>
      <c r="BJ88" s="124">
        <v>0</v>
      </c>
      <c r="BK88" s="124">
        <v>0</v>
      </c>
      <c r="BL88" s="125">
        <f t="shared" si="51"/>
        <v>0</v>
      </c>
      <c r="BM88" s="125">
        <f t="shared" si="70"/>
        <v>0</v>
      </c>
      <c r="BN88" s="176"/>
      <c r="BO88" s="124" t="str">
        <f t="shared" si="65"/>
        <v>F</v>
      </c>
      <c r="BP88" s="124" t="str">
        <f t="shared" si="71"/>
        <v>F</v>
      </c>
      <c r="BQ88" s="70" t="str">
        <f t="shared" si="72"/>
        <v>F</v>
      </c>
      <c r="BR88" s="70" t="str">
        <f t="shared" si="52"/>
        <v>F</v>
      </c>
      <c r="BS88" s="124" t="str">
        <f t="shared" si="66"/>
        <v>NEED TO PROGRESS</v>
      </c>
      <c r="BT88" s="125">
        <f t="shared" si="73"/>
        <v>0</v>
      </c>
      <c r="BU88" s="124"/>
      <c r="BV88" s="124"/>
    </row>
    <row r="89" spans="1:74" s="68" customFormat="1">
      <c r="B89" s="141"/>
    </row>
    <row r="90" spans="1:74" s="68" customFormat="1">
      <c r="B90" s="141"/>
    </row>
    <row r="91" spans="1:74" s="144" customFormat="1">
      <c r="A91" s="69">
        <v>0</v>
      </c>
      <c r="B91" s="142">
        <v>1</v>
      </c>
      <c r="C91" s="143">
        <v>2</v>
      </c>
      <c r="D91" s="143">
        <v>3</v>
      </c>
      <c r="E91" s="69">
        <v>4</v>
      </c>
      <c r="F91" s="143">
        <v>5</v>
      </c>
      <c r="G91" s="143">
        <v>6</v>
      </c>
      <c r="H91" s="143">
        <v>7</v>
      </c>
      <c r="I91" s="69">
        <v>8</v>
      </c>
      <c r="J91" s="143">
        <v>9</v>
      </c>
      <c r="K91" s="143">
        <v>10</v>
      </c>
      <c r="L91" s="143">
        <v>11</v>
      </c>
      <c r="M91" s="69">
        <v>12</v>
      </c>
      <c r="N91" s="143">
        <v>13</v>
      </c>
      <c r="O91" s="143">
        <v>14</v>
      </c>
      <c r="P91" s="143">
        <v>15</v>
      </c>
      <c r="Q91" s="69">
        <v>16</v>
      </c>
      <c r="R91" s="143">
        <v>17</v>
      </c>
      <c r="S91" s="143">
        <v>18</v>
      </c>
      <c r="T91" s="143">
        <v>19</v>
      </c>
      <c r="U91" s="69">
        <v>20</v>
      </c>
      <c r="V91" s="143">
        <v>21</v>
      </c>
      <c r="W91" s="143">
        <v>22</v>
      </c>
      <c r="X91" s="143">
        <v>23</v>
      </c>
      <c r="Y91" s="69">
        <v>24</v>
      </c>
      <c r="Z91" s="143">
        <v>25</v>
      </c>
      <c r="AA91" s="143">
        <v>26</v>
      </c>
      <c r="AB91" s="143">
        <v>27</v>
      </c>
      <c r="AC91" s="69">
        <v>28</v>
      </c>
      <c r="AD91" s="143">
        <v>29</v>
      </c>
      <c r="AE91" s="143">
        <v>30</v>
      </c>
      <c r="AF91" s="143">
        <v>31</v>
      </c>
      <c r="AG91" s="69">
        <v>32</v>
      </c>
      <c r="AH91" s="143">
        <v>33</v>
      </c>
      <c r="AI91" s="143">
        <v>34</v>
      </c>
      <c r="AJ91" s="143">
        <v>35</v>
      </c>
      <c r="AK91" s="69">
        <v>36</v>
      </c>
      <c r="AL91" s="143">
        <v>37</v>
      </c>
      <c r="AM91" s="143">
        <v>38</v>
      </c>
      <c r="AN91" s="143">
        <v>39</v>
      </c>
      <c r="AO91" s="69">
        <v>40</v>
      </c>
      <c r="AP91" s="143">
        <v>41</v>
      </c>
      <c r="AQ91" s="143">
        <v>42</v>
      </c>
      <c r="AR91" s="143">
        <v>43</v>
      </c>
      <c r="AS91" s="69">
        <v>44</v>
      </c>
      <c r="AT91" s="143">
        <v>45</v>
      </c>
      <c r="AU91" s="143">
        <v>46</v>
      </c>
      <c r="AV91" s="143">
        <v>47</v>
      </c>
      <c r="AW91" s="69">
        <v>48</v>
      </c>
      <c r="AX91" s="143">
        <v>49</v>
      </c>
      <c r="AY91" s="143">
        <v>50</v>
      </c>
      <c r="AZ91" s="143">
        <v>51</v>
      </c>
      <c r="BA91" s="69">
        <v>52</v>
      </c>
      <c r="BB91" s="143">
        <v>53</v>
      </c>
      <c r="BC91" s="143">
        <v>54</v>
      </c>
      <c r="BD91" s="143">
        <v>55</v>
      </c>
      <c r="BE91" s="69">
        <v>56</v>
      </c>
      <c r="BF91" s="143">
        <v>57</v>
      </c>
      <c r="BG91" s="143">
        <v>58</v>
      </c>
      <c r="BH91" s="143">
        <v>59</v>
      </c>
      <c r="BI91" s="69">
        <v>60</v>
      </c>
      <c r="BJ91" s="143">
        <v>61</v>
      </c>
      <c r="BK91" s="143">
        <v>62</v>
      </c>
      <c r="BL91" s="143">
        <v>63</v>
      </c>
      <c r="BM91" s="69">
        <v>64</v>
      </c>
      <c r="BN91" s="143">
        <v>65</v>
      </c>
      <c r="BO91" s="143">
        <v>66</v>
      </c>
      <c r="BP91" s="143">
        <v>67</v>
      </c>
      <c r="BQ91" s="69">
        <v>68</v>
      </c>
      <c r="BR91" s="143">
        <v>69</v>
      </c>
      <c r="BS91" s="143">
        <v>70</v>
      </c>
      <c r="BT91" s="143">
        <v>71</v>
      </c>
      <c r="BU91" s="69">
        <v>72</v>
      </c>
      <c r="BV91" s="143">
        <v>73</v>
      </c>
    </row>
    <row r="92" spans="1:74" s="68" customFormat="1"/>
    <row r="93" spans="1:74" s="68" customFormat="1"/>
    <row r="94" spans="1:74" s="68" customFormat="1"/>
    <row r="95" spans="1:74" s="68" customFormat="1"/>
    <row r="96" spans="1:74" s="68" customFormat="1"/>
    <row r="97" s="68" customFormat="1"/>
    <row r="98" s="68" customFormat="1"/>
    <row r="99" s="68" customFormat="1"/>
    <row r="100" s="68" customFormat="1"/>
    <row r="101" s="68" customFormat="1"/>
    <row r="102" s="68" customFormat="1"/>
    <row r="103" s="68" customFormat="1"/>
    <row r="104" s="68" customFormat="1"/>
    <row r="105" s="68" customFormat="1"/>
    <row r="106" s="68" customFormat="1"/>
    <row r="107" s="68" customFormat="1"/>
    <row r="108" s="68" customFormat="1"/>
    <row r="109" s="68" customFormat="1"/>
    <row r="110" s="68" customFormat="1"/>
    <row r="111" s="68" customFormat="1"/>
    <row r="112" s="68" customFormat="1"/>
    <row r="113" s="68" customFormat="1"/>
    <row r="114" s="68" customFormat="1"/>
    <row r="115" s="68" customFormat="1"/>
    <row r="116" s="68" customFormat="1"/>
    <row r="117" s="68" customFormat="1"/>
    <row r="118" s="68" customFormat="1"/>
    <row r="119" s="68" customFormat="1"/>
    <row r="120" s="68" customFormat="1"/>
    <row r="121" s="68" customFormat="1"/>
    <row r="122" s="68" customFormat="1"/>
    <row r="123" s="68" customFormat="1"/>
    <row r="124" s="68" customFormat="1"/>
    <row r="125" s="68" customFormat="1"/>
    <row r="126" s="68" customFormat="1"/>
    <row r="127" s="68" customFormat="1"/>
    <row r="128" s="68" customFormat="1"/>
    <row r="129" s="68" customFormat="1"/>
    <row r="130" s="68" customFormat="1"/>
    <row r="131" s="68" customFormat="1"/>
    <row r="132" s="68" customFormat="1"/>
    <row r="133" s="68" customFormat="1"/>
    <row r="134" s="68" customFormat="1"/>
    <row r="135" s="68" customFormat="1"/>
    <row r="136" s="68" customFormat="1"/>
    <row r="137" s="68" customFormat="1"/>
    <row r="138" s="68" customFormat="1"/>
    <row r="139" s="68" customFormat="1"/>
    <row r="140" s="68" customFormat="1"/>
    <row r="141" s="68" customFormat="1"/>
    <row r="142" s="68" customFormat="1"/>
    <row r="143" s="68" customFormat="1"/>
    <row r="144" s="68" customFormat="1"/>
    <row r="145" s="68" customFormat="1"/>
    <row r="146" s="68" customFormat="1"/>
    <row r="147" s="68" customFormat="1"/>
    <row r="148" s="68" customFormat="1"/>
    <row r="149" s="68" customFormat="1"/>
    <row r="150" s="68" customFormat="1"/>
    <row r="151" s="68" customFormat="1"/>
    <row r="152" s="68" customFormat="1"/>
    <row r="153" s="68" customFormat="1"/>
    <row r="154" s="68" customFormat="1"/>
    <row r="155" s="68" customFormat="1"/>
    <row r="156" s="68" customFormat="1"/>
    <row r="157" s="68" customFormat="1"/>
    <row r="158" s="68" customFormat="1"/>
    <row r="159" s="68" customFormat="1"/>
    <row r="160" s="68" customFormat="1"/>
    <row r="161" s="68" customFormat="1"/>
    <row r="162" s="68" customFormat="1"/>
    <row r="163" s="68" customFormat="1"/>
    <row r="164" s="68" customFormat="1"/>
    <row r="165" s="68" customFormat="1"/>
    <row r="166" s="68" customFormat="1"/>
    <row r="167" s="68" customFormat="1"/>
    <row r="168" s="68" customFormat="1"/>
    <row r="169" s="68" customFormat="1"/>
    <row r="170" s="68" customFormat="1"/>
    <row r="171" s="68" customFormat="1"/>
    <row r="172" s="68" customFormat="1"/>
    <row r="173" s="68" customFormat="1"/>
    <row r="174" s="68" customFormat="1"/>
    <row r="175" s="68" customFormat="1"/>
    <row r="176" s="68" customFormat="1"/>
    <row r="177" s="68" customFormat="1"/>
    <row r="178" s="68" customFormat="1"/>
    <row r="179" s="68" customFormat="1"/>
    <row r="180" s="68" customFormat="1"/>
    <row r="181" s="68" customFormat="1"/>
    <row r="182" s="68" customFormat="1"/>
    <row r="183" s="68" customFormat="1"/>
    <row r="184" s="68" customFormat="1"/>
    <row r="185" s="68" customFormat="1"/>
    <row r="186" s="68" customFormat="1"/>
    <row r="187" s="68" customFormat="1"/>
    <row r="188" s="68" customFormat="1"/>
    <row r="189" s="68" customFormat="1"/>
    <row r="190" s="68" customFormat="1"/>
    <row r="191" s="68" customFormat="1"/>
    <row r="192" s="68" customFormat="1"/>
    <row r="193" s="68" customFormat="1"/>
    <row r="194" s="68" customFormat="1"/>
    <row r="195" s="68" customFormat="1"/>
    <row r="196" s="68" customFormat="1"/>
    <row r="197" s="68" customFormat="1"/>
    <row r="198" s="68" customFormat="1"/>
    <row r="199" s="68" customFormat="1"/>
    <row r="200" s="68" customFormat="1"/>
    <row r="201" s="68" customFormat="1"/>
    <row r="202" s="68" customFormat="1"/>
    <row r="203" s="68" customFormat="1"/>
    <row r="204" s="68" customFormat="1"/>
    <row r="205" s="68" customFormat="1"/>
    <row r="206" s="68" customFormat="1"/>
    <row r="207" s="68" customFormat="1"/>
    <row r="208" s="68" customFormat="1"/>
    <row r="209" s="68" customFormat="1"/>
    <row r="210" s="68" customFormat="1"/>
    <row r="211" s="68" customFormat="1"/>
    <row r="212" s="68" customFormat="1"/>
    <row r="213" s="68" customFormat="1"/>
    <row r="214" s="68" customFormat="1"/>
    <row r="215" s="68" customFormat="1"/>
    <row r="216" s="68" customFormat="1"/>
    <row r="217" s="68" customFormat="1"/>
    <row r="218" s="68" customFormat="1"/>
    <row r="219" s="68" customFormat="1"/>
    <row r="220" s="68" customFormat="1"/>
    <row r="221" s="68" customFormat="1"/>
    <row r="222" s="68" customFormat="1"/>
    <row r="223" s="68" customFormat="1"/>
    <row r="224" s="68" customFormat="1"/>
    <row r="225" s="68" customFormat="1"/>
    <row r="226" s="68" customFormat="1"/>
    <row r="227" s="68" customFormat="1"/>
    <row r="228" s="68" customFormat="1"/>
    <row r="229" s="68" customFormat="1"/>
    <row r="230" s="68" customFormat="1"/>
    <row r="231" s="68" customFormat="1"/>
    <row r="232" s="68" customFormat="1"/>
    <row r="233" s="68" customFormat="1"/>
    <row r="234" s="68" customFormat="1"/>
    <row r="235" s="68" customFormat="1"/>
    <row r="236" s="68" customFormat="1"/>
    <row r="237" s="68" customFormat="1"/>
    <row r="238" s="68" customFormat="1"/>
    <row r="239" s="68" customFormat="1"/>
    <row r="240" s="68" customFormat="1"/>
    <row r="241" s="68" customFormat="1"/>
    <row r="242" s="68" customFormat="1"/>
    <row r="243" s="68" customFormat="1"/>
    <row r="244" s="68" customFormat="1"/>
    <row r="245" s="68" customFormat="1"/>
    <row r="246" s="68" customFormat="1"/>
    <row r="247" s="68" customFormat="1"/>
    <row r="248" s="68" customFormat="1"/>
    <row r="249" s="68" customFormat="1"/>
    <row r="250" s="68" customFormat="1"/>
    <row r="251" s="68" customFormat="1"/>
    <row r="252" s="68" customFormat="1"/>
    <row r="253" s="68" customFormat="1"/>
    <row r="254" s="68" customFormat="1"/>
    <row r="255" s="68" customFormat="1"/>
    <row r="256" s="68" customFormat="1"/>
    <row r="257" s="68" customFormat="1"/>
    <row r="258" s="68" customFormat="1"/>
    <row r="259" s="68" customFormat="1"/>
    <row r="260" s="68" customFormat="1"/>
    <row r="261" s="68" customFormat="1"/>
    <row r="262" s="68" customFormat="1"/>
    <row r="263" s="68" customFormat="1"/>
    <row r="264" s="68" customFormat="1"/>
    <row r="265" s="68" customFormat="1"/>
    <row r="266" s="68" customFormat="1"/>
    <row r="267" s="68" customFormat="1"/>
    <row r="268" s="68" customFormat="1"/>
    <row r="269" s="68" customFormat="1"/>
    <row r="270" s="68" customFormat="1"/>
    <row r="271" s="68" customFormat="1"/>
    <row r="272" s="68" customFormat="1"/>
    <row r="273" s="68" customFormat="1"/>
    <row r="274" s="68" customFormat="1"/>
    <row r="275" s="68" customFormat="1"/>
    <row r="276" s="68" customFormat="1"/>
    <row r="277" s="68" customFormat="1"/>
    <row r="278" s="68" customFormat="1"/>
    <row r="279" s="68" customFormat="1"/>
    <row r="280" s="68" customFormat="1"/>
    <row r="281" s="68" customFormat="1"/>
    <row r="282" s="68" customFormat="1"/>
    <row r="283" s="68" customFormat="1"/>
    <row r="284" s="68" customFormat="1"/>
    <row r="285" s="68" customFormat="1"/>
    <row r="286" s="68" customFormat="1"/>
    <row r="287" s="68" customFormat="1"/>
    <row r="288" s="68" customFormat="1"/>
    <row r="289" s="68" customFormat="1"/>
    <row r="290" s="68" customFormat="1"/>
    <row r="291" s="68" customFormat="1"/>
    <row r="292" s="68" customFormat="1"/>
    <row r="293" s="68" customFormat="1"/>
    <row r="294" s="68" customFormat="1"/>
    <row r="295" s="68" customFormat="1"/>
    <row r="296" s="68" customFormat="1"/>
    <row r="297" s="68" customFormat="1"/>
    <row r="298" s="68" customFormat="1"/>
    <row r="299" s="68" customFormat="1"/>
    <row r="300" s="68" customFormat="1"/>
    <row r="301" s="68" customFormat="1"/>
    <row r="302" s="68" customFormat="1"/>
    <row r="303" s="68" customFormat="1"/>
    <row r="304" s="68" customFormat="1"/>
    <row r="305" s="68" customFormat="1"/>
    <row r="306" s="68" customFormat="1"/>
    <row r="307" s="68" customFormat="1"/>
    <row r="308" s="68" customFormat="1"/>
    <row r="309" s="68" customFormat="1"/>
    <row r="310" s="68" customFormat="1"/>
    <row r="311" s="68" customFormat="1"/>
    <row r="312" s="68" customFormat="1"/>
    <row r="313" s="68" customFormat="1"/>
    <row r="314" s="68" customFormat="1"/>
    <row r="315" s="68" customFormat="1"/>
    <row r="316" s="68" customFormat="1"/>
    <row r="317" s="68" customFormat="1"/>
    <row r="318" s="68" customFormat="1"/>
    <row r="319" s="68" customFormat="1"/>
    <row r="320" s="68" customFormat="1"/>
    <row r="321" s="68" customFormat="1"/>
    <row r="322" s="68" customFormat="1"/>
    <row r="323" s="68" customFormat="1"/>
    <row r="324" s="68" customFormat="1"/>
    <row r="325" s="68" customFormat="1"/>
    <row r="326" s="68" customFormat="1"/>
    <row r="327" s="68" customFormat="1"/>
    <row r="328" s="68" customFormat="1"/>
    <row r="329" s="68" customFormat="1"/>
    <row r="330" s="68" customFormat="1"/>
    <row r="331" s="68" customFormat="1"/>
    <row r="332" s="68" customFormat="1"/>
    <row r="333" s="68" customFormat="1"/>
    <row r="334" s="68" customFormat="1"/>
    <row r="335" s="68" customFormat="1"/>
    <row r="336" s="68" customFormat="1"/>
    <row r="337" s="68" customFormat="1"/>
    <row r="338" s="68" customFormat="1"/>
    <row r="339" s="68" customFormat="1"/>
    <row r="340" s="68" customFormat="1"/>
    <row r="341" s="68" customFormat="1"/>
    <row r="342" s="68" customFormat="1"/>
    <row r="343" s="68" customFormat="1"/>
    <row r="344" s="68" customFormat="1"/>
    <row r="345" s="68" customFormat="1"/>
    <row r="346" s="68" customFormat="1"/>
    <row r="347" s="68" customFormat="1"/>
    <row r="348" s="68" customFormat="1"/>
    <row r="349" s="68" customFormat="1"/>
    <row r="350" s="68" customFormat="1"/>
    <row r="351" s="68" customFormat="1"/>
    <row r="352" s="68" customFormat="1"/>
    <row r="353" s="68" customFormat="1"/>
    <row r="354" s="68" customFormat="1"/>
    <row r="355" s="68" customFormat="1"/>
  </sheetData>
  <mergeCells count="58">
    <mergeCell ref="AT8:AT88"/>
    <mergeCell ref="BA8:BA88"/>
    <mergeCell ref="BH8:BH88"/>
    <mergeCell ref="BN8:BN88"/>
    <mergeCell ref="F6:F7"/>
    <mergeCell ref="Q8:Q88"/>
    <mergeCell ref="AA8:AA88"/>
    <mergeCell ref="AH8:AH88"/>
    <mergeCell ref="AO8:AO88"/>
    <mergeCell ref="K6:K7"/>
    <mergeCell ref="AA6:AA7"/>
    <mergeCell ref="O6:O7"/>
    <mergeCell ref="P6:P7"/>
    <mergeCell ref="Q6:Q7"/>
    <mergeCell ref="Z6:Z7"/>
    <mergeCell ref="AS6:AS7"/>
    <mergeCell ref="A6:A7"/>
    <mergeCell ref="B6:B7"/>
    <mergeCell ref="C6:C7"/>
    <mergeCell ref="D6:D7"/>
    <mergeCell ref="E6:E7"/>
    <mergeCell ref="AT6:AT7"/>
    <mergeCell ref="AU6:AU7"/>
    <mergeCell ref="AB6:AB7"/>
    <mergeCell ref="AG6:AG7"/>
    <mergeCell ref="AH6:AH7"/>
    <mergeCell ref="AI6:AI7"/>
    <mergeCell ref="AN6:AN7"/>
    <mergeCell ref="B1:BU5"/>
    <mergeCell ref="G6:J6"/>
    <mergeCell ref="L6:N6"/>
    <mergeCell ref="R6:R7"/>
    <mergeCell ref="S6:X6"/>
    <mergeCell ref="Y6:Y7"/>
    <mergeCell ref="AC6:AF6"/>
    <mergeCell ref="AJ6:AM6"/>
    <mergeCell ref="AO6:AO7"/>
    <mergeCell ref="AP6:AP7"/>
    <mergeCell ref="AQ6:AR6"/>
    <mergeCell ref="AV6:AY6"/>
    <mergeCell ref="AZ6:AZ7"/>
    <mergeCell ref="BA6:BA7"/>
    <mergeCell ref="BB6:BB7"/>
    <mergeCell ref="BC6:BF6"/>
    <mergeCell ref="BG6:BG7"/>
    <mergeCell ref="BH6:BH7"/>
    <mergeCell ref="BI6:BI7"/>
    <mergeCell ref="BJ6:BL6"/>
    <mergeCell ref="BM6:BM7"/>
    <mergeCell ref="BS6:BS7"/>
    <mergeCell ref="BT6:BT7"/>
    <mergeCell ref="BU6:BU7"/>
    <mergeCell ref="BV6:BV7"/>
    <mergeCell ref="BN6:BN7"/>
    <mergeCell ref="BO6:BO7"/>
    <mergeCell ref="BP6:BP7"/>
    <mergeCell ref="BQ6:BQ7"/>
    <mergeCell ref="BR6:BR7"/>
  </mergeCells>
  <conditionalFormatting sqref="BC6 AK6:AN6 AP6 AH6 AN7:AN24 AO6:AO24 K6:L6 U6:X41 BB6:BB41 K7:K41 AX6 AK7:AM41 AN25:AO41 AC6:AG41 Y6:Z6 Y7:Y41 P6:R6 P7:Q41 G6:J41 G37:K37">
    <cfRule type="cellIs" dxfId="6" priority="1" operator="lessThan">
      <formula>28</formula>
    </cfRule>
  </conditionalFormatting>
  <pageMargins left="0.31496062992125984" right="0.31496062992125984" top="0.27559055118110237" bottom="0.23622047244094491" header="0.19685039370078741" footer="0.19685039370078741"/>
  <pageSetup paperSize="5" scale="4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BV90"/>
  <sheetViews>
    <sheetView topLeftCell="A10" zoomScale="55" zoomScaleNormal="55" workbookViewId="0">
      <selection activeCell="A36" sqref="A36:XFD36"/>
    </sheetView>
  </sheetViews>
  <sheetFormatPr defaultColWidth="9.140625" defaultRowHeight="15"/>
  <cols>
    <col min="1" max="2" width="8.5703125" customWidth="1"/>
    <col min="3" max="3" width="31.5703125" style="30" bestFit="1" customWidth="1"/>
    <col min="4" max="4" width="30.28515625" bestFit="1" customWidth="1"/>
    <col min="5" max="5" width="23" bestFit="1" customWidth="1"/>
    <col min="6" max="6" width="14.85546875" customWidth="1"/>
    <col min="7" max="44" width="8.5703125" customWidth="1"/>
    <col min="45" max="45" width="7.5703125" bestFit="1" customWidth="1"/>
    <col min="46" max="51" width="8.5703125" customWidth="1"/>
    <col min="52" max="52" width="7.5703125" bestFit="1" customWidth="1"/>
    <col min="53" max="58" width="8.5703125" customWidth="1"/>
    <col min="59" max="59" width="7.5703125" bestFit="1" customWidth="1"/>
    <col min="60" max="62" width="8.5703125" customWidth="1"/>
    <col min="63" max="63" width="7.7109375" customWidth="1"/>
    <col min="64" max="64" width="6.7109375" customWidth="1"/>
    <col min="65" max="65" width="7.5703125" bestFit="1" customWidth="1"/>
    <col min="66" max="66" width="8.42578125" customWidth="1"/>
    <col min="71" max="71" width="19.140625" bestFit="1" customWidth="1"/>
  </cols>
  <sheetData>
    <row r="1" spans="1:74" ht="27.95" customHeight="1">
      <c r="B1" s="184" t="s">
        <v>82</v>
      </c>
      <c r="C1" s="184"/>
      <c r="D1" s="184"/>
      <c r="E1" s="184"/>
      <c r="F1" s="184"/>
      <c r="G1" s="184"/>
      <c r="H1" s="184"/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4"/>
      <c r="U1" s="184"/>
      <c r="V1" s="184"/>
      <c r="W1" s="184"/>
      <c r="X1" s="184"/>
      <c r="Y1" s="184"/>
      <c r="Z1" s="184"/>
      <c r="AA1" s="184"/>
      <c r="AB1" s="184"/>
      <c r="AC1" s="184"/>
      <c r="AD1" s="184"/>
      <c r="AE1" s="184"/>
      <c r="AF1" s="184"/>
      <c r="AG1" s="184"/>
      <c r="AH1" s="184"/>
      <c r="AI1" s="184"/>
      <c r="AJ1" s="184"/>
      <c r="AK1" s="184"/>
      <c r="AL1" s="184"/>
      <c r="AM1" s="184"/>
      <c r="AN1" s="184"/>
      <c r="AO1" s="184"/>
      <c r="AP1" s="184"/>
      <c r="AQ1" s="184"/>
      <c r="AR1" s="184"/>
      <c r="AS1" s="184"/>
      <c r="AT1" s="184"/>
      <c r="AU1" s="184"/>
      <c r="AV1" s="184"/>
      <c r="AW1" s="184"/>
      <c r="AX1" s="184"/>
      <c r="AY1" s="184"/>
      <c r="AZ1" s="184"/>
      <c r="BA1" s="184"/>
      <c r="BB1" s="184"/>
      <c r="BC1" s="184"/>
      <c r="BD1" s="184"/>
      <c r="BE1" s="184"/>
      <c r="BF1" s="184"/>
      <c r="BG1" s="184"/>
      <c r="BH1" s="184"/>
      <c r="BI1" s="184"/>
      <c r="BJ1" s="184"/>
      <c r="BK1" s="184"/>
      <c r="BL1" s="184"/>
      <c r="BM1" s="184"/>
      <c r="BN1" s="184"/>
      <c r="BO1" s="184"/>
      <c r="BP1" s="184"/>
      <c r="BQ1" s="184"/>
      <c r="BR1" s="184"/>
      <c r="BS1" s="184"/>
      <c r="BT1" s="184"/>
      <c r="BU1" s="184"/>
      <c r="BV1" s="184"/>
    </row>
    <row r="2" spans="1:74" ht="27.95" customHeight="1">
      <c r="B2" s="184"/>
      <c r="C2" s="184"/>
      <c r="D2" s="184"/>
      <c r="E2" s="184"/>
      <c r="F2" s="184"/>
      <c r="G2" s="184"/>
      <c r="H2" s="184"/>
      <c r="I2" s="184"/>
      <c r="J2" s="184"/>
      <c r="K2" s="184"/>
      <c r="L2" s="184"/>
      <c r="M2" s="184"/>
      <c r="N2" s="184"/>
      <c r="O2" s="184"/>
      <c r="P2" s="184"/>
      <c r="Q2" s="184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184"/>
      <c r="AI2" s="184"/>
      <c r="AJ2" s="184"/>
      <c r="AK2" s="184"/>
      <c r="AL2" s="184"/>
      <c r="AM2" s="184"/>
      <c r="AN2" s="184"/>
      <c r="AO2" s="184"/>
      <c r="AP2" s="184"/>
      <c r="AQ2" s="184"/>
      <c r="AR2" s="184"/>
      <c r="AS2" s="184"/>
      <c r="AT2" s="184"/>
      <c r="AU2" s="184"/>
      <c r="AV2" s="184"/>
      <c r="AW2" s="184"/>
      <c r="AX2" s="184"/>
      <c r="AY2" s="184"/>
      <c r="AZ2" s="184"/>
      <c r="BA2" s="184"/>
      <c r="BB2" s="184"/>
      <c r="BC2" s="184"/>
      <c r="BD2" s="184"/>
      <c r="BE2" s="184"/>
      <c r="BF2" s="184"/>
      <c r="BG2" s="184"/>
      <c r="BH2" s="184"/>
      <c r="BI2" s="184"/>
      <c r="BJ2" s="184"/>
      <c r="BK2" s="184"/>
      <c r="BL2" s="184"/>
      <c r="BM2" s="184"/>
      <c r="BN2" s="184"/>
      <c r="BO2" s="184"/>
      <c r="BP2" s="184"/>
      <c r="BQ2" s="184"/>
      <c r="BR2" s="184"/>
      <c r="BS2" s="184"/>
      <c r="BT2" s="184"/>
      <c r="BU2" s="184"/>
      <c r="BV2" s="184"/>
    </row>
    <row r="3" spans="1:74" ht="27.95" customHeight="1">
      <c r="B3" s="184"/>
      <c r="C3" s="184"/>
      <c r="D3" s="184"/>
      <c r="E3" s="184"/>
      <c r="F3" s="18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4"/>
      <c r="AP3" s="184"/>
      <c r="AQ3" s="184"/>
      <c r="AR3" s="184"/>
      <c r="AS3" s="184"/>
      <c r="AT3" s="184"/>
      <c r="AU3" s="184"/>
      <c r="AV3" s="184"/>
      <c r="AW3" s="184"/>
      <c r="AX3" s="184"/>
      <c r="AY3" s="184"/>
      <c r="AZ3" s="184"/>
      <c r="BA3" s="184"/>
      <c r="BB3" s="184"/>
      <c r="BC3" s="184"/>
      <c r="BD3" s="184"/>
      <c r="BE3" s="184"/>
      <c r="BF3" s="184"/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84"/>
      <c r="BS3" s="184"/>
      <c r="BT3" s="184"/>
      <c r="BU3" s="184"/>
      <c r="BV3" s="184"/>
    </row>
    <row r="4" spans="1:74" ht="27.95" customHeight="1">
      <c r="B4" s="184"/>
      <c r="C4" s="184"/>
      <c r="D4" s="184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184"/>
      <c r="AV4" s="184"/>
      <c r="AW4" s="184"/>
      <c r="AX4" s="184"/>
      <c r="AY4" s="184"/>
      <c r="AZ4" s="184"/>
      <c r="BA4" s="184"/>
      <c r="BB4" s="184"/>
      <c r="BC4" s="184"/>
      <c r="BD4" s="184"/>
      <c r="BE4" s="184"/>
      <c r="BF4" s="184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84"/>
      <c r="BS4" s="184"/>
      <c r="BT4" s="184"/>
      <c r="BU4" s="184"/>
      <c r="BV4" s="184"/>
    </row>
    <row r="5" spans="1:74" ht="27.95" customHeight="1"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85"/>
      <c r="R5" s="185"/>
      <c r="S5" s="185"/>
      <c r="T5" s="185"/>
      <c r="U5" s="185"/>
      <c r="V5" s="185"/>
      <c r="W5" s="185"/>
      <c r="X5" s="185"/>
      <c r="Y5" s="185"/>
      <c r="Z5" s="185"/>
      <c r="AA5" s="185"/>
      <c r="AB5" s="185"/>
      <c r="AC5" s="185"/>
      <c r="AD5" s="185"/>
      <c r="AE5" s="185"/>
      <c r="AF5" s="185"/>
      <c r="AG5" s="185"/>
      <c r="AH5" s="185"/>
      <c r="AI5" s="185"/>
      <c r="AJ5" s="185"/>
      <c r="AK5" s="185"/>
      <c r="AL5" s="185"/>
      <c r="AM5" s="185"/>
      <c r="AN5" s="185"/>
      <c r="AO5" s="185"/>
      <c r="AP5" s="185"/>
      <c r="AQ5" s="185"/>
      <c r="AR5" s="185"/>
      <c r="AS5" s="185"/>
      <c r="AT5" s="185"/>
      <c r="AU5" s="185"/>
      <c r="AV5" s="185"/>
      <c r="AW5" s="185"/>
      <c r="AX5" s="185"/>
      <c r="AY5" s="185"/>
      <c r="AZ5" s="185"/>
      <c r="BA5" s="185"/>
      <c r="BB5" s="185"/>
      <c r="BC5" s="185"/>
      <c r="BD5" s="185"/>
      <c r="BE5" s="185"/>
      <c r="BF5" s="185"/>
      <c r="BG5" s="185"/>
      <c r="BH5" s="185"/>
      <c r="BI5" s="185"/>
      <c r="BJ5" s="185"/>
      <c r="BK5" s="185"/>
      <c r="BL5" s="185"/>
      <c r="BM5" s="185"/>
      <c r="BN5" s="185"/>
      <c r="BO5" s="185"/>
      <c r="BP5" s="185"/>
      <c r="BQ5" s="185"/>
      <c r="BR5" s="185"/>
      <c r="BS5" s="185"/>
      <c r="BT5" s="185"/>
      <c r="BU5" s="185"/>
      <c r="BV5" s="185"/>
    </row>
    <row r="6" spans="1:74" s="46" customFormat="1" ht="27.95" customHeight="1">
      <c r="A6" s="181" t="s">
        <v>59</v>
      </c>
      <c r="B6" s="182" t="s">
        <v>0</v>
      </c>
      <c r="C6" s="183" t="s">
        <v>60</v>
      </c>
      <c r="D6" s="183" t="s">
        <v>61</v>
      </c>
      <c r="E6" s="183" t="s">
        <v>62</v>
      </c>
      <c r="F6" s="183" t="s">
        <v>63</v>
      </c>
      <c r="G6" s="179" t="s">
        <v>64</v>
      </c>
      <c r="H6" s="179"/>
      <c r="I6" s="179"/>
      <c r="J6" s="179"/>
      <c r="K6" s="179" t="s">
        <v>65</v>
      </c>
      <c r="L6" s="179" t="s">
        <v>66</v>
      </c>
      <c r="M6" s="179"/>
      <c r="N6" s="179"/>
      <c r="O6" s="179" t="s">
        <v>65</v>
      </c>
      <c r="P6" s="179" t="s">
        <v>9</v>
      </c>
      <c r="Q6" s="179" t="s">
        <v>67</v>
      </c>
      <c r="R6" s="179" t="s">
        <v>1</v>
      </c>
      <c r="S6" s="179" t="s">
        <v>27</v>
      </c>
      <c r="T6" s="179"/>
      <c r="U6" s="179"/>
      <c r="V6" s="179"/>
      <c r="W6" s="179"/>
      <c r="X6" s="179"/>
      <c r="Y6" s="179" t="s">
        <v>65</v>
      </c>
      <c r="Z6" s="179" t="s">
        <v>9</v>
      </c>
      <c r="AA6" s="179" t="s">
        <v>67</v>
      </c>
      <c r="AB6" s="179" t="s">
        <v>1</v>
      </c>
      <c r="AC6" s="179" t="s">
        <v>13</v>
      </c>
      <c r="AD6" s="179"/>
      <c r="AE6" s="179"/>
      <c r="AF6" s="179"/>
      <c r="AG6" s="179" t="s">
        <v>9</v>
      </c>
      <c r="AH6" s="179" t="s">
        <v>67</v>
      </c>
      <c r="AI6" s="179" t="s">
        <v>1</v>
      </c>
      <c r="AJ6" s="179" t="s">
        <v>23</v>
      </c>
      <c r="AK6" s="179"/>
      <c r="AL6" s="179"/>
      <c r="AM6" s="179"/>
      <c r="AN6" s="179" t="s">
        <v>9</v>
      </c>
      <c r="AO6" s="179" t="s">
        <v>67</v>
      </c>
      <c r="AP6" s="179" t="s">
        <v>1</v>
      </c>
      <c r="AQ6" s="179" t="s">
        <v>8</v>
      </c>
      <c r="AR6" s="179"/>
      <c r="AS6" s="179" t="s">
        <v>9</v>
      </c>
      <c r="AT6" s="179" t="s">
        <v>67</v>
      </c>
      <c r="AU6" s="179" t="s">
        <v>1</v>
      </c>
      <c r="AV6" s="179" t="s">
        <v>5</v>
      </c>
      <c r="AW6" s="179"/>
      <c r="AX6" s="179"/>
      <c r="AY6" s="179"/>
      <c r="AZ6" s="179" t="s">
        <v>9</v>
      </c>
      <c r="BA6" s="179" t="s">
        <v>67</v>
      </c>
      <c r="BB6" s="179" t="s">
        <v>1</v>
      </c>
      <c r="BC6" s="179" t="s">
        <v>6</v>
      </c>
      <c r="BD6" s="179"/>
      <c r="BE6" s="179"/>
      <c r="BF6" s="179"/>
      <c r="BG6" s="179" t="s">
        <v>9</v>
      </c>
      <c r="BH6" s="179" t="s">
        <v>67</v>
      </c>
      <c r="BI6" s="179" t="s">
        <v>1</v>
      </c>
      <c r="BJ6" s="179" t="s">
        <v>68</v>
      </c>
      <c r="BK6" s="179"/>
      <c r="BL6" s="179"/>
      <c r="BM6" s="179" t="s">
        <v>9</v>
      </c>
      <c r="BN6" s="179" t="s">
        <v>67</v>
      </c>
      <c r="BO6" s="179" t="s">
        <v>1</v>
      </c>
      <c r="BP6" s="179" t="s">
        <v>2</v>
      </c>
      <c r="BQ6" s="179" t="s">
        <v>3</v>
      </c>
      <c r="BR6" s="179" t="s">
        <v>36</v>
      </c>
      <c r="BS6" s="179" t="s">
        <v>69</v>
      </c>
      <c r="BT6" s="179" t="s">
        <v>17</v>
      </c>
      <c r="BU6" s="179" t="s">
        <v>70</v>
      </c>
      <c r="BV6" s="179" t="s">
        <v>71</v>
      </c>
    </row>
    <row r="7" spans="1:74" s="47" customFormat="1" ht="27.95" customHeight="1">
      <c r="A7" s="181"/>
      <c r="B7" s="182"/>
      <c r="C7" s="183"/>
      <c r="D7" s="183"/>
      <c r="E7" s="183"/>
      <c r="F7" s="183"/>
      <c r="G7" s="32" t="s">
        <v>14</v>
      </c>
      <c r="H7" s="63" t="s">
        <v>4</v>
      </c>
      <c r="I7" s="63" t="s">
        <v>72</v>
      </c>
      <c r="J7" s="63" t="s">
        <v>7</v>
      </c>
      <c r="K7" s="179"/>
      <c r="L7" s="32" t="s">
        <v>14</v>
      </c>
      <c r="M7" s="63" t="s">
        <v>4</v>
      </c>
      <c r="N7" s="63" t="s">
        <v>72</v>
      </c>
      <c r="O7" s="179"/>
      <c r="P7" s="179"/>
      <c r="Q7" s="179"/>
      <c r="R7" s="179"/>
      <c r="S7" s="32" t="s">
        <v>14</v>
      </c>
      <c r="T7" s="63" t="s">
        <v>73</v>
      </c>
      <c r="U7" s="63" t="s">
        <v>74</v>
      </c>
      <c r="V7" s="63" t="s">
        <v>14</v>
      </c>
      <c r="W7" s="63" t="s">
        <v>75</v>
      </c>
      <c r="X7" s="63" t="s">
        <v>74</v>
      </c>
      <c r="Y7" s="179"/>
      <c r="Z7" s="179"/>
      <c r="AA7" s="179"/>
      <c r="AB7" s="179"/>
      <c r="AC7" s="32" t="s">
        <v>14</v>
      </c>
      <c r="AD7" s="63" t="s">
        <v>4</v>
      </c>
      <c r="AE7" s="63" t="s">
        <v>72</v>
      </c>
      <c r="AF7" s="63" t="s">
        <v>7</v>
      </c>
      <c r="AG7" s="179"/>
      <c r="AH7" s="179"/>
      <c r="AI7" s="179"/>
      <c r="AJ7" s="32" t="s">
        <v>14</v>
      </c>
      <c r="AK7" s="63" t="s">
        <v>4</v>
      </c>
      <c r="AL7" s="63" t="s">
        <v>72</v>
      </c>
      <c r="AM7" s="63" t="s">
        <v>7</v>
      </c>
      <c r="AN7" s="179"/>
      <c r="AO7" s="179"/>
      <c r="AP7" s="179"/>
      <c r="AQ7" s="63" t="s">
        <v>7</v>
      </c>
      <c r="AR7" s="63" t="s">
        <v>76</v>
      </c>
      <c r="AS7" s="179"/>
      <c r="AT7" s="179"/>
      <c r="AU7" s="179"/>
      <c r="AV7" s="32" t="s">
        <v>14</v>
      </c>
      <c r="AW7" s="63" t="s">
        <v>4</v>
      </c>
      <c r="AX7" s="63" t="s">
        <v>72</v>
      </c>
      <c r="AY7" s="63" t="s">
        <v>7</v>
      </c>
      <c r="AZ7" s="179"/>
      <c r="BA7" s="179"/>
      <c r="BB7" s="179"/>
      <c r="BC7" s="32" t="s">
        <v>14</v>
      </c>
      <c r="BD7" s="63" t="s">
        <v>4</v>
      </c>
      <c r="BE7" s="63" t="s">
        <v>72</v>
      </c>
      <c r="BF7" s="63" t="s">
        <v>7</v>
      </c>
      <c r="BG7" s="179"/>
      <c r="BH7" s="179"/>
      <c r="BI7" s="179"/>
      <c r="BJ7" s="32" t="s">
        <v>14</v>
      </c>
      <c r="BK7" s="63" t="s">
        <v>4</v>
      </c>
      <c r="BL7" s="63" t="s">
        <v>72</v>
      </c>
      <c r="BM7" s="179"/>
      <c r="BN7" s="179"/>
      <c r="BO7" s="179"/>
      <c r="BP7" s="179"/>
      <c r="BQ7" s="179"/>
      <c r="BR7" s="179"/>
      <c r="BS7" s="179"/>
      <c r="BT7" s="179"/>
      <c r="BU7" s="179"/>
      <c r="BV7" s="179"/>
    </row>
    <row r="8" spans="1:74" ht="27.95" customHeight="1">
      <c r="A8" s="81">
        <v>1</v>
      </c>
      <c r="B8" s="82">
        <v>1</v>
      </c>
      <c r="C8" s="83" t="s">
        <v>83</v>
      </c>
      <c r="D8" s="83" t="s">
        <v>84</v>
      </c>
      <c r="E8" s="83" t="s">
        <v>85</v>
      </c>
      <c r="F8" s="84">
        <v>1605562549</v>
      </c>
      <c r="G8" s="74">
        <v>20</v>
      </c>
      <c r="H8" s="77">
        <v>45</v>
      </c>
      <c r="I8" s="93">
        <f>H8+G8</f>
        <v>65</v>
      </c>
      <c r="J8" s="77">
        <v>30</v>
      </c>
      <c r="K8" s="94">
        <f>I8+J8</f>
        <v>95</v>
      </c>
      <c r="L8" s="74">
        <v>10</v>
      </c>
      <c r="M8" s="77">
        <v>38</v>
      </c>
      <c r="N8" s="94">
        <f>M8+L8</f>
        <v>48</v>
      </c>
      <c r="O8" s="94">
        <f>N8</f>
        <v>48</v>
      </c>
      <c r="P8" s="94">
        <f t="shared" ref="P8:P70" si="0">K8+O8</f>
        <v>143</v>
      </c>
      <c r="Q8" s="177">
        <f>MAX(P8:P48)</f>
        <v>143</v>
      </c>
      <c r="R8" s="76">
        <f>IF(P8&lt;60,"F",IF(P8&lt;75,2,IF(P8&lt;90,3,IF(P8&lt;105,3.5,IF(P8&lt;120,4,5)))))</f>
        <v>5</v>
      </c>
      <c r="S8" s="74">
        <v>19</v>
      </c>
      <c r="T8" s="77">
        <v>78</v>
      </c>
      <c r="U8" s="93">
        <f>T8+S8</f>
        <v>97</v>
      </c>
      <c r="V8" s="74">
        <v>7</v>
      </c>
      <c r="W8" s="77">
        <v>37</v>
      </c>
      <c r="X8" s="94">
        <f>W8+V8</f>
        <v>44</v>
      </c>
      <c r="Y8" s="94">
        <f>U8+X8</f>
        <v>141</v>
      </c>
      <c r="Z8" s="94">
        <f t="shared" ref="Z8:Z49" si="1">Y8</f>
        <v>141</v>
      </c>
      <c r="AA8" s="177">
        <f>MAX(Z8:Z48)</f>
        <v>141</v>
      </c>
      <c r="AB8" s="76">
        <f>IF(Z8&lt;60,0,IF(Z8&lt;75,2,IF(Z8&lt;90,3,IF(Z8&lt;105,3.5,IF(Z8&lt;120,4,5)))))</f>
        <v>5</v>
      </c>
      <c r="AC8" s="74">
        <v>20</v>
      </c>
      <c r="AD8" s="77">
        <v>44</v>
      </c>
      <c r="AE8" s="93">
        <f>AD8+AC8</f>
        <v>64</v>
      </c>
      <c r="AF8" s="77">
        <v>28</v>
      </c>
      <c r="AG8" s="94">
        <f>AE8+AF8</f>
        <v>92</v>
      </c>
      <c r="AH8" s="177">
        <f>MAX(AG8:AG48)</f>
        <v>95</v>
      </c>
      <c r="AI8" s="76">
        <f>IF(AG8&lt;40,"F",IF(AG8&lt;50,2,IF(AG8&lt;60,3,IF(AG8&lt;70,3.5,IF(AG8&lt;80,4,5)))))</f>
        <v>5</v>
      </c>
      <c r="AJ8" s="74">
        <v>20</v>
      </c>
      <c r="AK8" s="77">
        <v>50</v>
      </c>
      <c r="AL8" s="93">
        <f>AK8+AJ8</f>
        <v>70</v>
      </c>
      <c r="AM8" s="77">
        <v>28</v>
      </c>
      <c r="AN8" s="94">
        <f>+AL8+AM8</f>
        <v>98</v>
      </c>
      <c r="AO8" s="177">
        <f>MAX(AN8:AN48)</f>
        <v>100</v>
      </c>
      <c r="AP8" s="76">
        <f>IF(AN8&lt;40,"F",IF(AN8&lt;50,2,IF(AN8&lt;60,3,IF(AN8&lt;70,3.5,IF(AN8&lt;80,4,5)))))</f>
        <v>5</v>
      </c>
      <c r="AQ8" s="77">
        <v>22</v>
      </c>
      <c r="AR8" s="77">
        <v>24</v>
      </c>
      <c r="AS8" s="76">
        <f>AQ8+AR8</f>
        <v>46</v>
      </c>
      <c r="AT8" s="178">
        <f>MAX(AS8:AS48)</f>
        <v>46</v>
      </c>
      <c r="AU8" s="76">
        <f>IF(AS8&lt;20,"F",IF(AS8&lt;25,2,IF(AS8&lt;30,3,IF(AS8&lt;35,3.5,IF(AS8&lt;40,4,5)))))</f>
        <v>5</v>
      </c>
      <c r="AV8" s="74">
        <v>20</v>
      </c>
      <c r="AW8" s="77">
        <v>49</v>
      </c>
      <c r="AX8" s="93">
        <f>AW8+AV8</f>
        <v>69</v>
      </c>
      <c r="AY8" s="77">
        <v>30</v>
      </c>
      <c r="AZ8" s="94">
        <f>AX8+AY8</f>
        <v>99</v>
      </c>
      <c r="BA8" s="177">
        <f>MAX(AZ8:AZ48)</f>
        <v>99</v>
      </c>
      <c r="BB8" s="76">
        <f>IF(AZ8&lt;40,"F",IF(AZ8&lt;50,2,IF(AZ8&lt;60,3,IF(AZ8&lt;70,3.5,IF(AZ8&lt;80,4,5)))))</f>
        <v>5</v>
      </c>
      <c r="BC8" s="74">
        <v>19</v>
      </c>
      <c r="BD8" s="77">
        <v>48</v>
      </c>
      <c r="BE8" s="93">
        <f>BD8+BC8</f>
        <v>67</v>
      </c>
      <c r="BF8" s="77">
        <v>26</v>
      </c>
      <c r="BG8" s="94">
        <f>BE8+BF8</f>
        <v>93</v>
      </c>
      <c r="BH8" s="177">
        <f>MAX(BG8:BG48)</f>
        <v>98</v>
      </c>
      <c r="BI8" s="76">
        <f>IF(BG8&lt;40,"F",IF(BG8&lt;50,2,IF(BG8&lt;60,3,IF(BG8&lt;70,3.5,IF(BG8&lt;80,4,5)))))</f>
        <v>5</v>
      </c>
      <c r="BJ8" s="74">
        <v>10</v>
      </c>
      <c r="BK8" s="77">
        <v>32</v>
      </c>
      <c r="BL8" s="94">
        <f>BK8+BJ8</f>
        <v>42</v>
      </c>
      <c r="BM8" s="94">
        <f>BL8</f>
        <v>42</v>
      </c>
      <c r="BN8" s="180">
        <f>MAX(BM8:BM48)</f>
        <v>48</v>
      </c>
      <c r="BO8" s="85">
        <f t="shared" ref="BO8:BO70" si="2">IF(BL8&lt;20,"F",IF(BM8&lt;20,"F",IF(BM8&lt;25,2,IF(BM8&lt;30,3,IF(BM8&lt;35,3.5,IF(BM8&lt;40,4,5))))))</f>
        <v>5</v>
      </c>
      <c r="BP8" s="85">
        <f>IF(R8="F","F",IF(AB8="F","F",IF(AI8="F","F",IF(AP8="F","F",IF(BB8="F","F",IF(BI8="F","F",IF(AU8="F","F",IF(BO8="F","F",SUM(R8,AB8,AI8,AP8,AU8,BB8,BI8,BO8)))))))))</f>
        <v>40</v>
      </c>
      <c r="BQ8" s="86">
        <f>IF(BP8="F","F",IF(BP8&gt;=45,5,IF(BP8&lt;45,BP8/8)))</f>
        <v>5</v>
      </c>
      <c r="BR8" s="86" t="str">
        <f>IF(BQ8="F","F",IF(BQ8&lt;2.5,"D",IF(BQ8&lt;3,"C",IF(BQ8&lt;3.5,"B",IF(BQ8&lt;4,"A-",IF(BQ8&lt;5,"A","A+"))))))</f>
        <v>A+</v>
      </c>
      <c r="BS8" s="85" t="str">
        <f t="shared" ref="BS8:BS70" si="3">IF(BQ8="F","NEED TO PROGRESS",IF(BQ8&gt;=5,"BEST",IF(BQ8&gt;=4,"BETTER",IF(BQ8&gt;=2,"GOOD"))))</f>
        <v>BEST</v>
      </c>
      <c r="BT8" s="87">
        <f>P8+Z8+AG8+AN8+AS8+AZ8+BG8+BM8</f>
        <v>754</v>
      </c>
      <c r="BU8" s="85"/>
      <c r="BV8" s="88"/>
    </row>
    <row r="9" spans="1:74" ht="27.95" customHeight="1">
      <c r="A9" s="81">
        <v>2</v>
      </c>
      <c r="B9" s="82">
        <v>2</v>
      </c>
      <c r="C9" s="83" t="s">
        <v>86</v>
      </c>
      <c r="D9" s="83" t="s">
        <v>87</v>
      </c>
      <c r="E9" s="83" t="s">
        <v>88</v>
      </c>
      <c r="F9" s="84" t="s">
        <v>89</v>
      </c>
      <c r="G9" s="74">
        <v>20</v>
      </c>
      <c r="H9" s="77">
        <v>43</v>
      </c>
      <c r="I9" s="93">
        <f>H9+G9</f>
        <v>63</v>
      </c>
      <c r="J9" s="77">
        <v>29</v>
      </c>
      <c r="K9" s="94">
        <f>I9+J9</f>
        <v>92</v>
      </c>
      <c r="L9" s="74">
        <v>10</v>
      </c>
      <c r="M9" s="77">
        <v>37</v>
      </c>
      <c r="N9" s="94">
        <f>M9+L9</f>
        <v>47</v>
      </c>
      <c r="O9" s="94">
        <f t="shared" ref="O9:O71" si="4">N9</f>
        <v>47</v>
      </c>
      <c r="P9" s="94">
        <f t="shared" si="0"/>
        <v>139</v>
      </c>
      <c r="Q9" s="177"/>
      <c r="R9" s="76">
        <f t="shared" ref="R9:R48" si="5">IF(P9&lt;60,"F",IF(P9&lt;75,2,IF(P9&lt;90,3,IF(P9&lt;105,3.5,IF(P9&lt;120,4,5)))))</f>
        <v>5</v>
      </c>
      <c r="S9" s="74">
        <v>20</v>
      </c>
      <c r="T9" s="77">
        <v>78</v>
      </c>
      <c r="U9" s="93">
        <f t="shared" ref="U9:U72" si="6">T9+S9</f>
        <v>98</v>
      </c>
      <c r="V9" s="74">
        <v>7</v>
      </c>
      <c r="W9" s="77">
        <v>35</v>
      </c>
      <c r="X9" s="94">
        <f t="shared" ref="X9:X72" si="7">W9+V9</f>
        <v>42</v>
      </c>
      <c r="Y9" s="94">
        <f t="shared" ref="Y9:Y49" si="8">U9+X9</f>
        <v>140</v>
      </c>
      <c r="Z9" s="94">
        <f t="shared" si="1"/>
        <v>140</v>
      </c>
      <c r="AA9" s="177"/>
      <c r="AB9" s="76">
        <f t="shared" ref="AB9:AB48" si="9">IF(Z9&lt;60,0,IF(Z9&lt;75,2,IF(Z9&lt;90,3,IF(Z9&lt;105,3.5,IF(Z9&lt;120,4,5)))))</f>
        <v>5</v>
      </c>
      <c r="AC9" s="74">
        <v>19</v>
      </c>
      <c r="AD9" s="77">
        <v>46</v>
      </c>
      <c r="AE9" s="93">
        <f t="shared" ref="AE9:AE72" si="10">AD9+AC9</f>
        <v>65</v>
      </c>
      <c r="AF9" s="77">
        <v>29</v>
      </c>
      <c r="AG9" s="94">
        <f t="shared" ref="AG9:AG48" si="11">AE9+AF9</f>
        <v>94</v>
      </c>
      <c r="AH9" s="177"/>
      <c r="AI9" s="76">
        <f t="shared" ref="AI9:AI48" si="12">IF(AG9&lt;40,"F",IF(AG9&lt;50,2,IF(AG9&lt;60,3,IF(AG9&lt;70,3.5,IF(AG9&lt;80,4,5)))))</f>
        <v>5</v>
      </c>
      <c r="AJ9" s="74">
        <v>20</v>
      </c>
      <c r="AK9" s="77">
        <v>50</v>
      </c>
      <c r="AL9" s="93">
        <f t="shared" ref="AL9:AL72" si="13">AK9+AJ9</f>
        <v>70</v>
      </c>
      <c r="AM9" s="77">
        <v>30</v>
      </c>
      <c r="AN9" s="94">
        <f t="shared" ref="AN9:AN48" si="14">+AL9+AM9</f>
        <v>100</v>
      </c>
      <c r="AO9" s="177"/>
      <c r="AP9" s="76">
        <f t="shared" ref="AP9:AP48" si="15">IF(AN9&lt;40,"F",IF(AN9&lt;50,2,IF(AN9&lt;60,3,IF(AN9&lt;70,3.5,IF(AN9&lt;80,4,5)))))</f>
        <v>5</v>
      </c>
      <c r="AQ9" s="77">
        <v>22</v>
      </c>
      <c r="AR9" s="77">
        <v>24</v>
      </c>
      <c r="AS9" s="76">
        <f t="shared" ref="AS9:AS71" si="16">AQ9+AR9</f>
        <v>46</v>
      </c>
      <c r="AT9" s="178"/>
      <c r="AU9" s="76">
        <f t="shared" ref="AU9:AU48" si="17">IF(AS9&lt;20,"F",IF(AS9&lt;25,2,IF(AS9&lt;30,3,IF(AS9&lt;35,3.5,IF(AS9&lt;40,4,5)))))</f>
        <v>5</v>
      </c>
      <c r="AV9" s="74">
        <v>20</v>
      </c>
      <c r="AW9" s="77">
        <v>49</v>
      </c>
      <c r="AX9" s="93">
        <f t="shared" ref="AX9:AX60" si="18">AW9+AV9</f>
        <v>69</v>
      </c>
      <c r="AY9" s="77">
        <v>30</v>
      </c>
      <c r="AZ9" s="94">
        <f t="shared" ref="AZ9:AZ48" si="19">AX9+AY9</f>
        <v>99</v>
      </c>
      <c r="BA9" s="177"/>
      <c r="BB9" s="76">
        <f t="shared" ref="BB9:BB48" si="20">IF(AZ9&lt;40,"F",IF(AZ9&lt;50,2,IF(AZ9&lt;60,3,IF(AZ9&lt;70,3.5,IF(AZ9&lt;80,4,5)))))</f>
        <v>5</v>
      </c>
      <c r="BC9" s="74">
        <v>20</v>
      </c>
      <c r="BD9" s="77">
        <v>48</v>
      </c>
      <c r="BE9" s="93">
        <f t="shared" ref="BE9:BE72" si="21">BD9+BC9</f>
        <v>68</v>
      </c>
      <c r="BF9" s="77">
        <v>30</v>
      </c>
      <c r="BG9" s="94">
        <f t="shared" ref="BG9:BG48" si="22">BE9+BF9</f>
        <v>98</v>
      </c>
      <c r="BH9" s="177"/>
      <c r="BI9" s="76">
        <f t="shared" ref="BI9:BI48" si="23">IF(BG9&lt;40,"F",IF(BG9&lt;50,2,IF(BG9&lt;60,3,IF(BG9&lt;70,3.5,IF(BG9&lt;80,4,5)))))</f>
        <v>5</v>
      </c>
      <c r="BJ9" s="74">
        <v>10</v>
      </c>
      <c r="BK9" s="77">
        <v>32</v>
      </c>
      <c r="BL9" s="94">
        <f t="shared" ref="BL9:BL48" si="24">BK9+BJ9</f>
        <v>42</v>
      </c>
      <c r="BM9" s="94">
        <f t="shared" ref="BM9:BM71" si="25">BL9</f>
        <v>42</v>
      </c>
      <c r="BN9" s="180"/>
      <c r="BO9" s="85">
        <f t="shared" si="2"/>
        <v>5</v>
      </c>
      <c r="BP9" s="85">
        <f t="shared" ref="BP9:BP72" si="26">IF(R9="F","F",IF(AB9="F","F",IF(AI9="F","F",IF(AP9="F","F",IF(BB9="F","F",IF(BI9="F","F",IF(AU9="F","F",IF(BO9="F","F",SUM(R9,AB9,AI9,AP9,AU9,BB9,BI9,BO9)))))))))</f>
        <v>40</v>
      </c>
      <c r="BQ9" s="86">
        <f t="shared" ref="BQ9:BQ72" si="27">IF(BP9="F","F",IF(BP9&gt;=45,5,IF(BP9&lt;45,BP9/8)))</f>
        <v>5</v>
      </c>
      <c r="BR9" s="86" t="str">
        <f t="shared" ref="BR9:BR48" si="28">IF(BQ9="F","F",IF(BQ9&lt;2.5,"D",IF(BQ9&lt;3,"C",IF(BQ9&lt;3.5,"B",IF(BQ9&lt;4,"A-",IF(BQ9&lt;5,"A","A+"))))))</f>
        <v>A+</v>
      </c>
      <c r="BS9" s="85" t="str">
        <f t="shared" si="3"/>
        <v>BEST</v>
      </c>
      <c r="BT9" s="127">
        <f t="shared" ref="BT9:BT72" si="29">P9+Z9+AG9+AN9+AS9+AZ9+BG9+BM9</f>
        <v>758</v>
      </c>
      <c r="BU9" s="85"/>
      <c r="BV9" s="88"/>
    </row>
    <row r="10" spans="1:74" ht="27.95" customHeight="1">
      <c r="A10" s="81">
        <v>3</v>
      </c>
      <c r="B10" s="82">
        <v>3</v>
      </c>
      <c r="C10" s="83" t="s">
        <v>90</v>
      </c>
      <c r="D10" s="83" t="s">
        <v>91</v>
      </c>
      <c r="E10" s="83" t="s">
        <v>92</v>
      </c>
      <c r="F10" s="84" t="s">
        <v>93</v>
      </c>
      <c r="G10" s="74">
        <v>20</v>
      </c>
      <c r="H10" s="77">
        <v>43</v>
      </c>
      <c r="I10" s="93">
        <f t="shared" ref="I10:I73" si="30">H10+G10</f>
        <v>63</v>
      </c>
      <c r="J10" s="77">
        <v>29</v>
      </c>
      <c r="K10" s="94">
        <f t="shared" ref="K10:K48" si="31">I10+J10</f>
        <v>92</v>
      </c>
      <c r="L10" s="74">
        <v>10</v>
      </c>
      <c r="M10" s="77">
        <v>38</v>
      </c>
      <c r="N10" s="94">
        <f t="shared" ref="N10:N48" si="32">M10+L10</f>
        <v>48</v>
      </c>
      <c r="O10" s="94">
        <f t="shared" si="4"/>
        <v>48</v>
      </c>
      <c r="P10" s="94">
        <f t="shared" si="0"/>
        <v>140</v>
      </c>
      <c r="Q10" s="177"/>
      <c r="R10" s="76">
        <f t="shared" si="5"/>
        <v>5</v>
      </c>
      <c r="S10" s="74">
        <v>20</v>
      </c>
      <c r="T10" s="77">
        <v>73</v>
      </c>
      <c r="U10" s="93">
        <f t="shared" si="6"/>
        <v>93</v>
      </c>
      <c r="V10" s="74">
        <v>6</v>
      </c>
      <c r="W10" s="77">
        <v>35</v>
      </c>
      <c r="X10" s="94">
        <f t="shared" si="7"/>
        <v>41</v>
      </c>
      <c r="Y10" s="94">
        <f t="shared" si="8"/>
        <v>134</v>
      </c>
      <c r="Z10" s="94">
        <f t="shared" si="1"/>
        <v>134</v>
      </c>
      <c r="AA10" s="177"/>
      <c r="AB10" s="76">
        <f t="shared" si="9"/>
        <v>5</v>
      </c>
      <c r="AC10" s="74">
        <v>19</v>
      </c>
      <c r="AD10" s="77">
        <v>45</v>
      </c>
      <c r="AE10" s="93">
        <f t="shared" si="10"/>
        <v>64</v>
      </c>
      <c r="AF10" s="77">
        <v>26</v>
      </c>
      <c r="AG10" s="94">
        <f t="shared" si="11"/>
        <v>90</v>
      </c>
      <c r="AH10" s="177"/>
      <c r="AI10" s="76">
        <f t="shared" si="12"/>
        <v>5</v>
      </c>
      <c r="AJ10" s="74">
        <v>20</v>
      </c>
      <c r="AK10" s="77">
        <v>48</v>
      </c>
      <c r="AL10" s="93">
        <f t="shared" si="13"/>
        <v>68</v>
      </c>
      <c r="AM10" s="77">
        <v>30</v>
      </c>
      <c r="AN10" s="94">
        <f t="shared" si="14"/>
        <v>98</v>
      </c>
      <c r="AO10" s="177"/>
      <c r="AP10" s="76">
        <f t="shared" si="15"/>
        <v>5</v>
      </c>
      <c r="AQ10" s="77">
        <v>22</v>
      </c>
      <c r="AR10" s="77">
        <v>24</v>
      </c>
      <c r="AS10" s="76">
        <f t="shared" si="16"/>
        <v>46</v>
      </c>
      <c r="AT10" s="178"/>
      <c r="AU10" s="76">
        <f t="shared" si="17"/>
        <v>5</v>
      </c>
      <c r="AV10" s="74">
        <v>20</v>
      </c>
      <c r="AW10" s="77">
        <v>49</v>
      </c>
      <c r="AX10" s="93">
        <f t="shared" si="18"/>
        <v>69</v>
      </c>
      <c r="AY10" s="77">
        <v>28</v>
      </c>
      <c r="AZ10" s="94">
        <f t="shared" si="19"/>
        <v>97</v>
      </c>
      <c r="BA10" s="177"/>
      <c r="BB10" s="76">
        <f t="shared" si="20"/>
        <v>5</v>
      </c>
      <c r="BC10" s="74">
        <v>19</v>
      </c>
      <c r="BD10" s="77">
        <v>46</v>
      </c>
      <c r="BE10" s="93">
        <f t="shared" si="21"/>
        <v>65</v>
      </c>
      <c r="BF10" s="77">
        <v>28</v>
      </c>
      <c r="BG10" s="94">
        <f t="shared" si="22"/>
        <v>93</v>
      </c>
      <c r="BH10" s="177"/>
      <c r="BI10" s="76">
        <f t="shared" si="23"/>
        <v>5</v>
      </c>
      <c r="BJ10" s="74">
        <v>10</v>
      </c>
      <c r="BK10" s="77">
        <v>32</v>
      </c>
      <c r="BL10" s="94">
        <f t="shared" si="24"/>
        <v>42</v>
      </c>
      <c r="BM10" s="94">
        <f t="shared" si="25"/>
        <v>42</v>
      </c>
      <c r="BN10" s="180"/>
      <c r="BO10" s="85">
        <f t="shared" si="2"/>
        <v>5</v>
      </c>
      <c r="BP10" s="85">
        <f t="shared" si="26"/>
        <v>40</v>
      </c>
      <c r="BQ10" s="86">
        <f t="shared" si="27"/>
        <v>5</v>
      </c>
      <c r="BR10" s="86" t="str">
        <f t="shared" si="28"/>
        <v>A+</v>
      </c>
      <c r="BS10" s="85" t="str">
        <f t="shared" si="3"/>
        <v>BEST</v>
      </c>
      <c r="BT10" s="127">
        <f t="shared" si="29"/>
        <v>740</v>
      </c>
      <c r="BU10" s="85"/>
      <c r="BV10" s="88"/>
    </row>
    <row r="11" spans="1:74" ht="27.95" customHeight="1">
      <c r="A11" s="81">
        <v>4</v>
      </c>
      <c r="B11" s="82">
        <v>4</v>
      </c>
      <c r="C11" s="89" t="s">
        <v>94</v>
      </c>
      <c r="D11" s="89" t="s">
        <v>95</v>
      </c>
      <c r="E11" s="89" t="s">
        <v>96</v>
      </c>
      <c r="F11" s="84" t="s">
        <v>97</v>
      </c>
      <c r="G11" s="74">
        <v>20</v>
      </c>
      <c r="H11" s="77">
        <v>30</v>
      </c>
      <c r="I11" s="93">
        <f t="shared" si="30"/>
        <v>50</v>
      </c>
      <c r="J11" s="77">
        <v>27</v>
      </c>
      <c r="K11" s="94">
        <f t="shared" si="31"/>
        <v>77</v>
      </c>
      <c r="L11" s="74">
        <v>9</v>
      </c>
      <c r="M11" s="77">
        <v>29</v>
      </c>
      <c r="N11" s="94">
        <f t="shared" si="32"/>
        <v>38</v>
      </c>
      <c r="O11" s="94">
        <f t="shared" si="4"/>
        <v>38</v>
      </c>
      <c r="P11" s="94">
        <f t="shared" si="0"/>
        <v>115</v>
      </c>
      <c r="Q11" s="177"/>
      <c r="R11" s="76">
        <f t="shared" si="5"/>
        <v>4</v>
      </c>
      <c r="S11" s="74">
        <v>17</v>
      </c>
      <c r="T11" s="77">
        <v>71</v>
      </c>
      <c r="U11" s="93">
        <f t="shared" si="6"/>
        <v>88</v>
      </c>
      <c r="V11" s="74">
        <v>6</v>
      </c>
      <c r="W11" s="77">
        <v>36</v>
      </c>
      <c r="X11" s="94">
        <f t="shared" si="7"/>
        <v>42</v>
      </c>
      <c r="Y11" s="94">
        <f t="shared" si="8"/>
        <v>130</v>
      </c>
      <c r="Z11" s="94">
        <f t="shared" si="1"/>
        <v>130</v>
      </c>
      <c r="AA11" s="177"/>
      <c r="AB11" s="76">
        <f t="shared" si="9"/>
        <v>5</v>
      </c>
      <c r="AC11" s="74">
        <v>19</v>
      </c>
      <c r="AD11" s="77">
        <v>40</v>
      </c>
      <c r="AE11" s="93">
        <f t="shared" si="10"/>
        <v>59</v>
      </c>
      <c r="AF11" s="77">
        <v>24</v>
      </c>
      <c r="AG11" s="94">
        <f t="shared" si="11"/>
        <v>83</v>
      </c>
      <c r="AH11" s="177"/>
      <c r="AI11" s="76">
        <f t="shared" si="12"/>
        <v>5</v>
      </c>
      <c r="AJ11" s="74">
        <v>19</v>
      </c>
      <c r="AK11" s="77">
        <v>46</v>
      </c>
      <c r="AL11" s="93">
        <f t="shared" si="13"/>
        <v>65</v>
      </c>
      <c r="AM11" s="77">
        <v>26</v>
      </c>
      <c r="AN11" s="94">
        <f t="shared" si="14"/>
        <v>91</v>
      </c>
      <c r="AO11" s="177"/>
      <c r="AP11" s="76">
        <f t="shared" si="15"/>
        <v>5</v>
      </c>
      <c r="AQ11" s="77">
        <v>22</v>
      </c>
      <c r="AR11" s="77">
        <v>24</v>
      </c>
      <c r="AS11" s="76">
        <f t="shared" si="16"/>
        <v>46</v>
      </c>
      <c r="AT11" s="178"/>
      <c r="AU11" s="76">
        <f t="shared" si="17"/>
        <v>5</v>
      </c>
      <c r="AV11" s="74">
        <v>20</v>
      </c>
      <c r="AW11" s="77">
        <v>49</v>
      </c>
      <c r="AX11" s="93">
        <f t="shared" si="18"/>
        <v>69</v>
      </c>
      <c r="AY11" s="77">
        <v>24</v>
      </c>
      <c r="AZ11" s="94">
        <f t="shared" si="19"/>
        <v>93</v>
      </c>
      <c r="BA11" s="177"/>
      <c r="BB11" s="76">
        <f t="shared" si="20"/>
        <v>5</v>
      </c>
      <c r="BC11" s="74">
        <v>18</v>
      </c>
      <c r="BD11" s="77">
        <v>46</v>
      </c>
      <c r="BE11" s="93">
        <f t="shared" si="21"/>
        <v>64</v>
      </c>
      <c r="BF11" s="77">
        <v>21</v>
      </c>
      <c r="BG11" s="94">
        <f t="shared" si="22"/>
        <v>85</v>
      </c>
      <c r="BH11" s="177"/>
      <c r="BI11" s="76">
        <f t="shared" si="23"/>
        <v>5</v>
      </c>
      <c r="BJ11" s="74">
        <v>10</v>
      </c>
      <c r="BK11" s="77">
        <v>32</v>
      </c>
      <c r="BL11" s="94">
        <f t="shared" si="24"/>
        <v>42</v>
      </c>
      <c r="BM11" s="94">
        <f t="shared" si="25"/>
        <v>42</v>
      </c>
      <c r="BN11" s="180"/>
      <c r="BO11" s="85">
        <f t="shared" si="2"/>
        <v>5</v>
      </c>
      <c r="BP11" s="85">
        <f t="shared" si="26"/>
        <v>39</v>
      </c>
      <c r="BQ11" s="86">
        <f t="shared" si="27"/>
        <v>4.875</v>
      </c>
      <c r="BR11" s="86" t="str">
        <f t="shared" si="28"/>
        <v>A</v>
      </c>
      <c r="BS11" s="85" t="str">
        <f t="shared" si="3"/>
        <v>BETTER</v>
      </c>
      <c r="BT11" s="127">
        <f t="shared" si="29"/>
        <v>685</v>
      </c>
      <c r="BU11" s="85"/>
      <c r="BV11" s="88"/>
    </row>
    <row r="12" spans="1:74" ht="27.95" customHeight="1">
      <c r="A12" s="81">
        <v>5</v>
      </c>
      <c r="B12" s="82">
        <v>5</v>
      </c>
      <c r="C12" s="83" t="s">
        <v>98</v>
      </c>
      <c r="D12" s="83" t="s">
        <v>99</v>
      </c>
      <c r="E12" s="83" t="s">
        <v>100</v>
      </c>
      <c r="F12" s="84" t="s">
        <v>101</v>
      </c>
      <c r="G12" s="74">
        <v>19</v>
      </c>
      <c r="H12" s="77">
        <v>37</v>
      </c>
      <c r="I12" s="93">
        <f t="shared" si="30"/>
        <v>56</v>
      </c>
      <c r="J12" s="77">
        <v>30</v>
      </c>
      <c r="K12" s="94">
        <f t="shared" si="31"/>
        <v>86</v>
      </c>
      <c r="L12" s="74">
        <v>9</v>
      </c>
      <c r="M12" s="77">
        <v>34</v>
      </c>
      <c r="N12" s="94">
        <f t="shared" si="32"/>
        <v>43</v>
      </c>
      <c r="O12" s="94">
        <f t="shared" si="4"/>
        <v>43</v>
      </c>
      <c r="P12" s="94">
        <f t="shared" si="0"/>
        <v>129</v>
      </c>
      <c r="Q12" s="177"/>
      <c r="R12" s="76">
        <f t="shared" si="5"/>
        <v>5</v>
      </c>
      <c r="S12" s="74">
        <v>17</v>
      </c>
      <c r="T12" s="77">
        <v>65</v>
      </c>
      <c r="U12" s="93">
        <f t="shared" si="6"/>
        <v>82</v>
      </c>
      <c r="V12" s="74">
        <v>6</v>
      </c>
      <c r="W12" s="77">
        <v>33</v>
      </c>
      <c r="X12" s="94">
        <f t="shared" si="7"/>
        <v>39</v>
      </c>
      <c r="Y12" s="94">
        <f t="shared" si="8"/>
        <v>121</v>
      </c>
      <c r="Z12" s="94">
        <f t="shared" si="1"/>
        <v>121</v>
      </c>
      <c r="AA12" s="177"/>
      <c r="AB12" s="76">
        <f t="shared" si="9"/>
        <v>5</v>
      </c>
      <c r="AC12" s="74">
        <v>20</v>
      </c>
      <c r="AD12" s="77">
        <v>39</v>
      </c>
      <c r="AE12" s="93">
        <f t="shared" si="10"/>
        <v>59</v>
      </c>
      <c r="AF12" s="77">
        <v>24</v>
      </c>
      <c r="AG12" s="94">
        <f t="shared" si="11"/>
        <v>83</v>
      </c>
      <c r="AH12" s="177"/>
      <c r="AI12" s="76">
        <f t="shared" si="12"/>
        <v>5</v>
      </c>
      <c r="AJ12" s="74">
        <v>20</v>
      </c>
      <c r="AK12" s="77">
        <v>46</v>
      </c>
      <c r="AL12" s="93">
        <f t="shared" si="13"/>
        <v>66</v>
      </c>
      <c r="AM12" s="77">
        <v>28</v>
      </c>
      <c r="AN12" s="94">
        <f t="shared" si="14"/>
        <v>94</v>
      </c>
      <c r="AO12" s="177"/>
      <c r="AP12" s="76">
        <f t="shared" si="15"/>
        <v>5</v>
      </c>
      <c r="AQ12" s="77">
        <v>22</v>
      </c>
      <c r="AR12" s="77">
        <v>24</v>
      </c>
      <c r="AS12" s="76">
        <f t="shared" si="16"/>
        <v>46</v>
      </c>
      <c r="AT12" s="178"/>
      <c r="AU12" s="76">
        <f t="shared" si="17"/>
        <v>5</v>
      </c>
      <c r="AV12" s="74">
        <v>20</v>
      </c>
      <c r="AW12" s="77">
        <v>48</v>
      </c>
      <c r="AX12" s="93">
        <f t="shared" si="18"/>
        <v>68</v>
      </c>
      <c r="AY12" s="77">
        <v>25</v>
      </c>
      <c r="AZ12" s="94">
        <f t="shared" si="19"/>
        <v>93</v>
      </c>
      <c r="BA12" s="177"/>
      <c r="BB12" s="76">
        <f t="shared" si="20"/>
        <v>5</v>
      </c>
      <c r="BC12" s="74">
        <v>18</v>
      </c>
      <c r="BD12" s="77">
        <v>37</v>
      </c>
      <c r="BE12" s="93">
        <f t="shared" si="21"/>
        <v>55</v>
      </c>
      <c r="BF12" s="77">
        <v>26</v>
      </c>
      <c r="BG12" s="94">
        <f t="shared" si="22"/>
        <v>81</v>
      </c>
      <c r="BH12" s="177"/>
      <c r="BI12" s="76">
        <f t="shared" si="23"/>
        <v>5</v>
      </c>
      <c r="BJ12" s="74">
        <v>10</v>
      </c>
      <c r="BK12" s="77">
        <v>32</v>
      </c>
      <c r="BL12" s="94">
        <f t="shared" si="24"/>
        <v>42</v>
      </c>
      <c r="BM12" s="94">
        <f t="shared" si="25"/>
        <v>42</v>
      </c>
      <c r="BN12" s="180"/>
      <c r="BO12" s="85">
        <f t="shared" si="2"/>
        <v>5</v>
      </c>
      <c r="BP12" s="85">
        <f t="shared" si="26"/>
        <v>40</v>
      </c>
      <c r="BQ12" s="86">
        <f t="shared" si="27"/>
        <v>5</v>
      </c>
      <c r="BR12" s="86" t="str">
        <f t="shared" si="28"/>
        <v>A+</v>
      </c>
      <c r="BS12" s="85" t="str">
        <f t="shared" si="3"/>
        <v>BEST</v>
      </c>
      <c r="BT12" s="127">
        <f t="shared" si="29"/>
        <v>689</v>
      </c>
      <c r="BU12" s="85"/>
      <c r="BV12" s="88"/>
    </row>
    <row r="13" spans="1:74" ht="27.95" customHeight="1">
      <c r="A13" s="81">
        <v>6</v>
      </c>
      <c r="B13" s="82">
        <v>7</v>
      </c>
      <c r="C13" s="83" t="s">
        <v>102</v>
      </c>
      <c r="D13" s="83" t="s">
        <v>103</v>
      </c>
      <c r="E13" s="83" t="s">
        <v>104</v>
      </c>
      <c r="F13" s="84" t="s">
        <v>105</v>
      </c>
      <c r="G13" s="74">
        <v>20</v>
      </c>
      <c r="H13" s="77">
        <v>39</v>
      </c>
      <c r="I13" s="93">
        <f t="shared" si="30"/>
        <v>59</v>
      </c>
      <c r="J13" s="77">
        <v>29</v>
      </c>
      <c r="K13" s="94">
        <f t="shared" si="31"/>
        <v>88</v>
      </c>
      <c r="L13" s="74">
        <v>10</v>
      </c>
      <c r="M13" s="77">
        <v>36</v>
      </c>
      <c r="N13" s="94">
        <f t="shared" si="32"/>
        <v>46</v>
      </c>
      <c r="O13" s="94">
        <f t="shared" si="4"/>
        <v>46</v>
      </c>
      <c r="P13" s="94">
        <f t="shared" si="0"/>
        <v>134</v>
      </c>
      <c r="Q13" s="177"/>
      <c r="R13" s="76">
        <f t="shared" si="5"/>
        <v>5</v>
      </c>
      <c r="S13" s="74">
        <v>19</v>
      </c>
      <c r="T13" s="77">
        <v>68</v>
      </c>
      <c r="U13" s="93">
        <f t="shared" si="6"/>
        <v>87</v>
      </c>
      <c r="V13" s="74">
        <v>7</v>
      </c>
      <c r="W13" s="77">
        <v>36</v>
      </c>
      <c r="X13" s="94">
        <f t="shared" si="7"/>
        <v>43</v>
      </c>
      <c r="Y13" s="94">
        <f t="shared" si="8"/>
        <v>130</v>
      </c>
      <c r="Z13" s="94">
        <f t="shared" si="1"/>
        <v>130</v>
      </c>
      <c r="AA13" s="177"/>
      <c r="AB13" s="76">
        <f t="shared" si="9"/>
        <v>5</v>
      </c>
      <c r="AC13" s="74">
        <v>20</v>
      </c>
      <c r="AD13" s="77">
        <v>48</v>
      </c>
      <c r="AE13" s="93">
        <f t="shared" si="10"/>
        <v>68</v>
      </c>
      <c r="AF13" s="77">
        <v>27</v>
      </c>
      <c r="AG13" s="94">
        <f t="shared" si="11"/>
        <v>95</v>
      </c>
      <c r="AH13" s="177"/>
      <c r="AI13" s="76">
        <f t="shared" si="12"/>
        <v>5</v>
      </c>
      <c r="AJ13" s="74">
        <v>18</v>
      </c>
      <c r="AK13" s="77">
        <v>45</v>
      </c>
      <c r="AL13" s="93">
        <f t="shared" si="13"/>
        <v>63</v>
      </c>
      <c r="AM13" s="77">
        <v>27</v>
      </c>
      <c r="AN13" s="94">
        <f t="shared" si="14"/>
        <v>90</v>
      </c>
      <c r="AO13" s="177"/>
      <c r="AP13" s="76">
        <f t="shared" si="15"/>
        <v>5</v>
      </c>
      <c r="AQ13" s="77">
        <v>22</v>
      </c>
      <c r="AR13" s="77">
        <v>24</v>
      </c>
      <c r="AS13" s="76">
        <f t="shared" si="16"/>
        <v>46</v>
      </c>
      <c r="AT13" s="178"/>
      <c r="AU13" s="76">
        <f t="shared" si="17"/>
        <v>5</v>
      </c>
      <c r="AV13" s="74">
        <v>20</v>
      </c>
      <c r="AW13" s="77">
        <v>49</v>
      </c>
      <c r="AX13" s="93">
        <f t="shared" si="18"/>
        <v>69</v>
      </c>
      <c r="AY13" s="77">
        <v>25</v>
      </c>
      <c r="AZ13" s="94">
        <f t="shared" si="19"/>
        <v>94</v>
      </c>
      <c r="BA13" s="177"/>
      <c r="BB13" s="76">
        <f t="shared" si="20"/>
        <v>5</v>
      </c>
      <c r="BC13" s="74">
        <v>17</v>
      </c>
      <c r="BD13" s="77">
        <v>40</v>
      </c>
      <c r="BE13" s="93">
        <f t="shared" si="21"/>
        <v>57</v>
      </c>
      <c r="BF13" s="77">
        <v>24</v>
      </c>
      <c r="BG13" s="94">
        <f t="shared" si="22"/>
        <v>81</v>
      </c>
      <c r="BH13" s="177"/>
      <c r="BI13" s="76">
        <f t="shared" si="23"/>
        <v>5</v>
      </c>
      <c r="BJ13" s="74">
        <v>9</v>
      </c>
      <c r="BK13" s="77">
        <v>32</v>
      </c>
      <c r="BL13" s="94">
        <f t="shared" si="24"/>
        <v>41</v>
      </c>
      <c r="BM13" s="94">
        <f t="shared" si="25"/>
        <v>41</v>
      </c>
      <c r="BN13" s="180"/>
      <c r="BO13" s="85">
        <f t="shared" si="2"/>
        <v>5</v>
      </c>
      <c r="BP13" s="85">
        <f t="shared" si="26"/>
        <v>40</v>
      </c>
      <c r="BQ13" s="86">
        <f t="shared" si="27"/>
        <v>5</v>
      </c>
      <c r="BR13" s="86" t="str">
        <f t="shared" si="28"/>
        <v>A+</v>
      </c>
      <c r="BS13" s="85" t="str">
        <f t="shared" si="3"/>
        <v>BEST</v>
      </c>
      <c r="BT13" s="127">
        <f t="shared" si="29"/>
        <v>711</v>
      </c>
      <c r="BU13" s="85"/>
      <c r="BV13" s="88"/>
    </row>
    <row r="14" spans="1:74" ht="27.95" customHeight="1">
      <c r="A14" s="81">
        <v>7</v>
      </c>
      <c r="B14" s="82">
        <v>8</v>
      </c>
      <c r="C14" s="83" t="s">
        <v>106</v>
      </c>
      <c r="D14" s="83" t="s">
        <v>107</v>
      </c>
      <c r="E14" s="83" t="s">
        <v>108</v>
      </c>
      <c r="F14" s="84" t="s">
        <v>109</v>
      </c>
      <c r="G14" s="74">
        <v>19</v>
      </c>
      <c r="H14" s="77">
        <v>42</v>
      </c>
      <c r="I14" s="93">
        <f t="shared" si="30"/>
        <v>61</v>
      </c>
      <c r="J14" s="77">
        <v>29</v>
      </c>
      <c r="K14" s="94">
        <f t="shared" si="31"/>
        <v>90</v>
      </c>
      <c r="L14" s="74">
        <v>9</v>
      </c>
      <c r="M14" s="77">
        <v>35</v>
      </c>
      <c r="N14" s="94">
        <f t="shared" si="32"/>
        <v>44</v>
      </c>
      <c r="O14" s="94">
        <f t="shared" si="4"/>
        <v>44</v>
      </c>
      <c r="P14" s="94">
        <f t="shared" si="0"/>
        <v>134</v>
      </c>
      <c r="Q14" s="177"/>
      <c r="R14" s="76">
        <f t="shared" si="5"/>
        <v>5</v>
      </c>
      <c r="S14" s="74">
        <v>17</v>
      </c>
      <c r="T14" s="77">
        <v>61</v>
      </c>
      <c r="U14" s="93">
        <f t="shared" si="6"/>
        <v>78</v>
      </c>
      <c r="V14" s="74">
        <v>7</v>
      </c>
      <c r="W14" s="77">
        <v>35</v>
      </c>
      <c r="X14" s="94">
        <f t="shared" si="7"/>
        <v>42</v>
      </c>
      <c r="Y14" s="94">
        <f t="shared" si="8"/>
        <v>120</v>
      </c>
      <c r="Z14" s="94">
        <f t="shared" si="1"/>
        <v>120</v>
      </c>
      <c r="AA14" s="177"/>
      <c r="AB14" s="76">
        <f t="shared" si="9"/>
        <v>5</v>
      </c>
      <c r="AC14" s="74">
        <v>20</v>
      </c>
      <c r="AD14" s="77">
        <v>38</v>
      </c>
      <c r="AE14" s="93">
        <f t="shared" si="10"/>
        <v>58</v>
      </c>
      <c r="AF14" s="77">
        <v>25</v>
      </c>
      <c r="AG14" s="94">
        <f t="shared" si="11"/>
        <v>83</v>
      </c>
      <c r="AH14" s="177"/>
      <c r="AI14" s="76">
        <f t="shared" si="12"/>
        <v>5</v>
      </c>
      <c r="AJ14" s="74">
        <v>20</v>
      </c>
      <c r="AK14" s="77">
        <v>48</v>
      </c>
      <c r="AL14" s="93">
        <f t="shared" si="13"/>
        <v>68</v>
      </c>
      <c r="AM14" s="77">
        <v>29</v>
      </c>
      <c r="AN14" s="94">
        <f t="shared" si="14"/>
        <v>97</v>
      </c>
      <c r="AO14" s="177"/>
      <c r="AP14" s="76">
        <f t="shared" si="15"/>
        <v>5</v>
      </c>
      <c r="AQ14" s="77">
        <v>22</v>
      </c>
      <c r="AR14" s="77">
        <v>24</v>
      </c>
      <c r="AS14" s="76">
        <f t="shared" si="16"/>
        <v>46</v>
      </c>
      <c r="AT14" s="178"/>
      <c r="AU14" s="76">
        <f t="shared" si="17"/>
        <v>5</v>
      </c>
      <c r="AV14" s="74">
        <v>20</v>
      </c>
      <c r="AW14" s="77">
        <v>49</v>
      </c>
      <c r="AX14" s="93">
        <f t="shared" si="18"/>
        <v>69</v>
      </c>
      <c r="AY14" s="77">
        <v>27</v>
      </c>
      <c r="AZ14" s="94">
        <f t="shared" si="19"/>
        <v>96</v>
      </c>
      <c r="BA14" s="177"/>
      <c r="BB14" s="76">
        <f t="shared" si="20"/>
        <v>5</v>
      </c>
      <c r="BC14" s="74">
        <v>20</v>
      </c>
      <c r="BD14" s="77">
        <v>40</v>
      </c>
      <c r="BE14" s="93">
        <f t="shared" si="21"/>
        <v>60</v>
      </c>
      <c r="BF14" s="77">
        <v>24</v>
      </c>
      <c r="BG14" s="94">
        <f t="shared" si="22"/>
        <v>84</v>
      </c>
      <c r="BH14" s="177"/>
      <c r="BI14" s="76">
        <f t="shared" si="23"/>
        <v>5</v>
      </c>
      <c r="BJ14" s="74">
        <v>10</v>
      </c>
      <c r="BK14" s="77">
        <v>32</v>
      </c>
      <c r="BL14" s="94">
        <f t="shared" si="24"/>
        <v>42</v>
      </c>
      <c r="BM14" s="94">
        <f t="shared" si="25"/>
        <v>42</v>
      </c>
      <c r="BN14" s="180"/>
      <c r="BO14" s="85">
        <f t="shared" si="2"/>
        <v>5</v>
      </c>
      <c r="BP14" s="85">
        <f t="shared" si="26"/>
        <v>40</v>
      </c>
      <c r="BQ14" s="86">
        <f t="shared" si="27"/>
        <v>5</v>
      </c>
      <c r="BR14" s="86" t="str">
        <f t="shared" si="28"/>
        <v>A+</v>
      </c>
      <c r="BS14" s="85" t="str">
        <f t="shared" si="3"/>
        <v>BEST</v>
      </c>
      <c r="BT14" s="127">
        <f t="shared" si="29"/>
        <v>702</v>
      </c>
      <c r="BU14" s="85"/>
      <c r="BV14" s="88"/>
    </row>
    <row r="15" spans="1:74" ht="27.95" customHeight="1">
      <c r="A15" s="81">
        <v>8</v>
      </c>
      <c r="B15" s="82">
        <v>9</v>
      </c>
      <c r="C15" s="83" t="s">
        <v>110</v>
      </c>
      <c r="D15" s="83" t="s">
        <v>111</v>
      </c>
      <c r="E15" s="83" t="s">
        <v>112</v>
      </c>
      <c r="F15" s="84" t="s">
        <v>113</v>
      </c>
      <c r="G15" s="74">
        <v>18</v>
      </c>
      <c r="H15" s="77">
        <v>31</v>
      </c>
      <c r="I15" s="93">
        <f t="shared" si="30"/>
        <v>49</v>
      </c>
      <c r="J15" s="77">
        <v>29</v>
      </c>
      <c r="K15" s="94">
        <f t="shared" si="31"/>
        <v>78</v>
      </c>
      <c r="L15" s="74">
        <v>10</v>
      </c>
      <c r="M15" s="77">
        <v>34</v>
      </c>
      <c r="N15" s="94">
        <f t="shared" si="32"/>
        <v>44</v>
      </c>
      <c r="O15" s="94">
        <f t="shared" si="4"/>
        <v>44</v>
      </c>
      <c r="P15" s="94">
        <f t="shared" si="0"/>
        <v>122</v>
      </c>
      <c r="Q15" s="177"/>
      <c r="R15" s="76">
        <f t="shared" si="5"/>
        <v>5</v>
      </c>
      <c r="S15" s="74">
        <v>18</v>
      </c>
      <c r="T15" s="77">
        <v>64</v>
      </c>
      <c r="U15" s="93">
        <f t="shared" si="6"/>
        <v>82</v>
      </c>
      <c r="V15" s="74">
        <v>6</v>
      </c>
      <c r="W15" s="77">
        <v>37</v>
      </c>
      <c r="X15" s="94">
        <f t="shared" si="7"/>
        <v>43</v>
      </c>
      <c r="Y15" s="94">
        <f t="shared" si="8"/>
        <v>125</v>
      </c>
      <c r="Z15" s="94">
        <f t="shared" si="1"/>
        <v>125</v>
      </c>
      <c r="AA15" s="177"/>
      <c r="AB15" s="76">
        <f t="shared" si="9"/>
        <v>5</v>
      </c>
      <c r="AC15" s="74">
        <v>19</v>
      </c>
      <c r="AD15" s="77">
        <v>36</v>
      </c>
      <c r="AE15" s="93">
        <f t="shared" si="10"/>
        <v>55</v>
      </c>
      <c r="AF15" s="77">
        <v>27</v>
      </c>
      <c r="AG15" s="94">
        <f t="shared" si="11"/>
        <v>82</v>
      </c>
      <c r="AH15" s="177"/>
      <c r="AI15" s="76">
        <f t="shared" si="12"/>
        <v>5</v>
      </c>
      <c r="AJ15" s="74">
        <v>20</v>
      </c>
      <c r="AK15" s="77">
        <v>50</v>
      </c>
      <c r="AL15" s="93">
        <f t="shared" si="13"/>
        <v>70</v>
      </c>
      <c r="AM15" s="77">
        <v>28</v>
      </c>
      <c r="AN15" s="94">
        <f t="shared" si="14"/>
        <v>98</v>
      </c>
      <c r="AO15" s="177"/>
      <c r="AP15" s="76">
        <f t="shared" si="15"/>
        <v>5</v>
      </c>
      <c r="AQ15" s="77">
        <v>22</v>
      </c>
      <c r="AR15" s="77">
        <v>24</v>
      </c>
      <c r="AS15" s="76">
        <f t="shared" si="16"/>
        <v>46</v>
      </c>
      <c r="AT15" s="178"/>
      <c r="AU15" s="76">
        <f t="shared" si="17"/>
        <v>5</v>
      </c>
      <c r="AV15" s="74">
        <v>20</v>
      </c>
      <c r="AW15" s="77">
        <v>49</v>
      </c>
      <c r="AX15" s="93">
        <f t="shared" si="18"/>
        <v>69</v>
      </c>
      <c r="AY15" s="77">
        <v>28</v>
      </c>
      <c r="AZ15" s="94">
        <f t="shared" si="19"/>
        <v>97</v>
      </c>
      <c r="BA15" s="177"/>
      <c r="BB15" s="76">
        <f t="shared" si="20"/>
        <v>5</v>
      </c>
      <c r="BC15" s="74">
        <v>17</v>
      </c>
      <c r="BD15" s="77">
        <v>39</v>
      </c>
      <c r="BE15" s="93">
        <f t="shared" si="21"/>
        <v>56</v>
      </c>
      <c r="BF15" s="77">
        <v>22</v>
      </c>
      <c r="BG15" s="94">
        <f t="shared" si="22"/>
        <v>78</v>
      </c>
      <c r="BH15" s="177"/>
      <c r="BI15" s="76">
        <f t="shared" si="23"/>
        <v>4</v>
      </c>
      <c r="BJ15" s="74">
        <v>9</v>
      </c>
      <c r="BK15" s="77">
        <v>32</v>
      </c>
      <c r="BL15" s="94">
        <f t="shared" si="24"/>
        <v>41</v>
      </c>
      <c r="BM15" s="94">
        <f t="shared" si="25"/>
        <v>41</v>
      </c>
      <c r="BN15" s="180"/>
      <c r="BO15" s="85">
        <f t="shared" si="2"/>
        <v>5</v>
      </c>
      <c r="BP15" s="85">
        <f t="shared" si="26"/>
        <v>39</v>
      </c>
      <c r="BQ15" s="86">
        <f t="shared" si="27"/>
        <v>4.875</v>
      </c>
      <c r="BR15" s="86" t="str">
        <f t="shared" si="28"/>
        <v>A</v>
      </c>
      <c r="BS15" s="85" t="str">
        <f t="shared" si="3"/>
        <v>BETTER</v>
      </c>
      <c r="BT15" s="127">
        <f t="shared" si="29"/>
        <v>689</v>
      </c>
      <c r="BU15" s="85"/>
      <c r="BV15" s="88"/>
    </row>
    <row r="16" spans="1:74" ht="27.95" customHeight="1">
      <c r="A16" s="81">
        <v>9</v>
      </c>
      <c r="B16" s="82">
        <v>10</v>
      </c>
      <c r="C16" s="83" t="s">
        <v>114</v>
      </c>
      <c r="D16" s="83" t="s">
        <v>115</v>
      </c>
      <c r="E16" s="83" t="s">
        <v>116</v>
      </c>
      <c r="F16" s="84" t="s">
        <v>117</v>
      </c>
      <c r="G16" s="74">
        <v>17</v>
      </c>
      <c r="H16" s="77">
        <v>28</v>
      </c>
      <c r="I16" s="93">
        <f t="shared" si="30"/>
        <v>45</v>
      </c>
      <c r="J16" s="77">
        <v>27</v>
      </c>
      <c r="K16" s="94">
        <f t="shared" si="31"/>
        <v>72</v>
      </c>
      <c r="L16" s="74">
        <v>10</v>
      </c>
      <c r="M16" s="77">
        <v>34</v>
      </c>
      <c r="N16" s="94">
        <f t="shared" si="32"/>
        <v>44</v>
      </c>
      <c r="O16" s="94">
        <f t="shared" si="4"/>
        <v>44</v>
      </c>
      <c r="P16" s="94">
        <f t="shared" si="0"/>
        <v>116</v>
      </c>
      <c r="Q16" s="177"/>
      <c r="R16" s="76">
        <f t="shared" si="5"/>
        <v>4</v>
      </c>
      <c r="S16" s="74">
        <v>19</v>
      </c>
      <c r="T16" s="77">
        <v>72</v>
      </c>
      <c r="U16" s="93">
        <f t="shared" si="6"/>
        <v>91</v>
      </c>
      <c r="V16" s="74">
        <v>6</v>
      </c>
      <c r="W16" s="77">
        <v>37</v>
      </c>
      <c r="X16" s="94">
        <f t="shared" si="7"/>
        <v>43</v>
      </c>
      <c r="Y16" s="94">
        <f t="shared" si="8"/>
        <v>134</v>
      </c>
      <c r="Z16" s="94">
        <f t="shared" si="1"/>
        <v>134</v>
      </c>
      <c r="AA16" s="177"/>
      <c r="AB16" s="76">
        <f t="shared" si="9"/>
        <v>5</v>
      </c>
      <c r="AC16" s="74">
        <v>19</v>
      </c>
      <c r="AD16" s="77">
        <v>29</v>
      </c>
      <c r="AE16" s="93">
        <f t="shared" si="10"/>
        <v>48</v>
      </c>
      <c r="AF16" s="77">
        <v>19</v>
      </c>
      <c r="AG16" s="94">
        <f t="shared" si="11"/>
        <v>67</v>
      </c>
      <c r="AH16" s="177"/>
      <c r="AI16" s="76">
        <f t="shared" si="12"/>
        <v>3.5</v>
      </c>
      <c r="AJ16" s="74">
        <v>20</v>
      </c>
      <c r="AK16" s="77">
        <v>41</v>
      </c>
      <c r="AL16" s="93">
        <f t="shared" si="13"/>
        <v>61</v>
      </c>
      <c r="AM16" s="77">
        <v>21</v>
      </c>
      <c r="AN16" s="94">
        <f t="shared" si="14"/>
        <v>82</v>
      </c>
      <c r="AO16" s="177"/>
      <c r="AP16" s="76">
        <f t="shared" si="15"/>
        <v>5</v>
      </c>
      <c r="AQ16" s="77">
        <v>22</v>
      </c>
      <c r="AR16" s="77">
        <v>24</v>
      </c>
      <c r="AS16" s="76">
        <f t="shared" si="16"/>
        <v>46</v>
      </c>
      <c r="AT16" s="178"/>
      <c r="AU16" s="76">
        <f t="shared" si="17"/>
        <v>5</v>
      </c>
      <c r="AV16" s="74">
        <v>20</v>
      </c>
      <c r="AW16" s="77">
        <v>47</v>
      </c>
      <c r="AX16" s="93">
        <f t="shared" si="18"/>
        <v>67</v>
      </c>
      <c r="AY16" s="77">
        <v>23</v>
      </c>
      <c r="AZ16" s="94">
        <f t="shared" si="19"/>
        <v>90</v>
      </c>
      <c r="BA16" s="177"/>
      <c r="BB16" s="76">
        <f t="shared" si="20"/>
        <v>5</v>
      </c>
      <c r="BC16" s="74">
        <v>19</v>
      </c>
      <c r="BD16" s="77">
        <v>39</v>
      </c>
      <c r="BE16" s="93">
        <f t="shared" si="21"/>
        <v>58</v>
      </c>
      <c r="BF16" s="77">
        <v>19</v>
      </c>
      <c r="BG16" s="94">
        <f t="shared" si="22"/>
        <v>77</v>
      </c>
      <c r="BH16" s="177"/>
      <c r="BI16" s="76">
        <f t="shared" si="23"/>
        <v>4</v>
      </c>
      <c r="BJ16" s="74">
        <v>10</v>
      </c>
      <c r="BK16" s="77">
        <v>32</v>
      </c>
      <c r="BL16" s="94">
        <f t="shared" si="24"/>
        <v>42</v>
      </c>
      <c r="BM16" s="94">
        <f t="shared" si="25"/>
        <v>42</v>
      </c>
      <c r="BN16" s="180"/>
      <c r="BO16" s="85">
        <f t="shared" si="2"/>
        <v>5</v>
      </c>
      <c r="BP16" s="85">
        <f t="shared" si="26"/>
        <v>36.5</v>
      </c>
      <c r="BQ16" s="86">
        <f t="shared" si="27"/>
        <v>4.5625</v>
      </c>
      <c r="BR16" s="86" t="str">
        <f t="shared" si="28"/>
        <v>A</v>
      </c>
      <c r="BS16" s="85" t="str">
        <f t="shared" si="3"/>
        <v>BETTER</v>
      </c>
      <c r="BT16" s="127">
        <f t="shared" si="29"/>
        <v>654</v>
      </c>
      <c r="BU16" s="85"/>
      <c r="BV16" s="88"/>
    </row>
    <row r="17" spans="1:74" ht="27.95" customHeight="1">
      <c r="A17" s="81">
        <v>10</v>
      </c>
      <c r="B17" s="82">
        <v>11</v>
      </c>
      <c r="C17" s="83" t="s">
        <v>118</v>
      </c>
      <c r="D17" s="83" t="s">
        <v>119</v>
      </c>
      <c r="E17" s="83" t="s">
        <v>120</v>
      </c>
      <c r="F17" s="84" t="s">
        <v>121</v>
      </c>
      <c r="G17" s="74">
        <v>18</v>
      </c>
      <c r="H17" s="77">
        <v>35</v>
      </c>
      <c r="I17" s="93">
        <f t="shared" si="30"/>
        <v>53</v>
      </c>
      <c r="J17" s="77">
        <v>28</v>
      </c>
      <c r="K17" s="94">
        <f t="shared" si="31"/>
        <v>81</v>
      </c>
      <c r="L17" s="74">
        <v>10</v>
      </c>
      <c r="M17" s="77">
        <v>32</v>
      </c>
      <c r="N17" s="94">
        <f t="shared" si="32"/>
        <v>42</v>
      </c>
      <c r="O17" s="94">
        <f t="shared" si="4"/>
        <v>42</v>
      </c>
      <c r="P17" s="94">
        <f t="shared" si="0"/>
        <v>123</v>
      </c>
      <c r="Q17" s="177"/>
      <c r="R17" s="76">
        <f t="shared" si="5"/>
        <v>5</v>
      </c>
      <c r="S17" s="74">
        <v>16</v>
      </c>
      <c r="T17" s="77">
        <v>56</v>
      </c>
      <c r="U17" s="93">
        <f t="shared" si="6"/>
        <v>72</v>
      </c>
      <c r="V17" s="74">
        <v>6</v>
      </c>
      <c r="W17" s="77">
        <v>30</v>
      </c>
      <c r="X17" s="94">
        <f t="shared" si="7"/>
        <v>36</v>
      </c>
      <c r="Y17" s="94">
        <f t="shared" si="8"/>
        <v>108</v>
      </c>
      <c r="Z17" s="94">
        <f t="shared" si="1"/>
        <v>108</v>
      </c>
      <c r="AA17" s="177"/>
      <c r="AB17" s="76">
        <f t="shared" si="9"/>
        <v>4</v>
      </c>
      <c r="AC17" s="74">
        <v>12</v>
      </c>
      <c r="AD17" s="77">
        <v>31</v>
      </c>
      <c r="AE17" s="93">
        <f t="shared" si="10"/>
        <v>43</v>
      </c>
      <c r="AF17" s="77">
        <v>22</v>
      </c>
      <c r="AG17" s="94">
        <f t="shared" si="11"/>
        <v>65</v>
      </c>
      <c r="AH17" s="177"/>
      <c r="AI17" s="76">
        <f t="shared" si="12"/>
        <v>3.5</v>
      </c>
      <c r="AJ17" s="74">
        <v>20</v>
      </c>
      <c r="AK17" s="77">
        <v>42</v>
      </c>
      <c r="AL17" s="93">
        <f t="shared" si="13"/>
        <v>62</v>
      </c>
      <c r="AM17" s="77">
        <v>25</v>
      </c>
      <c r="AN17" s="94">
        <f t="shared" si="14"/>
        <v>87</v>
      </c>
      <c r="AO17" s="177"/>
      <c r="AP17" s="76">
        <f t="shared" si="15"/>
        <v>5</v>
      </c>
      <c r="AQ17" s="77">
        <v>22</v>
      </c>
      <c r="AR17" s="77">
        <v>24</v>
      </c>
      <c r="AS17" s="76">
        <f t="shared" si="16"/>
        <v>46</v>
      </c>
      <c r="AT17" s="178"/>
      <c r="AU17" s="76">
        <f t="shared" si="17"/>
        <v>5</v>
      </c>
      <c r="AV17" s="74">
        <v>20</v>
      </c>
      <c r="AW17" s="77">
        <v>39</v>
      </c>
      <c r="AX17" s="93">
        <f t="shared" si="18"/>
        <v>59</v>
      </c>
      <c r="AY17" s="77">
        <v>21</v>
      </c>
      <c r="AZ17" s="94">
        <f t="shared" si="19"/>
        <v>80</v>
      </c>
      <c r="BA17" s="177"/>
      <c r="BB17" s="76">
        <f t="shared" si="20"/>
        <v>5</v>
      </c>
      <c r="BC17" s="74">
        <v>14</v>
      </c>
      <c r="BD17" s="77">
        <v>37</v>
      </c>
      <c r="BE17" s="93">
        <f t="shared" si="21"/>
        <v>51</v>
      </c>
      <c r="BF17" s="77">
        <v>28</v>
      </c>
      <c r="BG17" s="94">
        <f t="shared" si="22"/>
        <v>79</v>
      </c>
      <c r="BH17" s="177"/>
      <c r="BI17" s="76">
        <f t="shared" si="23"/>
        <v>4</v>
      </c>
      <c r="BJ17" s="74">
        <v>9</v>
      </c>
      <c r="BK17" s="77">
        <v>32</v>
      </c>
      <c r="BL17" s="94">
        <f t="shared" si="24"/>
        <v>41</v>
      </c>
      <c r="BM17" s="94">
        <f t="shared" si="25"/>
        <v>41</v>
      </c>
      <c r="BN17" s="180"/>
      <c r="BO17" s="85">
        <f t="shared" si="2"/>
        <v>5</v>
      </c>
      <c r="BP17" s="85">
        <f t="shared" si="26"/>
        <v>36.5</v>
      </c>
      <c r="BQ17" s="86">
        <f t="shared" si="27"/>
        <v>4.5625</v>
      </c>
      <c r="BR17" s="86" t="str">
        <f t="shared" si="28"/>
        <v>A</v>
      </c>
      <c r="BS17" s="85" t="str">
        <f t="shared" si="3"/>
        <v>BETTER</v>
      </c>
      <c r="BT17" s="127">
        <f t="shared" si="29"/>
        <v>629</v>
      </c>
      <c r="BU17" s="85"/>
      <c r="BV17" s="88"/>
    </row>
    <row r="18" spans="1:74" ht="27.95" customHeight="1">
      <c r="A18" s="81">
        <v>11</v>
      </c>
      <c r="B18" s="82">
        <v>12</v>
      </c>
      <c r="C18" s="83" t="s">
        <v>122</v>
      </c>
      <c r="D18" s="83" t="s">
        <v>123</v>
      </c>
      <c r="E18" s="83" t="s">
        <v>124</v>
      </c>
      <c r="F18" s="84" t="s">
        <v>125</v>
      </c>
      <c r="G18" s="74">
        <v>15</v>
      </c>
      <c r="H18" s="77">
        <v>34</v>
      </c>
      <c r="I18" s="93">
        <f t="shared" si="30"/>
        <v>49</v>
      </c>
      <c r="J18" s="77">
        <v>20</v>
      </c>
      <c r="K18" s="94">
        <f t="shared" si="31"/>
        <v>69</v>
      </c>
      <c r="L18" s="74">
        <v>6</v>
      </c>
      <c r="M18" s="77">
        <v>26</v>
      </c>
      <c r="N18" s="94">
        <f t="shared" si="32"/>
        <v>32</v>
      </c>
      <c r="O18" s="94">
        <f t="shared" si="4"/>
        <v>32</v>
      </c>
      <c r="P18" s="94">
        <f t="shared" si="0"/>
        <v>101</v>
      </c>
      <c r="Q18" s="177"/>
      <c r="R18" s="76">
        <f t="shared" si="5"/>
        <v>3.5</v>
      </c>
      <c r="S18" s="74">
        <v>17</v>
      </c>
      <c r="T18" s="77">
        <v>58</v>
      </c>
      <c r="U18" s="93">
        <f t="shared" si="6"/>
        <v>75</v>
      </c>
      <c r="V18" s="74">
        <v>6</v>
      </c>
      <c r="W18" s="77">
        <v>32</v>
      </c>
      <c r="X18" s="94">
        <f t="shared" si="7"/>
        <v>38</v>
      </c>
      <c r="Y18" s="94">
        <f t="shared" si="8"/>
        <v>113</v>
      </c>
      <c r="Z18" s="94">
        <f t="shared" si="1"/>
        <v>113</v>
      </c>
      <c r="AA18" s="177"/>
      <c r="AB18" s="76">
        <f t="shared" si="9"/>
        <v>4</v>
      </c>
      <c r="AC18" s="74">
        <v>19</v>
      </c>
      <c r="AD18" s="77">
        <v>21</v>
      </c>
      <c r="AE18" s="93">
        <f t="shared" si="10"/>
        <v>40</v>
      </c>
      <c r="AF18" s="77">
        <v>20</v>
      </c>
      <c r="AG18" s="94">
        <f t="shared" si="11"/>
        <v>60</v>
      </c>
      <c r="AH18" s="177"/>
      <c r="AI18" s="76">
        <f t="shared" si="12"/>
        <v>3.5</v>
      </c>
      <c r="AJ18" s="74">
        <v>19</v>
      </c>
      <c r="AK18" s="77">
        <v>47</v>
      </c>
      <c r="AL18" s="93">
        <f t="shared" si="13"/>
        <v>66</v>
      </c>
      <c r="AM18" s="77">
        <v>20</v>
      </c>
      <c r="AN18" s="94">
        <f t="shared" si="14"/>
        <v>86</v>
      </c>
      <c r="AO18" s="177"/>
      <c r="AP18" s="76">
        <f t="shared" si="15"/>
        <v>5</v>
      </c>
      <c r="AQ18" s="77">
        <v>22</v>
      </c>
      <c r="AR18" s="77">
        <v>24</v>
      </c>
      <c r="AS18" s="76">
        <f t="shared" si="16"/>
        <v>46</v>
      </c>
      <c r="AT18" s="178"/>
      <c r="AU18" s="76">
        <f t="shared" si="17"/>
        <v>5</v>
      </c>
      <c r="AV18" s="74">
        <v>19</v>
      </c>
      <c r="AW18" s="77">
        <v>48</v>
      </c>
      <c r="AX18" s="93">
        <f t="shared" si="18"/>
        <v>67</v>
      </c>
      <c r="AY18" s="77">
        <v>25</v>
      </c>
      <c r="AZ18" s="94">
        <f t="shared" si="19"/>
        <v>92</v>
      </c>
      <c r="BA18" s="177"/>
      <c r="BB18" s="76">
        <f t="shared" si="20"/>
        <v>5</v>
      </c>
      <c r="BC18" s="74">
        <v>16</v>
      </c>
      <c r="BD18" s="77">
        <v>38</v>
      </c>
      <c r="BE18" s="93">
        <f t="shared" si="21"/>
        <v>54</v>
      </c>
      <c r="BF18" s="77">
        <v>17</v>
      </c>
      <c r="BG18" s="94">
        <f t="shared" si="22"/>
        <v>71</v>
      </c>
      <c r="BH18" s="177"/>
      <c r="BI18" s="76">
        <f t="shared" si="23"/>
        <v>4</v>
      </c>
      <c r="BJ18" s="74">
        <v>9</v>
      </c>
      <c r="BK18" s="77">
        <v>32</v>
      </c>
      <c r="BL18" s="94">
        <f t="shared" si="24"/>
        <v>41</v>
      </c>
      <c r="BM18" s="94">
        <f t="shared" si="25"/>
        <v>41</v>
      </c>
      <c r="BN18" s="180"/>
      <c r="BO18" s="85">
        <f t="shared" si="2"/>
        <v>5</v>
      </c>
      <c r="BP18" s="85">
        <f t="shared" si="26"/>
        <v>35</v>
      </c>
      <c r="BQ18" s="86">
        <f t="shared" si="27"/>
        <v>4.375</v>
      </c>
      <c r="BR18" s="86" t="str">
        <f t="shared" si="28"/>
        <v>A</v>
      </c>
      <c r="BS18" s="85" t="str">
        <f t="shared" si="3"/>
        <v>BETTER</v>
      </c>
      <c r="BT18" s="127">
        <f t="shared" si="29"/>
        <v>610</v>
      </c>
      <c r="BU18" s="85"/>
      <c r="BV18" s="88"/>
    </row>
    <row r="19" spans="1:74" s="36" customFormat="1" ht="27.95" customHeight="1">
      <c r="A19" s="81">
        <v>12</v>
      </c>
      <c r="B19" s="82">
        <v>14</v>
      </c>
      <c r="C19" s="83" t="s">
        <v>126</v>
      </c>
      <c r="D19" s="83" t="s">
        <v>127</v>
      </c>
      <c r="E19" s="83" t="s">
        <v>128</v>
      </c>
      <c r="F19" s="84" t="s">
        <v>129</v>
      </c>
      <c r="G19" s="74">
        <v>17</v>
      </c>
      <c r="H19" s="77">
        <v>36</v>
      </c>
      <c r="I19" s="93">
        <f t="shared" si="30"/>
        <v>53</v>
      </c>
      <c r="J19" s="77">
        <v>28</v>
      </c>
      <c r="K19" s="94">
        <f t="shared" si="31"/>
        <v>81</v>
      </c>
      <c r="L19" s="74">
        <v>7</v>
      </c>
      <c r="M19" s="77">
        <v>30</v>
      </c>
      <c r="N19" s="94">
        <f t="shared" si="32"/>
        <v>37</v>
      </c>
      <c r="O19" s="94">
        <f t="shared" si="4"/>
        <v>37</v>
      </c>
      <c r="P19" s="94">
        <f t="shared" si="0"/>
        <v>118</v>
      </c>
      <c r="Q19" s="177"/>
      <c r="R19" s="76">
        <f t="shared" si="5"/>
        <v>4</v>
      </c>
      <c r="S19" s="74">
        <v>18</v>
      </c>
      <c r="T19" s="77">
        <v>67</v>
      </c>
      <c r="U19" s="93">
        <f t="shared" si="6"/>
        <v>85</v>
      </c>
      <c r="V19" s="74">
        <v>6</v>
      </c>
      <c r="W19" s="77">
        <v>36</v>
      </c>
      <c r="X19" s="94">
        <f t="shared" si="7"/>
        <v>42</v>
      </c>
      <c r="Y19" s="94">
        <f t="shared" si="8"/>
        <v>127</v>
      </c>
      <c r="Z19" s="94">
        <f t="shared" si="1"/>
        <v>127</v>
      </c>
      <c r="AA19" s="177"/>
      <c r="AB19" s="76">
        <f t="shared" si="9"/>
        <v>5</v>
      </c>
      <c r="AC19" s="74">
        <v>20</v>
      </c>
      <c r="AD19" s="77">
        <v>39</v>
      </c>
      <c r="AE19" s="93">
        <f t="shared" si="10"/>
        <v>59</v>
      </c>
      <c r="AF19" s="77">
        <v>21</v>
      </c>
      <c r="AG19" s="94">
        <f t="shared" si="11"/>
        <v>80</v>
      </c>
      <c r="AH19" s="177"/>
      <c r="AI19" s="76">
        <f t="shared" si="12"/>
        <v>5</v>
      </c>
      <c r="AJ19" s="74">
        <v>20</v>
      </c>
      <c r="AK19" s="77">
        <v>44</v>
      </c>
      <c r="AL19" s="93">
        <f t="shared" si="13"/>
        <v>64</v>
      </c>
      <c r="AM19" s="77">
        <v>26</v>
      </c>
      <c r="AN19" s="94">
        <f t="shared" si="14"/>
        <v>90</v>
      </c>
      <c r="AO19" s="177"/>
      <c r="AP19" s="76">
        <f t="shared" si="15"/>
        <v>5</v>
      </c>
      <c r="AQ19" s="77">
        <v>22</v>
      </c>
      <c r="AR19" s="77">
        <v>24</v>
      </c>
      <c r="AS19" s="76">
        <f t="shared" si="16"/>
        <v>46</v>
      </c>
      <c r="AT19" s="178"/>
      <c r="AU19" s="76">
        <f t="shared" si="17"/>
        <v>5</v>
      </c>
      <c r="AV19" s="74">
        <v>20</v>
      </c>
      <c r="AW19" s="77">
        <v>49</v>
      </c>
      <c r="AX19" s="93">
        <f t="shared" si="18"/>
        <v>69</v>
      </c>
      <c r="AY19" s="77">
        <v>25</v>
      </c>
      <c r="AZ19" s="94">
        <f t="shared" si="19"/>
        <v>94</v>
      </c>
      <c r="BA19" s="177"/>
      <c r="BB19" s="76">
        <f t="shared" si="20"/>
        <v>5</v>
      </c>
      <c r="BC19" s="74">
        <v>16</v>
      </c>
      <c r="BD19" s="77">
        <v>39</v>
      </c>
      <c r="BE19" s="93">
        <f t="shared" si="21"/>
        <v>55</v>
      </c>
      <c r="BF19" s="77">
        <v>19</v>
      </c>
      <c r="BG19" s="94">
        <f t="shared" si="22"/>
        <v>74</v>
      </c>
      <c r="BH19" s="177"/>
      <c r="BI19" s="76">
        <f t="shared" si="23"/>
        <v>4</v>
      </c>
      <c r="BJ19" s="74">
        <v>9</v>
      </c>
      <c r="BK19" s="77">
        <v>32</v>
      </c>
      <c r="BL19" s="94">
        <f t="shared" si="24"/>
        <v>41</v>
      </c>
      <c r="BM19" s="94">
        <f t="shared" si="25"/>
        <v>41</v>
      </c>
      <c r="BN19" s="180"/>
      <c r="BO19" s="85">
        <f t="shared" si="2"/>
        <v>5</v>
      </c>
      <c r="BP19" s="85">
        <f t="shared" si="26"/>
        <v>38</v>
      </c>
      <c r="BQ19" s="86">
        <f t="shared" si="27"/>
        <v>4.75</v>
      </c>
      <c r="BR19" s="86" t="str">
        <f t="shared" si="28"/>
        <v>A</v>
      </c>
      <c r="BS19" s="85" t="str">
        <f t="shared" si="3"/>
        <v>BETTER</v>
      </c>
      <c r="BT19" s="127">
        <f t="shared" si="29"/>
        <v>670</v>
      </c>
      <c r="BU19" s="85"/>
      <c r="BV19" s="88"/>
    </row>
    <row r="20" spans="1:74" ht="27.95" customHeight="1">
      <c r="A20" s="81">
        <v>13</v>
      </c>
      <c r="B20" s="82">
        <v>16</v>
      </c>
      <c r="C20" s="83" t="s">
        <v>130</v>
      </c>
      <c r="D20" s="83" t="s">
        <v>131</v>
      </c>
      <c r="E20" s="83" t="s">
        <v>132</v>
      </c>
      <c r="F20" s="84" t="s">
        <v>133</v>
      </c>
      <c r="G20" s="74">
        <v>13</v>
      </c>
      <c r="H20" s="77">
        <v>23</v>
      </c>
      <c r="I20" s="93">
        <f t="shared" si="30"/>
        <v>36</v>
      </c>
      <c r="J20" s="77">
        <v>18</v>
      </c>
      <c r="K20" s="94">
        <f t="shared" si="31"/>
        <v>54</v>
      </c>
      <c r="L20" s="74">
        <v>7</v>
      </c>
      <c r="M20" s="77">
        <v>22</v>
      </c>
      <c r="N20" s="94">
        <f t="shared" si="32"/>
        <v>29</v>
      </c>
      <c r="O20" s="94">
        <f t="shared" si="4"/>
        <v>29</v>
      </c>
      <c r="P20" s="94">
        <f t="shared" si="0"/>
        <v>83</v>
      </c>
      <c r="Q20" s="177"/>
      <c r="R20" s="76">
        <f t="shared" si="5"/>
        <v>3</v>
      </c>
      <c r="S20" s="74">
        <v>16</v>
      </c>
      <c r="T20" s="77">
        <v>60</v>
      </c>
      <c r="U20" s="93">
        <f t="shared" si="6"/>
        <v>76</v>
      </c>
      <c r="V20" s="74">
        <v>4</v>
      </c>
      <c r="W20" s="77">
        <v>28</v>
      </c>
      <c r="X20" s="94">
        <f t="shared" si="7"/>
        <v>32</v>
      </c>
      <c r="Y20" s="94">
        <f t="shared" si="8"/>
        <v>108</v>
      </c>
      <c r="Z20" s="94">
        <f t="shared" si="1"/>
        <v>108</v>
      </c>
      <c r="AA20" s="177"/>
      <c r="AB20" s="76">
        <f t="shared" si="9"/>
        <v>4</v>
      </c>
      <c r="AC20" s="74">
        <v>6</v>
      </c>
      <c r="AD20" s="77">
        <v>11</v>
      </c>
      <c r="AE20" s="93">
        <f t="shared" si="10"/>
        <v>17</v>
      </c>
      <c r="AF20" s="77">
        <v>17</v>
      </c>
      <c r="AG20" s="94">
        <f t="shared" si="11"/>
        <v>34</v>
      </c>
      <c r="AH20" s="177"/>
      <c r="AI20" s="76" t="str">
        <f t="shared" si="12"/>
        <v>F</v>
      </c>
      <c r="AJ20" s="74">
        <v>16</v>
      </c>
      <c r="AK20" s="77">
        <v>37</v>
      </c>
      <c r="AL20" s="93">
        <f t="shared" si="13"/>
        <v>53</v>
      </c>
      <c r="AM20" s="77">
        <v>26</v>
      </c>
      <c r="AN20" s="94">
        <f t="shared" si="14"/>
        <v>79</v>
      </c>
      <c r="AO20" s="177"/>
      <c r="AP20" s="76">
        <f t="shared" si="15"/>
        <v>4</v>
      </c>
      <c r="AQ20" s="77">
        <v>22</v>
      </c>
      <c r="AR20" s="77">
        <v>24</v>
      </c>
      <c r="AS20" s="76">
        <f t="shared" si="16"/>
        <v>46</v>
      </c>
      <c r="AT20" s="178"/>
      <c r="AU20" s="76">
        <f t="shared" si="17"/>
        <v>5</v>
      </c>
      <c r="AV20" s="74">
        <v>19</v>
      </c>
      <c r="AW20" s="77">
        <v>39</v>
      </c>
      <c r="AX20" s="93">
        <f t="shared" si="18"/>
        <v>58</v>
      </c>
      <c r="AY20" s="77">
        <v>16</v>
      </c>
      <c r="AZ20" s="94">
        <f t="shared" si="19"/>
        <v>74</v>
      </c>
      <c r="BA20" s="177"/>
      <c r="BB20" s="76">
        <f t="shared" si="20"/>
        <v>4</v>
      </c>
      <c r="BC20" s="74">
        <v>11</v>
      </c>
      <c r="BD20" s="77">
        <v>29</v>
      </c>
      <c r="BE20" s="93">
        <f t="shared" si="21"/>
        <v>40</v>
      </c>
      <c r="BF20" s="77">
        <v>20</v>
      </c>
      <c r="BG20" s="94">
        <f t="shared" si="22"/>
        <v>60</v>
      </c>
      <c r="BH20" s="177"/>
      <c r="BI20" s="76">
        <f t="shared" si="23"/>
        <v>3.5</v>
      </c>
      <c r="BJ20" s="74">
        <v>9</v>
      </c>
      <c r="BK20" s="77">
        <v>32</v>
      </c>
      <c r="BL20" s="94">
        <f t="shared" si="24"/>
        <v>41</v>
      </c>
      <c r="BM20" s="94">
        <f t="shared" si="25"/>
        <v>41</v>
      </c>
      <c r="BN20" s="180"/>
      <c r="BO20" s="85">
        <f t="shared" si="2"/>
        <v>5</v>
      </c>
      <c r="BP20" s="85" t="str">
        <f t="shared" si="26"/>
        <v>F</v>
      </c>
      <c r="BQ20" s="86" t="str">
        <f t="shared" si="27"/>
        <v>F</v>
      </c>
      <c r="BR20" s="86" t="str">
        <f t="shared" si="28"/>
        <v>F</v>
      </c>
      <c r="BS20" s="85" t="str">
        <f t="shared" si="3"/>
        <v>NEED TO PROGRESS</v>
      </c>
      <c r="BT20" s="127">
        <f t="shared" si="29"/>
        <v>525</v>
      </c>
      <c r="BU20" s="85"/>
      <c r="BV20" s="88"/>
    </row>
    <row r="21" spans="1:74" ht="27.95" customHeight="1">
      <c r="A21" s="81">
        <v>14</v>
      </c>
      <c r="B21" s="82">
        <v>18</v>
      </c>
      <c r="C21" s="83" t="s">
        <v>134</v>
      </c>
      <c r="D21" s="83" t="s">
        <v>135</v>
      </c>
      <c r="E21" s="83" t="s">
        <v>136</v>
      </c>
      <c r="F21" s="84" t="s">
        <v>137</v>
      </c>
      <c r="G21" s="74">
        <v>20</v>
      </c>
      <c r="H21" s="77">
        <v>38</v>
      </c>
      <c r="I21" s="93">
        <f t="shared" si="30"/>
        <v>58</v>
      </c>
      <c r="J21" s="77">
        <v>29</v>
      </c>
      <c r="K21" s="94">
        <f t="shared" si="31"/>
        <v>87</v>
      </c>
      <c r="L21" s="74">
        <v>10</v>
      </c>
      <c r="M21" s="77">
        <v>31</v>
      </c>
      <c r="N21" s="94">
        <f t="shared" si="32"/>
        <v>41</v>
      </c>
      <c r="O21" s="94">
        <f t="shared" si="4"/>
        <v>41</v>
      </c>
      <c r="P21" s="94">
        <f t="shared" si="0"/>
        <v>128</v>
      </c>
      <c r="Q21" s="177"/>
      <c r="R21" s="76">
        <f t="shared" si="5"/>
        <v>5</v>
      </c>
      <c r="S21" s="74">
        <v>19</v>
      </c>
      <c r="T21" s="77">
        <v>70</v>
      </c>
      <c r="U21" s="93">
        <f t="shared" si="6"/>
        <v>89</v>
      </c>
      <c r="V21" s="74">
        <v>6</v>
      </c>
      <c r="W21" s="77">
        <v>37</v>
      </c>
      <c r="X21" s="94">
        <f t="shared" si="7"/>
        <v>43</v>
      </c>
      <c r="Y21" s="94">
        <f t="shared" si="8"/>
        <v>132</v>
      </c>
      <c r="Z21" s="94">
        <f t="shared" si="1"/>
        <v>132</v>
      </c>
      <c r="AA21" s="177"/>
      <c r="AB21" s="76">
        <f t="shared" si="9"/>
        <v>5</v>
      </c>
      <c r="AC21" s="74">
        <v>20</v>
      </c>
      <c r="AD21" s="77">
        <v>40</v>
      </c>
      <c r="AE21" s="93">
        <f t="shared" si="10"/>
        <v>60</v>
      </c>
      <c r="AF21" s="77">
        <v>21</v>
      </c>
      <c r="AG21" s="94">
        <f t="shared" si="11"/>
        <v>81</v>
      </c>
      <c r="AH21" s="177"/>
      <c r="AI21" s="76">
        <f t="shared" si="12"/>
        <v>5</v>
      </c>
      <c r="AJ21" s="74">
        <v>20</v>
      </c>
      <c r="AK21" s="77">
        <v>45</v>
      </c>
      <c r="AL21" s="93">
        <f t="shared" si="13"/>
        <v>65</v>
      </c>
      <c r="AM21" s="77">
        <v>27</v>
      </c>
      <c r="AN21" s="94">
        <f t="shared" si="14"/>
        <v>92</v>
      </c>
      <c r="AO21" s="177"/>
      <c r="AP21" s="76">
        <f t="shared" si="15"/>
        <v>5</v>
      </c>
      <c r="AQ21" s="77">
        <v>22</v>
      </c>
      <c r="AR21" s="77">
        <v>24</v>
      </c>
      <c r="AS21" s="76">
        <f t="shared" si="16"/>
        <v>46</v>
      </c>
      <c r="AT21" s="178"/>
      <c r="AU21" s="76">
        <f t="shared" si="17"/>
        <v>5</v>
      </c>
      <c r="AV21" s="74">
        <v>20</v>
      </c>
      <c r="AW21" s="77">
        <v>49</v>
      </c>
      <c r="AX21" s="93">
        <f t="shared" si="18"/>
        <v>69</v>
      </c>
      <c r="AY21" s="77">
        <v>27</v>
      </c>
      <c r="AZ21" s="94">
        <f t="shared" si="19"/>
        <v>96</v>
      </c>
      <c r="BA21" s="177"/>
      <c r="BB21" s="76">
        <f t="shared" si="20"/>
        <v>5</v>
      </c>
      <c r="BC21" s="74">
        <v>17</v>
      </c>
      <c r="BD21" s="77">
        <v>42</v>
      </c>
      <c r="BE21" s="93">
        <f t="shared" si="21"/>
        <v>59</v>
      </c>
      <c r="BF21" s="77">
        <v>20</v>
      </c>
      <c r="BG21" s="94">
        <f t="shared" si="22"/>
        <v>79</v>
      </c>
      <c r="BH21" s="177"/>
      <c r="BI21" s="76">
        <f t="shared" si="23"/>
        <v>4</v>
      </c>
      <c r="BJ21" s="74">
        <v>9</v>
      </c>
      <c r="BK21" s="77">
        <v>32</v>
      </c>
      <c r="BL21" s="94">
        <f t="shared" si="24"/>
        <v>41</v>
      </c>
      <c r="BM21" s="94">
        <f t="shared" si="25"/>
        <v>41</v>
      </c>
      <c r="BN21" s="180"/>
      <c r="BO21" s="85">
        <f t="shared" si="2"/>
        <v>5</v>
      </c>
      <c r="BP21" s="85">
        <f t="shared" si="26"/>
        <v>39</v>
      </c>
      <c r="BQ21" s="86">
        <f t="shared" si="27"/>
        <v>4.875</v>
      </c>
      <c r="BR21" s="86" t="str">
        <f t="shared" si="28"/>
        <v>A</v>
      </c>
      <c r="BS21" s="85" t="str">
        <f t="shared" si="3"/>
        <v>BETTER</v>
      </c>
      <c r="BT21" s="127">
        <f t="shared" si="29"/>
        <v>695</v>
      </c>
      <c r="BU21" s="85"/>
      <c r="BV21" s="88"/>
    </row>
    <row r="22" spans="1:74" ht="27.95" customHeight="1">
      <c r="A22" s="81">
        <v>15</v>
      </c>
      <c r="B22" s="82">
        <v>19</v>
      </c>
      <c r="C22" s="83" t="s">
        <v>138</v>
      </c>
      <c r="D22" s="83" t="s">
        <v>135</v>
      </c>
      <c r="E22" s="83" t="s">
        <v>136</v>
      </c>
      <c r="F22" s="84" t="s">
        <v>137</v>
      </c>
      <c r="G22" s="74">
        <v>20</v>
      </c>
      <c r="H22" s="76">
        <v>36</v>
      </c>
      <c r="I22" s="94">
        <f t="shared" si="30"/>
        <v>56</v>
      </c>
      <c r="J22" s="76">
        <v>29</v>
      </c>
      <c r="K22" s="94">
        <f t="shared" si="31"/>
        <v>85</v>
      </c>
      <c r="L22" s="74">
        <v>10</v>
      </c>
      <c r="M22" s="76">
        <v>30</v>
      </c>
      <c r="N22" s="94">
        <f t="shared" si="32"/>
        <v>40</v>
      </c>
      <c r="O22" s="94">
        <f t="shared" si="4"/>
        <v>40</v>
      </c>
      <c r="P22" s="94">
        <f t="shared" si="0"/>
        <v>125</v>
      </c>
      <c r="Q22" s="177"/>
      <c r="R22" s="76">
        <f t="shared" si="5"/>
        <v>5</v>
      </c>
      <c r="S22" s="74">
        <v>18</v>
      </c>
      <c r="T22" s="77">
        <v>70</v>
      </c>
      <c r="U22" s="93">
        <f t="shared" si="6"/>
        <v>88</v>
      </c>
      <c r="V22" s="74">
        <v>7</v>
      </c>
      <c r="W22" s="77">
        <v>36</v>
      </c>
      <c r="X22" s="94">
        <f t="shared" si="7"/>
        <v>43</v>
      </c>
      <c r="Y22" s="94">
        <f t="shared" si="8"/>
        <v>131</v>
      </c>
      <c r="Z22" s="94">
        <f t="shared" si="1"/>
        <v>131</v>
      </c>
      <c r="AA22" s="177"/>
      <c r="AB22" s="76">
        <f t="shared" si="9"/>
        <v>5</v>
      </c>
      <c r="AC22" s="74">
        <v>20</v>
      </c>
      <c r="AD22" s="77">
        <v>45</v>
      </c>
      <c r="AE22" s="93">
        <f t="shared" si="10"/>
        <v>65</v>
      </c>
      <c r="AF22" s="77">
        <v>22</v>
      </c>
      <c r="AG22" s="94">
        <f t="shared" si="11"/>
        <v>87</v>
      </c>
      <c r="AH22" s="177"/>
      <c r="AI22" s="76">
        <f t="shared" si="12"/>
        <v>5</v>
      </c>
      <c r="AJ22" s="74">
        <v>20</v>
      </c>
      <c r="AK22" s="77">
        <v>47</v>
      </c>
      <c r="AL22" s="93">
        <f t="shared" si="13"/>
        <v>67</v>
      </c>
      <c r="AM22" s="77">
        <v>27</v>
      </c>
      <c r="AN22" s="94">
        <f t="shared" si="14"/>
        <v>94</v>
      </c>
      <c r="AO22" s="177"/>
      <c r="AP22" s="76">
        <f t="shared" si="15"/>
        <v>5</v>
      </c>
      <c r="AQ22" s="77">
        <v>22</v>
      </c>
      <c r="AR22" s="77">
        <v>24</v>
      </c>
      <c r="AS22" s="76">
        <f t="shared" si="16"/>
        <v>46</v>
      </c>
      <c r="AT22" s="178"/>
      <c r="AU22" s="76">
        <f t="shared" si="17"/>
        <v>5</v>
      </c>
      <c r="AV22" s="74">
        <v>20</v>
      </c>
      <c r="AW22" s="77">
        <v>49</v>
      </c>
      <c r="AX22" s="93">
        <f t="shared" si="18"/>
        <v>69</v>
      </c>
      <c r="AY22" s="77">
        <v>16</v>
      </c>
      <c r="AZ22" s="94">
        <f t="shared" si="19"/>
        <v>85</v>
      </c>
      <c r="BA22" s="177"/>
      <c r="BB22" s="76">
        <f t="shared" si="20"/>
        <v>5</v>
      </c>
      <c r="BC22" s="74">
        <v>19</v>
      </c>
      <c r="BD22" s="77">
        <v>41</v>
      </c>
      <c r="BE22" s="93">
        <f t="shared" si="21"/>
        <v>60</v>
      </c>
      <c r="BF22" s="77">
        <v>22</v>
      </c>
      <c r="BG22" s="94">
        <f t="shared" si="22"/>
        <v>82</v>
      </c>
      <c r="BH22" s="177"/>
      <c r="BI22" s="76">
        <f t="shared" si="23"/>
        <v>5</v>
      </c>
      <c r="BJ22" s="74">
        <v>9</v>
      </c>
      <c r="BK22" s="77">
        <v>32</v>
      </c>
      <c r="BL22" s="94">
        <f t="shared" si="24"/>
        <v>41</v>
      </c>
      <c r="BM22" s="94">
        <f t="shared" si="25"/>
        <v>41</v>
      </c>
      <c r="BN22" s="180"/>
      <c r="BO22" s="85">
        <f t="shared" si="2"/>
        <v>5</v>
      </c>
      <c r="BP22" s="85">
        <f t="shared" si="26"/>
        <v>40</v>
      </c>
      <c r="BQ22" s="86">
        <f t="shared" si="27"/>
        <v>5</v>
      </c>
      <c r="BR22" s="86" t="str">
        <f t="shared" si="28"/>
        <v>A+</v>
      </c>
      <c r="BS22" s="85" t="str">
        <f t="shared" si="3"/>
        <v>BEST</v>
      </c>
      <c r="BT22" s="127">
        <f t="shared" si="29"/>
        <v>691</v>
      </c>
      <c r="BU22" s="85"/>
      <c r="BV22" s="88"/>
    </row>
    <row r="23" spans="1:74" ht="27.95" customHeight="1">
      <c r="A23" s="81">
        <v>16</v>
      </c>
      <c r="B23" s="82">
        <v>20</v>
      </c>
      <c r="C23" s="83" t="s">
        <v>139</v>
      </c>
      <c r="D23" s="83" t="s">
        <v>140</v>
      </c>
      <c r="E23" s="83" t="s">
        <v>141</v>
      </c>
      <c r="F23" s="84" t="s">
        <v>142</v>
      </c>
      <c r="G23" s="74">
        <v>16</v>
      </c>
      <c r="H23" s="76">
        <v>23</v>
      </c>
      <c r="I23" s="94">
        <f t="shared" si="30"/>
        <v>39</v>
      </c>
      <c r="J23" s="76">
        <v>28</v>
      </c>
      <c r="K23" s="94">
        <f t="shared" si="31"/>
        <v>67</v>
      </c>
      <c r="L23" s="74">
        <v>7</v>
      </c>
      <c r="M23" s="76">
        <v>29</v>
      </c>
      <c r="N23" s="94">
        <f t="shared" si="32"/>
        <v>36</v>
      </c>
      <c r="O23" s="94">
        <f t="shared" si="4"/>
        <v>36</v>
      </c>
      <c r="P23" s="94">
        <f t="shared" si="0"/>
        <v>103</v>
      </c>
      <c r="Q23" s="177"/>
      <c r="R23" s="76">
        <f t="shared" si="5"/>
        <v>3.5</v>
      </c>
      <c r="S23" s="74">
        <v>16</v>
      </c>
      <c r="T23" s="77">
        <v>59</v>
      </c>
      <c r="U23" s="93">
        <f t="shared" si="6"/>
        <v>75</v>
      </c>
      <c r="V23" s="74">
        <v>6</v>
      </c>
      <c r="W23" s="77">
        <v>29</v>
      </c>
      <c r="X23" s="94">
        <f t="shared" si="7"/>
        <v>35</v>
      </c>
      <c r="Y23" s="94">
        <f t="shared" si="8"/>
        <v>110</v>
      </c>
      <c r="Z23" s="94">
        <f t="shared" si="1"/>
        <v>110</v>
      </c>
      <c r="AA23" s="177"/>
      <c r="AB23" s="76">
        <f t="shared" si="9"/>
        <v>4</v>
      </c>
      <c r="AC23" s="74">
        <v>12</v>
      </c>
      <c r="AD23" s="77">
        <v>9</v>
      </c>
      <c r="AE23" s="93">
        <f t="shared" si="10"/>
        <v>21</v>
      </c>
      <c r="AF23" s="77">
        <v>21</v>
      </c>
      <c r="AG23" s="94">
        <f t="shared" si="11"/>
        <v>42</v>
      </c>
      <c r="AH23" s="177"/>
      <c r="AI23" s="76">
        <f t="shared" si="12"/>
        <v>2</v>
      </c>
      <c r="AJ23" s="74">
        <v>20</v>
      </c>
      <c r="AK23" s="77">
        <v>43</v>
      </c>
      <c r="AL23" s="93">
        <f t="shared" si="13"/>
        <v>63</v>
      </c>
      <c r="AM23" s="77">
        <v>24</v>
      </c>
      <c r="AN23" s="94">
        <f t="shared" si="14"/>
        <v>87</v>
      </c>
      <c r="AO23" s="177"/>
      <c r="AP23" s="76">
        <f t="shared" si="15"/>
        <v>5</v>
      </c>
      <c r="AQ23" s="77">
        <v>22</v>
      </c>
      <c r="AR23" s="77">
        <v>24</v>
      </c>
      <c r="AS23" s="76">
        <f t="shared" si="16"/>
        <v>46</v>
      </c>
      <c r="AT23" s="178"/>
      <c r="AU23" s="76">
        <f t="shared" si="17"/>
        <v>5</v>
      </c>
      <c r="AV23" s="74">
        <v>20</v>
      </c>
      <c r="AW23" s="77">
        <v>41</v>
      </c>
      <c r="AX23" s="93">
        <f t="shared" si="18"/>
        <v>61</v>
      </c>
      <c r="AY23" s="77">
        <v>24</v>
      </c>
      <c r="AZ23" s="94">
        <f t="shared" si="19"/>
        <v>85</v>
      </c>
      <c r="BA23" s="177"/>
      <c r="BB23" s="76">
        <f t="shared" si="20"/>
        <v>5</v>
      </c>
      <c r="BC23" s="74">
        <v>16</v>
      </c>
      <c r="BD23" s="77">
        <v>28</v>
      </c>
      <c r="BE23" s="93">
        <f t="shared" si="21"/>
        <v>44</v>
      </c>
      <c r="BF23" s="77">
        <v>18</v>
      </c>
      <c r="BG23" s="94">
        <f t="shared" si="22"/>
        <v>62</v>
      </c>
      <c r="BH23" s="177"/>
      <c r="BI23" s="76">
        <f t="shared" si="23"/>
        <v>3.5</v>
      </c>
      <c r="BJ23" s="74">
        <v>9</v>
      </c>
      <c r="BK23" s="77">
        <v>32</v>
      </c>
      <c r="BL23" s="94">
        <f t="shared" si="24"/>
        <v>41</v>
      </c>
      <c r="BM23" s="94">
        <f t="shared" si="25"/>
        <v>41</v>
      </c>
      <c r="BN23" s="180"/>
      <c r="BO23" s="85">
        <f t="shared" si="2"/>
        <v>5</v>
      </c>
      <c r="BP23" s="85">
        <f t="shared" si="26"/>
        <v>33</v>
      </c>
      <c r="BQ23" s="86">
        <f t="shared" si="27"/>
        <v>4.125</v>
      </c>
      <c r="BR23" s="86" t="str">
        <f t="shared" si="28"/>
        <v>A</v>
      </c>
      <c r="BS23" s="85" t="str">
        <f t="shared" si="3"/>
        <v>BETTER</v>
      </c>
      <c r="BT23" s="127">
        <f t="shared" si="29"/>
        <v>576</v>
      </c>
      <c r="BU23" s="85"/>
      <c r="BV23" s="88"/>
    </row>
    <row r="24" spans="1:74" ht="27.95" customHeight="1">
      <c r="A24" s="81">
        <v>17</v>
      </c>
      <c r="B24" s="82">
        <v>21</v>
      </c>
      <c r="C24" s="83" t="s">
        <v>143</v>
      </c>
      <c r="D24" s="83" t="s">
        <v>144</v>
      </c>
      <c r="E24" s="83" t="s">
        <v>145</v>
      </c>
      <c r="F24" s="84" t="s">
        <v>146</v>
      </c>
      <c r="G24" s="74">
        <v>19</v>
      </c>
      <c r="H24" s="76">
        <v>34</v>
      </c>
      <c r="I24" s="94">
        <f t="shared" si="30"/>
        <v>53</v>
      </c>
      <c r="J24" s="76">
        <v>29</v>
      </c>
      <c r="K24" s="94">
        <f t="shared" si="31"/>
        <v>82</v>
      </c>
      <c r="L24" s="74">
        <v>10</v>
      </c>
      <c r="M24" s="76">
        <v>32</v>
      </c>
      <c r="N24" s="94">
        <f t="shared" si="32"/>
        <v>42</v>
      </c>
      <c r="O24" s="94">
        <f t="shared" si="4"/>
        <v>42</v>
      </c>
      <c r="P24" s="94">
        <f t="shared" si="0"/>
        <v>124</v>
      </c>
      <c r="Q24" s="177"/>
      <c r="R24" s="76">
        <f t="shared" si="5"/>
        <v>5</v>
      </c>
      <c r="S24" s="74">
        <v>19</v>
      </c>
      <c r="T24" s="77">
        <v>66</v>
      </c>
      <c r="U24" s="93">
        <f t="shared" si="6"/>
        <v>85</v>
      </c>
      <c r="V24" s="74">
        <v>6</v>
      </c>
      <c r="W24" s="77">
        <v>36</v>
      </c>
      <c r="X24" s="94">
        <f t="shared" si="7"/>
        <v>42</v>
      </c>
      <c r="Y24" s="94">
        <f t="shared" si="8"/>
        <v>127</v>
      </c>
      <c r="Z24" s="94">
        <f t="shared" si="1"/>
        <v>127</v>
      </c>
      <c r="AA24" s="177"/>
      <c r="AB24" s="76">
        <f t="shared" si="9"/>
        <v>5</v>
      </c>
      <c r="AC24" s="74">
        <v>20</v>
      </c>
      <c r="AD24" s="77">
        <v>38</v>
      </c>
      <c r="AE24" s="93">
        <f t="shared" si="10"/>
        <v>58</v>
      </c>
      <c r="AF24" s="77">
        <v>25</v>
      </c>
      <c r="AG24" s="94">
        <f t="shared" si="11"/>
        <v>83</v>
      </c>
      <c r="AH24" s="177"/>
      <c r="AI24" s="76">
        <f t="shared" si="12"/>
        <v>5</v>
      </c>
      <c r="AJ24" s="74">
        <v>20</v>
      </c>
      <c r="AK24" s="77">
        <v>40</v>
      </c>
      <c r="AL24" s="93">
        <f t="shared" si="13"/>
        <v>60</v>
      </c>
      <c r="AM24" s="77">
        <v>21</v>
      </c>
      <c r="AN24" s="94">
        <f t="shared" si="14"/>
        <v>81</v>
      </c>
      <c r="AO24" s="177"/>
      <c r="AP24" s="76">
        <f t="shared" si="15"/>
        <v>5</v>
      </c>
      <c r="AQ24" s="77">
        <v>22</v>
      </c>
      <c r="AR24" s="77">
        <v>24</v>
      </c>
      <c r="AS24" s="76">
        <f t="shared" si="16"/>
        <v>46</v>
      </c>
      <c r="AT24" s="178"/>
      <c r="AU24" s="76">
        <f t="shared" si="17"/>
        <v>5</v>
      </c>
      <c r="AV24" s="74">
        <v>20</v>
      </c>
      <c r="AW24" s="77">
        <v>47</v>
      </c>
      <c r="AX24" s="93">
        <f t="shared" si="18"/>
        <v>67</v>
      </c>
      <c r="AY24" s="77">
        <v>24</v>
      </c>
      <c r="AZ24" s="94">
        <f t="shared" si="19"/>
        <v>91</v>
      </c>
      <c r="BA24" s="177"/>
      <c r="BB24" s="76">
        <f t="shared" si="20"/>
        <v>5</v>
      </c>
      <c r="BC24" s="74">
        <v>17</v>
      </c>
      <c r="BD24" s="77">
        <v>35</v>
      </c>
      <c r="BE24" s="93">
        <f t="shared" si="21"/>
        <v>52</v>
      </c>
      <c r="BF24" s="77">
        <v>22</v>
      </c>
      <c r="BG24" s="94">
        <f t="shared" si="22"/>
        <v>74</v>
      </c>
      <c r="BH24" s="177"/>
      <c r="BI24" s="76">
        <f t="shared" si="23"/>
        <v>4</v>
      </c>
      <c r="BJ24" s="78">
        <v>0</v>
      </c>
      <c r="BK24" s="77">
        <v>32</v>
      </c>
      <c r="BL24" s="94">
        <f t="shared" si="24"/>
        <v>32</v>
      </c>
      <c r="BM24" s="94">
        <f t="shared" si="25"/>
        <v>32</v>
      </c>
      <c r="BN24" s="180"/>
      <c r="BO24" s="85">
        <f t="shared" si="2"/>
        <v>3.5</v>
      </c>
      <c r="BP24" s="85">
        <f t="shared" si="26"/>
        <v>37.5</v>
      </c>
      <c r="BQ24" s="86">
        <f t="shared" si="27"/>
        <v>4.6875</v>
      </c>
      <c r="BR24" s="86" t="str">
        <f t="shared" si="28"/>
        <v>A</v>
      </c>
      <c r="BS24" s="85" t="str">
        <f t="shared" si="3"/>
        <v>BETTER</v>
      </c>
      <c r="BT24" s="127">
        <f t="shared" si="29"/>
        <v>658</v>
      </c>
      <c r="BU24" s="85"/>
      <c r="BV24" s="88"/>
    </row>
    <row r="25" spans="1:74" ht="27.95" customHeight="1">
      <c r="A25" s="81">
        <v>18</v>
      </c>
      <c r="B25" s="82">
        <v>22</v>
      </c>
      <c r="C25" s="83" t="s">
        <v>147</v>
      </c>
      <c r="D25" s="83" t="s">
        <v>148</v>
      </c>
      <c r="E25" s="83" t="s">
        <v>80</v>
      </c>
      <c r="F25" s="84" t="s">
        <v>149</v>
      </c>
      <c r="G25" s="74">
        <v>14</v>
      </c>
      <c r="H25" s="76">
        <v>21</v>
      </c>
      <c r="I25" s="94">
        <f t="shared" si="30"/>
        <v>35</v>
      </c>
      <c r="J25" s="76">
        <v>19</v>
      </c>
      <c r="K25" s="94">
        <f t="shared" si="31"/>
        <v>54</v>
      </c>
      <c r="L25" s="74">
        <v>9</v>
      </c>
      <c r="M25" s="76">
        <v>24</v>
      </c>
      <c r="N25" s="94">
        <f t="shared" si="32"/>
        <v>33</v>
      </c>
      <c r="O25" s="94">
        <f t="shared" si="4"/>
        <v>33</v>
      </c>
      <c r="P25" s="94">
        <f t="shared" si="0"/>
        <v>87</v>
      </c>
      <c r="Q25" s="177"/>
      <c r="R25" s="76">
        <f t="shared" si="5"/>
        <v>3</v>
      </c>
      <c r="S25" s="74">
        <v>15</v>
      </c>
      <c r="T25" s="77">
        <v>54</v>
      </c>
      <c r="U25" s="93">
        <f t="shared" si="6"/>
        <v>69</v>
      </c>
      <c r="V25" s="74">
        <v>4</v>
      </c>
      <c r="W25" s="77">
        <v>28</v>
      </c>
      <c r="X25" s="94">
        <f t="shared" si="7"/>
        <v>32</v>
      </c>
      <c r="Y25" s="94">
        <f t="shared" si="8"/>
        <v>101</v>
      </c>
      <c r="Z25" s="94">
        <f t="shared" si="1"/>
        <v>101</v>
      </c>
      <c r="AA25" s="177"/>
      <c r="AB25" s="76">
        <f t="shared" si="9"/>
        <v>3.5</v>
      </c>
      <c r="AC25" s="74">
        <v>20</v>
      </c>
      <c r="AD25" s="77">
        <v>26</v>
      </c>
      <c r="AE25" s="93">
        <f t="shared" si="10"/>
        <v>46</v>
      </c>
      <c r="AF25" s="77">
        <v>15</v>
      </c>
      <c r="AG25" s="94">
        <f t="shared" si="11"/>
        <v>61</v>
      </c>
      <c r="AH25" s="177"/>
      <c r="AI25" s="76">
        <f t="shared" si="12"/>
        <v>3.5</v>
      </c>
      <c r="AJ25" s="74">
        <v>19</v>
      </c>
      <c r="AK25" s="77">
        <v>41</v>
      </c>
      <c r="AL25" s="93">
        <f t="shared" si="13"/>
        <v>60</v>
      </c>
      <c r="AM25" s="77">
        <v>19</v>
      </c>
      <c r="AN25" s="94">
        <f t="shared" si="14"/>
        <v>79</v>
      </c>
      <c r="AO25" s="177"/>
      <c r="AP25" s="76">
        <f t="shared" si="15"/>
        <v>4</v>
      </c>
      <c r="AQ25" s="77">
        <v>22</v>
      </c>
      <c r="AR25" s="77">
        <v>24</v>
      </c>
      <c r="AS25" s="76">
        <f t="shared" si="16"/>
        <v>46</v>
      </c>
      <c r="AT25" s="178"/>
      <c r="AU25" s="76">
        <f t="shared" si="17"/>
        <v>5</v>
      </c>
      <c r="AV25" s="74">
        <v>19</v>
      </c>
      <c r="AW25" s="77">
        <v>22</v>
      </c>
      <c r="AX25" s="93">
        <f t="shared" si="18"/>
        <v>41</v>
      </c>
      <c r="AY25" s="77">
        <v>23</v>
      </c>
      <c r="AZ25" s="94">
        <f t="shared" si="19"/>
        <v>64</v>
      </c>
      <c r="BA25" s="177"/>
      <c r="BB25" s="76">
        <f t="shared" si="20"/>
        <v>3.5</v>
      </c>
      <c r="BC25" s="74">
        <v>13</v>
      </c>
      <c r="BD25" s="77">
        <v>26</v>
      </c>
      <c r="BE25" s="93">
        <f t="shared" si="21"/>
        <v>39</v>
      </c>
      <c r="BF25" s="77">
        <v>13</v>
      </c>
      <c r="BG25" s="94">
        <f t="shared" si="22"/>
        <v>52</v>
      </c>
      <c r="BH25" s="177"/>
      <c r="BI25" s="76">
        <f t="shared" si="23"/>
        <v>3</v>
      </c>
      <c r="BJ25" s="74">
        <v>9</v>
      </c>
      <c r="BK25" s="77">
        <v>32</v>
      </c>
      <c r="BL25" s="94">
        <f t="shared" si="24"/>
        <v>41</v>
      </c>
      <c r="BM25" s="94">
        <f t="shared" si="25"/>
        <v>41</v>
      </c>
      <c r="BN25" s="180"/>
      <c r="BO25" s="85">
        <f t="shared" si="2"/>
        <v>5</v>
      </c>
      <c r="BP25" s="85">
        <f t="shared" si="26"/>
        <v>30.5</v>
      </c>
      <c r="BQ25" s="86">
        <f t="shared" si="27"/>
        <v>3.8125</v>
      </c>
      <c r="BR25" s="86" t="str">
        <f t="shared" si="28"/>
        <v>A-</v>
      </c>
      <c r="BS25" s="85" t="str">
        <f t="shared" si="3"/>
        <v>GOOD</v>
      </c>
      <c r="BT25" s="127">
        <f t="shared" si="29"/>
        <v>531</v>
      </c>
      <c r="BU25" s="85"/>
      <c r="BV25" s="88"/>
    </row>
    <row r="26" spans="1:74" ht="27.95" customHeight="1">
      <c r="A26" s="81">
        <v>19</v>
      </c>
      <c r="B26" s="82">
        <v>23</v>
      </c>
      <c r="C26" s="83" t="s">
        <v>150</v>
      </c>
      <c r="D26" s="83" t="s">
        <v>151</v>
      </c>
      <c r="E26" s="83" t="s">
        <v>81</v>
      </c>
      <c r="F26" s="84" t="s">
        <v>152</v>
      </c>
      <c r="G26" s="74">
        <v>20</v>
      </c>
      <c r="H26" s="76">
        <v>30</v>
      </c>
      <c r="I26" s="94">
        <f t="shared" si="30"/>
        <v>50</v>
      </c>
      <c r="J26" s="76">
        <v>21</v>
      </c>
      <c r="K26" s="94">
        <f t="shared" si="31"/>
        <v>71</v>
      </c>
      <c r="L26" s="74">
        <v>9</v>
      </c>
      <c r="M26" s="76">
        <v>26</v>
      </c>
      <c r="N26" s="94">
        <f t="shared" si="32"/>
        <v>35</v>
      </c>
      <c r="O26" s="94">
        <f t="shared" si="4"/>
        <v>35</v>
      </c>
      <c r="P26" s="94">
        <f t="shared" si="0"/>
        <v>106</v>
      </c>
      <c r="Q26" s="177"/>
      <c r="R26" s="76">
        <f t="shared" si="5"/>
        <v>4</v>
      </c>
      <c r="S26" s="74">
        <v>16</v>
      </c>
      <c r="T26" s="77">
        <v>59</v>
      </c>
      <c r="U26" s="93">
        <f t="shared" si="6"/>
        <v>75</v>
      </c>
      <c r="V26" s="74">
        <v>6</v>
      </c>
      <c r="W26" s="77">
        <v>34</v>
      </c>
      <c r="X26" s="94">
        <f t="shared" si="7"/>
        <v>40</v>
      </c>
      <c r="Y26" s="94">
        <f t="shared" si="8"/>
        <v>115</v>
      </c>
      <c r="Z26" s="94">
        <f t="shared" si="1"/>
        <v>115</v>
      </c>
      <c r="AA26" s="177"/>
      <c r="AB26" s="76">
        <f t="shared" si="9"/>
        <v>4</v>
      </c>
      <c r="AC26" s="74">
        <v>19</v>
      </c>
      <c r="AD26" s="77">
        <v>31</v>
      </c>
      <c r="AE26" s="93">
        <f t="shared" si="10"/>
        <v>50</v>
      </c>
      <c r="AF26" s="77">
        <v>25</v>
      </c>
      <c r="AG26" s="94">
        <f t="shared" si="11"/>
        <v>75</v>
      </c>
      <c r="AH26" s="177"/>
      <c r="AI26" s="76">
        <f t="shared" si="12"/>
        <v>4</v>
      </c>
      <c r="AJ26" s="74">
        <v>20</v>
      </c>
      <c r="AK26" s="77">
        <v>45</v>
      </c>
      <c r="AL26" s="93">
        <f t="shared" si="13"/>
        <v>65</v>
      </c>
      <c r="AM26" s="77">
        <v>23</v>
      </c>
      <c r="AN26" s="94">
        <f t="shared" si="14"/>
        <v>88</v>
      </c>
      <c r="AO26" s="177"/>
      <c r="AP26" s="76">
        <f t="shared" si="15"/>
        <v>5</v>
      </c>
      <c r="AQ26" s="77">
        <v>22</v>
      </c>
      <c r="AR26" s="77">
        <v>24</v>
      </c>
      <c r="AS26" s="76">
        <f t="shared" si="16"/>
        <v>46</v>
      </c>
      <c r="AT26" s="178"/>
      <c r="AU26" s="76">
        <f t="shared" si="17"/>
        <v>5</v>
      </c>
      <c r="AV26" s="74">
        <v>20</v>
      </c>
      <c r="AW26" s="77">
        <v>49</v>
      </c>
      <c r="AX26" s="93">
        <f t="shared" si="18"/>
        <v>69</v>
      </c>
      <c r="AY26" s="77">
        <v>24</v>
      </c>
      <c r="AZ26" s="94">
        <f t="shared" si="19"/>
        <v>93</v>
      </c>
      <c r="BA26" s="177"/>
      <c r="BB26" s="76">
        <f t="shared" si="20"/>
        <v>5</v>
      </c>
      <c r="BC26" s="74">
        <v>17</v>
      </c>
      <c r="BD26" s="77">
        <v>38</v>
      </c>
      <c r="BE26" s="93">
        <f t="shared" si="21"/>
        <v>55</v>
      </c>
      <c r="BF26" s="77">
        <v>20</v>
      </c>
      <c r="BG26" s="94">
        <f t="shared" si="22"/>
        <v>75</v>
      </c>
      <c r="BH26" s="177"/>
      <c r="BI26" s="76">
        <f t="shared" si="23"/>
        <v>4</v>
      </c>
      <c r="BJ26" s="74">
        <v>9</v>
      </c>
      <c r="BK26" s="77">
        <v>32</v>
      </c>
      <c r="BL26" s="94">
        <f t="shared" si="24"/>
        <v>41</v>
      </c>
      <c r="BM26" s="94">
        <f t="shared" si="25"/>
        <v>41</v>
      </c>
      <c r="BN26" s="180"/>
      <c r="BO26" s="85">
        <f t="shared" si="2"/>
        <v>5</v>
      </c>
      <c r="BP26" s="85">
        <f t="shared" si="26"/>
        <v>36</v>
      </c>
      <c r="BQ26" s="86">
        <f t="shared" si="27"/>
        <v>4.5</v>
      </c>
      <c r="BR26" s="86" t="str">
        <f t="shared" si="28"/>
        <v>A</v>
      </c>
      <c r="BS26" s="85" t="str">
        <f t="shared" si="3"/>
        <v>BETTER</v>
      </c>
      <c r="BT26" s="127">
        <f t="shared" si="29"/>
        <v>639</v>
      </c>
      <c r="BU26" s="85"/>
      <c r="BV26" s="88"/>
    </row>
    <row r="27" spans="1:74" ht="27.95" customHeight="1">
      <c r="A27" s="81">
        <v>20</v>
      </c>
      <c r="B27" s="82">
        <v>24</v>
      </c>
      <c r="C27" s="83" t="s">
        <v>153</v>
      </c>
      <c r="D27" s="83" t="s">
        <v>154</v>
      </c>
      <c r="E27" s="83" t="s">
        <v>155</v>
      </c>
      <c r="F27" s="84" t="s">
        <v>156</v>
      </c>
      <c r="G27" s="74">
        <v>17</v>
      </c>
      <c r="H27" s="76">
        <v>26</v>
      </c>
      <c r="I27" s="94">
        <f t="shared" si="30"/>
        <v>43</v>
      </c>
      <c r="J27" s="76">
        <v>22</v>
      </c>
      <c r="K27" s="94">
        <f t="shared" si="31"/>
        <v>65</v>
      </c>
      <c r="L27" s="74">
        <v>8</v>
      </c>
      <c r="M27" s="76">
        <v>27</v>
      </c>
      <c r="N27" s="94">
        <f t="shared" si="32"/>
        <v>35</v>
      </c>
      <c r="O27" s="94">
        <f t="shared" si="4"/>
        <v>35</v>
      </c>
      <c r="P27" s="94">
        <f t="shared" si="0"/>
        <v>100</v>
      </c>
      <c r="Q27" s="177"/>
      <c r="R27" s="76">
        <f t="shared" si="5"/>
        <v>3.5</v>
      </c>
      <c r="S27" s="74">
        <v>18</v>
      </c>
      <c r="T27" s="77">
        <v>65</v>
      </c>
      <c r="U27" s="93">
        <f t="shared" si="6"/>
        <v>83</v>
      </c>
      <c r="V27" s="74">
        <v>5</v>
      </c>
      <c r="W27" s="77">
        <v>32</v>
      </c>
      <c r="X27" s="94">
        <f t="shared" si="7"/>
        <v>37</v>
      </c>
      <c r="Y27" s="94">
        <f t="shared" si="8"/>
        <v>120</v>
      </c>
      <c r="Z27" s="94">
        <f t="shared" si="1"/>
        <v>120</v>
      </c>
      <c r="AA27" s="177"/>
      <c r="AB27" s="76">
        <f t="shared" si="9"/>
        <v>5</v>
      </c>
      <c r="AC27" s="74">
        <v>17</v>
      </c>
      <c r="AD27" s="77">
        <v>23</v>
      </c>
      <c r="AE27" s="93">
        <f t="shared" si="10"/>
        <v>40</v>
      </c>
      <c r="AF27" s="77">
        <v>21</v>
      </c>
      <c r="AG27" s="94">
        <f t="shared" si="11"/>
        <v>61</v>
      </c>
      <c r="AH27" s="177"/>
      <c r="AI27" s="76">
        <f t="shared" si="12"/>
        <v>3.5</v>
      </c>
      <c r="AJ27" s="74">
        <v>19</v>
      </c>
      <c r="AK27" s="77">
        <v>37</v>
      </c>
      <c r="AL27" s="93">
        <f t="shared" si="13"/>
        <v>56</v>
      </c>
      <c r="AM27" s="77">
        <v>20</v>
      </c>
      <c r="AN27" s="94">
        <f t="shared" si="14"/>
        <v>76</v>
      </c>
      <c r="AO27" s="177"/>
      <c r="AP27" s="76">
        <f t="shared" si="15"/>
        <v>4</v>
      </c>
      <c r="AQ27" s="77">
        <v>22</v>
      </c>
      <c r="AR27" s="77">
        <v>24</v>
      </c>
      <c r="AS27" s="76">
        <f t="shared" si="16"/>
        <v>46</v>
      </c>
      <c r="AT27" s="178"/>
      <c r="AU27" s="76">
        <f t="shared" si="17"/>
        <v>5</v>
      </c>
      <c r="AV27" s="74">
        <v>19</v>
      </c>
      <c r="AW27" s="77">
        <v>42</v>
      </c>
      <c r="AX27" s="93">
        <f t="shared" si="18"/>
        <v>61</v>
      </c>
      <c r="AY27" s="77">
        <v>24</v>
      </c>
      <c r="AZ27" s="94">
        <f t="shared" si="19"/>
        <v>85</v>
      </c>
      <c r="BA27" s="177"/>
      <c r="BB27" s="76">
        <f t="shared" si="20"/>
        <v>5</v>
      </c>
      <c r="BC27" s="74">
        <v>15</v>
      </c>
      <c r="BD27" s="77">
        <v>31</v>
      </c>
      <c r="BE27" s="93">
        <f t="shared" si="21"/>
        <v>46</v>
      </c>
      <c r="BF27" s="77">
        <v>19</v>
      </c>
      <c r="BG27" s="94">
        <f t="shared" si="22"/>
        <v>65</v>
      </c>
      <c r="BH27" s="177"/>
      <c r="BI27" s="76">
        <f t="shared" si="23"/>
        <v>3.5</v>
      </c>
      <c r="BJ27" s="74">
        <v>10</v>
      </c>
      <c r="BK27" s="77">
        <v>32</v>
      </c>
      <c r="BL27" s="94">
        <f t="shared" si="24"/>
        <v>42</v>
      </c>
      <c r="BM27" s="94">
        <f t="shared" si="25"/>
        <v>42</v>
      </c>
      <c r="BN27" s="180"/>
      <c r="BO27" s="85">
        <f t="shared" si="2"/>
        <v>5</v>
      </c>
      <c r="BP27" s="85">
        <f t="shared" si="26"/>
        <v>34.5</v>
      </c>
      <c r="BQ27" s="86">
        <f t="shared" si="27"/>
        <v>4.3125</v>
      </c>
      <c r="BR27" s="86" t="str">
        <f t="shared" si="28"/>
        <v>A</v>
      </c>
      <c r="BS27" s="85" t="str">
        <f t="shared" si="3"/>
        <v>BETTER</v>
      </c>
      <c r="BT27" s="127">
        <f t="shared" si="29"/>
        <v>595</v>
      </c>
      <c r="BU27" s="85"/>
      <c r="BV27" s="88"/>
    </row>
    <row r="28" spans="1:74" ht="27.95" customHeight="1">
      <c r="A28" s="81">
        <v>21</v>
      </c>
      <c r="B28" s="82">
        <v>25</v>
      </c>
      <c r="C28" s="89" t="s">
        <v>157</v>
      </c>
      <c r="D28" s="83" t="s">
        <v>158</v>
      </c>
      <c r="E28" s="83" t="s">
        <v>159</v>
      </c>
      <c r="F28" s="84" t="s">
        <v>160</v>
      </c>
      <c r="G28" s="74">
        <v>13</v>
      </c>
      <c r="H28" s="76">
        <v>26</v>
      </c>
      <c r="I28" s="94">
        <f t="shared" si="30"/>
        <v>39</v>
      </c>
      <c r="J28" s="76">
        <v>16</v>
      </c>
      <c r="K28" s="94">
        <f t="shared" si="31"/>
        <v>55</v>
      </c>
      <c r="L28" s="74">
        <v>8</v>
      </c>
      <c r="M28" s="76">
        <v>23</v>
      </c>
      <c r="N28" s="94">
        <f t="shared" si="32"/>
        <v>31</v>
      </c>
      <c r="O28" s="94">
        <f t="shared" si="4"/>
        <v>31</v>
      </c>
      <c r="P28" s="94">
        <f t="shared" si="0"/>
        <v>86</v>
      </c>
      <c r="Q28" s="177"/>
      <c r="R28" s="76">
        <f t="shared" si="5"/>
        <v>3</v>
      </c>
      <c r="S28" s="74">
        <v>15</v>
      </c>
      <c r="T28" s="77">
        <v>47</v>
      </c>
      <c r="U28" s="93">
        <f t="shared" si="6"/>
        <v>62</v>
      </c>
      <c r="V28" s="74">
        <v>3</v>
      </c>
      <c r="W28" s="77">
        <v>21</v>
      </c>
      <c r="X28" s="94">
        <f t="shared" si="7"/>
        <v>24</v>
      </c>
      <c r="Y28" s="94">
        <f t="shared" si="8"/>
        <v>86</v>
      </c>
      <c r="Z28" s="94">
        <f t="shared" si="1"/>
        <v>86</v>
      </c>
      <c r="AA28" s="177"/>
      <c r="AB28" s="76">
        <f t="shared" si="9"/>
        <v>3</v>
      </c>
      <c r="AC28" s="74">
        <v>12</v>
      </c>
      <c r="AD28" s="77">
        <v>16</v>
      </c>
      <c r="AE28" s="93">
        <f t="shared" si="10"/>
        <v>28</v>
      </c>
      <c r="AF28" s="77">
        <v>17</v>
      </c>
      <c r="AG28" s="94">
        <f t="shared" si="11"/>
        <v>45</v>
      </c>
      <c r="AH28" s="177"/>
      <c r="AI28" s="76">
        <f t="shared" si="12"/>
        <v>2</v>
      </c>
      <c r="AJ28" s="74">
        <v>14</v>
      </c>
      <c r="AK28" s="77">
        <v>41</v>
      </c>
      <c r="AL28" s="93">
        <f t="shared" si="13"/>
        <v>55</v>
      </c>
      <c r="AM28" s="77">
        <v>19</v>
      </c>
      <c r="AN28" s="94">
        <f t="shared" si="14"/>
        <v>74</v>
      </c>
      <c r="AO28" s="177"/>
      <c r="AP28" s="76">
        <f t="shared" si="15"/>
        <v>4</v>
      </c>
      <c r="AQ28" s="77">
        <v>22</v>
      </c>
      <c r="AR28" s="77">
        <v>24</v>
      </c>
      <c r="AS28" s="76">
        <f t="shared" si="16"/>
        <v>46</v>
      </c>
      <c r="AT28" s="178"/>
      <c r="AU28" s="76">
        <f t="shared" si="17"/>
        <v>5</v>
      </c>
      <c r="AV28" s="74">
        <v>19</v>
      </c>
      <c r="AW28" s="77">
        <v>36</v>
      </c>
      <c r="AX28" s="93">
        <f t="shared" si="18"/>
        <v>55</v>
      </c>
      <c r="AY28" s="77">
        <v>19</v>
      </c>
      <c r="AZ28" s="94">
        <f t="shared" si="19"/>
        <v>74</v>
      </c>
      <c r="BA28" s="177"/>
      <c r="BB28" s="76">
        <f t="shared" si="20"/>
        <v>4</v>
      </c>
      <c r="BC28" s="74">
        <v>11</v>
      </c>
      <c r="BD28" s="77">
        <v>29</v>
      </c>
      <c r="BE28" s="93">
        <f t="shared" si="21"/>
        <v>40</v>
      </c>
      <c r="BF28" s="77">
        <v>17</v>
      </c>
      <c r="BG28" s="94">
        <f t="shared" si="22"/>
        <v>57</v>
      </c>
      <c r="BH28" s="177"/>
      <c r="BI28" s="76">
        <f t="shared" si="23"/>
        <v>3</v>
      </c>
      <c r="BJ28" s="74">
        <v>9</v>
      </c>
      <c r="BK28" s="77">
        <v>32</v>
      </c>
      <c r="BL28" s="94">
        <f t="shared" si="24"/>
        <v>41</v>
      </c>
      <c r="BM28" s="94">
        <f t="shared" si="25"/>
        <v>41</v>
      </c>
      <c r="BN28" s="180"/>
      <c r="BO28" s="85">
        <f t="shared" si="2"/>
        <v>5</v>
      </c>
      <c r="BP28" s="85">
        <f t="shared" si="26"/>
        <v>29</v>
      </c>
      <c r="BQ28" s="86">
        <f t="shared" si="27"/>
        <v>3.625</v>
      </c>
      <c r="BR28" s="86" t="str">
        <f t="shared" si="28"/>
        <v>A-</v>
      </c>
      <c r="BS28" s="85" t="str">
        <f t="shared" si="3"/>
        <v>GOOD</v>
      </c>
      <c r="BT28" s="127">
        <f t="shared" si="29"/>
        <v>509</v>
      </c>
      <c r="BU28" s="85"/>
      <c r="BV28" s="88"/>
    </row>
    <row r="29" spans="1:74" ht="27.95" customHeight="1">
      <c r="A29" s="81">
        <v>22</v>
      </c>
      <c r="B29" s="82">
        <v>28</v>
      </c>
      <c r="C29" s="83" t="s">
        <v>161</v>
      </c>
      <c r="D29" s="83" t="s">
        <v>162</v>
      </c>
      <c r="E29" s="83" t="s">
        <v>163</v>
      </c>
      <c r="F29" s="84" t="s">
        <v>164</v>
      </c>
      <c r="G29" s="74">
        <v>15</v>
      </c>
      <c r="H29" s="76">
        <v>29</v>
      </c>
      <c r="I29" s="94">
        <f t="shared" si="30"/>
        <v>44</v>
      </c>
      <c r="J29" s="76">
        <v>26</v>
      </c>
      <c r="K29" s="94">
        <f t="shared" si="31"/>
        <v>70</v>
      </c>
      <c r="L29" s="74">
        <v>8</v>
      </c>
      <c r="M29" s="76">
        <v>29</v>
      </c>
      <c r="N29" s="94">
        <f t="shared" si="32"/>
        <v>37</v>
      </c>
      <c r="O29" s="94">
        <f t="shared" si="4"/>
        <v>37</v>
      </c>
      <c r="P29" s="94">
        <f t="shared" si="0"/>
        <v>107</v>
      </c>
      <c r="Q29" s="177"/>
      <c r="R29" s="76">
        <f t="shared" si="5"/>
        <v>4</v>
      </c>
      <c r="S29" s="74">
        <v>15</v>
      </c>
      <c r="T29" s="77">
        <v>58</v>
      </c>
      <c r="U29" s="93">
        <f t="shared" si="6"/>
        <v>73</v>
      </c>
      <c r="V29" s="74">
        <v>4</v>
      </c>
      <c r="W29" s="77">
        <v>28</v>
      </c>
      <c r="X29" s="94">
        <f t="shared" si="7"/>
        <v>32</v>
      </c>
      <c r="Y29" s="94">
        <f t="shared" si="8"/>
        <v>105</v>
      </c>
      <c r="Z29" s="94">
        <f t="shared" si="1"/>
        <v>105</v>
      </c>
      <c r="AA29" s="177"/>
      <c r="AB29" s="76">
        <f t="shared" si="9"/>
        <v>4</v>
      </c>
      <c r="AC29" s="74">
        <v>18</v>
      </c>
      <c r="AD29" s="77">
        <v>28</v>
      </c>
      <c r="AE29" s="93">
        <f t="shared" si="10"/>
        <v>46</v>
      </c>
      <c r="AF29" s="77">
        <v>20</v>
      </c>
      <c r="AG29" s="94">
        <f t="shared" si="11"/>
        <v>66</v>
      </c>
      <c r="AH29" s="177"/>
      <c r="AI29" s="76">
        <f t="shared" si="12"/>
        <v>3.5</v>
      </c>
      <c r="AJ29" s="74">
        <v>19</v>
      </c>
      <c r="AK29" s="77">
        <v>45</v>
      </c>
      <c r="AL29" s="93">
        <f t="shared" si="13"/>
        <v>64</v>
      </c>
      <c r="AM29" s="77">
        <v>27</v>
      </c>
      <c r="AN29" s="94">
        <f t="shared" si="14"/>
        <v>91</v>
      </c>
      <c r="AO29" s="177"/>
      <c r="AP29" s="76">
        <f t="shared" si="15"/>
        <v>5</v>
      </c>
      <c r="AQ29" s="77">
        <v>22</v>
      </c>
      <c r="AR29" s="77">
        <v>24</v>
      </c>
      <c r="AS29" s="76">
        <f t="shared" si="16"/>
        <v>46</v>
      </c>
      <c r="AT29" s="178"/>
      <c r="AU29" s="76">
        <f t="shared" si="17"/>
        <v>5</v>
      </c>
      <c r="AV29" s="74">
        <v>20</v>
      </c>
      <c r="AW29" s="77">
        <v>49</v>
      </c>
      <c r="AX29" s="93">
        <f t="shared" si="18"/>
        <v>69</v>
      </c>
      <c r="AY29" s="77">
        <v>26</v>
      </c>
      <c r="AZ29" s="94">
        <f t="shared" si="19"/>
        <v>95</v>
      </c>
      <c r="BA29" s="177"/>
      <c r="BB29" s="76">
        <f t="shared" si="20"/>
        <v>5</v>
      </c>
      <c r="BC29" s="74">
        <v>10</v>
      </c>
      <c r="BD29" s="77">
        <v>38</v>
      </c>
      <c r="BE29" s="93">
        <f t="shared" si="21"/>
        <v>48</v>
      </c>
      <c r="BF29" s="77">
        <v>20</v>
      </c>
      <c r="BG29" s="94">
        <f t="shared" si="22"/>
        <v>68</v>
      </c>
      <c r="BH29" s="177"/>
      <c r="BI29" s="76">
        <f t="shared" si="23"/>
        <v>3.5</v>
      </c>
      <c r="BJ29" s="74">
        <v>9</v>
      </c>
      <c r="BK29" s="77">
        <v>32</v>
      </c>
      <c r="BL29" s="94">
        <f t="shared" si="24"/>
        <v>41</v>
      </c>
      <c r="BM29" s="94">
        <f t="shared" si="25"/>
        <v>41</v>
      </c>
      <c r="BN29" s="180"/>
      <c r="BO29" s="85">
        <f t="shared" si="2"/>
        <v>5</v>
      </c>
      <c r="BP29" s="85">
        <f t="shared" si="26"/>
        <v>35</v>
      </c>
      <c r="BQ29" s="86">
        <f t="shared" si="27"/>
        <v>4.375</v>
      </c>
      <c r="BR29" s="86" t="str">
        <f t="shared" si="28"/>
        <v>A</v>
      </c>
      <c r="BS29" s="85" t="str">
        <f t="shared" si="3"/>
        <v>BETTER</v>
      </c>
      <c r="BT29" s="127">
        <f t="shared" si="29"/>
        <v>619</v>
      </c>
      <c r="BU29" s="85"/>
      <c r="BV29" s="88"/>
    </row>
    <row r="30" spans="1:74" ht="27.95" customHeight="1">
      <c r="A30" s="81">
        <v>23</v>
      </c>
      <c r="B30" s="82">
        <v>29</v>
      </c>
      <c r="C30" s="83" t="s">
        <v>165</v>
      </c>
      <c r="D30" s="83" t="s">
        <v>166</v>
      </c>
      <c r="E30" s="83" t="s">
        <v>167</v>
      </c>
      <c r="F30" s="84" t="s">
        <v>168</v>
      </c>
      <c r="G30" s="74">
        <v>17</v>
      </c>
      <c r="H30" s="76">
        <v>21</v>
      </c>
      <c r="I30" s="94">
        <f t="shared" si="30"/>
        <v>38</v>
      </c>
      <c r="J30" s="76">
        <v>21</v>
      </c>
      <c r="K30" s="94">
        <f t="shared" si="31"/>
        <v>59</v>
      </c>
      <c r="L30" s="74">
        <v>9</v>
      </c>
      <c r="M30" s="76">
        <v>22</v>
      </c>
      <c r="N30" s="94">
        <f t="shared" si="32"/>
        <v>31</v>
      </c>
      <c r="O30" s="94">
        <f t="shared" si="4"/>
        <v>31</v>
      </c>
      <c r="P30" s="94">
        <f t="shared" si="0"/>
        <v>90</v>
      </c>
      <c r="Q30" s="177"/>
      <c r="R30" s="76">
        <f t="shared" si="5"/>
        <v>3.5</v>
      </c>
      <c r="S30" s="74">
        <v>18</v>
      </c>
      <c r="T30" s="77">
        <v>54</v>
      </c>
      <c r="U30" s="93">
        <f t="shared" si="6"/>
        <v>72</v>
      </c>
      <c r="V30" s="74">
        <v>4</v>
      </c>
      <c r="W30" s="77">
        <v>30</v>
      </c>
      <c r="X30" s="94">
        <f t="shared" si="7"/>
        <v>34</v>
      </c>
      <c r="Y30" s="94">
        <f t="shared" si="8"/>
        <v>106</v>
      </c>
      <c r="Z30" s="94">
        <f t="shared" si="1"/>
        <v>106</v>
      </c>
      <c r="AA30" s="177"/>
      <c r="AB30" s="76">
        <f t="shared" si="9"/>
        <v>4</v>
      </c>
      <c r="AC30" s="74">
        <v>10</v>
      </c>
      <c r="AD30" s="77">
        <v>29</v>
      </c>
      <c r="AE30" s="93">
        <f t="shared" si="10"/>
        <v>39</v>
      </c>
      <c r="AF30" s="77">
        <v>19</v>
      </c>
      <c r="AG30" s="94">
        <f t="shared" si="11"/>
        <v>58</v>
      </c>
      <c r="AH30" s="177"/>
      <c r="AI30" s="76">
        <f t="shared" si="12"/>
        <v>3</v>
      </c>
      <c r="AJ30" s="74">
        <v>17</v>
      </c>
      <c r="AK30" s="77">
        <v>40</v>
      </c>
      <c r="AL30" s="93">
        <f t="shared" si="13"/>
        <v>57</v>
      </c>
      <c r="AM30" s="77">
        <v>26</v>
      </c>
      <c r="AN30" s="94">
        <f t="shared" si="14"/>
        <v>83</v>
      </c>
      <c r="AO30" s="177"/>
      <c r="AP30" s="76">
        <f t="shared" si="15"/>
        <v>5</v>
      </c>
      <c r="AQ30" s="77">
        <v>22</v>
      </c>
      <c r="AR30" s="77">
        <v>24</v>
      </c>
      <c r="AS30" s="76">
        <f t="shared" si="16"/>
        <v>46</v>
      </c>
      <c r="AT30" s="178"/>
      <c r="AU30" s="76">
        <f t="shared" si="17"/>
        <v>5</v>
      </c>
      <c r="AV30" s="74">
        <v>19</v>
      </c>
      <c r="AW30" s="77">
        <v>31</v>
      </c>
      <c r="AX30" s="93">
        <f t="shared" si="18"/>
        <v>50</v>
      </c>
      <c r="AY30" s="77">
        <v>22</v>
      </c>
      <c r="AZ30" s="94">
        <f t="shared" si="19"/>
        <v>72</v>
      </c>
      <c r="BA30" s="177"/>
      <c r="BB30" s="76">
        <f t="shared" si="20"/>
        <v>4</v>
      </c>
      <c r="BC30" s="74">
        <v>10</v>
      </c>
      <c r="BD30" s="77">
        <v>27</v>
      </c>
      <c r="BE30" s="93">
        <f t="shared" si="21"/>
        <v>37</v>
      </c>
      <c r="BF30" s="77">
        <v>20</v>
      </c>
      <c r="BG30" s="94">
        <f t="shared" si="22"/>
        <v>57</v>
      </c>
      <c r="BH30" s="177"/>
      <c r="BI30" s="76">
        <f t="shared" si="23"/>
        <v>3</v>
      </c>
      <c r="BJ30" s="74">
        <v>9</v>
      </c>
      <c r="BK30" s="77">
        <v>32</v>
      </c>
      <c r="BL30" s="94">
        <f t="shared" si="24"/>
        <v>41</v>
      </c>
      <c r="BM30" s="94">
        <f t="shared" si="25"/>
        <v>41</v>
      </c>
      <c r="BN30" s="180"/>
      <c r="BO30" s="85">
        <f t="shared" si="2"/>
        <v>5</v>
      </c>
      <c r="BP30" s="85">
        <f t="shared" si="26"/>
        <v>32.5</v>
      </c>
      <c r="BQ30" s="86">
        <f t="shared" si="27"/>
        <v>4.0625</v>
      </c>
      <c r="BR30" s="86" t="str">
        <f t="shared" si="28"/>
        <v>A</v>
      </c>
      <c r="BS30" s="85" t="str">
        <f t="shared" si="3"/>
        <v>BETTER</v>
      </c>
      <c r="BT30" s="127">
        <f t="shared" si="29"/>
        <v>553</v>
      </c>
      <c r="BU30" s="85"/>
      <c r="BV30" s="88"/>
    </row>
    <row r="31" spans="1:74" ht="27.95" customHeight="1">
      <c r="A31" s="81">
        <v>24</v>
      </c>
      <c r="B31" s="82">
        <v>63</v>
      </c>
      <c r="C31" s="83" t="s">
        <v>169</v>
      </c>
      <c r="D31" s="83" t="s">
        <v>170</v>
      </c>
      <c r="E31" s="83" t="s">
        <v>171</v>
      </c>
      <c r="F31" s="84" t="s">
        <v>172</v>
      </c>
      <c r="G31" s="74">
        <v>16</v>
      </c>
      <c r="H31" s="76">
        <v>32</v>
      </c>
      <c r="I31" s="94">
        <f t="shared" si="30"/>
        <v>48</v>
      </c>
      <c r="J31" s="76">
        <v>24</v>
      </c>
      <c r="K31" s="94">
        <f t="shared" si="31"/>
        <v>72</v>
      </c>
      <c r="L31" s="74">
        <v>9</v>
      </c>
      <c r="M31" s="76">
        <v>31</v>
      </c>
      <c r="N31" s="94">
        <f t="shared" si="32"/>
        <v>40</v>
      </c>
      <c r="O31" s="94">
        <f t="shared" si="4"/>
        <v>40</v>
      </c>
      <c r="P31" s="94">
        <f t="shared" si="0"/>
        <v>112</v>
      </c>
      <c r="Q31" s="177"/>
      <c r="R31" s="76">
        <f t="shared" si="5"/>
        <v>4</v>
      </c>
      <c r="S31" s="74">
        <v>15</v>
      </c>
      <c r="T31" s="77">
        <v>60</v>
      </c>
      <c r="U31" s="93">
        <f t="shared" si="6"/>
        <v>75</v>
      </c>
      <c r="V31" s="74">
        <v>7</v>
      </c>
      <c r="W31" s="77">
        <v>36</v>
      </c>
      <c r="X31" s="94">
        <f t="shared" si="7"/>
        <v>43</v>
      </c>
      <c r="Y31" s="94">
        <f t="shared" si="8"/>
        <v>118</v>
      </c>
      <c r="Z31" s="94">
        <f t="shared" si="1"/>
        <v>118</v>
      </c>
      <c r="AA31" s="177"/>
      <c r="AB31" s="76">
        <f t="shared" si="9"/>
        <v>4</v>
      </c>
      <c r="AC31" s="74">
        <v>19</v>
      </c>
      <c r="AD31" s="77">
        <v>41</v>
      </c>
      <c r="AE31" s="93">
        <f t="shared" si="10"/>
        <v>60</v>
      </c>
      <c r="AF31" s="77">
        <v>25</v>
      </c>
      <c r="AG31" s="94">
        <f t="shared" si="11"/>
        <v>85</v>
      </c>
      <c r="AH31" s="177"/>
      <c r="AI31" s="76">
        <f t="shared" si="12"/>
        <v>5</v>
      </c>
      <c r="AJ31" s="74">
        <v>19</v>
      </c>
      <c r="AK31" s="77">
        <v>43</v>
      </c>
      <c r="AL31" s="93">
        <f t="shared" si="13"/>
        <v>62</v>
      </c>
      <c r="AM31" s="77">
        <v>27</v>
      </c>
      <c r="AN31" s="94">
        <f t="shared" si="14"/>
        <v>89</v>
      </c>
      <c r="AO31" s="177"/>
      <c r="AP31" s="76">
        <f t="shared" si="15"/>
        <v>5</v>
      </c>
      <c r="AQ31" s="77">
        <v>22</v>
      </c>
      <c r="AR31" s="77">
        <v>24</v>
      </c>
      <c r="AS31" s="76">
        <f t="shared" si="16"/>
        <v>46</v>
      </c>
      <c r="AT31" s="178"/>
      <c r="AU31" s="76">
        <f t="shared" si="17"/>
        <v>5</v>
      </c>
      <c r="AV31" s="74">
        <v>20</v>
      </c>
      <c r="AW31" s="77">
        <v>48</v>
      </c>
      <c r="AX31" s="93">
        <f t="shared" si="18"/>
        <v>68</v>
      </c>
      <c r="AY31" s="77">
        <v>26</v>
      </c>
      <c r="AZ31" s="94">
        <f t="shared" si="19"/>
        <v>94</v>
      </c>
      <c r="BA31" s="177"/>
      <c r="BB31" s="76">
        <f t="shared" si="20"/>
        <v>5</v>
      </c>
      <c r="BC31" s="74">
        <v>15</v>
      </c>
      <c r="BD31" s="77">
        <v>39</v>
      </c>
      <c r="BE31" s="93">
        <f t="shared" si="21"/>
        <v>54</v>
      </c>
      <c r="BF31" s="77">
        <v>22</v>
      </c>
      <c r="BG31" s="94">
        <f t="shared" si="22"/>
        <v>76</v>
      </c>
      <c r="BH31" s="177"/>
      <c r="BI31" s="76">
        <f t="shared" si="23"/>
        <v>4</v>
      </c>
      <c r="BJ31" s="74">
        <v>9</v>
      </c>
      <c r="BK31" s="77">
        <v>32</v>
      </c>
      <c r="BL31" s="94">
        <f t="shared" si="24"/>
        <v>41</v>
      </c>
      <c r="BM31" s="94">
        <f t="shared" si="25"/>
        <v>41</v>
      </c>
      <c r="BN31" s="180"/>
      <c r="BO31" s="85">
        <f t="shared" si="2"/>
        <v>5</v>
      </c>
      <c r="BP31" s="85">
        <f t="shared" si="26"/>
        <v>37</v>
      </c>
      <c r="BQ31" s="86">
        <f t="shared" si="27"/>
        <v>4.625</v>
      </c>
      <c r="BR31" s="86" t="str">
        <f t="shared" si="28"/>
        <v>A</v>
      </c>
      <c r="BS31" s="85" t="str">
        <f t="shared" si="3"/>
        <v>BETTER</v>
      </c>
      <c r="BT31" s="127">
        <f t="shared" si="29"/>
        <v>661</v>
      </c>
      <c r="BU31" s="85"/>
      <c r="BV31" s="88"/>
    </row>
    <row r="32" spans="1:74" ht="27.95" customHeight="1">
      <c r="A32" s="81">
        <v>25</v>
      </c>
      <c r="B32" s="82">
        <v>65</v>
      </c>
      <c r="C32" s="89" t="s">
        <v>173</v>
      </c>
      <c r="D32" s="83" t="s">
        <v>174</v>
      </c>
      <c r="E32" s="83" t="s">
        <v>175</v>
      </c>
      <c r="F32" s="84" t="s">
        <v>176</v>
      </c>
      <c r="G32" s="74">
        <v>15</v>
      </c>
      <c r="H32" s="76">
        <v>23</v>
      </c>
      <c r="I32" s="94">
        <f t="shared" si="30"/>
        <v>38</v>
      </c>
      <c r="J32" s="76">
        <v>26</v>
      </c>
      <c r="K32" s="94">
        <f t="shared" si="31"/>
        <v>64</v>
      </c>
      <c r="L32" s="74">
        <v>7</v>
      </c>
      <c r="M32" s="76">
        <v>32</v>
      </c>
      <c r="N32" s="94">
        <f t="shared" si="32"/>
        <v>39</v>
      </c>
      <c r="O32" s="94">
        <f t="shared" si="4"/>
        <v>39</v>
      </c>
      <c r="P32" s="94">
        <f t="shared" si="0"/>
        <v>103</v>
      </c>
      <c r="Q32" s="177"/>
      <c r="R32" s="76">
        <f t="shared" si="5"/>
        <v>3.5</v>
      </c>
      <c r="S32" s="74">
        <v>15</v>
      </c>
      <c r="T32" s="77">
        <v>61</v>
      </c>
      <c r="U32" s="93">
        <f t="shared" si="6"/>
        <v>76</v>
      </c>
      <c r="V32" s="74">
        <v>5</v>
      </c>
      <c r="W32" s="77">
        <v>34</v>
      </c>
      <c r="X32" s="94">
        <f t="shared" si="7"/>
        <v>39</v>
      </c>
      <c r="Y32" s="94">
        <f t="shared" si="8"/>
        <v>115</v>
      </c>
      <c r="Z32" s="94">
        <f t="shared" si="1"/>
        <v>115</v>
      </c>
      <c r="AA32" s="177"/>
      <c r="AB32" s="76">
        <f t="shared" si="9"/>
        <v>4</v>
      </c>
      <c r="AC32" s="74">
        <v>10</v>
      </c>
      <c r="AD32" s="77">
        <v>25</v>
      </c>
      <c r="AE32" s="93">
        <f t="shared" si="10"/>
        <v>35</v>
      </c>
      <c r="AF32" s="77">
        <v>20</v>
      </c>
      <c r="AG32" s="94">
        <f t="shared" si="11"/>
        <v>55</v>
      </c>
      <c r="AH32" s="177"/>
      <c r="AI32" s="76">
        <f t="shared" si="12"/>
        <v>3</v>
      </c>
      <c r="AJ32" s="74">
        <v>17</v>
      </c>
      <c r="AK32" s="77">
        <v>40</v>
      </c>
      <c r="AL32" s="93">
        <f t="shared" si="13"/>
        <v>57</v>
      </c>
      <c r="AM32" s="77">
        <v>27</v>
      </c>
      <c r="AN32" s="94">
        <f t="shared" si="14"/>
        <v>84</v>
      </c>
      <c r="AO32" s="177"/>
      <c r="AP32" s="76">
        <f t="shared" si="15"/>
        <v>5</v>
      </c>
      <c r="AQ32" s="77">
        <v>22</v>
      </c>
      <c r="AR32" s="77">
        <v>24</v>
      </c>
      <c r="AS32" s="76">
        <f t="shared" si="16"/>
        <v>46</v>
      </c>
      <c r="AT32" s="178"/>
      <c r="AU32" s="76">
        <f t="shared" si="17"/>
        <v>5</v>
      </c>
      <c r="AV32" s="74">
        <v>19</v>
      </c>
      <c r="AW32" s="77">
        <v>40</v>
      </c>
      <c r="AX32" s="93">
        <f t="shared" si="18"/>
        <v>59</v>
      </c>
      <c r="AY32" s="77">
        <v>21</v>
      </c>
      <c r="AZ32" s="94">
        <f t="shared" si="19"/>
        <v>80</v>
      </c>
      <c r="BA32" s="177"/>
      <c r="BB32" s="76">
        <f t="shared" si="20"/>
        <v>5</v>
      </c>
      <c r="BC32" s="74">
        <v>12</v>
      </c>
      <c r="BD32" s="77">
        <v>29</v>
      </c>
      <c r="BE32" s="93">
        <f t="shared" si="21"/>
        <v>41</v>
      </c>
      <c r="BF32" s="77">
        <v>23</v>
      </c>
      <c r="BG32" s="94">
        <f t="shared" si="22"/>
        <v>64</v>
      </c>
      <c r="BH32" s="177"/>
      <c r="BI32" s="76">
        <f t="shared" si="23"/>
        <v>3.5</v>
      </c>
      <c r="BJ32" s="74">
        <v>10</v>
      </c>
      <c r="BK32" s="77">
        <v>32</v>
      </c>
      <c r="BL32" s="94">
        <f t="shared" si="24"/>
        <v>42</v>
      </c>
      <c r="BM32" s="94">
        <f t="shared" si="25"/>
        <v>42</v>
      </c>
      <c r="BN32" s="180"/>
      <c r="BO32" s="85">
        <f t="shared" si="2"/>
        <v>5</v>
      </c>
      <c r="BP32" s="85">
        <f t="shared" si="26"/>
        <v>34</v>
      </c>
      <c r="BQ32" s="86">
        <f t="shared" si="27"/>
        <v>4.25</v>
      </c>
      <c r="BR32" s="86" t="str">
        <f t="shared" si="28"/>
        <v>A</v>
      </c>
      <c r="BS32" s="85" t="str">
        <f t="shared" si="3"/>
        <v>BETTER</v>
      </c>
      <c r="BT32" s="127">
        <f t="shared" si="29"/>
        <v>589</v>
      </c>
      <c r="BU32" s="85"/>
      <c r="BV32" s="88"/>
    </row>
    <row r="33" spans="1:74" ht="27.95" customHeight="1">
      <c r="A33" s="81">
        <v>26</v>
      </c>
      <c r="B33" s="82">
        <v>66</v>
      </c>
      <c r="C33" s="83" t="s">
        <v>177</v>
      </c>
      <c r="D33" s="83" t="s">
        <v>178</v>
      </c>
      <c r="E33" s="83" t="s">
        <v>179</v>
      </c>
      <c r="F33" s="84" t="s">
        <v>180</v>
      </c>
      <c r="G33" s="74">
        <v>16</v>
      </c>
      <c r="H33" s="76">
        <v>29</v>
      </c>
      <c r="I33" s="94">
        <f t="shared" si="30"/>
        <v>45</v>
      </c>
      <c r="J33" s="76">
        <v>29</v>
      </c>
      <c r="K33" s="94">
        <f t="shared" si="31"/>
        <v>74</v>
      </c>
      <c r="L33" s="74">
        <v>7</v>
      </c>
      <c r="M33" s="76">
        <v>28</v>
      </c>
      <c r="N33" s="94">
        <f t="shared" si="32"/>
        <v>35</v>
      </c>
      <c r="O33" s="94">
        <f t="shared" si="4"/>
        <v>35</v>
      </c>
      <c r="P33" s="94">
        <f t="shared" si="0"/>
        <v>109</v>
      </c>
      <c r="Q33" s="177"/>
      <c r="R33" s="76">
        <f t="shared" si="5"/>
        <v>4</v>
      </c>
      <c r="S33" s="74">
        <v>17</v>
      </c>
      <c r="T33" s="77">
        <v>58</v>
      </c>
      <c r="U33" s="93">
        <f t="shared" si="6"/>
        <v>75</v>
      </c>
      <c r="V33" s="74">
        <v>6</v>
      </c>
      <c r="W33" s="77">
        <v>34</v>
      </c>
      <c r="X33" s="94">
        <f t="shared" si="7"/>
        <v>40</v>
      </c>
      <c r="Y33" s="94">
        <f t="shared" si="8"/>
        <v>115</v>
      </c>
      <c r="Z33" s="94">
        <f t="shared" si="1"/>
        <v>115</v>
      </c>
      <c r="AA33" s="177"/>
      <c r="AB33" s="76">
        <f t="shared" si="9"/>
        <v>4</v>
      </c>
      <c r="AC33" s="74">
        <v>19</v>
      </c>
      <c r="AD33" s="77">
        <v>26</v>
      </c>
      <c r="AE33" s="93">
        <f t="shared" si="10"/>
        <v>45</v>
      </c>
      <c r="AF33" s="77">
        <v>22</v>
      </c>
      <c r="AG33" s="94">
        <f t="shared" si="11"/>
        <v>67</v>
      </c>
      <c r="AH33" s="177"/>
      <c r="AI33" s="76">
        <f t="shared" si="12"/>
        <v>3.5</v>
      </c>
      <c r="AJ33" s="74">
        <v>17</v>
      </c>
      <c r="AK33" s="77">
        <v>41</v>
      </c>
      <c r="AL33" s="93">
        <f t="shared" si="13"/>
        <v>58</v>
      </c>
      <c r="AM33" s="77">
        <v>28</v>
      </c>
      <c r="AN33" s="94">
        <f t="shared" si="14"/>
        <v>86</v>
      </c>
      <c r="AO33" s="177"/>
      <c r="AP33" s="76">
        <f t="shared" si="15"/>
        <v>5</v>
      </c>
      <c r="AQ33" s="77">
        <v>22</v>
      </c>
      <c r="AR33" s="77">
        <v>24</v>
      </c>
      <c r="AS33" s="76">
        <f t="shared" si="16"/>
        <v>46</v>
      </c>
      <c r="AT33" s="178"/>
      <c r="AU33" s="76">
        <f t="shared" si="17"/>
        <v>5</v>
      </c>
      <c r="AV33" s="74">
        <v>20</v>
      </c>
      <c r="AW33" s="77">
        <v>41</v>
      </c>
      <c r="AX33" s="93">
        <f t="shared" si="18"/>
        <v>61</v>
      </c>
      <c r="AY33" s="77">
        <v>27</v>
      </c>
      <c r="AZ33" s="94">
        <f t="shared" si="19"/>
        <v>88</v>
      </c>
      <c r="BA33" s="177"/>
      <c r="BB33" s="76">
        <f t="shared" si="20"/>
        <v>5</v>
      </c>
      <c r="BC33" s="74">
        <v>14</v>
      </c>
      <c r="BD33" s="77">
        <v>33</v>
      </c>
      <c r="BE33" s="93">
        <f t="shared" si="21"/>
        <v>47</v>
      </c>
      <c r="BF33" s="77">
        <v>20</v>
      </c>
      <c r="BG33" s="94">
        <f t="shared" si="22"/>
        <v>67</v>
      </c>
      <c r="BH33" s="177"/>
      <c r="BI33" s="76">
        <f t="shared" si="23"/>
        <v>3.5</v>
      </c>
      <c r="BJ33" s="74">
        <v>9</v>
      </c>
      <c r="BK33" s="77">
        <v>32</v>
      </c>
      <c r="BL33" s="94">
        <f t="shared" si="24"/>
        <v>41</v>
      </c>
      <c r="BM33" s="94">
        <f t="shared" si="25"/>
        <v>41</v>
      </c>
      <c r="BN33" s="180"/>
      <c r="BO33" s="85">
        <f t="shared" si="2"/>
        <v>5</v>
      </c>
      <c r="BP33" s="85">
        <f t="shared" si="26"/>
        <v>35</v>
      </c>
      <c r="BQ33" s="86">
        <f t="shared" si="27"/>
        <v>4.375</v>
      </c>
      <c r="BR33" s="86" t="str">
        <f t="shared" si="28"/>
        <v>A</v>
      </c>
      <c r="BS33" s="85" t="str">
        <f t="shared" si="3"/>
        <v>BETTER</v>
      </c>
      <c r="BT33" s="127">
        <f t="shared" si="29"/>
        <v>619</v>
      </c>
      <c r="BU33" s="85"/>
      <c r="BV33" s="88"/>
    </row>
    <row r="34" spans="1:74" ht="27.95" customHeight="1">
      <c r="A34" s="81">
        <v>27</v>
      </c>
      <c r="B34" s="82">
        <v>72</v>
      </c>
      <c r="C34" s="83" t="s">
        <v>181</v>
      </c>
      <c r="D34" s="83" t="s">
        <v>182</v>
      </c>
      <c r="E34" s="83" t="s">
        <v>183</v>
      </c>
      <c r="F34" s="84" t="s">
        <v>184</v>
      </c>
      <c r="G34" s="74">
        <v>16</v>
      </c>
      <c r="H34" s="76">
        <v>20</v>
      </c>
      <c r="I34" s="94">
        <f t="shared" si="30"/>
        <v>36</v>
      </c>
      <c r="J34" s="76">
        <v>22</v>
      </c>
      <c r="K34" s="94">
        <f t="shared" si="31"/>
        <v>58</v>
      </c>
      <c r="L34" s="74">
        <v>9</v>
      </c>
      <c r="M34" s="76">
        <v>30</v>
      </c>
      <c r="N34" s="94">
        <f t="shared" si="32"/>
        <v>39</v>
      </c>
      <c r="O34" s="94">
        <f t="shared" si="4"/>
        <v>39</v>
      </c>
      <c r="P34" s="94">
        <f t="shared" si="0"/>
        <v>97</v>
      </c>
      <c r="Q34" s="177"/>
      <c r="R34" s="76">
        <f t="shared" si="5"/>
        <v>3.5</v>
      </c>
      <c r="S34" s="74">
        <v>18</v>
      </c>
      <c r="T34" s="77">
        <v>65</v>
      </c>
      <c r="U34" s="93">
        <f t="shared" si="6"/>
        <v>83</v>
      </c>
      <c r="V34" s="74">
        <v>6</v>
      </c>
      <c r="W34" s="77">
        <v>34</v>
      </c>
      <c r="X34" s="94">
        <f t="shared" si="7"/>
        <v>40</v>
      </c>
      <c r="Y34" s="94">
        <f t="shared" si="8"/>
        <v>123</v>
      </c>
      <c r="Z34" s="94">
        <f t="shared" si="1"/>
        <v>123</v>
      </c>
      <c r="AA34" s="177"/>
      <c r="AB34" s="76">
        <f t="shared" si="9"/>
        <v>5</v>
      </c>
      <c r="AC34" s="74">
        <v>19</v>
      </c>
      <c r="AD34" s="77">
        <v>37</v>
      </c>
      <c r="AE34" s="93">
        <f t="shared" si="10"/>
        <v>56</v>
      </c>
      <c r="AF34" s="77">
        <v>24</v>
      </c>
      <c r="AG34" s="94">
        <f t="shared" si="11"/>
        <v>80</v>
      </c>
      <c r="AH34" s="177"/>
      <c r="AI34" s="76">
        <f t="shared" si="12"/>
        <v>5</v>
      </c>
      <c r="AJ34" s="74">
        <v>19</v>
      </c>
      <c r="AK34" s="77">
        <v>39</v>
      </c>
      <c r="AL34" s="93">
        <f t="shared" si="13"/>
        <v>58</v>
      </c>
      <c r="AM34" s="77">
        <v>28</v>
      </c>
      <c r="AN34" s="94">
        <f t="shared" si="14"/>
        <v>86</v>
      </c>
      <c r="AO34" s="177"/>
      <c r="AP34" s="76">
        <f t="shared" si="15"/>
        <v>5</v>
      </c>
      <c r="AQ34" s="77">
        <v>22</v>
      </c>
      <c r="AR34" s="77">
        <v>24</v>
      </c>
      <c r="AS34" s="76">
        <f t="shared" si="16"/>
        <v>46</v>
      </c>
      <c r="AT34" s="178"/>
      <c r="AU34" s="76">
        <f t="shared" si="17"/>
        <v>5</v>
      </c>
      <c r="AV34" s="74">
        <v>17</v>
      </c>
      <c r="AW34" s="77">
        <v>39</v>
      </c>
      <c r="AX34" s="93">
        <f t="shared" si="18"/>
        <v>56</v>
      </c>
      <c r="AY34" s="77">
        <v>26</v>
      </c>
      <c r="AZ34" s="94">
        <f t="shared" si="19"/>
        <v>82</v>
      </c>
      <c r="BA34" s="177"/>
      <c r="BB34" s="76">
        <f t="shared" si="20"/>
        <v>5</v>
      </c>
      <c r="BC34" s="74">
        <v>14</v>
      </c>
      <c r="BD34" s="77">
        <v>32</v>
      </c>
      <c r="BE34" s="93">
        <f t="shared" si="21"/>
        <v>46</v>
      </c>
      <c r="BF34" s="77">
        <v>26</v>
      </c>
      <c r="BG34" s="94">
        <f t="shared" si="22"/>
        <v>72</v>
      </c>
      <c r="BH34" s="177"/>
      <c r="BI34" s="76">
        <f t="shared" si="23"/>
        <v>4</v>
      </c>
      <c r="BJ34" s="74">
        <v>10</v>
      </c>
      <c r="BK34" s="77">
        <v>32</v>
      </c>
      <c r="BL34" s="94">
        <f t="shared" si="24"/>
        <v>42</v>
      </c>
      <c r="BM34" s="94">
        <f t="shared" si="25"/>
        <v>42</v>
      </c>
      <c r="BN34" s="180"/>
      <c r="BO34" s="85">
        <f t="shared" si="2"/>
        <v>5</v>
      </c>
      <c r="BP34" s="85">
        <f t="shared" si="26"/>
        <v>37.5</v>
      </c>
      <c r="BQ34" s="86">
        <f t="shared" si="27"/>
        <v>4.6875</v>
      </c>
      <c r="BR34" s="86" t="str">
        <f t="shared" si="28"/>
        <v>A</v>
      </c>
      <c r="BS34" s="85" t="str">
        <f t="shared" si="3"/>
        <v>BETTER</v>
      </c>
      <c r="BT34" s="127">
        <f t="shared" si="29"/>
        <v>628</v>
      </c>
      <c r="BU34" s="85"/>
      <c r="BV34" s="88"/>
    </row>
    <row r="35" spans="1:74" ht="27.95" customHeight="1">
      <c r="A35" s="81">
        <v>28</v>
      </c>
      <c r="B35" s="82">
        <v>73</v>
      </c>
      <c r="C35" s="83" t="s">
        <v>185</v>
      </c>
      <c r="D35" s="83" t="s">
        <v>186</v>
      </c>
      <c r="E35" s="83" t="s">
        <v>187</v>
      </c>
      <c r="F35" s="84" t="s">
        <v>188</v>
      </c>
      <c r="G35" s="74">
        <v>16</v>
      </c>
      <c r="H35" s="76">
        <v>29</v>
      </c>
      <c r="I35" s="94">
        <f t="shared" si="30"/>
        <v>45</v>
      </c>
      <c r="J35" s="76">
        <v>29</v>
      </c>
      <c r="K35" s="94">
        <f t="shared" si="31"/>
        <v>74</v>
      </c>
      <c r="L35" s="74">
        <v>9</v>
      </c>
      <c r="M35" s="76">
        <v>26</v>
      </c>
      <c r="N35" s="94">
        <f t="shared" si="32"/>
        <v>35</v>
      </c>
      <c r="O35" s="94">
        <f t="shared" si="4"/>
        <v>35</v>
      </c>
      <c r="P35" s="94">
        <f t="shared" si="0"/>
        <v>109</v>
      </c>
      <c r="Q35" s="177"/>
      <c r="R35" s="76">
        <f t="shared" si="5"/>
        <v>4</v>
      </c>
      <c r="S35" s="74">
        <v>17</v>
      </c>
      <c r="T35" s="77">
        <v>57</v>
      </c>
      <c r="U35" s="93">
        <f t="shared" si="6"/>
        <v>74</v>
      </c>
      <c r="V35" s="74">
        <v>6</v>
      </c>
      <c r="W35" s="77">
        <v>34</v>
      </c>
      <c r="X35" s="94">
        <f t="shared" si="7"/>
        <v>40</v>
      </c>
      <c r="Y35" s="94">
        <f t="shared" si="8"/>
        <v>114</v>
      </c>
      <c r="Z35" s="94">
        <f t="shared" si="1"/>
        <v>114</v>
      </c>
      <c r="AA35" s="177"/>
      <c r="AB35" s="76">
        <f t="shared" si="9"/>
        <v>4</v>
      </c>
      <c r="AC35" s="74">
        <v>19</v>
      </c>
      <c r="AD35" s="77">
        <v>29</v>
      </c>
      <c r="AE35" s="93">
        <f t="shared" si="10"/>
        <v>48</v>
      </c>
      <c r="AF35" s="77">
        <v>24</v>
      </c>
      <c r="AG35" s="94">
        <f t="shared" si="11"/>
        <v>72</v>
      </c>
      <c r="AH35" s="177"/>
      <c r="AI35" s="76">
        <f t="shared" si="12"/>
        <v>4</v>
      </c>
      <c r="AJ35" s="74">
        <v>19</v>
      </c>
      <c r="AK35" s="77">
        <v>39</v>
      </c>
      <c r="AL35" s="93">
        <f t="shared" si="13"/>
        <v>58</v>
      </c>
      <c r="AM35" s="77">
        <v>27</v>
      </c>
      <c r="AN35" s="94">
        <f t="shared" si="14"/>
        <v>85</v>
      </c>
      <c r="AO35" s="177"/>
      <c r="AP35" s="76">
        <f t="shared" si="15"/>
        <v>5</v>
      </c>
      <c r="AQ35" s="77">
        <v>22</v>
      </c>
      <c r="AR35" s="77">
        <v>24</v>
      </c>
      <c r="AS35" s="76">
        <f t="shared" si="16"/>
        <v>46</v>
      </c>
      <c r="AT35" s="178"/>
      <c r="AU35" s="76">
        <f t="shared" si="17"/>
        <v>5</v>
      </c>
      <c r="AV35" s="74">
        <v>19</v>
      </c>
      <c r="AW35" s="77">
        <v>39</v>
      </c>
      <c r="AX35" s="93">
        <f t="shared" si="18"/>
        <v>58</v>
      </c>
      <c r="AY35" s="77">
        <v>27</v>
      </c>
      <c r="AZ35" s="94">
        <f t="shared" si="19"/>
        <v>85</v>
      </c>
      <c r="BA35" s="177"/>
      <c r="BB35" s="76">
        <f t="shared" si="20"/>
        <v>5</v>
      </c>
      <c r="BC35" s="74">
        <v>13</v>
      </c>
      <c r="BD35" s="77">
        <v>34</v>
      </c>
      <c r="BE35" s="93">
        <f t="shared" si="21"/>
        <v>47</v>
      </c>
      <c r="BF35" s="77">
        <v>19</v>
      </c>
      <c r="BG35" s="94">
        <f t="shared" si="22"/>
        <v>66</v>
      </c>
      <c r="BH35" s="177"/>
      <c r="BI35" s="76">
        <f t="shared" si="23"/>
        <v>3.5</v>
      </c>
      <c r="BJ35" s="74">
        <v>10</v>
      </c>
      <c r="BK35" s="77">
        <v>32</v>
      </c>
      <c r="BL35" s="94">
        <f t="shared" si="24"/>
        <v>42</v>
      </c>
      <c r="BM35" s="94">
        <f t="shared" si="25"/>
        <v>42</v>
      </c>
      <c r="BN35" s="180"/>
      <c r="BO35" s="85">
        <f t="shared" si="2"/>
        <v>5</v>
      </c>
      <c r="BP35" s="85">
        <f t="shared" si="26"/>
        <v>35.5</v>
      </c>
      <c r="BQ35" s="86">
        <f t="shared" si="27"/>
        <v>4.4375</v>
      </c>
      <c r="BR35" s="86" t="str">
        <f t="shared" si="28"/>
        <v>A</v>
      </c>
      <c r="BS35" s="85" t="str">
        <f t="shared" si="3"/>
        <v>BETTER</v>
      </c>
      <c r="BT35" s="127">
        <f t="shared" si="29"/>
        <v>619</v>
      </c>
      <c r="BU35" s="85"/>
      <c r="BV35" s="88"/>
    </row>
    <row r="36" spans="1:74" ht="27.95" customHeight="1">
      <c r="A36" s="81">
        <v>29</v>
      </c>
      <c r="B36" s="82">
        <v>74</v>
      </c>
      <c r="C36" s="83" t="s">
        <v>189</v>
      </c>
      <c r="D36" s="83" t="s">
        <v>190</v>
      </c>
      <c r="E36" s="83" t="s">
        <v>191</v>
      </c>
      <c r="F36" s="84" t="s">
        <v>192</v>
      </c>
      <c r="G36" s="74">
        <v>17</v>
      </c>
      <c r="H36" s="76">
        <v>37</v>
      </c>
      <c r="I36" s="94">
        <f t="shared" si="30"/>
        <v>54</v>
      </c>
      <c r="J36" s="76">
        <v>25</v>
      </c>
      <c r="K36" s="94">
        <f t="shared" si="31"/>
        <v>79</v>
      </c>
      <c r="L36" s="74">
        <v>9</v>
      </c>
      <c r="M36" s="76">
        <v>31</v>
      </c>
      <c r="N36" s="94">
        <f t="shared" si="32"/>
        <v>40</v>
      </c>
      <c r="O36" s="94">
        <f t="shared" si="4"/>
        <v>40</v>
      </c>
      <c r="P36" s="94">
        <f t="shared" si="0"/>
        <v>119</v>
      </c>
      <c r="Q36" s="177"/>
      <c r="R36" s="76">
        <f t="shared" si="5"/>
        <v>4</v>
      </c>
      <c r="S36" s="74">
        <v>13</v>
      </c>
      <c r="T36" s="77">
        <v>63</v>
      </c>
      <c r="U36" s="93">
        <f t="shared" si="6"/>
        <v>76</v>
      </c>
      <c r="V36" s="74">
        <v>5</v>
      </c>
      <c r="W36" s="77">
        <v>31</v>
      </c>
      <c r="X36" s="94">
        <f t="shared" si="7"/>
        <v>36</v>
      </c>
      <c r="Y36" s="94">
        <f t="shared" si="8"/>
        <v>112</v>
      </c>
      <c r="Z36" s="94">
        <f t="shared" si="1"/>
        <v>112</v>
      </c>
      <c r="AA36" s="177"/>
      <c r="AB36" s="76">
        <f t="shared" si="9"/>
        <v>4</v>
      </c>
      <c r="AC36" s="74">
        <v>18</v>
      </c>
      <c r="AD36" s="77">
        <v>24</v>
      </c>
      <c r="AE36" s="93">
        <f t="shared" si="10"/>
        <v>42</v>
      </c>
      <c r="AF36" s="77">
        <v>20</v>
      </c>
      <c r="AG36" s="94">
        <f t="shared" si="11"/>
        <v>62</v>
      </c>
      <c r="AH36" s="177"/>
      <c r="AI36" s="76">
        <f t="shared" si="12"/>
        <v>3.5</v>
      </c>
      <c r="AJ36" s="74">
        <v>20</v>
      </c>
      <c r="AK36" s="77">
        <v>42</v>
      </c>
      <c r="AL36" s="93">
        <f t="shared" si="13"/>
        <v>62</v>
      </c>
      <c r="AM36" s="77">
        <v>24</v>
      </c>
      <c r="AN36" s="94">
        <f t="shared" si="14"/>
        <v>86</v>
      </c>
      <c r="AO36" s="177"/>
      <c r="AP36" s="76">
        <f t="shared" si="15"/>
        <v>5</v>
      </c>
      <c r="AQ36" s="77">
        <v>22</v>
      </c>
      <c r="AR36" s="77">
        <v>24</v>
      </c>
      <c r="AS36" s="76">
        <f t="shared" si="16"/>
        <v>46</v>
      </c>
      <c r="AT36" s="178"/>
      <c r="AU36" s="76">
        <f t="shared" si="17"/>
        <v>5</v>
      </c>
      <c r="AV36" s="74">
        <v>20</v>
      </c>
      <c r="AW36" s="77">
        <v>48</v>
      </c>
      <c r="AX36" s="93">
        <f t="shared" si="18"/>
        <v>68</v>
      </c>
      <c r="AY36" s="77">
        <v>23</v>
      </c>
      <c r="AZ36" s="94">
        <f t="shared" si="19"/>
        <v>91</v>
      </c>
      <c r="BA36" s="177"/>
      <c r="BB36" s="76">
        <f t="shared" si="20"/>
        <v>5</v>
      </c>
      <c r="BC36" s="74">
        <v>16</v>
      </c>
      <c r="BD36" s="77">
        <v>40</v>
      </c>
      <c r="BE36" s="93">
        <f t="shared" si="21"/>
        <v>56</v>
      </c>
      <c r="BF36" s="77">
        <v>25</v>
      </c>
      <c r="BG36" s="94">
        <f t="shared" si="22"/>
        <v>81</v>
      </c>
      <c r="BH36" s="177"/>
      <c r="BI36" s="76">
        <f t="shared" si="23"/>
        <v>5</v>
      </c>
      <c r="BJ36" s="74">
        <v>9</v>
      </c>
      <c r="BK36" s="77">
        <v>32</v>
      </c>
      <c r="BL36" s="94">
        <f t="shared" si="24"/>
        <v>41</v>
      </c>
      <c r="BM36" s="94">
        <f t="shared" si="25"/>
        <v>41</v>
      </c>
      <c r="BN36" s="180"/>
      <c r="BO36" s="85">
        <f t="shared" si="2"/>
        <v>5</v>
      </c>
      <c r="BP36" s="85">
        <f t="shared" si="26"/>
        <v>36.5</v>
      </c>
      <c r="BQ36" s="86">
        <f t="shared" si="27"/>
        <v>4.5625</v>
      </c>
      <c r="BR36" s="86" t="str">
        <f t="shared" si="28"/>
        <v>A</v>
      </c>
      <c r="BS36" s="85" t="str">
        <f t="shared" si="3"/>
        <v>BETTER</v>
      </c>
      <c r="BT36" s="127">
        <f t="shared" si="29"/>
        <v>638</v>
      </c>
      <c r="BU36" s="85"/>
      <c r="BV36" s="88"/>
    </row>
    <row r="37" spans="1:74" ht="27.95" customHeight="1">
      <c r="A37" s="81">
        <v>30</v>
      </c>
      <c r="B37" s="82">
        <v>75</v>
      </c>
      <c r="C37" s="83" t="s">
        <v>193</v>
      </c>
      <c r="D37" s="83" t="s">
        <v>194</v>
      </c>
      <c r="E37" s="83" t="s">
        <v>195</v>
      </c>
      <c r="F37" s="84" t="s">
        <v>196</v>
      </c>
      <c r="G37" s="74">
        <v>16</v>
      </c>
      <c r="H37" s="76">
        <v>30</v>
      </c>
      <c r="I37" s="94">
        <f t="shared" si="30"/>
        <v>46</v>
      </c>
      <c r="J37" s="76">
        <v>28</v>
      </c>
      <c r="K37" s="94">
        <f t="shared" si="31"/>
        <v>74</v>
      </c>
      <c r="L37" s="74">
        <v>9</v>
      </c>
      <c r="M37" s="76">
        <v>30</v>
      </c>
      <c r="N37" s="94">
        <f t="shared" si="32"/>
        <v>39</v>
      </c>
      <c r="O37" s="94">
        <f t="shared" si="4"/>
        <v>39</v>
      </c>
      <c r="P37" s="94">
        <f t="shared" si="0"/>
        <v>113</v>
      </c>
      <c r="Q37" s="177"/>
      <c r="R37" s="76">
        <f t="shared" si="5"/>
        <v>4</v>
      </c>
      <c r="S37" s="74">
        <v>16</v>
      </c>
      <c r="T37" s="77">
        <v>64</v>
      </c>
      <c r="U37" s="93">
        <f t="shared" si="6"/>
        <v>80</v>
      </c>
      <c r="V37" s="74">
        <v>6</v>
      </c>
      <c r="W37" s="77">
        <v>33</v>
      </c>
      <c r="X37" s="94">
        <f t="shared" si="7"/>
        <v>39</v>
      </c>
      <c r="Y37" s="94">
        <f t="shared" si="8"/>
        <v>119</v>
      </c>
      <c r="Z37" s="94">
        <f t="shared" si="1"/>
        <v>119</v>
      </c>
      <c r="AA37" s="177"/>
      <c r="AB37" s="76">
        <f t="shared" si="9"/>
        <v>4</v>
      </c>
      <c r="AC37" s="74">
        <v>19</v>
      </c>
      <c r="AD37" s="77">
        <v>23</v>
      </c>
      <c r="AE37" s="93">
        <f t="shared" si="10"/>
        <v>42</v>
      </c>
      <c r="AF37" s="77">
        <v>21</v>
      </c>
      <c r="AG37" s="94">
        <f t="shared" si="11"/>
        <v>63</v>
      </c>
      <c r="AH37" s="177"/>
      <c r="AI37" s="76">
        <f t="shared" si="12"/>
        <v>3.5</v>
      </c>
      <c r="AJ37" s="74">
        <v>19</v>
      </c>
      <c r="AK37" s="77">
        <v>41</v>
      </c>
      <c r="AL37" s="93">
        <f t="shared" si="13"/>
        <v>60</v>
      </c>
      <c r="AM37" s="77">
        <v>26</v>
      </c>
      <c r="AN37" s="94">
        <f t="shared" si="14"/>
        <v>86</v>
      </c>
      <c r="AO37" s="177"/>
      <c r="AP37" s="76">
        <f t="shared" si="15"/>
        <v>5</v>
      </c>
      <c r="AQ37" s="77">
        <v>22</v>
      </c>
      <c r="AR37" s="77">
        <v>24</v>
      </c>
      <c r="AS37" s="76">
        <f t="shared" si="16"/>
        <v>46</v>
      </c>
      <c r="AT37" s="178"/>
      <c r="AU37" s="76">
        <f t="shared" si="17"/>
        <v>5</v>
      </c>
      <c r="AV37" s="74">
        <v>19</v>
      </c>
      <c r="AW37" s="77">
        <v>46</v>
      </c>
      <c r="AX37" s="93">
        <f t="shared" si="18"/>
        <v>65</v>
      </c>
      <c r="AY37" s="77">
        <v>23</v>
      </c>
      <c r="AZ37" s="94">
        <f t="shared" si="19"/>
        <v>88</v>
      </c>
      <c r="BA37" s="177"/>
      <c r="BB37" s="76">
        <f t="shared" si="20"/>
        <v>5</v>
      </c>
      <c r="BC37" s="74">
        <v>19</v>
      </c>
      <c r="BD37" s="77">
        <v>39</v>
      </c>
      <c r="BE37" s="93">
        <f t="shared" si="21"/>
        <v>58</v>
      </c>
      <c r="BF37" s="77">
        <v>23</v>
      </c>
      <c r="BG37" s="94">
        <f t="shared" si="22"/>
        <v>81</v>
      </c>
      <c r="BH37" s="177"/>
      <c r="BI37" s="76">
        <f t="shared" si="23"/>
        <v>5</v>
      </c>
      <c r="BJ37" s="74">
        <v>10</v>
      </c>
      <c r="BK37" s="77">
        <v>32</v>
      </c>
      <c r="BL37" s="94">
        <f t="shared" si="24"/>
        <v>42</v>
      </c>
      <c r="BM37" s="94">
        <f t="shared" si="25"/>
        <v>42</v>
      </c>
      <c r="BN37" s="180"/>
      <c r="BO37" s="85">
        <f t="shared" si="2"/>
        <v>5</v>
      </c>
      <c r="BP37" s="85">
        <f t="shared" si="26"/>
        <v>36.5</v>
      </c>
      <c r="BQ37" s="86">
        <f t="shared" si="27"/>
        <v>4.5625</v>
      </c>
      <c r="BR37" s="86" t="str">
        <f t="shared" si="28"/>
        <v>A</v>
      </c>
      <c r="BS37" s="85" t="str">
        <f t="shared" si="3"/>
        <v>BETTER</v>
      </c>
      <c r="BT37" s="127">
        <f t="shared" si="29"/>
        <v>638</v>
      </c>
      <c r="BU37" s="85"/>
      <c r="BV37" s="88"/>
    </row>
    <row r="38" spans="1:74" ht="27.95" customHeight="1">
      <c r="A38" s="81">
        <v>31</v>
      </c>
      <c r="B38" s="82">
        <v>81</v>
      </c>
      <c r="C38" s="83" t="s">
        <v>197</v>
      </c>
      <c r="D38" s="83" t="s">
        <v>198</v>
      </c>
      <c r="E38" s="83" t="s">
        <v>199</v>
      </c>
      <c r="F38" s="84" t="s">
        <v>200</v>
      </c>
      <c r="G38" s="74">
        <v>17</v>
      </c>
      <c r="H38" s="76">
        <v>29</v>
      </c>
      <c r="I38" s="94">
        <f t="shared" si="30"/>
        <v>46</v>
      </c>
      <c r="J38" s="76">
        <v>25</v>
      </c>
      <c r="K38" s="94">
        <f t="shared" si="31"/>
        <v>71</v>
      </c>
      <c r="L38" s="74">
        <v>7</v>
      </c>
      <c r="M38" s="76">
        <v>32</v>
      </c>
      <c r="N38" s="94">
        <f t="shared" si="32"/>
        <v>39</v>
      </c>
      <c r="O38" s="94">
        <f t="shared" si="4"/>
        <v>39</v>
      </c>
      <c r="P38" s="94">
        <f t="shared" si="0"/>
        <v>110</v>
      </c>
      <c r="Q38" s="177"/>
      <c r="R38" s="76">
        <f t="shared" si="5"/>
        <v>4</v>
      </c>
      <c r="S38" s="74">
        <v>20</v>
      </c>
      <c r="T38" s="77">
        <v>74</v>
      </c>
      <c r="U38" s="93">
        <f t="shared" si="6"/>
        <v>94</v>
      </c>
      <c r="V38" s="74">
        <v>6</v>
      </c>
      <c r="W38" s="77">
        <v>35</v>
      </c>
      <c r="X38" s="94">
        <f t="shared" si="7"/>
        <v>41</v>
      </c>
      <c r="Y38" s="94">
        <f t="shared" si="8"/>
        <v>135</v>
      </c>
      <c r="Z38" s="94">
        <f t="shared" si="1"/>
        <v>135</v>
      </c>
      <c r="AA38" s="177"/>
      <c r="AB38" s="76">
        <f t="shared" si="9"/>
        <v>5</v>
      </c>
      <c r="AC38" s="74">
        <v>19</v>
      </c>
      <c r="AD38" s="77">
        <v>31</v>
      </c>
      <c r="AE38" s="93">
        <f t="shared" si="10"/>
        <v>50</v>
      </c>
      <c r="AF38" s="77">
        <v>22</v>
      </c>
      <c r="AG38" s="94">
        <f t="shared" si="11"/>
        <v>72</v>
      </c>
      <c r="AH38" s="177"/>
      <c r="AI38" s="76">
        <f t="shared" si="12"/>
        <v>4</v>
      </c>
      <c r="AJ38" s="74">
        <v>19</v>
      </c>
      <c r="AK38" s="77">
        <v>43</v>
      </c>
      <c r="AL38" s="93">
        <f t="shared" si="13"/>
        <v>62</v>
      </c>
      <c r="AM38" s="77">
        <v>24</v>
      </c>
      <c r="AN38" s="94">
        <f t="shared" si="14"/>
        <v>86</v>
      </c>
      <c r="AO38" s="177"/>
      <c r="AP38" s="76">
        <f t="shared" si="15"/>
        <v>5</v>
      </c>
      <c r="AQ38" s="77">
        <v>22</v>
      </c>
      <c r="AR38" s="77">
        <v>24</v>
      </c>
      <c r="AS38" s="76">
        <f t="shared" si="16"/>
        <v>46</v>
      </c>
      <c r="AT38" s="178"/>
      <c r="AU38" s="76">
        <f t="shared" si="17"/>
        <v>5</v>
      </c>
      <c r="AV38" s="74">
        <v>19</v>
      </c>
      <c r="AW38" s="77">
        <v>42</v>
      </c>
      <c r="AX38" s="93">
        <f t="shared" si="18"/>
        <v>61</v>
      </c>
      <c r="AY38" s="77">
        <v>24</v>
      </c>
      <c r="AZ38" s="94">
        <f t="shared" si="19"/>
        <v>85</v>
      </c>
      <c r="BA38" s="177"/>
      <c r="BB38" s="76">
        <f t="shared" si="20"/>
        <v>5</v>
      </c>
      <c r="BC38" s="74">
        <v>16</v>
      </c>
      <c r="BD38" s="77">
        <v>34</v>
      </c>
      <c r="BE38" s="93">
        <f t="shared" si="21"/>
        <v>50</v>
      </c>
      <c r="BF38" s="77">
        <v>24</v>
      </c>
      <c r="BG38" s="94">
        <f t="shared" si="22"/>
        <v>74</v>
      </c>
      <c r="BH38" s="177"/>
      <c r="BI38" s="76">
        <f t="shared" si="23"/>
        <v>4</v>
      </c>
      <c r="BJ38" s="74">
        <v>9</v>
      </c>
      <c r="BK38" s="77">
        <v>32</v>
      </c>
      <c r="BL38" s="94">
        <f t="shared" si="24"/>
        <v>41</v>
      </c>
      <c r="BM38" s="94">
        <f t="shared" si="25"/>
        <v>41</v>
      </c>
      <c r="BN38" s="180"/>
      <c r="BO38" s="85">
        <f t="shared" si="2"/>
        <v>5</v>
      </c>
      <c r="BP38" s="85">
        <f t="shared" si="26"/>
        <v>37</v>
      </c>
      <c r="BQ38" s="86">
        <f t="shared" si="27"/>
        <v>4.625</v>
      </c>
      <c r="BR38" s="86" t="str">
        <f t="shared" si="28"/>
        <v>A</v>
      </c>
      <c r="BS38" s="85" t="str">
        <f t="shared" si="3"/>
        <v>BETTER</v>
      </c>
      <c r="BT38" s="127">
        <f t="shared" si="29"/>
        <v>649</v>
      </c>
      <c r="BU38" s="85"/>
      <c r="BV38" s="88"/>
    </row>
    <row r="39" spans="1:74" ht="27.95" customHeight="1">
      <c r="A39" s="81">
        <v>32</v>
      </c>
      <c r="B39" s="82">
        <v>86</v>
      </c>
      <c r="C39" s="83" t="s">
        <v>201</v>
      </c>
      <c r="D39" s="83" t="s">
        <v>202</v>
      </c>
      <c r="E39" s="83" t="s">
        <v>203</v>
      </c>
      <c r="F39" s="84" t="s">
        <v>204</v>
      </c>
      <c r="G39" s="80">
        <v>0</v>
      </c>
      <c r="H39" s="95">
        <v>0</v>
      </c>
      <c r="I39" s="96">
        <f t="shared" si="30"/>
        <v>0</v>
      </c>
      <c r="J39" s="95">
        <v>0</v>
      </c>
      <c r="K39" s="94">
        <f t="shared" si="31"/>
        <v>0</v>
      </c>
      <c r="L39" s="80">
        <v>0</v>
      </c>
      <c r="M39" s="95">
        <v>0</v>
      </c>
      <c r="N39" s="94">
        <f t="shared" si="32"/>
        <v>0</v>
      </c>
      <c r="O39" s="94">
        <f t="shared" si="4"/>
        <v>0</v>
      </c>
      <c r="P39" s="94">
        <f t="shared" si="0"/>
        <v>0</v>
      </c>
      <c r="Q39" s="177"/>
      <c r="R39" s="76" t="str">
        <f t="shared" si="5"/>
        <v>F</v>
      </c>
      <c r="S39" s="80">
        <v>0</v>
      </c>
      <c r="T39" s="95"/>
      <c r="U39" s="96">
        <f t="shared" si="6"/>
        <v>0</v>
      </c>
      <c r="V39" s="80">
        <v>0</v>
      </c>
      <c r="W39" s="95"/>
      <c r="X39" s="94">
        <f t="shared" si="7"/>
        <v>0</v>
      </c>
      <c r="Y39" s="94">
        <f t="shared" si="8"/>
        <v>0</v>
      </c>
      <c r="Z39" s="94">
        <f t="shared" si="1"/>
        <v>0</v>
      </c>
      <c r="AA39" s="177"/>
      <c r="AB39" s="76">
        <f t="shared" si="9"/>
        <v>0</v>
      </c>
      <c r="AC39" s="80">
        <v>0</v>
      </c>
      <c r="AD39" s="95">
        <v>0</v>
      </c>
      <c r="AE39" s="96">
        <f t="shared" si="10"/>
        <v>0</v>
      </c>
      <c r="AF39" s="95">
        <v>0</v>
      </c>
      <c r="AG39" s="94">
        <f t="shared" si="11"/>
        <v>0</v>
      </c>
      <c r="AH39" s="177"/>
      <c r="AI39" s="76" t="str">
        <f t="shared" si="12"/>
        <v>F</v>
      </c>
      <c r="AJ39" s="80">
        <v>0</v>
      </c>
      <c r="AK39" s="95">
        <v>0</v>
      </c>
      <c r="AL39" s="96">
        <f t="shared" si="13"/>
        <v>0</v>
      </c>
      <c r="AM39" s="95">
        <v>0</v>
      </c>
      <c r="AN39" s="94">
        <f t="shared" si="14"/>
        <v>0</v>
      </c>
      <c r="AO39" s="177"/>
      <c r="AP39" s="76" t="str">
        <f t="shared" si="15"/>
        <v>F</v>
      </c>
      <c r="AQ39" s="77">
        <v>0</v>
      </c>
      <c r="AR39" s="77">
        <v>0</v>
      </c>
      <c r="AS39" s="76">
        <f t="shared" si="16"/>
        <v>0</v>
      </c>
      <c r="AT39" s="178"/>
      <c r="AU39" s="76" t="str">
        <f t="shared" si="17"/>
        <v>F</v>
      </c>
      <c r="AV39" s="80">
        <v>0</v>
      </c>
      <c r="AW39" s="95">
        <v>0</v>
      </c>
      <c r="AX39" s="96">
        <f t="shared" si="18"/>
        <v>0</v>
      </c>
      <c r="AY39" s="95">
        <v>0</v>
      </c>
      <c r="AZ39" s="94">
        <f t="shared" si="19"/>
        <v>0</v>
      </c>
      <c r="BA39" s="177"/>
      <c r="BB39" s="76" t="str">
        <f t="shared" si="20"/>
        <v>F</v>
      </c>
      <c r="BC39" s="80">
        <v>0</v>
      </c>
      <c r="BD39" s="95">
        <v>0</v>
      </c>
      <c r="BE39" s="96">
        <f t="shared" si="21"/>
        <v>0</v>
      </c>
      <c r="BF39" s="95">
        <v>0</v>
      </c>
      <c r="BG39" s="94">
        <f t="shared" si="22"/>
        <v>0</v>
      </c>
      <c r="BH39" s="177"/>
      <c r="BI39" s="76" t="str">
        <f t="shared" si="23"/>
        <v>F</v>
      </c>
      <c r="BJ39" s="80">
        <v>0</v>
      </c>
      <c r="BK39" s="77">
        <v>32</v>
      </c>
      <c r="BL39" s="94">
        <f t="shared" si="24"/>
        <v>32</v>
      </c>
      <c r="BM39" s="94">
        <f t="shared" si="25"/>
        <v>32</v>
      </c>
      <c r="BN39" s="180"/>
      <c r="BO39" s="85">
        <f t="shared" si="2"/>
        <v>3.5</v>
      </c>
      <c r="BP39" s="85" t="str">
        <f t="shared" si="26"/>
        <v>F</v>
      </c>
      <c r="BQ39" s="86" t="str">
        <f t="shared" si="27"/>
        <v>F</v>
      </c>
      <c r="BR39" s="86" t="str">
        <f t="shared" si="28"/>
        <v>F</v>
      </c>
      <c r="BS39" s="85" t="str">
        <f t="shared" si="3"/>
        <v>NEED TO PROGRESS</v>
      </c>
      <c r="BT39" s="127">
        <f t="shared" si="29"/>
        <v>32</v>
      </c>
      <c r="BU39" s="85"/>
      <c r="BV39" s="88"/>
    </row>
    <row r="40" spans="1:74" ht="27.95" customHeight="1">
      <c r="A40" s="81">
        <v>33</v>
      </c>
      <c r="B40" s="82">
        <v>89</v>
      </c>
      <c r="C40" s="83" t="s">
        <v>205</v>
      </c>
      <c r="D40" s="83" t="s">
        <v>78</v>
      </c>
      <c r="E40" s="83" t="s">
        <v>206</v>
      </c>
      <c r="F40" s="84" t="s">
        <v>207</v>
      </c>
      <c r="G40" s="75">
        <v>17</v>
      </c>
      <c r="H40" s="95">
        <v>0</v>
      </c>
      <c r="I40" s="96">
        <f t="shared" si="30"/>
        <v>17</v>
      </c>
      <c r="J40" s="95">
        <v>0</v>
      </c>
      <c r="K40" s="94">
        <f t="shared" si="31"/>
        <v>17</v>
      </c>
      <c r="L40" s="75">
        <v>10</v>
      </c>
      <c r="M40" s="95">
        <v>0</v>
      </c>
      <c r="N40" s="94">
        <f t="shared" si="32"/>
        <v>10</v>
      </c>
      <c r="O40" s="94">
        <f t="shared" si="4"/>
        <v>10</v>
      </c>
      <c r="P40" s="94">
        <f t="shared" si="0"/>
        <v>27</v>
      </c>
      <c r="Q40" s="177"/>
      <c r="R40" s="76" t="str">
        <f t="shared" si="5"/>
        <v>F</v>
      </c>
      <c r="S40" s="75">
        <v>19</v>
      </c>
      <c r="T40" s="95"/>
      <c r="U40" s="96">
        <f t="shared" si="6"/>
        <v>19</v>
      </c>
      <c r="V40" s="75">
        <v>6</v>
      </c>
      <c r="W40" s="95"/>
      <c r="X40" s="94">
        <f t="shared" si="7"/>
        <v>6</v>
      </c>
      <c r="Y40" s="94">
        <f t="shared" si="8"/>
        <v>25</v>
      </c>
      <c r="Z40" s="94">
        <f t="shared" si="1"/>
        <v>25</v>
      </c>
      <c r="AA40" s="177"/>
      <c r="AB40" s="76">
        <f t="shared" si="9"/>
        <v>0</v>
      </c>
      <c r="AC40" s="75">
        <v>12</v>
      </c>
      <c r="AD40" s="95">
        <v>0</v>
      </c>
      <c r="AE40" s="96">
        <f t="shared" si="10"/>
        <v>12</v>
      </c>
      <c r="AF40" s="95">
        <v>0</v>
      </c>
      <c r="AG40" s="94">
        <f t="shared" si="11"/>
        <v>12</v>
      </c>
      <c r="AH40" s="177"/>
      <c r="AI40" s="76" t="str">
        <f t="shared" si="12"/>
        <v>F</v>
      </c>
      <c r="AJ40" s="75">
        <v>20</v>
      </c>
      <c r="AK40" s="95">
        <v>0</v>
      </c>
      <c r="AL40" s="96">
        <f t="shared" si="13"/>
        <v>20</v>
      </c>
      <c r="AM40" s="95">
        <v>0</v>
      </c>
      <c r="AN40" s="94">
        <f t="shared" si="14"/>
        <v>20</v>
      </c>
      <c r="AO40" s="177"/>
      <c r="AP40" s="76" t="str">
        <f t="shared" si="15"/>
        <v>F</v>
      </c>
      <c r="AQ40" s="77">
        <v>0</v>
      </c>
      <c r="AR40" s="77">
        <v>0</v>
      </c>
      <c r="AS40" s="76">
        <f t="shared" si="16"/>
        <v>0</v>
      </c>
      <c r="AT40" s="178"/>
      <c r="AU40" s="76" t="str">
        <f t="shared" si="17"/>
        <v>F</v>
      </c>
      <c r="AV40" s="75">
        <v>19</v>
      </c>
      <c r="AW40" s="95">
        <v>0</v>
      </c>
      <c r="AX40" s="96">
        <f t="shared" si="18"/>
        <v>19</v>
      </c>
      <c r="AY40" s="95">
        <v>0</v>
      </c>
      <c r="AZ40" s="94">
        <f t="shared" si="19"/>
        <v>19</v>
      </c>
      <c r="BA40" s="177"/>
      <c r="BB40" s="76" t="str">
        <f t="shared" si="20"/>
        <v>F</v>
      </c>
      <c r="BC40" s="75">
        <v>14</v>
      </c>
      <c r="BD40" s="95">
        <v>0</v>
      </c>
      <c r="BE40" s="96">
        <f t="shared" si="21"/>
        <v>14</v>
      </c>
      <c r="BF40" s="95">
        <v>0</v>
      </c>
      <c r="BG40" s="94">
        <f t="shared" si="22"/>
        <v>14</v>
      </c>
      <c r="BH40" s="177"/>
      <c r="BI40" s="76" t="str">
        <f t="shared" si="23"/>
        <v>F</v>
      </c>
      <c r="BJ40" s="75">
        <v>9</v>
      </c>
      <c r="BK40" s="77">
        <v>32</v>
      </c>
      <c r="BL40" s="94">
        <f t="shared" si="24"/>
        <v>41</v>
      </c>
      <c r="BM40" s="94">
        <f t="shared" si="25"/>
        <v>41</v>
      </c>
      <c r="BN40" s="180"/>
      <c r="BO40" s="85">
        <f t="shared" si="2"/>
        <v>5</v>
      </c>
      <c r="BP40" s="85" t="str">
        <f t="shared" si="26"/>
        <v>F</v>
      </c>
      <c r="BQ40" s="86" t="str">
        <f t="shared" si="27"/>
        <v>F</v>
      </c>
      <c r="BR40" s="86" t="str">
        <f t="shared" si="28"/>
        <v>F</v>
      </c>
      <c r="BS40" s="85" t="str">
        <f t="shared" si="3"/>
        <v>NEED TO PROGRESS</v>
      </c>
      <c r="BT40" s="127">
        <f t="shared" si="29"/>
        <v>158</v>
      </c>
      <c r="BU40" s="85"/>
      <c r="BV40" s="88"/>
    </row>
    <row r="41" spans="1:74" ht="27.95" customHeight="1">
      <c r="A41" s="81">
        <v>34</v>
      </c>
      <c r="B41" s="82">
        <v>90</v>
      </c>
      <c r="C41" s="83" t="s">
        <v>208</v>
      </c>
      <c r="D41" s="83" t="s">
        <v>209</v>
      </c>
      <c r="E41" s="83" t="s">
        <v>210</v>
      </c>
      <c r="F41" s="84" t="s">
        <v>211</v>
      </c>
      <c r="G41" s="74">
        <v>15</v>
      </c>
      <c r="H41" s="76">
        <v>29</v>
      </c>
      <c r="I41" s="94">
        <f t="shared" si="30"/>
        <v>44</v>
      </c>
      <c r="J41" s="76">
        <v>25</v>
      </c>
      <c r="K41" s="94">
        <f t="shared" si="31"/>
        <v>69</v>
      </c>
      <c r="L41" s="74">
        <v>6</v>
      </c>
      <c r="M41" s="76">
        <v>26</v>
      </c>
      <c r="N41" s="94">
        <f t="shared" si="32"/>
        <v>32</v>
      </c>
      <c r="O41" s="94">
        <f t="shared" si="4"/>
        <v>32</v>
      </c>
      <c r="P41" s="94">
        <f t="shared" si="0"/>
        <v>101</v>
      </c>
      <c r="Q41" s="177"/>
      <c r="R41" s="76">
        <f t="shared" si="5"/>
        <v>3.5</v>
      </c>
      <c r="S41" s="74">
        <v>14</v>
      </c>
      <c r="T41" s="77">
        <v>60</v>
      </c>
      <c r="U41" s="93">
        <f t="shared" si="6"/>
        <v>74</v>
      </c>
      <c r="V41" s="74">
        <v>5</v>
      </c>
      <c r="W41" s="77">
        <v>28</v>
      </c>
      <c r="X41" s="94">
        <f t="shared" si="7"/>
        <v>33</v>
      </c>
      <c r="Y41" s="94">
        <f t="shared" si="8"/>
        <v>107</v>
      </c>
      <c r="Z41" s="94">
        <f t="shared" si="1"/>
        <v>107</v>
      </c>
      <c r="AA41" s="177"/>
      <c r="AB41" s="76">
        <f t="shared" si="9"/>
        <v>4</v>
      </c>
      <c r="AC41" s="74">
        <v>10</v>
      </c>
      <c r="AD41" s="77">
        <v>9</v>
      </c>
      <c r="AE41" s="93">
        <f t="shared" si="10"/>
        <v>19</v>
      </c>
      <c r="AF41" s="77">
        <v>9</v>
      </c>
      <c r="AG41" s="94">
        <f t="shared" si="11"/>
        <v>28</v>
      </c>
      <c r="AH41" s="177"/>
      <c r="AI41" s="76" t="str">
        <f t="shared" si="12"/>
        <v>F</v>
      </c>
      <c r="AJ41" s="74">
        <v>18</v>
      </c>
      <c r="AK41" s="77">
        <v>37</v>
      </c>
      <c r="AL41" s="93">
        <f t="shared" si="13"/>
        <v>55</v>
      </c>
      <c r="AM41" s="77">
        <v>21</v>
      </c>
      <c r="AN41" s="94">
        <f t="shared" si="14"/>
        <v>76</v>
      </c>
      <c r="AO41" s="177"/>
      <c r="AP41" s="76">
        <f t="shared" si="15"/>
        <v>4</v>
      </c>
      <c r="AQ41" s="77">
        <v>22</v>
      </c>
      <c r="AR41" s="77">
        <v>24</v>
      </c>
      <c r="AS41" s="76">
        <f t="shared" si="16"/>
        <v>46</v>
      </c>
      <c r="AT41" s="178"/>
      <c r="AU41" s="76">
        <f t="shared" si="17"/>
        <v>5</v>
      </c>
      <c r="AV41" s="74">
        <v>19</v>
      </c>
      <c r="AW41" s="77">
        <v>47</v>
      </c>
      <c r="AX41" s="93">
        <f t="shared" si="18"/>
        <v>66</v>
      </c>
      <c r="AY41" s="77">
        <v>24</v>
      </c>
      <c r="AZ41" s="94">
        <f t="shared" si="19"/>
        <v>90</v>
      </c>
      <c r="BA41" s="177"/>
      <c r="BB41" s="76">
        <f t="shared" si="20"/>
        <v>5</v>
      </c>
      <c r="BC41" s="74">
        <v>13</v>
      </c>
      <c r="BD41" s="77">
        <v>37</v>
      </c>
      <c r="BE41" s="93">
        <f t="shared" si="21"/>
        <v>50</v>
      </c>
      <c r="BF41" s="77">
        <v>23</v>
      </c>
      <c r="BG41" s="94">
        <f t="shared" si="22"/>
        <v>73</v>
      </c>
      <c r="BH41" s="177"/>
      <c r="BI41" s="76">
        <f t="shared" si="23"/>
        <v>4</v>
      </c>
      <c r="BJ41" s="74">
        <v>10</v>
      </c>
      <c r="BK41" s="77">
        <v>32</v>
      </c>
      <c r="BL41" s="94">
        <f t="shared" si="24"/>
        <v>42</v>
      </c>
      <c r="BM41" s="94">
        <f t="shared" si="25"/>
        <v>42</v>
      </c>
      <c r="BN41" s="180"/>
      <c r="BO41" s="85">
        <f t="shared" si="2"/>
        <v>5</v>
      </c>
      <c r="BP41" s="85" t="str">
        <f t="shared" si="26"/>
        <v>F</v>
      </c>
      <c r="BQ41" s="86" t="str">
        <f t="shared" si="27"/>
        <v>F</v>
      </c>
      <c r="BR41" s="86" t="str">
        <f t="shared" si="28"/>
        <v>F</v>
      </c>
      <c r="BS41" s="85" t="str">
        <f t="shared" si="3"/>
        <v>NEED TO PROGRESS</v>
      </c>
      <c r="BT41" s="127">
        <f t="shared" si="29"/>
        <v>563</v>
      </c>
      <c r="BU41" s="85"/>
      <c r="BV41" s="88"/>
    </row>
    <row r="42" spans="1:74" ht="27.95" customHeight="1">
      <c r="A42" s="81">
        <v>35</v>
      </c>
      <c r="B42" s="82">
        <v>92</v>
      </c>
      <c r="C42" s="83" t="s">
        <v>212</v>
      </c>
      <c r="D42" s="83" t="s">
        <v>170</v>
      </c>
      <c r="E42" s="83" t="s">
        <v>213</v>
      </c>
      <c r="F42" s="84" t="s">
        <v>214</v>
      </c>
      <c r="G42" s="74">
        <v>14</v>
      </c>
      <c r="H42" s="76">
        <v>22</v>
      </c>
      <c r="I42" s="94">
        <f t="shared" si="30"/>
        <v>36</v>
      </c>
      <c r="J42" s="76">
        <v>26</v>
      </c>
      <c r="K42" s="94">
        <f t="shared" si="31"/>
        <v>62</v>
      </c>
      <c r="L42" s="74">
        <v>7</v>
      </c>
      <c r="M42" s="76">
        <v>34</v>
      </c>
      <c r="N42" s="94">
        <f t="shared" si="32"/>
        <v>41</v>
      </c>
      <c r="O42" s="94">
        <f t="shared" si="4"/>
        <v>41</v>
      </c>
      <c r="P42" s="94">
        <f t="shared" si="0"/>
        <v>103</v>
      </c>
      <c r="Q42" s="177"/>
      <c r="R42" s="76">
        <f t="shared" si="5"/>
        <v>3.5</v>
      </c>
      <c r="S42" s="74">
        <v>16</v>
      </c>
      <c r="T42" s="77">
        <v>62</v>
      </c>
      <c r="U42" s="93">
        <f t="shared" si="6"/>
        <v>78</v>
      </c>
      <c r="V42" s="74">
        <v>7</v>
      </c>
      <c r="W42" s="77">
        <v>29</v>
      </c>
      <c r="X42" s="94">
        <f t="shared" si="7"/>
        <v>36</v>
      </c>
      <c r="Y42" s="94">
        <f t="shared" si="8"/>
        <v>114</v>
      </c>
      <c r="Z42" s="94">
        <f t="shared" si="1"/>
        <v>114</v>
      </c>
      <c r="AA42" s="177"/>
      <c r="AB42" s="76">
        <f t="shared" si="9"/>
        <v>4</v>
      </c>
      <c r="AC42" s="74">
        <v>20</v>
      </c>
      <c r="AD42" s="77">
        <v>31</v>
      </c>
      <c r="AE42" s="93">
        <f t="shared" si="10"/>
        <v>51</v>
      </c>
      <c r="AF42" s="77">
        <v>15</v>
      </c>
      <c r="AG42" s="94">
        <f t="shared" si="11"/>
        <v>66</v>
      </c>
      <c r="AH42" s="177"/>
      <c r="AI42" s="76">
        <f t="shared" si="12"/>
        <v>3.5</v>
      </c>
      <c r="AJ42" s="74">
        <v>19</v>
      </c>
      <c r="AK42" s="77">
        <v>39</v>
      </c>
      <c r="AL42" s="93">
        <f t="shared" si="13"/>
        <v>58</v>
      </c>
      <c r="AM42" s="77">
        <v>24</v>
      </c>
      <c r="AN42" s="94">
        <f t="shared" si="14"/>
        <v>82</v>
      </c>
      <c r="AO42" s="177"/>
      <c r="AP42" s="76">
        <f t="shared" si="15"/>
        <v>5</v>
      </c>
      <c r="AQ42" s="77">
        <v>22</v>
      </c>
      <c r="AR42" s="77">
        <v>24</v>
      </c>
      <c r="AS42" s="76">
        <f t="shared" si="16"/>
        <v>46</v>
      </c>
      <c r="AT42" s="178"/>
      <c r="AU42" s="76">
        <f t="shared" si="17"/>
        <v>5</v>
      </c>
      <c r="AV42" s="74">
        <v>20</v>
      </c>
      <c r="AW42" s="77">
        <v>36</v>
      </c>
      <c r="AX42" s="93">
        <f t="shared" si="18"/>
        <v>56</v>
      </c>
      <c r="AY42" s="77">
        <v>24</v>
      </c>
      <c r="AZ42" s="94">
        <f t="shared" si="19"/>
        <v>80</v>
      </c>
      <c r="BA42" s="177"/>
      <c r="BB42" s="76">
        <f t="shared" si="20"/>
        <v>5</v>
      </c>
      <c r="BC42" s="74">
        <v>13</v>
      </c>
      <c r="BD42" s="77">
        <v>34</v>
      </c>
      <c r="BE42" s="93">
        <f t="shared" si="21"/>
        <v>47</v>
      </c>
      <c r="BF42" s="77">
        <v>25</v>
      </c>
      <c r="BG42" s="94">
        <f t="shared" si="22"/>
        <v>72</v>
      </c>
      <c r="BH42" s="177"/>
      <c r="BI42" s="76">
        <f t="shared" si="23"/>
        <v>4</v>
      </c>
      <c r="BJ42" s="74">
        <v>9</v>
      </c>
      <c r="BK42" s="77">
        <v>32</v>
      </c>
      <c r="BL42" s="94">
        <f t="shared" si="24"/>
        <v>41</v>
      </c>
      <c r="BM42" s="94">
        <f t="shared" si="25"/>
        <v>41</v>
      </c>
      <c r="BN42" s="180"/>
      <c r="BO42" s="85">
        <f t="shared" si="2"/>
        <v>5</v>
      </c>
      <c r="BP42" s="85">
        <f t="shared" si="26"/>
        <v>35</v>
      </c>
      <c r="BQ42" s="86">
        <f t="shared" si="27"/>
        <v>4.375</v>
      </c>
      <c r="BR42" s="86" t="str">
        <f t="shared" si="28"/>
        <v>A</v>
      </c>
      <c r="BS42" s="85" t="str">
        <f t="shared" si="3"/>
        <v>BETTER</v>
      </c>
      <c r="BT42" s="127">
        <f t="shared" si="29"/>
        <v>604</v>
      </c>
      <c r="BU42" s="85"/>
      <c r="BV42" s="88"/>
    </row>
    <row r="43" spans="1:74" ht="27.95" customHeight="1">
      <c r="A43" s="81">
        <v>36</v>
      </c>
      <c r="B43" s="82">
        <v>93</v>
      </c>
      <c r="C43" s="83" t="s">
        <v>215</v>
      </c>
      <c r="D43" s="83" t="s">
        <v>216</v>
      </c>
      <c r="E43" s="83" t="s">
        <v>217</v>
      </c>
      <c r="F43" s="84" t="s">
        <v>218</v>
      </c>
      <c r="G43" s="74">
        <v>14</v>
      </c>
      <c r="H43" s="76">
        <v>24</v>
      </c>
      <c r="I43" s="94">
        <f t="shared" si="30"/>
        <v>38</v>
      </c>
      <c r="J43" s="76">
        <v>28</v>
      </c>
      <c r="K43" s="94">
        <f t="shared" si="31"/>
        <v>66</v>
      </c>
      <c r="L43" s="74">
        <v>9</v>
      </c>
      <c r="M43" s="76">
        <v>31</v>
      </c>
      <c r="N43" s="94">
        <f t="shared" si="32"/>
        <v>40</v>
      </c>
      <c r="O43" s="94">
        <f t="shared" si="4"/>
        <v>40</v>
      </c>
      <c r="P43" s="94">
        <f t="shared" si="0"/>
        <v>106</v>
      </c>
      <c r="Q43" s="177"/>
      <c r="R43" s="76">
        <f t="shared" si="5"/>
        <v>4</v>
      </c>
      <c r="S43" s="74">
        <v>14</v>
      </c>
      <c r="T43" s="77">
        <v>47</v>
      </c>
      <c r="U43" s="93">
        <f t="shared" si="6"/>
        <v>61</v>
      </c>
      <c r="V43" s="74">
        <v>5</v>
      </c>
      <c r="W43" s="77">
        <v>27</v>
      </c>
      <c r="X43" s="94">
        <f t="shared" si="7"/>
        <v>32</v>
      </c>
      <c r="Y43" s="94">
        <f t="shared" si="8"/>
        <v>93</v>
      </c>
      <c r="Z43" s="94">
        <f t="shared" si="1"/>
        <v>93</v>
      </c>
      <c r="AA43" s="177"/>
      <c r="AB43" s="76">
        <f t="shared" si="9"/>
        <v>3.5</v>
      </c>
      <c r="AC43" s="74">
        <v>15</v>
      </c>
      <c r="AD43" s="77">
        <v>16</v>
      </c>
      <c r="AE43" s="93">
        <f t="shared" si="10"/>
        <v>31</v>
      </c>
      <c r="AF43" s="77">
        <v>18</v>
      </c>
      <c r="AG43" s="94">
        <f t="shared" si="11"/>
        <v>49</v>
      </c>
      <c r="AH43" s="177"/>
      <c r="AI43" s="76">
        <f t="shared" si="12"/>
        <v>2</v>
      </c>
      <c r="AJ43" s="74">
        <v>19</v>
      </c>
      <c r="AK43" s="77">
        <v>37</v>
      </c>
      <c r="AL43" s="93">
        <f t="shared" si="13"/>
        <v>56</v>
      </c>
      <c r="AM43" s="77">
        <v>26</v>
      </c>
      <c r="AN43" s="94">
        <f t="shared" si="14"/>
        <v>82</v>
      </c>
      <c r="AO43" s="177"/>
      <c r="AP43" s="76">
        <f t="shared" si="15"/>
        <v>5</v>
      </c>
      <c r="AQ43" s="77">
        <v>22</v>
      </c>
      <c r="AR43" s="77">
        <v>24</v>
      </c>
      <c r="AS43" s="76">
        <f t="shared" si="16"/>
        <v>46</v>
      </c>
      <c r="AT43" s="178"/>
      <c r="AU43" s="76">
        <f t="shared" si="17"/>
        <v>5</v>
      </c>
      <c r="AV43" s="74">
        <v>20</v>
      </c>
      <c r="AW43" s="77">
        <v>38</v>
      </c>
      <c r="AX43" s="93">
        <f t="shared" si="18"/>
        <v>58</v>
      </c>
      <c r="AY43" s="77">
        <v>22</v>
      </c>
      <c r="AZ43" s="94">
        <f t="shared" si="19"/>
        <v>80</v>
      </c>
      <c r="BA43" s="177"/>
      <c r="BB43" s="76">
        <f t="shared" si="20"/>
        <v>5</v>
      </c>
      <c r="BC43" s="74">
        <v>13</v>
      </c>
      <c r="BD43" s="77">
        <v>32</v>
      </c>
      <c r="BE43" s="93">
        <f t="shared" si="21"/>
        <v>45</v>
      </c>
      <c r="BF43" s="77">
        <v>20</v>
      </c>
      <c r="BG43" s="94">
        <f t="shared" si="22"/>
        <v>65</v>
      </c>
      <c r="BH43" s="177"/>
      <c r="BI43" s="76">
        <f t="shared" si="23"/>
        <v>3.5</v>
      </c>
      <c r="BJ43" s="74">
        <v>9</v>
      </c>
      <c r="BK43" s="77">
        <v>32</v>
      </c>
      <c r="BL43" s="94">
        <f t="shared" si="24"/>
        <v>41</v>
      </c>
      <c r="BM43" s="94">
        <f t="shared" si="25"/>
        <v>41</v>
      </c>
      <c r="BN43" s="180"/>
      <c r="BO43" s="85">
        <f t="shared" si="2"/>
        <v>5</v>
      </c>
      <c r="BP43" s="85">
        <f t="shared" si="26"/>
        <v>33</v>
      </c>
      <c r="BQ43" s="86">
        <f t="shared" si="27"/>
        <v>4.125</v>
      </c>
      <c r="BR43" s="86" t="str">
        <f t="shared" si="28"/>
        <v>A</v>
      </c>
      <c r="BS43" s="85" t="str">
        <f t="shared" si="3"/>
        <v>BETTER</v>
      </c>
      <c r="BT43" s="127">
        <f t="shared" si="29"/>
        <v>562</v>
      </c>
      <c r="BU43" s="85"/>
      <c r="BV43" s="88"/>
    </row>
    <row r="44" spans="1:74" ht="27.95" customHeight="1">
      <c r="A44" s="81">
        <v>37</v>
      </c>
      <c r="B44" s="82">
        <v>95</v>
      </c>
      <c r="C44" s="83" t="s">
        <v>219</v>
      </c>
      <c r="D44" s="83" t="s">
        <v>220</v>
      </c>
      <c r="E44" s="83" t="s">
        <v>221</v>
      </c>
      <c r="F44" s="84" t="s">
        <v>222</v>
      </c>
      <c r="G44" s="74">
        <v>15</v>
      </c>
      <c r="H44" s="76">
        <v>29</v>
      </c>
      <c r="I44" s="94">
        <f t="shared" si="30"/>
        <v>44</v>
      </c>
      <c r="J44" s="76">
        <v>25</v>
      </c>
      <c r="K44" s="94">
        <f t="shared" si="31"/>
        <v>69</v>
      </c>
      <c r="L44" s="74">
        <v>9</v>
      </c>
      <c r="M44" s="76">
        <v>30</v>
      </c>
      <c r="N44" s="94">
        <f t="shared" si="32"/>
        <v>39</v>
      </c>
      <c r="O44" s="94">
        <f t="shared" si="4"/>
        <v>39</v>
      </c>
      <c r="P44" s="94">
        <f t="shared" si="0"/>
        <v>108</v>
      </c>
      <c r="Q44" s="177"/>
      <c r="R44" s="76">
        <f t="shared" si="5"/>
        <v>4</v>
      </c>
      <c r="S44" s="74">
        <v>13</v>
      </c>
      <c r="T44" s="77">
        <v>53</v>
      </c>
      <c r="U44" s="93">
        <f t="shared" si="6"/>
        <v>66</v>
      </c>
      <c r="V44" s="74">
        <v>7</v>
      </c>
      <c r="W44" s="77">
        <v>34</v>
      </c>
      <c r="X44" s="94">
        <f t="shared" si="7"/>
        <v>41</v>
      </c>
      <c r="Y44" s="94">
        <f t="shared" si="8"/>
        <v>107</v>
      </c>
      <c r="Z44" s="94">
        <f t="shared" si="1"/>
        <v>107</v>
      </c>
      <c r="AA44" s="177"/>
      <c r="AB44" s="76">
        <f t="shared" si="9"/>
        <v>4</v>
      </c>
      <c r="AC44" s="74">
        <v>20</v>
      </c>
      <c r="AD44" s="77">
        <v>31</v>
      </c>
      <c r="AE44" s="93">
        <f t="shared" si="10"/>
        <v>51</v>
      </c>
      <c r="AF44" s="77">
        <v>24</v>
      </c>
      <c r="AG44" s="94">
        <f t="shared" si="11"/>
        <v>75</v>
      </c>
      <c r="AH44" s="177"/>
      <c r="AI44" s="76">
        <f t="shared" si="12"/>
        <v>4</v>
      </c>
      <c r="AJ44" s="74">
        <v>15</v>
      </c>
      <c r="AK44" s="77">
        <v>45</v>
      </c>
      <c r="AL44" s="93">
        <f t="shared" si="13"/>
        <v>60</v>
      </c>
      <c r="AM44" s="77">
        <v>24</v>
      </c>
      <c r="AN44" s="94">
        <f t="shared" si="14"/>
        <v>84</v>
      </c>
      <c r="AO44" s="177"/>
      <c r="AP44" s="76">
        <f t="shared" si="15"/>
        <v>5</v>
      </c>
      <c r="AQ44" s="77">
        <v>22</v>
      </c>
      <c r="AR44" s="77">
        <v>24</v>
      </c>
      <c r="AS44" s="76">
        <f t="shared" si="16"/>
        <v>46</v>
      </c>
      <c r="AT44" s="178"/>
      <c r="AU44" s="76">
        <f t="shared" si="17"/>
        <v>5</v>
      </c>
      <c r="AV44" s="74">
        <v>18</v>
      </c>
      <c r="AW44" s="77">
        <v>46</v>
      </c>
      <c r="AX44" s="93">
        <f t="shared" si="18"/>
        <v>64</v>
      </c>
      <c r="AY44" s="77">
        <v>16</v>
      </c>
      <c r="AZ44" s="94">
        <f t="shared" si="19"/>
        <v>80</v>
      </c>
      <c r="BA44" s="177"/>
      <c r="BB44" s="76">
        <f t="shared" si="20"/>
        <v>5</v>
      </c>
      <c r="BC44" s="74">
        <v>16</v>
      </c>
      <c r="BD44" s="77">
        <v>22</v>
      </c>
      <c r="BE44" s="93">
        <f t="shared" si="21"/>
        <v>38</v>
      </c>
      <c r="BF44" s="77">
        <v>20</v>
      </c>
      <c r="BG44" s="94">
        <f t="shared" si="22"/>
        <v>58</v>
      </c>
      <c r="BH44" s="177"/>
      <c r="BI44" s="76">
        <f t="shared" si="23"/>
        <v>3</v>
      </c>
      <c r="BJ44" s="74">
        <v>9</v>
      </c>
      <c r="BK44" s="77">
        <v>32</v>
      </c>
      <c r="BL44" s="94">
        <f t="shared" si="24"/>
        <v>41</v>
      </c>
      <c r="BM44" s="94">
        <f t="shared" si="25"/>
        <v>41</v>
      </c>
      <c r="BN44" s="180"/>
      <c r="BO44" s="85">
        <f t="shared" si="2"/>
        <v>5</v>
      </c>
      <c r="BP44" s="85">
        <f t="shared" si="26"/>
        <v>35</v>
      </c>
      <c r="BQ44" s="86">
        <f t="shared" si="27"/>
        <v>4.375</v>
      </c>
      <c r="BR44" s="86" t="str">
        <f t="shared" si="28"/>
        <v>A</v>
      </c>
      <c r="BS44" s="85" t="str">
        <f t="shared" si="3"/>
        <v>BETTER</v>
      </c>
      <c r="BT44" s="127">
        <f t="shared" si="29"/>
        <v>599</v>
      </c>
      <c r="BU44" s="85"/>
      <c r="BV44" s="88"/>
    </row>
    <row r="45" spans="1:74" ht="27.95" customHeight="1">
      <c r="A45" s="81">
        <v>38</v>
      </c>
      <c r="B45" s="82">
        <v>96</v>
      </c>
      <c r="C45" s="90" t="s">
        <v>223</v>
      </c>
      <c r="D45" s="83" t="s">
        <v>224</v>
      </c>
      <c r="E45" s="83" t="s">
        <v>225</v>
      </c>
      <c r="F45" s="84" t="s">
        <v>226</v>
      </c>
      <c r="G45" s="74">
        <v>16</v>
      </c>
      <c r="H45" s="76">
        <v>29</v>
      </c>
      <c r="I45" s="94">
        <f t="shared" si="30"/>
        <v>45</v>
      </c>
      <c r="J45" s="76">
        <v>28</v>
      </c>
      <c r="K45" s="94">
        <f t="shared" si="31"/>
        <v>73</v>
      </c>
      <c r="L45" s="74">
        <v>8</v>
      </c>
      <c r="M45" s="76">
        <v>28</v>
      </c>
      <c r="N45" s="94">
        <f t="shared" si="32"/>
        <v>36</v>
      </c>
      <c r="O45" s="94">
        <f t="shared" si="4"/>
        <v>36</v>
      </c>
      <c r="P45" s="94">
        <f t="shared" si="0"/>
        <v>109</v>
      </c>
      <c r="Q45" s="177"/>
      <c r="R45" s="76">
        <f t="shared" si="5"/>
        <v>4</v>
      </c>
      <c r="S45" s="74">
        <v>16</v>
      </c>
      <c r="T45" s="77">
        <v>49</v>
      </c>
      <c r="U45" s="93">
        <f t="shared" si="6"/>
        <v>65</v>
      </c>
      <c r="V45" s="74">
        <v>6</v>
      </c>
      <c r="W45" s="77">
        <v>33</v>
      </c>
      <c r="X45" s="94">
        <f t="shared" si="7"/>
        <v>39</v>
      </c>
      <c r="Y45" s="94">
        <f t="shared" si="8"/>
        <v>104</v>
      </c>
      <c r="Z45" s="94">
        <f t="shared" si="1"/>
        <v>104</v>
      </c>
      <c r="AA45" s="177"/>
      <c r="AB45" s="76">
        <f t="shared" si="9"/>
        <v>3.5</v>
      </c>
      <c r="AC45" s="74">
        <v>19</v>
      </c>
      <c r="AD45" s="77">
        <v>34</v>
      </c>
      <c r="AE45" s="93">
        <f t="shared" si="10"/>
        <v>53</v>
      </c>
      <c r="AF45" s="77">
        <v>23</v>
      </c>
      <c r="AG45" s="94">
        <f t="shared" si="11"/>
        <v>76</v>
      </c>
      <c r="AH45" s="177"/>
      <c r="AI45" s="76">
        <f t="shared" si="12"/>
        <v>4</v>
      </c>
      <c r="AJ45" s="74">
        <v>19</v>
      </c>
      <c r="AK45" s="77">
        <v>43</v>
      </c>
      <c r="AL45" s="93">
        <f t="shared" si="13"/>
        <v>62</v>
      </c>
      <c r="AM45" s="77">
        <v>24</v>
      </c>
      <c r="AN45" s="94">
        <f t="shared" si="14"/>
        <v>86</v>
      </c>
      <c r="AO45" s="177"/>
      <c r="AP45" s="76">
        <f t="shared" si="15"/>
        <v>5</v>
      </c>
      <c r="AQ45" s="77">
        <v>22</v>
      </c>
      <c r="AR45" s="77">
        <v>24</v>
      </c>
      <c r="AS45" s="76">
        <f t="shared" si="16"/>
        <v>46</v>
      </c>
      <c r="AT45" s="178"/>
      <c r="AU45" s="76">
        <f t="shared" si="17"/>
        <v>5</v>
      </c>
      <c r="AV45" s="74">
        <v>19</v>
      </c>
      <c r="AW45" s="77">
        <v>41</v>
      </c>
      <c r="AX45" s="93">
        <f t="shared" si="18"/>
        <v>60</v>
      </c>
      <c r="AY45" s="77">
        <v>26</v>
      </c>
      <c r="AZ45" s="94">
        <f t="shared" si="19"/>
        <v>86</v>
      </c>
      <c r="BA45" s="177"/>
      <c r="BB45" s="76">
        <f t="shared" si="20"/>
        <v>5</v>
      </c>
      <c r="BC45" s="74">
        <v>15</v>
      </c>
      <c r="BD45" s="77">
        <v>34</v>
      </c>
      <c r="BE45" s="93">
        <f t="shared" si="21"/>
        <v>49</v>
      </c>
      <c r="BF45" s="77">
        <v>24</v>
      </c>
      <c r="BG45" s="94">
        <f t="shared" si="22"/>
        <v>73</v>
      </c>
      <c r="BH45" s="177"/>
      <c r="BI45" s="76">
        <f t="shared" si="23"/>
        <v>4</v>
      </c>
      <c r="BJ45" s="74">
        <v>9</v>
      </c>
      <c r="BK45" s="77">
        <v>32</v>
      </c>
      <c r="BL45" s="94">
        <f t="shared" si="24"/>
        <v>41</v>
      </c>
      <c r="BM45" s="94">
        <f t="shared" si="25"/>
        <v>41</v>
      </c>
      <c r="BN45" s="180"/>
      <c r="BO45" s="85">
        <f t="shared" si="2"/>
        <v>5</v>
      </c>
      <c r="BP45" s="85">
        <f t="shared" si="26"/>
        <v>35.5</v>
      </c>
      <c r="BQ45" s="86">
        <f t="shared" si="27"/>
        <v>4.4375</v>
      </c>
      <c r="BR45" s="86" t="str">
        <f t="shared" si="28"/>
        <v>A</v>
      </c>
      <c r="BS45" s="85" t="str">
        <f t="shared" si="3"/>
        <v>BETTER</v>
      </c>
      <c r="BT45" s="127">
        <f t="shared" si="29"/>
        <v>621</v>
      </c>
      <c r="BU45" s="85"/>
      <c r="BV45" s="88"/>
    </row>
    <row r="46" spans="1:74" ht="27.95" customHeight="1">
      <c r="A46" s="81">
        <v>39</v>
      </c>
      <c r="B46" s="82">
        <v>97</v>
      </c>
      <c r="C46" s="83" t="s">
        <v>227</v>
      </c>
      <c r="D46" s="83" t="s">
        <v>228</v>
      </c>
      <c r="E46" s="83" t="s">
        <v>229</v>
      </c>
      <c r="F46" s="84" t="s">
        <v>230</v>
      </c>
      <c r="G46" s="74">
        <v>19</v>
      </c>
      <c r="H46" s="76">
        <v>31</v>
      </c>
      <c r="I46" s="94">
        <f t="shared" si="30"/>
        <v>50</v>
      </c>
      <c r="J46" s="76">
        <v>27</v>
      </c>
      <c r="K46" s="94">
        <f t="shared" si="31"/>
        <v>77</v>
      </c>
      <c r="L46" s="74">
        <v>9</v>
      </c>
      <c r="M46" s="76">
        <v>32</v>
      </c>
      <c r="N46" s="94">
        <f t="shared" si="32"/>
        <v>41</v>
      </c>
      <c r="O46" s="94">
        <f t="shared" si="4"/>
        <v>41</v>
      </c>
      <c r="P46" s="94">
        <f t="shared" si="0"/>
        <v>118</v>
      </c>
      <c r="Q46" s="177"/>
      <c r="R46" s="76">
        <f t="shared" si="5"/>
        <v>4</v>
      </c>
      <c r="S46" s="74">
        <v>17</v>
      </c>
      <c r="T46" s="77">
        <v>70</v>
      </c>
      <c r="U46" s="93">
        <f t="shared" si="6"/>
        <v>87</v>
      </c>
      <c r="V46" s="74">
        <v>6</v>
      </c>
      <c r="W46" s="77">
        <v>34</v>
      </c>
      <c r="X46" s="94">
        <f t="shared" si="7"/>
        <v>40</v>
      </c>
      <c r="Y46" s="94">
        <f t="shared" si="8"/>
        <v>127</v>
      </c>
      <c r="Z46" s="94">
        <f t="shared" si="1"/>
        <v>127</v>
      </c>
      <c r="AA46" s="177"/>
      <c r="AB46" s="76">
        <f t="shared" si="9"/>
        <v>5</v>
      </c>
      <c r="AC46" s="74">
        <v>20</v>
      </c>
      <c r="AD46" s="77">
        <v>36</v>
      </c>
      <c r="AE46" s="93">
        <f t="shared" si="10"/>
        <v>56</v>
      </c>
      <c r="AF46" s="77">
        <v>24</v>
      </c>
      <c r="AG46" s="94">
        <f t="shared" si="11"/>
        <v>80</v>
      </c>
      <c r="AH46" s="177"/>
      <c r="AI46" s="76">
        <f t="shared" si="12"/>
        <v>5</v>
      </c>
      <c r="AJ46" s="74">
        <v>20</v>
      </c>
      <c r="AK46" s="77">
        <v>45</v>
      </c>
      <c r="AL46" s="93">
        <f t="shared" si="13"/>
        <v>65</v>
      </c>
      <c r="AM46" s="77">
        <v>23</v>
      </c>
      <c r="AN46" s="94">
        <f t="shared" si="14"/>
        <v>88</v>
      </c>
      <c r="AO46" s="177"/>
      <c r="AP46" s="76">
        <f t="shared" si="15"/>
        <v>5</v>
      </c>
      <c r="AQ46" s="77">
        <v>22</v>
      </c>
      <c r="AR46" s="77">
        <v>24</v>
      </c>
      <c r="AS46" s="76">
        <f t="shared" si="16"/>
        <v>46</v>
      </c>
      <c r="AT46" s="178"/>
      <c r="AU46" s="76">
        <f t="shared" si="17"/>
        <v>5</v>
      </c>
      <c r="AV46" s="74">
        <v>19</v>
      </c>
      <c r="AW46" s="77">
        <v>48</v>
      </c>
      <c r="AX46" s="93">
        <f t="shared" si="18"/>
        <v>67</v>
      </c>
      <c r="AY46" s="77">
        <v>26</v>
      </c>
      <c r="AZ46" s="94">
        <f t="shared" si="19"/>
        <v>93</v>
      </c>
      <c r="BA46" s="177"/>
      <c r="BB46" s="76">
        <f t="shared" si="20"/>
        <v>5</v>
      </c>
      <c r="BC46" s="74">
        <v>17</v>
      </c>
      <c r="BD46" s="77">
        <v>38</v>
      </c>
      <c r="BE46" s="93">
        <f t="shared" si="21"/>
        <v>55</v>
      </c>
      <c r="BF46" s="77">
        <v>21</v>
      </c>
      <c r="BG46" s="94">
        <f t="shared" si="22"/>
        <v>76</v>
      </c>
      <c r="BH46" s="177"/>
      <c r="BI46" s="76">
        <f t="shared" si="23"/>
        <v>4</v>
      </c>
      <c r="BJ46" s="74">
        <v>9</v>
      </c>
      <c r="BK46" s="77">
        <v>32</v>
      </c>
      <c r="BL46" s="94">
        <f t="shared" si="24"/>
        <v>41</v>
      </c>
      <c r="BM46" s="94">
        <f t="shared" si="25"/>
        <v>41</v>
      </c>
      <c r="BN46" s="180"/>
      <c r="BO46" s="85">
        <f t="shared" si="2"/>
        <v>5</v>
      </c>
      <c r="BP46" s="85">
        <f t="shared" si="26"/>
        <v>38</v>
      </c>
      <c r="BQ46" s="86">
        <f t="shared" si="27"/>
        <v>4.75</v>
      </c>
      <c r="BR46" s="86" t="str">
        <f t="shared" si="28"/>
        <v>A</v>
      </c>
      <c r="BS46" s="85" t="str">
        <f t="shared" si="3"/>
        <v>BETTER</v>
      </c>
      <c r="BT46" s="127">
        <f t="shared" si="29"/>
        <v>669</v>
      </c>
      <c r="BU46" s="85"/>
      <c r="BV46" s="88"/>
    </row>
    <row r="47" spans="1:74" s="36" customFormat="1" ht="27.95" customHeight="1" thickBot="1">
      <c r="A47" s="81">
        <v>40</v>
      </c>
      <c r="B47" s="82">
        <v>99</v>
      </c>
      <c r="C47" s="83" t="s">
        <v>231</v>
      </c>
      <c r="D47" s="83" t="s">
        <v>232</v>
      </c>
      <c r="E47" s="83" t="s">
        <v>233</v>
      </c>
      <c r="F47" s="84" t="s">
        <v>234</v>
      </c>
      <c r="G47" s="74">
        <v>15</v>
      </c>
      <c r="H47" s="76">
        <v>28</v>
      </c>
      <c r="I47" s="94">
        <f t="shared" si="30"/>
        <v>43</v>
      </c>
      <c r="J47" s="76">
        <v>24</v>
      </c>
      <c r="K47" s="94">
        <f t="shared" si="31"/>
        <v>67</v>
      </c>
      <c r="L47" s="74">
        <v>10</v>
      </c>
      <c r="M47" s="76">
        <v>29</v>
      </c>
      <c r="N47" s="94">
        <f t="shared" si="32"/>
        <v>39</v>
      </c>
      <c r="O47" s="94">
        <f t="shared" si="4"/>
        <v>39</v>
      </c>
      <c r="P47" s="94">
        <f t="shared" si="0"/>
        <v>106</v>
      </c>
      <c r="Q47" s="177"/>
      <c r="R47" s="76">
        <f t="shared" si="5"/>
        <v>4</v>
      </c>
      <c r="S47" s="74">
        <v>16</v>
      </c>
      <c r="T47" s="77">
        <v>62</v>
      </c>
      <c r="U47" s="93">
        <f t="shared" si="6"/>
        <v>78</v>
      </c>
      <c r="V47" s="74">
        <v>6</v>
      </c>
      <c r="W47" s="77">
        <v>34</v>
      </c>
      <c r="X47" s="94">
        <f t="shared" si="7"/>
        <v>40</v>
      </c>
      <c r="Y47" s="94">
        <f t="shared" si="8"/>
        <v>118</v>
      </c>
      <c r="Z47" s="94">
        <f t="shared" si="1"/>
        <v>118</v>
      </c>
      <c r="AA47" s="177"/>
      <c r="AB47" s="76">
        <f t="shared" si="9"/>
        <v>4</v>
      </c>
      <c r="AC47" s="74">
        <v>19</v>
      </c>
      <c r="AD47" s="77">
        <v>34</v>
      </c>
      <c r="AE47" s="93">
        <f t="shared" si="10"/>
        <v>53</v>
      </c>
      <c r="AF47" s="77">
        <v>24</v>
      </c>
      <c r="AG47" s="94">
        <f t="shared" si="11"/>
        <v>77</v>
      </c>
      <c r="AH47" s="177"/>
      <c r="AI47" s="76">
        <f t="shared" si="12"/>
        <v>4</v>
      </c>
      <c r="AJ47" s="74">
        <v>17</v>
      </c>
      <c r="AK47" s="77">
        <v>43</v>
      </c>
      <c r="AL47" s="93">
        <f t="shared" si="13"/>
        <v>60</v>
      </c>
      <c r="AM47" s="77">
        <v>27</v>
      </c>
      <c r="AN47" s="94">
        <f t="shared" si="14"/>
        <v>87</v>
      </c>
      <c r="AO47" s="177"/>
      <c r="AP47" s="76">
        <f t="shared" si="15"/>
        <v>5</v>
      </c>
      <c r="AQ47" s="77">
        <v>22</v>
      </c>
      <c r="AR47" s="77">
        <v>24</v>
      </c>
      <c r="AS47" s="76">
        <f t="shared" si="16"/>
        <v>46</v>
      </c>
      <c r="AT47" s="178"/>
      <c r="AU47" s="76">
        <f t="shared" si="17"/>
        <v>5</v>
      </c>
      <c r="AV47" s="74">
        <v>17</v>
      </c>
      <c r="AW47" s="77">
        <v>46</v>
      </c>
      <c r="AX47" s="93">
        <f t="shared" si="18"/>
        <v>63</v>
      </c>
      <c r="AY47" s="77">
        <v>24</v>
      </c>
      <c r="AZ47" s="94">
        <f t="shared" si="19"/>
        <v>87</v>
      </c>
      <c r="BA47" s="177"/>
      <c r="BB47" s="76">
        <f t="shared" si="20"/>
        <v>5</v>
      </c>
      <c r="BC47" s="74">
        <v>17</v>
      </c>
      <c r="BD47" s="77">
        <v>37</v>
      </c>
      <c r="BE47" s="93">
        <f t="shared" si="21"/>
        <v>54</v>
      </c>
      <c r="BF47" s="77">
        <v>18</v>
      </c>
      <c r="BG47" s="94">
        <f t="shared" si="22"/>
        <v>72</v>
      </c>
      <c r="BH47" s="177"/>
      <c r="BI47" s="76">
        <f t="shared" si="23"/>
        <v>4</v>
      </c>
      <c r="BJ47" s="74">
        <v>9</v>
      </c>
      <c r="BK47" s="77">
        <v>32</v>
      </c>
      <c r="BL47" s="94">
        <f t="shared" si="24"/>
        <v>41</v>
      </c>
      <c r="BM47" s="94">
        <f t="shared" si="25"/>
        <v>41</v>
      </c>
      <c r="BN47" s="180"/>
      <c r="BO47" s="85">
        <f t="shared" si="2"/>
        <v>5</v>
      </c>
      <c r="BP47" s="85">
        <f t="shared" si="26"/>
        <v>36</v>
      </c>
      <c r="BQ47" s="86">
        <f t="shared" si="27"/>
        <v>4.5</v>
      </c>
      <c r="BR47" s="86" t="str">
        <f t="shared" si="28"/>
        <v>A</v>
      </c>
      <c r="BS47" s="85" t="str">
        <f t="shared" si="3"/>
        <v>BETTER</v>
      </c>
      <c r="BT47" s="127">
        <f t="shared" si="29"/>
        <v>634</v>
      </c>
      <c r="BU47" s="85"/>
      <c r="BV47" s="88"/>
    </row>
    <row r="48" spans="1:74" s="79" customFormat="1" ht="27.95" customHeight="1" thickTop="1">
      <c r="A48" s="81">
        <v>41</v>
      </c>
      <c r="B48" s="82">
        <v>27</v>
      </c>
      <c r="C48" s="83" t="s">
        <v>235</v>
      </c>
      <c r="D48" s="83" t="s">
        <v>236</v>
      </c>
      <c r="E48" s="83" t="s">
        <v>237</v>
      </c>
      <c r="F48" s="91" t="s">
        <v>238</v>
      </c>
      <c r="G48" s="74">
        <v>16</v>
      </c>
      <c r="H48" s="76">
        <v>39</v>
      </c>
      <c r="I48" s="94">
        <f t="shared" si="30"/>
        <v>55</v>
      </c>
      <c r="J48" s="76">
        <v>16</v>
      </c>
      <c r="K48" s="94">
        <f t="shared" si="31"/>
        <v>71</v>
      </c>
      <c r="L48" s="74">
        <v>9</v>
      </c>
      <c r="M48" s="76">
        <v>30</v>
      </c>
      <c r="N48" s="94">
        <f t="shared" si="32"/>
        <v>39</v>
      </c>
      <c r="O48" s="94">
        <f t="shared" si="4"/>
        <v>39</v>
      </c>
      <c r="P48" s="94">
        <f t="shared" si="0"/>
        <v>110</v>
      </c>
      <c r="Q48" s="177"/>
      <c r="R48" s="76">
        <f t="shared" si="5"/>
        <v>4</v>
      </c>
      <c r="S48" s="74">
        <v>20</v>
      </c>
      <c r="T48" s="76">
        <v>50</v>
      </c>
      <c r="U48" s="94">
        <f t="shared" si="6"/>
        <v>70</v>
      </c>
      <c r="V48" s="74">
        <v>8</v>
      </c>
      <c r="W48" s="76">
        <v>30</v>
      </c>
      <c r="X48" s="94">
        <f t="shared" si="7"/>
        <v>38</v>
      </c>
      <c r="Y48" s="94">
        <f t="shared" si="8"/>
        <v>108</v>
      </c>
      <c r="Z48" s="94">
        <f t="shared" si="1"/>
        <v>108</v>
      </c>
      <c r="AA48" s="177"/>
      <c r="AB48" s="76">
        <f t="shared" si="9"/>
        <v>4</v>
      </c>
      <c r="AC48" s="74">
        <v>19</v>
      </c>
      <c r="AD48" s="76">
        <v>11</v>
      </c>
      <c r="AE48" s="94">
        <f t="shared" si="10"/>
        <v>30</v>
      </c>
      <c r="AF48" s="76">
        <v>18</v>
      </c>
      <c r="AG48" s="94">
        <f t="shared" si="11"/>
        <v>48</v>
      </c>
      <c r="AH48" s="177"/>
      <c r="AI48" s="76">
        <f t="shared" si="12"/>
        <v>2</v>
      </c>
      <c r="AJ48" s="74">
        <v>20</v>
      </c>
      <c r="AK48" s="76">
        <v>39</v>
      </c>
      <c r="AL48" s="94">
        <f t="shared" si="13"/>
        <v>59</v>
      </c>
      <c r="AM48" s="76">
        <v>18</v>
      </c>
      <c r="AN48" s="94">
        <f t="shared" si="14"/>
        <v>77</v>
      </c>
      <c r="AO48" s="177"/>
      <c r="AP48" s="76">
        <f t="shared" si="15"/>
        <v>4</v>
      </c>
      <c r="AQ48" s="76">
        <v>23</v>
      </c>
      <c r="AR48" s="76">
        <v>23</v>
      </c>
      <c r="AS48" s="76">
        <f t="shared" si="16"/>
        <v>46</v>
      </c>
      <c r="AT48" s="178"/>
      <c r="AU48" s="76">
        <f t="shared" si="17"/>
        <v>5</v>
      </c>
      <c r="AV48" s="74">
        <v>17</v>
      </c>
      <c r="AW48" s="76">
        <v>30</v>
      </c>
      <c r="AX48" s="94">
        <f t="shared" si="18"/>
        <v>47</v>
      </c>
      <c r="AY48" s="76">
        <v>30</v>
      </c>
      <c r="AZ48" s="94">
        <f t="shared" si="19"/>
        <v>77</v>
      </c>
      <c r="BA48" s="177"/>
      <c r="BB48" s="76">
        <f t="shared" si="20"/>
        <v>4</v>
      </c>
      <c r="BC48" s="74">
        <v>19</v>
      </c>
      <c r="BD48" s="76">
        <v>21</v>
      </c>
      <c r="BE48" s="94">
        <f t="shared" si="21"/>
        <v>40</v>
      </c>
      <c r="BF48" s="76"/>
      <c r="BG48" s="94">
        <f t="shared" si="22"/>
        <v>40</v>
      </c>
      <c r="BH48" s="177"/>
      <c r="BI48" s="76">
        <f t="shared" si="23"/>
        <v>2</v>
      </c>
      <c r="BJ48" s="74">
        <v>9</v>
      </c>
      <c r="BK48" s="76">
        <v>39</v>
      </c>
      <c r="BL48" s="94">
        <f t="shared" si="24"/>
        <v>48</v>
      </c>
      <c r="BM48" s="94">
        <f t="shared" si="25"/>
        <v>48</v>
      </c>
      <c r="BN48" s="180"/>
      <c r="BO48" s="85">
        <f t="shared" si="2"/>
        <v>5</v>
      </c>
      <c r="BP48" s="85">
        <f t="shared" si="26"/>
        <v>30</v>
      </c>
      <c r="BQ48" s="86">
        <f t="shared" si="27"/>
        <v>3.75</v>
      </c>
      <c r="BR48" s="86" t="str">
        <f t="shared" si="28"/>
        <v>A-</v>
      </c>
      <c r="BS48" s="85" t="str">
        <f t="shared" si="3"/>
        <v>GOOD</v>
      </c>
      <c r="BT48" s="127">
        <f t="shared" si="29"/>
        <v>554</v>
      </c>
      <c r="BU48" s="85"/>
      <c r="BV48" s="88"/>
    </row>
    <row r="49" spans="1:74" ht="27.95" customHeight="1">
      <c r="A49" s="81">
        <v>42</v>
      </c>
      <c r="B49" s="82">
        <v>30</v>
      </c>
      <c r="C49" s="83" t="s">
        <v>239</v>
      </c>
      <c r="D49" s="83" t="s">
        <v>240</v>
      </c>
      <c r="E49" s="83" t="s">
        <v>241</v>
      </c>
      <c r="F49" s="91" t="s">
        <v>242</v>
      </c>
      <c r="G49" s="74">
        <v>10</v>
      </c>
      <c r="H49" s="76">
        <v>22</v>
      </c>
      <c r="I49" s="94">
        <f t="shared" si="30"/>
        <v>32</v>
      </c>
      <c r="J49" s="76">
        <v>13</v>
      </c>
      <c r="K49" s="93">
        <f>I49+J49</f>
        <v>45</v>
      </c>
      <c r="L49" s="74">
        <v>8</v>
      </c>
      <c r="M49" s="76">
        <v>12</v>
      </c>
      <c r="N49" s="93">
        <f>M49+L49</f>
        <v>20</v>
      </c>
      <c r="O49" s="94">
        <f t="shared" si="4"/>
        <v>20</v>
      </c>
      <c r="P49" s="93">
        <f t="shared" si="0"/>
        <v>65</v>
      </c>
      <c r="Q49" s="177"/>
      <c r="R49" s="77">
        <f>IF(P49&lt;60,"F",IF(P49&lt;70,2,IF(P49&lt;95,3,IF(P49&lt;105,3.5,IF(P49&lt;120,4,5)))))</f>
        <v>2</v>
      </c>
      <c r="S49" s="74">
        <v>19</v>
      </c>
      <c r="T49" s="76">
        <v>43</v>
      </c>
      <c r="U49" s="94">
        <f t="shared" si="6"/>
        <v>62</v>
      </c>
      <c r="V49" s="74">
        <v>9</v>
      </c>
      <c r="W49" s="76">
        <v>18</v>
      </c>
      <c r="X49" s="94">
        <f t="shared" si="7"/>
        <v>27</v>
      </c>
      <c r="Y49" s="93">
        <f t="shared" si="8"/>
        <v>89</v>
      </c>
      <c r="Z49" s="93">
        <f t="shared" si="1"/>
        <v>89</v>
      </c>
      <c r="AA49" s="177"/>
      <c r="AB49" s="77">
        <f>IF(Z49&lt;60,"F",IF(Z49&lt;75,2,IF(Z49&lt;90,3,IF(Z49&lt;105,3.5,IF(Z49&lt;120,4,5)))))</f>
        <v>3</v>
      </c>
      <c r="AC49" s="74">
        <v>12</v>
      </c>
      <c r="AD49" s="76">
        <v>2</v>
      </c>
      <c r="AE49" s="94">
        <f t="shared" si="10"/>
        <v>14</v>
      </c>
      <c r="AF49" s="76">
        <v>19</v>
      </c>
      <c r="AG49" s="93">
        <f>AE49+AF49</f>
        <v>33</v>
      </c>
      <c r="AH49" s="177"/>
      <c r="AI49" s="77" t="str">
        <f>IF(AG49&lt;40,"F",IF(AG49&lt;50,2,IF(AG49&lt;60,3,IF(AG49&lt;70,3.5,IF(AG49&lt;80,4,5)))))</f>
        <v>F</v>
      </c>
      <c r="AJ49" s="74">
        <v>16</v>
      </c>
      <c r="AK49" s="76">
        <v>20</v>
      </c>
      <c r="AL49" s="94">
        <f t="shared" si="13"/>
        <v>36</v>
      </c>
      <c r="AM49" s="76">
        <v>18</v>
      </c>
      <c r="AN49" s="93">
        <f>+AL49+AM49</f>
        <v>54</v>
      </c>
      <c r="AO49" s="177"/>
      <c r="AP49" s="77">
        <f>IF(AN49&lt;40,"F",IF(AN49&lt;50,2,IF(AN49&lt;60,3,IF(AN49&lt;70,3.5,IF(AN49&lt;80,4,5)))))</f>
        <v>3</v>
      </c>
      <c r="AQ49" s="76">
        <v>23</v>
      </c>
      <c r="AR49" s="76">
        <v>23</v>
      </c>
      <c r="AS49" s="76">
        <f t="shared" si="16"/>
        <v>46</v>
      </c>
      <c r="AT49" s="178"/>
      <c r="AU49" s="77">
        <f>IF(AS49&lt;20,"F",IF(AS49&lt;25,2,IF(AS49&lt;30,3,IF(AS49&lt;35,3.5,IF(AS49&lt;40,4,5)))))</f>
        <v>5</v>
      </c>
      <c r="AV49" s="74">
        <v>20</v>
      </c>
      <c r="AW49" s="76">
        <v>14</v>
      </c>
      <c r="AX49" s="94">
        <f t="shared" si="18"/>
        <v>34</v>
      </c>
      <c r="AY49" s="76">
        <v>22</v>
      </c>
      <c r="AZ49" s="93">
        <f>AX49+AY49</f>
        <v>56</v>
      </c>
      <c r="BA49" s="177"/>
      <c r="BB49" s="77">
        <f>IF(AZ49&lt;40,"F",IF(AZ49&lt;50,2,IF(AZ49&lt;60,3,IF(AZ49&lt;70,3.5,IF(AZ49&lt;80,4,5)))))</f>
        <v>3</v>
      </c>
      <c r="BC49" s="74">
        <v>13</v>
      </c>
      <c r="BD49" s="76">
        <v>27</v>
      </c>
      <c r="BE49" s="94">
        <f t="shared" si="21"/>
        <v>40</v>
      </c>
      <c r="BF49" s="76"/>
      <c r="BG49" s="93">
        <f>BE49+BF49</f>
        <v>40</v>
      </c>
      <c r="BH49" s="177"/>
      <c r="BI49" s="77">
        <f>IF(BG49&lt;40,"F",IF(BG49&lt;50,2,IF(BG49&lt;60,3,IF(BG49&lt;70,3.5,IF(BG49&lt;80,4,5)))))</f>
        <v>2</v>
      </c>
      <c r="BJ49" s="74">
        <v>8</v>
      </c>
      <c r="BK49" s="76">
        <v>38</v>
      </c>
      <c r="BL49" s="93">
        <f>BK49+BJ49</f>
        <v>46</v>
      </c>
      <c r="BM49" s="94">
        <f t="shared" si="25"/>
        <v>46</v>
      </c>
      <c r="BN49" s="180"/>
      <c r="BO49" s="88">
        <f t="shared" si="2"/>
        <v>5</v>
      </c>
      <c r="BP49" s="85" t="str">
        <f t="shared" si="26"/>
        <v>F</v>
      </c>
      <c r="BQ49" s="86" t="str">
        <f t="shared" si="27"/>
        <v>F</v>
      </c>
      <c r="BR49" s="92" t="str">
        <f>IF(BQ49="F","F",IF(BQ49&lt;2.5,"D",IF(BQ49&lt;3,"C",IF(BQ49&lt;3.5,"B",IF(BQ49&lt;4,"A-",IF(BQ49&lt;5,"A","A+"))))))</f>
        <v>F</v>
      </c>
      <c r="BS49" s="88" t="str">
        <f t="shared" si="3"/>
        <v>NEED TO PROGRESS</v>
      </c>
      <c r="BT49" s="127">
        <f t="shared" si="29"/>
        <v>429</v>
      </c>
      <c r="BU49" s="85"/>
      <c r="BV49" s="88"/>
    </row>
    <row r="50" spans="1:74" ht="27.95" customHeight="1">
      <c r="A50" s="81">
        <v>43</v>
      </c>
      <c r="B50" s="82">
        <v>32</v>
      </c>
      <c r="C50" s="83" t="s">
        <v>243</v>
      </c>
      <c r="D50" s="83" t="s">
        <v>244</v>
      </c>
      <c r="E50" s="83" t="s">
        <v>245</v>
      </c>
      <c r="F50" s="91" t="s">
        <v>246</v>
      </c>
      <c r="G50" s="74">
        <v>11</v>
      </c>
      <c r="H50" s="76">
        <v>29</v>
      </c>
      <c r="I50" s="94">
        <f t="shared" si="30"/>
        <v>40</v>
      </c>
      <c r="J50" s="76">
        <v>19</v>
      </c>
      <c r="K50" s="93">
        <f>I50+J50</f>
        <v>59</v>
      </c>
      <c r="L50" s="74">
        <v>7</v>
      </c>
      <c r="M50" s="76">
        <v>22</v>
      </c>
      <c r="N50" s="93">
        <f>M50+L50</f>
        <v>29</v>
      </c>
      <c r="O50" s="94">
        <f t="shared" si="4"/>
        <v>29</v>
      </c>
      <c r="P50" s="93">
        <f t="shared" si="0"/>
        <v>88</v>
      </c>
      <c r="Q50" s="177"/>
      <c r="R50" s="77">
        <f t="shared" ref="R50:R87" si="33">IF(P50&lt;60,"F",IF(P50&lt;70,2,IF(P50&lt;95,3,IF(P50&lt;105,3.5,IF(P50&lt;120,4,5)))))</f>
        <v>3</v>
      </c>
      <c r="S50" s="74">
        <v>19</v>
      </c>
      <c r="T50" s="76">
        <v>46</v>
      </c>
      <c r="U50" s="94">
        <f t="shared" si="6"/>
        <v>65</v>
      </c>
      <c r="V50" s="74">
        <v>8</v>
      </c>
      <c r="W50" s="76">
        <v>21</v>
      </c>
      <c r="X50" s="94">
        <f t="shared" si="7"/>
        <v>29</v>
      </c>
      <c r="Y50" s="93">
        <f>U50+X50</f>
        <v>94</v>
      </c>
      <c r="Z50" s="93">
        <f>Y50</f>
        <v>94</v>
      </c>
      <c r="AA50" s="177"/>
      <c r="AB50" s="77">
        <f t="shared" ref="AB50:AB87" si="34">IF(Z50&lt;60,"F",IF(Z50&lt;75,2,IF(Z50&lt;90,3,IF(Z50&lt;105,3.5,IF(Z50&lt;120,4,5)))))</f>
        <v>3.5</v>
      </c>
      <c r="AC50" s="74">
        <v>17</v>
      </c>
      <c r="AD50" s="76">
        <v>16</v>
      </c>
      <c r="AE50" s="94">
        <f t="shared" si="10"/>
        <v>33</v>
      </c>
      <c r="AF50" s="76">
        <v>21</v>
      </c>
      <c r="AG50" s="93">
        <f t="shared" ref="AG50:AG87" si="35">AE50+AF50</f>
        <v>54</v>
      </c>
      <c r="AH50" s="177"/>
      <c r="AI50" s="77">
        <f t="shared" ref="AI50:AI87" si="36">IF(AG50&lt;40,"F",IF(AG50&lt;50,2,IF(AG50&lt;60,3,IF(AG50&lt;70,3.5,IF(AG50&lt;80,4,5)))))</f>
        <v>3</v>
      </c>
      <c r="AJ50" s="74">
        <v>17</v>
      </c>
      <c r="AK50" s="76">
        <v>22</v>
      </c>
      <c r="AL50" s="94">
        <f t="shared" si="13"/>
        <v>39</v>
      </c>
      <c r="AM50" s="76">
        <v>16</v>
      </c>
      <c r="AN50" s="93">
        <f>AL50+AM50</f>
        <v>55</v>
      </c>
      <c r="AO50" s="177"/>
      <c r="AP50" s="77">
        <f t="shared" ref="AP50:AP87" si="37">IF(AN50&lt;40,"F",IF(AN50&lt;50,2,IF(AN50&lt;60,3,IF(AN50&lt;70,3.5,IF(AN50&lt;80,4,5)))))</f>
        <v>3</v>
      </c>
      <c r="AQ50" s="76">
        <v>23</v>
      </c>
      <c r="AR50" s="76">
        <v>23</v>
      </c>
      <c r="AS50" s="76">
        <f t="shared" si="16"/>
        <v>46</v>
      </c>
      <c r="AT50" s="178"/>
      <c r="AU50" s="77">
        <f t="shared" ref="AU50:AU87" si="38">IF(AS50&lt;20,"F",IF(AS50&lt;25,2,IF(AS50&lt;30,3,IF(AS50&lt;35,3.5,IF(AS50&lt;40,4,5)))))</f>
        <v>5</v>
      </c>
      <c r="AV50" s="74">
        <v>19</v>
      </c>
      <c r="AW50" s="76">
        <v>24</v>
      </c>
      <c r="AX50" s="94">
        <f t="shared" si="18"/>
        <v>43</v>
      </c>
      <c r="AY50" s="76">
        <v>20</v>
      </c>
      <c r="AZ50" s="93">
        <f t="shared" ref="AZ50:AZ87" si="39">AX50+AY50</f>
        <v>63</v>
      </c>
      <c r="BA50" s="177"/>
      <c r="BB50" s="77">
        <f t="shared" ref="BB50:BB87" si="40">IF(AZ50&lt;40,"F",IF(AZ50&lt;50,2,IF(AZ50&lt;60,3,IF(AZ50&lt;70,3.5,IF(AZ50&lt;80,4,5)))))</f>
        <v>3.5</v>
      </c>
      <c r="BC50" s="74">
        <v>13</v>
      </c>
      <c r="BD50" s="76">
        <v>29</v>
      </c>
      <c r="BE50" s="94">
        <f t="shared" si="21"/>
        <v>42</v>
      </c>
      <c r="BF50" s="76"/>
      <c r="BG50" s="93">
        <f t="shared" ref="BG50:BG87" si="41">BE50+BF50</f>
        <v>42</v>
      </c>
      <c r="BH50" s="177"/>
      <c r="BI50" s="77">
        <f t="shared" ref="BI50:BI87" si="42">IF(BG50&lt;40,"F",IF(BG50&lt;50,2,IF(BG50&lt;60,3,IF(BG50&lt;70,3.5,IF(BG50&lt;80,4,5)))))</f>
        <v>2</v>
      </c>
      <c r="BJ50" s="74">
        <v>6</v>
      </c>
      <c r="BK50" s="76">
        <v>22</v>
      </c>
      <c r="BL50" s="93">
        <f t="shared" ref="BL50:BL87" si="43">BK50+BJ50</f>
        <v>28</v>
      </c>
      <c r="BM50" s="94">
        <f t="shared" si="25"/>
        <v>28</v>
      </c>
      <c r="BN50" s="180"/>
      <c r="BO50" s="88">
        <f t="shared" si="2"/>
        <v>3</v>
      </c>
      <c r="BP50" s="85">
        <f t="shared" si="26"/>
        <v>26</v>
      </c>
      <c r="BQ50" s="86">
        <f t="shared" si="27"/>
        <v>3.25</v>
      </c>
      <c r="BR50" s="92" t="str">
        <f t="shared" ref="BR50:BR87" si="44">IF(BQ50="F","F",IF(BQ50&lt;2.5,"D",IF(BQ50&lt;3,"C",IF(BQ50&lt;3.5,"B",IF(BQ50&lt;4,"A-",IF(BQ50&lt;5,"A","A+"))))))</f>
        <v>B</v>
      </c>
      <c r="BS50" s="88" t="str">
        <f t="shared" si="3"/>
        <v>GOOD</v>
      </c>
      <c r="BT50" s="127">
        <f t="shared" si="29"/>
        <v>470</v>
      </c>
      <c r="BU50" s="85"/>
      <c r="BV50" s="88"/>
    </row>
    <row r="51" spans="1:74" s="28" customFormat="1" ht="27.95" customHeight="1">
      <c r="A51" s="81">
        <v>44</v>
      </c>
      <c r="B51" s="82">
        <v>34</v>
      </c>
      <c r="C51" s="83" t="s">
        <v>247</v>
      </c>
      <c r="D51" s="83" t="s">
        <v>248</v>
      </c>
      <c r="E51" s="83" t="s">
        <v>77</v>
      </c>
      <c r="F51" s="91" t="s">
        <v>249</v>
      </c>
      <c r="G51" s="74">
        <v>18</v>
      </c>
      <c r="H51" s="76">
        <v>26</v>
      </c>
      <c r="I51" s="94">
        <f t="shared" si="30"/>
        <v>44</v>
      </c>
      <c r="J51" s="76">
        <v>13</v>
      </c>
      <c r="K51" s="93">
        <f t="shared" ref="K51:K87" si="45">I51+J51</f>
        <v>57</v>
      </c>
      <c r="L51" s="74">
        <v>9</v>
      </c>
      <c r="M51" s="76">
        <v>22</v>
      </c>
      <c r="N51" s="93">
        <f t="shared" ref="N51:N87" si="46">M51+L51</f>
        <v>31</v>
      </c>
      <c r="O51" s="94">
        <f t="shared" si="4"/>
        <v>31</v>
      </c>
      <c r="P51" s="93">
        <f t="shared" si="0"/>
        <v>88</v>
      </c>
      <c r="Q51" s="177"/>
      <c r="R51" s="77">
        <f t="shared" si="33"/>
        <v>3</v>
      </c>
      <c r="S51" s="74">
        <v>14</v>
      </c>
      <c r="T51" s="76">
        <v>41</v>
      </c>
      <c r="U51" s="94">
        <f t="shared" si="6"/>
        <v>55</v>
      </c>
      <c r="V51" s="74">
        <v>8</v>
      </c>
      <c r="W51" s="76">
        <v>29</v>
      </c>
      <c r="X51" s="94">
        <f t="shared" si="7"/>
        <v>37</v>
      </c>
      <c r="Y51" s="93">
        <f t="shared" ref="Y51:Y87" si="47">U51+X51</f>
        <v>92</v>
      </c>
      <c r="Z51" s="93">
        <f t="shared" ref="Z51:Z87" si="48">Y51</f>
        <v>92</v>
      </c>
      <c r="AA51" s="177"/>
      <c r="AB51" s="77">
        <f t="shared" si="34"/>
        <v>3.5</v>
      </c>
      <c r="AC51" s="74">
        <v>12</v>
      </c>
      <c r="AD51" s="76">
        <v>10</v>
      </c>
      <c r="AE51" s="94">
        <f t="shared" si="10"/>
        <v>22</v>
      </c>
      <c r="AF51" s="76">
        <v>20</v>
      </c>
      <c r="AG51" s="93">
        <f t="shared" si="35"/>
        <v>42</v>
      </c>
      <c r="AH51" s="177"/>
      <c r="AI51" s="77">
        <f t="shared" si="36"/>
        <v>2</v>
      </c>
      <c r="AJ51" s="74">
        <v>15</v>
      </c>
      <c r="AK51" s="76">
        <v>33</v>
      </c>
      <c r="AL51" s="94">
        <f t="shared" si="13"/>
        <v>48</v>
      </c>
      <c r="AM51" s="76">
        <v>15</v>
      </c>
      <c r="AN51" s="93">
        <f t="shared" ref="AN51:AN87" si="49">AL51+AM51</f>
        <v>63</v>
      </c>
      <c r="AO51" s="177"/>
      <c r="AP51" s="77">
        <f t="shared" si="37"/>
        <v>3.5</v>
      </c>
      <c r="AQ51" s="76">
        <v>23</v>
      </c>
      <c r="AR51" s="76">
        <v>23</v>
      </c>
      <c r="AS51" s="76">
        <f t="shared" si="16"/>
        <v>46</v>
      </c>
      <c r="AT51" s="178"/>
      <c r="AU51" s="77">
        <f t="shared" si="38"/>
        <v>5</v>
      </c>
      <c r="AV51" s="74">
        <v>20</v>
      </c>
      <c r="AW51" s="76">
        <v>16</v>
      </c>
      <c r="AX51" s="94">
        <f t="shared" si="18"/>
        <v>36</v>
      </c>
      <c r="AY51" s="76">
        <v>28</v>
      </c>
      <c r="AZ51" s="93">
        <f t="shared" si="39"/>
        <v>64</v>
      </c>
      <c r="BA51" s="177"/>
      <c r="BB51" s="77">
        <f t="shared" si="40"/>
        <v>3.5</v>
      </c>
      <c r="BC51" s="74">
        <v>14</v>
      </c>
      <c r="BD51" s="76">
        <v>29</v>
      </c>
      <c r="BE51" s="94">
        <f t="shared" si="21"/>
        <v>43</v>
      </c>
      <c r="BF51" s="76"/>
      <c r="BG51" s="93">
        <f t="shared" si="41"/>
        <v>43</v>
      </c>
      <c r="BH51" s="177"/>
      <c r="BI51" s="77">
        <f t="shared" si="42"/>
        <v>2</v>
      </c>
      <c r="BJ51" s="74">
        <v>8</v>
      </c>
      <c r="BK51" s="76">
        <v>25</v>
      </c>
      <c r="BL51" s="93">
        <f t="shared" si="43"/>
        <v>33</v>
      </c>
      <c r="BM51" s="94">
        <f t="shared" si="25"/>
        <v>33</v>
      </c>
      <c r="BN51" s="180"/>
      <c r="BO51" s="88">
        <f t="shared" si="2"/>
        <v>3.5</v>
      </c>
      <c r="BP51" s="85">
        <f t="shared" si="26"/>
        <v>26</v>
      </c>
      <c r="BQ51" s="86">
        <f t="shared" si="27"/>
        <v>3.25</v>
      </c>
      <c r="BR51" s="92" t="str">
        <f t="shared" si="44"/>
        <v>B</v>
      </c>
      <c r="BS51" s="88" t="str">
        <f t="shared" si="3"/>
        <v>GOOD</v>
      </c>
      <c r="BT51" s="127">
        <f t="shared" si="29"/>
        <v>471</v>
      </c>
      <c r="BU51" s="85"/>
      <c r="BV51" s="88"/>
    </row>
    <row r="52" spans="1:74" ht="27.95" customHeight="1">
      <c r="A52" s="81">
        <v>45</v>
      </c>
      <c r="B52" s="82">
        <v>35</v>
      </c>
      <c r="C52" s="83" t="s">
        <v>250</v>
      </c>
      <c r="D52" s="83" t="s">
        <v>251</v>
      </c>
      <c r="E52" s="83" t="s">
        <v>252</v>
      </c>
      <c r="F52" s="91" t="s">
        <v>253</v>
      </c>
      <c r="G52" s="74">
        <v>11</v>
      </c>
      <c r="H52" s="76">
        <v>25</v>
      </c>
      <c r="I52" s="94">
        <f t="shared" si="30"/>
        <v>36</v>
      </c>
      <c r="J52" s="76">
        <v>13</v>
      </c>
      <c r="K52" s="93">
        <f t="shared" si="45"/>
        <v>49</v>
      </c>
      <c r="L52" s="74">
        <v>9</v>
      </c>
      <c r="M52" s="76">
        <v>13</v>
      </c>
      <c r="N52" s="93">
        <f t="shared" si="46"/>
        <v>22</v>
      </c>
      <c r="O52" s="94">
        <f t="shared" si="4"/>
        <v>22</v>
      </c>
      <c r="P52" s="93">
        <f t="shared" si="0"/>
        <v>71</v>
      </c>
      <c r="Q52" s="177"/>
      <c r="R52" s="77">
        <f t="shared" si="33"/>
        <v>3</v>
      </c>
      <c r="S52" s="74">
        <v>12</v>
      </c>
      <c r="T52" s="76">
        <v>19</v>
      </c>
      <c r="U52" s="94">
        <f t="shared" si="6"/>
        <v>31</v>
      </c>
      <c r="V52" s="74">
        <v>6</v>
      </c>
      <c r="W52" s="76">
        <v>15</v>
      </c>
      <c r="X52" s="94">
        <f t="shared" si="7"/>
        <v>21</v>
      </c>
      <c r="Y52" s="93">
        <f t="shared" si="47"/>
        <v>52</v>
      </c>
      <c r="Z52" s="93">
        <f t="shared" si="48"/>
        <v>52</v>
      </c>
      <c r="AA52" s="177"/>
      <c r="AB52" s="77" t="str">
        <f t="shared" si="34"/>
        <v>F</v>
      </c>
      <c r="AC52" s="74">
        <v>12</v>
      </c>
      <c r="AD52" s="76">
        <v>4</v>
      </c>
      <c r="AE52" s="94">
        <f t="shared" si="10"/>
        <v>16</v>
      </c>
      <c r="AF52" s="76">
        <v>14</v>
      </c>
      <c r="AG52" s="93">
        <f t="shared" si="35"/>
        <v>30</v>
      </c>
      <c r="AH52" s="177"/>
      <c r="AI52" s="77" t="str">
        <f t="shared" si="36"/>
        <v>F</v>
      </c>
      <c r="AJ52" s="74">
        <v>17</v>
      </c>
      <c r="AK52" s="76">
        <v>33</v>
      </c>
      <c r="AL52" s="94">
        <f t="shared" si="13"/>
        <v>50</v>
      </c>
      <c r="AM52" s="76">
        <v>17</v>
      </c>
      <c r="AN52" s="93">
        <f t="shared" si="49"/>
        <v>67</v>
      </c>
      <c r="AO52" s="177"/>
      <c r="AP52" s="77">
        <f t="shared" si="37"/>
        <v>3.5</v>
      </c>
      <c r="AQ52" s="76">
        <v>23</v>
      </c>
      <c r="AR52" s="76">
        <v>23</v>
      </c>
      <c r="AS52" s="76">
        <f t="shared" si="16"/>
        <v>46</v>
      </c>
      <c r="AT52" s="178"/>
      <c r="AU52" s="77">
        <f t="shared" si="38"/>
        <v>5</v>
      </c>
      <c r="AV52" s="74">
        <v>20</v>
      </c>
      <c r="AW52" s="76">
        <v>19</v>
      </c>
      <c r="AX52" s="94">
        <f t="shared" si="18"/>
        <v>39</v>
      </c>
      <c r="AY52" s="76">
        <v>20</v>
      </c>
      <c r="AZ52" s="93">
        <f t="shared" si="39"/>
        <v>59</v>
      </c>
      <c r="BA52" s="177"/>
      <c r="BB52" s="77">
        <f t="shared" si="40"/>
        <v>3</v>
      </c>
      <c r="BC52" s="74">
        <v>16</v>
      </c>
      <c r="BD52" s="76">
        <v>29</v>
      </c>
      <c r="BE52" s="94">
        <f t="shared" si="21"/>
        <v>45</v>
      </c>
      <c r="BF52" s="76"/>
      <c r="BG52" s="93">
        <f t="shared" si="41"/>
        <v>45</v>
      </c>
      <c r="BH52" s="177"/>
      <c r="BI52" s="77">
        <f t="shared" si="42"/>
        <v>2</v>
      </c>
      <c r="BJ52" s="74">
        <v>7</v>
      </c>
      <c r="BK52" s="76">
        <v>24</v>
      </c>
      <c r="BL52" s="93">
        <f t="shared" si="43"/>
        <v>31</v>
      </c>
      <c r="BM52" s="94">
        <f t="shared" si="25"/>
        <v>31</v>
      </c>
      <c r="BN52" s="180"/>
      <c r="BO52" s="88">
        <f t="shared" si="2"/>
        <v>3.5</v>
      </c>
      <c r="BP52" s="85" t="str">
        <f t="shared" si="26"/>
        <v>F</v>
      </c>
      <c r="BQ52" s="86" t="str">
        <f t="shared" si="27"/>
        <v>F</v>
      </c>
      <c r="BR52" s="92" t="str">
        <f t="shared" si="44"/>
        <v>F</v>
      </c>
      <c r="BS52" s="88" t="str">
        <f t="shared" si="3"/>
        <v>NEED TO PROGRESS</v>
      </c>
      <c r="BT52" s="127">
        <f t="shared" si="29"/>
        <v>401</v>
      </c>
      <c r="BU52" s="85"/>
      <c r="BV52" s="88"/>
    </row>
    <row r="53" spans="1:74" ht="27.95" customHeight="1">
      <c r="A53" s="81">
        <v>46</v>
      </c>
      <c r="B53" s="82">
        <v>36</v>
      </c>
      <c r="C53" s="83" t="s">
        <v>254</v>
      </c>
      <c r="D53" s="83" t="s">
        <v>255</v>
      </c>
      <c r="E53" s="83" t="s">
        <v>256</v>
      </c>
      <c r="F53" s="91" t="s">
        <v>257</v>
      </c>
      <c r="G53" s="74">
        <v>14</v>
      </c>
      <c r="H53" s="76">
        <v>21</v>
      </c>
      <c r="I53" s="94">
        <f t="shared" si="30"/>
        <v>35</v>
      </c>
      <c r="J53" s="76">
        <v>12</v>
      </c>
      <c r="K53" s="93">
        <f t="shared" si="45"/>
        <v>47</v>
      </c>
      <c r="L53" s="74">
        <v>9</v>
      </c>
      <c r="M53" s="76">
        <v>25</v>
      </c>
      <c r="N53" s="93">
        <f t="shared" si="46"/>
        <v>34</v>
      </c>
      <c r="O53" s="94">
        <f t="shared" si="4"/>
        <v>34</v>
      </c>
      <c r="P53" s="93">
        <f t="shared" si="0"/>
        <v>81</v>
      </c>
      <c r="Q53" s="177"/>
      <c r="R53" s="77">
        <f t="shared" si="33"/>
        <v>3</v>
      </c>
      <c r="S53" s="74">
        <v>14</v>
      </c>
      <c r="T53" s="76">
        <v>38</v>
      </c>
      <c r="U53" s="94">
        <f t="shared" si="6"/>
        <v>52</v>
      </c>
      <c r="V53" s="74">
        <v>7</v>
      </c>
      <c r="W53" s="76">
        <v>18</v>
      </c>
      <c r="X53" s="94">
        <f t="shared" si="7"/>
        <v>25</v>
      </c>
      <c r="Y53" s="93">
        <f t="shared" si="47"/>
        <v>77</v>
      </c>
      <c r="Z53" s="93">
        <f t="shared" si="48"/>
        <v>77</v>
      </c>
      <c r="AA53" s="177"/>
      <c r="AB53" s="77">
        <f t="shared" si="34"/>
        <v>3</v>
      </c>
      <c r="AC53" s="74">
        <v>17</v>
      </c>
      <c r="AD53" s="76">
        <v>21</v>
      </c>
      <c r="AE53" s="94">
        <f t="shared" si="10"/>
        <v>38</v>
      </c>
      <c r="AF53" s="76">
        <v>18</v>
      </c>
      <c r="AG53" s="93">
        <f t="shared" si="35"/>
        <v>56</v>
      </c>
      <c r="AH53" s="177"/>
      <c r="AI53" s="77">
        <f t="shared" si="36"/>
        <v>3</v>
      </c>
      <c r="AJ53" s="74">
        <v>17</v>
      </c>
      <c r="AK53" s="76">
        <v>23</v>
      </c>
      <c r="AL53" s="94">
        <f t="shared" si="13"/>
        <v>40</v>
      </c>
      <c r="AM53" s="76">
        <v>21</v>
      </c>
      <c r="AN53" s="93">
        <f t="shared" si="49"/>
        <v>61</v>
      </c>
      <c r="AO53" s="177"/>
      <c r="AP53" s="77">
        <f t="shared" si="37"/>
        <v>3.5</v>
      </c>
      <c r="AQ53" s="76">
        <v>23</v>
      </c>
      <c r="AR53" s="76">
        <v>23</v>
      </c>
      <c r="AS53" s="76">
        <f t="shared" si="16"/>
        <v>46</v>
      </c>
      <c r="AT53" s="178"/>
      <c r="AU53" s="77">
        <f t="shared" si="38"/>
        <v>5</v>
      </c>
      <c r="AV53" s="74">
        <v>17</v>
      </c>
      <c r="AW53" s="76">
        <v>23</v>
      </c>
      <c r="AX53" s="94">
        <f t="shared" si="18"/>
        <v>40</v>
      </c>
      <c r="AY53" s="76">
        <v>24</v>
      </c>
      <c r="AZ53" s="93">
        <f t="shared" si="39"/>
        <v>64</v>
      </c>
      <c r="BA53" s="177"/>
      <c r="BB53" s="77">
        <f t="shared" si="40"/>
        <v>3.5</v>
      </c>
      <c r="BC53" s="74">
        <v>15</v>
      </c>
      <c r="BD53" s="76">
        <v>36</v>
      </c>
      <c r="BE53" s="94">
        <f t="shared" si="21"/>
        <v>51</v>
      </c>
      <c r="BF53" s="76"/>
      <c r="BG53" s="93">
        <f t="shared" si="41"/>
        <v>51</v>
      </c>
      <c r="BH53" s="177"/>
      <c r="BI53" s="77">
        <f t="shared" si="42"/>
        <v>3</v>
      </c>
      <c r="BJ53" s="74">
        <v>9</v>
      </c>
      <c r="BK53" s="76">
        <v>34</v>
      </c>
      <c r="BL53" s="93">
        <f t="shared" si="43"/>
        <v>43</v>
      </c>
      <c r="BM53" s="94">
        <f t="shared" si="25"/>
        <v>43</v>
      </c>
      <c r="BN53" s="180"/>
      <c r="BO53" s="88">
        <f t="shared" si="2"/>
        <v>5</v>
      </c>
      <c r="BP53" s="85">
        <f t="shared" si="26"/>
        <v>29</v>
      </c>
      <c r="BQ53" s="86">
        <f t="shared" si="27"/>
        <v>3.625</v>
      </c>
      <c r="BR53" s="92" t="str">
        <f t="shared" si="44"/>
        <v>A-</v>
      </c>
      <c r="BS53" s="88" t="str">
        <f t="shared" si="3"/>
        <v>GOOD</v>
      </c>
      <c r="BT53" s="127">
        <f t="shared" si="29"/>
        <v>479</v>
      </c>
      <c r="BU53" s="85"/>
      <c r="BV53" s="88"/>
    </row>
    <row r="54" spans="1:74" ht="27.95" customHeight="1">
      <c r="A54" s="81">
        <v>47</v>
      </c>
      <c r="B54" s="82">
        <v>37</v>
      </c>
      <c r="C54" s="83" t="s">
        <v>258</v>
      </c>
      <c r="D54" s="83" t="s">
        <v>259</v>
      </c>
      <c r="E54" s="83" t="s">
        <v>260</v>
      </c>
      <c r="F54" s="91" t="s">
        <v>261</v>
      </c>
      <c r="G54" s="74">
        <v>16</v>
      </c>
      <c r="H54" s="76">
        <v>41</v>
      </c>
      <c r="I54" s="94">
        <f t="shared" si="30"/>
        <v>57</v>
      </c>
      <c r="J54" s="76">
        <v>18</v>
      </c>
      <c r="K54" s="93">
        <f t="shared" si="45"/>
        <v>75</v>
      </c>
      <c r="L54" s="74">
        <v>9</v>
      </c>
      <c r="M54" s="76">
        <v>29</v>
      </c>
      <c r="N54" s="93">
        <f t="shared" si="46"/>
        <v>38</v>
      </c>
      <c r="O54" s="94">
        <f t="shared" si="4"/>
        <v>38</v>
      </c>
      <c r="P54" s="93">
        <f t="shared" si="0"/>
        <v>113</v>
      </c>
      <c r="Q54" s="177"/>
      <c r="R54" s="77">
        <f t="shared" si="33"/>
        <v>4</v>
      </c>
      <c r="S54" s="74">
        <v>18</v>
      </c>
      <c r="T54" s="76">
        <v>48</v>
      </c>
      <c r="U54" s="94">
        <f t="shared" si="6"/>
        <v>66</v>
      </c>
      <c r="V54" s="74">
        <v>6</v>
      </c>
      <c r="W54" s="76">
        <v>25</v>
      </c>
      <c r="X54" s="94">
        <f t="shared" si="7"/>
        <v>31</v>
      </c>
      <c r="Y54" s="93">
        <f t="shared" si="47"/>
        <v>97</v>
      </c>
      <c r="Z54" s="93">
        <f t="shared" si="48"/>
        <v>97</v>
      </c>
      <c r="AA54" s="177"/>
      <c r="AB54" s="77">
        <f t="shared" si="34"/>
        <v>3.5</v>
      </c>
      <c r="AC54" s="74">
        <v>18</v>
      </c>
      <c r="AD54" s="76">
        <v>9</v>
      </c>
      <c r="AE54" s="94">
        <f t="shared" si="10"/>
        <v>27</v>
      </c>
      <c r="AF54" s="76">
        <v>19</v>
      </c>
      <c r="AG54" s="93">
        <f t="shared" si="35"/>
        <v>46</v>
      </c>
      <c r="AH54" s="177"/>
      <c r="AI54" s="77">
        <f t="shared" si="36"/>
        <v>2</v>
      </c>
      <c r="AJ54" s="74">
        <v>13</v>
      </c>
      <c r="AK54" s="76">
        <v>27</v>
      </c>
      <c r="AL54" s="94">
        <f t="shared" si="13"/>
        <v>40</v>
      </c>
      <c r="AM54" s="76">
        <v>15</v>
      </c>
      <c r="AN54" s="93">
        <f t="shared" si="49"/>
        <v>55</v>
      </c>
      <c r="AO54" s="177"/>
      <c r="AP54" s="77">
        <f t="shared" si="37"/>
        <v>3</v>
      </c>
      <c r="AQ54" s="76">
        <v>23</v>
      </c>
      <c r="AR54" s="76">
        <v>23</v>
      </c>
      <c r="AS54" s="76">
        <f t="shared" si="16"/>
        <v>46</v>
      </c>
      <c r="AT54" s="178"/>
      <c r="AU54" s="77">
        <f t="shared" si="38"/>
        <v>5</v>
      </c>
      <c r="AV54" s="74">
        <v>18</v>
      </c>
      <c r="AW54" s="76">
        <v>22</v>
      </c>
      <c r="AX54" s="94">
        <f t="shared" si="18"/>
        <v>40</v>
      </c>
      <c r="AY54" s="76">
        <v>25</v>
      </c>
      <c r="AZ54" s="93">
        <f t="shared" si="39"/>
        <v>65</v>
      </c>
      <c r="BA54" s="177"/>
      <c r="BB54" s="77">
        <f t="shared" si="40"/>
        <v>3.5</v>
      </c>
      <c r="BC54" s="74">
        <v>16</v>
      </c>
      <c r="BD54" s="76">
        <v>40</v>
      </c>
      <c r="BE54" s="94">
        <f t="shared" si="21"/>
        <v>56</v>
      </c>
      <c r="BF54" s="76"/>
      <c r="BG54" s="93">
        <f t="shared" si="41"/>
        <v>56</v>
      </c>
      <c r="BH54" s="177"/>
      <c r="BI54" s="77">
        <f t="shared" si="42"/>
        <v>3</v>
      </c>
      <c r="BJ54" s="74">
        <v>9</v>
      </c>
      <c r="BK54" s="76">
        <v>38</v>
      </c>
      <c r="BL54" s="93">
        <f t="shared" si="43"/>
        <v>47</v>
      </c>
      <c r="BM54" s="94">
        <f t="shared" si="25"/>
        <v>47</v>
      </c>
      <c r="BN54" s="180"/>
      <c r="BO54" s="88">
        <f t="shared" si="2"/>
        <v>5</v>
      </c>
      <c r="BP54" s="85">
        <f t="shared" si="26"/>
        <v>29</v>
      </c>
      <c r="BQ54" s="86">
        <f t="shared" si="27"/>
        <v>3.625</v>
      </c>
      <c r="BR54" s="92" t="str">
        <f t="shared" si="44"/>
        <v>A-</v>
      </c>
      <c r="BS54" s="88" t="str">
        <f t="shared" si="3"/>
        <v>GOOD</v>
      </c>
      <c r="BT54" s="127">
        <f t="shared" si="29"/>
        <v>525</v>
      </c>
      <c r="BU54" s="85"/>
      <c r="BV54" s="88"/>
    </row>
    <row r="55" spans="1:74" ht="27.95" customHeight="1">
      <c r="A55" s="81">
        <v>48</v>
      </c>
      <c r="B55" s="82">
        <v>39</v>
      </c>
      <c r="C55" s="83" t="s">
        <v>262</v>
      </c>
      <c r="D55" s="83" t="s">
        <v>263</v>
      </c>
      <c r="E55" s="83" t="s">
        <v>264</v>
      </c>
      <c r="F55" s="91" t="s">
        <v>265</v>
      </c>
      <c r="G55" s="74">
        <v>11</v>
      </c>
      <c r="H55" s="76">
        <v>21</v>
      </c>
      <c r="I55" s="94">
        <f t="shared" si="30"/>
        <v>32</v>
      </c>
      <c r="J55" s="76">
        <v>12</v>
      </c>
      <c r="K55" s="93">
        <f t="shared" si="45"/>
        <v>44</v>
      </c>
      <c r="L55" s="74">
        <v>7</v>
      </c>
      <c r="M55" s="76">
        <v>25</v>
      </c>
      <c r="N55" s="93">
        <f t="shared" si="46"/>
        <v>32</v>
      </c>
      <c r="O55" s="94">
        <f t="shared" si="4"/>
        <v>32</v>
      </c>
      <c r="P55" s="93">
        <f t="shared" si="0"/>
        <v>76</v>
      </c>
      <c r="Q55" s="177"/>
      <c r="R55" s="77">
        <f t="shared" si="33"/>
        <v>3</v>
      </c>
      <c r="S55" s="74">
        <v>13</v>
      </c>
      <c r="T55" s="76">
        <v>32</v>
      </c>
      <c r="U55" s="94">
        <f t="shared" si="6"/>
        <v>45</v>
      </c>
      <c r="V55" s="74">
        <v>6</v>
      </c>
      <c r="W55" s="76">
        <v>20</v>
      </c>
      <c r="X55" s="94">
        <f t="shared" si="7"/>
        <v>26</v>
      </c>
      <c r="Y55" s="93">
        <f t="shared" si="47"/>
        <v>71</v>
      </c>
      <c r="Z55" s="93">
        <f t="shared" si="48"/>
        <v>71</v>
      </c>
      <c r="AA55" s="177"/>
      <c r="AB55" s="77">
        <f t="shared" si="34"/>
        <v>2</v>
      </c>
      <c r="AC55" s="74">
        <v>15</v>
      </c>
      <c r="AD55" s="76">
        <v>21</v>
      </c>
      <c r="AE55" s="94">
        <f t="shared" si="10"/>
        <v>36</v>
      </c>
      <c r="AF55" s="76">
        <v>19</v>
      </c>
      <c r="AG55" s="93">
        <f t="shared" si="35"/>
        <v>55</v>
      </c>
      <c r="AH55" s="177"/>
      <c r="AI55" s="77">
        <f t="shared" si="36"/>
        <v>3</v>
      </c>
      <c r="AJ55" s="74">
        <v>12</v>
      </c>
      <c r="AK55" s="76">
        <v>27</v>
      </c>
      <c r="AL55" s="94">
        <f t="shared" si="13"/>
        <v>39</v>
      </c>
      <c r="AM55" s="76">
        <v>17</v>
      </c>
      <c r="AN55" s="93">
        <f t="shared" si="49"/>
        <v>56</v>
      </c>
      <c r="AO55" s="177"/>
      <c r="AP55" s="77">
        <f t="shared" si="37"/>
        <v>3</v>
      </c>
      <c r="AQ55" s="76">
        <v>23</v>
      </c>
      <c r="AR55" s="76">
        <v>23</v>
      </c>
      <c r="AS55" s="76">
        <f t="shared" si="16"/>
        <v>46</v>
      </c>
      <c r="AT55" s="178"/>
      <c r="AU55" s="77">
        <f t="shared" si="38"/>
        <v>5</v>
      </c>
      <c r="AV55" s="74">
        <v>20</v>
      </c>
      <c r="AW55" s="76">
        <v>29</v>
      </c>
      <c r="AX55" s="94">
        <f t="shared" si="18"/>
        <v>49</v>
      </c>
      <c r="AY55" s="76">
        <v>24</v>
      </c>
      <c r="AZ55" s="93">
        <f t="shared" si="39"/>
        <v>73</v>
      </c>
      <c r="BA55" s="177"/>
      <c r="BB55" s="77">
        <f t="shared" si="40"/>
        <v>4</v>
      </c>
      <c r="BC55" s="74">
        <v>14</v>
      </c>
      <c r="BD55" s="76">
        <v>34</v>
      </c>
      <c r="BE55" s="94">
        <f t="shared" si="21"/>
        <v>48</v>
      </c>
      <c r="BF55" s="76"/>
      <c r="BG55" s="93">
        <f t="shared" si="41"/>
        <v>48</v>
      </c>
      <c r="BH55" s="177"/>
      <c r="BI55" s="77">
        <f t="shared" si="42"/>
        <v>2</v>
      </c>
      <c r="BJ55" s="74">
        <v>7</v>
      </c>
      <c r="BK55" s="76">
        <v>26</v>
      </c>
      <c r="BL55" s="93">
        <f t="shared" si="43"/>
        <v>33</v>
      </c>
      <c r="BM55" s="94">
        <f t="shared" si="25"/>
        <v>33</v>
      </c>
      <c r="BN55" s="180"/>
      <c r="BO55" s="88">
        <f t="shared" si="2"/>
        <v>3.5</v>
      </c>
      <c r="BP55" s="85">
        <f t="shared" si="26"/>
        <v>25.5</v>
      </c>
      <c r="BQ55" s="86">
        <f t="shared" si="27"/>
        <v>3.1875</v>
      </c>
      <c r="BR55" s="92" t="str">
        <f t="shared" si="44"/>
        <v>B</v>
      </c>
      <c r="BS55" s="88" t="str">
        <f t="shared" si="3"/>
        <v>GOOD</v>
      </c>
      <c r="BT55" s="127">
        <f t="shared" si="29"/>
        <v>458</v>
      </c>
      <c r="BU55" s="85"/>
      <c r="BV55" s="88"/>
    </row>
    <row r="56" spans="1:74" ht="27.95" customHeight="1">
      <c r="A56" s="81">
        <v>49</v>
      </c>
      <c r="B56" s="82">
        <v>41</v>
      </c>
      <c r="C56" s="83" t="s">
        <v>266</v>
      </c>
      <c r="D56" s="83" t="s">
        <v>267</v>
      </c>
      <c r="E56" s="83" t="s">
        <v>268</v>
      </c>
      <c r="F56" s="91" t="s">
        <v>269</v>
      </c>
      <c r="G56" s="74">
        <v>13</v>
      </c>
      <c r="H56" s="76">
        <v>26</v>
      </c>
      <c r="I56" s="94">
        <f t="shared" si="30"/>
        <v>39</v>
      </c>
      <c r="J56" s="76">
        <v>18</v>
      </c>
      <c r="K56" s="93">
        <f t="shared" si="45"/>
        <v>57</v>
      </c>
      <c r="L56" s="74">
        <v>7</v>
      </c>
      <c r="M56" s="76">
        <v>21</v>
      </c>
      <c r="N56" s="93">
        <f t="shared" si="46"/>
        <v>28</v>
      </c>
      <c r="O56" s="94">
        <f t="shared" si="4"/>
        <v>28</v>
      </c>
      <c r="P56" s="93">
        <f t="shared" si="0"/>
        <v>85</v>
      </c>
      <c r="Q56" s="177"/>
      <c r="R56" s="77">
        <f t="shared" si="33"/>
        <v>3</v>
      </c>
      <c r="S56" s="74">
        <v>14</v>
      </c>
      <c r="T56" s="76">
        <v>37</v>
      </c>
      <c r="U56" s="94">
        <f t="shared" si="6"/>
        <v>51</v>
      </c>
      <c r="V56" s="74">
        <v>5</v>
      </c>
      <c r="W56" s="76">
        <v>17</v>
      </c>
      <c r="X56" s="94">
        <f t="shared" si="7"/>
        <v>22</v>
      </c>
      <c r="Y56" s="93">
        <f t="shared" si="47"/>
        <v>73</v>
      </c>
      <c r="Z56" s="93">
        <f t="shared" si="48"/>
        <v>73</v>
      </c>
      <c r="AA56" s="177"/>
      <c r="AB56" s="77">
        <f t="shared" si="34"/>
        <v>2</v>
      </c>
      <c r="AC56" s="74">
        <v>15</v>
      </c>
      <c r="AD56" s="76">
        <v>4</v>
      </c>
      <c r="AE56" s="94">
        <f t="shared" si="10"/>
        <v>19</v>
      </c>
      <c r="AF56" s="76">
        <v>15</v>
      </c>
      <c r="AG56" s="93">
        <f t="shared" si="35"/>
        <v>34</v>
      </c>
      <c r="AH56" s="177"/>
      <c r="AI56" s="77" t="str">
        <f t="shared" si="36"/>
        <v>F</v>
      </c>
      <c r="AJ56" s="74">
        <v>13</v>
      </c>
      <c r="AK56" s="76">
        <v>21</v>
      </c>
      <c r="AL56" s="94">
        <f t="shared" si="13"/>
        <v>34</v>
      </c>
      <c r="AM56" s="76">
        <v>18</v>
      </c>
      <c r="AN56" s="93">
        <f t="shared" si="49"/>
        <v>52</v>
      </c>
      <c r="AO56" s="177"/>
      <c r="AP56" s="77">
        <f t="shared" si="37"/>
        <v>3</v>
      </c>
      <c r="AQ56" s="76">
        <v>23</v>
      </c>
      <c r="AR56" s="76">
        <v>23</v>
      </c>
      <c r="AS56" s="76">
        <f t="shared" si="16"/>
        <v>46</v>
      </c>
      <c r="AT56" s="178"/>
      <c r="AU56" s="77">
        <f t="shared" si="38"/>
        <v>5</v>
      </c>
      <c r="AV56" s="74">
        <v>15</v>
      </c>
      <c r="AW56" s="76">
        <v>13</v>
      </c>
      <c r="AX56" s="94">
        <f t="shared" si="18"/>
        <v>28</v>
      </c>
      <c r="AY56" s="76">
        <v>22</v>
      </c>
      <c r="AZ56" s="93">
        <f t="shared" si="39"/>
        <v>50</v>
      </c>
      <c r="BA56" s="177"/>
      <c r="BB56" s="77">
        <f t="shared" si="40"/>
        <v>3</v>
      </c>
      <c r="BC56" s="74">
        <v>16</v>
      </c>
      <c r="BD56" s="76">
        <v>29</v>
      </c>
      <c r="BE56" s="94">
        <f t="shared" si="21"/>
        <v>45</v>
      </c>
      <c r="BF56" s="76"/>
      <c r="BG56" s="93">
        <f t="shared" si="41"/>
        <v>45</v>
      </c>
      <c r="BH56" s="177"/>
      <c r="BI56" s="77">
        <f t="shared" si="42"/>
        <v>2</v>
      </c>
      <c r="BJ56" s="74">
        <v>8</v>
      </c>
      <c r="BK56" s="76">
        <v>39</v>
      </c>
      <c r="BL56" s="93">
        <f t="shared" si="43"/>
        <v>47</v>
      </c>
      <c r="BM56" s="94">
        <f t="shared" si="25"/>
        <v>47</v>
      </c>
      <c r="BN56" s="180"/>
      <c r="BO56" s="88">
        <f t="shared" si="2"/>
        <v>5</v>
      </c>
      <c r="BP56" s="85" t="str">
        <f t="shared" si="26"/>
        <v>F</v>
      </c>
      <c r="BQ56" s="86" t="str">
        <f t="shared" si="27"/>
        <v>F</v>
      </c>
      <c r="BR56" s="92" t="str">
        <f t="shared" si="44"/>
        <v>F</v>
      </c>
      <c r="BS56" s="88" t="str">
        <f t="shared" si="3"/>
        <v>NEED TO PROGRESS</v>
      </c>
      <c r="BT56" s="127">
        <f t="shared" si="29"/>
        <v>432</v>
      </c>
      <c r="BU56" s="85"/>
      <c r="BV56" s="88"/>
    </row>
    <row r="57" spans="1:74" ht="27.95" customHeight="1">
      <c r="A57" s="81">
        <v>50</v>
      </c>
      <c r="B57" s="82">
        <v>43</v>
      </c>
      <c r="C57" s="83" t="s">
        <v>270</v>
      </c>
      <c r="D57" s="83" t="s">
        <v>271</v>
      </c>
      <c r="E57" s="89" t="s">
        <v>272</v>
      </c>
      <c r="F57" s="91" t="s">
        <v>273</v>
      </c>
      <c r="G57" s="74">
        <v>18</v>
      </c>
      <c r="H57" s="76">
        <v>39</v>
      </c>
      <c r="I57" s="94">
        <f t="shared" si="30"/>
        <v>57</v>
      </c>
      <c r="J57" s="76">
        <v>17</v>
      </c>
      <c r="K57" s="93">
        <f t="shared" si="45"/>
        <v>74</v>
      </c>
      <c r="L57" s="74">
        <v>8</v>
      </c>
      <c r="M57" s="76">
        <v>25</v>
      </c>
      <c r="N57" s="93">
        <f t="shared" si="46"/>
        <v>33</v>
      </c>
      <c r="O57" s="94">
        <f t="shared" si="4"/>
        <v>33</v>
      </c>
      <c r="P57" s="93">
        <f t="shared" si="0"/>
        <v>107</v>
      </c>
      <c r="Q57" s="177"/>
      <c r="R57" s="77">
        <f t="shared" si="33"/>
        <v>4</v>
      </c>
      <c r="S57" s="74">
        <v>15</v>
      </c>
      <c r="T57" s="76">
        <v>36</v>
      </c>
      <c r="U57" s="94">
        <f t="shared" si="6"/>
        <v>51</v>
      </c>
      <c r="V57" s="74">
        <v>5</v>
      </c>
      <c r="W57" s="76">
        <v>19</v>
      </c>
      <c r="X57" s="94">
        <f t="shared" si="7"/>
        <v>24</v>
      </c>
      <c r="Y57" s="93">
        <f t="shared" si="47"/>
        <v>75</v>
      </c>
      <c r="Z57" s="93">
        <f t="shared" si="48"/>
        <v>75</v>
      </c>
      <c r="AA57" s="177"/>
      <c r="AB57" s="77">
        <f t="shared" si="34"/>
        <v>3</v>
      </c>
      <c r="AC57" s="74">
        <v>12</v>
      </c>
      <c r="AD57" s="76">
        <v>19</v>
      </c>
      <c r="AE57" s="94">
        <f t="shared" si="10"/>
        <v>31</v>
      </c>
      <c r="AF57" s="76">
        <v>19</v>
      </c>
      <c r="AG57" s="93">
        <f t="shared" si="35"/>
        <v>50</v>
      </c>
      <c r="AH57" s="177"/>
      <c r="AI57" s="77">
        <f t="shared" si="36"/>
        <v>3</v>
      </c>
      <c r="AJ57" s="74">
        <v>15</v>
      </c>
      <c r="AK57" s="76">
        <v>27</v>
      </c>
      <c r="AL57" s="94">
        <f t="shared" si="13"/>
        <v>42</v>
      </c>
      <c r="AM57" s="76">
        <v>18</v>
      </c>
      <c r="AN57" s="93">
        <f t="shared" si="49"/>
        <v>60</v>
      </c>
      <c r="AO57" s="177"/>
      <c r="AP57" s="77">
        <f t="shared" si="37"/>
        <v>3.5</v>
      </c>
      <c r="AQ57" s="76">
        <v>23</v>
      </c>
      <c r="AR57" s="76">
        <v>23</v>
      </c>
      <c r="AS57" s="76">
        <f t="shared" si="16"/>
        <v>46</v>
      </c>
      <c r="AT57" s="178"/>
      <c r="AU57" s="77">
        <f t="shared" si="38"/>
        <v>5</v>
      </c>
      <c r="AV57" s="74">
        <v>15</v>
      </c>
      <c r="AW57" s="76">
        <v>16</v>
      </c>
      <c r="AX57" s="94">
        <f t="shared" si="18"/>
        <v>31</v>
      </c>
      <c r="AY57" s="76">
        <v>28</v>
      </c>
      <c r="AZ57" s="93">
        <f t="shared" si="39"/>
        <v>59</v>
      </c>
      <c r="BA57" s="177"/>
      <c r="BB57" s="77">
        <f t="shared" si="40"/>
        <v>3</v>
      </c>
      <c r="BC57" s="74">
        <v>12</v>
      </c>
      <c r="BD57" s="76">
        <v>24</v>
      </c>
      <c r="BE57" s="94">
        <f t="shared" si="21"/>
        <v>36</v>
      </c>
      <c r="BF57" s="76"/>
      <c r="BG57" s="93">
        <f t="shared" si="41"/>
        <v>36</v>
      </c>
      <c r="BH57" s="177"/>
      <c r="BI57" s="77" t="str">
        <f t="shared" si="42"/>
        <v>F</v>
      </c>
      <c r="BJ57" s="74">
        <v>8</v>
      </c>
      <c r="BK57" s="76">
        <v>36</v>
      </c>
      <c r="BL57" s="93">
        <f t="shared" si="43"/>
        <v>44</v>
      </c>
      <c r="BM57" s="94">
        <f t="shared" si="25"/>
        <v>44</v>
      </c>
      <c r="BN57" s="180"/>
      <c r="BO57" s="88">
        <f t="shared" si="2"/>
        <v>5</v>
      </c>
      <c r="BP57" s="85" t="str">
        <f t="shared" si="26"/>
        <v>F</v>
      </c>
      <c r="BQ57" s="86" t="str">
        <f t="shared" si="27"/>
        <v>F</v>
      </c>
      <c r="BR57" s="92" t="str">
        <f t="shared" si="44"/>
        <v>F</v>
      </c>
      <c r="BS57" s="88" t="str">
        <f t="shared" si="3"/>
        <v>NEED TO PROGRESS</v>
      </c>
      <c r="BT57" s="127">
        <f t="shared" si="29"/>
        <v>477</v>
      </c>
      <c r="BU57" s="85"/>
      <c r="BV57" s="88"/>
    </row>
    <row r="58" spans="1:74" ht="27.95" customHeight="1">
      <c r="A58" s="81">
        <v>51</v>
      </c>
      <c r="B58" s="82">
        <v>48</v>
      </c>
      <c r="C58" s="83" t="s">
        <v>274</v>
      </c>
      <c r="D58" s="83" t="s">
        <v>275</v>
      </c>
      <c r="E58" s="83" t="s">
        <v>276</v>
      </c>
      <c r="F58" s="91" t="s">
        <v>277</v>
      </c>
      <c r="G58" s="74">
        <v>12</v>
      </c>
      <c r="H58" s="76">
        <v>32</v>
      </c>
      <c r="I58" s="94">
        <f t="shared" si="30"/>
        <v>44</v>
      </c>
      <c r="J58" s="76">
        <v>12</v>
      </c>
      <c r="K58" s="93">
        <f t="shared" si="45"/>
        <v>56</v>
      </c>
      <c r="L58" s="74">
        <v>8</v>
      </c>
      <c r="M58" s="76">
        <v>15</v>
      </c>
      <c r="N58" s="93">
        <f t="shared" si="46"/>
        <v>23</v>
      </c>
      <c r="O58" s="94">
        <f t="shared" si="4"/>
        <v>23</v>
      </c>
      <c r="P58" s="93">
        <f t="shared" si="0"/>
        <v>79</v>
      </c>
      <c r="Q58" s="177"/>
      <c r="R58" s="77">
        <f t="shared" si="33"/>
        <v>3</v>
      </c>
      <c r="S58" s="74">
        <v>14</v>
      </c>
      <c r="T58" s="76">
        <v>34</v>
      </c>
      <c r="U58" s="94">
        <f t="shared" si="6"/>
        <v>48</v>
      </c>
      <c r="V58" s="74">
        <v>5</v>
      </c>
      <c r="W58" s="76">
        <v>21</v>
      </c>
      <c r="X58" s="94">
        <f t="shared" si="7"/>
        <v>26</v>
      </c>
      <c r="Y58" s="93">
        <f t="shared" si="47"/>
        <v>74</v>
      </c>
      <c r="Z58" s="93">
        <f t="shared" si="48"/>
        <v>74</v>
      </c>
      <c r="AA58" s="177"/>
      <c r="AB58" s="77">
        <f t="shared" si="34"/>
        <v>2</v>
      </c>
      <c r="AC58" s="74">
        <v>16</v>
      </c>
      <c r="AD58" s="76">
        <v>16</v>
      </c>
      <c r="AE58" s="94">
        <f t="shared" si="10"/>
        <v>32</v>
      </c>
      <c r="AF58" s="76">
        <v>19</v>
      </c>
      <c r="AG58" s="93">
        <f t="shared" si="35"/>
        <v>51</v>
      </c>
      <c r="AH58" s="177"/>
      <c r="AI58" s="77">
        <f t="shared" si="36"/>
        <v>3</v>
      </c>
      <c r="AJ58" s="74">
        <v>13</v>
      </c>
      <c r="AK58" s="76">
        <v>21</v>
      </c>
      <c r="AL58" s="94">
        <f t="shared" si="13"/>
        <v>34</v>
      </c>
      <c r="AM58" s="76">
        <v>14</v>
      </c>
      <c r="AN58" s="93">
        <f t="shared" si="49"/>
        <v>48</v>
      </c>
      <c r="AO58" s="177"/>
      <c r="AP58" s="77">
        <f t="shared" si="37"/>
        <v>2</v>
      </c>
      <c r="AQ58" s="76">
        <v>23</v>
      </c>
      <c r="AR58" s="76">
        <v>23</v>
      </c>
      <c r="AS58" s="76">
        <f t="shared" si="16"/>
        <v>46</v>
      </c>
      <c r="AT58" s="178"/>
      <c r="AU58" s="77">
        <f t="shared" si="38"/>
        <v>5</v>
      </c>
      <c r="AV58" s="74">
        <v>17</v>
      </c>
      <c r="AW58" s="76">
        <v>11</v>
      </c>
      <c r="AX58" s="94">
        <f t="shared" si="18"/>
        <v>28</v>
      </c>
      <c r="AY58" s="76">
        <v>24</v>
      </c>
      <c r="AZ58" s="93">
        <f t="shared" si="39"/>
        <v>52</v>
      </c>
      <c r="BA58" s="177"/>
      <c r="BB58" s="77">
        <f t="shared" si="40"/>
        <v>3</v>
      </c>
      <c r="BC58" s="74">
        <v>13</v>
      </c>
      <c r="BD58" s="76">
        <v>26</v>
      </c>
      <c r="BE58" s="94">
        <f t="shared" si="21"/>
        <v>39</v>
      </c>
      <c r="BF58" s="76"/>
      <c r="BG58" s="93">
        <f t="shared" si="41"/>
        <v>39</v>
      </c>
      <c r="BH58" s="177"/>
      <c r="BI58" s="77" t="str">
        <f t="shared" si="42"/>
        <v>F</v>
      </c>
      <c r="BJ58" s="74">
        <v>9</v>
      </c>
      <c r="BK58" s="76">
        <v>38</v>
      </c>
      <c r="BL58" s="93">
        <f t="shared" si="43"/>
        <v>47</v>
      </c>
      <c r="BM58" s="94">
        <f t="shared" si="25"/>
        <v>47</v>
      </c>
      <c r="BN58" s="180"/>
      <c r="BO58" s="88">
        <f t="shared" si="2"/>
        <v>5</v>
      </c>
      <c r="BP58" s="85" t="str">
        <f t="shared" si="26"/>
        <v>F</v>
      </c>
      <c r="BQ58" s="86" t="str">
        <f t="shared" si="27"/>
        <v>F</v>
      </c>
      <c r="BR58" s="92" t="str">
        <f t="shared" si="44"/>
        <v>F</v>
      </c>
      <c r="BS58" s="88" t="str">
        <f t="shared" si="3"/>
        <v>NEED TO PROGRESS</v>
      </c>
      <c r="BT58" s="127">
        <f t="shared" si="29"/>
        <v>436</v>
      </c>
      <c r="BU58" s="85"/>
      <c r="BV58" s="88"/>
    </row>
    <row r="59" spans="1:74" ht="27.95" customHeight="1">
      <c r="A59" s="81">
        <v>52</v>
      </c>
      <c r="B59" s="82">
        <v>49</v>
      </c>
      <c r="C59" s="83" t="s">
        <v>278</v>
      </c>
      <c r="D59" s="83" t="s">
        <v>244</v>
      </c>
      <c r="E59" s="83" t="s">
        <v>279</v>
      </c>
      <c r="F59" s="91" t="s">
        <v>280</v>
      </c>
      <c r="G59" s="74">
        <v>14</v>
      </c>
      <c r="H59" s="76">
        <v>27</v>
      </c>
      <c r="I59" s="94">
        <f t="shared" si="30"/>
        <v>41</v>
      </c>
      <c r="J59" s="76">
        <v>23</v>
      </c>
      <c r="K59" s="93">
        <f t="shared" si="45"/>
        <v>64</v>
      </c>
      <c r="L59" s="74">
        <v>9</v>
      </c>
      <c r="M59" s="76">
        <v>23</v>
      </c>
      <c r="N59" s="93">
        <f t="shared" si="46"/>
        <v>32</v>
      </c>
      <c r="O59" s="94">
        <f t="shared" si="4"/>
        <v>32</v>
      </c>
      <c r="P59" s="93">
        <f t="shared" si="0"/>
        <v>96</v>
      </c>
      <c r="Q59" s="177"/>
      <c r="R59" s="77">
        <f t="shared" si="33"/>
        <v>3.5</v>
      </c>
      <c r="S59" s="74">
        <v>13</v>
      </c>
      <c r="T59" s="76">
        <v>34</v>
      </c>
      <c r="U59" s="94">
        <f t="shared" si="6"/>
        <v>47</v>
      </c>
      <c r="V59" s="74">
        <v>8</v>
      </c>
      <c r="W59" s="76">
        <v>24</v>
      </c>
      <c r="X59" s="94">
        <f t="shared" si="7"/>
        <v>32</v>
      </c>
      <c r="Y59" s="93">
        <f t="shared" si="47"/>
        <v>79</v>
      </c>
      <c r="Z59" s="93">
        <f t="shared" si="48"/>
        <v>79</v>
      </c>
      <c r="AA59" s="177"/>
      <c r="AB59" s="77">
        <f t="shared" si="34"/>
        <v>3</v>
      </c>
      <c r="AC59" s="74">
        <v>15</v>
      </c>
      <c r="AD59" s="76">
        <v>11</v>
      </c>
      <c r="AE59" s="94">
        <f t="shared" si="10"/>
        <v>26</v>
      </c>
      <c r="AF59" s="76">
        <v>20</v>
      </c>
      <c r="AG59" s="93">
        <f t="shared" si="35"/>
        <v>46</v>
      </c>
      <c r="AH59" s="177"/>
      <c r="AI59" s="77">
        <f t="shared" si="36"/>
        <v>2</v>
      </c>
      <c r="AJ59" s="74">
        <v>11</v>
      </c>
      <c r="AK59" s="76">
        <v>21</v>
      </c>
      <c r="AL59" s="94">
        <f t="shared" si="13"/>
        <v>32</v>
      </c>
      <c r="AM59" s="76">
        <v>18</v>
      </c>
      <c r="AN59" s="93">
        <f t="shared" si="49"/>
        <v>50</v>
      </c>
      <c r="AO59" s="177"/>
      <c r="AP59" s="77">
        <f t="shared" si="37"/>
        <v>3</v>
      </c>
      <c r="AQ59" s="76">
        <v>23</v>
      </c>
      <c r="AR59" s="76">
        <v>23</v>
      </c>
      <c r="AS59" s="76">
        <f t="shared" si="16"/>
        <v>46</v>
      </c>
      <c r="AT59" s="178"/>
      <c r="AU59" s="77">
        <f t="shared" si="38"/>
        <v>5</v>
      </c>
      <c r="AV59" s="74">
        <v>18</v>
      </c>
      <c r="AW59" s="76">
        <v>12</v>
      </c>
      <c r="AX59" s="94">
        <f t="shared" si="18"/>
        <v>30</v>
      </c>
      <c r="AY59" s="76">
        <v>20</v>
      </c>
      <c r="AZ59" s="93">
        <f t="shared" si="39"/>
        <v>50</v>
      </c>
      <c r="BA59" s="177"/>
      <c r="BB59" s="77">
        <f t="shared" si="40"/>
        <v>3</v>
      </c>
      <c r="BC59" s="74">
        <v>14</v>
      </c>
      <c r="BD59" s="76">
        <v>28</v>
      </c>
      <c r="BE59" s="94">
        <f t="shared" si="21"/>
        <v>42</v>
      </c>
      <c r="BF59" s="76"/>
      <c r="BG59" s="93">
        <f t="shared" si="41"/>
        <v>42</v>
      </c>
      <c r="BH59" s="177"/>
      <c r="BI59" s="77">
        <f t="shared" si="42"/>
        <v>2</v>
      </c>
      <c r="BJ59" s="74">
        <v>8</v>
      </c>
      <c r="BK59" s="76">
        <v>38</v>
      </c>
      <c r="BL59" s="93">
        <f t="shared" si="43"/>
        <v>46</v>
      </c>
      <c r="BM59" s="94">
        <f t="shared" si="25"/>
        <v>46</v>
      </c>
      <c r="BN59" s="180"/>
      <c r="BO59" s="88">
        <f t="shared" si="2"/>
        <v>5</v>
      </c>
      <c r="BP59" s="85">
        <f t="shared" si="26"/>
        <v>26.5</v>
      </c>
      <c r="BQ59" s="86">
        <f t="shared" si="27"/>
        <v>3.3125</v>
      </c>
      <c r="BR59" s="92" t="str">
        <f t="shared" si="44"/>
        <v>B</v>
      </c>
      <c r="BS59" s="88" t="str">
        <f t="shared" si="3"/>
        <v>GOOD</v>
      </c>
      <c r="BT59" s="127">
        <f t="shared" si="29"/>
        <v>455</v>
      </c>
      <c r="BU59" s="85"/>
      <c r="BV59" s="88"/>
    </row>
    <row r="60" spans="1:74" ht="27.95" customHeight="1">
      <c r="A60" s="81">
        <v>53</v>
      </c>
      <c r="B60" s="82">
        <v>51</v>
      </c>
      <c r="C60" s="83" t="s">
        <v>281</v>
      </c>
      <c r="D60" s="83" t="s">
        <v>282</v>
      </c>
      <c r="E60" s="83" t="s">
        <v>283</v>
      </c>
      <c r="F60" s="91" t="s">
        <v>284</v>
      </c>
      <c r="G60" s="74">
        <v>10</v>
      </c>
      <c r="H60" s="76">
        <v>0</v>
      </c>
      <c r="I60" s="94">
        <f t="shared" si="30"/>
        <v>10</v>
      </c>
      <c r="J60" s="76">
        <v>0</v>
      </c>
      <c r="K60" s="93">
        <f t="shared" si="45"/>
        <v>10</v>
      </c>
      <c r="L60" s="74">
        <v>6</v>
      </c>
      <c r="M60" s="76">
        <v>0</v>
      </c>
      <c r="N60" s="93">
        <f t="shared" si="46"/>
        <v>6</v>
      </c>
      <c r="O60" s="94">
        <f t="shared" si="4"/>
        <v>6</v>
      </c>
      <c r="P60" s="93">
        <f t="shared" si="0"/>
        <v>16</v>
      </c>
      <c r="Q60" s="177"/>
      <c r="R60" s="77" t="str">
        <f t="shared" si="33"/>
        <v>F</v>
      </c>
      <c r="S60" s="74">
        <v>17</v>
      </c>
      <c r="T60" s="76">
        <v>0</v>
      </c>
      <c r="U60" s="94">
        <f t="shared" si="6"/>
        <v>17</v>
      </c>
      <c r="V60" s="74">
        <v>6</v>
      </c>
      <c r="W60" s="76">
        <v>0</v>
      </c>
      <c r="X60" s="94">
        <f t="shared" si="7"/>
        <v>6</v>
      </c>
      <c r="Y60" s="93">
        <f t="shared" si="47"/>
        <v>23</v>
      </c>
      <c r="Z60" s="93">
        <f t="shared" si="48"/>
        <v>23</v>
      </c>
      <c r="AA60" s="177"/>
      <c r="AB60" s="77" t="str">
        <f t="shared" si="34"/>
        <v>F</v>
      </c>
      <c r="AC60" s="74">
        <v>11</v>
      </c>
      <c r="AD60" s="76">
        <v>0</v>
      </c>
      <c r="AE60" s="94">
        <f t="shared" si="10"/>
        <v>11</v>
      </c>
      <c r="AF60" s="76">
        <v>0</v>
      </c>
      <c r="AG60" s="93">
        <f t="shared" si="35"/>
        <v>11</v>
      </c>
      <c r="AH60" s="177"/>
      <c r="AI60" s="77" t="str">
        <f t="shared" si="36"/>
        <v>F</v>
      </c>
      <c r="AJ60" s="74">
        <v>14</v>
      </c>
      <c r="AK60" s="76">
        <v>0</v>
      </c>
      <c r="AL60" s="94">
        <f t="shared" si="13"/>
        <v>14</v>
      </c>
      <c r="AM60" s="76">
        <v>0</v>
      </c>
      <c r="AN60" s="93">
        <f t="shared" si="49"/>
        <v>14</v>
      </c>
      <c r="AO60" s="177"/>
      <c r="AP60" s="77" t="str">
        <f t="shared" si="37"/>
        <v>F</v>
      </c>
      <c r="AQ60" s="76">
        <v>23</v>
      </c>
      <c r="AR60" s="76">
        <v>23</v>
      </c>
      <c r="AS60" s="76">
        <f t="shared" si="16"/>
        <v>46</v>
      </c>
      <c r="AT60" s="178"/>
      <c r="AU60" s="77">
        <f t="shared" si="38"/>
        <v>5</v>
      </c>
      <c r="AV60" s="74">
        <v>15</v>
      </c>
      <c r="AW60" s="76">
        <v>0</v>
      </c>
      <c r="AX60" s="94">
        <f t="shared" si="18"/>
        <v>15</v>
      </c>
      <c r="AY60" s="76">
        <v>0</v>
      </c>
      <c r="AZ60" s="93">
        <f t="shared" si="39"/>
        <v>15</v>
      </c>
      <c r="BA60" s="177"/>
      <c r="BB60" s="77" t="str">
        <f t="shared" si="40"/>
        <v>F</v>
      </c>
      <c r="BC60" s="74">
        <v>13</v>
      </c>
      <c r="BD60" s="76">
        <v>0</v>
      </c>
      <c r="BE60" s="94">
        <f t="shared" si="21"/>
        <v>13</v>
      </c>
      <c r="BF60" s="76"/>
      <c r="BG60" s="93">
        <f t="shared" si="41"/>
        <v>13</v>
      </c>
      <c r="BH60" s="177"/>
      <c r="BI60" s="77" t="str">
        <f t="shared" si="42"/>
        <v>F</v>
      </c>
      <c r="BJ60" s="74">
        <v>7</v>
      </c>
      <c r="BK60" s="76">
        <v>0</v>
      </c>
      <c r="BL60" s="93">
        <f t="shared" si="43"/>
        <v>7</v>
      </c>
      <c r="BM60" s="94">
        <f t="shared" si="25"/>
        <v>7</v>
      </c>
      <c r="BN60" s="180"/>
      <c r="BO60" s="88" t="str">
        <f t="shared" si="2"/>
        <v>F</v>
      </c>
      <c r="BP60" s="85" t="str">
        <f t="shared" si="26"/>
        <v>F</v>
      </c>
      <c r="BQ60" s="86" t="str">
        <f t="shared" si="27"/>
        <v>F</v>
      </c>
      <c r="BR60" s="92" t="str">
        <f t="shared" si="44"/>
        <v>F</v>
      </c>
      <c r="BS60" s="88" t="str">
        <f t="shared" si="3"/>
        <v>NEED TO PROGRESS</v>
      </c>
      <c r="BT60" s="127">
        <f t="shared" si="29"/>
        <v>145</v>
      </c>
      <c r="BU60" s="85"/>
      <c r="BV60" s="88"/>
    </row>
    <row r="61" spans="1:74" ht="27.95" customHeight="1">
      <c r="A61" s="81">
        <v>54</v>
      </c>
      <c r="B61" s="82">
        <v>52</v>
      </c>
      <c r="C61" s="83" t="s">
        <v>285</v>
      </c>
      <c r="D61" s="83" t="s">
        <v>286</v>
      </c>
      <c r="E61" s="83" t="s">
        <v>287</v>
      </c>
      <c r="F61" s="91" t="s">
        <v>288</v>
      </c>
      <c r="G61" s="74">
        <v>14</v>
      </c>
      <c r="H61" s="76">
        <v>21</v>
      </c>
      <c r="I61" s="94">
        <f t="shared" si="30"/>
        <v>35</v>
      </c>
      <c r="J61" s="76">
        <v>14</v>
      </c>
      <c r="K61" s="93">
        <f t="shared" si="45"/>
        <v>49</v>
      </c>
      <c r="L61" s="74">
        <v>8</v>
      </c>
      <c r="M61" s="76">
        <v>16</v>
      </c>
      <c r="N61" s="93">
        <f t="shared" si="46"/>
        <v>24</v>
      </c>
      <c r="O61" s="94">
        <f t="shared" si="4"/>
        <v>24</v>
      </c>
      <c r="P61" s="93">
        <f t="shared" si="0"/>
        <v>73</v>
      </c>
      <c r="Q61" s="177"/>
      <c r="R61" s="77">
        <f t="shared" si="33"/>
        <v>3</v>
      </c>
      <c r="S61" s="74">
        <v>13</v>
      </c>
      <c r="T61" s="76">
        <v>38</v>
      </c>
      <c r="U61" s="94">
        <f t="shared" si="6"/>
        <v>51</v>
      </c>
      <c r="V61" s="74">
        <v>6</v>
      </c>
      <c r="W61" s="76">
        <v>16</v>
      </c>
      <c r="X61" s="94">
        <f t="shared" si="7"/>
        <v>22</v>
      </c>
      <c r="Y61" s="93">
        <f t="shared" si="47"/>
        <v>73</v>
      </c>
      <c r="Z61" s="93">
        <f t="shared" si="48"/>
        <v>73</v>
      </c>
      <c r="AA61" s="177"/>
      <c r="AB61" s="77">
        <f t="shared" si="34"/>
        <v>2</v>
      </c>
      <c r="AC61" s="74">
        <v>18</v>
      </c>
      <c r="AD61" s="76">
        <v>21</v>
      </c>
      <c r="AE61" s="94">
        <f t="shared" si="10"/>
        <v>39</v>
      </c>
      <c r="AF61" s="76">
        <v>19</v>
      </c>
      <c r="AG61" s="93">
        <f t="shared" si="35"/>
        <v>58</v>
      </c>
      <c r="AH61" s="177"/>
      <c r="AI61" s="77">
        <f t="shared" si="36"/>
        <v>3</v>
      </c>
      <c r="AJ61" s="74">
        <v>12</v>
      </c>
      <c r="AK61" s="76">
        <v>21</v>
      </c>
      <c r="AL61" s="94">
        <f t="shared" si="13"/>
        <v>33</v>
      </c>
      <c r="AM61" s="76">
        <v>18</v>
      </c>
      <c r="AN61" s="93">
        <f t="shared" si="49"/>
        <v>51</v>
      </c>
      <c r="AO61" s="177"/>
      <c r="AP61" s="77">
        <f t="shared" si="37"/>
        <v>3</v>
      </c>
      <c r="AQ61" s="76">
        <v>23</v>
      </c>
      <c r="AR61" s="76">
        <v>23</v>
      </c>
      <c r="AS61" s="76">
        <f t="shared" si="16"/>
        <v>46</v>
      </c>
      <c r="AT61" s="178"/>
      <c r="AU61" s="77">
        <f t="shared" si="38"/>
        <v>5</v>
      </c>
      <c r="AV61" s="74">
        <v>16</v>
      </c>
      <c r="AW61" s="76">
        <v>10</v>
      </c>
      <c r="AX61" s="94">
        <v>16</v>
      </c>
      <c r="AY61" s="76">
        <v>24</v>
      </c>
      <c r="AZ61" s="93">
        <f t="shared" si="39"/>
        <v>40</v>
      </c>
      <c r="BA61" s="177"/>
      <c r="BB61" s="77">
        <f t="shared" si="40"/>
        <v>2</v>
      </c>
      <c r="BC61" s="74">
        <v>16</v>
      </c>
      <c r="BD61" s="76">
        <v>25</v>
      </c>
      <c r="BE61" s="94">
        <f t="shared" si="21"/>
        <v>41</v>
      </c>
      <c r="BF61" s="76"/>
      <c r="BG61" s="93">
        <f t="shared" si="41"/>
        <v>41</v>
      </c>
      <c r="BH61" s="177"/>
      <c r="BI61" s="77">
        <f t="shared" si="42"/>
        <v>2</v>
      </c>
      <c r="BJ61" s="74">
        <v>10</v>
      </c>
      <c r="BK61" s="76">
        <v>40</v>
      </c>
      <c r="BL61" s="93">
        <f t="shared" si="43"/>
        <v>50</v>
      </c>
      <c r="BM61" s="94">
        <f t="shared" si="25"/>
        <v>50</v>
      </c>
      <c r="BN61" s="180"/>
      <c r="BO61" s="88">
        <f t="shared" si="2"/>
        <v>5</v>
      </c>
      <c r="BP61" s="85">
        <f t="shared" si="26"/>
        <v>25</v>
      </c>
      <c r="BQ61" s="86">
        <f t="shared" si="27"/>
        <v>3.125</v>
      </c>
      <c r="BR61" s="92" t="str">
        <f t="shared" si="44"/>
        <v>B</v>
      </c>
      <c r="BS61" s="88" t="str">
        <f t="shared" si="3"/>
        <v>GOOD</v>
      </c>
      <c r="BT61" s="127">
        <f t="shared" si="29"/>
        <v>432</v>
      </c>
      <c r="BU61" s="85"/>
      <c r="BV61" s="88"/>
    </row>
    <row r="62" spans="1:74" ht="27.95" customHeight="1">
      <c r="A62" s="81">
        <v>55</v>
      </c>
      <c r="B62" s="82">
        <v>53</v>
      </c>
      <c r="C62" s="83" t="s">
        <v>289</v>
      </c>
      <c r="D62" s="83" t="s">
        <v>290</v>
      </c>
      <c r="E62" s="83" t="s">
        <v>291</v>
      </c>
      <c r="F62" s="91" t="s">
        <v>292</v>
      </c>
      <c r="G62" s="74">
        <v>13</v>
      </c>
      <c r="H62" s="76">
        <v>36</v>
      </c>
      <c r="I62" s="94">
        <f t="shared" si="30"/>
        <v>49</v>
      </c>
      <c r="J62" s="76">
        <v>22</v>
      </c>
      <c r="K62" s="93">
        <f t="shared" si="45"/>
        <v>71</v>
      </c>
      <c r="L62" s="74">
        <v>7</v>
      </c>
      <c r="M62" s="76">
        <v>23</v>
      </c>
      <c r="N62" s="93">
        <f t="shared" si="46"/>
        <v>30</v>
      </c>
      <c r="O62" s="94">
        <f t="shared" si="4"/>
        <v>30</v>
      </c>
      <c r="P62" s="93">
        <f t="shared" si="0"/>
        <v>101</v>
      </c>
      <c r="Q62" s="177"/>
      <c r="R62" s="77">
        <f t="shared" si="33"/>
        <v>3.5</v>
      </c>
      <c r="S62" s="74">
        <v>15</v>
      </c>
      <c r="T62" s="76">
        <v>26</v>
      </c>
      <c r="U62" s="94">
        <f t="shared" si="6"/>
        <v>41</v>
      </c>
      <c r="V62" s="74">
        <v>8</v>
      </c>
      <c r="W62" s="76">
        <v>21</v>
      </c>
      <c r="X62" s="94">
        <f t="shared" si="7"/>
        <v>29</v>
      </c>
      <c r="Y62" s="93">
        <f t="shared" si="47"/>
        <v>70</v>
      </c>
      <c r="Z62" s="93">
        <f t="shared" si="48"/>
        <v>70</v>
      </c>
      <c r="AA62" s="177"/>
      <c r="AB62" s="77">
        <f t="shared" si="34"/>
        <v>2</v>
      </c>
      <c r="AC62" s="74">
        <v>14</v>
      </c>
      <c r="AD62" s="76">
        <v>10</v>
      </c>
      <c r="AE62" s="94">
        <f t="shared" si="10"/>
        <v>24</v>
      </c>
      <c r="AF62" s="76">
        <v>19</v>
      </c>
      <c r="AG62" s="93">
        <f t="shared" si="35"/>
        <v>43</v>
      </c>
      <c r="AH62" s="177"/>
      <c r="AI62" s="77">
        <f t="shared" si="36"/>
        <v>2</v>
      </c>
      <c r="AJ62" s="74">
        <v>13</v>
      </c>
      <c r="AK62" s="76">
        <v>26</v>
      </c>
      <c r="AL62" s="94">
        <f t="shared" si="13"/>
        <v>39</v>
      </c>
      <c r="AM62" s="76">
        <v>20</v>
      </c>
      <c r="AN62" s="93">
        <f t="shared" si="49"/>
        <v>59</v>
      </c>
      <c r="AO62" s="177"/>
      <c r="AP62" s="77">
        <f t="shared" si="37"/>
        <v>3</v>
      </c>
      <c r="AQ62" s="76">
        <v>23</v>
      </c>
      <c r="AR62" s="76">
        <v>23</v>
      </c>
      <c r="AS62" s="76">
        <f t="shared" si="16"/>
        <v>46</v>
      </c>
      <c r="AT62" s="178"/>
      <c r="AU62" s="77">
        <f t="shared" si="38"/>
        <v>5</v>
      </c>
      <c r="AV62" s="74">
        <v>19</v>
      </c>
      <c r="AW62" s="76">
        <v>14</v>
      </c>
      <c r="AX62" s="94">
        <f t="shared" ref="AX62:AX72" si="50">AW62+AV62</f>
        <v>33</v>
      </c>
      <c r="AY62" s="76">
        <v>24</v>
      </c>
      <c r="AZ62" s="93">
        <f t="shared" si="39"/>
        <v>57</v>
      </c>
      <c r="BA62" s="177"/>
      <c r="BB62" s="77">
        <f t="shared" si="40"/>
        <v>3</v>
      </c>
      <c r="BC62" s="74">
        <v>11</v>
      </c>
      <c r="BD62" s="76">
        <v>22</v>
      </c>
      <c r="BE62" s="94">
        <f t="shared" si="21"/>
        <v>33</v>
      </c>
      <c r="BF62" s="76"/>
      <c r="BG62" s="93">
        <f t="shared" si="41"/>
        <v>33</v>
      </c>
      <c r="BH62" s="177"/>
      <c r="BI62" s="77" t="str">
        <f t="shared" si="42"/>
        <v>F</v>
      </c>
      <c r="BJ62" s="74">
        <v>9</v>
      </c>
      <c r="BK62" s="76">
        <v>38</v>
      </c>
      <c r="BL62" s="93">
        <f t="shared" si="43"/>
        <v>47</v>
      </c>
      <c r="BM62" s="94">
        <f t="shared" si="25"/>
        <v>47</v>
      </c>
      <c r="BN62" s="180"/>
      <c r="BO62" s="88">
        <f t="shared" si="2"/>
        <v>5</v>
      </c>
      <c r="BP62" s="85" t="str">
        <f t="shared" si="26"/>
        <v>F</v>
      </c>
      <c r="BQ62" s="86" t="str">
        <f t="shared" si="27"/>
        <v>F</v>
      </c>
      <c r="BR62" s="92" t="str">
        <f t="shared" si="44"/>
        <v>F</v>
      </c>
      <c r="BS62" s="88" t="str">
        <f t="shared" si="3"/>
        <v>NEED TO PROGRESS</v>
      </c>
      <c r="BT62" s="127">
        <f t="shared" si="29"/>
        <v>456</v>
      </c>
      <c r="BU62" s="85"/>
      <c r="BV62" s="88"/>
    </row>
    <row r="63" spans="1:74" ht="27.95" customHeight="1">
      <c r="A63" s="81">
        <v>56</v>
      </c>
      <c r="B63" s="82">
        <v>54</v>
      </c>
      <c r="C63" s="83" t="s">
        <v>293</v>
      </c>
      <c r="D63" s="83" t="s">
        <v>294</v>
      </c>
      <c r="E63" s="83" t="s">
        <v>295</v>
      </c>
      <c r="F63" s="91" t="s">
        <v>296</v>
      </c>
      <c r="G63" s="74">
        <v>6</v>
      </c>
      <c r="H63" s="76">
        <v>20</v>
      </c>
      <c r="I63" s="94">
        <f t="shared" si="30"/>
        <v>26</v>
      </c>
      <c r="J63" s="76">
        <v>22</v>
      </c>
      <c r="K63" s="94">
        <f t="shared" si="45"/>
        <v>48</v>
      </c>
      <c r="L63" s="74">
        <v>8</v>
      </c>
      <c r="M63" s="76">
        <v>19</v>
      </c>
      <c r="N63" s="94">
        <f t="shared" si="46"/>
        <v>27</v>
      </c>
      <c r="O63" s="94">
        <f t="shared" si="4"/>
        <v>27</v>
      </c>
      <c r="P63" s="94">
        <f t="shared" si="0"/>
        <v>75</v>
      </c>
      <c r="Q63" s="177"/>
      <c r="R63" s="77">
        <f t="shared" si="33"/>
        <v>3</v>
      </c>
      <c r="S63" s="74">
        <v>16</v>
      </c>
      <c r="T63" s="76">
        <v>21</v>
      </c>
      <c r="U63" s="94">
        <f t="shared" si="6"/>
        <v>37</v>
      </c>
      <c r="V63" s="74">
        <v>6</v>
      </c>
      <c r="W63" s="76">
        <v>14</v>
      </c>
      <c r="X63" s="94">
        <f t="shared" si="7"/>
        <v>20</v>
      </c>
      <c r="Y63" s="94">
        <f t="shared" si="47"/>
        <v>57</v>
      </c>
      <c r="Z63" s="94">
        <f t="shared" si="48"/>
        <v>57</v>
      </c>
      <c r="AA63" s="177"/>
      <c r="AB63" s="77" t="str">
        <f t="shared" si="34"/>
        <v>F</v>
      </c>
      <c r="AC63" s="74">
        <v>10</v>
      </c>
      <c r="AD63" s="76">
        <v>4</v>
      </c>
      <c r="AE63" s="94">
        <f t="shared" si="10"/>
        <v>14</v>
      </c>
      <c r="AF63" s="76">
        <v>12</v>
      </c>
      <c r="AG63" s="94">
        <f t="shared" si="35"/>
        <v>26</v>
      </c>
      <c r="AH63" s="177"/>
      <c r="AI63" s="77" t="str">
        <f t="shared" si="36"/>
        <v>F</v>
      </c>
      <c r="AJ63" s="74">
        <v>11</v>
      </c>
      <c r="AK63" s="76">
        <v>16</v>
      </c>
      <c r="AL63" s="94">
        <f t="shared" si="13"/>
        <v>27</v>
      </c>
      <c r="AM63" s="76">
        <v>19</v>
      </c>
      <c r="AN63" s="94">
        <f t="shared" si="49"/>
        <v>46</v>
      </c>
      <c r="AO63" s="177"/>
      <c r="AP63" s="77">
        <f t="shared" si="37"/>
        <v>2</v>
      </c>
      <c r="AQ63" s="76">
        <v>23</v>
      </c>
      <c r="AR63" s="76">
        <v>23</v>
      </c>
      <c r="AS63" s="76">
        <f t="shared" si="16"/>
        <v>46</v>
      </c>
      <c r="AT63" s="178"/>
      <c r="AU63" s="77">
        <f t="shared" si="38"/>
        <v>5</v>
      </c>
      <c r="AV63" s="74">
        <v>15</v>
      </c>
      <c r="AW63" s="76">
        <v>9</v>
      </c>
      <c r="AX63" s="94">
        <f t="shared" si="50"/>
        <v>24</v>
      </c>
      <c r="AY63" s="76">
        <v>27</v>
      </c>
      <c r="AZ63" s="93">
        <f t="shared" si="39"/>
        <v>51</v>
      </c>
      <c r="BA63" s="177"/>
      <c r="BB63" s="77">
        <f t="shared" si="40"/>
        <v>3</v>
      </c>
      <c r="BC63" s="74">
        <v>12</v>
      </c>
      <c r="BD63" s="76">
        <v>16</v>
      </c>
      <c r="BE63" s="94">
        <f t="shared" si="21"/>
        <v>28</v>
      </c>
      <c r="BF63" s="76"/>
      <c r="BG63" s="93">
        <f t="shared" si="41"/>
        <v>28</v>
      </c>
      <c r="BH63" s="177"/>
      <c r="BI63" s="77" t="str">
        <f t="shared" si="42"/>
        <v>F</v>
      </c>
      <c r="BJ63" s="74">
        <v>9</v>
      </c>
      <c r="BK63" s="76">
        <v>38</v>
      </c>
      <c r="BL63" s="93">
        <f t="shared" si="43"/>
        <v>47</v>
      </c>
      <c r="BM63" s="94">
        <f t="shared" si="25"/>
        <v>47</v>
      </c>
      <c r="BN63" s="180"/>
      <c r="BO63" s="88">
        <f t="shared" si="2"/>
        <v>5</v>
      </c>
      <c r="BP63" s="85" t="str">
        <f t="shared" si="26"/>
        <v>F</v>
      </c>
      <c r="BQ63" s="86" t="str">
        <f t="shared" si="27"/>
        <v>F</v>
      </c>
      <c r="BR63" s="92" t="str">
        <f t="shared" si="44"/>
        <v>F</v>
      </c>
      <c r="BS63" s="88" t="str">
        <f t="shared" si="3"/>
        <v>NEED TO PROGRESS</v>
      </c>
      <c r="BT63" s="127">
        <f t="shared" si="29"/>
        <v>376</v>
      </c>
      <c r="BU63" s="85"/>
      <c r="BV63" s="88"/>
    </row>
    <row r="64" spans="1:74" ht="27.95" customHeight="1">
      <c r="A64" s="81">
        <v>57</v>
      </c>
      <c r="B64" s="82">
        <v>55</v>
      </c>
      <c r="C64" s="83" t="s">
        <v>297</v>
      </c>
      <c r="D64" s="83" t="s">
        <v>298</v>
      </c>
      <c r="E64" s="83" t="s">
        <v>229</v>
      </c>
      <c r="F64" s="91" t="s">
        <v>299</v>
      </c>
      <c r="G64" s="74">
        <v>16</v>
      </c>
      <c r="H64" s="76">
        <v>38</v>
      </c>
      <c r="I64" s="94">
        <f t="shared" si="30"/>
        <v>54</v>
      </c>
      <c r="J64" s="76">
        <v>22</v>
      </c>
      <c r="K64" s="94">
        <f t="shared" si="45"/>
        <v>76</v>
      </c>
      <c r="L64" s="74">
        <v>9</v>
      </c>
      <c r="M64" s="76">
        <v>30</v>
      </c>
      <c r="N64" s="94">
        <f t="shared" si="46"/>
        <v>39</v>
      </c>
      <c r="O64" s="94">
        <f t="shared" si="4"/>
        <v>39</v>
      </c>
      <c r="P64" s="94">
        <f t="shared" si="0"/>
        <v>115</v>
      </c>
      <c r="Q64" s="177"/>
      <c r="R64" s="77">
        <f t="shared" si="33"/>
        <v>4</v>
      </c>
      <c r="S64" s="74">
        <v>12</v>
      </c>
      <c r="T64" s="76">
        <v>0</v>
      </c>
      <c r="U64" s="94">
        <f t="shared" si="6"/>
        <v>12</v>
      </c>
      <c r="V64" s="74">
        <v>6</v>
      </c>
      <c r="W64" s="76">
        <v>14</v>
      </c>
      <c r="X64" s="94">
        <f t="shared" si="7"/>
        <v>20</v>
      </c>
      <c r="Y64" s="94">
        <f t="shared" si="47"/>
        <v>32</v>
      </c>
      <c r="Z64" s="94">
        <f t="shared" si="48"/>
        <v>32</v>
      </c>
      <c r="AA64" s="177"/>
      <c r="AB64" s="77" t="str">
        <f t="shared" si="34"/>
        <v>F</v>
      </c>
      <c r="AC64" s="74">
        <v>6</v>
      </c>
      <c r="AD64" s="76">
        <v>1</v>
      </c>
      <c r="AE64" s="94">
        <f t="shared" si="10"/>
        <v>7</v>
      </c>
      <c r="AF64" s="76">
        <v>9</v>
      </c>
      <c r="AG64" s="94">
        <f t="shared" si="35"/>
        <v>16</v>
      </c>
      <c r="AH64" s="177"/>
      <c r="AI64" s="77" t="str">
        <f t="shared" si="36"/>
        <v>F</v>
      </c>
      <c r="AJ64" s="74">
        <v>11</v>
      </c>
      <c r="AK64" s="76">
        <v>22</v>
      </c>
      <c r="AL64" s="94">
        <f t="shared" si="13"/>
        <v>33</v>
      </c>
      <c r="AM64" s="76">
        <v>12</v>
      </c>
      <c r="AN64" s="94">
        <f t="shared" si="49"/>
        <v>45</v>
      </c>
      <c r="AO64" s="177"/>
      <c r="AP64" s="77">
        <f t="shared" si="37"/>
        <v>2</v>
      </c>
      <c r="AQ64" s="76">
        <v>23</v>
      </c>
      <c r="AR64" s="76">
        <v>23</v>
      </c>
      <c r="AS64" s="76">
        <f t="shared" si="16"/>
        <v>46</v>
      </c>
      <c r="AT64" s="178"/>
      <c r="AU64" s="77">
        <f t="shared" si="38"/>
        <v>5</v>
      </c>
      <c r="AV64" s="74">
        <v>18</v>
      </c>
      <c r="AW64" s="76">
        <v>24</v>
      </c>
      <c r="AX64" s="94">
        <f t="shared" si="50"/>
        <v>42</v>
      </c>
      <c r="AY64" s="76">
        <v>25</v>
      </c>
      <c r="AZ64" s="93">
        <f t="shared" si="39"/>
        <v>67</v>
      </c>
      <c r="BA64" s="177"/>
      <c r="BB64" s="77">
        <f t="shared" si="40"/>
        <v>3.5</v>
      </c>
      <c r="BC64" s="74">
        <v>17</v>
      </c>
      <c r="BD64" s="76">
        <v>29</v>
      </c>
      <c r="BE64" s="94">
        <f t="shared" si="21"/>
        <v>46</v>
      </c>
      <c r="BF64" s="76"/>
      <c r="BG64" s="93">
        <f t="shared" si="41"/>
        <v>46</v>
      </c>
      <c r="BH64" s="177"/>
      <c r="BI64" s="77">
        <f t="shared" si="42"/>
        <v>2</v>
      </c>
      <c r="BJ64" s="74">
        <v>8</v>
      </c>
      <c r="BK64" s="76">
        <v>38</v>
      </c>
      <c r="BL64" s="93">
        <f t="shared" si="43"/>
        <v>46</v>
      </c>
      <c r="BM64" s="94">
        <f t="shared" si="25"/>
        <v>46</v>
      </c>
      <c r="BN64" s="180"/>
      <c r="BO64" s="88">
        <f t="shared" si="2"/>
        <v>5</v>
      </c>
      <c r="BP64" s="85" t="str">
        <f t="shared" si="26"/>
        <v>F</v>
      </c>
      <c r="BQ64" s="86" t="str">
        <f t="shared" si="27"/>
        <v>F</v>
      </c>
      <c r="BR64" s="92" t="str">
        <f t="shared" si="44"/>
        <v>F</v>
      </c>
      <c r="BS64" s="88" t="str">
        <f t="shared" si="3"/>
        <v>NEED TO PROGRESS</v>
      </c>
      <c r="BT64" s="127">
        <f t="shared" si="29"/>
        <v>413</v>
      </c>
      <c r="BU64" s="85"/>
      <c r="BV64" s="88"/>
    </row>
    <row r="65" spans="1:74" ht="27.95" customHeight="1">
      <c r="A65" s="81">
        <v>58</v>
      </c>
      <c r="B65" s="82">
        <v>62</v>
      </c>
      <c r="C65" s="83" t="s">
        <v>300</v>
      </c>
      <c r="D65" s="83" t="s">
        <v>301</v>
      </c>
      <c r="E65" s="83" t="s">
        <v>302</v>
      </c>
      <c r="F65" s="91" t="s">
        <v>303</v>
      </c>
      <c r="G65" s="74">
        <v>13</v>
      </c>
      <c r="H65" s="76">
        <v>29</v>
      </c>
      <c r="I65" s="94">
        <f t="shared" si="30"/>
        <v>42</v>
      </c>
      <c r="J65" s="76">
        <v>25</v>
      </c>
      <c r="K65" s="94">
        <f t="shared" si="45"/>
        <v>67</v>
      </c>
      <c r="L65" s="74">
        <v>9</v>
      </c>
      <c r="M65" s="76">
        <v>30</v>
      </c>
      <c r="N65" s="94">
        <f t="shared" si="46"/>
        <v>39</v>
      </c>
      <c r="O65" s="94">
        <f t="shared" si="4"/>
        <v>39</v>
      </c>
      <c r="P65" s="94">
        <f t="shared" si="0"/>
        <v>106</v>
      </c>
      <c r="Q65" s="177"/>
      <c r="R65" s="77">
        <f t="shared" si="33"/>
        <v>4</v>
      </c>
      <c r="S65" s="74">
        <v>15</v>
      </c>
      <c r="T65" s="76">
        <v>42</v>
      </c>
      <c r="U65" s="94">
        <f t="shared" si="6"/>
        <v>57</v>
      </c>
      <c r="V65" s="74">
        <v>7</v>
      </c>
      <c r="W65" s="76">
        <v>14</v>
      </c>
      <c r="X65" s="94">
        <f t="shared" si="7"/>
        <v>21</v>
      </c>
      <c r="Y65" s="94">
        <f t="shared" si="47"/>
        <v>78</v>
      </c>
      <c r="Z65" s="94">
        <f t="shared" si="48"/>
        <v>78</v>
      </c>
      <c r="AA65" s="177"/>
      <c r="AB65" s="77">
        <f t="shared" si="34"/>
        <v>3</v>
      </c>
      <c r="AC65" s="74">
        <v>15</v>
      </c>
      <c r="AD65" s="76">
        <v>17</v>
      </c>
      <c r="AE65" s="94">
        <f t="shared" si="10"/>
        <v>32</v>
      </c>
      <c r="AF65" s="76">
        <v>20</v>
      </c>
      <c r="AG65" s="94">
        <f t="shared" si="35"/>
        <v>52</v>
      </c>
      <c r="AH65" s="177"/>
      <c r="AI65" s="77">
        <f t="shared" si="36"/>
        <v>3</v>
      </c>
      <c r="AJ65" s="74">
        <v>16</v>
      </c>
      <c r="AK65" s="76">
        <v>31</v>
      </c>
      <c r="AL65" s="94">
        <f t="shared" si="13"/>
        <v>47</v>
      </c>
      <c r="AM65" s="76">
        <v>21</v>
      </c>
      <c r="AN65" s="94">
        <f t="shared" si="49"/>
        <v>68</v>
      </c>
      <c r="AO65" s="177"/>
      <c r="AP65" s="77">
        <f t="shared" si="37"/>
        <v>3.5</v>
      </c>
      <c r="AQ65" s="76">
        <v>23</v>
      </c>
      <c r="AR65" s="76">
        <v>23</v>
      </c>
      <c r="AS65" s="76">
        <f t="shared" si="16"/>
        <v>46</v>
      </c>
      <c r="AT65" s="178"/>
      <c r="AU65" s="77">
        <f t="shared" si="38"/>
        <v>5</v>
      </c>
      <c r="AV65" s="74">
        <v>19</v>
      </c>
      <c r="AW65" s="76">
        <v>28</v>
      </c>
      <c r="AX65" s="94">
        <f t="shared" si="50"/>
        <v>47</v>
      </c>
      <c r="AY65" s="76">
        <v>27</v>
      </c>
      <c r="AZ65" s="93">
        <f t="shared" si="39"/>
        <v>74</v>
      </c>
      <c r="BA65" s="177"/>
      <c r="BB65" s="77">
        <f t="shared" si="40"/>
        <v>4</v>
      </c>
      <c r="BC65" s="74">
        <v>14</v>
      </c>
      <c r="BD65" s="76">
        <v>26</v>
      </c>
      <c r="BE65" s="94">
        <f t="shared" si="21"/>
        <v>40</v>
      </c>
      <c r="BF65" s="76"/>
      <c r="BG65" s="93">
        <f t="shared" si="41"/>
        <v>40</v>
      </c>
      <c r="BH65" s="177"/>
      <c r="BI65" s="77">
        <f t="shared" si="42"/>
        <v>2</v>
      </c>
      <c r="BJ65" s="74">
        <v>9</v>
      </c>
      <c r="BK65" s="76">
        <v>39</v>
      </c>
      <c r="BL65" s="93">
        <f t="shared" si="43"/>
        <v>48</v>
      </c>
      <c r="BM65" s="94">
        <f t="shared" si="25"/>
        <v>48</v>
      </c>
      <c r="BN65" s="180"/>
      <c r="BO65" s="88">
        <f t="shared" si="2"/>
        <v>5</v>
      </c>
      <c r="BP65" s="85">
        <f t="shared" si="26"/>
        <v>29.5</v>
      </c>
      <c r="BQ65" s="86">
        <f t="shared" si="27"/>
        <v>3.6875</v>
      </c>
      <c r="BR65" s="92" t="str">
        <f t="shared" si="44"/>
        <v>A-</v>
      </c>
      <c r="BS65" s="88" t="str">
        <f t="shared" si="3"/>
        <v>GOOD</v>
      </c>
      <c r="BT65" s="127">
        <f t="shared" si="29"/>
        <v>512</v>
      </c>
      <c r="BU65" s="85"/>
      <c r="BV65" s="88"/>
    </row>
    <row r="66" spans="1:74" ht="27.95" customHeight="1">
      <c r="A66" s="81">
        <v>59</v>
      </c>
      <c r="B66" s="82">
        <v>64</v>
      </c>
      <c r="C66" s="83" t="s">
        <v>304</v>
      </c>
      <c r="D66" s="83" t="s">
        <v>305</v>
      </c>
      <c r="E66" s="83" t="s">
        <v>306</v>
      </c>
      <c r="F66" s="91" t="s">
        <v>307</v>
      </c>
      <c r="G66" s="78">
        <v>0</v>
      </c>
      <c r="H66" s="76">
        <v>0</v>
      </c>
      <c r="I66" s="94">
        <f t="shared" si="30"/>
        <v>0</v>
      </c>
      <c r="J66" s="76">
        <v>0</v>
      </c>
      <c r="K66" s="94">
        <f t="shared" si="45"/>
        <v>0</v>
      </c>
      <c r="L66" s="78">
        <v>0</v>
      </c>
      <c r="M66" s="76">
        <v>0</v>
      </c>
      <c r="N66" s="94">
        <f t="shared" si="46"/>
        <v>0</v>
      </c>
      <c r="O66" s="94">
        <f t="shared" si="4"/>
        <v>0</v>
      </c>
      <c r="P66" s="94">
        <f t="shared" si="0"/>
        <v>0</v>
      </c>
      <c r="Q66" s="177"/>
      <c r="R66" s="77" t="str">
        <f t="shared" si="33"/>
        <v>F</v>
      </c>
      <c r="S66" s="78">
        <v>5</v>
      </c>
      <c r="T66" s="76">
        <v>0</v>
      </c>
      <c r="U66" s="94">
        <f t="shared" si="6"/>
        <v>5</v>
      </c>
      <c r="V66" s="78">
        <v>0</v>
      </c>
      <c r="W66" s="76">
        <v>0</v>
      </c>
      <c r="X66" s="94">
        <f t="shared" si="7"/>
        <v>0</v>
      </c>
      <c r="Y66" s="94">
        <f t="shared" si="47"/>
        <v>5</v>
      </c>
      <c r="Z66" s="94">
        <f t="shared" si="48"/>
        <v>5</v>
      </c>
      <c r="AA66" s="177"/>
      <c r="AB66" s="77" t="str">
        <f t="shared" si="34"/>
        <v>F</v>
      </c>
      <c r="AC66" s="78">
        <v>0</v>
      </c>
      <c r="AD66" s="76">
        <v>0</v>
      </c>
      <c r="AE66" s="94">
        <f t="shared" si="10"/>
        <v>0</v>
      </c>
      <c r="AF66" s="76">
        <v>0</v>
      </c>
      <c r="AG66" s="94">
        <f t="shared" si="35"/>
        <v>0</v>
      </c>
      <c r="AH66" s="177"/>
      <c r="AI66" s="77" t="str">
        <f t="shared" si="36"/>
        <v>F</v>
      </c>
      <c r="AJ66" s="78">
        <v>0</v>
      </c>
      <c r="AK66" s="76">
        <v>0</v>
      </c>
      <c r="AL66" s="94">
        <f t="shared" si="13"/>
        <v>0</v>
      </c>
      <c r="AM66" s="76">
        <v>0</v>
      </c>
      <c r="AN66" s="94">
        <f t="shared" si="49"/>
        <v>0</v>
      </c>
      <c r="AO66" s="177"/>
      <c r="AP66" s="77" t="str">
        <f t="shared" si="37"/>
        <v>F</v>
      </c>
      <c r="AQ66" s="76">
        <v>23</v>
      </c>
      <c r="AR66" s="76">
        <v>23</v>
      </c>
      <c r="AS66" s="76">
        <f t="shared" si="16"/>
        <v>46</v>
      </c>
      <c r="AT66" s="178"/>
      <c r="AU66" s="77">
        <f t="shared" si="38"/>
        <v>5</v>
      </c>
      <c r="AV66" s="78">
        <v>0</v>
      </c>
      <c r="AW66" s="76">
        <v>0</v>
      </c>
      <c r="AX66" s="94">
        <f t="shared" si="50"/>
        <v>0</v>
      </c>
      <c r="AY66" s="76">
        <v>0</v>
      </c>
      <c r="AZ66" s="93">
        <f t="shared" si="39"/>
        <v>0</v>
      </c>
      <c r="BA66" s="177"/>
      <c r="BB66" s="77" t="str">
        <f t="shared" si="40"/>
        <v>F</v>
      </c>
      <c r="BC66" s="78">
        <v>0</v>
      </c>
      <c r="BD66" s="76">
        <v>0</v>
      </c>
      <c r="BE66" s="94">
        <f t="shared" si="21"/>
        <v>0</v>
      </c>
      <c r="BF66" s="76"/>
      <c r="BG66" s="93">
        <f t="shared" si="41"/>
        <v>0</v>
      </c>
      <c r="BH66" s="177"/>
      <c r="BI66" s="77" t="str">
        <f t="shared" si="42"/>
        <v>F</v>
      </c>
      <c r="BJ66" s="78">
        <v>0</v>
      </c>
      <c r="BK66" s="76">
        <v>0</v>
      </c>
      <c r="BL66" s="93">
        <f t="shared" si="43"/>
        <v>0</v>
      </c>
      <c r="BM66" s="94">
        <f t="shared" si="25"/>
        <v>0</v>
      </c>
      <c r="BN66" s="180"/>
      <c r="BO66" s="88" t="str">
        <f t="shared" si="2"/>
        <v>F</v>
      </c>
      <c r="BP66" s="85" t="str">
        <f t="shared" si="26"/>
        <v>F</v>
      </c>
      <c r="BQ66" s="86" t="str">
        <f t="shared" si="27"/>
        <v>F</v>
      </c>
      <c r="BR66" s="92" t="str">
        <f t="shared" si="44"/>
        <v>F</v>
      </c>
      <c r="BS66" s="88" t="str">
        <f t="shared" si="3"/>
        <v>NEED TO PROGRESS</v>
      </c>
      <c r="BT66" s="127">
        <f t="shared" si="29"/>
        <v>51</v>
      </c>
      <c r="BU66" s="85"/>
      <c r="BV66" s="88"/>
    </row>
    <row r="67" spans="1:74" ht="27.95" customHeight="1">
      <c r="A67" s="81">
        <v>60</v>
      </c>
      <c r="B67" s="82">
        <v>68</v>
      </c>
      <c r="C67" s="83" t="s">
        <v>308</v>
      </c>
      <c r="D67" s="83" t="s">
        <v>309</v>
      </c>
      <c r="E67" s="83" t="s">
        <v>310</v>
      </c>
      <c r="F67" s="91" t="s">
        <v>311</v>
      </c>
      <c r="G67" s="74">
        <v>19</v>
      </c>
      <c r="H67" s="76">
        <v>39</v>
      </c>
      <c r="I67" s="94">
        <f t="shared" si="30"/>
        <v>58</v>
      </c>
      <c r="J67" s="76">
        <v>23</v>
      </c>
      <c r="K67" s="94">
        <f t="shared" si="45"/>
        <v>81</v>
      </c>
      <c r="L67" s="74">
        <v>9</v>
      </c>
      <c r="M67" s="76">
        <v>37</v>
      </c>
      <c r="N67" s="94">
        <f t="shared" si="46"/>
        <v>46</v>
      </c>
      <c r="O67" s="94">
        <f t="shared" si="4"/>
        <v>46</v>
      </c>
      <c r="P67" s="94">
        <f t="shared" si="0"/>
        <v>127</v>
      </c>
      <c r="Q67" s="177"/>
      <c r="R67" s="77">
        <f t="shared" si="33"/>
        <v>5</v>
      </c>
      <c r="S67" s="74">
        <v>20</v>
      </c>
      <c r="T67" s="76">
        <v>50</v>
      </c>
      <c r="U67" s="94">
        <f t="shared" si="6"/>
        <v>70</v>
      </c>
      <c r="V67" s="74">
        <v>6</v>
      </c>
      <c r="W67" s="76">
        <v>22</v>
      </c>
      <c r="X67" s="94">
        <f t="shared" si="7"/>
        <v>28</v>
      </c>
      <c r="Y67" s="94">
        <f t="shared" si="47"/>
        <v>98</v>
      </c>
      <c r="Z67" s="94">
        <f t="shared" si="48"/>
        <v>98</v>
      </c>
      <c r="AA67" s="177"/>
      <c r="AB67" s="77">
        <f t="shared" si="34"/>
        <v>3.5</v>
      </c>
      <c r="AC67" s="74">
        <v>18</v>
      </c>
      <c r="AD67" s="76">
        <v>10</v>
      </c>
      <c r="AE67" s="94">
        <f t="shared" si="10"/>
        <v>28</v>
      </c>
      <c r="AF67" s="76">
        <v>21</v>
      </c>
      <c r="AG67" s="94">
        <f t="shared" si="35"/>
        <v>49</v>
      </c>
      <c r="AH67" s="177"/>
      <c r="AI67" s="77">
        <f t="shared" si="36"/>
        <v>2</v>
      </c>
      <c r="AJ67" s="74">
        <v>19</v>
      </c>
      <c r="AK67" s="76">
        <v>37</v>
      </c>
      <c r="AL67" s="94">
        <f t="shared" si="13"/>
        <v>56</v>
      </c>
      <c r="AM67" s="76">
        <v>25</v>
      </c>
      <c r="AN67" s="94">
        <f t="shared" si="49"/>
        <v>81</v>
      </c>
      <c r="AO67" s="177"/>
      <c r="AP67" s="77">
        <f t="shared" si="37"/>
        <v>5</v>
      </c>
      <c r="AQ67" s="76">
        <v>23</v>
      </c>
      <c r="AR67" s="76">
        <v>23</v>
      </c>
      <c r="AS67" s="76">
        <f t="shared" si="16"/>
        <v>46</v>
      </c>
      <c r="AT67" s="178"/>
      <c r="AU67" s="77">
        <f t="shared" si="38"/>
        <v>5</v>
      </c>
      <c r="AV67" s="74">
        <v>20</v>
      </c>
      <c r="AW67" s="76">
        <v>24</v>
      </c>
      <c r="AX67" s="94">
        <f t="shared" si="50"/>
        <v>44</v>
      </c>
      <c r="AY67" s="76">
        <v>30</v>
      </c>
      <c r="AZ67" s="93">
        <f t="shared" si="39"/>
        <v>74</v>
      </c>
      <c r="BA67" s="177"/>
      <c r="BB67" s="77">
        <f t="shared" si="40"/>
        <v>4</v>
      </c>
      <c r="BC67" s="74">
        <v>19</v>
      </c>
      <c r="BD67" s="76">
        <v>38</v>
      </c>
      <c r="BE67" s="94">
        <f t="shared" si="21"/>
        <v>57</v>
      </c>
      <c r="BF67" s="76"/>
      <c r="BG67" s="93">
        <f t="shared" si="41"/>
        <v>57</v>
      </c>
      <c r="BH67" s="177"/>
      <c r="BI67" s="77">
        <f t="shared" si="42"/>
        <v>3</v>
      </c>
      <c r="BJ67" s="74">
        <v>10</v>
      </c>
      <c r="BK67" s="76">
        <v>40</v>
      </c>
      <c r="BL67" s="93">
        <f t="shared" si="43"/>
        <v>50</v>
      </c>
      <c r="BM67" s="94">
        <f t="shared" si="25"/>
        <v>50</v>
      </c>
      <c r="BN67" s="180"/>
      <c r="BO67" s="88">
        <f t="shared" si="2"/>
        <v>5</v>
      </c>
      <c r="BP67" s="85">
        <f t="shared" si="26"/>
        <v>32.5</v>
      </c>
      <c r="BQ67" s="86">
        <f t="shared" si="27"/>
        <v>4.0625</v>
      </c>
      <c r="BR67" s="92" t="str">
        <f t="shared" si="44"/>
        <v>A</v>
      </c>
      <c r="BS67" s="88" t="str">
        <f t="shared" si="3"/>
        <v>BETTER</v>
      </c>
      <c r="BT67" s="127">
        <f t="shared" si="29"/>
        <v>582</v>
      </c>
      <c r="BU67" s="85"/>
      <c r="BV67" s="88"/>
    </row>
    <row r="68" spans="1:74" ht="27.95" customHeight="1">
      <c r="A68" s="81">
        <v>61</v>
      </c>
      <c r="B68" s="82">
        <v>69</v>
      </c>
      <c r="C68" s="83" t="s">
        <v>79</v>
      </c>
      <c r="D68" s="83" t="s">
        <v>312</v>
      </c>
      <c r="E68" s="83" t="s">
        <v>313</v>
      </c>
      <c r="F68" s="91" t="s">
        <v>314</v>
      </c>
      <c r="G68" s="74">
        <v>14</v>
      </c>
      <c r="H68" s="76">
        <v>26</v>
      </c>
      <c r="I68" s="94">
        <f t="shared" si="30"/>
        <v>40</v>
      </c>
      <c r="J68" s="76">
        <v>18</v>
      </c>
      <c r="K68" s="94">
        <f t="shared" si="45"/>
        <v>58</v>
      </c>
      <c r="L68" s="74">
        <v>9</v>
      </c>
      <c r="M68" s="76">
        <v>22</v>
      </c>
      <c r="N68" s="94">
        <f t="shared" si="46"/>
        <v>31</v>
      </c>
      <c r="O68" s="94">
        <f t="shared" si="4"/>
        <v>31</v>
      </c>
      <c r="P68" s="94">
        <f t="shared" si="0"/>
        <v>89</v>
      </c>
      <c r="Q68" s="177"/>
      <c r="R68" s="77">
        <f t="shared" si="33"/>
        <v>3</v>
      </c>
      <c r="S68" s="74">
        <v>15</v>
      </c>
      <c r="T68" s="76">
        <v>42</v>
      </c>
      <c r="U68" s="94">
        <f t="shared" si="6"/>
        <v>57</v>
      </c>
      <c r="V68" s="74">
        <v>6</v>
      </c>
      <c r="W68" s="76">
        <v>26</v>
      </c>
      <c r="X68" s="94">
        <f t="shared" si="7"/>
        <v>32</v>
      </c>
      <c r="Y68" s="94">
        <f t="shared" si="47"/>
        <v>89</v>
      </c>
      <c r="Z68" s="94">
        <f t="shared" si="48"/>
        <v>89</v>
      </c>
      <c r="AA68" s="177"/>
      <c r="AB68" s="77">
        <f t="shared" si="34"/>
        <v>3</v>
      </c>
      <c r="AC68" s="74">
        <v>15</v>
      </c>
      <c r="AD68" s="76">
        <v>14</v>
      </c>
      <c r="AE68" s="94">
        <f t="shared" si="10"/>
        <v>29</v>
      </c>
      <c r="AF68" s="76">
        <v>12</v>
      </c>
      <c r="AG68" s="94">
        <f t="shared" si="35"/>
        <v>41</v>
      </c>
      <c r="AH68" s="177"/>
      <c r="AI68" s="77">
        <f t="shared" si="36"/>
        <v>2</v>
      </c>
      <c r="AJ68" s="74">
        <v>12</v>
      </c>
      <c r="AK68" s="76">
        <v>26</v>
      </c>
      <c r="AL68" s="94">
        <f t="shared" si="13"/>
        <v>38</v>
      </c>
      <c r="AM68" s="76">
        <v>20</v>
      </c>
      <c r="AN68" s="94">
        <f t="shared" si="49"/>
        <v>58</v>
      </c>
      <c r="AO68" s="177"/>
      <c r="AP68" s="77">
        <f t="shared" si="37"/>
        <v>3</v>
      </c>
      <c r="AQ68" s="76">
        <v>23</v>
      </c>
      <c r="AR68" s="76">
        <v>23</v>
      </c>
      <c r="AS68" s="76">
        <f t="shared" si="16"/>
        <v>46</v>
      </c>
      <c r="AT68" s="178"/>
      <c r="AU68" s="77">
        <f t="shared" si="38"/>
        <v>5</v>
      </c>
      <c r="AV68" s="74">
        <v>19</v>
      </c>
      <c r="AW68" s="76">
        <v>28</v>
      </c>
      <c r="AX68" s="94">
        <f t="shared" si="50"/>
        <v>47</v>
      </c>
      <c r="AY68" s="76">
        <v>22</v>
      </c>
      <c r="AZ68" s="93">
        <f t="shared" si="39"/>
        <v>69</v>
      </c>
      <c r="BA68" s="177"/>
      <c r="BB68" s="77">
        <f t="shared" si="40"/>
        <v>3.5</v>
      </c>
      <c r="BC68" s="74">
        <v>16</v>
      </c>
      <c r="BD68" s="76">
        <v>31</v>
      </c>
      <c r="BE68" s="94">
        <f t="shared" si="21"/>
        <v>47</v>
      </c>
      <c r="BF68" s="76"/>
      <c r="BG68" s="93">
        <f t="shared" si="41"/>
        <v>47</v>
      </c>
      <c r="BH68" s="177"/>
      <c r="BI68" s="77">
        <f t="shared" si="42"/>
        <v>2</v>
      </c>
      <c r="BJ68" s="74">
        <v>10</v>
      </c>
      <c r="BK68" s="76">
        <v>40</v>
      </c>
      <c r="BL68" s="93">
        <f t="shared" si="43"/>
        <v>50</v>
      </c>
      <c r="BM68" s="94">
        <f t="shared" si="25"/>
        <v>50</v>
      </c>
      <c r="BN68" s="180"/>
      <c r="BO68" s="88">
        <f t="shared" si="2"/>
        <v>5</v>
      </c>
      <c r="BP68" s="85">
        <f t="shared" si="26"/>
        <v>26.5</v>
      </c>
      <c r="BQ68" s="86">
        <f t="shared" si="27"/>
        <v>3.3125</v>
      </c>
      <c r="BR68" s="92" t="str">
        <f t="shared" si="44"/>
        <v>B</v>
      </c>
      <c r="BS68" s="88" t="str">
        <f t="shared" si="3"/>
        <v>GOOD</v>
      </c>
      <c r="BT68" s="127">
        <f t="shared" si="29"/>
        <v>489</v>
      </c>
      <c r="BU68" s="85"/>
      <c r="BV68" s="88"/>
    </row>
    <row r="69" spans="1:74" ht="27.95" customHeight="1">
      <c r="A69" s="81">
        <v>62</v>
      </c>
      <c r="B69" s="82">
        <v>70</v>
      </c>
      <c r="C69" s="83" t="s">
        <v>315</v>
      </c>
      <c r="D69" s="83" t="s">
        <v>316</v>
      </c>
      <c r="E69" s="83" t="s">
        <v>317</v>
      </c>
      <c r="F69" s="91" t="s">
        <v>318</v>
      </c>
      <c r="G69" s="74">
        <v>18</v>
      </c>
      <c r="H69" s="76">
        <v>34</v>
      </c>
      <c r="I69" s="94">
        <f t="shared" si="30"/>
        <v>52</v>
      </c>
      <c r="J69" s="76">
        <v>22</v>
      </c>
      <c r="K69" s="94">
        <f t="shared" si="45"/>
        <v>74</v>
      </c>
      <c r="L69" s="74">
        <v>9</v>
      </c>
      <c r="M69" s="76">
        <v>31</v>
      </c>
      <c r="N69" s="94">
        <f t="shared" si="46"/>
        <v>40</v>
      </c>
      <c r="O69" s="94">
        <f t="shared" si="4"/>
        <v>40</v>
      </c>
      <c r="P69" s="94">
        <f t="shared" si="0"/>
        <v>114</v>
      </c>
      <c r="Q69" s="177"/>
      <c r="R69" s="77">
        <f t="shared" si="33"/>
        <v>4</v>
      </c>
      <c r="S69" s="74">
        <v>19</v>
      </c>
      <c r="T69" s="76">
        <v>13</v>
      </c>
      <c r="U69" s="94">
        <f t="shared" si="6"/>
        <v>32</v>
      </c>
      <c r="V69" s="74">
        <v>6</v>
      </c>
      <c r="W69" s="76">
        <v>17</v>
      </c>
      <c r="X69" s="94">
        <f t="shared" si="7"/>
        <v>23</v>
      </c>
      <c r="Y69" s="94">
        <f t="shared" si="47"/>
        <v>55</v>
      </c>
      <c r="Z69" s="94">
        <f t="shared" si="48"/>
        <v>55</v>
      </c>
      <c r="AA69" s="177"/>
      <c r="AB69" s="77" t="str">
        <f t="shared" si="34"/>
        <v>F</v>
      </c>
      <c r="AC69" s="74">
        <v>15</v>
      </c>
      <c r="AD69" s="76">
        <v>9</v>
      </c>
      <c r="AE69" s="94">
        <f t="shared" si="10"/>
        <v>24</v>
      </c>
      <c r="AF69" s="76">
        <v>13</v>
      </c>
      <c r="AG69" s="94">
        <f t="shared" si="35"/>
        <v>37</v>
      </c>
      <c r="AH69" s="177"/>
      <c r="AI69" s="77" t="str">
        <f t="shared" si="36"/>
        <v>F</v>
      </c>
      <c r="AJ69" s="74">
        <v>15</v>
      </c>
      <c r="AK69" s="76">
        <v>31</v>
      </c>
      <c r="AL69" s="94">
        <f t="shared" si="13"/>
        <v>46</v>
      </c>
      <c r="AM69" s="76">
        <v>21</v>
      </c>
      <c r="AN69" s="94">
        <f t="shared" si="49"/>
        <v>67</v>
      </c>
      <c r="AO69" s="177"/>
      <c r="AP69" s="77">
        <f t="shared" si="37"/>
        <v>3.5</v>
      </c>
      <c r="AQ69" s="76">
        <v>23</v>
      </c>
      <c r="AR69" s="76">
        <v>23</v>
      </c>
      <c r="AS69" s="76">
        <f t="shared" si="16"/>
        <v>46</v>
      </c>
      <c r="AT69" s="178"/>
      <c r="AU69" s="77">
        <f t="shared" si="38"/>
        <v>5</v>
      </c>
      <c r="AV69" s="74">
        <v>18</v>
      </c>
      <c r="AW69" s="76">
        <v>25</v>
      </c>
      <c r="AX69" s="94">
        <f t="shared" si="50"/>
        <v>43</v>
      </c>
      <c r="AY69" s="76">
        <v>24</v>
      </c>
      <c r="AZ69" s="93">
        <f t="shared" si="39"/>
        <v>67</v>
      </c>
      <c r="BA69" s="177"/>
      <c r="BB69" s="77">
        <f t="shared" si="40"/>
        <v>3.5</v>
      </c>
      <c r="BC69" s="74">
        <v>13</v>
      </c>
      <c r="BD69" s="76">
        <v>18</v>
      </c>
      <c r="BE69" s="94">
        <f t="shared" si="21"/>
        <v>31</v>
      </c>
      <c r="BF69" s="76"/>
      <c r="BG69" s="93">
        <f t="shared" si="41"/>
        <v>31</v>
      </c>
      <c r="BH69" s="177"/>
      <c r="BI69" s="77" t="str">
        <f t="shared" si="42"/>
        <v>F</v>
      </c>
      <c r="BJ69" s="74">
        <v>9</v>
      </c>
      <c r="BK69" s="76">
        <v>38</v>
      </c>
      <c r="BL69" s="93">
        <f t="shared" si="43"/>
        <v>47</v>
      </c>
      <c r="BM69" s="94">
        <f t="shared" si="25"/>
        <v>47</v>
      </c>
      <c r="BN69" s="180"/>
      <c r="BO69" s="88">
        <f t="shared" si="2"/>
        <v>5</v>
      </c>
      <c r="BP69" s="85" t="str">
        <f t="shared" si="26"/>
        <v>F</v>
      </c>
      <c r="BQ69" s="86" t="str">
        <f t="shared" si="27"/>
        <v>F</v>
      </c>
      <c r="BR69" s="92" t="str">
        <f t="shared" si="44"/>
        <v>F</v>
      </c>
      <c r="BS69" s="88" t="str">
        <f t="shared" si="3"/>
        <v>NEED TO PROGRESS</v>
      </c>
      <c r="BT69" s="127">
        <f t="shared" si="29"/>
        <v>464</v>
      </c>
      <c r="BU69" s="85"/>
      <c r="BV69" s="88"/>
    </row>
    <row r="70" spans="1:74" ht="27.95" customHeight="1">
      <c r="A70" s="81">
        <v>63</v>
      </c>
      <c r="B70" s="82">
        <v>76</v>
      </c>
      <c r="C70" s="83" t="s">
        <v>319</v>
      </c>
      <c r="D70" s="83" t="s">
        <v>320</v>
      </c>
      <c r="E70" s="83" t="s">
        <v>321</v>
      </c>
      <c r="F70" s="91" t="s">
        <v>322</v>
      </c>
      <c r="G70" s="74">
        <v>14</v>
      </c>
      <c r="H70" s="76">
        <v>28</v>
      </c>
      <c r="I70" s="94">
        <f t="shared" si="30"/>
        <v>42</v>
      </c>
      <c r="J70" s="76">
        <v>24</v>
      </c>
      <c r="K70" s="94">
        <f t="shared" si="45"/>
        <v>66</v>
      </c>
      <c r="L70" s="74">
        <v>8</v>
      </c>
      <c r="M70" s="76">
        <v>25</v>
      </c>
      <c r="N70" s="94">
        <f t="shared" si="46"/>
        <v>33</v>
      </c>
      <c r="O70" s="94">
        <f t="shared" si="4"/>
        <v>33</v>
      </c>
      <c r="P70" s="94">
        <f t="shared" si="0"/>
        <v>99</v>
      </c>
      <c r="Q70" s="177"/>
      <c r="R70" s="77">
        <f t="shared" si="33"/>
        <v>3.5</v>
      </c>
      <c r="S70" s="74">
        <v>19</v>
      </c>
      <c r="T70" s="76">
        <v>35</v>
      </c>
      <c r="U70" s="94">
        <f t="shared" si="6"/>
        <v>54</v>
      </c>
      <c r="V70" s="74">
        <v>6</v>
      </c>
      <c r="W70" s="76">
        <v>26</v>
      </c>
      <c r="X70" s="94">
        <f t="shared" si="7"/>
        <v>32</v>
      </c>
      <c r="Y70" s="94">
        <f t="shared" si="47"/>
        <v>86</v>
      </c>
      <c r="Z70" s="94">
        <f t="shared" si="48"/>
        <v>86</v>
      </c>
      <c r="AA70" s="177"/>
      <c r="AB70" s="77">
        <f t="shared" si="34"/>
        <v>3</v>
      </c>
      <c r="AC70" s="74">
        <v>15</v>
      </c>
      <c r="AD70" s="76">
        <v>18</v>
      </c>
      <c r="AE70" s="94">
        <f t="shared" si="10"/>
        <v>33</v>
      </c>
      <c r="AF70" s="76">
        <v>19</v>
      </c>
      <c r="AG70" s="94">
        <f t="shared" si="35"/>
        <v>52</v>
      </c>
      <c r="AH70" s="177"/>
      <c r="AI70" s="77">
        <f t="shared" si="36"/>
        <v>3</v>
      </c>
      <c r="AJ70" s="74">
        <v>15</v>
      </c>
      <c r="AK70" s="76">
        <v>29</v>
      </c>
      <c r="AL70" s="94">
        <f t="shared" si="13"/>
        <v>44</v>
      </c>
      <c r="AM70" s="76">
        <v>17</v>
      </c>
      <c r="AN70" s="94">
        <f t="shared" si="49"/>
        <v>61</v>
      </c>
      <c r="AO70" s="177"/>
      <c r="AP70" s="77">
        <f t="shared" si="37"/>
        <v>3.5</v>
      </c>
      <c r="AQ70" s="76">
        <v>23</v>
      </c>
      <c r="AR70" s="76">
        <v>23</v>
      </c>
      <c r="AS70" s="76">
        <f t="shared" si="16"/>
        <v>46</v>
      </c>
      <c r="AT70" s="178"/>
      <c r="AU70" s="77">
        <f t="shared" si="38"/>
        <v>5</v>
      </c>
      <c r="AV70" s="74">
        <v>17</v>
      </c>
      <c r="AW70" s="76">
        <v>22</v>
      </c>
      <c r="AX70" s="94">
        <f t="shared" si="50"/>
        <v>39</v>
      </c>
      <c r="AY70" s="76">
        <v>22</v>
      </c>
      <c r="AZ70" s="93">
        <f t="shared" si="39"/>
        <v>61</v>
      </c>
      <c r="BA70" s="177"/>
      <c r="BB70" s="77">
        <f t="shared" si="40"/>
        <v>3.5</v>
      </c>
      <c r="BC70" s="74">
        <v>16</v>
      </c>
      <c r="BD70" s="76">
        <v>21</v>
      </c>
      <c r="BE70" s="94">
        <f t="shared" si="21"/>
        <v>37</v>
      </c>
      <c r="BF70" s="76"/>
      <c r="BG70" s="93">
        <f t="shared" si="41"/>
        <v>37</v>
      </c>
      <c r="BH70" s="177"/>
      <c r="BI70" s="77" t="str">
        <f t="shared" si="42"/>
        <v>F</v>
      </c>
      <c r="BJ70" s="74">
        <v>9</v>
      </c>
      <c r="BK70" s="76">
        <v>38</v>
      </c>
      <c r="BL70" s="93">
        <f t="shared" si="43"/>
        <v>47</v>
      </c>
      <c r="BM70" s="94">
        <f t="shared" si="25"/>
        <v>47</v>
      </c>
      <c r="BN70" s="180"/>
      <c r="BO70" s="88">
        <f t="shared" si="2"/>
        <v>5</v>
      </c>
      <c r="BP70" s="85" t="str">
        <f t="shared" si="26"/>
        <v>F</v>
      </c>
      <c r="BQ70" s="86" t="str">
        <f t="shared" si="27"/>
        <v>F</v>
      </c>
      <c r="BR70" s="92" t="str">
        <f t="shared" si="44"/>
        <v>F</v>
      </c>
      <c r="BS70" s="88" t="str">
        <f t="shared" si="3"/>
        <v>NEED TO PROGRESS</v>
      </c>
      <c r="BT70" s="127">
        <f t="shared" si="29"/>
        <v>489</v>
      </c>
      <c r="BU70" s="85"/>
      <c r="BV70" s="88"/>
    </row>
    <row r="71" spans="1:74" ht="27.95" customHeight="1">
      <c r="A71" s="81">
        <v>64</v>
      </c>
      <c r="B71" s="82">
        <v>77</v>
      </c>
      <c r="C71" s="83" t="s">
        <v>323</v>
      </c>
      <c r="D71" s="83" t="s">
        <v>324</v>
      </c>
      <c r="E71" s="83" t="s">
        <v>325</v>
      </c>
      <c r="F71" s="91" t="s">
        <v>326</v>
      </c>
      <c r="G71" s="74">
        <v>9</v>
      </c>
      <c r="H71" s="76">
        <v>0</v>
      </c>
      <c r="I71" s="94">
        <f t="shared" si="30"/>
        <v>9</v>
      </c>
      <c r="J71" s="76">
        <v>0</v>
      </c>
      <c r="K71" s="94">
        <f t="shared" si="45"/>
        <v>9</v>
      </c>
      <c r="L71" s="74">
        <v>7</v>
      </c>
      <c r="M71" s="76">
        <v>0</v>
      </c>
      <c r="N71" s="94">
        <f t="shared" si="46"/>
        <v>7</v>
      </c>
      <c r="O71" s="94">
        <f t="shared" si="4"/>
        <v>7</v>
      </c>
      <c r="P71" s="94">
        <f t="shared" ref="P71:P87" si="51">K71+O71</f>
        <v>16</v>
      </c>
      <c r="Q71" s="177"/>
      <c r="R71" s="77" t="str">
        <f t="shared" si="33"/>
        <v>F</v>
      </c>
      <c r="S71" s="74">
        <v>11</v>
      </c>
      <c r="T71" s="76">
        <v>0</v>
      </c>
      <c r="U71" s="94">
        <f t="shared" si="6"/>
        <v>11</v>
      </c>
      <c r="V71" s="74">
        <v>6</v>
      </c>
      <c r="W71" s="76">
        <v>0</v>
      </c>
      <c r="X71" s="94">
        <f t="shared" si="7"/>
        <v>6</v>
      </c>
      <c r="Y71" s="94">
        <f t="shared" si="47"/>
        <v>17</v>
      </c>
      <c r="Z71" s="94">
        <f t="shared" si="48"/>
        <v>17</v>
      </c>
      <c r="AA71" s="177"/>
      <c r="AB71" s="77" t="str">
        <f t="shared" si="34"/>
        <v>F</v>
      </c>
      <c r="AC71" s="74">
        <v>7</v>
      </c>
      <c r="AD71" s="76">
        <v>0</v>
      </c>
      <c r="AE71" s="94">
        <f t="shared" si="10"/>
        <v>7</v>
      </c>
      <c r="AF71" s="76">
        <v>0</v>
      </c>
      <c r="AG71" s="94">
        <f t="shared" si="35"/>
        <v>7</v>
      </c>
      <c r="AH71" s="177"/>
      <c r="AI71" s="77" t="str">
        <f t="shared" si="36"/>
        <v>F</v>
      </c>
      <c r="AJ71" s="74">
        <v>9</v>
      </c>
      <c r="AK71" s="76">
        <v>0</v>
      </c>
      <c r="AL71" s="94">
        <f t="shared" si="13"/>
        <v>9</v>
      </c>
      <c r="AM71" s="76">
        <v>0</v>
      </c>
      <c r="AN71" s="94">
        <f t="shared" si="49"/>
        <v>9</v>
      </c>
      <c r="AO71" s="177"/>
      <c r="AP71" s="77" t="str">
        <f t="shared" si="37"/>
        <v>F</v>
      </c>
      <c r="AQ71" s="76">
        <v>23</v>
      </c>
      <c r="AR71" s="76">
        <v>23</v>
      </c>
      <c r="AS71" s="76">
        <f t="shared" si="16"/>
        <v>46</v>
      </c>
      <c r="AT71" s="178"/>
      <c r="AU71" s="77">
        <f t="shared" si="38"/>
        <v>5</v>
      </c>
      <c r="AV71" s="74">
        <v>14</v>
      </c>
      <c r="AW71" s="76">
        <v>0</v>
      </c>
      <c r="AX71" s="94">
        <f t="shared" si="50"/>
        <v>14</v>
      </c>
      <c r="AY71" s="76">
        <v>0</v>
      </c>
      <c r="AZ71" s="93">
        <f t="shared" si="39"/>
        <v>14</v>
      </c>
      <c r="BA71" s="177"/>
      <c r="BB71" s="77" t="str">
        <f t="shared" si="40"/>
        <v>F</v>
      </c>
      <c r="BC71" s="74">
        <v>10</v>
      </c>
      <c r="BD71" s="76">
        <v>0</v>
      </c>
      <c r="BE71" s="94">
        <f t="shared" si="21"/>
        <v>10</v>
      </c>
      <c r="BF71" s="76"/>
      <c r="BG71" s="93">
        <f t="shared" si="41"/>
        <v>10</v>
      </c>
      <c r="BH71" s="177"/>
      <c r="BI71" s="77" t="str">
        <f t="shared" si="42"/>
        <v>F</v>
      </c>
      <c r="BJ71" s="74">
        <v>8</v>
      </c>
      <c r="BK71" s="76">
        <v>0</v>
      </c>
      <c r="BL71" s="93">
        <f t="shared" si="43"/>
        <v>8</v>
      </c>
      <c r="BM71" s="94">
        <f t="shared" si="25"/>
        <v>8</v>
      </c>
      <c r="BN71" s="180"/>
      <c r="BO71" s="88" t="str">
        <f t="shared" ref="BO71:BO87" si="52">IF(BL71&lt;20,"F",IF(BM71&lt;20,"F",IF(BM71&lt;25,2,IF(BM71&lt;30,3,IF(BM71&lt;35,3.5,IF(BM71&lt;40,4,5))))))</f>
        <v>F</v>
      </c>
      <c r="BP71" s="85" t="str">
        <f t="shared" si="26"/>
        <v>F</v>
      </c>
      <c r="BQ71" s="86" t="str">
        <f t="shared" si="27"/>
        <v>F</v>
      </c>
      <c r="BR71" s="92" t="str">
        <f t="shared" si="44"/>
        <v>F</v>
      </c>
      <c r="BS71" s="88" t="str">
        <f t="shared" ref="BS71:BS87" si="53">IF(BQ71="F","NEED TO PROGRESS",IF(BQ71&gt;=5,"BEST",IF(BQ71&gt;=4,"BETTER",IF(BQ71&gt;=2,"GOOD"))))</f>
        <v>NEED TO PROGRESS</v>
      </c>
      <c r="BT71" s="127">
        <f t="shared" si="29"/>
        <v>127</v>
      </c>
      <c r="BU71" s="85"/>
      <c r="BV71" s="88"/>
    </row>
    <row r="72" spans="1:74" ht="27.95" customHeight="1">
      <c r="A72" s="81">
        <v>65</v>
      </c>
      <c r="B72" s="82">
        <v>78</v>
      </c>
      <c r="C72" s="83" t="s">
        <v>327</v>
      </c>
      <c r="D72" s="83" t="s">
        <v>328</v>
      </c>
      <c r="E72" s="83" t="s">
        <v>329</v>
      </c>
      <c r="F72" s="91" t="s">
        <v>330</v>
      </c>
      <c r="G72" s="74">
        <v>11</v>
      </c>
      <c r="H72" s="76">
        <v>24</v>
      </c>
      <c r="I72" s="94">
        <f t="shared" si="30"/>
        <v>35</v>
      </c>
      <c r="J72" s="76">
        <v>22</v>
      </c>
      <c r="K72" s="94">
        <f t="shared" si="45"/>
        <v>57</v>
      </c>
      <c r="L72" s="74">
        <v>8</v>
      </c>
      <c r="M72" s="76">
        <v>22</v>
      </c>
      <c r="N72" s="94">
        <f t="shared" si="46"/>
        <v>30</v>
      </c>
      <c r="O72" s="94">
        <f t="shared" ref="O72:O87" si="54">N72</f>
        <v>30</v>
      </c>
      <c r="P72" s="94">
        <f t="shared" si="51"/>
        <v>87</v>
      </c>
      <c r="Q72" s="177"/>
      <c r="R72" s="77">
        <f t="shared" si="33"/>
        <v>3</v>
      </c>
      <c r="S72" s="74">
        <v>14</v>
      </c>
      <c r="T72" s="76">
        <v>45</v>
      </c>
      <c r="U72" s="94">
        <f t="shared" si="6"/>
        <v>59</v>
      </c>
      <c r="V72" s="74">
        <v>6</v>
      </c>
      <c r="W72" s="76">
        <v>22</v>
      </c>
      <c r="X72" s="94">
        <f t="shared" si="7"/>
        <v>28</v>
      </c>
      <c r="Y72" s="94">
        <f t="shared" si="47"/>
        <v>87</v>
      </c>
      <c r="Z72" s="94">
        <f t="shared" si="48"/>
        <v>87</v>
      </c>
      <c r="AA72" s="177"/>
      <c r="AB72" s="77">
        <f t="shared" si="34"/>
        <v>3</v>
      </c>
      <c r="AC72" s="74">
        <v>18</v>
      </c>
      <c r="AD72" s="76">
        <v>25</v>
      </c>
      <c r="AE72" s="94">
        <f t="shared" si="10"/>
        <v>43</v>
      </c>
      <c r="AF72" s="76">
        <v>19</v>
      </c>
      <c r="AG72" s="94">
        <f t="shared" si="35"/>
        <v>62</v>
      </c>
      <c r="AH72" s="177"/>
      <c r="AI72" s="77">
        <f t="shared" si="36"/>
        <v>3.5</v>
      </c>
      <c r="AJ72" s="74">
        <v>15</v>
      </c>
      <c r="AK72" s="76">
        <v>33</v>
      </c>
      <c r="AL72" s="94">
        <f t="shared" si="13"/>
        <v>48</v>
      </c>
      <c r="AM72" s="76">
        <v>21</v>
      </c>
      <c r="AN72" s="94">
        <f t="shared" si="49"/>
        <v>69</v>
      </c>
      <c r="AO72" s="177"/>
      <c r="AP72" s="77">
        <f t="shared" si="37"/>
        <v>3.5</v>
      </c>
      <c r="AQ72" s="76">
        <v>23</v>
      </c>
      <c r="AR72" s="76">
        <v>23</v>
      </c>
      <c r="AS72" s="76">
        <f t="shared" ref="AS72:AS87" si="55">AQ72+AR72</f>
        <v>46</v>
      </c>
      <c r="AT72" s="178"/>
      <c r="AU72" s="77">
        <f t="shared" si="38"/>
        <v>5</v>
      </c>
      <c r="AV72" s="74">
        <v>20</v>
      </c>
      <c r="AW72" s="76">
        <v>29</v>
      </c>
      <c r="AX72" s="94">
        <f t="shared" si="50"/>
        <v>49</v>
      </c>
      <c r="AY72" s="76">
        <v>22</v>
      </c>
      <c r="AZ72" s="93">
        <f t="shared" si="39"/>
        <v>71</v>
      </c>
      <c r="BA72" s="177"/>
      <c r="BB72" s="77">
        <f t="shared" si="40"/>
        <v>4</v>
      </c>
      <c r="BC72" s="74">
        <v>16</v>
      </c>
      <c r="BD72" s="76">
        <v>31</v>
      </c>
      <c r="BE72" s="94">
        <f t="shared" si="21"/>
        <v>47</v>
      </c>
      <c r="BF72" s="76"/>
      <c r="BG72" s="93">
        <f t="shared" si="41"/>
        <v>47</v>
      </c>
      <c r="BH72" s="177"/>
      <c r="BI72" s="77">
        <f t="shared" si="42"/>
        <v>2</v>
      </c>
      <c r="BJ72" s="74">
        <v>9</v>
      </c>
      <c r="BK72" s="76">
        <v>39</v>
      </c>
      <c r="BL72" s="93">
        <f t="shared" si="43"/>
        <v>48</v>
      </c>
      <c r="BM72" s="94">
        <f t="shared" ref="BM72:BM87" si="56">BL72</f>
        <v>48</v>
      </c>
      <c r="BN72" s="180"/>
      <c r="BO72" s="88">
        <f t="shared" si="52"/>
        <v>5</v>
      </c>
      <c r="BP72" s="85">
        <f t="shared" si="26"/>
        <v>29</v>
      </c>
      <c r="BQ72" s="86">
        <f t="shared" si="27"/>
        <v>3.625</v>
      </c>
      <c r="BR72" s="92" t="str">
        <f t="shared" si="44"/>
        <v>A-</v>
      </c>
      <c r="BS72" s="88" t="str">
        <f t="shared" si="53"/>
        <v>GOOD</v>
      </c>
      <c r="BT72" s="127">
        <f t="shared" si="29"/>
        <v>517</v>
      </c>
      <c r="BU72" s="85"/>
      <c r="BV72" s="88"/>
    </row>
    <row r="73" spans="1:74" ht="27.95" customHeight="1">
      <c r="A73" s="81">
        <v>66</v>
      </c>
      <c r="B73" s="82">
        <v>79</v>
      </c>
      <c r="C73" s="83" t="s">
        <v>331</v>
      </c>
      <c r="D73" s="83" t="s">
        <v>332</v>
      </c>
      <c r="E73" s="83" t="s">
        <v>333</v>
      </c>
      <c r="F73" s="91" t="s">
        <v>334</v>
      </c>
      <c r="G73" s="78">
        <v>0</v>
      </c>
      <c r="H73" s="76">
        <v>0</v>
      </c>
      <c r="I73" s="94">
        <f t="shared" si="30"/>
        <v>0</v>
      </c>
      <c r="J73" s="76">
        <v>0</v>
      </c>
      <c r="K73" s="94">
        <f t="shared" si="45"/>
        <v>0</v>
      </c>
      <c r="L73" s="78">
        <v>0</v>
      </c>
      <c r="M73" s="76">
        <v>0</v>
      </c>
      <c r="N73" s="94">
        <f t="shared" si="46"/>
        <v>0</v>
      </c>
      <c r="O73" s="94">
        <f t="shared" si="54"/>
        <v>0</v>
      </c>
      <c r="P73" s="94">
        <f t="shared" si="51"/>
        <v>0</v>
      </c>
      <c r="Q73" s="177"/>
      <c r="R73" s="77" t="str">
        <f t="shared" si="33"/>
        <v>F</v>
      </c>
      <c r="S73" s="78">
        <v>0</v>
      </c>
      <c r="T73" s="76">
        <v>0</v>
      </c>
      <c r="U73" s="94">
        <f t="shared" ref="U73:U87" si="57">T73+S73</f>
        <v>0</v>
      </c>
      <c r="V73" s="78">
        <v>0</v>
      </c>
      <c r="W73" s="76">
        <v>0</v>
      </c>
      <c r="X73" s="94">
        <f t="shared" ref="X73:X87" si="58">W73+V73</f>
        <v>0</v>
      </c>
      <c r="Y73" s="94">
        <f t="shared" si="47"/>
        <v>0</v>
      </c>
      <c r="Z73" s="94">
        <f t="shared" si="48"/>
        <v>0</v>
      </c>
      <c r="AA73" s="177"/>
      <c r="AB73" s="77" t="str">
        <f t="shared" si="34"/>
        <v>F</v>
      </c>
      <c r="AC73" s="78">
        <v>0</v>
      </c>
      <c r="AD73" s="76">
        <v>0</v>
      </c>
      <c r="AE73" s="94">
        <f t="shared" ref="AE73:AE87" si="59">AD73+AC73</f>
        <v>0</v>
      </c>
      <c r="AF73" s="76">
        <v>0</v>
      </c>
      <c r="AG73" s="94">
        <f t="shared" si="35"/>
        <v>0</v>
      </c>
      <c r="AH73" s="177"/>
      <c r="AI73" s="77" t="str">
        <f t="shared" si="36"/>
        <v>F</v>
      </c>
      <c r="AJ73" s="78">
        <v>0</v>
      </c>
      <c r="AK73" s="76">
        <v>0</v>
      </c>
      <c r="AL73" s="94">
        <f t="shared" ref="AL73:AL87" si="60">AK73+AJ73</f>
        <v>0</v>
      </c>
      <c r="AM73" s="76">
        <v>0</v>
      </c>
      <c r="AN73" s="94">
        <f t="shared" si="49"/>
        <v>0</v>
      </c>
      <c r="AO73" s="177"/>
      <c r="AP73" s="77" t="str">
        <f t="shared" si="37"/>
        <v>F</v>
      </c>
      <c r="AQ73" s="76">
        <v>23</v>
      </c>
      <c r="AR73" s="76">
        <v>23</v>
      </c>
      <c r="AS73" s="76">
        <f t="shared" si="55"/>
        <v>46</v>
      </c>
      <c r="AT73" s="178"/>
      <c r="AU73" s="77">
        <f t="shared" si="38"/>
        <v>5</v>
      </c>
      <c r="AV73" s="78">
        <v>0</v>
      </c>
      <c r="AW73" s="76">
        <v>0</v>
      </c>
      <c r="AX73" s="94">
        <f>AW73+AV73</f>
        <v>0</v>
      </c>
      <c r="AY73" s="76">
        <v>0</v>
      </c>
      <c r="AZ73" s="93">
        <f t="shared" si="39"/>
        <v>0</v>
      </c>
      <c r="BA73" s="177"/>
      <c r="BB73" s="77" t="str">
        <f t="shared" si="40"/>
        <v>F</v>
      </c>
      <c r="BC73" s="78">
        <v>0</v>
      </c>
      <c r="BD73" s="76">
        <v>0</v>
      </c>
      <c r="BE73" s="94">
        <f>BD73+BC73</f>
        <v>0</v>
      </c>
      <c r="BF73" s="76"/>
      <c r="BG73" s="93">
        <f t="shared" si="41"/>
        <v>0</v>
      </c>
      <c r="BH73" s="177"/>
      <c r="BI73" s="77" t="str">
        <f t="shared" si="42"/>
        <v>F</v>
      </c>
      <c r="BJ73" s="78">
        <v>0</v>
      </c>
      <c r="BK73" s="76">
        <v>0</v>
      </c>
      <c r="BL73" s="93">
        <f t="shared" si="43"/>
        <v>0</v>
      </c>
      <c r="BM73" s="94">
        <f t="shared" si="56"/>
        <v>0</v>
      </c>
      <c r="BN73" s="180"/>
      <c r="BO73" s="88" t="str">
        <f t="shared" si="52"/>
        <v>F</v>
      </c>
      <c r="BP73" s="85" t="str">
        <f t="shared" ref="BP73:BP87" si="61">IF(R73="F","F",IF(AB73="F","F",IF(AI73="F","F",IF(AP73="F","F",IF(BB73="F","F",IF(BI73="F","F",IF(AU73="F","F",IF(BO73="F","F",SUM(R73,AB73,AI73,AP73,AU73,BB73,BI73,BO73)))))))))</f>
        <v>F</v>
      </c>
      <c r="BQ73" s="86" t="str">
        <f t="shared" ref="BQ73:BQ87" si="62">IF(BP73="F","F",IF(BP73&gt;=45,5,IF(BP73&lt;45,BP73/8)))</f>
        <v>F</v>
      </c>
      <c r="BR73" s="92" t="str">
        <f t="shared" si="44"/>
        <v>F</v>
      </c>
      <c r="BS73" s="88" t="str">
        <f t="shared" si="53"/>
        <v>NEED TO PROGRESS</v>
      </c>
      <c r="BT73" s="127">
        <f t="shared" ref="BT73:BT87" si="63">P73+Z73+AG73+AN73+AS73+AZ73+BG73+BM73</f>
        <v>46</v>
      </c>
      <c r="BU73" s="85"/>
      <c r="BV73" s="88"/>
    </row>
    <row r="74" spans="1:74" ht="27.95" customHeight="1">
      <c r="A74" s="81">
        <v>67</v>
      </c>
      <c r="B74" s="82">
        <v>80</v>
      </c>
      <c r="C74" s="83" t="s">
        <v>335</v>
      </c>
      <c r="D74" s="83" t="s">
        <v>336</v>
      </c>
      <c r="E74" s="83" t="s">
        <v>337</v>
      </c>
      <c r="F74" s="91" t="s">
        <v>338</v>
      </c>
      <c r="G74" s="74">
        <v>20</v>
      </c>
      <c r="H74" s="76">
        <v>0</v>
      </c>
      <c r="I74" s="94">
        <f t="shared" ref="I74:I87" si="64">H74+G74</f>
        <v>20</v>
      </c>
      <c r="J74" s="76">
        <v>19</v>
      </c>
      <c r="K74" s="94">
        <f t="shared" si="45"/>
        <v>39</v>
      </c>
      <c r="L74" s="74">
        <v>9</v>
      </c>
      <c r="M74" s="76">
        <v>23</v>
      </c>
      <c r="N74" s="94">
        <f t="shared" si="46"/>
        <v>32</v>
      </c>
      <c r="O74" s="94">
        <f t="shared" si="54"/>
        <v>32</v>
      </c>
      <c r="P74" s="94">
        <f t="shared" si="51"/>
        <v>71</v>
      </c>
      <c r="Q74" s="177"/>
      <c r="R74" s="77">
        <f t="shared" si="33"/>
        <v>3</v>
      </c>
      <c r="S74" s="74">
        <v>19</v>
      </c>
      <c r="T74" s="76">
        <v>48</v>
      </c>
      <c r="U74" s="94">
        <f t="shared" si="57"/>
        <v>67</v>
      </c>
      <c r="V74" s="74">
        <v>9</v>
      </c>
      <c r="W74" s="76">
        <v>31</v>
      </c>
      <c r="X74" s="94">
        <f t="shared" si="58"/>
        <v>40</v>
      </c>
      <c r="Y74" s="94">
        <f t="shared" si="47"/>
        <v>107</v>
      </c>
      <c r="Z74" s="94">
        <f t="shared" si="48"/>
        <v>107</v>
      </c>
      <c r="AA74" s="177"/>
      <c r="AB74" s="77">
        <f t="shared" si="34"/>
        <v>4</v>
      </c>
      <c r="AC74" s="74">
        <v>18</v>
      </c>
      <c r="AD74" s="76">
        <v>11</v>
      </c>
      <c r="AE74" s="94">
        <f t="shared" si="59"/>
        <v>29</v>
      </c>
      <c r="AF74" s="76">
        <v>22</v>
      </c>
      <c r="AG74" s="94">
        <f t="shared" si="35"/>
        <v>51</v>
      </c>
      <c r="AH74" s="177"/>
      <c r="AI74" s="77">
        <f t="shared" si="36"/>
        <v>3</v>
      </c>
      <c r="AJ74" s="74">
        <v>17</v>
      </c>
      <c r="AK74" s="76">
        <v>30</v>
      </c>
      <c r="AL74" s="94">
        <f t="shared" si="60"/>
        <v>47</v>
      </c>
      <c r="AM74" s="76">
        <v>22</v>
      </c>
      <c r="AN74" s="94">
        <f t="shared" si="49"/>
        <v>69</v>
      </c>
      <c r="AO74" s="177"/>
      <c r="AP74" s="77">
        <f t="shared" si="37"/>
        <v>3.5</v>
      </c>
      <c r="AQ74" s="76">
        <v>23</v>
      </c>
      <c r="AR74" s="76">
        <v>23</v>
      </c>
      <c r="AS74" s="76">
        <f t="shared" si="55"/>
        <v>46</v>
      </c>
      <c r="AT74" s="178"/>
      <c r="AU74" s="77">
        <f t="shared" si="38"/>
        <v>5</v>
      </c>
      <c r="AV74" s="74">
        <v>20</v>
      </c>
      <c r="AW74" s="76">
        <v>19</v>
      </c>
      <c r="AX74" s="94">
        <f t="shared" ref="AX74:AX81" si="65">AW74+AV74</f>
        <v>39</v>
      </c>
      <c r="AY74" s="76">
        <v>30</v>
      </c>
      <c r="AZ74" s="93">
        <f t="shared" si="39"/>
        <v>69</v>
      </c>
      <c r="BA74" s="177"/>
      <c r="BB74" s="77">
        <f t="shared" si="40"/>
        <v>3.5</v>
      </c>
      <c r="BC74" s="74">
        <v>14</v>
      </c>
      <c r="BD74" s="76">
        <v>22</v>
      </c>
      <c r="BE74" s="94">
        <f t="shared" ref="BE74:BE81" si="66">BD74+BC74</f>
        <v>36</v>
      </c>
      <c r="BF74" s="76"/>
      <c r="BG74" s="93">
        <f t="shared" si="41"/>
        <v>36</v>
      </c>
      <c r="BH74" s="177"/>
      <c r="BI74" s="77" t="str">
        <f t="shared" si="42"/>
        <v>F</v>
      </c>
      <c r="BJ74" s="74">
        <v>9</v>
      </c>
      <c r="BK74" s="76">
        <v>38</v>
      </c>
      <c r="BL74" s="93">
        <f t="shared" si="43"/>
        <v>47</v>
      </c>
      <c r="BM74" s="94">
        <f t="shared" si="56"/>
        <v>47</v>
      </c>
      <c r="BN74" s="180"/>
      <c r="BO74" s="88">
        <f t="shared" si="52"/>
        <v>5</v>
      </c>
      <c r="BP74" s="85" t="str">
        <f t="shared" si="61"/>
        <v>F</v>
      </c>
      <c r="BQ74" s="86" t="str">
        <f t="shared" si="62"/>
        <v>F</v>
      </c>
      <c r="BR74" s="92" t="str">
        <f t="shared" si="44"/>
        <v>F</v>
      </c>
      <c r="BS74" s="88" t="str">
        <f t="shared" si="53"/>
        <v>NEED TO PROGRESS</v>
      </c>
      <c r="BT74" s="127">
        <f t="shared" si="63"/>
        <v>496</v>
      </c>
      <c r="BU74" s="85"/>
      <c r="BV74" s="88"/>
    </row>
    <row r="75" spans="1:74" ht="27.95" customHeight="1">
      <c r="A75" s="81">
        <v>68</v>
      </c>
      <c r="B75" s="82">
        <v>82</v>
      </c>
      <c r="C75" s="83" t="s">
        <v>339</v>
      </c>
      <c r="D75" s="83" t="s">
        <v>340</v>
      </c>
      <c r="E75" s="83" t="s">
        <v>341</v>
      </c>
      <c r="F75" s="91" t="s">
        <v>342</v>
      </c>
      <c r="G75" s="74">
        <v>17</v>
      </c>
      <c r="H75" s="76">
        <v>21</v>
      </c>
      <c r="I75" s="94">
        <f t="shared" si="64"/>
        <v>38</v>
      </c>
      <c r="J75" s="76">
        <v>23</v>
      </c>
      <c r="K75" s="94">
        <f t="shared" si="45"/>
        <v>61</v>
      </c>
      <c r="L75" s="74">
        <v>9</v>
      </c>
      <c r="M75" s="76">
        <v>31</v>
      </c>
      <c r="N75" s="94">
        <f t="shared" si="46"/>
        <v>40</v>
      </c>
      <c r="O75" s="94">
        <f t="shared" si="54"/>
        <v>40</v>
      </c>
      <c r="P75" s="94">
        <f t="shared" si="51"/>
        <v>101</v>
      </c>
      <c r="Q75" s="177"/>
      <c r="R75" s="77">
        <f t="shared" si="33"/>
        <v>3.5</v>
      </c>
      <c r="S75" s="74">
        <v>19</v>
      </c>
      <c r="T75" s="76">
        <v>46</v>
      </c>
      <c r="U75" s="94">
        <f t="shared" si="57"/>
        <v>65</v>
      </c>
      <c r="V75" s="74">
        <v>9</v>
      </c>
      <c r="W75" s="76">
        <v>26</v>
      </c>
      <c r="X75" s="94">
        <f t="shared" si="58"/>
        <v>35</v>
      </c>
      <c r="Y75" s="94">
        <f t="shared" si="47"/>
        <v>100</v>
      </c>
      <c r="Z75" s="94">
        <f t="shared" si="48"/>
        <v>100</v>
      </c>
      <c r="AA75" s="177"/>
      <c r="AB75" s="77">
        <f t="shared" si="34"/>
        <v>3.5</v>
      </c>
      <c r="AC75" s="74">
        <v>16</v>
      </c>
      <c r="AD75" s="76">
        <v>19</v>
      </c>
      <c r="AE75" s="94">
        <f t="shared" si="59"/>
        <v>35</v>
      </c>
      <c r="AF75" s="76">
        <v>15</v>
      </c>
      <c r="AG75" s="94">
        <f t="shared" si="35"/>
        <v>50</v>
      </c>
      <c r="AH75" s="177"/>
      <c r="AI75" s="77">
        <f t="shared" si="36"/>
        <v>3</v>
      </c>
      <c r="AJ75" s="74">
        <v>17</v>
      </c>
      <c r="AK75" s="76">
        <v>33</v>
      </c>
      <c r="AL75" s="94">
        <f t="shared" si="60"/>
        <v>50</v>
      </c>
      <c r="AM75" s="76">
        <v>26</v>
      </c>
      <c r="AN75" s="94">
        <f t="shared" si="49"/>
        <v>76</v>
      </c>
      <c r="AO75" s="177"/>
      <c r="AP75" s="77">
        <f t="shared" si="37"/>
        <v>4</v>
      </c>
      <c r="AQ75" s="76">
        <v>23</v>
      </c>
      <c r="AR75" s="76">
        <v>23</v>
      </c>
      <c r="AS75" s="76">
        <f t="shared" si="55"/>
        <v>46</v>
      </c>
      <c r="AT75" s="178"/>
      <c r="AU75" s="77">
        <f t="shared" si="38"/>
        <v>5</v>
      </c>
      <c r="AV75" s="74">
        <v>20</v>
      </c>
      <c r="AW75" s="76">
        <v>30</v>
      </c>
      <c r="AX75" s="94">
        <f t="shared" si="65"/>
        <v>50</v>
      </c>
      <c r="AY75" s="76">
        <v>21</v>
      </c>
      <c r="AZ75" s="93">
        <f t="shared" si="39"/>
        <v>71</v>
      </c>
      <c r="BA75" s="177"/>
      <c r="BB75" s="77">
        <f t="shared" si="40"/>
        <v>4</v>
      </c>
      <c r="BC75" s="74">
        <v>18</v>
      </c>
      <c r="BD75" s="76">
        <v>42</v>
      </c>
      <c r="BE75" s="94">
        <f t="shared" si="66"/>
        <v>60</v>
      </c>
      <c r="BF75" s="76"/>
      <c r="BG75" s="93">
        <f t="shared" si="41"/>
        <v>60</v>
      </c>
      <c r="BH75" s="177"/>
      <c r="BI75" s="77">
        <f t="shared" si="42"/>
        <v>3.5</v>
      </c>
      <c r="BJ75" s="74">
        <v>10</v>
      </c>
      <c r="BK75" s="76">
        <v>40</v>
      </c>
      <c r="BL75" s="93">
        <f t="shared" si="43"/>
        <v>50</v>
      </c>
      <c r="BM75" s="94">
        <f t="shared" si="56"/>
        <v>50</v>
      </c>
      <c r="BN75" s="180"/>
      <c r="BO75" s="88">
        <f t="shared" si="52"/>
        <v>5</v>
      </c>
      <c r="BP75" s="85">
        <f t="shared" si="61"/>
        <v>31.5</v>
      </c>
      <c r="BQ75" s="86">
        <f t="shared" si="62"/>
        <v>3.9375</v>
      </c>
      <c r="BR75" s="92" t="str">
        <f t="shared" si="44"/>
        <v>A-</v>
      </c>
      <c r="BS75" s="88" t="str">
        <f t="shared" si="53"/>
        <v>GOOD</v>
      </c>
      <c r="BT75" s="127">
        <f t="shared" si="63"/>
        <v>554</v>
      </c>
      <c r="BU75" s="85"/>
      <c r="BV75" s="88"/>
    </row>
    <row r="76" spans="1:74" ht="27.95" customHeight="1">
      <c r="A76" s="81">
        <v>69</v>
      </c>
      <c r="B76" s="82">
        <v>83</v>
      </c>
      <c r="C76" s="83" t="s">
        <v>343</v>
      </c>
      <c r="D76" s="83" t="s">
        <v>344</v>
      </c>
      <c r="E76" s="83" t="s">
        <v>345</v>
      </c>
      <c r="F76" s="91" t="s">
        <v>346</v>
      </c>
      <c r="G76" s="74">
        <v>20</v>
      </c>
      <c r="H76" s="76">
        <v>26</v>
      </c>
      <c r="I76" s="94">
        <f t="shared" si="64"/>
        <v>46</v>
      </c>
      <c r="J76" s="76">
        <v>19</v>
      </c>
      <c r="K76" s="94">
        <f t="shared" si="45"/>
        <v>65</v>
      </c>
      <c r="L76" s="74">
        <v>10</v>
      </c>
      <c r="M76" s="76">
        <v>29</v>
      </c>
      <c r="N76" s="94">
        <f t="shared" si="46"/>
        <v>39</v>
      </c>
      <c r="O76" s="94">
        <f t="shared" si="54"/>
        <v>39</v>
      </c>
      <c r="P76" s="94">
        <f t="shared" si="51"/>
        <v>104</v>
      </c>
      <c r="Q76" s="177"/>
      <c r="R76" s="77">
        <f>IF(P76&lt;60,"F",IF(P76&lt;70,2,IF(P76&lt;95,3,IF(P76&lt;105,3.5,IF(P76&lt;120,4,5)))))</f>
        <v>3.5</v>
      </c>
      <c r="S76" s="74">
        <v>20</v>
      </c>
      <c r="T76" s="76">
        <v>58</v>
      </c>
      <c r="U76" s="94">
        <f t="shared" si="57"/>
        <v>78</v>
      </c>
      <c r="V76" s="74">
        <v>10</v>
      </c>
      <c r="W76" s="76">
        <v>34</v>
      </c>
      <c r="X76" s="94">
        <f t="shared" si="58"/>
        <v>44</v>
      </c>
      <c r="Y76" s="94">
        <f t="shared" si="47"/>
        <v>122</v>
      </c>
      <c r="Z76" s="94">
        <f t="shared" si="48"/>
        <v>122</v>
      </c>
      <c r="AA76" s="177"/>
      <c r="AB76" s="77">
        <f t="shared" si="34"/>
        <v>5</v>
      </c>
      <c r="AC76" s="74">
        <v>20</v>
      </c>
      <c r="AD76" s="76">
        <v>26</v>
      </c>
      <c r="AE76" s="94">
        <f t="shared" si="59"/>
        <v>46</v>
      </c>
      <c r="AF76" s="76">
        <v>21</v>
      </c>
      <c r="AG76" s="94">
        <f t="shared" si="35"/>
        <v>67</v>
      </c>
      <c r="AH76" s="177"/>
      <c r="AI76" s="77">
        <f t="shared" si="36"/>
        <v>3.5</v>
      </c>
      <c r="AJ76" s="74">
        <v>19</v>
      </c>
      <c r="AK76" s="76">
        <v>39</v>
      </c>
      <c r="AL76" s="94">
        <f t="shared" si="60"/>
        <v>58</v>
      </c>
      <c r="AM76" s="76">
        <v>22</v>
      </c>
      <c r="AN76" s="94">
        <f t="shared" si="49"/>
        <v>80</v>
      </c>
      <c r="AO76" s="177"/>
      <c r="AP76" s="77">
        <f t="shared" si="37"/>
        <v>5</v>
      </c>
      <c r="AQ76" s="76">
        <v>23</v>
      </c>
      <c r="AR76" s="76">
        <v>23</v>
      </c>
      <c r="AS76" s="76">
        <f t="shared" si="55"/>
        <v>46</v>
      </c>
      <c r="AT76" s="178"/>
      <c r="AU76" s="77">
        <f t="shared" si="38"/>
        <v>5</v>
      </c>
      <c r="AV76" s="74">
        <v>20</v>
      </c>
      <c r="AW76" s="76">
        <v>39</v>
      </c>
      <c r="AX76" s="94">
        <f t="shared" si="65"/>
        <v>59</v>
      </c>
      <c r="AY76" s="76">
        <v>28</v>
      </c>
      <c r="AZ76" s="93">
        <f t="shared" si="39"/>
        <v>87</v>
      </c>
      <c r="BA76" s="177"/>
      <c r="BB76" s="77">
        <f t="shared" si="40"/>
        <v>5</v>
      </c>
      <c r="BC76" s="74">
        <v>19</v>
      </c>
      <c r="BD76" s="76">
        <v>42</v>
      </c>
      <c r="BE76" s="94">
        <f t="shared" si="66"/>
        <v>61</v>
      </c>
      <c r="BF76" s="76"/>
      <c r="BG76" s="93">
        <f t="shared" si="41"/>
        <v>61</v>
      </c>
      <c r="BH76" s="177"/>
      <c r="BI76" s="77">
        <f t="shared" si="42"/>
        <v>3.5</v>
      </c>
      <c r="BJ76" s="74">
        <v>10</v>
      </c>
      <c r="BK76" s="76">
        <v>40</v>
      </c>
      <c r="BL76" s="93">
        <f t="shared" si="43"/>
        <v>50</v>
      </c>
      <c r="BM76" s="94">
        <f t="shared" si="56"/>
        <v>50</v>
      </c>
      <c r="BN76" s="180"/>
      <c r="BO76" s="88">
        <f t="shared" si="52"/>
        <v>5</v>
      </c>
      <c r="BP76" s="85">
        <f t="shared" si="61"/>
        <v>35.5</v>
      </c>
      <c r="BQ76" s="86">
        <f t="shared" si="62"/>
        <v>4.4375</v>
      </c>
      <c r="BR76" s="92" t="str">
        <f t="shared" si="44"/>
        <v>A</v>
      </c>
      <c r="BS76" s="88" t="str">
        <f t="shared" si="53"/>
        <v>BETTER</v>
      </c>
      <c r="BT76" s="127">
        <f t="shared" si="63"/>
        <v>617</v>
      </c>
      <c r="BU76" s="85"/>
      <c r="BV76" s="88"/>
    </row>
    <row r="77" spans="1:74" ht="27.95" customHeight="1">
      <c r="A77" s="81">
        <v>70</v>
      </c>
      <c r="B77" s="82">
        <v>84</v>
      </c>
      <c r="C77" s="83" t="s">
        <v>347</v>
      </c>
      <c r="D77" s="83" t="s">
        <v>348</v>
      </c>
      <c r="E77" s="83" t="s">
        <v>349</v>
      </c>
      <c r="F77" s="91" t="s">
        <v>350</v>
      </c>
      <c r="G77" s="74">
        <v>16</v>
      </c>
      <c r="H77" s="76">
        <v>37</v>
      </c>
      <c r="I77" s="94">
        <f t="shared" si="64"/>
        <v>53</v>
      </c>
      <c r="J77" s="76">
        <v>28</v>
      </c>
      <c r="K77" s="94">
        <f t="shared" si="45"/>
        <v>81</v>
      </c>
      <c r="L77" s="74">
        <v>9</v>
      </c>
      <c r="M77" s="76">
        <v>29</v>
      </c>
      <c r="N77" s="94">
        <f t="shared" si="46"/>
        <v>38</v>
      </c>
      <c r="O77" s="94">
        <f t="shared" si="54"/>
        <v>38</v>
      </c>
      <c r="P77" s="94">
        <f t="shared" si="51"/>
        <v>119</v>
      </c>
      <c r="Q77" s="177"/>
      <c r="R77" s="77">
        <f t="shared" si="33"/>
        <v>4</v>
      </c>
      <c r="S77" s="74">
        <v>19</v>
      </c>
      <c r="T77" s="76">
        <v>38</v>
      </c>
      <c r="U77" s="94">
        <f t="shared" si="57"/>
        <v>57</v>
      </c>
      <c r="V77" s="74">
        <v>8</v>
      </c>
      <c r="W77" s="76">
        <v>24</v>
      </c>
      <c r="X77" s="94">
        <f t="shared" si="58"/>
        <v>32</v>
      </c>
      <c r="Y77" s="94">
        <f t="shared" si="47"/>
        <v>89</v>
      </c>
      <c r="Z77" s="94">
        <f t="shared" si="48"/>
        <v>89</v>
      </c>
      <c r="AA77" s="177"/>
      <c r="AB77" s="77">
        <f t="shared" si="34"/>
        <v>3</v>
      </c>
      <c r="AC77" s="74">
        <v>15</v>
      </c>
      <c r="AD77" s="76">
        <v>13</v>
      </c>
      <c r="AE77" s="94">
        <f t="shared" si="59"/>
        <v>28</v>
      </c>
      <c r="AF77" s="76">
        <v>21</v>
      </c>
      <c r="AG77" s="94">
        <f t="shared" si="35"/>
        <v>49</v>
      </c>
      <c r="AH77" s="177"/>
      <c r="AI77" s="77">
        <f t="shared" si="36"/>
        <v>2</v>
      </c>
      <c r="AJ77" s="74">
        <v>16</v>
      </c>
      <c r="AK77" s="76">
        <v>20</v>
      </c>
      <c r="AL77" s="94">
        <f t="shared" si="60"/>
        <v>36</v>
      </c>
      <c r="AM77" s="76">
        <v>22</v>
      </c>
      <c r="AN77" s="94">
        <f t="shared" si="49"/>
        <v>58</v>
      </c>
      <c r="AO77" s="177"/>
      <c r="AP77" s="77">
        <f t="shared" si="37"/>
        <v>3</v>
      </c>
      <c r="AQ77" s="76">
        <v>23</v>
      </c>
      <c r="AR77" s="76">
        <v>23</v>
      </c>
      <c r="AS77" s="76">
        <f t="shared" si="55"/>
        <v>46</v>
      </c>
      <c r="AT77" s="178"/>
      <c r="AU77" s="77">
        <f t="shared" si="38"/>
        <v>5</v>
      </c>
      <c r="AV77" s="74">
        <v>17</v>
      </c>
      <c r="AW77" s="76">
        <v>19</v>
      </c>
      <c r="AX77" s="94">
        <f t="shared" si="65"/>
        <v>36</v>
      </c>
      <c r="AY77" s="76">
        <v>26</v>
      </c>
      <c r="AZ77" s="93">
        <f t="shared" si="39"/>
        <v>62</v>
      </c>
      <c r="BA77" s="177"/>
      <c r="BB77" s="77">
        <f t="shared" si="40"/>
        <v>3.5</v>
      </c>
      <c r="BC77" s="74">
        <v>16</v>
      </c>
      <c r="BD77" s="76">
        <v>32</v>
      </c>
      <c r="BE77" s="94">
        <f t="shared" si="66"/>
        <v>48</v>
      </c>
      <c r="BF77" s="76"/>
      <c r="BG77" s="93">
        <f t="shared" si="41"/>
        <v>48</v>
      </c>
      <c r="BH77" s="177"/>
      <c r="BI77" s="77">
        <f t="shared" si="42"/>
        <v>2</v>
      </c>
      <c r="BJ77" s="74">
        <v>9</v>
      </c>
      <c r="BK77" s="76">
        <v>38</v>
      </c>
      <c r="BL77" s="93">
        <f t="shared" si="43"/>
        <v>47</v>
      </c>
      <c r="BM77" s="94">
        <f t="shared" si="56"/>
        <v>47</v>
      </c>
      <c r="BN77" s="180"/>
      <c r="BO77" s="88">
        <f t="shared" si="52"/>
        <v>5</v>
      </c>
      <c r="BP77" s="85">
        <f t="shared" si="61"/>
        <v>27.5</v>
      </c>
      <c r="BQ77" s="86">
        <f t="shared" si="62"/>
        <v>3.4375</v>
      </c>
      <c r="BR77" s="92" t="str">
        <f t="shared" si="44"/>
        <v>B</v>
      </c>
      <c r="BS77" s="88" t="str">
        <f t="shared" si="53"/>
        <v>GOOD</v>
      </c>
      <c r="BT77" s="127">
        <f t="shared" si="63"/>
        <v>518</v>
      </c>
      <c r="BU77" s="85"/>
      <c r="BV77" s="88"/>
    </row>
    <row r="78" spans="1:74" ht="27.95" customHeight="1">
      <c r="A78" s="81">
        <v>71</v>
      </c>
      <c r="B78" s="82">
        <v>85</v>
      </c>
      <c r="C78" s="83" t="s">
        <v>351</v>
      </c>
      <c r="D78" s="83" t="s">
        <v>352</v>
      </c>
      <c r="E78" s="83" t="s">
        <v>353</v>
      </c>
      <c r="F78" s="91" t="s">
        <v>354</v>
      </c>
      <c r="G78" s="74">
        <v>16</v>
      </c>
      <c r="H78" s="76">
        <v>27</v>
      </c>
      <c r="I78" s="94">
        <f t="shared" si="64"/>
        <v>43</v>
      </c>
      <c r="J78" s="76">
        <v>26</v>
      </c>
      <c r="K78" s="94">
        <f t="shared" si="45"/>
        <v>69</v>
      </c>
      <c r="L78" s="74">
        <v>9</v>
      </c>
      <c r="M78" s="76">
        <v>30</v>
      </c>
      <c r="N78" s="94">
        <f t="shared" si="46"/>
        <v>39</v>
      </c>
      <c r="O78" s="94">
        <f t="shared" si="54"/>
        <v>39</v>
      </c>
      <c r="P78" s="94">
        <f t="shared" si="51"/>
        <v>108</v>
      </c>
      <c r="Q78" s="177"/>
      <c r="R78" s="77">
        <f t="shared" si="33"/>
        <v>4</v>
      </c>
      <c r="S78" s="74">
        <v>13</v>
      </c>
      <c r="T78" s="76">
        <v>41</v>
      </c>
      <c r="U78" s="94">
        <f t="shared" si="57"/>
        <v>54</v>
      </c>
      <c r="V78" s="74">
        <v>6</v>
      </c>
      <c r="W78" s="76">
        <v>20</v>
      </c>
      <c r="X78" s="94">
        <f t="shared" si="58"/>
        <v>26</v>
      </c>
      <c r="Y78" s="94">
        <f t="shared" si="47"/>
        <v>80</v>
      </c>
      <c r="Z78" s="94">
        <f t="shared" si="48"/>
        <v>80</v>
      </c>
      <c r="AA78" s="177"/>
      <c r="AB78" s="77">
        <f t="shared" si="34"/>
        <v>3</v>
      </c>
      <c r="AC78" s="74">
        <v>12</v>
      </c>
      <c r="AD78" s="76">
        <v>7</v>
      </c>
      <c r="AE78" s="94">
        <f t="shared" si="59"/>
        <v>19</v>
      </c>
      <c r="AF78" s="76">
        <v>23</v>
      </c>
      <c r="AG78" s="94">
        <f t="shared" si="35"/>
        <v>42</v>
      </c>
      <c r="AH78" s="177"/>
      <c r="AI78" s="77">
        <f t="shared" si="36"/>
        <v>2</v>
      </c>
      <c r="AJ78" s="74">
        <v>16</v>
      </c>
      <c r="AK78" s="76">
        <v>31</v>
      </c>
      <c r="AL78" s="94">
        <f t="shared" si="60"/>
        <v>47</v>
      </c>
      <c r="AM78" s="76">
        <v>18</v>
      </c>
      <c r="AN78" s="94">
        <f t="shared" si="49"/>
        <v>65</v>
      </c>
      <c r="AO78" s="177"/>
      <c r="AP78" s="77">
        <f t="shared" si="37"/>
        <v>3.5</v>
      </c>
      <c r="AQ78" s="76">
        <v>23</v>
      </c>
      <c r="AR78" s="76">
        <v>23</v>
      </c>
      <c r="AS78" s="76">
        <f t="shared" si="55"/>
        <v>46</v>
      </c>
      <c r="AT78" s="178"/>
      <c r="AU78" s="77">
        <f t="shared" si="38"/>
        <v>5</v>
      </c>
      <c r="AV78" s="74">
        <v>19</v>
      </c>
      <c r="AW78" s="76">
        <v>26</v>
      </c>
      <c r="AX78" s="94">
        <v>15</v>
      </c>
      <c r="AY78" s="76">
        <v>26</v>
      </c>
      <c r="AZ78" s="93">
        <f t="shared" si="39"/>
        <v>41</v>
      </c>
      <c r="BA78" s="177"/>
      <c r="BB78" s="77">
        <f t="shared" si="40"/>
        <v>2</v>
      </c>
      <c r="BC78" s="74">
        <v>16</v>
      </c>
      <c r="BD78" s="76">
        <v>41</v>
      </c>
      <c r="BE78" s="94">
        <f t="shared" si="66"/>
        <v>57</v>
      </c>
      <c r="BF78" s="76"/>
      <c r="BG78" s="93">
        <f t="shared" si="41"/>
        <v>57</v>
      </c>
      <c r="BH78" s="177"/>
      <c r="BI78" s="77">
        <f t="shared" si="42"/>
        <v>3</v>
      </c>
      <c r="BJ78" s="74">
        <v>9</v>
      </c>
      <c r="BK78" s="76">
        <v>38</v>
      </c>
      <c r="BL78" s="93">
        <f t="shared" si="43"/>
        <v>47</v>
      </c>
      <c r="BM78" s="94">
        <f t="shared" si="56"/>
        <v>47</v>
      </c>
      <c r="BN78" s="180"/>
      <c r="BO78" s="88">
        <f t="shared" si="52"/>
        <v>5</v>
      </c>
      <c r="BP78" s="85">
        <f t="shared" si="61"/>
        <v>27.5</v>
      </c>
      <c r="BQ78" s="86">
        <f t="shared" si="62"/>
        <v>3.4375</v>
      </c>
      <c r="BR78" s="92" t="str">
        <f t="shared" si="44"/>
        <v>B</v>
      </c>
      <c r="BS78" s="88" t="str">
        <f t="shared" si="53"/>
        <v>GOOD</v>
      </c>
      <c r="BT78" s="127">
        <f t="shared" si="63"/>
        <v>486</v>
      </c>
      <c r="BU78" s="85"/>
      <c r="BV78" s="88"/>
    </row>
    <row r="79" spans="1:74" ht="27.95" customHeight="1">
      <c r="A79" s="81">
        <v>72</v>
      </c>
      <c r="B79" s="82">
        <v>87</v>
      </c>
      <c r="C79" s="83" t="s">
        <v>355</v>
      </c>
      <c r="D79" s="83" t="s">
        <v>356</v>
      </c>
      <c r="E79" s="83" t="s">
        <v>357</v>
      </c>
      <c r="F79" s="91" t="s">
        <v>358</v>
      </c>
      <c r="G79" s="74">
        <v>13</v>
      </c>
      <c r="H79" s="76">
        <v>40</v>
      </c>
      <c r="I79" s="94">
        <f t="shared" si="64"/>
        <v>53</v>
      </c>
      <c r="J79" s="76">
        <v>28</v>
      </c>
      <c r="K79" s="94">
        <f t="shared" si="45"/>
        <v>81</v>
      </c>
      <c r="L79" s="74">
        <v>9</v>
      </c>
      <c r="M79" s="76">
        <v>32</v>
      </c>
      <c r="N79" s="94">
        <f t="shared" si="46"/>
        <v>41</v>
      </c>
      <c r="O79" s="94">
        <f t="shared" si="54"/>
        <v>41</v>
      </c>
      <c r="P79" s="94">
        <f t="shared" si="51"/>
        <v>122</v>
      </c>
      <c r="Q79" s="177"/>
      <c r="R79" s="77">
        <f t="shared" si="33"/>
        <v>5</v>
      </c>
      <c r="S79" s="74">
        <v>11</v>
      </c>
      <c r="T79" s="76">
        <v>33</v>
      </c>
      <c r="U79" s="94">
        <f t="shared" si="57"/>
        <v>44</v>
      </c>
      <c r="V79" s="74">
        <v>7</v>
      </c>
      <c r="W79" s="76">
        <v>19</v>
      </c>
      <c r="X79" s="94">
        <f t="shared" si="58"/>
        <v>26</v>
      </c>
      <c r="Y79" s="94">
        <f t="shared" si="47"/>
        <v>70</v>
      </c>
      <c r="Z79" s="94">
        <f t="shared" si="48"/>
        <v>70</v>
      </c>
      <c r="AA79" s="177"/>
      <c r="AB79" s="77">
        <f t="shared" si="34"/>
        <v>2</v>
      </c>
      <c r="AC79" s="74">
        <v>18</v>
      </c>
      <c r="AD79" s="76">
        <v>14</v>
      </c>
      <c r="AE79" s="94">
        <f t="shared" si="59"/>
        <v>32</v>
      </c>
      <c r="AF79" s="76">
        <v>22</v>
      </c>
      <c r="AG79" s="94">
        <f t="shared" si="35"/>
        <v>54</v>
      </c>
      <c r="AH79" s="177"/>
      <c r="AI79" s="77">
        <f t="shared" si="36"/>
        <v>3</v>
      </c>
      <c r="AJ79" s="74">
        <v>15</v>
      </c>
      <c r="AK79" s="76">
        <v>20</v>
      </c>
      <c r="AL79" s="94">
        <f t="shared" si="60"/>
        <v>35</v>
      </c>
      <c r="AM79" s="76">
        <v>20</v>
      </c>
      <c r="AN79" s="94">
        <f t="shared" si="49"/>
        <v>55</v>
      </c>
      <c r="AO79" s="177"/>
      <c r="AP79" s="77">
        <f t="shared" si="37"/>
        <v>3</v>
      </c>
      <c r="AQ79" s="76">
        <v>23</v>
      </c>
      <c r="AR79" s="76">
        <v>23</v>
      </c>
      <c r="AS79" s="76">
        <f t="shared" si="55"/>
        <v>46</v>
      </c>
      <c r="AT79" s="178"/>
      <c r="AU79" s="77">
        <f t="shared" si="38"/>
        <v>5</v>
      </c>
      <c r="AV79" s="74">
        <v>19</v>
      </c>
      <c r="AW79" s="76">
        <v>21</v>
      </c>
      <c r="AX79" s="94">
        <f t="shared" si="65"/>
        <v>40</v>
      </c>
      <c r="AY79" s="76">
        <v>30</v>
      </c>
      <c r="AZ79" s="93">
        <f t="shared" si="39"/>
        <v>70</v>
      </c>
      <c r="BA79" s="177"/>
      <c r="BB79" s="77">
        <f t="shared" si="40"/>
        <v>4</v>
      </c>
      <c r="BC79" s="74">
        <v>13</v>
      </c>
      <c r="BD79" s="76">
        <v>32</v>
      </c>
      <c r="BE79" s="94">
        <f t="shared" si="66"/>
        <v>45</v>
      </c>
      <c r="BF79" s="76"/>
      <c r="BG79" s="93">
        <f t="shared" si="41"/>
        <v>45</v>
      </c>
      <c r="BH79" s="177"/>
      <c r="BI79" s="77">
        <f t="shared" si="42"/>
        <v>2</v>
      </c>
      <c r="BJ79" s="74">
        <v>9</v>
      </c>
      <c r="BK79" s="76">
        <v>38</v>
      </c>
      <c r="BL79" s="93">
        <f t="shared" si="43"/>
        <v>47</v>
      </c>
      <c r="BM79" s="94">
        <f t="shared" si="56"/>
        <v>47</v>
      </c>
      <c r="BN79" s="180"/>
      <c r="BO79" s="88">
        <f t="shared" si="52"/>
        <v>5</v>
      </c>
      <c r="BP79" s="85">
        <f t="shared" si="61"/>
        <v>29</v>
      </c>
      <c r="BQ79" s="86">
        <f t="shared" si="62"/>
        <v>3.625</v>
      </c>
      <c r="BR79" s="92" t="str">
        <f t="shared" si="44"/>
        <v>A-</v>
      </c>
      <c r="BS79" s="88" t="str">
        <f t="shared" si="53"/>
        <v>GOOD</v>
      </c>
      <c r="BT79" s="127">
        <f t="shared" si="63"/>
        <v>509</v>
      </c>
      <c r="BU79" s="85"/>
      <c r="BV79" s="88"/>
    </row>
    <row r="80" spans="1:74" ht="27.95" customHeight="1">
      <c r="A80" s="81">
        <v>73</v>
      </c>
      <c r="B80" s="82">
        <v>91</v>
      </c>
      <c r="C80" s="83" t="s">
        <v>359</v>
      </c>
      <c r="D80" s="83" t="s">
        <v>360</v>
      </c>
      <c r="E80" s="83" t="s">
        <v>361</v>
      </c>
      <c r="F80" s="91" t="s">
        <v>362</v>
      </c>
      <c r="G80" s="74">
        <v>16</v>
      </c>
      <c r="H80" s="76">
        <v>32</v>
      </c>
      <c r="I80" s="94">
        <f t="shared" si="64"/>
        <v>48</v>
      </c>
      <c r="J80" s="76">
        <v>15</v>
      </c>
      <c r="K80" s="94">
        <f t="shared" si="45"/>
        <v>63</v>
      </c>
      <c r="L80" s="74">
        <v>9</v>
      </c>
      <c r="M80" s="76">
        <v>26</v>
      </c>
      <c r="N80" s="94">
        <f t="shared" si="46"/>
        <v>35</v>
      </c>
      <c r="O80" s="94">
        <f t="shared" si="54"/>
        <v>35</v>
      </c>
      <c r="P80" s="94">
        <f t="shared" si="51"/>
        <v>98</v>
      </c>
      <c r="Q80" s="177"/>
      <c r="R80" s="77">
        <f t="shared" si="33"/>
        <v>3.5</v>
      </c>
      <c r="S80" s="74">
        <v>15</v>
      </c>
      <c r="T80" s="76">
        <v>27</v>
      </c>
      <c r="U80" s="94">
        <f t="shared" si="57"/>
        <v>42</v>
      </c>
      <c r="V80" s="74">
        <v>10</v>
      </c>
      <c r="W80" s="76">
        <v>16</v>
      </c>
      <c r="X80" s="94">
        <f t="shared" si="58"/>
        <v>26</v>
      </c>
      <c r="Y80" s="94">
        <f t="shared" si="47"/>
        <v>68</v>
      </c>
      <c r="Z80" s="94">
        <f t="shared" si="48"/>
        <v>68</v>
      </c>
      <c r="AA80" s="177"/>
      <c r="AB80" s="77">
        <f t="shared" si="34"/>
        <v>2</v>
      </c>
      <c r="AC80" s="74">
        <v>18</v>
      </c>
      <c r="AD80" s="76">
        <v>21</v>
      </c>
      <c r="AE80" s="94">
        <f t="shared" si="59"/>
        <v>39</v>
      </c>
      <c r="AF80" s="76">
        <v>14</v>
      </c>
      <c r="AG80" s="94">
        <f t="shared" si="35"/>
        <v>53</v>
      </c>
      <c r="AH80" s="177"/>
      <c r="AI80" s="77">
        <f t="shared" si="36"/>
        <v>3</v>
      </c>
      <c r="AJ80" s="74">
        <v>16</v>
      </c>
      <c r="AK80" s="76">
        <v>28</v>
      </c>
      <c r="AL80" s="94">
        <f t="shared" si="60"/>
        <v>44</v>
      </c>
      <c r="AM80" s="76">
        <v>19</v>
      </c>
      <c r="AN80" s="94">
        <f t="shared" si="49"/>
        <v>63</v>
      </c>
      <c r="AO80" s="177"/>
      <c r="AP80" s="77">
        <f t="shared" si="37"/>
        <v>3.5</v>
      </c>
      <c r="AQ80" s="76">
        <v>23</v>
      </c>
      <c r="AR80" s="76">
        <v>23</v>
      </c>
      <c r="AS80" s="76">
        <f t="shared" si="55"/>
        <v>46</v>
      </c>
      <c r="AT80" s="178"/>
      <c r="AU80" s="77">
        <f t="shared" si="38"/>
        <v>5</v>
      </c>
      <c r="AV80" s="74">
        <v>20</v>
      </c>
      <c r="AW80" s="76">
        <v>34</v>
      </c>
      <c r="AX80" s="94">
        <f t="shared" si="65"/>
        <v>54</v>
      </c>
      <c r="AY80" s="76">
        <v>30</v>
      </c>
      <c r="AZ80" s="93">
        <f t="shared" si="39"/>
        <v>84</v>
      </c>
      <c r="BA80" s="177"/>
      <c r="BB80" s="77">
        <f t="shared" si="40"/>
        <v>5</v>
      </c>
      <c r="BC80" s="74">
        <v>19</v>
      </c>
      <c r="BD80" s="76">
        <v>26</v>
      </c>
      <c r="BE80" s="94">
        <f t="shared" si="66"/>
        <v>45</v>
      </c>
      <c r="BF80" s="76"/>
      <c r="BG80" s="93">
        <f t="shared" si="41"/>
        <v>45</v>
      </c>
      <c r="BH80" s="177"/>
      <c r="BI80" s="77">
        <f t="shared" si="42"/>
        <v>2</v>
      </c>
      <c r="BJ80" s="74">
        <v>9</v>
      </c>
      <c r="BK80" s="76">
        <v>36</v>
      </c>
      <c r="BL80" s="93">
        <f t="shared" si="43"/>
        <v>45</v>
      </c>
      <c r="BM80" s="94">
        <f t="shared" si="56"/>
        <v>45</v>
      </c>
      <c r="BN80" s="180"/>
      <c r="BO80" s="88">
        <f t="shared" si="52"/>
        <v>5</v>
      </c>
      <c r="BP80" s="85">
        <f t="shared" si="61"/>
        <v>29</v>
      </c>
      <c r="BQ80" s="86">
        <f t="shared" si="62"/>
        <v>3.625</v>
      </c>
      <c r="BR80" s="92" t="str">
        <f t="shared" si="44"/>
        <v>A-</v>
      </c>
      <c r="BS80" s="88" t="str">
        <f t="shared" si="53"/>
        <v>GOOD</v>
      </c>
      <c r="BT80" s="127">
        <f t="shared" si="63"/>
        <v>502</v>
      </c>
      <c r="BU80" s="85"/>
      <c r="BV80" s="88"/>
    </row>
    <row r="81" spans="1:74" ht="27.95" customHeight="1">
      <c r="A81" s="81">
        <v>74</v>
      </c>
      <c r="B81" s="82">
        <v>94</v>
      </c>
      <c r="C81" s="83" t="s">
        <v>363</v>
      </c>
      <c r="D81" s="83" t="s">
        <v>364</v>
      </c>
      <c r="E81" s="83" t="s">
        <v>365</v>
      </c>
      <c r="F81" s="91" t="s">
        <v>366</v>
      </c>
      <c r="G81" s="74">
        <v>14</v>
      </c>
      <c r="H81" s="76">
        <v>0</v>
      </c>
      <c r="I81" s="94">
        <f t="shared" si="64"/>
        <v>14</v>
      </c>
      <c r="J81" s="76">
        <v>0</v>
      </c>
      <c r="K81" s="94">
        <f t="shared" si="45"/>
        <v>14</v>
      </c>
      <c r="L81" s="74">
        <v>8</v>
      </c>
      <c r="M81" s="76">
        <v>0</v>
      </c>
      <c r="N81" s="94">
        <f t="shared" si="46"/>
        <v>8</v>
      </c>
      <c r="O81" s="94">
        <f t="shared" si="54"/>
        <v>8</v>
      </c>
      <c r="P81" s="94">
        <f t="shared" si="51"/>
        <v>22</v>
      </c>
      <c r="Q81" s="177"/>
      <c r="R81" s="77" t="str">
        <f t="shared" si="33"/>
        <v>F</v>
      </c>
      <c r="S81" s="74">
        <v>14</v>
      </c>
      <c r="T81" s="76">
        <v>0</v>
      </c>
      <c r="U81" s="94">
        <f t="shared" si="57"/>
        <v>14</v>
      </c>
      <c r="V81" s="74">
        <v>6</v>
      </c>
      <c r="W81" s="76">
        <v>18</v>
      </c>
      <c r="X81" s="94">
        <f t="shared" si="58"/>
        <v>24</v>
      </c>
      <c r="Y81" s="94">
        <f t="shared" si="47"/>
        <v>38</v>
      </c>
      <c r="Z81" s="94">
        <f t="shared" si="48"/>
        <v>38</v>
      </c>
      <c r="AA81" s="177"/>
      <c r="AB81" s="77" t="str">
        <f t="shared" si="34"/>
        <v>F</v>
      </c>
      <c r="AC81" s="74">
        <v>12</v>
      </c>
      <c r="AD81" s="76">
        <v>9</v>
      </c>
      <c r="AE81" s="94">
        <f t="shared" si="59"/>
        <v>21</v>
      </c>
      <c r="AF81" s="76">
        <v>13</v>
      </c>
      <c r="AG81" s="94">
        <f t="shared" si="35"/>
        <v>34</v>
      </c>
      <c r="AH81" s="177"/>
      <c r="AI81" s="77" t="str">
        <f t="shared" si="36"/>
        <v>F</v>
      </c>
      <c r="AJ81" s="74">
        <v>12</v>
      </c>
      <c r="AK81" s="76">
        <v>31</v>
      </c>
      <c r="AL81" s="94">
        <f t="shared" si="60"/>
        <v>43</v>
      </c>
      <c r="AM81" s="76">
        <v>19</v>
      </c>
      <c r="AN81" s="94">
        <f t="shared" si="49"/>
        <v>62</v>
      </c>
      <c r="AO81" s="177"/>
      <c r="AP81" s="77">
        <f t="shared" si="37"/>
        <v>3.5</v>
      </c>
      <c r="AQ81" s="76">
        <v>23</v>
      </c>
      <c r="AR81" s="76">
        <v>23</v>
      </c>
      <c r="AS81" s="76">
        <f t="shared" si="55"/>
        <v>46</v>
      </c>
      <c r="AT81" s="178"/>
      <c r="AU81" s="77">
        <f t="shared" si="38"/>
        <v>5</v>
      </c>
      <c r="AV81" s="74">
        <v>20</v>
      </c>
      <c r="AW81" s="76">
        <v>0</v>
      </c>
      <c r="AX81" s="94">
        <f t="shared" si="65"/>
        <v>20</v>
      </c>
      <c r="AY81" s="76">
        <v>0</v>
      </c>
      <c r="AZ81" s="93">
        <f t="shared" si="39"/>
        <v>20</v>
      </c>
      <c r="BA81" s="177"/>
      <c r="BB81" s="77" t="str">
        <f t="shared" si="40"/>
        <v>F</v>
      </c>
      <c r="BC81" s="74">
        <v>16</v>
      </c>
      <c r="BD81" s="76">
        <v>26</v>
      </c>
      <c r="BE81" s="94">
        <f t="shared" si="66"/>
        <v>42</v>
      </c>
      <c r="BF81" s="76"/>
      <c r="BG81" s="93">
        <f t="shared" si="41"/>
        <v>42</v>
      </c>
      <c r="BH81" s="177"/>
      <c r="BI81" s="77">
        <f t="shared" si="42"/>
        <v>2</v>
      </c>
      <c r="BJ81" s="74">
        <v>8</v>
      </c>
      <c r="BK81" s="76">
        <v>38</v>
      </c>
      <c r="BL81" s="93">
        <f t="shared" si="43"/>
        <v>46</v>
      </c>
      <c r="BM81" s="94">
        <f t="shared" si="56"/>
        <v>46</v>
      </c>
      <c r="BN81" s="180"/>
      <c r="BO81" s="88">
        <f t="shared" si="52"/>
        <v>5</v>
      </c>
      <c r="BP81" s="85" t="str">
        <f t="shared" si="61"/>
        <v>F</v>
      </c>
      <c r="BQ81" s="86" t="str">
        <f t="shared" si="62"/>
        <v>F</v>
      </c>
      <c r="BR81" s="92" t="str">
        <f t="shared" si="44"/>
        <v>F</v>
      </c>
      <c r="BS81" s="88" t="str">
        <f t="shared" si="53"/>
        <v>NEED TO PROGRESS</v>
      </c>
      <c r="BT81" s="127">
        <f t="shared" si="63"/>
        <v>310</v>
      </c>
      <c r="BU81" s="85"/>
      <c r="BV81" s="88"/>
    </row>
    <row r="82" spans="1:74" ht="27.95" customHeight="1">
      <c r="A82" s="81">
        <v>75</v>
      </c>
      <c r="B82" s="82">
        <v>98</v>
      </c>
      <c r="C82" s="83" t="s">
        <v>367</v>
      </c>
      <c r="D82" s="83" t="s">
        <v>368</v>
      </c>
      <c r="E82" s="83" t="s">
        <v>369</v>
      </c>
      <c r="F82" s="91" t="s">
        <v>370</v>
      </c>
      <c r="G82" s="74">
        <v>16</v>
      </c>
      <c r="H82" s="76">
        <v>34</v>
      </c>
      <c r="I82" s="94">
        <f t="shared" si="64"/>
        <v>50</v>
      </c>
      <c r="J82" s="76">
        <v>27</v>
      </c>
      <c r="K82" s="94">
        <f t="shared" si="45"/>
        <v>77</v>
      </c>
      <c r="L82" s="74">
        <v>9</v>
      </c>
      <c r="M82" s="76">
        <v>34</v>
      </c>
      <c r="N82" s="94">
        <f t="shared" si="46"/>
        <v>43</v>
      </c>
      <c r="O82" s="94">
        <f t="shared" si="54"/>
        <v>43</v>
      </c>
      <c r="P82" s="94">
        <f t="shared" si="51"/>
        <v>120</v>
      </c>
      <c r="Q82" s="177"/>
      <c r="R82" s="77">
        <f t="shared" si="33"/>
        <v>5</v>
      </c>
      <c r="S82" s="74">
        <v>14</v>
      </c>
      <c r="T82" s="76">
        <v>46</v>
      </c>
      <c r="U82" s="94">
        <f t="shared" si="57"/>
        <v>60</v>
      </c>
      <c r="V82" s="74">
        <v>6</v>
      </c>
      <c r="W82" s="76">
        <v>27</v>
      </c>
      <c r="X82" s="94">
        <f t="shared" si="58"/>
        <v>33</v>
      </c>
      <c r="Y82" s="94">
        <f t="shared" si="47"/>
        <v>93</v>
      </c>
      <c r="Z82" s="94">
        <f t="shared" si="48"/>
        <v>93</v>
      </c>
      <c r="AA82" s="177"/>
      <c r="AB82" s="77">
        <f t="shared" si="34"/>
        <v>3.5</v>
      </c>
      <c r="AC82" s="74">
        <v>17</v>
      </c>
      <c r="AD82" s="76">
        <v>25</v>
      </c>
      <c r="AE82" s="94">
        <f t="shared" si="59"/>
        <v>42</v>
      </c>
      <c r="AF82" s="76">
        <v>14</v>
      </c>
      <c r="AG82" s="94">
        <f t="shared" si="35"/>
        <v>56</v>
      </c>
      <c r="AH82" s="177"/>
      <c r="AI82" s="77">
        <f t="shared" si="36"/>
        <v>3</v>
      </c>
      <c r="AJ82" s="74">
        <v>17</v>
      </c>
      <c r="AK82" s="76">
        <v>29</v>
      </c>
      <c r="AL82" s="94">
        <f t="shared" si="60"/>
        <v>46</v>
      </c>
      <c r="AM82" s="76">
        <v>24</v>
      </c>
      <c r="AN82" s="94">
        <f t="shared" si="49"/>
        <v>70</v>
      </c>
      <c r="AO82" s="177"/>
      <c r="AP82" s="77">
        <f t="shared" si="37"/>
        <v>4</v>
      </c>
      <c r="AQ82" s="76">
        <v>23</v>
      </c>
      <c r="AR82" s="76">
        <v>23</v>
      </c>
      <c r="AS82" s="76">
        <f t="shared" si="55"/>
        <v>46</v>
      </c>
      <c r="AT82" s="178"/>
      <c r="AU82" s="77">
        <f t="shared" si="38"/>
        <v>5</v>
      </c>
      <c r="AV82" s="74">
        <v>19</v>
      </c>
      <c r="AW82" s="76">
        <v>29</v>
      </c>
      <c r="AX82" s="94">
        <f>AW82+AV82</f>
        <v>48</v>
      </c>
      <c r="AY82" s="76">
        <v>25</v>
      </c>
      <c r="AZ82" s="93">
        <f t="shared" si="39"/>
        <v>73</v>
      </c>
      <c r="BA82" s="177"/>
      <c r="BB82" s="77">
        <f t="shared" si="40"/>
        <v>4</v>
      </c>
      <c r="BC82" s="74">
        <v>14</v>
      </c>
      <c r="BD82" s="76">
        <v>34</v>
      </c>
      <c r="BE82" s="94">
        <f>BD82+BC82</f>
        <v>48</v>
      </c>
      <c r="BF82" s="76"/>
      <c r="BG82" s="93">
        <f t="shared" si="41"/>
        <v>48</v>
      </c>
      <c r="BH82" s="177"/>
      <c r="BI82" s="77">
        <f t="shared" si="42"/>
        <v>2</v>
      </c>
      <c r="BJ82" s="74">
        <v>8</v>
      </c>
      <c r="BK82" s="76">
        <v>38</v>
      </c>
      <c r="BL82" s="93">
        <f t="shared" si="43"/>
        <v>46</v>
      </c>
      <c r="BM82" s="94">
        <f t="shared" si="56"/>
        <v>46</v>
      </c>
      <c r="BN82" s="180"/>
      <c r="BO82" s="88">
        <f t="shared" si="52"/>
        <v>5</v>
      </c>
      <c r="BP82" s="85">
        <f t="shared" si="61"/>
        <v>31.5</v>
      </c>
      <c r="BQ82" s="86">
        <f t="shared" si="62"/>
        <v>3.9375</v>
      </c>
      <c r="BR82" s="92" t="str">
        <f t="shared" si="44"/>
        <v>A-</v>
      </c>
      <c r="BS82" s="88" t="str">
        <f t="shared" si="53"/>
        <v>GOOD</v>
      </c>
      <c r="BT82" s="127">
        <f t="shared" si="63"/>
        <v>552</v>
      </c>
      <c r="BU82" s="85"/>
      <c r="BV82" s="88"/>
    </row>
    <row r="83" spans="1:74" ht="27.95" customHeight="1">
      <c r="A83" s="81">
        <v>76</v>
      </c>
      <c r="B83" s="82">
        <v>100</v>
      </c>
      <c r="C83" s="83" t="s">
        <v>371</v>
      </c>
      <c r="D83" s="83" t="s">
        <v>372</v>
      </c>
      <c r="E83" s="83" t="s">
        <v>373</v>
      </c>
      <c r="F83" s="91" t="s">
        <v>374</v>
      </c>
      <c r="G83" s="78">
        <v>0</v>
      </c>
      <c r="H83" s="76">
        <v>0</v>
      </c>
      <c r="I83" s="94">
        <f t="shared" si="64"/>
        <v>0</v>
      </c>
      <c r="J83" s="76">
        <v>0</v>
      </c>
      <c r="K83" s="94">
        <f t="shared" si="45"/>
        <v>0</v>
      </c>
      <c r="L83" s="78">
        <v>0</v>
      </c>
      <c r="M83" s="76">
        <v>0</v>
      </c>
      <c r="N83" s="94">
        <f t="shared" si="46"/>
        <v>0</v>
      </c>
      <c r="O83" s="94">
        <f t="shared" si="54"/>
        <v>0</v>
      </c>
      <c r="P83" s="94">
        <f t="shared" si="51"/>
        <v>0</v>
      </c>
      <c r="Q83" s="177"/>
      <c r="R83" s="77" t="str">
        <f t="shared" si="33"/>
        <v>F</v>
      </c>
      <c r="S83" s="78">
        <v>0</v>
      </c>
      <c r="T83" s="76">
        <v>0</v>
      </c>
      <c r="U83" s="94">
        <f t="shared" si="57"/>
        <v>0</v>
      </c>
      <c r="V83" s="78">
        <v>0</v>
      </c>
      <c r="W83" s="76">
        <v>0</v>
      </c>
      <c r="X83" s="94">
        <f t="shared" si="58"/>
        <v>0</v>
      </c>
      <c r="Y83" s="94">
        <f t="shared" si="47"/>
        <v>0</v>
      </c>
      <c r="Z83" s="94">
        <f t="shared" si="48"/>
        <v>0</v>
      </c>
      <c r="AA83" s="177"/>
      <c r="AB83" s="77" t="str">
        <f t="shared" si="34"/>
        <v>F</v>
      </c>
      <c r="AC83" s="78">
        <v>0</v>
      </c>
      <c r="AD83" s="76">
        <v>0</v>
      </c>
      <c r="AE83" s="94">
        <f t="shared" si="59"/>
        <v>0</v>
      </c>
      <c r="AF83" s="76">
        <v>0</v>
      </c>
      <c r="AG83" s="94">
        <f t="shared" si="35"/>
        <v>0</v>
      </c>
      <c r="AH83" s="177"/>
      <c r="AI83" s="77" t="str">
        <f t="shared" si="36"/>
        <v>F</v>
      </c>
      <c r="AJ83" s="78">
        <v>0</v>
      </c>
      <c r="AK83" s="76">
        <v>0</v>
      </c>
      <c r="AL83" s="94">
        <f t="shared" si="60"/>
        <v>0</v>
      </c>
      <c r="AM83" s="76">
        <v>0</v>
      </c>
      <c r="AN83" s="94">
        <f t="shared" si="49"/>
        <v>0</v>
      </c>
      <c r="AO83" s="177"/>
      <c r="AP83" s="77" t="str">
        <f t="shared" si="37"/>
        <v>F</v>
      </c>
      <c r="AQ83" s="76">
        <v>23</v>
      </c>
      <c r="AR83" s="76">
        <v>23</v>
      </c>
      <c r="AS83" s="76">
        <f t="shared" si="55"/>
        <v>46</v>
      </c>
      <c r="AT83" s="178"/>
      <c r="AU83" s="77">
        <f t="shared" si="38"/>
        <v>5</v>
      </c>
      <c r="AV83" s="78">
        <v>0</v>
      </c>
      <c r="AW83" s="76">
        <v>0</v>
      </c>
      <c r="AX83" s="94">
        <f t="shared" ref="AX83:AX87" si="67">AW83+AV83</f>
        <v>0</v>
      </c>
      <c r="AY83" s="76">
        <v>0</v>
      </c>
      <c r="AZ83" s="93">
        <f t="shared" si="39"/>
        <v>0</v>
      </c>
      <c r="BA83" s="177"/>
      <c r="BB83" s="77" t="str">
        <f t="shared" si="40"/>
        <v>F</v>
      </c>
      <c r="BC83" s="78">
        <v>0</v>
      </c>
      <c r="BD83" s="76">
        <v>0</v>
      </c>
      <c r="BE83" s="94">
        <f t="shared" ref="BE83:BE87" si="68">BD83+BC83</f>
        <v>0</v>
      </c>
      <c r="BF83" s="76"/>
      <c r="BG83" s="93">
        <f t="shared" si="41"/>
        <v>0</v>
      </c>
      <c r="BH83" s="177"/>
      <c r="BI83" s="77" t="str">
        <f t="shared" si="42"/>
        <v>F</v>
      </c>
      <c r="BJ83" s="78">
        <v>0</v>
      </c>
      <c r="BK83" s="76">
        <v>0</v>
      </c>
      <c r="BL83" s="93">
        <f t="shared" si="43"/>
        <v>0</v>
      </c>
      <c r="BM83" s="94">
        <f t="shared" si="56"/>
        <v>0</v>
      </c>
      <c r="BN83" s="180"/>
      <c r="BO83" s="88" t="str">
        <f t="shared" si="52"/>
        <v>F</v>
      </c>
      <c r="BP83" s="85" t="str">
        <f t="shared" si="61"/>
        <v>F</v>
      </c>
      <c r="BQ83" s="86" t="str">
        <f t="shared" si="62"/>
        <v>F</v>
      </c>
      <c r="BR83" s="92" t="str">
        <f t="shared" si="44"/>
        <v>F</v>
      </c>
      <c r="BS83" s="88" t="str">
        <f t="shared" si="53"/>
        <v>NEED TO PROGRESS</v>
      </c>
      <c r="BT83" s="127">
        <f t="shared" si="63"/>
        <v>46</v>
      </c>
      <c r="BU83" s="85"/>
      <c r="BV83" s="88"/>
    </row>
    <row r="84" spans="1:74" ht="27.95" customHeight="1">
      <c r="A84" s="81">
        <v>77</v>
      </c>
      <c r="B84" s="82">
        <v>101</v>
      </c>
      <c r="C84" s="83" t="s">
        <v>375</v>
      </c>
      <c r="D84" s="83" t="s">
        <v>376</v>
      </c>
      <c r="E84" s="83" t="s">
        <v>377</v>
      </c>
      <c r="F84" s="91" t="s">
        <v>378</v>
      </c>
      <c r="G84" s="74">
        <v>16</v>
      </c>
      <c r="H84" s="76">
        <v>37</v>
      </c>
      <c r="I84" s="94">
        <f t="shared" si="64"/>
        <v>53</v>
      </c>
      <c r="J84" s="76">
        <v>15</v>
      </c>
      <c r="K84" s="94">
        <f t="shared" si="45"/>
        <v>68</v>
      </c>
      <c r="L84" s="74">
        <v>8</v>
      </c>
      <c r="M84" s="76">
        <v>24</v>
      </c>
      <c r="N84" s="94">
        <f t="shared" si="46"/>
        <v>32</v>
      </c>
      <c r="O84" s="94">
        <f t="shared" si="54"/>
        <v>32</v>
      </c>
      <c r="P84" s="94">
        <f t="shared" si="51"/>
        <v>100</v>
      </c>
      <c r="Q84" s="177"/>
      <c r="R84" s="77">
        <f t="shared" si="33"/>
        <v>3.5</v>
      </c>
      <c r="S84" s="74">
        <v>19</v>
      </c>
      <c r="T84" s="76">
        <v>50</v>
      </c>
      <c r="U84" s="94">
        <f t="shared" si="57"/>
        <v>69</v>
      </c>
      <c r="V84" s="74">
        <v>7</v>
      </c>
      <c r="W84" s="76">
        <v>22</v>
      </c>
      <c r="X84" s="94">
        <f t="shared" si="58"/>
        <v>29</v>
      </c>
      <c r="Y84" s="94">
        <f t="shared" si="47"/>
        <v>98</v>
      </c>
      <c r="Z84" s="94">
        <f t="shared" si="48"/>
        <v>98</v>
      </c>
      <c r="AA84" s="177"/>
      <c r="AB84" s="77">
        <f t="shared" si="34"/>
        <v>3.5</v>
      </c>
      <c r="AC84" s="74">
        <v>18</v>
      </c>
      <c r="AD84" s="76">
        <v>15</v>
      </c>
      <c r="AE84" s="94">
        <f t="shared" si="59"/>
        <v>33</v>
      </c>
      <c r="AF84" s="76">
        <v>16</v>
      </c>
      <c r="AG84" s="94">
        <f t="shared" si="35"/>
        <v>49</v>
      </c>
      <c r="AH84" s="177"/>
      <c r="AI84" s="77">
        <f t="shared" si="36"/>
        <v>2</v>
      </c>
      <c r="AJ84" s="74">
        <v>16</v>
      </c>
      <c r="AK84" s="76">
        <v>31</v>
      </c>
      <c r="AL84" s="94">
        <f t="shared" si="60"/>
        <v>47</v>
      </c>
      <c r="AM84" s="76">
        <v>19</v>
      </c>
      <c r="AN84" s="94">
        <f t="shared" si="49"/>
        <v>66</v>
      </c>
      <c r="AO84" s="177"/>
      <c r="AP84" s="77">
        <f t="shared" si="37"/>
        <v>3.5</v>
      </c>
      <c r="AQ84" s="76">
        <v>23</v>
      </c>
      <c r="AR84" s="76">
        <v>23</v>
      </c>
      <c r="AS84" s="76">
        <f t="shared" si="55"/>
        <v>46</v>
      </c>
      <c r="AT84" s="178"/>
      <c r="AU84" s="77">
        <f t="shared" si="38"/>
        <v>5</v>
      </c>
      <c r="AV84" s="74">
        <v>20</v>
      </c>
      <c r="AW84" s="76">
        <v>29</v>
      </c>
      <c r="AX84" s="94">
        <f t="shared" si="67"/>
        <v>49</v>
      </c>
      <c r="AY84" s="76">
        <v>30</v>
      </c>
      <c r="AZ84" s="93">
        <f t="shared" si="39"/>
        <v>79</v>
      </c>
      <c r="BA84" s="177"/>
      <c r="BB84" s="77">
        <f t="shared" si="40"/>
        <v>4</v>
      </c>
      <c r="BC84" s="74">
        <v>13</v>
      </c>
      <c r="BD84" s="76">
        <v>36</v>
      </c>
      <c r="BE84" s="94">
        <f t="shared" si="68"/>
        <v>49</v>
      </c>
      <c r="BF84" s="76"/>
      <c r="BG84" s="93">
        <f t="shared" si="41"/>
        <v>49</v>
      </c>
      <c r="BH84" s="177"/>
      <c r="BI84" s="77">
        <f t="shared" si="42"/>
        <v>2</v>
      </c>
      <c r="BJ84" s="74">
        <v>6</v>
      </c>
      <c r="BK84" s="76">
        <v>32</v>
      </c>
      <c r="BL84" s="93">
        <f t="shared" si="43"/>
        <v>38</v>
      </c>
      <c r="BM84" s="94">
        <f t="shared" si="56"/>
        <v>38</v>
      </c>
      <c r="BN84" s="180"/>
      <c r="BO84" s="88">
        <f t="shared" si="52"/>
        <v>4</v>
      </c>
      <c r="BP84" s="85">
        <f t="shared" si="61"/>
        <v>27.5</v>
      </c>
      <c r="BQ84" s="86">
        <f t="shared" si="62"/>
        <v>3.4375</v>
      </c>
      <c r="BR84" s="92" t="str">
        <f t="shared" si="44"/>
        <v>B</v>
      </c>
      <c r="BS84" s="88" t="str">
        <f t="shared" si="53"/>
        <v>GOOD</v>
      </c>
      <c r="BT84" s="127">
        <f t="shared" si="63"/>
        <v>525</v>
      </c>
      <c r="BU84" s="85"/>
      <c r="BV84" s="88"/>
    </row>
    <row r="85" spans="1:74" ht="27.95" customHeight="1">
      <c r="A85" s="81">
        <v>78</v>
      </c>
      <c r="B85" s="82">
        <v>102</v>
      </c>
      <c r="C85" s="83" t="s">
        <v>379</v>
      </c>
      <c r="D85" s="83" t="s">
        <v>379</v>
      </c>
      <c r="E85" s="83"/>
      <c r="F85" s="91"/>
      <c r="G85" s="78">
        <v>0</v>
      </c>
      <c r="H85" s="76">
        <v>0</v>
      </c>
      <c r="I85" s="94">
        <f t="shared" si="64"/>
        <v>0</v>
      </c>
      <c r="J85" s="76">
        <v>0</v>
      </c>
      <c r="K85" s="94">
        <f t="shared" si="45"/>
        <v>0</v>
      </c>
      <c r="L85" s="78">
        <v>0</v>
      </c>
      <c r="M85" s="76">
        <v>0</v>
      </c>
      <c r="N85" s="94">
        <f t="shared" si="46"/>
        <v>0</v>
      </c>
      <c r="O85" s="94">
        <f t="shared" si="54"/>
        <v>0</v>
      </c>
      <c r="P85" s="94">
        <f t="shared" si="51"/>
        <v>0</v>
      </c>
      <c r="Q85" s="177"/>
      <c r="R85" s="77" t="str">
        <f t="shared" si="33"/>
        <v>F</v>
      </c>
      <c r="S85" s="78">
        <v>0</v>
      </c>
      <c r="T85" s="76">
        <v>0</v>
      </c>
      <c r="U85" s="94">
        <f t="shared" si="57"/>
        <v>0</v>
      </c>
      <c r="V85" s="78">
        <v>0</v>
      </c>
      <c r="W85" s="76">
        <v>13</v>
      </c>
      <c r="X85" s="94">
        <f t="shared" si="58"/>
        <v>13</v>
      </c>
      <c r="Y85" s="94">
        <f t="shared" si="47"/>
        <v>13</v>
      </c>
      <c r="Z85" s="94">
        <f t="shared" si="48"/>
        <v>13</v>
      </c>
      <c r="AA85" s="177"/>
      <c r="AB85" s="77" t="str">
        <f t="shared" si="34"/>
        <v>F</v>
      </c>
      <c r="AC85" s="78">
        <v>0</v>
      </c>
      <c r="AD85" s="76">
        <v>0</v>
      </c>
      <c r="AE85" s="94">
        <f t="shared" si="59"/>
        <v>0</v>
      </c>
      <c r="AF85" s="76">
        <v>0</v>
      </c>
      <c r="AG85" s="94">
        <f t="shared" si="35"/>
        <v>0</v>
      </c>
      <c r="AH85" s="177"/>
      <c r="AI85" s="77" t="str">
        <f t="shared" si="36"/>
        <v>F</v>
      </c>
      <c r="AJ85" s="78">
        <v>0</v>
      </c>
      <c r="AK85" s="76">
        <v>0</v>
      </c>
      <c r="AL85" s="94">
        <f t="shared" si="60"/>
        <v>0</v>
      </c>
      <c r="AM85" s="76">
        <v>0</v>
      </c>
      <c r="AN85" s="94">
        <f t="shared" si="49"/>
        <v>0</v>
      </c>
      <c r="AO85" s="177"/>
      <c r="AP85" s="77" t="str">
        <f t="shared" si="37"/>
        <v>F</v>
      </c>
      <c r="AQ85" s="76">
        <v>23</v>
      </c>
      <c r="AR85" s="76">
        <v>23</v>
      </c>
      <c r="AS85" s="76">
        <f t="shared" si="55"/>
        <v>46</v>
      </c>
      <c r="AT85" s="178"/>
      <c r="AU85" s="77">
        <f t="shared" si="38"/>
        <v>5</v>
      </c>
      <c r="AV85" s="78">
        <v>0</v>
      </c>
      <c r="AW85" s="76">
        <v>0</v>
      </c>
      <c r="AX85" s="94">
        <f t="shared" si="67"/>
        <v>0</v>
      </c>
      <c r="AY85" s="76">
        <v>0</v>
      </c>
      <c r="AZ85" s="93">
        <f t="shared" si="39"/>
        <v>0</v>
      </c>
      <c r="BA85" s="177"/>
      <c r="BB85" s="77" t="str">
        <f t="shared" si="40"/>
        <v>F</v>
      </c>
      <c r="BC85" s="78">
        <v>0</v>
      </c>
      <c r="BD85" s="76">
        <v>0</v>
      </c>
      <c r="BE85" s="94">
        <f t="shared" si="68"/>
        <v>0</v>
      </c>
      <c r="BF85" s="76"/>
      <c r="BG85" s="93">
        <f t="shared" si="41"/>
        <v>0</v>
      </c>
      <c r="BH85" s="177"/>
      <c r="BI85" s="77" t="str">
        <f t="shared" si="42"/>
        <v>F</v>
      </c>
      <c r="BJ85" s="78">
        <v>0</v>
      </c>
      <c r="BK85" s="76">
        <v>0</v>
      </c>
      <c r="BL85" s="93">
        <f t="shared" si="43"/>
        <v>0</v>
      </c>
      <c r="BM85" s="94">
        <f t="shared" si="56"/>
        <v>0</v>
      </c>
      <c r="BN85" s="180"/>
      <c r="BO85" s="88" t="str">
        <f t="shared" si="52"/>
        <v>F</v>
      </c>
      <c r="BP85" s="85" t="str">
        <f t="shared" si="61"/>
        <v>F</v>
      </c>
      <c r="BQ85" s="86" t="str">
        <f t="shared" si="62"/>
        <v>F</v>
      </c>
      <c r="BR85" s="92" t="str">
        <f t="shared" si="44"/>
        <v>F</v>
      </c>
      <c r="BS85" s="88" t="str">
        <f t="shared" si="53"/>
        <v>NEED TO PROGRESS</v>
      </c>
      <c r="BT85" s="127">
        <f t="shared" si="63"/>
        <v>59</v>
      </c>
      <c r="BU85" s="85"/>
      <c r="BV85" s="88"/>
    </row>
    <row r="86" spans="1:74" ht="27.95" customHeight="1">
      <c r="A86" s="81">
        <v>79</v>
      </c>
      <c r="B86" s="82">
        <v>103</v>
      </c>
      <c r="C86" s="83" t="s">
        <v>380</v>
      </c>
      <c r="D86" s="83" t="s">
        <v>380</v>
      </c>
      <c r="E86" s="83"/>
      <c r="F86" s="91"/>
      <c r="G86" s="74">
        <v>10</v>
      </c>
      <c r="H86" s="76">
        <v>0</v>
      </c>
      <c r="I86" s="94">
        <f t="shared" si="64"/>
        <v>10</v>
      </c>
      <c r="J86" s="76">
        <v>25</v>
      </c>
      <c r="K86" s="94">
        <f t="shared" si="45"/>
        <v>35</v>
      </c>
      <c r="L86" s="78">
        <v>9</v>
      </c>
      <c r="M86" s="76">
        <v>34</v>
      </c>
      <c r="N86" s="94">
        <f t="shared" si="46"/>
        <v>43</v>
      </c>
      <c r="O86" s="94">
        <f t="shared" si="54"/>
        <v>43</v>
      </c>
      <c r="P86" s="94">
        <f t="shared" si="51"/>
        <v>78</v>
      </c>
      <c r="Q86" s="177"/>
      <c r="R86" s="77">
        <f t="shared" si="33"/>
        <v>3</v>
      </c>
      <c r="S86" s="74">
        <v>0</v>
      </c>
      <c r="T86" s="76">
        <v>46</v>
      </c>
      <c r="U86" s="94">
        <f t="shared" si="57"/>
        <v>46</v>
      </c>
      <c r="V86" s="78">
        <v>0</v>
      </c>
      <c r="W86" s="76">
        <v>22</v>
      </c>
      <c r="X86" s="94">
        <f t="shared" si="58"/>
        <v>22</v>
      </c>
      <c r="Y86" s="94">
        <f t="shared" si="47"/>
        <v>68</v>
      </c>
      <c r="Z86" s="94">
        <f t="shared" si="48"/>
        <v>68</v>
      </c>
      <c r="AA86" s="177"/>
      <c r="AB86" s="77">
        <f t="shared" si="34"/>
        <v>2</v>
      </c>
      <c r="AC86" s="78">
        <v>0</v>
      </c>
      <c r="AD86" s="76">
        <v>18</v>
      </c>
      <c r="AE86" s="94">
        <f t="shared" si="59"/>
        <v>18</v>
      </c>
      <c r="AF86" s="76">
        <v>23</v>
      </c>
      <c r="AG86" s="94">
        <f t="shared" si="35"/>
        <v>41</v>
      </c>
      <c r="AH86" s="177"/>
      <c r="AI86" s="77">
        <f t="shared" si="36"/>
        <v>2</v>
      </c>
      <c r="AJ86" s="78">
        <v>0</v>
      </c>
      <c r="AK86" s="76">
        <v>31</v>
      </c>
      <c r="AL86" s="94">
        <f t="shared" si="60"/>
        <v>31</v>
      </c>
      <c r="AM86" s="76">
        <v>23</v>
      </c>
      <c r="AN86" s="94">
        <f t="shared" si="49"/>
        <v>54</v>
      </c>
      <c r="AO86" s="177"/>
      <c r="AP86" s="77">
        <f t="shared" si="37"/>
        <v>3</v>
      </c>
      <c r="AQ86" s="76">
        <v>23</v>
      </c>
      <c r="AR86" s="76">
        <v>23</v>
      </c>
      <c r="AS86" s="76">
        <f t="shared" si="55"/>
        <v>46</v>
      </c>
      <c r="AT86" s="178"/>
      <c r="AU86" s="77">
        <f t="shared" si="38"/>
        <v>5</v>
      </c>
      <c r="AV86" s="78">
        <v>0</v>
      </c>
      <c r="AW86" s="76">
        <v>21</v>
      </c>
      <c r="AX86" s="94">
        <f t="shared" si="67"/>
        <v>21</v>
      </c>
      <c r="AY86" s="76">
        <v>20</v>
      </c>
      <c r="AZ86" s="93">
        <f t="shared" si="39"/>
        <v>41</v>
      </c>
      <c r="BA86" s="177"/>
      <c r="BB86" s="77">
        <f t="shared" si="40"/>
        <v>2</v>
      </c>
      <c r="BC86" s="74"/>
      <c r="BD86" s="76">
        <v>27</v>
      </c>
      <c r="BE86" s="94"/>
      <c r="BF86" s="76"/>
      <c r="BG86" s="93">
        <f t="shared" si="41"/>
        <v>0</v>
      </c>
      <c r="BH86" s="177"/>
      <c r="BI86" s="77" t="str">
        <f t="shared" si="42"/>
        <v>F</v>
      </c>
      <c r="BJ86" s="74"/>
      <c r="BK86" s="76">
        <v>20</v>
      </c>
      <c r="BL86" s="93">
        <f t="shared" si="43"/>
        <v>20</v>
      </c>
      <c r="BM86" s="94">
        <f t="shared" si="56"/>
        <v>20</v>
      </c>
      <c r="BN86" s="180"/>
      <c r="BO86" s="88">
        <f t="shared" si="52"/>
        <v>2</v>
      </c>
      <c r="BP86" s="85" t="str">
        <f t="shared" si="61"/>
        <v>F</v>
      </c>
      <c r="BQ86" s="86" t="str">
        <f t="shared" si="62"/>
        <v>F</v>
      </c>
      <c r="BR86" s="92" t="str">
        <f t="shared" si="44"/>
        <v>F</v>
      </c>
      <c r="BS86" s="88" t="str">
        <f t="shared" si="53"/>
        <v>NEED TO PROGRESS</v>
      </c>
      <c r="BT86" s="127">
        <f t="shared" si="63"/>
        <v>348</v>
      </c>
      <c r="BU86" s="85"/>
      <c r="BV86" s="88"/>
    </row>
    <row r="87" spans="1:74" ht="27.95" customHeight="1">
      <c r="A87" s="81">
        <v>80</v>
      </c>
      <c r="B87" s="82">
        <v>104</v>
      </c>
      <c r="C87" s="83" t="s">
        <v>381</v>
      </c>
      <c r="D87" s="83" t="s">
        <v>399</v>
      </c>
      <c r="E87" s="83"/>
      <c r="F87" s="91"/>
      <c r="G87" s="78">
        <v>0</v>
      </c>
      <c r="H87" s="76">
        <v>40</v>
      </c>
      <c r="I87" s="94">
        <f t="shared" si="64"/>
        <v>40</v>
      </c>
      <c r="J87" s="76">
        <v>12</v>
      </c>
      <c r="K87" s="94">
        <f t="shared" si="45"/>
        <v>52</v>
      </c>
      <c r="L87" s="78">
        <v>0</v>
      </c>
      <c r="M87" s="76">
        <v>6</v>
      </c>
      <c r="N87" s="94">
        <f t="shared" si="46"/>
        <v>6</v>
      </c>
      <c r="O87" s="94">
        <f t="shared" si="54"/>
        <v>6</v>
      </c>
      <c r="P87" s="94">
        <f t="shared" si="51"/>
        <v>58</v>
      </c>
      <c r="Q87" s="177"/>
      <c r="R87" s="77" t="str">
        <f t="shared" si="33"/>
        <v>F</v>
      </c>
      <c r="S87" s="78">
        <v>0</v>
      </c>
      <c r="T87" s="76">
        <v>21</v>
      </c>
      <c r="U87" s="94">
        <f t="shared" si="57"/>
        <v>21</v>
      </c>
      <c r="V87" s="78">
        <v>0</v>
      </c>
      <c r="W87" s="76">
        <v>0</v>
      </c>
      <c r="X87" s="94">
        <f t="shared" si="58"/>
        <v>0</v>
      </c>
      <c r="Y87" s="94">
        <f t="shared" si="47"/>
        <v>21</v>
      </c>
      <c r="Z87" s="94">
        <f t="shared" si="48"/>
        <v>21</v>
      </c>
      <c r="AA87" s="177"/>
      <c r="AB87" s="77" t="str">
        <f t="shared" si="34"/>
        <v>F</v>
      </c>
      <c r="AC87" s="78">
        <v>0</v>
      </c>
      <c r="AD87" s="76">
        <v>0</v>
      </c>
      <c r="AE87" s="94">
        <f t="shared" si="59"/>
        <v>0</v>
      </c>
      <c r="AF87" s="76">
        <v>10</v>
      </c>
      <c r="AG87" s="94">
        <f t="shared" si="35"/>
        <v>10</v>
      </c>
      <c r="AH87" s="177"/>
      <c r="AI87" s="77" t="str">
        <f t="shared" si="36"/>
        <v>F</v>
      </c>
      <c r="AJ87" s="78">
        <v>0</v>
      </c>
      <c r="AK87" s="76">
        <v>21</v>
      </c>
      <c r="AL87" s="94">
        <f t="shared" si="60"/>
        <v>21</v>
      </c>
      <c r="AM87" s="76">
        <v>18</v>
      </c>
      <c r="AN87" s="94">
        <f t="shared" si="49"/>
        <v>39</v>
      </c>
      <c r="AO87" s="177"/>
      <c r="AP87" s="77" t="str">
        <f t="shared" si="37"/>
        <v>F</v>
      </c>
      <c r="AQ87" s="76">
        <v>23</v>
      </c>
      <c r="AR87" s="76">
        <v>23</v>
      </c>
      <c r="AS87" s="76">
        <f t="shared" si="55"/>
        <v>46</v>
      </c>
      <c r="AT87" s="178"/>
      <c r="AU87" s="77">
        <f t="shared" si="38"/>
        <v>5</v>
      </c>
      <c r="AV87" s="78">
        <v>0</v>
      </c>
      <c r="AW87" s="76">
        <v>2</v>
      </c>
      <c r="AX87" s="94">
        <f t="shared" si="67"/>
        <v>2</v>
      </c>
      <c r="AY87" s="76">
        <v>14</v>
      </c>
      <c r="AZ87" s="93">
        <f t="shared" si="39"/>
        <v>16</v>
      </c>
      <c r="BA87" s="177"/>
      <c r="BB87" s="77" t="str">
        <f t="shared" si="40"/>
        <v>F</v>
      </c>
      <c r="BC87" s="78">
        <v>0</v>
      </c>
      <c r="BD87" s="76">
        <v>13</v>
      </c>
      <c r="BE87" s="94">
        <f t="shared" si="68"/>
        <v>13</v>
      </c>
      <c r="BF87" s="76"/>
      <c r="BG87" s="93">
        <f t="shared" si="41"/>
        <v>13</v>
      </c>
      <c r="BH87" s="177"/>
      <c r="BI87" s="77" t="str">
        <f t="shared" si="42"/>
        <v>F</v>
      </c>
      <c r="BJ87" s="78">
        <v>0</v>
      </c>
      <c r="BK87" s="76">
        <v>20</v>
      </c>
      <c r="BL87" s="93">
        <f t="shared" si="43"/>
        <v>20</v>
      </c>
      <c r="BM87" s="94">
        <f t="shared" si="56"/>
        <v>20</v>
      </c>
      <c r="BN87" s="180"/>
      <c r="BO87" s="88">
        <f t="shared" si="52"/>
        <v>2</v>
      </c>
      <c r="BP87" s="85" t="str">
        <f t="shared" si="61"/>
        <v>F</v>
      </c>
      <c r="BQ87" s="86" t="str">
        <f t="shared" si="62"/>
        <v>F</v>
      </c>
      <c r="BR87" s="92" t="str">
        <f t="shared" si="44"/>
        <v>F</v>
      </c>
      <c r="BS87" s="88" t="str">
        <f t="shared" si="53"/>
        <v>NEED TO PROGRESS</v>
      </c>
      <c r="BT87" s="127">
        <f t="shared" si="63"/>
        <v>223</v>
      </c>
      <c r="BU87" s="85"/>
      <c r="BV87" s="88"/>
    </row>
    <row r="88" spans="1:74">
      <c r="B88" s="42"/>
      <c r="C88"/>
    </row>
    <row r="89" spans="1:74">
      <c r="B89" s="42"/>
      <c r="C89"/>
    </row>
    <row r="90" spans="1:74">
      <c r="A90" s="43">
        <v>0</v>
      </c>
      <c r="B90" s="44">
        <v>1</v>
      </c>
      <c r="C90" s="45">
        <v>2</v>
      </c>
      <c r="D90" s="45">
        <v>3</v>
      </c>
      <c r="E90" s="43">
        <v>4</v>
      </c>
      <c r="F90" s="45">
        <v>5</v>
      </c>
      <c r="G90" s="45">
        <v>6</v>
      </c>
      <c r="H90" s="45">
        <v>7</v>
      </c>
      <c r="I90" s="43">
        <v>8</v>
      </c>
      <c r="J90" s="45">
        <v>9</v>
      </c>
      <c r="K90" s="45">
        <v>10</v>
      </c>
      <c r="L90" s="45">
        <v>11</v>
      </c>
      <c r="M90" s="43">
        <v>12</v>
      </c>
      <c r="N90" s="45">
        <v>13</v>
      </c>
      <c r="O90" s="45">
        <v>14</v>
      </c>
      <c r="P90" s="45">
        <v>15</v>
      </c>
      <c r="Q90" s="43">
        <v>16</v>
      </c>
      <c r="R90" s="45">
        <v>17</v>
      </c>
      <c r="S90" s="45">
        <v>18</v>
      </c>
      <c r="T90" s="45">
        <v>19</v>
      </c>
      <c r="U90" s="43">
        <v>20</v>
      </c>
      <c r="V90" s="45">
        <v>21</v>
      </c>
      <c r="W90" s="45">
        <v>22</v>
      </c>
      <c r="X90" s="45">
        <v>23</v>
      </c>
      <c r="Y90" s="43">
        <v>24</v>
      </c>
      <c r="Z90" s="45">
        <v>25</v>
      </c>
      <c r="AA90" s="45">
        <v>26</v>
      </c>
      <c r="AB90" s="45">
        <v>27</v>
      </c>
      <c r="AC90" s="43">
        <v>28</v>
      </c>
      <c r="AD90" s="45">
        <v>29</v>
      </c>
      <c r="AE90" s="45">
        <v>30</v>
      </c>
      <c r="AF90" s="45">
        <v>31</v>
      </c>
      <c r="AG90" s="43">
        <v>32</v>
      </c>
      <c r="AH90" s="45">
        <v>33</v>
      </c>
      <c r="AI90" s="45">
        <v>34</v>
      </c>
      <c r="AJ90" s="45">
        <v>35</v>
      </c>
      <c r="AK90" s="43">
        <v>36</v>
      </c>
      <c r="AL90" s="45">
        <v>37</v>
      </c>
      <c r="AM90" s="45">
        <v>38</v>
      </c>
      <c r="AN90" s="45">
        <v>39</v>
      </c>
      <c r="AO90" s="43">
        <v>40</v>
      </c>
      <c r="AP90" s="45">
        <v>41</v>
      </c>
      <c r="AQ90" s="45">
        <v>42</v>
      </c>
      <c r="AR90" s="45">
        <v>43</v>
      </c>
      <c r="AS90" s="43">
        <v>44</v>
      </c>
      <c r="AT90" s="45">
        <v>45</v>
      </c>
      <c r="AU90" s="45">
        <v>46</v>
      </c>
      <c r="AV90" s="45">
        <v>47</v>
      </c>
      <c r="AW90" s="43">
        <v>48</v>
      </c>
      <c r="AX90" s="45">
        <v>49</v>
      </c>
      <c r="AY90" s="45">
        <v>50</v>
      </c>
      <c r="AZ90" s="45">
        <v>51</v>
      </c>
      <c r="BA90" s="43">
        <v>52</v>
      </c>
      <c r="BB90" s="45">
        <v>53</v>
      </c>
      <c r="BC90" s="45">
        <v>54</v>
      </c>
      <c r="BD90" s="45">
        <v>55</v>
      </c>
      <c r="BE90" s="43">
        <v>56</v>
      </c>
      <c r="BF90" s="45">
        <v>57</v>
      </c>
      <c r="BG90" s="45">
        <v>58</v>
      </c>
      <c r="BH90" s="45">
        <v>59</v>
      </c>
      <c r="BI90" s="43">
        <v>60</v>
      </c>
      <c r="BJ90" s="45">
        <v>61</v>
      </c>
      <c r="BK90" s="45">
        <v>62</v>
      </c>
      <c r="BL90" s="45">
        <v>63</v>
      </c>
      <c r="BM90" s="43">
        <v>64</v>
      </c>
      <c r="BN90" s="45">
        <v>65</v>
      </c>
      <c r="BO90" s="45">
        <v>66</v>
      </c>
      <c r="BP90" s="45">
        <v>67</v>
      </c>
      <c r="BQ90" s="43">
        <v>68</v>
      </c>
      <c r="BR90" s="45">
        <v>69</v>
      </c>
      <c r="BS90" s="45">
        <v>70</v>
      </c>
      <c r="BT90" s="45">
        <v>71</v>
      </c>
      <c r="BU90" s="43">
        <v>72</v>
      </c>
      <c r="BV90" s="45">
        <v>73</v>
      </c>
    </row>
  </sheetData>
  <mergeCells count="58">
    <mergeCell ref="B1:BV5"/>
    <mergeCell ref="Z6:Z7"/>
    <mergeCell ref="AA6:AA7"/>
    <mergeCell ref="AB6:AB7"/>
    <mergeCell ref="AC6:AF6"/>
    <mergeCell ref="P6:P7"/>
    <mergeCell ref="Q6:Q7"/>
    <mergeCell ref="R6:R7"/>
    <mergeCell ref="S6:X6"/>
    <mergeCell ref="Y6:Y7"/>
    <mergeCell ref="F6:F7"/>
    <mergeCell ref="G6:J6"/>
    <mergeCell ref="K6:K7"/>
    <mergeCell ref="L6:N6"/>
    <mergeCell ref="O6:O7"/>
    <mergeCell ref="AG6:AG7"/>
    <mergeCell ref="A6:A7"/>
    <mergeCell ref="B6:B7"/>
    <mergeCell ref="C6:C7"/>
    <mergeCell ref="D6:D7"/>
    <mergeCell ref="E6:E7"/>
    <mergeCell ref="AH6:AH7"/>
    <mergeCell ref="AI6:AI7"/>
    <mergeCell ref="AJ6:AM6"/>
    <mergeCell ref="AN6:AN7"/>
    <mergeCell ref="AO6:AO7"/>
    <mergeCell ref="AP6:AP7"/>
    <mergeCell ref="AQ6:AR6"/>
    <mergeCell ref="AS6:AS7"/>
    <mergeCell ref="AT6:AT7"/>
    <mergeCell ref="AU6:AU7"/>
    <mergeCell ref="BM6:BM7"/>
    <mergeCell ref="AV6:AY6"/>
    <mergeCell ref="AZ6:AZ7"/>
    <mergeCell ref="BA6:BA7"/>
    <mergeCell ref="BB6:BB7"/>
    <mergeCell ref="BC6:BF6"/>
    <mergeCell ref="BS6:BS7"/>
    <mergeCell ref="BT6:BT7"/>
    <mergeCell ref="BU6:BU7"/>
    <mergeCell ref="BV6:BV7"/>
    <mergeCell ref="BA8:BA87"/>
    <mergeCell ref="BH8:BH87"/>
    <mergeCell ref="BN8:BN87"/>
    <mergeCell ref="BN6:BN7"/>
    <mergeCell ref="BO6:BO7"/>
    <mergeCell ref="BP6:BP7"/>
    <mergeCell ref="BQ6:BQ7"/>
    <mergeCell ref="BR6:BR7"/>
    <mergeCell ref="BG6:BG7"/>
    <mergeCell ref="BH6:BH7"/>
    <mergeCell ref="BI6:BI7"/>
    <mergeCell ref="BJ6:BL6"/>
    <mergeCell ref="Q8:Q87"/>
    <mergeCell ref="AA8:AA87"/>
    <mergeCell ref="AH8:AH87"/>
    <mergeCell ref="AO8:AO87"/>
    <mergeCell ref="AT8:AT87"/>
  </mergeCells>
  <conditionalFormatting sqref="BC6 U32 P6:R6 AC6:AF24 AP6 AH6 U40 AK41:AM41 U41:X41 X40 AK33:AM39 U33:X39 X32 AK23:AM31 U6:X31 AG6:AG21 G6:J41 K6:L6 V7:W41 BB6:BB41 P7:Q41 K7:K41 AX6 AL7:AO41 AD7:AG41 Y6:Z6 Y7:Y41 AC9:AD87 AF9:AF87 AK6:AO24 AK11:AK87 AM9:AM87">
    <cfRule type="cellIs" dxfId="5" priority="45" operator="lessThan">
      <formula>28</formula>
    </cfRule>
  </conditionalFormatting>
  <pageMargins left="0.31496062992125984" right="0.31496062992125984" top="0.27559055118110237" bottom="0.27559055118110237" header="0.19685039370078741" footer="0.23622047244094491"/>
  <pageSetup paperSize="5" scale="4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CC90"/>
  <sheetViews>
    <sheetView zoomScale="85" zoomScaleNormal="85" workbookViewId="0">
      <pane xSplit="2" ySplit="7" topLeftCell="C29" activePane="bottomRight" state="frozen"/>
      <selection pane="topRight" activeCell="C1" sqref="C1"/>
      <selection pane="bottomLeft" activeCell="A8" sqref="A8"/>
      <selection pane="bottomRight" activeCell="BC36" sqref="BC36:BF36"/>
    </sheetView>
  </sheetViews>
  <sheetFormatPr defaultColWidth="3.7109375" defaultRowHeight="15"/>
  <cols>
    <col min="1" max="1" width="3.7109375" style="64"/>
    <col min="2" max="2" width="4.5703125" style="64" customWidth="1"/>
    <col min="3" max="3" width="31.85546875" style="64" bestFit="1" customWidth="1"/>
    <col min="4" max="4" width="27.5703125" style="64" hidden="1" customWidth="1"/>
    <col min="5" max="5" width="27.7109375" style="64" hidden="1" customWidth="1"/>
    <col min="6" max="6" width="14.7109375" style="64" hidden="1" customWidth="1"/>
    <col min="7" max="7" width="4.140625" style="64" customWidth="1"/>
    <col min="8" max="11" width="3.85546875" style="64" customWidth="1"/>
    <col min="12" max="12" width="4.7109375" style="64" customWidth="1"/>
    <col min="13" max="13" width="3.7109375" style="64" customWidth="1"/>
    <col min="14" max="15" width="3.85546875" style="64" customWidth="1"/>
    <col min="16" max="16" width="4.28515625" style="64" customWidth="1"/>
    <col min="17" max="17" width="7" style="64" bestFit="1" customWidth="1"/>
    <col min="18" max="18" width="5.42578125" style="64" customWidth="1"/>
    <col min="19" max="20" width="3.85546875" style="64" customWidth="1"/>
    <col min="21" max="21" width="4.7109375" style="64" customWidth="1"/>
    <col min="22" max="24" width="3.85546875" style="64" customWidth="1"/>
    <col min="25" max="25" width="4.7109375" style="64" customWidth="1"/>
    <col min="26" max="26" width="8.28515625" style="64" customWidth="1"/>
    <col min="27" max="27" width="7" style="64" bestFit="1" customWidth="1"/>
    <col min="28" max="30" width="3.85546875" style="64" customWidth="1"/>
    <col min="31" max="31" width="4.28515625" style="64" customWidth="1"/>
    <col min="32" max="33" width="3.85546875" style="64" customWidth="1"/>
    <col min="34" max="34" width="6" style="64" customWidth="1"/>
    <col min="35" max="39" width="3.85546875" style="64" customWidth="1"/>
    <col min="40" max="41" width="5.140625" style="64" customWidth="1"/>
    <col min="42" max="42" width="3.7109375" style="64" customWidth="1"/>
    <col min="43" max="49" width="3.85546875" style="64" customWidth="1"/>
    <col min="50" max="50" width="6.7109375" style="64" customWidth="1"/>
    <col min="51" max="51" width="3.85546875" style="64" customWidth="1"/>
    <col min="52" max="52" width="4.42578125" style="64" customWidth="1"/>
    <col min="53" max="54" width="3.85546875" style="64" customWidth="1"/>
    <col min="55" max="55" width="3.28515625" style="64" customWidth="1"/>
    <col min="56" max="56" width="3.7109375" style="64" customWidth="1"/>
    <col min="57" max="57" width="5" style="64" customWidth="1"/>
    <col min="58" max="58" width="3.7109375" style="64" customWidth="1"/>
    <col min="59" max="59" width="4" style="64" bestFit="1" customWidth="1"/>
    <col min="60" max="60" width="8.28515625" style="64" customWidth="1"/>
    <col min="61" max="61" width="3.5703125" style="64" bestFit="1" customWidth="1"/>
    <col min="62" max="62" width="3.85546875" style="64" bestFit="1" customWidth="1"/>
    <col min="63" max="67" width="5.7109375" style="64" customWidth="1"/>
    <col min="68" max="68" width="3.7109375" style="64"/>
    <col min="69" max="69" width="6.85546875" style="64" customWidth="1"/>
    <col min="70" max="70" width="3.7109375" style="64"/>
    <col min="71" max="71" width="19.140625" style="64" bestFit="1" customWidth="1"/>
    <col min="72" max="72" width="9.140625" style="64" customWidth="1"/>
    <col min="73" max="80" width="10.7109375" style="64" customWidth="1"/>
    <col min="81" max="81" width="7.28515625" style="64" customWidth="1"/>
    <col min="82" max="16384" width="3.7109375" style="64"/>
  </cols>
  <sheetData>
    <row r="1" spans="1:81" ht="27.95" customHeight="1">
      <c r="B1" s="171" t="s">
        <v>400</v>
      </c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  <c r="AP1" s="171"/>
      <c r="AQ1" s="171"/>
      <c r="AR1" s="171"/>
      <c r="AS1" s="171"/>
      <c r="AT1" s="171"/>
      <c r="AU1" s="171"/>
      <c r="AV1" s="171"/>
      <c r="AW1" s="171"/>
      <c r="AX1" s="171"/>
      <c r="AY1" s="171"/>
      <c r="AZ1" s="171"/>
      <c r="BA1" s="171"/>
      <c r="BB1" s="171"/>
      <c r="BC1" s="171"/>
      <c r="BD1" s="171"/>
      <c r="BE1" s="171"/>
      <c r="BF1" s="171"/>
      <c r="BG1" s="171"/>
      <c r="BH1" s="171"/>
      <c r="BI1" s="171"/>
      <c r="BJ1" s="171"/>
      <c r="BK1" s="171"/>
      <c r="BL1" s="171"/>
      <c r="BM1" s="171"/>
      <c r="BN1" s="171"/>
      <c r="BO1" s="171"/>
      <c r="BP1" s="171"/>
      <c r="BQ1" s="171"/>
      <c r="BR1" s="171"/>
      <c r="BS1" s="171"/>
      <c r="BT1" s="171"/>
    </row>
    <row r="2" spans="1:81" ht="27.95" customHeight="1"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  <c r="AP2" s="171"/>
      <c r="AQ2" s="171"/>
      <c r="AR2" s="171"/>
      <c r="AS2" s="171"/>
      <c r="AT2" s="171"/>
      <c r="AU2" s="171"/>
      <c r="AV2" s="171"/>
      <c r="AW2" s="171"/>
      <c r="AX2" s="171"/>
      <c r="AY2" s="171"/>
      <c r="AZ2" s="171"/>
      <c r="BA2" s="171"/>
      <c r="BB2" s="171"/>
      <c r="BC2" s="171"/>
      <c r="BD2" s="171"/>
      <c r="BE2" s="171"/>
      <c r="BF2" s="171"/>
      <c r="BG2" s="171"/>
      <c r="BH2" s="171"/>
      <c r="BI2" s="171"/>
      <c r="BJ2" s="171"/>
      <c r="BK2" s="171"/>
      <c r="BL2" s="171"/>
      <c r="BM2" s="171"/>
      <c r="BN2" s="171"/>
      <c r="BO2" s="171"/>
      <c r="BP2" s="171"/>
      <c r="BQ2" s="171"/>
      <c r="BR2" s="171"/>
      <c r="BS2" s="171"/>
      <c r="BT2" s="171"/>
    </row>
    <row r="3" spans="1:81" ht="27.95" customHeight="1"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  <c r="M3" s="171"/>
      <c r="N3" s="171"/>
      <c r="O3" s="171"/>
      <c r="P3" s="171"/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  <c r="AP3" s="171"/>
      <c r="AQ3" s="171"/>
      <c r="AR3" s="171"/>
      <c r="AS3" s="171"/>
      <c r="AT3" s="171"/>
      <c r="AU3" s="171"/>
      <c r="AV3" s="171"/>
      <c r="AW3" s="171"/>
      <c r="AX3" s="171"/>
      <c r="AY3" s="171"/>
      <c r="AZ3" s="171"/>
      <c r="BA3" s="171"/>
      <c r="BB3" s="171"/>
      <c r="BC3" s="171"/>
      <c r="BD3" s="171"/>
      <c r="BE3" s="171"/>
      <c r="BF3" s="171"/>
      <c r="BG3" s="171"/>
      <c r="BH3" s="171"/>
      <c r="BI3" s="171"/>
      <c r="BJ3" s="171"/>
      <c r="BK3" s="171"/>
      <c r="BL3" s="171"/>
      <c r="BM3" s="171"/>
      <c r="BN3" s="171"/>
      <c r="BO3" s="171"/>
      <c r="BP3" s="171"/>
      <c r="BQ3" s="171"/>
      <c r="BR3" s="171"/>
      <c r="BS3" s="171"/>
      <c r="BT3" s="171"/>
    </row>
    <row r="4" spans="1:81" ht="27.95" customHeight="1"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  <c r="M4" s="171"/>
      <c r="N4" s="171"/>
      <c r="O4" s="171"/>
      <c r="P4" s="171"/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171"/>
      <c r="AN4" s="171"/>
      <c r="AO4" s="171"/>
      <c r="AP4" s="171"/>
      <c r="AQ4" s="171"/>
      <c r="AR4" s="171"/>
      <c r="AS4" s="171"/>
      <c r="AT4" s="171"/>
      <c r="AU4" s="171"/>
      <c r="AV4" s="171"/>
      <c r="AW4" s="171"/>
      <c r="AX4" s="171"/>
      <c r="AY4" s="171"/>
      <c r="AZ4" s="171"/>
      <c r="BA4" s="171"/>
      <c r="BB4" s="171"/>
      <c r="BC4" s="171"/>
      <c r="BD4" s="171"/>
      <c r="BE4" s="171"/>
      <c r="BF4" s="171"/>
      <c r="BG4" s="171"/>
      <c r="BH4" s="171"/>
      <c r="BI4" s="171"/>
      <c r="BJ4" s="171"/>
      <c r="BK4" s="171"/>
      <c r="BL4" s="171"/>
      <c r="BM4" s="171"/>
      <c r="BN4" s="171"/>
      <c r="BO4" s="171"/>
      <c r="BP4" s="171"/>
      <c r="BQ4" s="171"/>
      <c r="BR4" s="171"/>
      <c r="BS4" s="171"/>
      <c r="BT4" s="171"/>
    </row>
    <row r="5" spans="1:81" ht="27.95" customHeight="1">
      <c r="B5" s="171"/>
      <c r="C5" s="171"/>
      <c r="D5" s="171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  <c r="AP5" s="171"/>
      <c r="AQ5" s="171"/>
      <c r="AR5" s="171"/>
      <c r="AS5" s="171"/>
      <c r="AT5" s="171"/>
      <c r="AU5" s="171"/>
      <c r="AV5" s="171"/>
      <c r="AW5" s="171"/>
      <c r="AX5" s="171"/>
      <c r="AY5" s="171"/>
      <c r="AZ5" s="171"/>
      <c r="BA5" s="171"/>
      <c r="BB5" s="171"/>
      <c r="BC5" s="171"/>
      <c r="BD5" s="171"/>
      <c r="BE5" s="171"/>
      <c r="BF5" s="171"/>
      <c r="BG5" s="171"/>
      <c r="BH5" s="171"/>
      <c r="BI5" s="171"/>
      <c r="BJ5" s="171"/>
      <c r="BK5" s="171"/>
      <c r="BL5" s="171"/>
      <c r="BM5" s="171"/>
      <c r="BN5" s="171"/>
      <c r="BO5" s="171"/>
      <c r="BP5" s="171"/>
      <c r="BQ5" s="171"/>
      <c r="BR5" s="171"/>
      <c r="BS5" s="171"/>
      <c r="BT5" s="171"/>
    </row>
    <row r="6" spans="1:81" s="106" customFormat="1" ht="27.95" customHeight="1">
      <c r="A6" s="172" t="s">
        <v>59</v>
      </c>
      <c r="B6" s="173" t="s">
        <v>0</v>
      </c>
      <c r="C6" s="174" t="s">
        <v>60</v>
      </c>
      <c r="D6" s="174" t="s">
        <v>61</v>
      </c>
      <c r="E6" s="174" t="s">
        <v>62</v>
      </c>
      <c r="F6" s="174" t="s">
        <v>63</v>
      </c>
      <c r="G6" s="170" t="s">
        <v>64</v>
      </c>
      <c r="H6" s="170"/>
      <c r="I6" s="170"/>
      <c r="J6" s="170"/>
      <c r="K6" s="170" t="s">
        <v>65</v>
      </c>
      <c r="L6" s="170" t="s">
        <v>66</v>
      </c>
      <c r="M6" s="170"/>
      <c r="N6" s="170"/>
      <c r="O6" s="170" t="s">
        <v>65</v>
      </c>
      <c r="P6" s="170" t="s">
        <v>9</v>
      </c>
      <c r="Q6" s="170" t="s">
        <v>67</v>
      </c>
      <c r="R6" s="170" t="s">
        <v>1</v>
      </c>
      <c r="S6" s="170" t="s">
        <v>27</v>
      </c>
      <c r="T6" s="170"/>
      <c r="U6" s="170"/>
      <c r="V6" s="170"/>
      <c r="W6" s="170"/>
      <c r="X6" s="170"/>
      <c r="Y6" s="170" t="s">
        <v>65</v>
      </c>
      <c r="Z6" s="170" t="s">
        <v>9</v>
      </c>
      <c r="AA6" s="170" t="s">
        <v>67</v>
      </c>
      <c r="AB6" s="170" t="s">
        <v>1</v>
      </c>
      <c r="AC6" s="170" t="s">
        <v>13</v>
      </c>
      <c r="AD6" s="170"/>
      <c r="AE6" s="170"/>
      <c r="AF6" s="170"/>
      <c r="AG6" s="170" t="s">
        <v>9</v>
      </c>
      <c r="AH6" s="170" t="s">
        <v>67</v>
      </c>
      <c r="AI6" s="170" t="s">
        <v>1</v>
      </c>
      <c r="AJ6" s="170" t="s">
        <v>23</v>
      </c>
      <c r="AK6" s="170"/>
      <c r="AL6" s="170"/>
      <c r="AM6" s="170"/>
      <c r="AN6" s="170" t="s">
        <v>9</v>
      </c>
      <c r="AO6" s="170" t="s">
        <v>67</v>
      </c>
      <c r="AP6" s="170" t="s">
        <v>1</v>
      </c>
      <c r="AQ6" s="170" t="s">
        <v>8</v>
      </c>
      <c r="AR6" s="170"/>
      <c r="AS6" s="170" t="s">
        <v>9</v>
      </c>
      <c r="AT6" s="170" t="s">
        <v>67</v>
      </c>
      <c r="AU6" s="170" t="s">
        <v>1</v>
      </c>
      <c r="AV6" s="170" t="s">
        <v>5</v>
      </c>
      <c r="AW6" s="170"/>
      <c r="AX6" s="170"/>
      <c r="AY6" s="170"/>
      <c r="AZ6" s="170" t="s">
        <v>9</v>
      </c>
      <c r="BA6" s="170" t="s">
        <v>67</v>
      </c>
      <c r="BB6" s="170" t="s">
        <v>1</v>
      </c>
      <c r="BC6" s="170" t="s">
        <v>6</v>
      </c>
      <c r="BD6" s="170"/>
      <c r="BE6" s="170"/>
      <c r="BF6" s="170"/>
      <c r="BG6" s="170" t="s">
        <v>9</v>
      </c>
      <c r="BH6" s="170" t="s">
        <v>67</v>
      </c>
      <c r="BI6" s="170" t="s">
        <v>1</v>
      </c>
      <c r="BJ6" s="170" t="s">
        <v>68</v>
      </c>
      <c r="BK6" s="170"/>
      <c r="BL6" s="170"/>
      <c r="BM6" s="170" t="s">
        <v>9</v>
      </c>
      <c r="BN6" s="170" t="s">
        <v>67</v>
      </c>
      <c r="BO6" s="170" t="s">
        <v>1</v>
      </c>
      <c r="BP6" s="170" t="s">
        <v>2</v>
      </c>
      <c r="BQ6" s="170" t="s">
        <v>3</v>
      </c>
      <c r="BR6" s="170" t="s">
        <v>36</v>
      </c>
      <c r="BS6" s="170" t="s">
        <v>69</v>
      </c>
      <c r="BT6" s="170" t="s">
        <v>17</v>
      </c>
      <c r="BU6" s="193" t="s">
        <v>401</v>
      </c>
      <c r="BV6" s="193"/>
      <c r="BW6" s="193"/>
      <c r="BX6" s="193"/>
      <c r="BY6" s="189" t="s">
        <v>406</v>
      </c>
      <c r="BZ6" s="189" t="s">
        <v>407</v>
      </c>
      <c r="CA6" s="189" t="s">
        <v>408</v>
      </c>
      <c r="CB6" s="191" t="s">
        <v>409</v>
      </c>
      <c r="CC6" s="186" t="s">
        <v>410</v>
      </c>
    </row>
    <row r="7" spans="1:81" s="107" customFormat="1" ht="27.95" customHeight="1">
      <c r="A7" s="172"/>
      <c r="B7" s="173"/>
      <c r="C7" s="174"/>
      <c r="D7" s="174"/>
      <c r="E7" s="174"/>
      <c r="F7" s="174"/>
      <c r="G7" s="97" t="s">
        <v>14</v>
      </c>
      <c r="H7" s="97" t="s">
        <v>4</v>
      </c>
      <c r="I7" s="97" t="s">
        <v>72</v>
      </c>
      <c r="J7" s="97" t="s">
        <v>7</v>
      </c>
      <c r="K7" s="170"/>
      <c r="L7" s="97" t="s">
        <v>14</v>
      </c>
      <c r="M7" s="97" t="s">
        <v>4</v>
      </c>
      <c r="N7" s="97" t="s">
        <v>72</v>
      </c>
      <c r="O7" s="170"/>
      <c r="P7" s="170"/>
      <c r="Q7" s="170"/>
      <c r="R7" s="170"/>
      <c r="S7" s="97" t="s">
        <v>14</v>
      </c>
      <c r="T7" s="97" t="s">
        <v>73</v>
      </c>
      <c r="U7" s="97" t="s">
        <v>74</v>
      </c>
      <c r="V7" s="97" t="s">
        <v>14</v>
      </c>
      <c r="W7" s="97" t="s">
        <v>75</v>
      </c>
      <c r="X7" s="97" t="s">
        <v>74</v>
      </c>
      <c r="Y7" s="170"/>
      <c r="Z7" s="170"/>
      <c r="AA7" s="170"/>
      <c r="AB7" s="170"/>
      <c r="AC7" s="97" t="s">
        <v>14</v>
      </c>
      <c r="AD7" s="97" t="s">
        <v>4</v>
      </c>
      <c r="AE7" s="97" t="s">
        <v>72</v>
      </c>
      <c r="AF7" s="97" t="s">
        <v>7</v>
      </c>
      <c r="AG7" s="170"/>
      <c r="AH7" s="170"/>
      <c r="AI7" s="170"/>
      <c r="AJ7" s="97" t="s">
        <v>14</v>
      </c>
      <c r="AK7" s="97" t="s">
        <v>4</v>
      </c>
      <c r="AL7" s="97" t="s">
        <v>72</v>
      </c>
      <c r="AM7" s="97" t="s">
        <v>7</v>
      </c>
      <c r="AN7" s="170"/>
      <c r="AO7" s="170"/>
      <c r="AP7" s="170"/>
      <c r="AQ7" s="97" t="s">
        <v>7</v>
      </c>
      <c r="AR7" s="97" t="s">
        <v>76</v>
      </c>
      <c r="AS7" s="170"/>
      <c r="AT7" s="170"/>
      <c r="AU7" s="170"/>
      <c r="AV7" s="97" t="s">
        <v>14</v>
      </c>
      <c r="AW7" s="97" t="s">
        <v>4</v>
      </c>
      <c r="AX7" s="97" t="s">
        <v>72</v>
      </c>
      <c r="AY7" s="97" t="s">
        <v>7</v>
      </c>
      <c r="AZ7" s="170"/>
      <c r="BA7" s="170"/>
      <c r="BB7" s="170"/>
      <c r="BC7" s="97" t="s">
        <v>14</v>
      </c>
      <c r="BD7" s="97" t="s">
        <v>4</v>
      </c>
      <c r="BE7" s="97" t="s">
        <v>72</v>
      </c>
      <c r="BF7" s="97" t="s">
        <v>7</v>
      </c>
      <c r="BG7" s="170"/>
      <c r="BH7" s="170"/>
      <c r="BI7" s="170"/>
      <c r="BJ7" s="97" t="s">
        <v>14</v>
      </c>
      <c r="BK7" s="97" t="s">
        <v>4</v>
      </c>
      <c r="BL7" s="97" t="s">
        <v>72</v>
      </c>
      <c r="BM7" s="170"/>
      <c r="BN7" s="170"/>
      <c r="BO7" s="170"/>
      <c r="BP7" s="170"/>
      <c r="BQ7" s="170"/>
      <c r="BR7" s="170"/>
      <c r="BS7" s="170"/>
      <c r="BT7" s="170"/>
      <c r="BU7" s="145" t="s">
        <v>402</v>
      </c>
      <c r="BV7" s="146" t="s">
        <v>403</v>
      </c>
      <c r="BW7" s="145" t="s">
        <v>404</v>
      </c>
      <c r="BX7" s="146" t="s">
        <v>405</v>
      </c>
      <c r="BY7" s="190"/>
      <c r="BZ7" s="190"/>
      <c r="CA7" s="190"/>
      <c r="CB7" s="192"/>
      <c r="CC7" s="186"/>
    </row>
    <row r="8" spans="1:81" ht="27.95" customHeight="1">
      <c r="A8" s="67">
        <v>1</v>
      </c>
      <c r="B8" s="48">
        <v>1</v>
      </c>
      <c r="C8" s="39" t="s">
        <v>83</v>
      </c>
      <c r="D8" s="39" t="s">
        <v>84</v>
      </c>
      <c r="E8" s="39" t="s">
        <v>85</v>
      </c>
      <c r="F8" s="40">
        <v>1605562549</v>
      </c>
      <c r="G8" s="112">
        <v>20</v>
      </c>
      <c r="H8" s="112">
        <v>49</v>
      </c>
      <c r="I8" s="113">
        <f>H8+G8</f>
        <v>69</v>
      </c>
      <c r="J8" s="112">
        <v>29</v>
      </c>
      <c r="K8" s="113">
        <f>I8+J8</f>
        <v>98</v>
      </c>
      <c r="L8" s="112">
        <v>10</v>
      </c>
      <c r="M8" s="112">
        <v>40</v>
      </c>
      <c r="N8" s="113">
        <f>M8+L8</f>
        <v>50</v>
      </c>
      <c r="O8" s="113">
        <f>N8</f>
        <v>50</v>
      </c>
      <c r="P8" s="113">
        <f t="shared" ref="P8:P71" si="0">K8+O8</f>
        <v>148</v>
      </c>
      <c r="Q8" s="187">
        <f>MAX(P8:P49)</f>
        <v>148</v>
      </c>
      <c r="R8" s="112">
        <f>IF(P8&lt;60,"F",IF(P8&lt;75,2,IF(P8&lt;90,3,IF(P8&lt;105,3.5,IF(P8&lt;120,4,5)))))</f>
        <v>5</v>
      </c>
      <c r="S8" s="112">
        <v>20</v>
      </c>
      <c r="T8" s="112">
        <v>76</v>
      </c>
      <c r="U8" s="113">
        <f>T8+S8</f>
        <v>96</v>
      </c>
      <c r="V8" s="112">
        <v>10</v>
      </c>
      <c r="W8" s="112">
        <v>37</v>
      </c>
      <c r="X8" s="113">
        <f>W8+V8</f>
        <v>47</v>
      </c>
      <c r="Y8" s="113">
        <f>U8+X8</f>
        <v>143</v>
      </c>
      <c r="Z8" s="113">
        <f t="shared" ref="Z8:Z50" si="1">Y8</f>
        <v>143</v>
      </c>
      <c r="AA8" s="187">
        <f>MAX(Z8:Z49)</f>
        <v>143</v>
      </c>
      <c r="AB8" s="112">
        <f>IF(Z8&lt;60,0,IF(Z8&lt;75,2,IF(Z8&lt;90,3,IF(Z8&lt;105,3.5,IF(Z8&lt;120,4,5)))))</f>
        <v>5</v>
      </c>
      <c r="AC8" s="112">
        <v>20</v>
      </c>
      <c r="AD8" s="112">
        <v>42</v>
      </c>
      <c r="AE8" s="113">
        <f t="shared" ref="AE8" si="2">AD8+AC8</f>
        <v>62</v>
      </c>
      <c r="AF8" s="112">
        <v>27</v>
      </c>
      <c r="AG8" s="113">
        <f>AE8+AF8</f>
        <v>89</v>
      </c>
      <c r="AH8" s="187">
        <f>MAX(AG8:AG49)</f>
        <v>95</v>
      </c>
      <c r="AI8" s="112">
        <f>IF(AG8&lt;40,"F",IF(AG8&lt;50,2,IF(AG8&lt;60,3,IF(AG8&lt;70,3.5,IF(AG8&lt;80,4,5)))))</f>
        <v>5</v>
      </c>
      <c r="AJ8" s="112">
        <v>20</v>
      </c>
      <c r="AK8" s="112">
        <v>50</v>
      </c>
      <c r="AL8" s="113">
        <f>AK8+AJ8</f>
        <v>70</v>
      </c>
      <c r="AM8" s="112">
        <v>30</v>
      </c>
      <c r="AN8" s="113">
        <f>+AL8+AM8</f>
        <v>100</v>
      </c>
      <c r="AO8" s="187">
        <f>MAX(AN8:AN49)</f>
        <v>100</v>
      </c>
      <c r="AP8" s="112">
        <f>IF(AN8&lt;40,"F",IF(AN8&lt;50,2,IF(AN8&lt;60,3,IF(AN8&lt;70,3.5,IF(AN8&lt;80,4,5)))))</f>
        <v>5</v>
      </c>
      <c r="AQ8" s="112">
        <v>23</v>
      </c>
      <c r="AR8" s="112">
        <v>25</v>
      </c>
      <c r="AS8" s="112">
        <f>AQ8+AR8</f>
        <v>48</v>
      </c>
      <c r="AT8" s="188">
        <f>MAX(AS8:AS49)</f>
        <v>49</v>
      </c>
      <c r="AU8" s="112">
        <f>IF(AS8&lt;20,"F",IF(AS8&lt;25,2,IF(AS8&lt;30,3,IF(AS8&lt;35,3.5,IF(AS8&lt;40,4,5)))))</f>
        <v>5</v>
      </c>
      <c r="AV8" s="112">
        <v>20</v>
      </c>
      <c r="AW8" s="112">
        <v>49</v>
      </c>
      <c r="AX8" s="113">
        <f>AW8+AV8</f>
        <v>69</v>
      </c>
      <c r="AY8" s="112">
        <v>30</v>
      </c>
      <c r="AZ8" s="113">
        <f>AX8+AY8</f>
        <v>99</v>
      </c>
      <c r="BA8" s="187">
        <f>MAX(AZ8:AZ49)</f>
        <v>99</v>
      </c>
      <c r="BB8" s="112">
        <f>IF(AZ8&lt;40,"F",IF(AZ8&lt;50,2,IF(AZ8&lt;60,3,IF(AZ8&lt;70,3.5,IF(AZ8&lt;80,4,5)))))</f>
        <v>5</v>
      </c>
      <c r="BC8" s="112">
        <v>20</v>
      </c>
      <c r="BD8" s="112">
        <v>45</v>
      </c>
      <c r="BE8" s="113">
        <f>BD8+BC8</f>
        <v>65</v>
      </c>
      <c r="BF8" s="112">
        <v>28</v>
      </c>
      <c r="BG8" s="113">
        <f>BE8+BF8</f>
        <v>93</v>
      </c>
      <c r="BH8" s="187">
        <f>MAX(BG8:BG49)</f>
        <v>95</v>
      </c>
      <c r="BI8" s="112">
        <f>IF(BG8&lt;40,"F",IF(BG8&lt;50,2,IF(BG8&lt;60,3,IF(BG8&lt;70,3.5,IF(BG8&lt;80,4,5)))))</f>
        <v>5</v>
      </c>
      <c r="BJ8" s="112">
        <v>10</v>
      </c>
      <c r="BK8" s="112">
        <v>40</v>
      </c>
      <c r="BL8" s="113">
        <f>BK8+BJ8</f>
        <v>50</v>
      </c>
      <c r="BM8" s="113">
        <f>BL8</f>
        <v>50</v>
      </c>
      <c r="BN8" s="187">
        <f>MAX(BM8:BM49)</f>
        <v>50</v>
      </c>
      <c r="BO8" s="112">
        <f t="shared" ref="BO8:BO71" si="3">IF(BL8&lt;20,"F",IF(BM8&lt;20,"F",IF(BM8&lt;25,2,IF(BM8&lt;30,3,IF(BM8&lt;35,3.5,IF(BM8&lt;40,4,5))))))</f>
        <v>5</v>
      </c>
      <c r="BP8" s="112">
        <f>IF(R8="F","F",IF(AB8="F","F",IF(AI8="F","F",IF(AP8="F","F",IF(BB8="F","F",IF(BI8="F","F",IF(BO8="F","F",IF(AU8="F","F",SUM(R8,AB8,AI8,AP8,AU8,BB8,BI8,BO8)))))))))</f>
        <v>40</v>
      </c>
      <c r="BQ8" s="114">
        <f>IF(BP8="F","F",IF(BP8&gt;=45,5,IF(BP8&lt;45,BP8/8)))</f>
        <v>5</v>
      </c>
      <c r="BR8" s="114" t="str">
        <f>IF(BQ8="F","F",IF(BQ8&lt;2.5,"D",IF(BQ8&lt;3,"C",IF(BQ8&lt;3.5,"B",IF(BQ8&lt;4,"A-",IF(BQ8&lt;5,"A","A+"))))))</f>
        <v>A+</v>
      </c>
      <c r="BS8" s="33" t="str">
        <f t="shared" ref="BS8:BS71" si="4">IF(BQ8="F","NEED TO PROGRESS",IF(BQ8&gt;=5,"BEST",IF(BQ8&gt;=4,"BETTER",IF(BQ8&gt;=2,"GOOD"))))</f>
        <v>BEST</v>
      </c>
      <c r="BT8" s="108">
        <f>P8+Z8+AG8+AN8+AS8+AZ8+BG8+BM8</f>
        <v>770</v>
      </c>
      <c r="BU8" s="150">
        <f>'1st_Semester'!BT8</f>
        <v>754</v>
      </c>
      <c r="BV8" s="147">
        <f>'2nd_Semester'!BT8</f>
        <v>754</v>
      </c>
      <c r="BW8" s="147">
        <f>BT8</f>
        <v>770</v>
      </c>
      <c r="BX8" s="147">
        <f>AVERAGE(BU8:BW8)</f>
        <v>759.33333333333337</v>
      </c>
      <c r="BY8" s="153">
        <f>'1st_Semester'!BQ8</f>
        <v>5</v>
      </c>
      <c r="BZ8" s="153">
        <f>'2nd_Semester'!BQ8</f>
        <v>5</v>
      </c>
      <c r="CA8" s="153">
        <f>BQ8</f>
        <v>5</v>
      </c>
      <c r="CB8" s="153">
        <f>AVERAGE(BY8:CA8)</f>
        <v>5</v>
      </c>
      <c r="CC8" s="66"/>
    </row>
    <row r="9" spans="1:81" ht="27.95" customHeight="1">
      <c r="A9" s="67">
        <v>2</v>
      </c>
      <c r="B9" s="48">
        <v>2</v>
      </c>
      <c r="C9" s="39" t="s">
        <v>86</v>
      </c>
      <c r="D9" s="39" t="s">
        <v>87</v>
      </c>
      <c r="E9" s="39" t="s">
        <v>88</v>
      </c>
      <c r="F9" s="40" t="s">
        <v>89</v>
      </c>
      <c r="G9" s="112">
        <v>20</v>
      </c>
      <c r="H9" s="112">
        <v>46</v>
      </c>
      <c r="I9" s="113">
        <f>H9+G9</f>
        <v>66</v>
      </c>
      <c r="J9" s="112">
        <v>30</v>
      </c>
      <c r="K9" s="113">
        <f>I9+J9</f>
        <v>96</v>
      </c>
      <c r="L9" s="112">
        <v>10</v>
      </c>
      <c r="M9" s="112">
        <v>39</v>
      </c>
      <c r="N9" s="113">
        <f>M9+L9</f>
        <v>49</v>
      </c>
      <c r="O9" s="113">
        <f t="shared" ref="O9:O72" si="5">N9</f>
        <v>49</v>
      </c>
      <c r="P9" s="113">
        <f t="shared" si="0"/>
        <v>145</v>
      </c>
      <c r="Q9" s="187"/>
      <c r="R9" s="112">
        <f t="shared" ref="R9:R49" si="6">IF(P9&lt;60,"F",IF(P9&lt;75,2,IF(P9&lt;90,3,IF(P9&lt;105,3.5,IF(P9&lt;120,4,5)))))</f>
        <v>5</v>
      </c>
      <c r="S9" s="112">
        <v>20</v>
      </c>
      <c r="T9" s="112">
        <v>72</v>
      </c>
      <c r="U9" s="113">
        <f t="shared" ref="U9:U48" si="7">T9+S9</f>
        <v>92</v>
      </c>
      <c r="V9" s="112">
        <v>10</v>
      </c>
      <c r="W9" s="112">
        <v>34</v>
      </c>
      <c r="X9" s="113">
        <f t="shared" ref="X9:X48" si="8">W9+V9</f>
        <v>44</v>
      </c>
      <c r="Y9" s="113">
        <f t="shared" ref="Y9:Y48" si="9">U9+X9</f>
        <v>136</v>
      </c>
      <c r="Z9" s="113">
        <f t="shared" si="1"/>
        <v>136</v>
      </c>
      <c r="AA9" s="187"/>
      <c r="AB9" s="112">
        <f t="shared" ref="AB9:AB48" si="10">IF(Z9&lt;60,0,IF(Z9&lt;75,2,IF(Z9&lt;90,3,IF(Z9&lt;105,3.5,IF(Z9&lt;120,4,5)))))</f>
        <v>5</v>
      </c>
      <c r="AC9" s="112">
        <v>20</v>
      </c>
      <c r="AD9" s="112">
        <v>42</v>
      </c>
      <c r="AE9" s="113">
        <f t="shared" ref="AE9:AE50" si="11">AD9+AC9</f>
        <v>62</v>
      </c>
      <c r="AF9" s="112">
        <v>29</v>
      </c>
      <c r="AG9" s="113">
        <f t="shared" ref="AG9:AG48" si="12">AE9+AF9</f>
        <v>91</v>
      </c>
      <c r="AH9" s="187"/>
      <c r="AI9" s="112">
        <f t="shared" ref="AI9:AI18" si="13">IF(AG9&lt;40,"F",IF(AG9&lt;50,2,IF(AG9&lt;60,3,IF(AG9&lt;70,3.5,IF(AG9&lt;80,4,5)))))</f>
        <v>5</v>
      </c>
      <c r="AJ9" s="112">
        <v>20</v>
      </c>
      <c r="AK9" s="112">
        <v>45</v>
      </c>
      <c r="AL9" s="113">
        <f t="shared" ref="AL9:AL18" si="14">AK9+AJ9</f>
        <v>65</v>
      </c>
      <c r="AM9" s="112">
        <v>29</v>
      </c>
      <c r="AN9" s="113">
        <f t="shared" ref="AN9:AN18" si="15">+AL9+AM9</f>
        <v>94</v>
      </c>
      <c r="AO9" s="187"/>
      <c r="AP9" s="112">
        <f t="shared" ref="AP9:AP18" si="16">IF(AN9&lt;40,"F",IF(AN9&lt;50,2,IF(AN9&lt;60,3,IF(AN9&lt;70,3.5,IF(AN9&lt;80,4,5)))))</f>
        <v>5</v>
      </c>
      <c r="AQ9" s="112">
        <v>23</v>
      </c>
      <c r="AR9" s="129">
        <v>25</v>
      </c>
      <c r="AS9" s="129">
        <f t="shared" ref="AS9:AS72" si="17">AQ9+AR9</f>
        <v>48</v>
      </c>
      <c r="AT9" s="188"/>
      <c r="AU9" s="112">
        <f t="shared" ref="AU9:AU48" si="18">IF(AS9&lt;20,"F",IF(AS9&lt;25,2,IF(AS9&lt;30,3,IF(AS9&lt;35,3.5,IF(AS9&lt;40,4,5)))))</f>
        <v>5</v>
      </c>
      <c r="AV9" s="112">
        <v>20</v>
      </c>
      <c r="AW9" s="112">
        <v>49</v>
      </c>
      <c r="AX9" s="113">
        <f t="shared" ref="AX9:AX48" si="19">AW9+AV9</f>
        <v>69</v>
      </c>
      <c r="AY9" s="112">
        <v>30</v>
      </c>
      <c r="AZ9" s="113">
        <f t="shared" ref="AZ9:AZ48" si="20">AX9+AY9</f>
        <v>99</v>
      </c>
      <c r="BA9" s="187"/>
      <c r="BB9" s="112">
        <f t="shared" ref="BB9:BB49" si="21">IF(AZ9&lt;40,"F",IF(AZ9&lt;50,2,IF(AZ9&lt;60,3,IF(AZ9&lt;70,3.5,IF(AZ9&lt;80,4,5)))))</f>
        <v>5</v>
      </c>
      <c r="BC9" s="112">
        <v>20</v>
      </c>
      <c r="BD9" s="112">
        <v>46</v>
      </c>
      <c r="BE9" s="113">
        <f t="shared" ref="BE9:BE48" si="22">BD9+BC9</f>
        <v>66</v>
      </c>
      <c r="BF9" s="112">
        <v>29</v>
      </c>
      <c r="BG9" s="113">
        <f t="shared" ref="BG9:BG49" si="23">BE9+BF9</f>
        <v>95</v>
      </c>
      <c r="BH9" s="187"/>
      <c r="BI9" s="112">
        <f t="shared" ref="BI9:BI48" si="24">IF(BG9&lt;40,"F",IF(BG9&lt;50,2,IF(BG9&lt;60,3,IF(BG9&lt;70,3.5,IF(BG9&lt;80,4,5)))))</f>
        <v>5</v>
      </c>
      <c r="BJ9" s="112">
        <v>10</v>
      </c>
      <c r="BK9" s="112">
        <v>40</v>
      </c>
      <c r="BL9" s="113">
        <f t="shared" ref="BL9:BL48" si="25">BK9+BJ9</f>
        <v>50</v>
      </c>
      <c r="BM9" s="113">
        <f t="shared" ref="BM9:BM72" si="26">BL9</f>
        <v>50</v>
      </c>
      <c r="BN9" s="187"/>
      <c r="BO9" s="112">
        <f t="shared" si="3"/>
        <v>5</v>
      </c>
      <c r="BP9" s="112">
        <f t="shared" ref="BP9:BP72" si="27">IF(R9="F","F",IF(AB9="F","F",IF(AI9="F","F",IF(AP9="F","F",IF(BB9="F","F",IF(BI9="F","F",IF(BO9="F","F",IF(AU9="F","F",SUM(R9,AB9,AI9,AP9,AU9,BB9,BI9,BO9)))))))))</f>
        <v>40</v>
      </c>
      <c r="BQ9" s="114">
        <f t="shared" ref="BQ9:BQ72" si="28">IF(BP9="F","F",IF(BP9&gt;=45,5,IF(BP9&lt;45,BP9/8)))</f>
        <v>5</v>
      </c>
      <c r="BR9" s="114" t="str">
        <f t="shared" ref="BR9:BR49" si="29">IF(BQ9="F","F",IF(BQ9&lt;2.5,"D",IF(BQ9&lt;3,"C",IF(BQ9&lt;3.5,"B",IF(BQ9&lt;4,"A-",IF(BQ9&lt;5,"A","A+"))))))</f>
        <v>A+</v>
      </c>
      <c r="BS9" s="33" t="str">
        <f t="shared" si="4"/>
        <v>BEST</v>
      </c>
      <c r="BT9" s="108">
        <f t="shared" ref="BT9:BT72" si="30">P9+Z9+AG9+AN9+AS9+AZ9+BG9+BM9</f>
        <v>758</v>
      </c>
      <c r="BU9" s="150">
        <f>'1st_Semester'!BT9</f>
        <v>763</v>
      </c>
      <c r="BV9" s="147">
        <f>'2nd_Semester'!BT9</f>
        <v>758</v>
      </c>
      <c r="BW9" s="147">
        <f t="shared" ref="BW9:BW72" si="31">BT9</f>
        <v>758</v>
      </c>
      <c r="BX9" s="147">
        <f t="shared" ref="BX9:BX72" si="32">AVERAGE(BU9:BW9)</f>
        <v>759.66666666666663</v>
      </c>
      <c r="BY9" s="153">
        <f>'1st_Semester'!BQ9</f>
        <v>5</v>
      </c>
      <c r="BZ9" s="153">
        <f>'2nd_Semester'!BQ9</f>
        <v>5</v>
      </c>
      <c r="CA9" s="153">
        <f t="shared" ref="CA9:CA72" si="33">BQ9</f>
        <v>5</v>
      </c>
      <c r="CB9" s="153">
        <f t="shared" ref="CB9:CB72" si="34">AVERAGE(BY9:CA9)</f>
        <v>5</v>
      </c>
      <c r="CC9" s="66"/>
    </row>
    <row r="10" spans="1:81" ht="27.95" customHeight="1">
      <c r="A10" s="67">
        <v>3</v>
      </c>
      <c r="B10" s="48">
        <v>3</v>
      </c>
      <c r="C10" s="39" t="s">
        <v>90</v>
      </c>
      <c r="D10" s="39" t="s">
        <v>91</v>
      </c>
      <c r="E10" s="39" t="s">
        <v>92</v>
      </c>
      <c r="F10" s="40" t="s">
        <v>93</v>
      </c>
      <c r="G10" s="112">
        <v>20</v>
      </c>
      <c r="H10" s="112">
        <v>46</v>
      </c>
      <c r="I10" s="113">
        <f t="shared" ref="I10:I49" si="35">H10+G10</f>
        <v>66</v>
      </c>
      <c r="J10" s="112">
        <v>29</v>
      </c>
      <c r="K10" s="113">
        <f t="shared" ref="K10:K49" si="36">I10+J10</f>
        <v>95</v>
      </c>
      <c r="L10" s="112">
        <v>10</v>
      </c>
      <c r="M10" s="112">
        <v>38</v>
      </c>
      <c r="N10" s="113">
        <f t="shared" ref="N10:N49" si="37">M10+L10</f>
        <v>48</v>
      </c>
      <c r="O10" s="113">
        <f t="shared" si="5"/>
        <v>48</v>
      </c>
      <c r="P10" s="113">
        <f t="shared" si="0"/>
        <v>143</v>
      </c>
      <c r="Q10" s="187"/>
      <c r="R10" s="112">
        <f t="shared" si="6"/>
        <v>5</v>
      </c>
      <c r="S10" s="112">
        <v>20</v>
      </c>
      <c r="T10" s="112">
        <v>72</v>
      </c>
      <c r="U10" s="113">
        <f t="shared" si="7"/>
        <v>92</v>
      </c>
      <c r="V10" s="112">
        <v>10</v>
      </c>
      <c r="W10" s="112">
        <v>34</v>
      </c>
      <c r="X10" s="113">
        <f t="shared" si="8"/>
        <v>44</v>
      </c>
      <c r="Y10" s="113">
        <f t="shared" si="9"/>
        <v>136</v>
      </c>
      <c r="Z10" s="113">
        <f t="shared" si="1"/>
        <v>136</v>
      </c>
      <c r="AA10" s="187"/>
      <c r="AB10" s="112">
        <f t="shared" si="10"/>
        <v>5</v>
      </c>
      <c r="AC10" s="112">
        <v>20</v>
      </c>
      <c r="AD10" s="112">
        <v>42</v>
      </c>
      <c r="AE10" s="113">
        <f t="shared" si="11"/>
        <v>62</v>
      </c>
      <c r="AF10" s="112">
        <v>29</v>
      </c>
      <c r="AG10" s="113">
        <f t="shared" si="12"/>
        <v>91</v>
      </c>
      <c r="AH10" s="187"/>
      <c r="AI10" s="112">
        <f t="shared" si="13"/>
        <v>5</v>
      </c>
      <c r="AJ10" s="112">
        <v>20</v>
      </c>
      <c r="AK10" s="112">
        <v>47</v>
      </c>
      <c r="AL10" s="113">
        <f t="shared" si="14"/>
        <v>67</v>
      </c>
      <c r="AM10" s="112">
        <v>27</v>
      </c>
      <c r="AN10" s="113">
        <f t="shared" si="15"/>
        <v>94</v>
      </c>
      <c r="AO10" s="187"/>
      <c r="AP10" s="112">
        <f t="shared" si="16"/>
        <v>5</v>
      </c>
      <c r="AQ10" s="112">
        <v>23</v>
      </c>
      <c r="AR10" s="129">
        <v>25</v>
      </c>
      <c r="AS10" s="129">
        <f t="shared" si="17"/>
        <v>48</v>
      </c>
      <c r="AT10" s="188"/>
      <c r="AU10" s="112">
        <f t="shared" si="18"/>
        <v>5</v>
      </c>
      <c r="AV10" s="112">
        <v>20</v>
      </c>
      <c r="AW10" s="112">
        <v>48</v>
      </c>
      <c r="AX10" s="113">
        <f t="shared" si="19"/>
        <v>68</v>
      </c>
      <c r="AY10" s="112">
        <v>29</v>
      </c>
      <c r="AZ10" s="113">
        <f t="shared" si="20"/>
        <v>97</v>
      </c>
      <c r="BA10" s="187"/>
      <c r="BB10" s="112">
        <f t="shared" si="21"/>
        <v>5</v>
      </c>
      <c r="BC10" s="112">
        <v>20</v>
      </c>
      <c r="BD10" s="112">
        <v>46</v>
      </c>
      <c r="BE10" s="113">
        <f t="shared" si="22"/>
        <v>66</v>
      </c>
      <c r="BF10" s="112">
        <v>29</v>
      </c>
      <c r="BG10" s="113">
        <f t="shared" si="23"/>
        <v>95</v>
      </c>
      <c r="BH10" s="187"/>
      <c r="BI10" s="112">
        <f t="shared" si="24"/>
        <v>5</v>
      </c>
      <c r="BJ10" s="112">
        <v>10</v>
      </c>
      <c r="BK10" s="112">
        <v>40</v>
      </c>
      <c r="BL10" s="113">
        <f t="shared" si="25"/>
        <v>50</v>
      </c>
      <c r="BM10" s="113">
        <f t="shared" si="26"/>
        <v>50</v>
      </c>
      <c r="BN10" s="187"/>
      <c r="BO10" s="112">
        <f t="shared" si="3"/>
        <v>5</v>
      </c>
      <c r="BP10" s="112">
        <f t="shared" si="27"/>
        <v>40</v>
      </c>
      <c r="BQ10" s="114">
        <f t="shared" si="28"/>
        <v>5</v>
      </c>
      <c r="BR10" s="114" t="str">
        <f t="shared" si="29"/>
        <v>A+</v>
      </c>
      <c r="BS10" s="33" t="str">
        <f t="shared" si="4"/>
        <v>BEST</v>
      </c>
      <c r="BT10" s="108">
        <f t="shared" si="30"/>
        <v>754</v>
      </c>
      <c r="BU10" s="150">
        <f>'1st_Semester'!BT10</f>
        <v>751</v>
      </c>
      <c r="BV10" s="147">
        <f>'2nd_Semester'!BT10</f>
        <v>740</v>
      </c>
      <c r="BW10" s="147">
        <f t="shared" si="31"/>
        <v>754</v>
      </c>
      <c r="BX10" s="147">
        <f t="shared" si="32"/>
        <v>748.33333333333337</v>
      </c>
      <c r="BY10" s="153">
        <f>'1st_Semester'!BQ10</f>
        <v>5</v>
      </c>
      <c r="BZ10" s="153">
        <f>'2nd_Semester'!BQ10</f>
        <v>5</v>
      </c>
      <c r="CA10" s="153">
        <f t="shared" si="33"/>
        <v>5</v>
      </c>
      <c r="CB10" s="153">
        <f t="shared" si="34"/>
        <v>5</v>
      </c>
      <c r="CC10" s="66"/>
    </row>
    <row r="11" spans="1:81" ht="27.95" customHeight="1">
      <c r="A11" s="67">
        <v>4</v>
      </c>
      <c r="B11" s="48">
        <v>4</v>
      </c>
      <c r="C11" s="41" t="s">
        <v>94</v>
      </c>
      <c r="D11" s="41" t="s">
        <v>95</v>
      </c>
      <c r="E11" s="41" t="s">
        <v>96</v>
      </c>
      <c r="F11" s="40" t="s">
        <v>97</v>
      </c>
      <c r="G11" s="112">
        <v>19</v>
      </c>
      <c r="H11" s="112">
        <v>37</v>
      </c>
      <c r="I11" s="113">
        <f t="shared" si="35"/>
        <v>56</v>
      </c>
      <c r="J11" s="112">
        <v>25</v>
      </c>
      <c r="K11" s="113">
        <f t="shared" si="36"/>
        <v>81</v>
      </c>
      <c r="L11" s="112">
        <v>9</v>
      </c>
      <c r="M11" s="112">
        <v>33</v>
      </c>
      <c r="N11" s="113">
        <f t="shared" si="37"/>
        <v>42</v>
      </c>
      <c r="O11" s="113">
        <f t="shared" si="5"/>
        <v>42</v>
      </c>
      <c r="P11" s="113">
        <f t="shared" si="0"/>
        <v>123</v>
      </c>
      <c r="Q11" s="187"/>
      <c r="R11" s="112">
        <f t="shared" si="6"/>
        <v>5</v>
      </c>
      <c r="S11" s="112">
        <v>20</v>
      </c>
      <c r="T11" s="112">
        <v>68</v>
      </c>
      <c r="U11" s="113">
        <f t="shared" si="7"/>
        <v>88</v>
      </c>
      <c r="V11" s="112">
        <v>10</v>
      </c>
      <c r="W11" s="112">
        <v>29</v>
      </c>
      <c r="X11" s="113">
        <f t="shared" si="8"/>
        <v>39</v>
      </c>
      <c r="Y11" s="113">
        <f t="shared" si="9"/>
        <v>127</v>
      </c>
      <c r="Z11" s="113">
        <f t="shared" si="1"/>
        <v>127</v>
      </c>
      <c r="AA11" s="187"/>
      <c r="AB11" s="112">
        <f t="shared" si="10"/>
        <v>5</v>
      </c>
      <c r="AC11" s="112">
        <v>18</v>
      </c>
      <c r="AD11" s="112">
        <v>40</v>
      </c>
      <c r="AE11" s="113">
        <f t="shared" si="11"/>
        <v>58</v>
      </c>
      <c r="AF11" s="112">
        <v>27</v>
      </c>
      <c r="AG11" s="113">
        <f t="shared" si="12"/>
        <v>85</v>
      </c>
      <c r="AH11" s="187"/>
      <c r="AI11" s="112">
        <f t="shared" si="13"/>
        <v>5</v>
      </c>
      <c r="AJ11" s="112">
        <v>20</v>
      </c>
      <c r="AK11" s="112">
        <v>46</v>
      </c>
      <c r="AL11" s="113">
        <f t="shared" si="14"/>
        <v>66</v>
      </c>
      <c r="AM11" s="112">
        <v>26</v>
      </c>
      <c r="AN11" s="113">
        <f t="shared" si="15"/>
        <v>92</v>
      </c>
      <c r="AO11" s="187"/>
      <c r="AP11" s="112">
        <f t="shared" si="16"/>
        <v>5</v>
      </c>
      <c r="AQ11" s="112">
        <v>24</v>
      </c>
      <c r="AR11" s="129">
        <v>25</v>
      </c>
      <c r="AS11" s="129">
        <f t="shared" si="17"/>
        <v>49</v>
      </c>
      <c r="AT11" s="188"/>
      <c r="AU11" s="112">
        <f t="shared" si="18"/>
        <v>5</v>
      </c>
      <c r="AV11" s="112">
        <v>19</v>
      </c>
      <c r="AW11" s="112">
        <v>46</v>
      </c>
      <c r="AX11" s="113">
        <f t="shared" si="19"/>
        <v>65</v>
      </c>
      <c r="AY11" s="112">
        <v>28</v>
      </c>
      <c r="AZ11" s="113">
        <f t="shared" si="20"/>
        <v>93</v>
      </c>
      <c r="BA11" s="187"/>
      <c r="BB11" s="112">
        <f t="shared" si="21"/>
        <v>5</v>
      </c>
      <c r="BC11" s="112">
        <v>20</v>
      </c>
      <c r="BD11" s="112">
        <v>41</v>
      </c>
      <c r="BE11" s="113">
        <f t="shared" si="22"/>
        <v>61</v>
      </c>
      <c r="BF11" s="112">
        <v>24</v>
      </c>
      <c r="BG11" s="113">
        <f t="shared" si="23"/>
        <v>85</v>
      </c>
      <c r="BH11" s="187"/>
      <c r="BI11" s="112">
        <f t="shared" si="24"/>
        <v>5</v>
      </c>
      <c r="BJ11" s="112">
        <v>10</v>
      </c>
      <c r="BK11" s="112">
        <v>40</v>
      </c>
      <c r="BL11" s="113">
        <f t="shared" si="25"/>
        <v>50</v>
      </c>
      <c r="BM11" s="113">
        <f t="shared" si="26"/>
        <v>50</v>
      </c>
      <c r="BN11" s="187"/>
      <c r="BO11" s="112">
        <f t="shared" si="3"/>
        <v>5</v>
      </c>
      <c r="BP11" s="112">
        <f t="shared" si="27"/>
        <v>40</v>
      </c>
      <c r="BQ11" s="114">
        <f t="shared" si="28"/>
        <v>5</v>
      </c>
      <c r="BR11" s="114" t="str">
        <f t="shared" si="29"/>
        <v>A+</v>
      </c>
      <c r="BS11" s="33" t="str">
        <f t="shared" si="4"/>
        <v>BEST</v>
      </c>
      <c r="BT11" s="108">
        <f t="shared" si="30"/>
        <v>704</v>
      </c>
      <c r="BU11" s="150">
        <f>'1st_Semester'!BT11</f>
        <v>714</v>
      </c>
      <c r="BV11" s="147">
        <f>'2nd_Semester'!BT11</f>
        <v>685</v>
      </c>
      <c r="BW11" s="147">
        <f t="shared" si="31"/>
        <v>704</v>
      </c>
      <c r="BX11" s="147">
        <f t="shared" si="32"/>
        <v>701</v>
      </c>
      <c r="BY11" s="153">
        <f>'1st_Semester'!BQ11</f>
        <v>4.875</v>
      </c>
      <c r="BZ11" s="153">
        <f>'2nd_Semester'!BQ11</f>
        <v>4.875</v>
      </c>
      <c r="CA11" s="153">
        <f t="shared" si="33"/>
        <v>5</v>
      </c>
      <c r="CB11" s="153">
        <f t="shared" si="34"/>
        <v>4.916666666666667</v>
      </c>
      <c r="CC11" s="66"/>
    </row>
    <row r="12" spans="1:81" ht="27.95" customHeight="1">
      <c r="A12" s="67">
        <v>5</v>
      </c>
      <c r="B12" s="48">
        <v>5</v>
      </c>
      <c r="C12" s="39" t="s">
        <v>98</v>
      </c>
      <c r="D12" s="39" t="s">
        <v>99</v>
      </c>
      <c r="E12" s="39" t="s">
        <v>100</v>
      </c>
      <c r="F12" s="40" t="s">
        <v>101</v>
      </c>
      <c r="G12" s="112">
        <v>20</v>
      </c>
      <c r="H12" s="112">
        <v>39</v>
      </c>
      <c r="I12" s="113">
        <f t="shared" si="35"/>
        <v>59</v>
      </c>
      <c r="J12" s="112">
        <v>29</v>
      </c>
      <c r="K12" s="113">
        <f t="shared" si="36"/>
        <v>88</v>
      </c>
      <c r="L12" s="112">
        <v>10</v>
      </c>
      <c r="M12" s="112">
        <v>36</v>
      </c>
      <c r="N12" s="113">
        <f t="shared" si="37"/>
        <v>46</v>
      </c>
      <c r="O12" s="113">
        <f t="shared" si="5"/>
        <v>46</v>
      </c>
      <c r="P12" s="113">
        <f t="shared" si="0"/>
        <v>134</v>
      </c>
      <c r="Q12" s="187"/>
      <c r="R12" s="112">
        <f t="shared" si="6"/>
        <v>5</v>
      </c>
      <c r="S12" s="112">
        <v>20</v>
      </c>
      <c r="T12" s="112">
        <v>59</v>
      </c>
      <c r="U12" s="113">
        <f t="shared" si="7"/>
        <v>79</v>
      </c>
      <c r="V12" s="112">
        <v>10</v>
      </c>
      <c r="W12" s="112">
        <v>37</v>
      </c>
      <c r="X12" s="113">
        <f t="shared" si="8"/>
        <v>47</v>
      </c>
      <c r="Y12" s="113">
        <f t="shared" si="9"/>
        <v>126</v>
      </c>
      <c r="Z12" s="113">
        <f t="shared" si="1"/>
        <v>126</v>
      </c>
      <c r="AA12" s="187"/>
      <c r="AB12" s="112">
        <f t="shared" si="10"/>
        <v>5</v>
      </c>
      <c r="AC12" s="112">
        <v>12</v>
      </c>
      <c r="AD12" s="112">
        <v>39</v>
      </c>
      <c r="AE12" s="113">
        <f t="shared" si="11"/>
        <v>51</v>
      </c>
      <c r="AF12" s="112">
        <v>24</v>
      </c>
      <c r="AG12" s="113">
        <f t="shared" si="12"/>
        <v>75</v>
      </c>
      <c r="AH12" s="187"/>
      <c r="AI12" s="112">
        <f t="shared" si="13"/>
        <v>4</v>
      </c>
      <c r="AJ12" s="112">
        <v>20</v>
      </c>
      <c r="AK12" s="112">
        <v>34</v>
      </c>
      <c r="AL12" s="113">
        <f t="shared" si="14"/>
        <v>54</v>
      </c>
      <c r="AM12" s="112">
        <v>23</v>
      </c>
      <c r="AN12" s="113">
        <f t="shared" si="15"/>
        <v>77</v>
      </c>
      <c r="AO12" s="187"/>
      <c r="AP12" s="112">
        <f t="shared" si="16"/>
        <v>4</v>
      </c>
      <c r="AQ12" s="112">
        <v>23</v>
      </c>
      <c r="AR12" s="129">
        <v>25</v>
      </c>
      <c r="AS12" s="129">
        <f t="shared" si="17"/>
        <v>48</v>
      </c>
      <c r="AT12" s="188"/>
      <c r="AU12" s="112">
        <f t="shared" si="18"/>
        <v>5</v>
      </c>
      <c r="AV12" s="112">
        <v>20</v>
      </c>
      <c r="AW12" s="112">
        <v>41</v>
      </c>
      <c r="AX12" s="113">
        <f t="shared" si="19"/>
        <v>61</v>
      </c>
      <c r="AY12" s="112">
        <v>27</v>
      </c>
      <c r="AZ12" s="113">
        <f t="shared" si="20"/>
        <v>88</v>
      </c>
      <c r="BA12" s="187"/>
      <c r="BB12" s="112">
        <f t="shared" si="21"/>
        <v>5</v>
      </c>
      <c r="BC12" s="112">
        <v>16</v>
      </c>
      <c r="BD12" s="112">
        <v>40</v>
      </c>
      <c r="BE12" s="113">
        <f t="shared" si="22"/>
        <v>56</v>
      </c>
      <c r="BF12" s="112">
        <v>30</v>
      </c>
      <c r="BG12" s="113">
        <f t="shared" si="23"/>
        <v>86</v>
      </c>
      <c r="BH12" s="187"/>
      <c r="BI12" s="112">
        <f t="shared" si="24"/>
        <v>5</v>
      </c>
      <c r="BJ12" s="112">
        <v>10</v>
      </c>
      <c r="BK12" s="112">
        <v>36</v>
      </c>
      <c r="BL12" s="113">
        <f t="shared" si="25"/>
        <v>46</v>
      </c>
      <c r="BM12" s="113">
        <f t="shared" si="26"/>
        <v>46</v>
      </c>
      <c r="BN12" s="187"/>
      <c r="BO12" s="112">
        <f t="shared" si="3"/>
        <v>5</v>
      </c>
      <c r="BP12" s="112">
        <f t="shared" si="27"/>
        <v>38</v>
      </c>
      <c r="BQ12" s="114">
        <f t="shared" si="28"/>
        <v>4.75</v>
      </c>
      <c r="BR12" s="114" t="str">
        <f t="shared" si="29"/>
        <v>A</v>
      </c>
      <c r="BS12" s="33" t="str">
        <f t="shared" si="4"/>
        <v>BETTER</v>
      </c>
      <c r="BT12" s="108">
        <f t="shared" si="30"/>
        <v>680</v>
      </c>
      <c r="BU12" s="150">
        <f>'1st_Semester'!BT12</f>
        <v>679</v>
      </c>
      <c r="BV12" s="147">
        <f>'2nd_Semester'!BT12</f>
        <v>689</v>
      </c>
      <c r="BW12" s="147">
        <f t="shared" si="31"/>
        <v>680</v>
      </c>
      <c r="BX12" s="147">
        <f t="shared" si="32"/>
        <v>682.66666666666663</v>
      </c>
      <c r="BY12" s="153">
        <f>'1st_Semester'!BQ12</f>
        <v>4.6875</v>
      </c>
      <c r="BZ12" s="153">
        <f>'2nd_Semester'!BQ12</f>
        <v>5</v>
      </c>
      <c r="CA12" s="153">
        <f t="shared" si="33"/>
        <v>4.75</v>
      </c>
      <c r="CB12" s="153">
        <f t="shared" si="34"/>
        <v>4.8125</v>
      </c>
      <c r="CC12" s="66"/>
    </row>
    <row r="13" spans="1:81" ht="27.95" customHeight="1">
      <c r="A13" s="67">
        <v>6</v>
      </c>
      <c r="B13" s="48">
        <v>7</v>
      </c>
      <c r="C13" s="39" t="s">
        <v>102</v>
      </c>
      <c r="D13" s="39" t="s">
        <v>103</v>
      </c>
      <c r="E13" s="39" t="s">
        <v>104</v>
      </c>
      <c r="F13" s="40" t="s">
        <v>105</v>
      </c>
      <c r="G13" s="112">
        <v>20</v>
      </c>
      <c r="H13" s="112">
        <v>39</v>
      </c>
      <c r="I13" s="113">
        <f t="shared" si="35"/>
        <v>59</v>
      </c>
      <c r="J13" s="112">
        <v>29</v>
      </c>
      <c r="K13" s="113">
        <f t="shared" si="36"/>
        <v>88</v>
      </c>
      <c r="L13" s="112">
        <v>10</v>
      </c>
      <c r="M13" s="112">
        <v>37</v>
      </c>
      <c r="N13" s="113">
        <f t="shared" si="37"/>
        <v>47</v>
      </c>
      <c r="O13" s="113">
        <f t="shared" si="5"/>
        <v>47</v>
      </c>
      <c r="P13" s="113">
        <f t="shared" si="0"/>
        <v>135</v>
      </c>
      <c r="Q13" s="187"/>
      <c r="R13" s="112">
        <f t="shared" si="6"/>
        <v>5</v>
      </c>
      <c r="S13" s="112">
        <v>20</v>
      </c>
      <c r="T13" s="112">
        <v>69</v>
      </c>
      <c r="U13" s="113">
        <f t="shared" si="7"/>
        <v>89</v>
      </c>
      <c r="V13" s="112">
        <v>10</v>
      </c>
      <c r="W13" s="112">
        <v>29</v>
      </c>
      <c r="X13" s="113">
        <f t="shared" si="8"/>
        <v>39</v>
      </c>
      <c r="Y13" s="113">
        <f t="shared" si="9"/>
        <v>128</v>
      </c>
      <c r="Z13" s="113">
        <f t="shared" si="1"/>
        <v>128</v>
      </c>
      <c r="AA13" s="187"/>
      <c r="AB13" s="112">
        <f t="shared" si="10"/>
        <v>5</v>
      </c>
      <c r="AC13" s="112">
        <v>20</v>
      </c>
      <c r="AD13" s="112">
        <v>46</v>
      </c>
      <c r="AE13" s="113">
        <f t="shared" si="11"/>
        <v>66</v>
      </c>
      <c r="AF13" s="112">
        <v>29</v>
      </c>
      <c r="AG13" s="113">
        <f t="shared" si="12"/>
        <v>95</v>
      </c>
      <c r="AH13" s="187"/>
      <c r="AI13" s="112">
        <f t="shared" si="13"/>
        <v>5</v>
      </c>
      <c r="AJ13" s="112">
        <v>20</v>
      </c>
      <c r="AK13" s="112">
        <v>40</v>
      </c>
      <c r="AL13" s="113">
        <f t="shared" si="14"/>
        <v>60</v>
      </c>
      <c r="AM13" s="112">
        <v>25</v>
      </c>
      <c r="AN13" s="113">
        <f t="shared" si="15"/>
        <v>85</v>
      </c>
      <c r="AO13" s="187"/>
      <c r="AP13" s="112">
        <f t="shared" si="16"/>
        <v>5</v>
      </c>
      <c r="AQ13" s="112">
        <v>24</v>
      </c>
      <c r="AR13" s="129">
        <v>25</v>
      </c>
      <c r="AS13" s="129">
        <f t="shared" si="17"/>
        <v>49</v>
      </c>
      <c r="AT13" s="188"/>
      <c r="AU13" s="112">
        <f t="shared" si="18"/>
        <v>5</v>
      </c>
      <c r="AV13" s="112">
        <v>19</v>
      </c>
      <c r="AW13" s="112">
        <v>46</v>
      </c>
      <c r="AX13" s="113">
        <f t="shared" si="19"/>
        <v>65</v>
      </c>
      <c r="AY13" s="112">
        <v>30</v>
      </c>
      <c r="AZ13" s="113">
        <f t="shared" si="20"/>
        <v>95</v>
      </c>
      <c r="BA13" s="187"/>
      <c r="BB13" s="112">
        <f t="shared" si="21"/>
        <v>5</v>
      </c>
      <c r="BC13" s="112">
        <v>20</v>
      </c>
      <c r="BD13" s="112">
        <v>41</v>
      </c>
      <c r="BE13" s="113">
        <f t="shared" si="22"/>
        <v>61</v>
      </c>
      <c r="BF13" s="112">
        <v>28</v>
      </c>
      <c r="BG13" s="113">
        <f t="shared" si="23"/>
        <v>89</v>
      </c>
      <c r="BH13" s="187"/>
      <c r="BI13" s="112">
        <f t="shared" si="24"/>
        <v>5</v>
      </c>
      <c r="BJ13" s="112">
        <v>10</v>
      </c>
      <c r="BK13" s="112">
        <v>40</v>
      </c>
      <c r="BL13" s="113">
        <f t="shared" si="25"/>
        <v>50</v>
      </c>
      <c r="BM13" s="113">
        <f t="shared" si="26"/>
        <v>50</v>
      </c>
      <c r="BN13" s="187"/>
      <c r="BO13" s="112">
        <f t="shared" si="3"/>
        <v>5</v>
      </c>
      <c r="BP13" s="112">
        <f t="shared" si="27"/>
        <v>40</v>
      </c>
      <c r="BQ13" s="114">
        <f t="shared" si="28"/>
        <v>5</v>
      </c>
      <c r="BR13" s="114" t="str">
        <f t="shared" si="29"/>
        <v>A+</v>
      </c>
      <c r="BS13" s="33" t="str">
        <f t="shared" si="4"/>
        <v>BEST</v>
      </c>
      <c r="BT13" s="108">
        <f t="shared" si="30"/>
        <v>726</v>
      </c>
      <c r="BU13" s="150">
        <f>'1st_Semester'!BT13</f>
        <v>721</v>
      </c>
      <c r="BV13" s="147">
        <f>'2nd_Semester'!BT13</f>
        <v>711</v>
      </c>
      <c r="BW13" s="147">
        <f t="shared" si="31"/>
        <v>726</v>
      </c>
      <c r="BX13" s="147">
        <f t="shared" si="32"/>
        <v>719.33333333333337</v>
      </c>
      <c r="BY13" s="153">
        <f>'1st_Semester'!BQ13</f>
        <v>4.8125</v>
      </c>
      <c r="BZ13" s="153">
        <f>'2nd_Semester'!BQ13</f>
        <v>5</v>
      </c>
      <c r="CA13" s="153">
        <f t="shared" si="33"/>
        <v>5</v>
      </c>
      <c r="CB13" s="153">
        <f t="shared" si="34"/>
        <v>4.9375</v>
      </c>
      <c r="CC13" s="66"/>
    </row>
    <row r="14" spans="1:81" ht="27.95" customHeight="1">
      <c r="A14" s="67">
        <v>7</v>
      </c>
      <c r="B14" s="48">
        <v>8</v>
      </c>
      <c r="C14" s="39" t="s">
        <v>106</v>
      </c>
      <c r="D14" s="39" t="s">
        <v>107</v>
      </c>
      <c r="E14" s="39" t="s">
        <v>108</v>
      </c>
      <c r="F14" s="40" t="s">
        <v>109</v>
      </c>
      <c r="G14" s="112">
        <v>20</v>
      </c>
      <c r="H14" s="112">
        <v>36</v>
      </c>
      <c r="I14" s="113">
        <f t="shared" si="35"/>
        <v>56</v>
      </c>
      <c r="J14" s="112">
        <v>30</v>
      </c>
      <c r="K14" s="113">
        <f t="shared" si="36"/>
        <v>86</v>
      </c>
      <c r="L14" s="112">
        <v>10</v>
      </c>
      <c r="M14" s="112">
        <v>36</v>
      </c>
      <c r="N14" s="113">
        <f t="shared" si="37"/>
        <v>46</v>
      </c>
      <c r="O14" s="113">
        <f t="shared" si="5"/>
        <v>46</v>
      </c>
      <c r="P14" s="113">
        <f t="shared" si="0"/>
        <v>132</v>
      </c>
      <c r="Q14" s="187"/>
      <c r="R14" s="112">
        <f t="shared" si="6"/>
        <v>5</v>
      </c>
      <c r="S14" s="112">
        <v>20</v>
      </c>
      <c r="T14" s="112">
        <v>64</v>
      </c>
      <c r="U14" s="113">
        <f t="shared" si="7"/>
        <v>84</v>
      </c>
      <c r="V14" s="112">
        <v>9</v>
      </c>
      <c r="W14" s="112">
        <v>28</v>
      </c>
      <c r="X14" s="113">
        <f t="shared" si="8"/>
        <v>37</v>
      </c>
      <c r="Y14" s="113">
        <f t="shared" si="9"/>
        <v>121</v>
      </c>
      <c r="Z14" s="113">
        <f t="shared" si="1"/>
        <v>121</v>
      </c>
      <c r="AA14" s="187"/>
      <c r="AB14" s="112">
        <f t="shared" si="10"/>
        <v>5</v>
      </c>
      <c r="AC14" s="112">
        <v>20</v>
      </c>
      <c r="AD14" s="112">
        <v>45</v>
      </c>
      <c r="AE14" s="113">
        <f t="shared" si="11"/>
        <v>65</v>
      </c>
      <c r="AF14" s="112">
        <v>27</v>
      </c>
      <c r="AG14" s="113">
        <f t="shared" si="12"/>
        <v>92</v>
      </c>
      <c r="AH14" s="187"/>
      <c r="AI14" s="112">
        <f t="shared" si="13"/>
        <v>5</v>
      </c>
      <c r="AJ14" s="112">
        <v>20</v>
      </c>
      <c r="AK14" s="112">
        <v>44</v>
      </c>
      <c r="AL14" s="113">
        <f t="shared" si="14"/>
        <v>64</v>
      </c>
      <c r="AM14" s="112">
        <v>25</v>
      </c>
      <c r="AN14" s="113">
        <f t="shared" si="15"/>
        <v>89</v>
      </c>
      <c r="AO14" s="187"/>
      <c r="AP14" s="112">
        <f t="shared" si="16"/>
        <v>5</v>
      </c>
      <c r="AQ14" s="112">
        <v>24</v>
      </c>
      <c r="AR14" s="129">
        <v>25</v>
      </c>
      <c r="AS14" s="129">
        <f t="shared" si="17"/>
        <v>49</v>
      </c>
      <c r="AT14" s="188"/>
      <c r="AU14" s="112">
        <f t="shared" si="18"/>
        <v>5</v>
      </c>
      <c r="AV14" s="112">
        <v>20</v>
      </c>
      <c r="AW14" s="112">
        <v>49</v>
      </c>
      <c r="AX14" s="113">
        <f t="shared" si="19"/>
        <v>69</v>
      </c>
      <c r="AY14" s="112">
        <v>30</v>
      </c>
      <c r="AZ14" s="113">
        <f t="shared" si="20"/>
        <v>99</v>
      </c>
      <c r="BA14" s="187"/>
      <c r="BB14" s="112">
        <f t="shared" si="21"/>
        <v>5</v>
      </c>
      <c r="BC14" s="112">
        <v>17</v>
      </c>
      <c r="BD14" s="112">
        <v>46</v>
      </c>
      <c r="BE14" s="113">
        <f t="shared" si="22"/>
        <v>63</v>
      </c>
      <c r="BF14" s="112">
        <v>30</v>
      </c>
      <c r="BG14" s="113">
        <f t="shared" si="23"/>
        <v>93</v>
      </c>
      <c r="BH14" s="187"/>
      <c r="BI14" s="112">
        <f t="shared" si="24"/>
        <v>5</v>
      </c>
      <c r="BJ14" s="112">
        <v>10</v>
      </c>
      <c r="BK14" s="112">
        <v>40</v>
      </c>
      <c r="BL14" s="113">
        <f t="shared" si="25"/>
        <v>50</v>
      </c>
      <c r="BM14" s="113">
        <f t="shared" si="26"/>
        <v>50</v>
      </c>
      <c r="BN14" s="187"/>
      <c r="BO14" s="112">
        <f t="shared" si="3"/>
        <v>5</v>
      </c>
      <c r="BP14" s="112">
        <f t="shared" si="27"/>
        <v>40</v>
      </c>
      <c r="BQ14" s="114">
        <f t="shared" si="28"/>
        <v>5</v>
      </c>
      <c r="BR14" s="114" t="str">
        <f t="shared" si="29"/>
        <v>A+</v>
      </c>
      <c r="BS14" s="33" t="str">
        <f t="shared" si="4"/>
        <v>BEST</v>
      </c>
      <c r="BT14" s="108">
        <f t="shared" si="30"/>
        <v>725</v>
      </c>
      <c r="BU14" s="150">
        <f>'1st_Semester'!BT14</f>
        <v>726</v>
      </c>
      <c r="BV14" s="147">
        <f>'2nd_Semester'!BT14</f>
        <v>702</v>
      </c>
      <c r="BW14" s="147">
        <f t="shared" si="31"/>
        <v>725</v>
      </c>
      <c r="BX14" s="147">
        <f t="shared" si="32"/>
        <v>717.66666666666663</v>
      </c>
      <c r="BY14" s="153">
        <f>'1st_Semester'!BQ14</f>
        <v>5</v>
      </c>
      <c r="BZ14" s="153">
        <f>'2nd_Semester'!BQ14</f>
        <v>5</v>
      </c>
      <c r="CA14" s="153">
        <f t="shared" si="33"/>
        <v>5</v>
      </c>
      <c r="CB14" s="153">
        <f t="shared" si="34"/>
        <v>5</v>
      </c>
      <c r="CC14" s="66"/>
    </row>
    <row r="15" spans="1:81" ht="27.95" customHeight="1">
      <c r="A15" s="67">
        <v>8</v>
      </c>
      <c r="B15" s="48">
        <v>9</v>
      </c>
      <c r="C15" s="39" t="s">
        <v>110</v>
      </c>
      <c r="D15" s="39" t="s">
        <v>111</v>
      </c>
      <c r="E15" s="39" t="s">
        <v>112</v>
      </c>
      <c r="F15" s="40" t="s">
        <v>113</v>
      </c>
      <c r="G15" s="112">
        <v>20</v>
      </c>
      <c r="H15" s="112">
        <v>34</v>
      </c>
      <c r="I15" s="113">
        <f t="shared" si="35"/>
        <v>54</v>
      </c>
      <c r="J15" s="112">
        <v>30</v>
      </c>
      <c r="K15" s="113">
        <f t="shared" si="36"/>
        <v>84</v>
      </c>
      <c r="L15" s="112">
        <v>10</v>
      </c>
      <c r="M15" s="112">
        <v>36</v>
      </c>
      <c r="N15" s="113">
        <f t="shared" si="37"/>
        <v>46</v>
      </c>
      <c r="O15" s="113">
        <f t="shared" si="5"/>
        <v>46</v>
      </c>
      <c r="P15" s="113">
        <f t="shared" si="0"/>
        <v>130</v>
      </c>
      <c r="Q15" s="187"/>
      <c r="R15" s="112">
        <f t="shared" si="6"/>
        <v>5</v>
      </c>
      <c r="S15" s="112">
        <v>20</v>
      </c>
      <c r="T15" s="112">
        <v>64</v>
      </c>
      <c r="U15" s="113">
        <f t="shared" si="7"/>
        <v>84</v>
      </c>
      <c r="V15" s="112">
        <v>9</v>
      </c>
      <c r="W15" s="112">
        <v>15</v>
      </c>
      <c r="X15" s="113">
        <f t="shared" si="8"/>
        <v>24</v>
      </c>
      <c r="Y15" s="113">
        <f t="shared" si="9"/>
        <v>108</v>
      </c>
      <c r="Z15" s="113">
        <f t="shared" si="1"/>
        <v>108</v>
      </c>
      <c r="AA15" s="187"/>
      <c r="AB15" s="112">
        <f t="shared" si="10"/>
        <v>4</v>
      </c>
      <c r="AC15" s="112">
        <v>19</v>
      </c>
      <c r="AD15" s="112">
        <v>41</v>
      </c>
      <c r="AE15" s="113">
        <f t="shared" si="11"/>
        <v>60</v>
      </c>
      <c r="AF15" s="112">
        <v>29</v>
      </c>
      <c r="AG15" s="113">
        <f t="shared" si="12"/>
        <v>89</v>
      </c>
      <c r="AH15" s="187"/>
      <c r="AI15" s="112">
        <f t="shared" si="13"/>
        <v>5</v>
      </c>
      <c r="AJ15" s="112">
        <v>20</v>
      </c>
      <c r="AK15" s="112">
        <v>49</v>
      </c>
      <c r="AL15" s="113">
        <f t="shared" si="14"/>
        <v>69</v>
      </c>
      <c r="AM15" s="112">
        <v>29</v>
      </c>
      <c r="AN15" s="113">
        <f t="shared" si="15"/>
        <v>98</v>
      </c>
      <c r="AO15" s="187"/>
      <c r="AP15" s="112">
        <f t="shared" si="16"/>
        <v>5</v>
      </c>
      <c r="AQ15" s="112">
        <v>23</v>
      </c>
      <c r="AR15" s="129">
        <v>25</v>
      </c>
      <c r="AS15" s="129">
        <f t="shared" si="17"/>
        <v>48</v>
      </c>
      <c r="AT15" s="188"/>
      <c r="AU15" s="112">
        <f t="shared" si="18"/>
        <v>5</v>
      </c>
      <c r="AV15" s="112">
        <v>20</v>
      </c>
      <c r="AW15" s="112">
        <v>46</v>
      </c>
      <c r="AX15" s="113">
        <f t="shared" si="19"/>
        <v>66</v>
      </c>
      <c r="AY15" s="112">
        <v>30</v>
      </c>
      <c r="AZ15" s="113">
        <f t="shared" si="20"/>
        <v>96</v>
      </c>
      <c r="BA15" s="187"/>
      <c r="BB15" s="112">
        <f t="shared" si="21"/>
        <v>5</v>
      </c>
      <c r="BC15" s="112">
        <v>17</v>
      </c>
      <c r="BD15" s="112">
        <v>34</v>
      </c>
      <c r="BE15" s="113">
        <f t="shared" si="22"/>
        <v>51</v>
      </c>
      <c r="BF15" s="112">
        <v>23</v>
      </c>
      <c r="BG15" s="113">
        <f t="shared" si="23"/>
        <v>74</v>
      </c>
      <c r="BH15" s="187"/>
      <c r="BI15" s="112">
        <f t="shared" si="24"/>
        <v>4</v>
      </c>
      <c r="BJ15" s="112">
        <v>9</v>
      </c>
      <c r="BK15" s="112">
        <v>40</v>
      </c>
      <c r="BL15" s="113">
        <f t="shared" si="25"/>
        <v>49</v>
      </c>
      <c r="BM15" s="113">
        <f t="shared" si="26"/>
        <v>49</v>
      </c>
      <c r="BN15" s="187"/>
      <c r="BO15" s="112">
        <f t="shared" si="3"/>
        <v>5</v>
      </c>
      <c r="BP15" s="112">
        <f t="shared" si="27"/>
        <v>38</v>
      </c>
      <c r="BQ15" s="114">
        <f t="shared" si="28"/>
        <v>4.75</v>
      </c>
      <c r="BR15" s="114" t="str">
        <f t="shared" si="29"/>
        <v>A</v>
      </c>
      <c r="BS15" s="33" t="str">
        <f t="shared" si="4"/>
        <v>BETTER</v>
      </c>
      <c r="BT15" s="108">
        <f t="shared" si="30"/>
        <v>692</v>
      </c>
      <c r="BU15" s="150">
        <f>'1st_Semester'!BT15</f>
        <v>698</v>
      </c>
      <c r="BV15" s="147">
        <f>'2nd_Semester'!BT15</f>
        <v>689</v>
      </c>
      <c r="BW15" s="147">
        <f t="shared" si="31"/>
        <v>692</v>
      </c>
      <c r="BX15" s="147">
        <f t="shared" si="32"/>
        <v>693</v>
      </c>
      <c r="BY15" s="153">
        <f>'1st_Semester'!BQ15</f>
        <v>4.875</v>
      </c>
      <c r="BZ15" s="153">
        <f>'2nd_Semester'!BQ15</f>
        <v>4.875</v>
      </c>
      <c r="CA15" s="153">
        <f t="shared" si="33"/>
        <v>4.75</v>
      </c>
      <c r="CB15" s="153">
        <f t="shared" si="34"/>
        <v>4.833333333333333</v>
      </c>
      <c r="CC15" s="66"/>
    </row>
    <row r="16" spans="1:81" ht="27.95" customHeight="1">
      <c r="A16" s="67">
        <v>9</v>
      </c>
      <c r="B16" s="48">
        <v>10</v>
      </c>
      <c r="C16" s="39" t="s">
        <v>114</v>
      </c>
      <c r="D16" s="39" t="s">
        <v>115</v>
      </c>
      <c r="E16" s="39" t="s">
        <v>116</v>
      </c>
      <c r="F16" s="40" t="s">
        <v>117</v>
      </c>
      <c r="G16" s="112">
        <v>18</v>
      </c>
      <c r="H16" s="112">
        <v>29</v>
      </c>
      <c r="I16" s="113">
        <f t="shared" si="35"/>
        <v>47</v>
      </c>
      <c r="J16" s="112">
        <v>27</v>
      </c>
      <c r="K16" s="113">
        <f t="shared" si="36"/>
        <v>74</v>
      </c>
      <c r="L16" s="112">
        <v>10</v>
      </c>
      <c r="M16" s="112">
        <v>30</v>
      </c>
      <c r="N16" s="113">
        <f t="shared" si="37"/>
        <v>40</v>
      </c>
      <c r="O16" s="113">
        <f t="shared" si="5"/>
        <v>40</v>
      </c>
      <c r="P16" s="113">
        <f t="shared" si="0"/>
        <v>114</v>
      </c>
      <c r="Q16" s="187"/>
      <c r="R16" s="112">
        <f t="shared" si="6"/>
        <v>4</v>
      </c>
      <c r="S16" s="112">
        <v>20</v>
      </c>
      <c r="T16" s="112">
        <v>65</v>
      </c>
      <c r="U16" s="113">
        <f t="shared" si="7"/>
        <v>85</v>
      </c>
      <c r="V16" s="112">
        <v>9</v>
      </c>
      <c r="W16" s="112">
        <v>29</v>
      </c>
      <c r="X16" s="113">
        <f t="shared" si="8"/>
        <v>38</v>
      </c>
      <c r="Y16" s="113">
        <f t="shared" si="9"/>
        <v>123</v>
      </c>
      <c r="Z16" s="113">
        <f t="shared" si="1"/>
        <v>123</v>
      </c>
      <c r="AA16" s="187"/>
      <c r="AB16" s="112">
        <f t="shared" si="10"/>
        <v>5</v>
      </c>
      <c r="AC16" s="112">
        <v>19</v>
      </c>
      <c r="AD16" s="112">
        <v>26</v>
      </c>
      <c r="AE16" s="113">
        <f t="shared" si="11"/>
        <v>45</v>
      </c>
      <c r="AF16" s="112">
        <v>21</v>
      </c>
      <c r="AG16" s="113">
        <f t="shared" si="12"/>
        <v>66</v>
      </c>
      <c r="AH16" s="187"/>
      <c r="AI16" s="112">
        <f t="shared" si="13"/>
        <v>3.5</v>
      </c>
      <c r="AJ16" s="112">
        <v>20</v>
      </c>
      <c r="AK16" s="112">
        <v>45</v>
      </c>
      <c r="AL16" s="113">
        <f t="shared" si="14"/>
        <v>65</v>
      </c>
      <c r="AM16" s="112">
        <v>23</v>
      </c>
      <c r="AN16" s="113">
        <f t="shared" si="15"/>
        <v>88</v>
      </c>
      <c r="AO16" s="187"/>
      <c r="AP16" s="112">
        <f t="shared" si="16"/>
        <v>5</v>
      </c>
      <c r="AQ16" s="112">
        <v>22</v>
      </c>
      <c r="AR16" s="129">
        <v>25</v>
      </c>
      <c r="AS16" s="129">
        <f t="shared" si="17"/>
        <v>47</v>
      </c>
      <c r="AT16" s="188"/>
      <c r="AU16" s="112">
        <f t="shared" si="18"/>
        <v>5</v>
      </c>
      <c r="AV16" s="112">
        <v>20</v>
      </c>
      <c r="AW16" s="112">
        <v>49</v>
      </c>
      <c r="AX16" s="113">
        <f t="shared" si="19"/>
        <v>69</v>
      </c>
      <c r="AY16" s="112">
        <v>29</v>
      </c>
      <c r="AZ16" s="113">
        <f t="shared" si="20"/>
        <v>98</v>
      </c>
      <c r="BA16" s="187"/>
      <c r="BB16" s="112">
        <f t="shared" si="21"/>
        <v>5</v>
      </c>
      <c r="BC16" s="112">
        <v>17</v>
      </c>
      <c r="BD16" s="112">
        <v>38</v>
      </c>
      <c r="BE16" s="113">
        <f t="shared" si="22"/>
        <v>55</v>
      </c>
      <c r="BF16" s="112">
        <v>23</v>
      </c>
      <c r="BG16" s="113">
        <f t="shared" si="23"/>
        <v>78</v>
      </c>
      <c r="BH16" s="187"/>
      <c r="BI16" s="112">
        <f t="shared" si="24"/>
        <v>4</v>
      </c>
      <c r="BJ16" s="112">
        <v>10</v>
      </c>
      <c r="BK16" s="112">
        <v>36</v>
      </c>
      <c r="BL16" s="113">
        <f t="shared" si="25"/>
        <v>46</v>
      </c>
      <c r="BM16" s="113">
        <f t="shared" si="26"/>
        <v>46</v>
      </c>
      <c r="BN16" s="187"/>
      <c r="BO16" s="112">
        <f t="shared" si="3"/>
        <v>5</v>
      </c>
      <c r="BP16" s="112">
        <f t="shared" si="27"/>
        <v>36.5</v>
      </c>
      <c r="BQ16" s="114">
        <f t="shared" si="28"/>
        <v>4.5625</v>
      </c>
      <c r="BR16" s="114" t="str">
        <f t="shared" si="29"/>
        <v>A</v>
      </c>
      <c r="BS16" s="33" t="str">
        <f t="shared" si="4"/>
        <v>BETTER</v>
      </c>
      <c r="BT16" s="108">
        <f t="shared" si="30"/>
        <v>660</v>
      </c>
      <c r="BU16" s="150">
        <f>'1st_Semester'!BT16</f>
        <v>707</v>
      </c>
      <c r="BV16" s="147">
        <f>'2nd_Semester'!BT16</f>
        <v>654</v>
      </c>
      <c r="BW16" s="147">
        <f t="shared" si="31"/>
        <v>660</v>
      </c>
      <c r="BX16" s="147">
        <f t="shared" si="32"/>
        <v>673.66666666666663</v>
      </c>
      <c r="BY16" s="153">
        <f>'1st_Semester'!BQ16</f>
        <v>4.75</v>
      </c>
      <c r="BZ16" s="153">
        <f>'2nd_Semester'!BQ16</f>
        <v>4.5625</v>
      </c>
      <c r="CA16" s="153">
        <f t="shared" si="33"/>
        <v>4.5625</v>
      </c>
      <c r="CB16" s="153">
        <f t="shared" si="34"/>
        <v>4.625</v>
      </c>
      <c r="CC16" s="66"/>
    </row>
    <row r="17" spans="1:81" ht="27.95" customHeight="1">
      <c r="A17" s="67">
        <v>10</v>
      </c>
      <c r="B17" s="48">
        <v>11</v>
      </c>
      <c r="C17" s="39" t="s">
        <v>118</v>
      </c>
      <c r="D17" s="39" t="s">
        <v>119</v>
      </c>
      <c r="E17" s="39" t="s">
        <v>120</v>
      </c>
      <c r="F17" s="40" t="s">
        <v>121</v>
      </c>
      <c r="G17" s="112">
        <v>20</v>
      </c>
      <c r="H17" s="112">
        <v>34</v>
      </c>
      <c r="I17" s="113">
        <f t="shared" si="35"/>
        <v>54</v>
      </c>
      <c r="J17" s="112">
        <v>30</v>
      </c>
      <c r="K17" s="113">
        <f t="shared" si="36"/>
        <v>84</v>
      </c>
      <c r="L17" s="112">
        <v>10</v>
      </c>
      <c r="M17" s="112">
        <v>35</v>
      </c>
      <c r="N17" s="113">
        <f t="shared" si="37"/>
        <v>45</v>
      </c>
      <c r="O17" s="113">
        <f t="shared" si="5"/>
        <v>45</v>
      </c>
      <c r="P17" s="113">
        <f t="shared" si="0"/>
        <v>129</v>
      </c>
      <c r="Q17" s="187"/>
      <c r="R17" s="112">
        <f t="shared" si="6"/>
        <v>5</v>
      </c>
      <c r="S17" s="112">
        <v>20</v>
      </c>
      <c r="T17" s="112">
        <v>57</v>
      </c>
      <c r="U17" s="113">
        <f t="shared" si="7"/>
        <v>77</v>
      </c>
      <c r="V17" s="112">
        <v>6</v>
      </c>
      <c r="W17" s="112">
        <v>22</v>
      </c>
      <c r="X17" s="113">
        <f t="shared" si="8"/>
        <v>28</v>
      </c>
      <c r="Y17" s="113">
        <f t="shared" si="9"/>
        <v>105</v>
      </c>
      <c r="Z17" s="113">
        <f t="shared" si="1"/>
        <v>105</v>
      </c>
      <c r="AA17" s="187"/>
      <c r="AB17" s="112">
        <f t="shared" si="10"/>
        <v>4</v>
      </c>
      <c r="AC17" s="112">
        <v>14</v>
      </c>
      <c r="AD17" s="112">
        <v>22</v>
      </c>
      <c r="AE17" s="113">
        <f t="shared" si="11"/>
        <v>36</v>
      </c>
      <c r="AF17" s="112">
        <v>18</v>
      </c>
      <c r="AG17" s="113">
        <f t="shared" si="12"/>
        <v>54</v>
      </c>
      <c r="AH17" s="187"/>
      <c r="AI17" s="112">
        <f t="shared" si="13"/>
        <v>3</v>
      </c>
      <c r="AJ17" s="112">
        <v>20</v>
      </c>
      <c r="AK17" s="112">
        <v>45</v>
      </c>
      <c r="AL17" s="113">
        <f t="shared" si="14"/>
        <v>65</v>
      </c>
      <c r="AM17" s="112">
        <v>23</v>
      </c>
      <c r="AN17" s="113">
        <f t="shared" si="15"/>
        <v>88</v>
      </c>
      <c r="AO17" s="187"/>
      <c r="AP17" s="112">
        <f t="shared" si="16"/>
        <v>5</v>
      </c>
      <c r="AQ17" s="112">
        <v>22</v>
      </c>
      <c r="AR17" s="129">
        <v>25</v>
      </c>
      <c r="AS17" s="129">
        <f t="shared" si="17"/>
        <v>47</v>
      </c>
      <c r="AT17" s="188"/>
      <c r="AU17" s="112">
        <f t="shared" si="18"/>
        <v>5</v>
      </c>
      <c r="AV17" s="112">
        <v>19</v>
      </c>
      <c r="AW17" s="112">
        <v>21</v>
      </c>
      <c r="AX17" s="113">
        <f t="shared" si="19"/>
        <v>40</v>
      </c>
      <c r="AY17" s="112">
        <v>20</v>
      </c>
      <c r="AZ17" s="113">
        <f t="shared" si="20"/>
        <v>60</v>
      </c>
      <c r="BA17" s="187"/>
      <c r="BB17" s="112">
        <f t="shared" si="21"/>
        <v>3.5</v>
      </c>
      <c r="BC17" s="112">
        <v>19</v>
      </c>
      <c r="BD17" s="112">
        <v>41</v>
      </c>
      <c r="BE17" s="113">
        <f t="shared" si="22"/>
        <v>60</v>
      </c>
      <c r="BF17" s="112">
        <v>27</v>
      </c>
      <c r="BG17" s="113">
        <f t="shared" si="23"/>
        <v>87</v>
      </c>
      <c r="BH17" s="187"/>
      <c r="BI17" s="112">
        <f t="shared" si="24"/>
        <v>5</v>
      </c>
      <c r="BJ17" s="112">
        <v>10</v>
      </c>
      <c r="BK17" s="112">
        <v>40</v>
      </c>
      <c r="BL17" s="113">
        <f t="shared" si="25"/>
        <v>50</v>
      </c>
      <c r="BM17" s="113">
        <f t="shared" si="26"/>
        <v>50</v>
      </c>
      <c r="BN17" s="187"/>
      <c r="BO17" s="112">
        <f t="shared" si="3"/>
        <v>5</v>
      </c>
      <c r="BP17" s="112">
        <f t="shared" si="27"/>
        <v>35.5</v>
      </c>
      <c r="BQ17" s="114">
        <f t="shared" si="28"/>
        <v>4.4375</v>
      </c>
      <c r="BR17" s="114" t="str">
        <f t="shared" si="29"/>
        <v>A</v>
      </c>
      <c r="BS17" s="33" t="str">
        <f t="shared" si="4"/>
        <v>BETTER</v>
      </c>
      <c r="BT17" s="108">
        <f t="shared" si="30"/>
        <v>620</v>
      </c>
      <c r="BU17" s="150">
        <f>'1st_Semester'!BT17</f>
        <v>577</v>
      </c>
      <c r="BV17" s="147">
        <f>'2nd_Semester'!BT17</f>
        <v>629</v>
      </c>
      <c r="BW17" s="147">
        <f t="shared" si="31"/>
        <v>620</v>
      </c>
      <c r="BX17" s="147">
        <f t="shared" si="32"/>
        <v>608.66666666666663</v>
      </c>
      <c r="BY17" s="153">
        <f>'1st_Semester'!BQ17</f>
        <v>4.0625</v>
      </c>
      <c r="BZ17" s="153">
        <f>'2nd_Semester'!BQ17</f>
        <v>4.5625</v>
      </c>
      <c r="CA17" s="153">
        <f t="shared" si="33"/>
        <v>4.4375</v>
      </c>
      <c r="CB17" s="153">
        <f t="shared" si="34"/>
        <v>4.354166666666667</v>
      </c>
      <c r="CC17" s="66"/>
    </row>
    <row r="18" spans="1:81" ht="27.95" customHeight="1">
      <c r="A18" s="67">
        <v>11</v>
      </c>
      <c r="B18" s="48">
        <v>12</v>
      </c>
      <c r="C18" s="39" t="s">
        <v>122</v>
      </c>
      <c r="D18" s="39" t="s">
        <v>123</v>
      </c>
      <c r="E18" s="39" t="s">
        <v>124</v>
      </c>
      <c r="F18" s="40" t="s">
        <v>125</v>
      </c>
      <c r="G18" s="112">
        <v>17</v>
      </c>
      <c r="H18" s="112">
        <v>21</v>
      </c>
      <c r="I18" s="113">
        <f t="shared" si="35"/>
        <v>38</v>
      </c>
      <c r="J18" s="112">
        <v>25</v>
      </c>
      <c r="K18" s="113">
        <f t="shared" si="36"/>
        <v>63</v>
      </c>
      <c r="L18" s="112">
        <v>8</v>
      </c>
      <c r="M18" s="112">
        <v>28</v>
      </c>
      <c r="N18" s="113">
        <f t="shared" si="37"/>
        <v>36</v>
      </c>
      <c r="O18" s="113">
        <f t="shared" si="5"/>
        <v>36</v>
      </c>
      <c r="P18" s="113">
        <f t="shared" si="0"/>
        <v>99</v>
      </c>
      <c r="Q18" s="187"/>
      <c r="R18" s="112">
        <f t="shared" si="6"/>
        <v>3.5</v>
      </c>
      <c r="S18" s="112">
        <v>20</v>
      </c>
      <c r="T18" s="112">
        <v>52</v>
      </c>
      <c r="U18" s="113">
        <f t="shared" si="7"/>
        <v>72</v>
      </c>
      <c r="V18" s="112">
        <v>10</v>
      </c>
      <c r="W18" s="112">
        <v>18</v>
      </c>
      <c r="X18" s="113">
        <f t="shared" si="8"/>
        <v>28</v>
      </c>
      <c r="Y18" s="113">
        <f t="shared" si="9"/>
        <v>100</v>
      </c>
      <c r="Z18" s="113">
        <f t="shared" si="1"/>
        <v>100</v>
      </c>
      <c r="AA18" s="187"/>
      <c r="AB18" s="112">
        <f t="shared" si="10"/>
        <v>3.5</v>
      </c>
      <c r="AC18" s="112">
        <v>8</v>
      </c>
      <c r="AD18" s="112">
        <v>29</v>
      </c>
      <c r="AE18" s="113">
        <f t="shared" si="11"/>
        <v>37</v>
      </c>
      <c r="AF18" s="112">
        <v>27</v>
      </c>
      <c r="AG18" s="113">
        <f t="shared" si="12"/>
        <v>64</v>
      </c>
      <c r="AH18" s="187"/>
      <c r="AI18" s="112">
        <f t="shared" si="13"/>
        <v>3.5</v>
      </c>
      <c r="AJ18" s="112">
        <v>20</v>
      </c>
      <c r="AK18" s="112">
        <v>45</v>
      </c>
      <c r="AL18" s="113">
        <f t="shared" si="14"/>
        <v>65</v>
      </c>
      <c r="AM18" s="112">
        <v>18</v>
      </c>
      <c r="AN18" s="113">
        <f t="shared" si="15"/>
        <v>83</v>
      </c>
      <c r="AO18" s="187"/>
      <c r="AP18" s="112">
        <f t="shared" si="16"/>
        <v>5</v>
      </c>
      <c r="AQ18" s="112">
        <v>21</v>
      </c>
      <c r="AR18" s="129">
        <v>25</v>
      </c>
      <c r="AS18" s="129">
        <f t="shared" si="17"/>
        <v>46</v>
      </c>
      <c r="AT18" s="188"/>
      <c r="AU18" s="112">
        <f t="shared" si="18"/>
        <v>5</v>
      </c>
      <c r="AV18" s="112">
        <v>17</v>
      </c>
      <c r="AW18" s="112">
        <v>36</v>
      </c>
      <c r="AX18" s="113">
        <f t="shared" si="19"/>
        <v>53</v>
      </c>
      <c r="AY18" s="112">
        <v>30</v>
      </c>
      <c r="AZ18" s="113">
        <f t="shared" si="20"/>
        <v>83</v>
      </c>
      <c r="BA18" s="187"/>
      <c r="BB18" s="112">
        <f t="shared" si="21"/>
        <v>5</v>
      </c>
      <c r="BC18" s="112">
        <v>20</v>
      </c>
      <c r="BD18" s="112">
        <v>39</v>
      </c>
      <c r="BE18" s="113">
        <f t="shared" si="22"/>
        <v>59</v>
      </c>
      <c r="BF18" s="112">
        <v>23</v>
      </c>
      <c r="BG18" s="113">
        <f t="shared" si="23"/>
        <v>82</v>
      </c>
      <c r="BH18" s="187"/>
      <c r="BI18" s="112">
        <f t="shared" si="24"/>
        <v>5</v>
      </c>
      <c r="BJ18" s="112">
        <v>10</v>
      </c>
      <c r="BK18" s="112">
        <v>40</v>
      </c>
      <c r="BL18" s="113">
        <f t="shared" si="25"/>
        <v>50</v>
      </c>
      <c r="BM18" s="113">
        <f t="shared" si="26"/>
        <v>50</v>
      </c>
      <c r="BN18" s="187"/>
      <c r="BO18" s="112">
        <f t="shared" si="3"/>
        <v>5</v>
      </c>
      <c r="BP18" s="112">
        <f t="shared" si="27"/>
        <v>35.5</v>
      </c>
      <c r="BQ18" s="114">
        <f t="shared" si="28"/>
        <v>4.4375</v>
      </c>
      <c r="BR18" s="114" t="str">
        <f t="shared" si="29"/>
        <v>A</v>
      </c>
      <c r="BS18" s="33" t="str">
        <f t="shared" si="4"/>
        <v>BETTER</v>
      </c>
      <c r="BT18" s="108">
        <f t="shared" si="30"/>
        <v>607</v>
      </c>
      <c r="BU18" s="150">
        <f>'1st_Semester'!BT18</f>
        <v>668</v>
      </c>
      <c r="BV18" s="147">
        <f>'2nd_Semester'!BT18</f>
        <v>610</v>
      </c>
      <c r="BW18" s="147">
        <f t="shared" si="31"/>
        <v>607</v>
      </c>
      <c r="BX18" s="147">
        <f t="shared" si="32"/>
        <v>628.33333333333337</v>
      </c>
      <c r="BY18" s="153">
        <f>'1st_Semester'!BQ18</f>
        <v>4.75</v>
      </c>
      <c r="BZ18" s="153">
        <f>'2nd_Semester'!BQ18</f>
        <v>4.375</v>
      </c>
      <c r="CA18" s="153">
        <f t="shared" si="33"/>
        <v>4.4375</v>
      </c>
      <c r="CB18" s="153">
        <f t="shared" si="34"/>
        <v>4.520833333333333</v>
      </c>
      <c r="CC18" s="66"/>
    </row>
    <row r="19" spans="1:81" ht="27.95" customHeight="1">
      <c r="A19" s="67">
        <v>12</v>
      </c>
      <c r="B19" s="48">
        <v>14</v>
      </c>
      <c r="C19" s="39" t="s">
        <v>126</v>
      </c>
      <c r="D19" s="39" t="s">
        <v>127</v>
      </c>
      <c r="E19" s="39" t="s">
        <v>128</v>
      </c>
      <c r="F19" s="40" t="s">
        <v>129</v>
      </c>
      <c r="G19" s="112">
        <v>18</v>
      </c>
      <c r="H19" s="112">
        <v>20</v>
      </c>
      <c r="I19" s="113">
        <f t="shared" si="35"/>
        <v>38</v>
      </c>
      <c r="J19" s="112">
        <v>22</v>
      </c>
      <c r="K19" s="113">
        <f t="shared" si="36"/>
        <v>60</v>
      </c>
      <c r="L19" s="112">
        <v>10</v>
      </c>
      <c r="M19" s="112">
        <v>32</v>
      </c>
      <c r="N19" s="113">
        <f t="shared" si="37"/>
        <v>42</v>
      </c>
      <c r="O19" s="113">
        <f t="shared" si="5"/>
        <v>42</v>
      </c>
      <c r="P19" s="113">
        <f t="shared" si="0"/>
        <v>102</v>
      </c>
      <c r="Q19" s="187"/>
      <c r="R19" s="112">
        <f t="shared" si="6"/>
        <v>3.5</v>
      </c>
      <c r="S19" s="112">
        <v>20</v>
      </c>
      <c r="T19" s="112">
        <v>59</v>
      </c>
      <c r="U19" s="113">
        <f t="shared" si="7"/>
        <v>79</v>
      </c>
      <c r="V19" s="112">
        <v>10</v>
      </c>
      <c r="W19" s="112">
        <v>29</v>
      </c>
      <c r="X19" s="113">
        <f t="shared" si="8"/>
        <v>39</v>
      </c>
      <c r="Y19" s="113">
        <f t="shared" si="9"/>
        <v>118</v>
      </c>
      <c r="Z19" s="113">
        <f t="shared" si="1"/>
        <v>118</v>
      </c>
      <c r="AA19" s="187"/>
      <c r="AB19" s="112">
        <f t="shared" si="10"/>
        <v>4</v>
      </c>
      <c r="AC19" s="112">
        <v>20</v>
      </c>
      <c r="AD19" s="112">
        <v>41</v>
      </c>
      <c r="AE19" s="113">
        <f t="shared" si="11"/>
        <v>61</v>
      </c>
      <c r="AF19" s="112">
        <v>26</v>
      </c>
      <c r="AG19" s="113">
        <f t="shared" si="12"/>
        <v>87</v>
      </c>
      <c r="AH19" s="187"/>
      <c r="AI19" s="112">
        <f>IF(AG19&lt;40,"F",IF(AG19&lt;50,2,IF(AG19&lt;60,3,IF(AG19&lt;70,3.5,IF(AG19&lt;80,4,5)))))</f>
        <v>5</v>
      </c>
      <c r="AJ19" s="112">
        <v>20</v>
      </c>
      <c r="AK19" s="112">
        <v>41</v>
      </c>
      <c r="AL19" s="113">
        <f>AK19+AJ19</f>
        <v>61</v>
      </c>
      <c r="AM19" s="112">
        <v>21</v>
      </c>
      <c r="AN19" s="113">
        <f>+AL19+AM19</f>
        <v>82</v>
      </c>
      <c r="AO19" s="187"/>
      <c r="AP19" s="112">
        <f t="shared" ref="AP19:AP82" si="38">IF(AN19&lt;40,"F",IF(AN19&lt;50,2,IF(AN19&lt;60,3,IF(AN19&lt;70,3.5,IF(AN19&lt;80,4,5)))))</f>
        <v>5</v>
      </c>
      <c r="AQ19" s="112">
        <v>21</v>
      </c>
      <c r="AR19" s="129">
        <v>25</v>
      </c>
      <c r="AS19" s="129">
        <f t="shared" si="17"/>
        <v>46</v>
      </c>
      <c r="AT19" s="188"/>
      <c r="AU19" s="112">
        <f t="shared" si="18"/>
        <v>5</v>
      </c>
      <c r="AV19" s="112">
        <v>19</v>
      </c>
      <c r="AW19" s="112">
        <v>31</v>
      </c>
      <c r="AX19" s="113">
        <f t="shared" si="19"/>
        <v>50</v>
      </c>
      <c r="AY19" s="112">
        <v>27</v>
      </c>
      <c r="AZ19" s="113">
        <f t="shared" si="20"/>
        <v>77</v>
      </c>
      <c r="BA19" s="187"/>
      <c r="BB19" s="112">
        <f t="shared" si="21"/>
        <v>4</v>
      </c>
      <c r="BC19" s="112">
        <v>18</v>
      </c>
      <c r="BD19" s="112">
        <v>36</v>
      </c>
      <c r="BE19" s="113">
        <f t="shared" si="22"/>
        <v>54</v>
      </c>
      <c r="BF19" s="112">
        <v>20</v>
      </c>
      <c r="BG19" s="113">
        <f t="shared" si="23"/>
        <v>74</v>
      </c>
      <c r="BH19" s="187"/>
      <c r="BI19" s="112">
        <f t="shared" si="24"/>
        <v>4</v>
      </c>
      <c r="BJ19" s="112">
        <v>10</v>
      </c>
      <c r="BK19" s="112">
        <v>36</v>
      </c>
      <c r="BL19" s="113">
        <f t="shared" si="25"/>
        <v>46</v>
      </c>
      <c r="BM19" s="113">
        <f t="shared" si="26"/>
        <v>46</v>
      </c>
      <c r="BN19" s="187"/>
      <c r="BO19" s="112">
        <f t="shared" si="3"/>
        <v>5</v>
      </c>
      <c r="BP19" s="112">
        <f t="shared" si="27"/>
        <v>35.5</v>
      </c>
      <c r="BQ19" s="114">
        <f t="shared" si="28"/>
        <v>4.4375</v>
      </c>
      <c r="BR19" s="114" t="str">
        <f t="shared" si="29"/>
        <v>A</v>
      </c>
      <c r="BS19" s="33" t="str">
        <f t="shared" si="4"/>
        <v>BETTER</v>
      </c>
      <c r="BT19" s="108">
        <f t="shared" si="30"/>
        <v>632</v>
      </c>
      <c r="BU19" s="150">
        <f>'1st_Semester'!BT19</f>
        <v>689</v>
      </c>
      <c r="BV19" s="147">
        <f>'2nd_Semester'!BT19</f>
        <v>670</v>
      </c>
      <c r="BW19" s="147">
        <f t="shared" si="31"/>
        <v>632</v>
      </c>
      <c r="BX19" s="147">
        <f t="shared" si="32"/>
        <v>663.66666666666663</v>
      </c>
      <c r="BY19" s="153">
        <f>'1st_Semester'!BQ19</f>
        <v>5</v>
      </c>
      <c r="BZ19" s="153">
        <f>'2nd_Semester'!BQ19</f>
        <v>4.75</v>
      </c>
      <c r="CA19" s="153">
        <f t="shared" si="33"/>
        <v>4.4375</v>
      </c>
      <c r="CB19" s="153">
        <f t="shared" si="34"/>
        <v>4.729166666666667</v>
      </c>
      <c r="CC19" s="66"/>
    </row>
    <row r="20" spans="1:81" ht="27.95" customHeight="1">
      <c r="A20" s="67">
        <v>13</v>
      </c>
      <c r="B20" s="48">
        <v>16</v>
      </c>
      <c r="C20" s="39" t="s">
        <v>130</v>
      </c>
      <c r="D20" s="39" t="s">
        <v>131</v>
      </c>
      <c r="E20" s="39" t="s">
        <v>132</v>
      </c>
      <c r="F20" s="40" t="s">
        <v>133</v>
      </c>
      <c r="G20" s="112">
        <v>13</v>
      </c>
      <c r="H20" s="112">
        <v>20</v>
      </c>
      <c r="I20" s="113">
        <f t="shared" si="35"/>
        <v>33</v>
      </c>
      <c r="J20" s="112">
        <v>21</v>
      </c>
      <c r="K20" s="113">
        <f t="shared" si="36"/>
        <v>54</v>
      </c>
      <c r="L20" s="112">
        <v>9</v>
      </c>
      <c r="M20" s="112">
        <v>20</v>
      </c>
      <c r="N20" s="113">
        <f t="shared" si="37"/>
        <v>29</v>
      </c>
      <c r="O20" s="113">
        <f t="shared" si="5"/>
        <v>29</v>
      </c>
      <c r="P20" s="113">
        <f t="shared" si="0"/>
        <v>83</v>
      </c>
      <c r="Q20" s="187"/>
      <c r="R20" s="112">
        <f t="shared" si="6"/>
        <v>3</v>
      </c>
      <c r="S20" s="112">
        <v>20</v>
      </c>
      <c r="T20" s="112">
        <v>57</v>
      </c>
      <c r="U20" s="113">
        <f t="shared" si="7"/>
        <v>77</v>
      </c>
      <c r="V20" s="112">
        <v>7</v>
      </c>
      <c r="W20" s="112">
        <v>18</v>
      </c>
      <c r="X20" s="113">
        <f t="shared" si="8"/>
        <v>25</v>
      </c>
      <c r="Y20" s="113">
        <f t="shared" si="9"/>
        <v>102</v>
      </c>
      <c r="Z20" s="113">
        <f t="shared" si="1"/>
        <v>102</v>
      </c>
      <c r="AA20" s="187"/>
      <c r="AB20" s="112">
        <f t="shared" si="10"/>
        <v>3.5</v>
      </c>
      <c r="AC20" s="112">
        <v>15</v>
      </c>
      <c r="AD20" s="112">
        <v>30</v>
      </c>
      <c r="AE20" s="113">
        <f t="shared" si="11"/>
        <v>45</v>
      </c>
      <c r="AF20" s="112">
        <v>17</v>
      </c>
      <c r="AG20" s="113">
        <f t="shared" si="12"/>
        <v>62</v>
      </c>
      <c r="AH20" s="187"/>
      <c r="AI20" s="112">
        <f t="shared" ref="AI20:AI48" si="39">IF(AG20&lt;40,"F",IF(AG20&lt;50,2,IF(AG20&lt;60,3,IF(AG20&lt;70,3.5,IF(AG20&lt;80,4,5)))))</f>
        <v>3.5</v>
      </c>
      <c r="AJ20" s="112">
        <v>18</v>
      </c>
      <c r="AK20" s="112">
        <v>29</v>
      </c>
      <c r="AL20" s="113">
        <f t="shared" ref="AL20:AL48" si="40">AK20+AJ20</f>
        <v>47</v>
      </c>
      <c r="AM20" s="112">
        <v>23</v>
      </c>
      <c r="AN20" s="113">
        <f t="shared" ref="AN20:AN48" si="41">+AL20+AM20</f>
        <v>70</v>
      </c>
      <c r="AO20" s="187"/>
      <c r="AP20" s="112">
        <f t="shared" si="38"/>
        <v>4</v>
      </c>
      <c r="AQ20" s="112">
        <v>23</v>
      </c>
      <c r="AR20" s="129">
        <v>25</v>
      </c>
      <c r="AS20" s="129">
        <f t="shared" si="17"/>
        <v>48</v>
      </c>
      <c r="AT20" s="188"/>
      <c r="AU20" s="112">
        <f t="shared" si="18"/>
        <v>5</v>
      </c>
      <c r="AV20" s="112">
        <v>16</v>
      </c>
      <c r="AW20" s="112">
        <v>39</v>
      </c>
      <c r="AX20" s="113">
        <f t="shared" si="19"/>
        <v>55</v>
      </c>
      <c r="AY20" s="112">
        <v>17</v>
      </c>
      <c r="AZ20" s="113">
        <f t="shared" si="20"/>
        <v>72</v>
      </c>
      <c r="BA20" s="187"/>
      <c r="BB20" s="112">
        <f t="shared" si="21"/>
        <v>4</v>
      </c>
      <c r="BC20" s="112">
        <v>14</v>
      </c>
      <c r="BD20" s="112">
        <v>36</v>
      </c>
      <c r="BE20" s="113">
        <f t="shared" si="22"/>
        <v>50</v>
      </c>
      <c r="BF20" s="112">
        <v>25</v>
      </c>
      <c r="BG20" s="113">
        <f t="shared" si="23"/>
        <v>75</v>
      </c>
      <c r="BH20" s="187"/>
      <c r="BI20" s="112">
        <f t="shared" si="24"/>
        <v>4</v>
      </c>
      <c r="BJ20" s="112">
        <v>7</v>
      </c>
      <c r="BK20" s="112">
        <v>36</v>
      </c>
      <c r="BL20" s="113">
        <f t="shared" si="25"/>
        <v>43</v>
      </c>
      <c r="BM20" s="113">
        <f t="shared" si="26"/>
        <v>43</v>
      </c>
      <c r="BN20" s="187"/>
      <c r="BO20" s="112">
        <f t="shared" si="3"/>
        <v>5</v>
      </c>
      <c r="BP20" s="112">
        <f t="shared" si="27"/>
        <v>32</v>
      </c>
      <c r="BQ20" s="114">
        <f t="shared" si="28"/>
        <v>4</v>
      </c>
      <c r="BR20" s="114" t="str">
        <f t="shared" si="29"/>
        <v>A</v>
      </c>
      <c r="BS20" s="33" t="str">
        <f t="shared" si="4"/>
        <v>BETTER</v>
      </c>
      <c r="BT20" s="108">
        <f t="shared" si="30"/>
        <v>555</v>
      </c>
      <c r="BU20" s="150">
        <f>'1st_Semester'!BT20</f>
        <v>568</v>
      </c>
      <c r="BV20" s="147">
        <f>'2nd_Semester'!BT20</f>
        <v>525</v>
      </c>
      <c r="BW20" s="147">
        <f t="shared" si="31"/>
        <v>555</v>
      </c>
      <c r="BX20" s="147">
        <f t="shared" si="32"/>
        <v>549.33333333333337</v>
      </c>
      <c r="BY20" s="153">
        <f>'1st_Semester'!BQ20</f>
        <v>4.125</v>
      </c>
      <c r="BZ20" s="153" t="str">
        <f>'2nd_Semester'!BQ20</f>
        <v>F</v>
      </c>
      <c r="CA20" s="153">
        <f t="shared" si="33"/>
        <v>4</v>
      </c>
      <c r="CB20" s="153">
        <f t="shared" si="34"/>
        <v>4.0625</v>
      </c>
      <c r="CC20" s="66"/>
    </row>
    <row r="21" spans="1:81" ht="27.95" customHeight="1">
      <c r="A21" s="67">
        <v>14</v>
      </c>
      <c r="B21" s="48">
        <v>18</v>
      </c>
      <c r="C21" s="39" t="s">
        <v>134</v>
      </c>
      <c r="D21" s="39" t="s">
        <v>135</v>
      </c>
      <c r="E21" s="39" t="s">
        <v>136</v>
      </c>
      <c r="F21" s="40" t="s">
        <v>137</v>
      </c>
      <c r="G21" s="112">
        <v>20</v>
      </c>
      <c r="H21" s="112">
        <v>40</v>
      </c>
      <c r="I21" s="113">
        <f t="shared" si="35"/>
        <v>60</v>
      </c>
      <c r="J21" s="112">
        <v>29</v>
      </c>
      <c r="K21" s="113">
        <f t="shared" si="36"/>
        <v>89</v>
      </c>
      <c r="L21" s="112">
        <v>10</v>
      </c>
      <c r="M21" s="112">
        <v>34</v>
      </c>
      <c r="N21" s="113">
        <f t="shared" si="37"/>
        <v>44</v>
      </c>
      <c r="O21" s="113">
        <f t="shared" si="5"/>
        <v>44</v>
      </c>
      <c r="P21" s="113">
        <f t="shared" si="0"/>
        <v>133</v>
      </c>
      <c r="Q21" s="187"/>
      <c r="R21" s="112">
        <f t="shared" si="6"/>
        <v>5</v>
      </c>
      <c r="S21" s="112">
        <v>20</v>
      </c>
      <c r="T21" s="112">
        <v>59</v>
      </c>
      <c r="U21" s="113">
        <f t="shared" si="7"/>
        <v>79</v>
      </c>
      <c r="V21" s="112">
        <v>9</v>
      </c>
      <c r="W21" s="112">
        <v>29</v>
      </c>
      <c r="X21" s="113">
        <f t="shared" si="8"/>
        <v>38</v>
      </c>
      <c r="Y21" s="113">
        <f t="shared" si="9"/>
        <v>117</v>
      </c>
      <c r="Z21" s="113">
        <f t="shared" si="1"/>
        <v>117</v>
      </c>
      <c r="AA21" s="187"/>
      <c r="AB21" s="112">
        <f t="shared" si="10"/>
        <v>4</v>
      </c>
      <c r="AC21" s="112">
        <v>20</v>
      </c>
      <c r="AD21" s="112">
        <v>39</v>
      </c>
      <c r="AE21" s="113">
        <f t="shared" si="11"/>
        <v>59</v>
      </c>
      <c r="AF21" s="112">
        <v>27</v>
      </c>
      <c r="AG21" s="113">
        <f t="shared" si="12"/>
        <v>86</v>
      </c>
      <c r="AH21" s="187"/>
      <c r="AI21" s="112">
        <f t="shared" si="39"/>
        <v>5</v>
      </c>
      <c r="AJ21" s="112">
        <v>20</v>
      </c>
      <c r="AK21" s="112">
        <v>42</v>
      </c>
      <c r="AL21" s="113">
        <f t="shared" si="40"/>
        <v>62</v>
      </c>
      <c r="AM21" s="112">
        <v>27</v>
      </c>
      <c r="AN21" s="113">
        <f t="shared" si="41"/>
        <v>89</v>
      </c>
      <c r="AO21" s="187"/>
      <c r="AP21" s="112">
        <f t="shared" si="38"/>
        <v>5</v>
      </c>
      <c r="AQ21" s="112">
        <v>24</v>
      </c>
      <c r="AR21" s="129">
        <v>25</v>
      </c>
      <c r="AS21" s="129">
        <f t="shared" si="17"/>
        <v>49</v>
      </c>
      <c r="AT21" s="188"/>
      <c r="AU21" s="112">
        <f t="shared" si="18"/>
        <v>5</v>
      </c>
      <c r="AV21" s="112">
        <v>19</v>
      </c>
      <c r="AW21" s="112">
        <v>43</v>
      </c>
      <c r="AX21" s="113">
        <f t="shared" si="19"/>
        <v>62</v>
      </c>
      <c r="AY21" s="112">
        <v>30</v>
      </c>
      <c r="AZ21" s="113">
        <f t="shared" si="20"/>
        <v>92</v>
      </c>
      <c r="BA21" s="187"/>
      <c r="BB21" s="112">
        <f t="shared" si="21"/>
        <v>5</v>
      </c>
      <c r="BC21" s="112">
        <v>20</v>
      </c>
      <c r="BD21" s="112">
        <v>39</v>
      </c>
      <c r="BE21" s="113">
        <f t="shared" si="22"/>
        <v>59</v>
      </c>
      <c r="BF21" s="112">
        <v>23</v>
      </c>
      <c r="BG21" s="113">
        <f t="shared" si="23"/>
        <v>82</v>
      </c>
      <c r="BH21" s="187"/>
      <c r="BI21" s="112">
        <f t="shared" si="24"/>
        <v>5</v>
      </c>
      <c r="BJ21" s="112">
        <v>10</v>
      </c>
      <c r="BK21" s="112">
        <v>40</v>
      </c>
      <c r="BL21" s="113">
        <f t="shared" si="25"/>
        <v>50</v>
      </c>
      <c r="BM21" s="113">
        <f t="shared" si="26"/>
        <v>50</v>
      </c>
      <c r="BN21" s="187"/>
      <c r="BO21" s="112">
        <f t="shared" si="3"/>
        <v>5</v>
      </c>
      <c r="BP21" s="112">
        <f t="shared" si="27"/>
        <v>39</v>
      </c>
      <c r="BQ21" s="114">
        <f t="shared" si="28"/>
        <v>4.875</v>
      </c>
      <c r="BR21" s="114" t="str">
        <f t="shared" si="29"/>
        <v>A</v>
      </c>
      <c r="BS21" s="33" t="str">
        <f t="shared" si="4"/>
        <v>BETTER</v>
      </c>
      <c r="BT21" s="108">
        <f t="shared" si="30"/>
        <v>698</v>
      </c>
      <c r="BU21" s="150">
        <f>'1st_Semester'!BT21</f>
        <v>699</v>
      </c>
      <c r="BV21" s="147">
        <f>'2nd_Semester'!BT21</f>
        <v>695</v>
      </c>
      <c r="BW21" s="147">
        <f t="shared" si="31"/>
        <v>698</v>
      </c>
      <c r="BX21" s="147">
        <f t="shared" si="32"/>
        <v>697.33333333333337</v>
      </c>
      <c r="BY21" s="153">
        <f>'1st_Semester'!BQ21</f>
        <v>4.6875</v>
      </c>
      <c r="BZ21" s="153">
        <f>'2nd_Semester'!BQ21</f>
        <v>4.875</v>
      </c>
      <c r="CA21" s="153">
        <f t="shared" si="33"/>
        <v>4.875</v>
      </c>
      <c r="CB21" s="153">
        <f t="shared" si="34"/>
        <v>4.8125</v>
      </c>
      <c r="CC21" s="66"/>
    </row>
    <row r="22" spans="1:81" ht="27.95" customHeight="1">
      <c r="A22" s="67">
        <v>15</v>
      </c>
      <c r="B22" s="48">
        <v>19</v>
      </c>
      <c r="C22" s="39" t="s">
        <v>138</v>
      </c>
      <c r="D22" s="39" t="s">
        <v>135</v>
      </c>
      <c r="E22" s="39" t="s">
        <v>136</v>
      </c>
      <c r="F22" s="40" t="s">
        <v>137</v>
      </c>
      <c r="G22" s="112">
        <v>20</v>
      </c>
      <c r="H22" s="112">
        <v>36</v>
      </c>
      <c r="I22" s="113">
        <f t="shared" si="35"/>
        <v>56</v>
      </c>
      <c r="J22" s="112">
        <v>29</v>
      </c>
      <c r="K22" s="113">
        <f t="shared" si="36"/>
        <v>85</v>
      </c>
      <c r="L22" s="112">
        <v>10</v>
      </c>
      <c r="M22" s="112">
        <v>34</v>
      </c>
      <c r="N22" s="113">
        <f t="shared" si="37"/>
        <v>44</v>
      </c>
      <c r="O22" s="113">
        <f t="shared" si="5"/>
        <v>44</v>
      </c>
      <c r="P22" s="113">
        <f t="shared" si="0"/>
        <v>129</v>
      </c>
      <c r="Q22" s="187"/>
      <c r="R22" s="112">
        <f t="shared" si="6"/>
        <v>5</v>
      </c>
      <c r="S22" s="112">
        <v>20</v>
      </c>
      <c r="T22" s="112">
        <v>58</v>
      </c>
      <c r="U22" s="113">
        <f t="shared" si="7"/>
        <v>78</v>
      </c>
      <c r="V22" s="112">
        <v>9</v>
      </c>
      <c r="W22" s="112">
        <v>34</v>
      </c>
      <c r="X22" s="113">
        <f t="shared" si="8"/>
        <v>43</v>
      </c>
      <c r="Y22" s="113">
        <f t="shared" si="9"/>
        <v>121</v>
      </c>
      <c r="Z22" s="113">
        <f t="shared" si="1"/>
        <v>121</v>
      </c>
      <c r="AA22" s="187"/>
      <c r="AB22" s="112">
        <f t="shared" si="10"/>
        <v>5</v>
      </c>
      <c r="AC22" s="112">
        <v>19</v>
      </c>
      <c r="AD22" s="112">
        <v>45</v>
      </c>
      <c r="AE22" s="113">
        <f t="shared" si="11"/>
        <v>64</v>
      </c>
      <c r="AF22" s="112">
        <v>29</v>
      </c>
      <c r="AG22" s="113">
        <f t="shared" si="12"/>
        <v>93</v>
      </c>
      <c r="AH22" s="187"/>
      <c r="AI22" s="112">
        <f t="shared" si="39"/>
        <v>5</v>
      </c>
      <c r="AJ22" s="112">
        <v>20</v>
      </c>
      <c r="AK22" s="112">
        <v>45</v>
      </c>
      <c r="AL22" s="113">
        <f t="shared" si="40"/>
        <v>65</v>
      </c>
      <c r="AM22" s="112">
        <v>26</v>
      </c>
      <c r="AN22" s="113">
        <f t="shared" si="41"/>
        <v>91</v>
      </c>
      <c r="AO22" s="187"/>
      <c r="AP22" s="112">
        <f t="shared" si="38"/>
        <v>5</v>
      </c>
      <c r="AQ22" s="112">
        <v>24</v>
      </c>
      <c r="AR22" s="129">
        <v>25</v>
      </c>
      <c r="AS22" s="129">
        <f t="shared" si="17"/>
        <v>49</v>
      </c>
      <c r="AT22" s="188"/>
      <c r="AU22" s="112">
        <f t="shared" si="18"/>
        <v>5</v>
      </c>
      <c r="AV22" s="112">
        <v>20</v>
      </c>
      <c r="AW22" s="112">
        <v>45</v>
      </c>
      <c r="AX22" s="113">
        <f t="shared" si="19"/>
        <v>65</v>
      </c>
      <c r="AY22" s="112">
        <v>28</v>
      </c>
      <c r="AZ22" s="113">
        <f t="shared" si="20"/>
        <v>93</v>
      </c>
      <c r="BA22" s="187"/>
      <c r="BB22" s="112">
        <f t="shared" si="21"/>
        <v>5</v>
      </c>
      <c r="BC22" s="112">
        <v>20</v>
      </c>
      <c r="BD22" s="112">
        <v>38</v>
      </c>
      <c r="BE22" s="113">
        <f t="shared" si="22"/>
        <v>58</v>
      </c>
      <c r="BF22" s="112">
        <v>27</v>
      </c>
      <c r="BG22" s="113">
        <f t="shared" si="23"/>
        <v>85</v>
      </c>
      <c r="BH22" s="187"/>
      <c r="BI22" s="112">
        <f t="shared" si="24"/>
        <v>5</v>
      </c>
      <c r="BJ22" s="112">
        <v>10</v>
      </c>
      <c r="BK22" s="112">
        <v>40</v>
      </c>
      <c r="BL22" s="113">
        <f t="shared" si="25"/>
        <v>50</v>
      </c>
      <c r="BM22" s="113">
        <f t="shared" si="26"/>
        <v>50</v>
      </c>
      <c r="BN22" s="187"/>
      <c r="BO22" s="112">
        <f t="shared" si="3"/>
        <v>5</v>
      </c>
      <c r="BP22" s="112">
        <f t="shared" si="27"/>
        <v>40</v>
      </c>
      <c r="BQ22" s="114">
        <f t="shared" si="28"/>
        <v>5</v>
      </c>
      <c r="BR22" s="114" t="str">
        <f t="shared" si="29"/>
        <v>A+</v>
      </c>
      <c r="BS22" s="33" t="str">
        <f t="shared" si="4"/>
        <v>BEST</v>
      </c>
      <c r="BT22" s="108">
        <f t="shared" si="30"/>
        <v>711</v>
      </c>
      <c r="BU22" s="150">
        <f>'1st_Semester'!BT22</f>
        <v>705</v>
      </c>
      <c r="BV22" s="147">
        <f>'2nd_Semester'!BT22</f>
        <v>691</v>
      </c>
      <c r="BW22" s="147">
        <f t="shared" si="31"/>
        <v>711</v>
      </c>
      <c r="BX22" s="147">
        <f t="shared" si="32"/>
        <v>702.33333333333337</v>
      </c>
      <c r="BY22" s="153">
        <f>'1st_Semester'!BQ22</f>
        <v>4.6875</v>
      </c>
      <c r="BZ22" s="153">
        <f>'2nd_Semester'!BQ22</f>
        <v>5</v>
      </c>
      <c r="CA22" s="153">
        <f t="shared" si="33"/>
        <v>5</v>
      </c>
      <c r="CB22" s="153">
        <f t="shared" si="34"/>
        <v>4.895833333333333</v>
      </c>
      <c r="CC22" s="66"/>
    </row>
    <row r="23" spans="1:81" ht="27.95" customHeight="1">
      <c r="A23" s="67">
        <v>16</v>
      </c>
      <c r="B23" s="48">
        <v>20</v>
      </c>
      <c r="C23" s="39" t="s">
        <v>139</v>
      </c>
      <c r="D23" s="39" t="s">
        <v>140</v>
      </c>
      <c r="E23" s="39" t="s">
        <v>141</v>
      </c>
      <c r="F23" s="40" t="s">
        <v>142</v>
      </c>
      <c r="G23" s="112">
        <v>16</v>
      </c>
      <c r="H23" s="112">
        <v>20</v>
      </c>
      <c r="I23" s="113">
        <f t="shared" si="35"/>
        <v>36</v>
      </c>
      <c r="J23" s="112">
        <v>21</v>
      </c>
      <c r="K23" s="113">
        <f t="shared" si="36"/>
        <v>57</v>
      </c>
      <c r="L23" s="112">
        <v>8</v>
      </c>
      <c r="M23" s="112">
        <v>30</v>
      </c>
      <c r="N23" s="113">
        <f t="shared" si="37"/>
        <v>38</v>
      </c>
      <c r="O23" s="113">
        <f t="shared" si="5"/>
        <v>38</v>
      </c>
      <c r="P23" s="113">
        <f t="shared" si="0"/>
        <v>95</v>
      </c>
      <c r="Q23" s="187"/>
      <c r="R23" s="112">
        <f t="shared" si="6"/>
        <v>3.5</v>
      </c>
      <c r="S23" s="112">
        <v>20</v>
      </c>
      <c r="T23" s="112">
        <v>40</v>
      </c>
      <c r="U23" s="113">
        <f t="shared" si="7"/>
        <v>60</v>
      </c>
      <c r="V23" s="112">
        <v>8</v>
      </c>
      <c r="W23" s="112">
        <v>21</v>
      </c>
      <c r="X23" s="113">
        <f t="shared" si="8"/>
        <v>29</v>
      </c>
      <c r="Y23" s="113">
        <f t="shared" si="9"/>
        <v>89</v>
      </c>
      <c r="Z23" s="113">
        <f t="shared" si="1"/>
        <v>89</v>
      </c>
      <c r="AA23" s="187"/>
      <c r="AB23" s="112">
        <f t="shared" si="10"/>
        <v>3</v>
      </c>
      <c r="AC23" s="112">
        <v>10</v>
      </c>
      <c r="AD23" s="112">
        <v>20</v>
      </c>
      <c r="AE23" s="113">
        <f t="shared" si="11"/>
        <v>30</v>
      </c>
      <c r="AF23" s="112">
        <v>18</v>
      </c>
      <c r="AG23" s="113">
        <f t="shared" si="12"/>
        <v>48</v>
      </c>
      <c r="AH23" s="187"/>
      <c r="AI23" s="112">
        <f t="shared" si="39"/>
        <v>2</v>
      </c>
      <c r="AJ23" s="112">
        <v>20</v>
      </c>
      <c r="AK23" s="112">
        <v>30</v>
      </c>
      <c r="AL23" s="113">
        <f t="shared" si="40"/>
        <v>50</v>
      </c>
      <c r="AM23" s="112">
        <v>18</v>
      </c>
      <c r="AN23" s="113">
        <f t="shared" si="41"/>
        <v>68</v>
      </c>
      <c r="AO23" s="187"/>
      <c r="AP23" s="112">
        <f t="shared" si="38"/>
        <v>3.5</v>
      </c>
      <c r="AQ23" s="112">
        <v>21</v>
      </c>
      <c r="AR23" s="129">
        <v>25</v>
      </c>
      <c r="AS23" s="129">
        <f t="shared" si="17"/>
        <v>46</v>
      </c>
      <c r="AT23" s="188"/>
      <c r="AU23" s="112">
        <f t="shared" si="18"/>
        <v>5</v>
      </c>
      <c r="AV23" s="112">
        <v>18</v>
      </c>
      <c r="AW23" s="112">
        <v>34</v>
      </c>
      <c r="AX23" s="113">
        <f t="shared" si="19"/>
        <v>52</v>
      </c>
      <c r="AY23" s="112">
        <v>21</v>
      </c>
      <c r="AZ23" s="113">
        <f t="shared" si="20"/>
        <v>73</v>
      </c>
      <c r="BA23" s="187"/>
      <c r="BB23" s="112">
        <f t="shared" si="21"/>
        <v>4</v>
      </c>
      <c r="BC23" s="112">
        <v>14</v>
      </c>
      <c r="BD23" s="112">
        <v>28</v>
      </c>
      <c r="BE23" s="113">
        <f t="shared" si="22"/>
        <v>42</v>
      </c>
      <c r="BF23" s="112">
        <v>23</v>
      </c>
      <c r="BG23" s="113">
        <f t="shared" si="23"/>
        <v>65</v>
      </c>
      <c r="BH23" s="187"/>
      <c r="BI23" s="112">
        <f t="shared" si="24"/>
        <v>3.5</v>
      </c>
      <c r="BJ23" s="112">
        <v>10</v>
      </c>
      <c r="BK23" s="112">
        <v>40</v>
      </c>
      <c r="BL23" s="113">
        <f t="shared" si="25"/>
        <v>50</v>
      </c>
      <c r="BM23" s="113">
        <f t="shared" si="26"/>
        <v>50</v>
      </c>
      <c r="BN23" s="187"/>
      <c r="BO23" s="112">
        <f t="shared" si="3"/>
        <v>5</v>
      </c>
      <c r="BP23" s="112">
        <f t="shared" si="27"/>
        <v>29.5</v>
      </c>
      <c r="BQ23" s="114">
        <f t="shared" si="28"/>
        <v>3.6875</v>
      </c>
      <c r="BR23" s="114" t="str">
        <f t="shared" si="29"/>
        <v>A-</v>
      </c>
      <c r="BS23" s="33" t="str">
        <f t="shared" si="4"/>
        <v>GOOD</v>
      </c>
      <c r="BT23" s="108">
        <f t="shared" si="30"/>
        <v>534</v>
      </c>
      <c r="BU23" s="150">
        <f>'1st_Semester'!BT23</f>
        <v>591</v>
      </c>
      <c r="BV23" s="147">
        <f>'2nd_Semester'!BT23</f>
        <v>576</v>
      </c>
      <c r="BW23" s="147">
        <f t="shared" si="31"/>
        <v>534</v>
      </c>
      <c r="BX23" s="147">
        <f t="shared" si="32"/>
        <v>567</v>
      </c>
      <c r="BY23" s="153">
        <f>'1st_Semester'!BQ23</f>
        <v>4.0625</v>
      </c>
      <c r="BZ23" s="153">
        <f>'2nd_Semester'!BQ23</f>
        <v>4.125</v>
      </c>
      <c r="CA23" s="153">
        <f t="shared" si="33"/>
        <v>3.6875</v>
      </c>
      <c r="CB23" s="153">
        <f t="shared" si="34"/>
        <v>3.9583333333333335</v>
      </c>
      <c r="CC23" s="66"/>
    </row>
    <row r="24" spans="1:81" ht="27.95" customHeight="1">
      <c r="A24" s="67">
        <v>17</v>
      </c>
      <c r="B24" s="48">
        <v>21</v>
      </c>
      <c r="C24" s="39" t="s">
        <v>143</v>
      </c>
      <c r="D24" s="39" t="s">
        <v>144</v>
      </c>
      <c r="E24" s="39" t="s">
        <v>145</v>
      </c>
      <c r="F24" s="40" t="s">
        <v>146</v>
      </c>
      <c r="G24" s="112">
        <v>20</v>
      </c>
      <c r="H24" s="112">
        <v>35</v>
      </c>
      <c r="I24" s="113">
        <f t="shared" si="35"/>
        <v>55</v>
      </c>
      <c r="J24" s="112">
        <v>29</v>
      </c>
      <c r="K24" s="113">
        <f t="shared" si="36"/>
        <v>84</v>
      </c>
      <c r="L24" s="112">
        <v>10</v>
      </c>
      <c r="M24" s="112">
        <v>36</v>
      </c>
      <c r="N24" s="113">
        <f t="shared" si="37"/>
        <v>46</v>
      </c>
      <c r="O24" s="113">
        <f t="shared" si="5"/>
        <v>46</v>
      </c>
      <c r="P24" s="113">
        <f t="shared" si="0"/>
        <v>130</v>
      </c>
      <c r="Q24" s="187"/>
      <c r="R24" s="112">
        <f t="shared" si="6"/>
        <v>5</v>
      </c>
      <c r="S24" s="112">
        <v>20</v>
      </c>
      <c r="T24" s="112">
        <v>61</v>
      </c>
      <c r="U24" s="113">
        <f t="shared" si="7"/>
        <v>81</v>
      </c>
      <c r="V24" s="112">
        <v>10</v>
      </c>
      <c r="W24" s="112">
        <v>29</v>
      </c>
      <c r="X24" s="113">
        <f t="shared" si="8"/>
        <v>39</v>
      </c>
      <c r="Y24" s="113">
        <f t="shared" si="9"/>
        <v>120</v>
      </c>
      <c r="Z24" s="113">
        <f t="shared" si="1"/>
        <v>120</v>
      </c>
      <c r="AA24" s="187"/>
      <c r="AB24" s="112">
        <f t="shared" si="10"/>
        <v>5</v>
      </c>
      <c r="AC24" s="112">
        <v>17</v>
      </c>
      <c r="AD24" s="112">
        <v>48</v>
      </c>
      <c r="AE24" s="113">
        <f t="shared" si="11"/>
        <v>65</v>
      </c>
      <c r="AF24" s="112">
        <v>29</v>
      </c>
      <c r="AG24" s="113">
        <f t="shared" si="12"/>
        <v>94</v>
      </c>
      <c r="AH24" s="187"/>
      <c r="AI24" s="112">
        <f t="shared" si="39"/>
        <v>5</v>
      </c>
      <c r="AJ24" s="112">
        <v>20</v>
      </c>
      <c r="AK24" s="112">
        <v>44</v>
      </c>
      <c r="AL24" s="113">
        <f t="shared" si="40"/>
        <v>64</v>
      </c>
      <c r="AM24" s="112">
        <v>26</v>
      </c>
      <c r="AN24" s="113">
        <f t="shared" si="41"/>
        <v>90</v>
      </c>
      <c r="AO24" s="187"/>
      <c r="AP24" s="112">
        <f t="shared" si="38"/>
        <v>5</v>
      </c>
      <c r="AQ24" s="112">
        <v>24</v>
      </c>
      <c r="AR24" s="129">
        <v>25</v>
      </c>
      <c r="AS24" s="129">
        <f t="shared" si="17"/>
        <v>49</v>
      </c>
      <c r="AT24" s="188"/>
      <c r="AU24" s="112">
        <f t="shared" si="18"/>
        <v>5</v>
      </c>
      <c r="AV24" s="112">
        <v>19</v>
      </c>
      <c r="AW24" s="112">
        <v>48</v>
      </c>
      <c r="AX24" s="113">
        <f t="shared" si="19"/>
        <v>67</v>
      </c>
      <c r="AY24" s="112">
        <v>29</v>
      </c>
      <c r="AZ24" s="113">
        <f t="shared" si="20"/>
        <v>96</v>
      </c>
      <c r="BA24" s="187"/>
      <c r="BB24" s="112">
        <f t="shared" si="21"/>
        <v>5</v>
      </c>
      <c r="BC24" s="112">
        <v>20</v>
      </c>
      <c r="BD24" s="112">
        <v>39</v>
      </c>
      <c r="BE24" s="113">
        <f t="shared" si="22"/>
        <v>59</v>
      </c>
      <c r="BF24" s="112">
        <v>26</v>
      </c>
      <c r="BG24" s="113">
        <f t="shared" si="23"/>
        <v>85</v>
      </c>
      <c r="BH24" s="187"/>
      <c r="BI24" s="112">
        <f t="shared" si="24"/>
        <v>5</v>
      </c>
      <c r="BJ24" s="112">
        <v>10</v>
      </c>
      <c r="BK24" s="112">
        <v>40</v>
      </c>
      <c r="BL24" s="113">
        <f t="shared" si="25"/>
        <v>50</v>
      </c>
      <c r="BM24" s="113">
        <f t="shared" si="26"/>
        <v>50</v>
      </c>
      <c r="BN24" s="187"/>
      <c r="BO24" s="112">
        <f t="shared" si="3"/>
        <v>5</v>
      </c>
      <c r="BP24" s="112">
        <f t="shared" si="27"/>
        <v>40</v>
      </c>
      <c r="BQ24" s="114">
        <f t="shared" si="28"/>
        <v>5</v>
      </c>
      <c r="BR24" s="114" t="str">
        <f t="shared" si="29"/>
        <v>A+</v>
      </c>
      <c r="BS24" s="33" t="str">
        <f t="shared" si="4"/>
        <v>BEST</v>
      </c>
      <c r="BT24" s="108">
        <f t="shared" si="30"/>
        <v>714</v>
      </c>
      <c r="BU24" s="150">
        <f>'1st_Semester'!BT24</f>
        <v>689</v>
      </c>
      <c r="BV24" s="147">
        <f>'2nd_Semester'!BT24</f>
        <v>658</v>
      </c>
      <c r="BW24" s="147">
        <f t="shared" si="31"/>
        <v>714</v>
      </c>
      <c r="BX24" s="147">
        <f t="shared" si="32"/>
        <v>687</v>
      </c>
      <c r="BY24" s="153">
        <f>'1st_Semester'!BQ24</f>
        <v>4.5625</v>
      </c>
      <c r="BZ24" s="153">
        <f>'2nd_Semester'!BQ24</f>
        <v>4.6875</v>
      </c>
      <c r="CA24" s="153">
        <f t="shared" si="33"/>
        <v>5</v>
      </c>
      <c r="CB24" s="153">
        <f t="shared" si="34"/>
        <v>4.75</v>
      </c>
      <c r="CC24" s="66"/>
    </row>
    <row r="25" spans="1:81" ht="27.95" customHeight="1">
      <c r="A25" s="67">
        <v>18</v>
      </c>
      <c r="B25" s="48">
        <v>22</v>
      </c>
      <c r="C25" s="39" t="s">
        <v>147</v>
      </c>
      <c r="D25" s="39" t="s">
        <v>148</v>
      </c>
      <c r="E25" s="39" t="s">
        <v>80</v>
      </c>
      <c r="F25" s="40" t="s">
        <v>149</v>
      </c>
      <c r="G25" s="112">
        <v>13</v>
      </c>
      <c r="H25" s="112">
        <v>16</v>
      </c>
      <c r="I25" s="113">
        <f t="shared" si="35"/>
        <v>29</v>
      </c>
      <c r="J25" s="112">
        <v>20</v>
      </c>
      <c r="K25" s="113">
        <f t="shared" si="36"/>
        <v>49</v>
      </c>
      <c r="L25" s="112">
        <v>8</v>
      </c>
      <c r="M25" s="112">
        <v>28</v>
      </c>
      <c r="N25" s="113">
        <f t="shared" si="37"/>
        <v>36</v>
      </c>
      <c r="O25" s="113">
        <f t="shared" si="5"/>
        <v>36</v>
      </c>
      <c r="P25" s="113">
        <f t="shared" si="0"/>
        <v>85</v>
      </c>
      <c r="Q25" s="187"/>
      <c r="R25" s="112">
        <f t="shared" si="6"/>
        <v>3</v>
      </c>
      <c r="S25" s="112">
        <v>20</v>
      </c>
      <c r="T25" s="112">
        <v>36</v>
      </c>
      <c r="U25" s="113">
        <f t="shared" si="7"/>
        <v>56</v>
      </c>
      <c r="V25" s="112">
        <v>6</v>
      </c>
      <c r="W25" s="112">
        <v>15</v>
      </c>
      <c r="X25" s="113">
        <f t="shared" si="8"/>
        <v>21</v>
      </c>
      <c r="Y25" s="113">
        <f t="shared" si="9"/>
        <v>77</v>
      </c>
      <c r="Z25" s="113">
        <f t="shared" si="1"/>
        <v>77</v>
      </c>
      <c r="AA25" s="187"/>
      <c r="AB25" s="112">
        <f t="shared" si="10"/>
        <v>3</v>
      </c>
      <c r="AC25" s="112">
        <v>17</v>
      </c>
      <c r="AD25" s="112">
        <v>29</v>
      </c>
      <c r="AE25" s="113">
        <f t="shared" si="11"/>
        <v>46</v>
      </c>
      <c r="AF25" s="112">
        <v>22</v>
      </c>
      <c r="AG25" s="113">
        <f t="shared" si="12"/>
        <v>68</v>
      </c>
      <c r="AH25" s="187"/>
      <c r="AI25" s="112">
        <f t="shared" si="39"/>
        <v>3.5</v>
      </c>
      <c r="AJ25" s="112">
        <v>15</v>
      </c>
      <c r="AK25" s="112">
        <v>29</v>
      </c>
      <c r="AL25" s="113">
        <f t="shared" si="40"/>
        <v>44</v>
      </c>
      <c r="AM25" s="112">
        <v>18</v>
      </c>
      <c r="AN25" s="113">
        <f t="shared" si="41"/>
        <v>62</v>
      </c>
      <c r="AO25" s="187"/>
      <c r="AP25" s="112">
        <f t="shared" si="38"/>
        <v>3.5</v>
      </c>
      <c r="AQ25" s="112">
        <v>22</v>
      </c>
      <c r="AR25" s="129">
        <v>25</v>
      </c>
      <c r="AS25" s="129">
        <f t="shared" si="17"/>
        <v>47</v>
      </c>
      <c r="AT25" s="188"/>
      <c r="AU25" s="112">
        <f t="shared" si="18"/>
        <v>5</v>
      </c>
      <c r="AV25" s="112">
        <v>13</v>
      </c>
      <c r="AW25" s="112">
        <v>26</v>
      </c>
      <c r="AX25" s="113">
        <f t="shared" si="19"/>
        <v>39</v>
      </c>
      <c r="AY25" s="112">
        <v>28</v>
      </c>
      <c r="AZ25" s="113">
        <f t="shared" si="20"/>
        <v>67</v>
      </c>
      <c r="BA25" s="187"/>
      <c r="BB25" s="112">
        <f t="shared" si="21"/>
        <v>3.5</v>
      </c>
      <c r="BC25" s="112">
        <v>15</v>
      </c>
      <c r="BD25" s="112">
        <v>29</v>
      </c>
      <c r="BE25" s="113">
        <f t="shared" si="22"/>
        <v>44</v>
      </c>
      <c r="BF25" s="112">
        <v>21</v>
      </c>
      <c r="BG25" s="113">
        <f t="shared" si="23"/>
        <v>65</v>
      </c>
      <c r="BH25" s="187"/>
      <c r="BI25" s="112">
        <f t="shared" si="24"/>
        <v>3.5</v>
      </c>
      <c r="BJ25" s="112">
        <v>10</v>
      </c>
      <c r="BK25" s="112">
        <v>36</v>
      </c>
      <c r="BL25" s="113">
        <f t="shared" si="25"/>
        <v>46</v>
      </c>
      <c r="BM25" s="113">
        <f t="shared" si="26"/>
        <v>46</v>
      </c>
      <c r="BN25" s="187"/>
      <c r="BO25" s="112">
        <f t="shared" si="3"/>
        <v>5</v>
      </c>
      <c r="BP25" s="112">
        <f t="shared" si="27"/>
        <v>30</v>
      </c>
      <c r="BQ25" s="114">
        <f t="shared" si="28"/>
        <v>3.75</v>
      </c>
      <c r="BR25" s="114" t="str">
        <f t="shared" si="29"/>
        <v>A-</v>
      </c>
      <c r="BS25" s="33" t="str">
        <f t="shared" si="4"/>
        <v>GOOD</v>
      </c>
      <c r="BT25" s="108">
        <f t="shared" si="30"/>
        <v>517</v>
      </c>
      <c r="BU25" s="150">
        <f>'1st_Semester'!BT25</f>
        <v>508</v>
      </c>
      <c r="BV25" s="147">
        <f>'2nd_Semester'!BT25</f>
        <v>531</v>
      </c>
      <c r="BW25" s="147">
        <f t="shared" si="31"/>
        <v>517</v>
      </c>
      <c r="BX25" s="147">
        <f t="shared" si="32"/>
        <v>518.66666666666663</v>
      </c>
      <c r="BY25" s="153">
        <f>'1st_Semester'!BQ25</f>
        <v>3.5</v>
      </c>
      <c r="BZ25" s="153">
        <f>'2nd_Semester'!BQ25</f>
        <v>3.8125</v>
      </c>
      <c r="CA25" s="153">
        <f t="shared" si="33"/>
        <v>3.75</v>
      </c>
      <c r="CB25" s="153">
        <f t="shared" si="34"/>
        <v>3.6875</v>
      </c>
      <c r="CC25" s="66"/>
    </row>
    <row r="26" spans="1:81" ht="27.95" customHeight="1">
      <c r="A26" s="67">
        <v>19</v>
      </c>
      <c r="B26" s="48">
        <v>23</v>
      </c>
      <c r="C26" s="39" t="s">
        <v>150</v>
      </c>
      <c r="D26" s="39" t="s">
        <v>151</v>
      </c>
      <c r="E26" s="39" t="s">
        <v>81</v>
      </c>
      <c r="F26" s="40" t="s">
        <v>152</v>
      </c>
      <c r="G26" s="112">
        <v>20</v>
      </c>
      <c r="H26" s="112">
        <v>31</v>
      </c>
      <c r="I26" s="113">
        <f t="shared" si="35"/>
        <v>51</v>
      </c>
      <c r="J26" s="112">
        <v>28</v>
      </c>
      <c r="K26" s="113">
        <f t="shared" si="36"/>
        <v>79</v>
      </c>
      <c r="L26" s="112">
        <v>9</v>
      </c>
      <c r="M26" s="112">
        <v>32</v>
      </c>
      <c r="N26" s="113">
        <f t="shared" si="37"/>
        <v>41</v>
      </c>
      <c r="O26" s="113">
        <f t="shared" si="5"/>
        <v>41</v>
      </c>
      <c r="P26" s="113">
        <f t="shared" si="0"/>
        <v>120</v>
      </c>
      <c r="Q26" s="187"/>
      <c r="R26" s="112">
        <f t="shared" si="6"/>
        <v>5</v>
      </c>
      <c r="S26" s="112">
        <v>20</v>
      </c>
      <c r="T26" s="112">
        <v>44</v>
      </c>
      <c r="U26" s="113">
        <f t="shared" si="7"/>
        <v>64</v>
      </c>
      <c r="V26" s="112">
        <v>9</v>
      </c>
      <c r="W26" s="112">
        <v>22</v>
      </c>
      <c r="X26" s="113">
        <f t="shared" si="8"/>
        <v>31</v>
      </c>
      <c r="Y26" s="113">
        <f t="shared" si="9"/>
        <v>95</v>
      </c>
      <c r="Z26" s="113">
        <f t="shared" si="1"/>
        <v>95</v>
      </c>
      <c r="AA26" s="187"/>
      <c r="AB26" s="112">
        <f t="shared" si="10"/>
        <v>3.5</v>
      </c>
      <c r="AC26" s="112">
        <v>19</v>
      </c>
      <c r="AD26" s="112">
        <v>39</v>
      </c>
      <c r="AE26" s="113">
        <f t="shared" si="11"/>
        <v>58</v>
      </c>
      <c r="AF26" s="112">
        <v>27</v>
      </c>
      <c r="AG26" s="113">
        <f t="shared" si="12"/>
        <v>85</v>
      </c>
      <c r="AH26" s="187"/>
      <c r="AI26" s="112">
        <f t="shared" si="39"/>
        <v>5</v>
      </c>
      <c r="AJ26" s="112">
        <v>20</v>
      </c>
      <c r="AK26" s="112">
        <v>38</v>
      </c>
      <c r="AL26" s="113">
        <f t="shared" si="40"/>
        <v>58</v>
      </c>
      <c r="AM26" s="112">
        <v>22</v>
      </c>
      <c r="AN26" s="113">
        <f t="shared" si="41"/>
        <v>80</v>
      </c>
      <c r="AO26" s="187"/>
      <c r="AP26" s="112">
        <f t="shared" si="38"/>
        <v>5</v>
      </c>
      <c r="AQ26" s="112">
        <v>23</v>
      </c>
      <c r="AR26" s="129">
        <v>25</v>
      </c>
      <c r="AS26" s="129">
        <f t="shared" si="17"/>
        <v>48</v>
      </c>
      <c r="AT26" s="188"/>
      <c r="AU26" s="112">
        <f t="shared" si="18"/>
        <v>5</v>
      </c>
      <c r="AV26" s="112">
        <v>15</v>
      </c>
      <c r="AW26" s="112">
        <v>36</v>
      </c>
      <c r="AX26" s="113">
        <f t="shared" si="19"/>
        <v>51</v>
      </c>
      <c r="AY26" s="112">
        <v>29</v>
      </c>
      <c r="AZ26" s="113">
        <f t="shared" si="20"/>
        <v>80</v>
      </c>
      <c r="BA26" s="187"/>
      <c r="BB26" s="112">
        <f t="shared" si="21"/>
        <v>5</v>
      </c>
      <c r="BC26" s="112">
        <v>18</v>
      </c>
      <c r="BD26" s="112">
        <v>36</v>
      </c>
      <c r="BE26" s="113">
        <f t="shared" si="22"/>
        <v>54</v>
      </c>
      <c r="BF26" s="112">
        <v>22</v>
      </c>
      <c r="BG26" s="113">
        <f t="shared" si="23"/>
        <v>76</v>
      </c>
      <c r="BH26" s="187"/>
      <c r="BI26" s="112">
        <f t="shared" si="24"/>
        <v>4</v>
      </c>
      <c r="BJ26" s="112">
        <v>10</v>
      </c>
      <c r="BK26" s="112">
        <v>36</v>
      </c>
      <c r="BL26" s="113">
        <f t="shared" si="25"/>
        <v>46</v>
      </c>
      <c r="BM26" s="113">
        <f t="shared" si="26"/>
        <v>46</v>
      </c>
      <c r="BN26" s="187"/>
      <c r="BO26" s="112">
        <f t="shared" si="3"/>
        <v>5</v>
      </c>
      <c r="BP26" s="112">
        <f t="shared" si="27"/>
        <v>37.5</v>
      </c>
      <c r="BQ26" s="114">
        <f t="shared" si="28"/>
        <v>4.6875</v>
      </c>
      <c r="BR26" s="114" t="str">
        <f t="shared" si="29"/>
        <v>A</v>
      </c>
      <c r="BS26" s="33" t="str">
        <f t="shared" si="4"/>
        <v>BETTER</v>
      </c>
      <c r="BT26" s="108">
        <f t="shared" si="30"/>
        <v>630</v>
      </c>
      <c r="BU26" s="150">
        <f>'1st_Semester'!BT26</f>
        <v>678</v>
      </c>
      <c r="BV26" s="147">
        <f>'2nd_Semester'!BT26</f>
        <v>639</v>
      </c>
      <c r="BW26" s="147">
        <f t="shared" si="31"/>
        <v>630</v>
      </c>
      <c r="BX26" s="147">
        <f t="shared" si="32"/>
        <v>649</v>
      </c>
      <c r="BY26" s="153">
        <f>'1st_Semester'!BQ26</f>
        <v>4.6875</v>
      </c>
      <c r="BZ26" s="153">
        <f>'2nd_Semester'!BQ26</f>
        <v>4.5</v>
      </c>
      <c r="CA26" s="153">
        <f t="shared" si="33"/>
        <v>4.6875</v>
      </c>
      <c r="CB26" s="153">
        <f t="shared" si="34"/>
        <v>4.625</v>
      </c>
      <c r="CC26" s="66"/>
    </row>
    <row r="27" spans="1:81" ht="27.95" customHeight="1">
      <c r="A27" s="67">
        <v>20</v>
      </c>
      <c r="B27" s="48">
        <v>24</v>
      </c>
      <c r="C27" s="39" t="s">
        <v>153</v>
      </c>
      <c r="D27" s="39" t="s">
        <v>154</v>
      </c>
      <c r="E27" s="39" t="s">
        <v>155</v>
      </c>
      <c r="F27" s="40" t="s">
        <v>156</v>
      </c>
      <c r="G27" s="112">
        <v>18</v>
      </c>
      <c r="H27" s="112">
        <v>26</v>
      </c>
      <c r="I27" s="113">
        <f t="shared" si="35"/>
        <v>44</v>
      </c>
      <c r="J27" s="112">
        <v>17</v>
      </c>
      <c r="K27" s="113">
        <f t="shared" si="36"/>
        <v>61</v>
      </c>
      <c r="L27" s="112">
        <v>10</v>
      </c>
      <c r="M27" s="112">
        <v>28</v>
      </c>
      <c r="N27" s="113">
        <f t="shared" si="37"/>
        <v>38</v>
      </c>
      <c r="O27" s="113">
        <f t="shared" si="5"/>
        <v>38</v>
      </c>
      <c r="P27" s="113">
        <f t="shared" si="0"/>
        <v>99</v>
      </c>
      <c r="Q27" s="187"/>
      <c r="R27" s="112">
        <f t="shared" si="6"/>
        <v>3.5</v>
      </c>
      <c r="S27" s="112">
        <v>20</v>
      </c>
      <c r="T27" s="112">
        <v>60</v>
      </c>
      <c r="U27" s="113">
        <f t="shared" si="7"/>
        <v>80</v>
      </c>
      <c r="V27" s="112">
        <v>9</v>
      </c>
      <c r="W27" s="112">
        <v>22</v>
      </c>
      <c r="X27" s="113">
        <f t="shared" si="8"/>
        <v>31</v>
      </c>
      <c r="Y27" s="113">
        <f t="shared" si="9"/>
        <v>111</v>
      </c>
      <c r="Z27" s="113">
        <f t="shared" si="1"/>
        <v>111</v>
      </c>
      <c r="AA27" s="187"/>
      <c r="AB27" s="112">
        <f t="shared" si="10"/>
        <v>4</v>
      </c>
      <c r="AC27" s="112">
        <v>14</v>
      </c>
      <c r="AD27" s="112">
        <v>24</v>
      </c>
      <c r="AE27" s="113">
        <f t="shared" si="11"/>
        <v>38</v>
      </c>
      <c r="AF27" s="112">
        <v>25</v>
      </c>
      <c r="AG27" s="113">
        <f t="shared" si="12"/>
        <v>63</v>
      </c>
      <c r="AH27" s="187"/>
      <c r="AI27" s="112">
        <f t="shared" si="39"/>
        <v>3.5</v>
      </c>
      <c r="AJ27" s="112">
        <v>19</v>
      </c>
      <c r="AK27" s="112">
        <v>43</v>
      </c>
      <c r="AL27" s="113">
        <f t="shared" si="40"/>
        <v>62</v>
      </c>
      <c r="AM27" s="112">
        <v>21</v>
      </c>
      <c r="AN27" s="113">
        <f t="shared" si="41"/>
        <v>83</v>
      </c>
      <c r="AO27" s="187"/>
      <c r="AP27" s="112">
        <f t="shared" si="38"/>
        <v>5</v>
      </c>
      <c r="AQ27" s="129">
        <v>22</v>
      </c>
      <c r="AR27" s="129">
        <v>25</v>
      </c>
      <c r="AS27" s="129">
        <f t="shared" si="17"/>
        <v>47</v>
      </c>
      <c r="AT27" s="188"/>
      <c r="AU27" s="112">
        <f t="shared" si="18"/>
        <v>5</v>
      </c>
      <c r="AV27" s="112">
        <v>19</v>
      </c>
      <c r="AW27" s="112">
        <v>26</v>
      </c>
      <c r="AX27" s="113">
        <f t="shared" si="19"/>
        <v>45</v>
      </c>
      <c r="AY27" s="112">
        <v>29</v>
      </c>
      <c r="AZ27" s="113">
        <f t="shared" si="20"/>
        <v>74</v>
      </c>
      <c r="BA27" s="187"/>
      <c r="BB27" s="112">
        <f t="shared" si="21"/>
        <v>4</v>
      </c>
      <c r="BC27" s="112">
        <v>14</v>
      </c>
      <c r="BD27" s="112">
        <v>39</v>
      </c>
      <c r="BE27" s="113">
        <f t="shared" si="22"/>
        <v>53</v>
      </c>
      <c r="BF27" s="112">
        <v>25</v>
      </c>
      <c r="BG27" s="113">
        <f t="shared" si="23"/>
        <v>78</v>
      </c>
      <c r="BH27" s="187"/>
      <c r="BI27" s="112">
        <f t="shared" si="24"/>
        <v>4</v>
      </c>
      <c r="BJ27" s="112">
        <v>10</v>
      </c>
      <c r="BK27" s="112">
        <v>36</v>
      </c>
      <c r="BL27" s="113">
        <f t="shared" si="25"/>
        <v>46</v>
      </c>
      <c r="BM27" s="113">
        <f t="shared" si="26"/>
        <v>46</v>
      </c>
      <c r="BN27" s="187"/>
      <c r="BO27" s="112">
        <f t="shared" si="3"/>
        <v>5</v>
      </c>
      <c r="BP27" s="112">
        <f t="shared" si="27"/>
        <v>34</v>
      </c>
      <c r="BQ27" s="114">
        <f t="shared" si="28"/>
        <v>4.25</v>
      </c>
      <c r="BR27" s="114" t="str">
        <f t="shared" si="29"/>
        <v>A</v>
      </c>
      <c r="BS27" s="33" t="str">
        <f t="shared" si="4"/>
        <v>BETTER</v>
      </c>
      <c r="BT27" s="108">
        <f t="shared" si="30"/>
        <v>601</v>
      </c>
      <c r="BU27" s="150">
        <f>'1st_Semester'!BT27</f>
        <v>582</v>
      </c>
      <c r="BV27" s="147">
        <f>'2nd_Semester'!BT27</f>
        <v>595</v>
      </c>
      <c r="BW27" s="147">
        <f t="shared" si="31"/>
        <v>601</v>
      </c>
      <c r="BX27" s="147">
        <f t="shared" si="32"/>
        <v>592.66666666666663</v>
      </c>
      <c r="BY27" s="153">
        <f>'1st_Semester'!BQ27</f>
        <v>4.125</v>
      </c>
      <c r="BZ27" s="153">
        <f>'2nd_Semester'!BQ27</f>
        <v>4.3125</v>
      </c>
      <c r="CA27" s="153">
        <f t="shared" si="33"/>
        <v>4.25</v>
      </c>
      <c r="CB27" s="153">
        <f t="shared" si="34"/>
        <v>4.229166666666667</v>
      </c>
      <c r="CC27" s="66"/>
    </row>
    <row r="28" spans="1:81" ht="27.95" customHeight="1">
      <c r="A28" s="67">
        <v>21</v>
      </c>
      <c r="B28" s="48">
        <v>25</v>
      </c>
      <c r="C28" s="41" t="s">
        <v>157</v>
      </c>
      <c r="D28" s="39" t="s">
        <v>158</v>
      </c>
      <c r="E28" s="39" t="s">
        <v>159</v>
      </c>
      <c r="F28" s="40" t="s">
        <v>160</v>
      </c>
      <c r="G28" s="112">
        <v>15</v>
      </c>
      <c r="H28" s="112">
        <v>24</v>
      </c>
      <c r="I28" s="113">
        <f t="shared" si="35"/>
        <v>39</v>
      </c>
      <c r="J28" s="112">
        <v>22</v>
      </c>
      <c r="K28" s="113">
        <f t="shared" si="36"/>
        <v>61</v>
      </c>
      <c r="L28" s="112">
        <v>9</v>
      </c>
      <c r="M28" s="112">
        <v>20</v>
      </c>
      <c r="N28" s="113">
        <f t="shared" si="37"/>
        <v>29</v>
      </c>
      <c r="O28" s="113">
        <f t="shared" si="5"/>
        <v>29</v>
      </c>
      <c r="P28" s="113">
        <f t="shared" si="0"/>
        <v>90</v>
      </c>
      <c r="Q28" s="187"/>
      <c r="R28" s="112">
        <f t="shared" si="6"/>
        <v>3.5</v>
      </c>
      <c r="S28" s="112">
        <v>20</v>
      </c>
      <c r="T28" s="112">
        <v>34</v>
      </c>
      <c r="U28" s="113">
        <f t="shared" si="7"/>
        <v>54</v>
      </c>
      <c r="V28" s="112">
        <v>7</v>
      </c>
      <c r="W28" s="112">
        <v>14</v>
      </c>
      <c r="X28" s="113">
        <f t="shared" si="8"/>
        <v>21</v>
      </c>
      <c r="Y28" s="113">
        <f t="shared" si="9"/>
        <v>75</v>
      </c>
      <c r="Z28" s="113">
        <f t="shared" si="1"/>
        <v>75</v>
      </c>
      <c r="AA28" s="187"/>
      <c r="AB28" s="112">
        <f t="shared" si="10"/>
        <v>3</v>
      </c>
      <c r="AC28" s="112">
        <v>6</v>
      </c>
      <c r="AD28" s="112">
        <v>8</v>
      </c>
      <c r="AE28" s="113">
        <f t="shared" si="11"/>
        <v>14</v>
      </c>
      <c r="AF28" s="112">
        <v>18</v>
      </c>
      <c r="AG28" s="113">
        <f t="shared" si="12"/>
        <v>32</v>
      </c>
      <c r="AH28" s="187"/>
      <c r="AI28" s="112" t="str">
        <f t="shared" si="39"/>
        <v>F</v>
      </c>
      <c r="AJ28" s="112">
        <v>20</v>
      </c>
      <c r="AK28" s="112">
        <v>29</v>
      </c>
      <c r="AL28" s="113">
        <f t="shared" si="40"/>
        <v>49</v>
      </c>
      <c r="AM28" s="112">
        <v>22</v>
      </c>
      <c r="AN28" s="113">
        <f t="shared" si="41"/>
        <v>71</v>
      </c>
      <c r="AO28" s="187"/>
      <c r="AP28" s="112">
        <f t="shared" si="38"/>
        <v>4</v>
      </c>
      <c r="AQ28" s="129">
        <v>24</v>
      </c>
      <c r="AR28" s="129">
        <v>25</v>
      </c>
      <c r="AS28" s="129">
        <f t="shared" si="17"/>
        <v>49</v>
      </c>
      <c r="AT28" s="188"/>
      <c r="AU28" s="112">
        <f t="shared" si="18"/>
        <v>5</v>
      </c>
      <c r="AV28" s="112">
        <v>13</v>
      </c>
      <c r="AW28" s="112">
        <v>20</v>
      </c>
      <c r="AX28" s="113">
        <f t="shared" si="19"/>
        <v>33</v>
      </c>
      <c r="AY28" s="112">
        <v>22</v>
      </c>
      <c r="AZ28" s="113">
        <f t="shared" si="20"/>
        <v>55</v>
      </c>
      <c r="BA28" s="187"/>
      <c r="BB28" s="112">
        <f t="shared" si="21"/>
        <v>3</v>
      </c>
      <c r="BC28" s="112">
        <v>13</v>
      </c>
      <c r="BD28" s="112">
        <v>29</v>
      </c>
      <c r="BE28" s="113">
        <f t="shared" si="22"/>
        <v>42</v>
      </c>
      <c r="BF28" s="112">
        <v>19</v>
      </c>
      <c r="BG28" s="113">
        <f t="shared" si="23"/>
        <v>61</v>
      </c>
      <c r="BH28" s="187"/>
      <c r="BI28" s="112">
        <f t="shared" si="24"/>
        <v>3.5</v>
      </c>
      <c r="BJ28" s="112">
        <v>8</v>
      </c>
      <c r="BK28" s="112">
        <v>36</v>
      </c>
      <c r="BL28" s="113">
        <f t="shared" si="25"/>
        <v>44</v>
      </c>
      <c r="BM28" s="113">
        <f t="shared" si="26"/>
        <v>44</v>
      </c>
      <c r="BN28" s="187"/>
      <c r="BO28" s="112">
        <f t="shared" si="3"/>
        <v>5</v>
      </c>
      <c r="BP28" s="112" t="str">
        <f t="shared" si="27"/>
        <v>F</v>
      </c>
      <c r="BQ28" s="114" t="str">
        <f t="shared" si="28"/>
        <v>F</v>
      </c>
      <c r="BR28" s="114" t="str">
        <f t="shared" si="29"/>
        <v>F</v>
      </c>
      <c r="BS28" s="33" t="str">
        <f t="shared" si="4"/>
        <v>NEED TO PROGRESS</v>
      </c>
      <c r="BT28" s="108">
        <f t="shared" si="30"/>
        <v>477</v>
      </c>
      <c r="BU28" s="150">
        <f>'1st_Semester'!BT28</f>
        <v>495</v>
      </c>
      <c r="BV28" s="147">
        <f>'2nd_Semester'!BT28</f>
        <v>509</v>
      </c>
      <c r="BW28" s="147">
        <f t="shared" si="31"/>
        <v>477</v>
      </c>
      <c r="BX28" s="147">
        <f t="shared" si="32"/>
        <v>493.66666666666669</v>
      </c>
      <c r="BY28" s="153">
        <f>'1st_Semester'!BQ28</f>
        <v>3.4375</v>
      </c>
      <c r="BZ28" s="153">
        <f>'2nd_Semester'!BQ28</f>
        <v>3.625</v>
      </c>
      <c r="CA28" s="153" t="str">
        <f t="shared" si="33"/>
        <v>F</v>
      </c>
      <c r="CB28" s="153">
        <f t="shared" si="34"/>
        <v>3.53125</v>
      </c>
      <c r="CC28" s="66"/>
    </row>
    <row r="29" spans="1:81" ht="27.95" customHeight="1">
      <c r="A29" s="67">
        <v>22</v>
      </c>
      <c r="B29" s="48">
        <v>28</v>
      </c>
      <c r="C29" s="39" t="s">
        <v>161</v>
      </c>
      <c r="D29" s="39" t="s">
        <v>162</v>
      </c>
      <c r="E29" s="39" t="s">
        <v>163</v>
      </c>
      <c r="F29" s="40" t="s">
        <v>164</v>
      </c>
      <c r="G29" s="112">
        <v>17</v>
      </c>
      <c r="H29" s="112">
        <v>27</v>
      </c>
      <c r="I29" s="113">
        <f t="shared" si="35"/>
        <v>44</v>
      </c>
      <c r="J29" s="112">
        <v>28</v>
      </c>
      <c r="K29" s="113">
        <f t="shared" si="36"/>
        <v>72</v>
      </c>
      <c r="L29" s="112">
        <v>10</v>
      </c>
      <c r="M29" s="112">
        <v>31</v>
      </c>
      <c r="N29" s="113">
        <f t="shared" si="37"/>
        <v>41</v>
      </c>
      <c r="O29" s="113">
        <f t="shared" si="5"/>
        <v>41</v>
      </c>
      <c r="P29" s="113">
        <f t="shared" si="0"/>
        <v>113</v>
      </c>
      <c r="Q29" s="187"/>
      <c r="R29" s="112">
        <f t="shared" si="6"/>
        <v>4</v>
      </c>
      <c r="S29" s="112">
        <v>20</v>
      </c>
      <c r="T29" s="112">
        <v>50</v>
      </c>
      <c r="U29" s="113">
        <f t="shared" si="7"/>
        <v>70</v>
      </c>
      <c r="V29" s="112">
        <v>8</v>
      </c>
      <c r="W29" s="112">
        <v>14</v>
      </c>
      <c r="X29" s="113">
        <f t="shared" si="8"/>
        <v>22</v>
      </c>
      <c r="Y29" s="113">
        <f t="shared" si="9"/>
        <v>92</v>
      </c>
      <c r="Z29" s="113">
        <f t="shared" si="1"/>
        <v>92</v>
      </c>
      <c r="AA29" s="187"/>
      <c r="AB29" s="112">
        <f t="shared" si="10"/>
        <v>3.5</v>
      </c>
      <c r="AC29" s="112">
        <v>18</v>
      </c>
      <c r="AD29" s="112">
        <v>23</v>
      </c>
      <c r="AE29" s="113">
        <f t="shared" si="11"/>
        <v>41</v>
      </c>
      <c r="AF29" s="112">
        <v>24</v>
      </c>
      <c r="AG29" s="113">
        <f t="shared" si="12"/>
        <v>65</v>
      </c>
      <c r="AH29" s="187"/>
      <c r="AI29" s="112">
        <f t="shared" si="39"/>
        <v>3.5</v>
      </c>
      <c r="AJ29" s="112">
        <v>20</v>
      </c>
      <c r="AK29" s="112">
        <v>37</v>
      </c>
      <c r="AL29" s="113">
        <f t="shared" si="40"/>
        <v>57</v>
      </c>
      <c r="AM29" s="112">
        <v>20</v>
      </c>
      <c r="AN29" s="113">
        <f t="shared" si="41"/>
        <v>77</v>
      </c>
      <c r="AO29" s="187"/>
      <c r="AP29" s="112">
        <f t="shared" si="38"/>
        <v>4</v>
      </c>
      <c r="AQ29" s="151">
        <v>22</v>
      </c>
      <c r="AR29" s="129">
        <v>25</v>
      </c>
      <c r="AS29" s="129">
        <f t="shared" si="17"/>
        <v>47</v>
      </c>
      <c r="AT29" s="188"/>
      <c r="AU29" s="112">
        <f t="shared" si="18"/>
        <v>5</v>
      </c>
      <c r="AV29" s="112">
        <v>18</v>
      </c>
      <c r="AW29" s="112">
        <v>29</v>
      </c>
      <c r="AX29" s="113">
        <f t="shared" si="19"/>
        <v>47</v>
      </c>
      <c r="AY29" s="112">
        <v>29</v>
      </c>
      <c r="AZ29" s="113">
        <f t="shared" si="20"/>
        <v>76</v>
      </c>
      <c r="BA29" s="187"/>
      <c r="BB29" s="112">
        <f t="shared" si="21"/>
        <v>4</v>
      </c>
      <c r="BC29" s="112">
        <v>17</v>
      </c>
      <c r="BD29" s="112">
        <v>29</v>
      </c>
      <c r="BE29" s="113">
        <f t="shared" si="22"/>
        <v>46</v>
      </c>
      <c r="BF29" s="112">
        <v>20</v>
      </c>
      <c r="BG29" s="113">
        <f t="shared" si="23"/>
        <v>66</v>
      </c>
      <c r="BH29" s="187"/>
      <c r="BI29" s="112">
        <f t="shared" si="24"/>
        <v>3.5</v>
      </c>
      <c r="BJ29" s="112">
        <v>10</v>
      </c>
      <c r="BK29" s="112">
        <v>36</v>
      </c>
      <c r="BL29" s="113">
        <f t="shared" si="25"/>
        <v>46</v>
      </c>
      <c r="BM29" s="113">
        <f t="shared" si="26"/>
        <v>46</v>
      </c>
      <c r="BN29" s="187"/>
      <c r="BO29" s="112">
        <f t="shared" si="3"/>
        <v>5</v>
      </c>
      <c r="BP29" s="112">
        <f t="shared" si="27"/>
        <v>32.5</v>
      </c>
      <c r="BQ29" s="114">
        <f t="shared" si="28"/>
        <v>4.0625</v>
      </c>
      <c r="BR29" s="114" t="str">
        <f t="shared" si="29"/>
        <v>A</v>
      </c>
      <c r="BS29" s="33" t="str">
        <f t="shared" si="4"/>
        <v>BETTER</v>
      </c>
      <c r="BT29" s="108">
        <f t="shared" si="30"/>
        <v>582</v>
      </c>
      <c r="BU29" s="150">
        <f>'1st_Semester'!BT29</f>
        <v>615</v>
      </c>
      <c r="BV29" s="147">
        <f>'2nd_Semester'!BT29</f>
        <v>619</v>
      </c>
      <c r="BW29" s="147">
        <f t="shared" si="31"/>
        <v>582</v>
      </c>
      <c r="BX29" s="147">
        <f t="shared" si="32"/>
        <v>605.33333333333337</v>
      </c>
      <c r="BY29" s="153">
        <f>'1st_Semester'!BQ29</f>
        <v>4.25</v>
      </c>
      <c r="BZ29" s="153">
        <f>'2nd_Semester'!BQ29</f>
        <v>4.375</v>
      </c>
      <c r="CA29" s="153">
        <f t="shared" si="33"/>
        <v>4.0625</v>
      </c>
      <c r="CB29" s="153">
        <f t="shared" si="34"/>
        <v>4.229166666666667</v>
      </c>
      <c r="CC29" s="66"/>
    </row>
    <row r="30" spans="1:81" ht="27.95" customHeight="1">
      <c r="A30" s="67">
        <v>23</v>
      </c>
      <c r="B30" s="48">
        <v>29</v>
      </c>
      <c r="C30" s="39" t="s">
        <v>165</v>
      </c>
      <c r="D30" s="39" t="s">
        <v>166</v>
      </c>
      <c r="E30" s="39" t="s">
        <v>167</v>
      </c>
      <c r="F30" s="40" t="s">
        <v>168</v>
      </c>
      <c r="G30" s="112">
        <v>14</v>
      </c>
      <c r="H30" s="112">
        <v>25</v>
      </c>
      <c r="I30" s="113">
        <f t="shared" si="35"/>
        <v>39</v>
      </c>
      <c r="J30" s="112">
        <v>20</v>
      </c>
      <c r="K30" s="113">
        <f t="shared" si="36"/>
        <v>59</v>
      </c>
      <c r="L30" s="112">
        <v>9</v>
      </c>
      <c r="M30" s="112">
        <v>26</v>
      </c>
      <c r="N30" s="113">
        <f t="shared" si="37"/>
        <v>35</v>
      </c>
      <c r="O30" s="113">
        <f t="shared" si="5"/>
        <v>35</v>
      </c>
      <c r="P30" s="113">
        <f t="shared" si="0"/>
        <v>94</v>
      </c>
      <c r="Q30" s="187"/>
      <c r="R30" s="112">
        <f t="shared" si="6"/>
        <v>3.5</v>
      </c>
      <c r="S30" s="112">
        <v>20</v>
      </c>
      <c r="T30" s="112">
        <v>41</v>
      </c>
      <c r="U30" s="113">
        <f t="shared" si="7"/>
        <v>61</v>
      </c>
      <c r="V30" s="112">
        <v>9</v>
      </c>
      <c r="W30" s="112">
        <v>18</v>
      </c>
      <c r="X30" s="113">
        <f t="shared" si="8"/>
        <v>27</v>
      </c>
      <c r="Y30" s="113">
        <f t="shared" si="9"/>
        <v>88</v>
      </c>
      <c r="Z30" s="113">
        <f t="shared" si="1"/>
        <v>88</v>
      </c>
      <c r="AA30" s="187"/>
      <c r="AB30" s="112">
        <f t="shared" si="10"/>
        <v>3</v>
      </c>
      <c r="AC30" s="112">
        <v>12</v>
      </c>
      <c r="AD30" s="112">
        <v>20</v>
      </c>
      <c r="AE30" s="113">
        <f t="shared" si="11"/>
        <v>32</v>
      </c>
      <c r="AF30" s="112">
        <v>20</v>
      </c>
      <c r="AG30" s="113">
        <f t="shared" si="12"/>
        <v>52</v>
      </c>
      <c r="AH30" s="187"/>
      <c r="AI30" s="112">
        <f t="shared" si="39"/>
        <v>3</v>
      </c>
      <c r="AJ30" s="112">
        <v>19</v>
      </c>
      <c r="AK30" s="112">
        <v>34</v>
      </c>
      <c r="AL30" s="113">
        <f t="shared" si="40"/>
        <v>53</v>
      </c>
      <c r="AM30" s="112">
        <v>21</v>
      </c>
      <c r="AN30" s="113">
        <f t="shared" si="41"/>
        <v>74</v>
      </c>
      <c r="AO30" s="187"/>
      <c r="AP30" s="112">
        <f t="shared" si="38"/>
        <v>4</v>
      </c>
      <c r="AQ30" s="152">
        <v>24</v>
      </c>
      <c r="AR30" s="129">
        <v>25</v>
      </c>
      <c r="AS30" s="129">
        <f t="shared" si="17"/>
        <v>49</v>
      </c>
      <c r="AT30" s="188"/>
      <c r="AU30" s="112">
        <f t="shared" si="18"/>
        <v>5</v>
      </c>
      <c r="AV30" s="112">
        <v>16</v>
      </c>
      <c r="AW30" s="112">
        <v>20</v>
      </c>
      <c r="AX30" s="113">
        <f t="shared" si="19"/>
        <v>36</v>
      </c>
      <c r="AY30" s="112">
        <v>23</v>
      </c>
      <c r="AZ30" s="113">
        <f t="shared" si="20"/>
        <v>59</v>
      </c>
      <c r="BA30" s="187"/>
      <c r="BB30" s="112">
        <f t="shared" si="21"/>
        <v>3</v>
      </c>
      <c r="BC30" s="112">
        <v>14</v>
      </c>
      <c r="BD30" s="112">
        <v>36</v>
      </c>
      <c r="BE30" s="113">
        <f t="shared" si="22"/>
        <v>50</v>
      </c>
      <c r="BF30" s="112">
        <v>22</v>
      </c>
      <c r="BG30" s="113">
        <f t="shared" si="23"/>
        <v>72</v>
      </c>
      <c r="BH30" s="187"/>
      <c r="BI30" s="112">
        <f t="shared" si="24"/>
        <v>4</v>
      </c>
      <c r="BJ30" s="112">
        <v>10</v>
      </c>
      <c r="BK30" s="112">
        <v>30</v>
      </c>
      <c r="BL30" s="113">
        <f t="shared" si="25"/>
        <v>40</v>
      </c>
      <c r="BM30" s="113">
        <f t="shared" si="26"/>
        <v>40</v>
      </c>
      <c r="BN30" s="187"/>
      <c r="BO30" s="112">
        <f t="shared" si="3"/>
        <v>5</v>
      </c>
      <c r="BP30" s="112">
        <f t="shared" si="27"/>
        <v>30.5</v>
      </c>
      <c r="BQ30" s="114">
        <f t="shared" si="28"/>
        <v>3.8125</v>
      </c>
      <c r="BR30" s="114" t="str">
        <f t="shared" si="29"/>
        <v>A-</v>
      </c>
      <c r="BS30" s="33" t="str">
        <f t="shared" si="4"/>
        <v>GOOD</v>
      </c>
      <c r="BT30" s="108">
        <f t="shared" si="30"/>
        <v>528</v>
      </c>
      <c r="BU30" s="150">
        <f>'1st_Semester'!BT30</f>
        <v>493</v>
      </c>
      <c r="BV30" s="147">
        <f>'2nd_Semester'!BT30</f>
        <v>553</v>
      </c>
      <c r="BW30" s="147">
        <f t="shared" si="31"/>
        <v>528</v>
      </c>
      <c r="BX30" s="147">
        <f t="shared" si="32"/>
        <v>524.66666666666663</v>
      </c>
      <c r="BY30" s="153">
        <f>'1st_Semester'!BQ30</f>
        <v>3.5</v>
      </c>
      <c r="BZ30" s="153">
        <f>'2nd_Semester'!BQ30</f>
        <v>4.0625</v>
      </c>
      <c r="CA30" s="153">
        <f t="shared" si="33"/>
        <v>3.8125</v>
      </c>
      <c r="CB30" s="153">
        <f t="shared" si="34"/>
        <v>3.7916666666666665</v>
      </c>
      <c r="CC30" s="66"/>
    </row>
    <row r="31" spans="1:81" ht="27.95" customHeight="1">
      <c r="A31" s="67">
        <v>24</v>
      </c>
      <c r="B31" s="48">
        <v>63</v>
      </c>
      <c r="C31" s="39" t="s">
        <v>169</v>
      </c>
      <c r="D31" s="39" t="s">
        <v>170</v>
      </c>
      <c r="E31" s="39" t="s">
        <v>171</v>
      </c>
      <c r="F31" s="40" t="s">
        <v>172</v>
      </c>
      <c r="G31" s="112">
        <v>19</v>
      </c>
      <c r="H31" s="112">
        <v>27</v>
      </c>
      <c r="I31" s="113">
        <f t="shared" si="35"/>
        <v>46</v>
      </c>
      <c r="J31" s="112">
        <v>28</v>
      </c>
      <c r="K31" s="113">
        <f t="shared" si="36"/>
        <v>74</v>
      </c>
      <c r="L31" s="112">
        <v>10</v>
      </c>
      <c r="M31" s="112">
        <v>30</v>
      </c>
      <c r="N31" s="113">
        <f t="shared" si="37"/>
        <v>40</v>
      </c>
      <c r="O31" s="113">
        <f t="shared" si="5"/>
        <v>40</v>
      </c>
      <c r="P31" s="113">
        <f t="shared" si="0"/>
        <v>114</v>
      </c>
      <c r="Q31" s="187"/>
      <c r="R31" s="112">
        <f t="shared" si="6"/>
        <v>4</v>
      </c>
      <c r="S31" s="112">
        <v>20</v>
      </c>
      <c r="T31" s="112">
        <v>46</v>
      </c>
      <c r="U31" s="113">
        <f t="shared" si="7"/>
        <v>66</v>
      </c>
      <c r="V31" s="112">
        <v>10</v>
      </c>
      <c r="W31" s="112">
        <v>29</v>
      </c>
      <c r="X31" s="113">
        <f t="shared" si="8"/>
        <v>39</v>
      </c>
      <c r="Y31" s="113">
        <f t="shared" si="9"/>
        <v>105</v>
      </c>
      <c r="Z31" s="113">
        <f t="shared" si="1"/>
        <v>105</v>
      </c>
      <c r="AA31" s="187"/>
      <c r="AB31" s="112">
        <f t="shared" si="10"/>
        <v>4</v>
      </c>
      <c r="AC31" s="112">
        <v>19</v>
      </c>
      <c r="AD31" s="112">
        <v>39</v>
      </c>
      <c r="AE31" s="113">
        <f t="shared" si="11"/>
        <v>58</v>
      </c>
      <c r="AF31" s="112">
        <v>25</v>
      </c>
      <c r="AG31" s="113">
        <f t="shared" si="12"/>
        <v>83</v>
      </c>
      <c r="AH31" s="187"/>
      <c r="AI31" s="112">
        <f t="shared" si="39"/>
        <v>5</v>
      </c>
      <c r="AJ31" s="112">
        <v>20</v>
      </c>
      <c r="AK31" s="112">
        <v>45</v>
      </c>
      <c r="AL31" s="113">
        <f t="shared" si="40"/>
        <v>65</v>
      </c>
      <c r="AM31" s="112">
        <v>26</v>
      </c>
      <c r="AN31" s="113">
        <f t="shared" si="41"/>
        <v>91</v>
      </c>
      <c r="AO31" s="187"/>
      <c r="AP31" s="112">
        <f t="shared" si="38"/>
        <v>5</v>
      </c>
      <c r="AQ31" s="152">
        <v>24</v>
      </c>
      <c r="AR31" s="129">
        <v>25</v>
      </c>
      <c r="AS31" s="129">
        <f t="shared" si="17"/>
        <v>49</v>
      </c>
      <c r="AT31" s="188"/>
      <c r="AU31" s="112">
        <f t="shared" si="18"/>
        <v>5</v>
      </c>
      <c r="AV31" s="112">
        <v>19</v>
      </c>
      <c r="AW31" s="112">
        <v>41</v>
      </c>
      <c r="AX31" s="113">
        <f t="shared" si="19"/>
        <v>60</v>
      </c>
      <c r="AY31" s="112">
        <v>25</v>
      </c>
      <c r="AZ31" s="113">
        <f t="shared" si="20"/>
        <v>85</v>
      </c>
      <c r="BA31" s="187"/>
      <c r="BB31" s="112">
        <f t="shared" si="21"/>
        <v>5</v>
      </c>
      <c r="BC31" s="112">
        <v>20</v>
      </c>
      <c r="BD31" s="112">
        <v>24</v>
      </c>
      <c r="BE31" s="113">
        <f t="shared" si="22"/>
        <v>44</v>
      </c>
      <c r="BF31" s="112">
        <v>28</v>
      </c>
      <c r="BG31" s="113">
        <f t="shared" si="23"/>
        <v>72</v>
      </c>
      <c r="BH31" s="187"/>
      <c r="BI31" s="112">
        <f t="shared" si="24"/>
        <v>4</v>
      </c>
      <c r="BJ31" s="112">
        <v>10</v>
      </c>
      <c r="BK31" s="112">
        <v>36</v>
      </c>
      <c r="BL31" s="113">
        <f t="shared" si="25"/>
        <v>46</v>
      </c>
      <c r="BM31" s="113">
        <f t="shared" si="26"/>
        <v>46</v>
      </c>
      <c r="BN31" s="187"/>
      <c r="BO31" s="112">
        <f t="shared" si="3"/>
        <v>5</v>
      </c>
      <c r="BP31" s="112">
        <f t="shared" si="27"/>
        <v>37</v>
      </c>
      <c r="BQ31" s="114">
        <f t="shared" si="28"/>
        <v>4.625</v>
      </c>
      <c r="BR31" s="114" t="str">
        <f t="shared" si="29"/>
        <v>A</v>
      </c>
      <c r="BS31" s="33" t="str">
        <f t="shared" si="4"/>
        <v>BETTER</v>
      </c>
      <c r="BT31" s="108">
        <f t="shared" si="30"/>
        <v>645</v>
      </c>
      <c r="BU31" s="150">
        <f>'1st_Semester'!BT31</f>
        <v>665</v>
      </c>
      <c r="BV31" s="147">
        <f>'2nd_Semester'!BT31</f>
        <v>661</v>
      </c>
      <c r="BW31" s="147">
        <f t="shared" si="31"/>
        <v>645</v>
      </c>
      <c r="BX31" s="147">
        <f t="shared" si="32"/>
        <v>657</v>
      </c>
      <c r="BY31" s="153">
        <f>'1st_Semester'!BQ31</f>
        <v>4.6875</v>
      </c>
      <c r="BZ31" s="153">
        <f>'2nd_Semester'!BQ31</f>
        <v>4.625</v>
      </c>
      <c r="CA31" s="153">
        <f t="shared" si="33"/>
        <v>4.625</v>
      </c>
      <c r="CB31" s="153">
        <f t="shared" si="34"/>
        <v>4.645833333333333</v>
      </c>
      <c r="CC31" s="66"/>
    </row>
    <row r="32" spans="1:81" ht="27.95" customHeight="1">
      <c r="A32" s="67">
        <v>25</v>
      </c>
      <c r="B32" s="48">
        <v>65</v>
      </c>
      <c r="C32" s="41" t="s">
        <v>173</v>
      </c>
      <c r="D32" s="39" t="s">
        <v>174</v>
      </c>
      <c r="E32" s="39" t="s">
        <v>175</v>
      </c>
      <c r="F32" s="40" t="s">
        <v>176</v>
      </c>
      <c r="G32" s="112">
        <v>16</v>
      </c>
      <c r="H32" s="112">
        <v>29</v>
      </c>
      <c r="I32" s="113">
        <f t="shared" si="35"/>
        <v>45</v>
      </c>
      <c r="J32" s="112">
        <v>27</v>
      </c>
      <c r="K32" s="113">
        <f t="shared" si="36"/>
        <v>72</v>
      </c>
      <c r="L32" s="112">
        <v>10</v>
      </c>
      <c r="M32" s="112">
        <v>28</v>
      </c>
      <c r="N32" s="113">
        <f t="shared" si="37"/>
        <v>38</v>
      </c>
      <c r="O32" s="113">
        <f t="shared" si="5"/>
        <v>38</v>
      </c>
      <c r="P32" s="113">
        <f t="shared" si="0"/>
        <v>110</v>
      </c>
      <c r="Q32" s="187"/>
      <c r="R32" s="112">
        <f t="shared" si="6"/>
        <v>4</v>
      </c>
      <c r="S32" s="112">
        <v>20</v>
      </c>
      <c r="T32" s="112">
        <v>48</v>
      </c>
      <c r="U32" s="113">
        <f t="shared" si="7"/>
        <v>68</v>
      </c>
      <c r="V32" s="112">
        <v>9</v>
      </c>
      <c r="W32" s="112">
        <v>15</v>
      </c>
      <c r="X32" s="113">
        <f t="shared" si="8"/>
        <v>24</v>
      </c>
      <c r="Y32" s="113">
        <f t="shared" si="9"/>
        <v>92</v>
      </c>
      <c r="Z32" s="113">
        <f t="shared" si="1"/>
        <v>92</v>
      </c>
      <c r="AA32" s="187"/>
      <c r="AB32" s="112">
        <f t="shared" si="10"/>
        <v>3.5</v>
      </c>
      <c r="AC32" s="112">
        <v>16</v>
      </c>
      <c r="AD32" s="112">
        <v>26</v>
      </c>
      <c r="AE32" s="113">
        <f t="shared" si="11"/>
        <v>42</v>
      </c>
      <c r="AF32" s="112">
        <v>19</v>
      </c>
      <c r="AG32" s="113">
        <f t="shared" si="12"/>
        <v>61</v>
      </c>
      <c r="AH32" s="187"/>
      <c r="AI32" s="112">
        <f t="shared" si="39"/>
        <v>3.5</v>
      </c>
      <c r="AJ32" s="112">
        <v>19</v>
      </c>
      <c r="AK32" s="112">
        <v>31</v>
      </c>
      <c r="AL32" s="113">
        <f t="shared" si="40"/>
        <v>50</v>
      </c>
      <c r="AM32" s="112">
        <v>14</v>
      </c>
      <c r="AN32" s="113">
        <f t="shared" si="41"/>
        <v>64</v>
      </c>
      <c r="AO32" s="187"/>
      <c r="AP32" s="112">
        <f t="shared" si="38"/>
        <v>3.5</v>
      </c>
      <c r="AQ32" s="152">
        <v>22</v>
      </c>
      <c r="AR32" s="129">
        <v>25</v>
      </c>
      <c r="AS32" s="129">
        <f t="shared" si="17"/>
        <v>47</v>
      </c>
      <c r="AT32" s="188"/>
      <c r="AU32" s="112">
        <f t="shared" si="18"/>
        <v>5</v>
      </c>
      <c r="AV32" s="112">
        <v>14</v>
      </c>
      <c r="AW32" s="112">
        <v>38</v>
      </c>
      <c r="AX32" s="113">
        <f t="shared" si="19"/>
        <v>52</v>
      </c>
      <c r="AY32" s="112">
        <v>20</v>
      </c>
      <c r="AZ32" s="113">
        <f t="shared" si="20"/>
        <v>72</v>
      </c>
      <c r="BA32" s="187"/>
      <c r="BB32" s="112">
        <f t="shared" si="21"/>
        <v>4</v>
      </c>
      <c r="BC32" s="112">
        <v>17</v>
      </c>
      <c r="BD32" s="112">
        <v>42</v>
      </c>
      <c r="BE32" s="113">
        <f t="shared" si="22"/>
        <v>59</v>
      </c>
      <c r="BF32" s="112">
        <v>27</v>
      </c>
      <c r="BG32" s="113">
        <f t="shared" si="23"/>
        <v>86</v>
      </c>
      <c r="BH32" s="187"/>
      <c r="BI32" s="112">
        <f t="shared" si="24"/>
        <v>5</v>
      </c>
      <c r="BJ32" s="112">
        <v>10</v>
      </c>
      <c r="BK32" s="112">
        <v>40</v>
      </c>
      <c r="BL32" s="113">
        <f t="shared" si="25"/>
        <v>50</v>
      </c>
      <c r="BM32" s="113">
        <f t="shared" si="26"/>
        <v>50</v>
      </c>
      <c r="BN32" s="187"/>
      <c r="BO32" s="112">
        <f t="shared" si="3"/>
        <v>5</v>
      </c>
      <c r="BP32" s="112">
        <f t="shared" si="27"/>
        <v>33.5</v>
      </c>
      <c r="BQ32" s="114">
        <f t="shared" si="28"/>
        <v>4.1875</v>
      </c>
      <c r="BR32" s="114" t="str">
        <f t="shared" si="29"/>
        <v>A</v>
      </c>
      <c r="BS32" s="33" t="str">
        <f t="shared" si="4"/>
        <v>BETTER</v>
      </c>
      <c r="BT32" s="108">
        <f t="shared" si="30"/>
        <v>582</v>
      </c>
      <c r="BU32" s="150">
        <f>'1st_Semester'!BT32</f>
        <v>502</v>
      </c>
      <c r="BV32" s="147">
        <f>'2nd_Semester'!BT32</f>
        <v>589</v>
      </c>
      <c r="BW32" s="147">
        <f t="shared" si="31"/>
        <v>582</v>
      </c>
      <c r="BX32" s="147">
        <f t="shared" si="32"/>
        <v>557.66666666666663</v>
      </c>
      <c r="BY32" s="153">
        <f>'1st_Semester'!BQ32</f>
        <v>3.5625</v>
      </c>
      <c r="BZ32" s="153">
        <f>'2nd_Semester'!BQ32</f>
        <v>4.25</v>
      </c>
      <c r="CA32" s="153">
        <f t="shared" si="33"/>
        <v>4.1875</v>
      </c>
      <c r="CB32" s="153">
        <f t="shared" si="34"/>
        <v>4</v>
      </c>
      <c r="CC32" s="66"/>
    </row>
    <row r="33" spans="1:81" ht="27.95" customHeight="1">
      <c r="A33" s="67">
        <v>26</v>
      </c>
      <c r="B33" s="48">
        <v>66</v>
      </c>
      <c r="C33" s="39" t="s">
        <v>177</v>
      </c>
      <c r="D33" s="39" t="s">
        <v>178</v>
      </c>
      <c r="E33" s="39" t="s">
        <v>179</v>
      </c>
      <c r="F33" s="40" t="s">
        <v>180</v>
      </c>
      <c r="G33" s="112">
        <v>18</v>
      </c>
      <c r="H33" s="112">
        <v>21</v>
      </c>
      <c r="I33" s="113">
        <f t="shared" si="35"/>
        <v>39</v>
      </c>
      <c r="J33" s="112">
        <v>23</v>
      </c>
      <c r="K33" s="113">
        <f t="shared" si="36"/>
        <v>62</v>
      </c>
      <c r="L33" s="112">
        <v>9</v>
      </c>
      <c r="M33" s="112">
        <v>23</v>
      </c>
      <c r="N33" s="113">
        <f t="shared" si="37"/>
        <v>32</v>
      </c>
      <c r="O33" s="113">
        <f t="shared" si="5"/>
        <v>32</v>
      </c>
      <c r="P33" s="113">
        <f t="shared" si="0"/>
        <v>94</v>
      </c>
      <c r="Q33" s="187"/>
      <c r="R33" s="112">
        <f t="shared" si="6"/>
        <v>3.5</v>
      </c>
      <c r="S33" s="112">
        <v>20</v>
      </c>
      <c r="T33" s="112">
        <v>32</v>
      </c>
      <c r="U33" s="113">
        <f t="shared" si="7"/>
        <v>52</v>
      </c>
      <c r="V33" s="112">
        <v>9</v>
      </c>
      <c r="W33" s="112">
        <v>14</v>
      </c>
      <c r="X33" s="113">
        <f t="shared" si="8"/>
        <v>23</v>
      </c>
      <c r="Y33" s="113">
        <f t="shared" si="9"/>
        <v>75</v>
      </c>
      <c r="Z33" s="113">
        <f t="shared" si="1"/>
        <v>75</v>
      </c>
      <c r="AA33" s="187"/>
      <c r="AB33" s="112">
        <f t="shared" si="10"/>
        <v>3</v>
      </c>
      <c r="AC33" s="112">
        <v>19</v>
      </c>
      <c r="AD33" s="112">
        <v>37</v>
      </c>
      <c r="AE33" s="113">
        <f t="shared" si="11"/>
        <v>56</v>
      </c>
      <c r="AF33" s="112">
        <v>24</v>
      </c>
      <c r="AG33" s="113">
        <f t="shared" si="12"/>
        <v>80</v>
      </c>
      <c r="AH33" s="187"/>
      <c r="AI33" s="112">
        <f t="shared" si="39"/>
        <v>5</v>
      </c>
      <c r="AJ33" s="112">
        <v>19</v>
      </c>
      <c r="AK33" s="112">
        <v>34</v>
      </c>
      <c r="AL33" s="113">
        <f t="shared" si="40"/>
        <v>53</v>
      </c>
      <c r="AM33" s="112">
        <v>24</v>
      </c>
      <c r="AN33" s="113">
        <f t="shared" si="41"/>
        <v>77</v>
      </c>
      <c r="AO33" s="187"/>
      <c r="AP33" s="112">
        <f t="shared" si="38"/>
        <v>4</v>
      </c>
      <c r="AQ33" s="152">
        <v>24</v>
      </c>
      <c r="AR33" s="129">
        <v>25</v>
      </c>
      <c r="AS33" s="129">
        <f t="shared" si="17"/>
        <v>49</v>
      </c>
      <c r="AT33" s="188"/>
      <c r="AU33" s="112">
        <f t="shared" si="18"/>
        <v>5</v>
      </c>
      <c r="AV33" s="112">
        <v>19</v>
      </c>
      <c r="AW33" s="112">
        <v>33</v>
      </c>
      <c r="AX33" s="113">
        <f t="shared" si="19"/>
        <v>52</v>
      </c>
      <c r="AY33" s="112">
        <v>25</v>
      </c>
      <c r="AZ33" s="113">
        <f t="shared" si="20"/>
        <v>77</v>
      </c>
      <c r="BA33" s="187"/>
      <c r="BB33" s="112">
        <f t="shared" si="21"/>
        <v>4</v>
      </c>
      <c r="BC33" s="112">
        <v>19</v>
      </c>
      <c r="BD33" s="112">
        <v>24</v>
      </c>
      <c r="BE33" s="113">
        <f t="shared" si="22"/>
        <v>43</v>
      </c>
      <c r="BF33" s="112">
        <v>23</v>
      </c>
      <c r="BG33" s="113">
        <f t="shared" si="23"/>
        <v>66</v>
      </c>
      <c r="BH33" s="187"/>
      <c r="BI33" s="112">
        <f t="shared" si="24"/>
        <v>3.5</v>
      </c>
      <c r="BJ33" s="112">
        <v>10</v>
      </c>
      <c r="BK33" s="112">
        <v>40</v>
      </c>
      <c r="BL33" s="113">
        <f t="shared" si="25"/>
        <v>50</v>
      </c>
      <c r="BM33" s="113">
        <f t="shared" si="26"/>
        <v>50</v>
      </c>
      <c r="BN33" s="187"/>
      <c r="BO33" s="112">
        <f t="shared" si="3"/>
        <v>5</v>
      </c>
      <c r="BP33" s="112">
        <f t="shared" si="27"/>
        <v>33</v>
      </c>
      <c r="BQ33" s="114">
        <f t="shared" si="28"/>
        <v>4.125</v>
      </c>
      <c r="BR33" s="114" t="str">
        <f t="shared" si="29"/>
        <v>A</v>
      </c>
      <c r="BS33" s="33" t="str">
        <f t="shared" si="4"/>
        <v>BETTER</v>
      </c>
      <c r="BT33" s="108">
        <f t="shared" si="30"/>
        <v>568</v>
      </c>
      <c r="BU33" s="150">
        <f>'1st_Semester'!BT33</f>
        <v>582</v>
      </c>
      <c r="BV33" s="147">
        <f>'2nd_Semester'!BT33</f>
        <v>619</v>
      </c>
      <c r="BW33" s="147">
        <f t="shared" si="31"/>
        <v>568</v>
      </c>
      <c r="BX33" s="147">
        <f t="shared" si="32"/>
        <v>589.66666666666663</v>
      </c>
      <c r="BY33" s="153">
        <f>'1st_Semester'!BQ33</f>
        <v>4.1875</v>
      </c>
      <c r="BZ33" s="153">
        <f>'2nd_Semester'!BQ33</f>
        <v>4.375</v>
      </c>
      <c r="CA33" s="153">
        <f t="shared" si="33"/>
        <v>4.125</v>
      </c>
      <c r="CB33" s="153">
        <f t="shared" si="34"/>
        <v>4.229166666666667</v>
      </c>
      <c r="CC33" s="66"/>
    </row>
    <row r="34" spans="1:81" ht="27.95" customHeight="1">
      <c r="A34" s="67">
        <v>27</v>
      </c>
      <c r="B34" s="48">
        <v>72</v>
      </c>
      <c r="C34" s="39" t="s">
        <v>181</v>
      </c>
      <c r="D34" s="39" t="s">
        <v>182</v>
      </c>
      <c r="E34" s="39" t="s">
        <v>183</v>
      </c>
      <c r="F34" s="40" t="s">
        <v>184</v>
      </c>
      <c r="G34" s="112">
        <v>16</v>
      </c>
      <c r="H34" s="112">
        <v>38</v>
      </c>
      <c r="I34" s="113">
        <f t="shared" si="35"/>
        <v>54</v>
      </c>
      <c r="J34" s="112">
        <v>29</v>
      </c>
      <c r="K34" s="113">
        <f t="shared" si="36"/>
        <v>83</v>
      </c>
      <c r="L34" s="112">
        <v>10</v>
      </c>
      <c r="M34" s="112">
        <v>34</v>
      </c>
      <c r="N34" s="113">
        <f t="shared" si="37"/>
        <v>44</v>
      </c>
      <c r="O34" s="113">
        <f t="shared" si="5"/>
        <v>44</v>
      </c>
      <c r="P34" s="113">
        <f t="shared" si="0"/>
        <v>127</v>
      </c>
      <c r="Q34" s="187"/>
      <c r="R34" s="112">
        <f t="shared" si="6"/>
        <v>5</v>
      </c>
      <c r="S34" s="112">
        <v>20</v>
      </c>
      <c r="T34" s="112">
        <v>62</v>
      </c>
      <c r="U34" s="113">
        <f t="shared" si="7"/>
        <v>82</v>
      </c>
      <c r="V34" s="112">
        <v>10</v>
      </c>
      <c r="W34" s="112">
        <v>30</v>
      </c>
      <c r="X34" s="113">
        <f t="shared" si="8"/>
        <v>40</v>
      </c>
      <c r="Y34" s="113">
        <f t="shared" si="9"/>
        <v>122</v>
      </c>
      <c r="Z34" s="113">
        <f t="shared" si="1"/>
        <v>122</v>
      </c>
      <c r="AA34" s="187"/>
      <c r="AB34" s="112">
        <f t="shared" si="10"/>
        <v>5</v>
      </c>
      <c r="AC34" s="112">
        <v>18</v>
      </c>
      <c r="AD34" s="112">
        <v>39</v>
      </c>
      <c r="AE34" s="113">
        <f t="shared" si="11"/>
        <v>57</v>
      </c>
      <c r="AF34" s="112">
        <v>19</v>
      </c>
      <c r="AG34" s="113">
        <f t="shared" si="12"/>
        <v>76</v>
      </c>
      <c r="AH34" s="187"/>
      <c r="AI34" s="112">
        <f t="shared" si="39"/>
        <v>4</v>
      </c>
      <c r="AJ34" s="112">
        <v>20</v>
      </c>
      <c r="AK34" s="112">
        <v>43</v>
      </c>
      <c r="AL34" s="113">
        <f t="shared" si="40"/>
        <v>63</v>
      </c>
      <c r="AM34" s="112">
        <v>23</v>
      </c>
      <c r="AN34" s="113">
        <f t="shared" si="41"/>
        <v>86</v>
      </c>
      <c r="AO34" s="187"/>
      <c r="AP34" s="112">
        <f t="shared" si="38"/>
        <v>5</v>
      </c>
      <c r="AQ34" s="152">
        <v>22</v>
      </c>
      <c r="AR34" s="129">
        <v>25</v>
      </c>
      <c r="AS34" s="129">
        <f t="shared" si="17"/>
        <v>47</v>
      </c>
      <c r="AT34" s="188"/>
      <c r="AU34" s="112">
        <f t="shared" si="18"/>
        <v>5</v>
      </c>
      <c r="AV34" s="112">
        <v>20</v>
      </c>
      <c r="AW34" s="112">
        <v>44</v>
      </c>
      <c r="AX34" s="113">
        <f t="shared" si="19"/>
        <v>64</v>
      </c>
      <c r="AY34" s="112">
        <v>22</v>
      </c>
      <c r="AZ34" s="113">
        <f t="shared" si="20"/>
        <v>86</v>
      </c>
      <c r="BA34" s="187"/>
      <c r="BB34" s="112">
        <f t="shared" si="21"/>
        <v>5</v>
      </c>
      <c r="BC34" s="112">
        <v>16</v>
      </c>
      <c r="BD34" s="112">
        <v>37</v>
      </c>
      <c r="BE34" s="113">
        <f t="shared" si="22"/>
        <v>53</v>
      </c>
      <c r="BF34" s="112">
        <v>28</v>
      </c>
      <c r="BG34" s="113">
        <f t="shared" si="23"/>
        <v>81</v>
      </c>
      <c r="BH34" s="187"/>
      <c r="BI34" s="112">
        <f t="shared" si="24"/>
        <v>5</v>
      </c>
      <c r="BJ34" s="112">
        <v>10</v>
      </c>
      <c r="BK34" s="112">
        <v>40</v>
      </c>
      <c r="BL34" s="113">
        <f t="shared" si="25"/>
        <v>50</v>
      </c>
      <c r="BM34" s="113">
        <f t="shared" si="26"/>
        <v>50</v>
      </c>
      <c r="BN34" s="187"/>
      <c r="BO34" s="112">
        <f t="shared" si="3"/>
        <v>5</v>
      </c>
      <c r="BP34" s="112">
        <f t="shared" si="27"/>
        <v>39</v>
      </c>
      <c r="BQ34" s="114">
        <f t="shared" si="28"/>
        <v>4.875</v>
      </c>
      <c r="BR34" s="114" t="str">
        <f t="shared" si="29"/>
        <v>A</v>
      </c>
      <c r="BS34" s="33" t="str">
        <f t="shared" si="4"/>
        <v>BETTER</v>
      </c>
      <c r="BT34" s="108">
        <f t="shared" si="30"/>
        <v>675</v>
      </c>
      <c r="BU34" s="150">
        <f>'1st_Semester'!BT34</f>
        <v>654</v>
      </c>
      <c r="BV34" s="147">
        <f>'2nd_Semester'!BT34</f>
        <v>628</v>
      </c>
      <c r="BW34" s="147">
        <f t="shared" si="31"/>
        <v>675</v>
      </c>
      <c r="BX34" s="147">
        <f t="shared" si="32"/>
        <v>652.33333333333337</v>
      </c>
      <c r="BY34" s="153">
        <f>'1st_Semester'!BQ34</f>
        <v>4.625</v>
      </c>
      <c r="BZ34" s="153">
        <f>'2nd_Semester'!BQ34</f>
        <v>4.6875</v>
      </c>
      <c r="CA34" s="153">
        <f t="shared" si="33"/>
        <v>4.875</v>
      </c>
      <c r="CB34" s="153">
        <f t="shared" si="34"/>
        <v>4.729166666666667</v>
      </c>
      <c r="CC34" s="66"/>
    </row>
    <row r="35" spans="1:81" ht="27.95" customHeight="1">
      <c r="A35" s="67">
        <v>28</v>
      </c>
      <c r="B35" s="48">
        <v>73</v>
      </c>
      <c r="C35" s="39" t="s">
        <v>185</v>
      </c>
      <c r="D35" s="39" t="s">
        <v>186</v>
      </c>
      <c r="E35" s="39" t="s">
        <v>187</v>
      </c>
      <c r="F35" s="40" t="s">
        <v>188</v>
      </c>
      <c r="G35" s="112">
        <v>19</v>
      </c>
      <c r="H35" s="112">
        <v>20</v>
      </c>
      <c r="I35" s="113">
        <f t="shared" si="35"/>
        <v>39</v>
      </c>
      <c r="J35" s="112">
        <v>28</v>
      </c>
      <c r="K35" s="113">
        <f t="shared" si="36"/>
        <v>67</v>
      </c>
      <c r="L35" s="112">
        <v>9</v>
      </c>
      <c r="M35" s="112">
        <v>29</v>
      </c>
      <c r="N35" s="113">
        <f t="shared" si="37"/>
        <v>38</v>
      </c>
      <c r="O35" s="113">
        <f t="shared" si="5"/>
        <v>38</v>
      </c>
      <c r="P35" s="113">
        <f t="shared" si="0"/>
        <v>105</v>
      </c>
      <c r="Q35" s="187"/>
      <c r="R35" s="112">
        <f t="shared" si="6"/>
        <v>4</v>
      </c>
      <c r="S35" s="112">
        <v>20</v>
      </c>
      <c r="T35" s="112">
        <v>64</v>
      </c>
      <c r="U35" s="113">
        <f t="shared" si="7"/>
        <v>84</v>
      </c>
      <c r="V35" s="112">
        <v>9</v>
      </c>
      <c r="W35" s="112">
        <v>16</v>
      </c>
      <c r="X35" s="113">
        <f t="shared" si="8"/>
        <v>25</v>
      </c>
      <c r="Y35" s="113">
        <f t="shared" si="9"/>
        <v>109</v>
      </c>
      <c r="Z35" s="113">
        <f t="shared" si="1"/>
        <v>109</v>
      </c>
      <c r="AA35" s="187"/>
      <c r="AB35" s="112">
        <f t="shared" si="10"/>
        <v>4</v>
      </c>
      <c r="AC35" s="112">
        <v>16</v>
      </c>
      <c r="AD35" s="112">
        <v>29</v>
      </c>
      <c r="AE35" s="113">
        <f t="shared" si="11"/>
        <v>45</v>
      </c>
      <c r="AF35" s="112">
        <v>26</v>
      </c>
      <c r="AG35" s="113">
        <f t="shared" si="12"/>
        <v>71</v>
      </c>
      <c r="AH35" s="187"/>
      <c r="AI35" s="112">
        <f t="shared" si="39"/>
        <v>4</v>
      </c>
      <c r="AJ35" s="112">
        <v>19</v>
      </c>
      <c r="AK35" s="112">
        <v>32</v>
      </c>
      <c r="AL35" s="113">
        <f t="shared" si="40"/>
        <v>51</v>
      </c>
      <c r="AM35" s="112">
        <v>20</v>
      </c>
      <c r="AN35" s="113">
        <f t="shared" si="41"/>
        <v>71</v>
      </c>
      <c r="AO35" s="187"/>
      <c r="AP35" s="112">
        <f t="shared" si="38"/>
        <v>4</v>
      </c>
      <c r="AQ35" s="152">
        <v>23</v>
      </c>
      <c r="AR35" s="129">
        <v>25</v>
      </c>
      <c r="AS35" s="129">
        <f t="shared" si="17"/>
        <v>48</v>
      </c>
      <c r="AT35" s="188"/>
      <c r="AU35" s="112">
        <f t="shared" si="18"/>
        <v>5</v>
      </c>
      <c r="AV35" s="112">
        <v>19</v>
      </c>
      <c r="AW35" s="112">
        <v>25</v>
      </c>
      <c r="AX35" s="113">
        <f t="shared" si="19"/>
        <v>44</v>
      </c>
      <c r="AY35" s="112">
        <v>27</v>
      </c>
      <c r="AZ35" s="113">
        <f t="shared" si="20"/>
        <v>71</v>
      </c>
      <c r="BA35" s="187"/>
      <c r="BB35" s="112">
        <f t="shared" si="21"/>
        <v>4</v>
      </c>
      <c r="BC35" s="112">
        <v>18</v>
      </c>
      <c r="BD35" s="112">
        <v>31</v>
      </c>
      <c r="BE35" s="113">
        <f t="shared" si="22"/>
        <v>49</v>
      </c>
      <c r="BF35" s="112">
        <v>28</v>
      </c>
      <c r="BG35" s="113">
        <f t="shared" si="23"/>
        <v>77</v>
      </c>
      <c r="BH35" s="187"/>
      <c r="BI35" s="112">
        <f t="shared" si="24"/>
        <v>4</v>
      </c>
      <c r="BJ35" s="112">
        <v>10</v>
      </c>
      <c r="BK35" s="112">
        <v>36</v>
      </c>
      <c r="BL35" s="113">
        <f t="shared" si="25"/>
        <v>46</v>
      </c>
      <c r="BM35" s="113">
        <f t="shared" si="26"/>
        <v>46</v>
      </c>
      <c r="BN35" s="187"/>
      <c r="BO35" s="112">
        <f t="shared" si="3"/>
        <v>5</v>
      </c>
      <c r="BP35" s="112">
        <f t="shared" si="27"/>
        <v>34</v>
      </c>
      <c r="BQ35" s="114">
        <f t="shared" si="28"/>
        <v>4.25</v>
      </c>
      <c r="BR35" s="114" t="str">
        <f t="shared" si="29"/>
        <v>A</v>
      </c>
      <c r="BS35" s="33" t="str">
        <f t="shared" si="4"/>
        <v>BETTER</v>
      </c>
      <c r="BT35" s="108">
        <f t="shared" si="30"/>
        <v>598</v>
      </c>
      <c r="BU35" s="150">
        <f>'1st_Semester'!BT35</f>
        <v>536</v>
      </c>
      <c r="BV35" s="147">
        <f>'2nd_Semester'!BT35</f>
        <v>619</v>
      </c>
      <c r="BW35" s="147">
        <f t="shared" si="31"/>
        <v>598</v>
      </c>
      <c r="BX35" s="147">
        <f t="shared" si="32"/>
        <v>584.33333333333337</v>
      </c>
      <c r="BY35" s="153">
        <f>'1st_Semester'!BQ35</f>
        <v>3.6875</v>
      </c>
      <c r="BZ35" s="153">
        <f>'2nd_Semester'!BQ35</f>
        <v>4.4375</v>
      </c>
      <c r="CA35" s="153">
        <f t="shared" si="33"/>
        <v>4.25</v>
      </c>
      <c r="CB35" s="153">
        <f t="shared" si="34"/>
        <v>4.125</v>
      </c>
      <c r="CC35" s="66"/>
    </row>
    <row r="36" spans="1:81" ht="27.95" customHeight="1">
      <c r="A36" s="67">
        <v>29</v>
      </c>
      <c r="B36" s="48">
        <v>74</v>
      </c>
      <c r="C36" s="39" t="s">
        <v>189</v>
      </c>
      <c r="D36" s="39" t="s">
        <v>190</v>
      </c>
      <c r="E36" s="39" t="s">
        <v>191</v>
      </c>
      <c r="F36" s="40" t="s">
        <v>192</v>
      </c>
      <c r="G36" s="112">
        <v>20</v>
      </c>
      <c r="H36" s="112">
        <v>39</v>
      </c>
      <c r="I36" s="113">
        <f t="shared" si="35"/>
        <v>59</v>
      </c>
      <c r="J36" s="112">
        <v>30</v>
      </c>
      <c r="K36" s="113">
        <f t="shared" si="36"/>
        <v>89</v>
      </c>
      <c r="L36" s="112">
        <v>10</v>
      </c>
      <c r="M36" s="112">
        <v>38</v>
      </c>
      <c r="N36" s="113">
        <f t="shared" si="37"/>
        <v>48</v>
      </c>
      <c r="O36" s="113">
        <f t="shared" si="5"/>
        <v>48</v>
      </c>
      <c r="P36" s="113">
        <f t="shared" si="0"/>
        <v>137</v>
      </c>
      <c r="Q36" s="187"/>
      <c r="R36" s="112">
        <f t="shared" si="6"/>
        <v>5</v>
      </c>
      <c r="S36" s="112">
        <v>20</v>
      </c>
      <c r="T36" s="112">
        <v>65</v>
      </c>
      <c r="U36" s="113">
        <f t="shared" si="7"/>
        <v>85</v>
      </c>
      <c r="V36" s="112">
        <v>10</v>
      </c>
      <c r="W36" s="112">
        <v>30</v>
      </c>
      <c r="X36" s="113">
        <f t="shared" si="8"/>
        <v>40</v>
      </c>
      <c r="Y36" s="113">
        <f t="shared" si="9"/>
        <v>125</v>
      </c>
      <c r="Z36" s="113">
        <f t="shared" si="1"/>
        <v>125</v>
      </c>
      <c r="AA36" s="187"/>
      <c r="AB36" s="112">
        <f t="shared" si="10"/>
        <v>5</v>
      </c>
      <c r="AC36" s="112">
        <v>19</v>
      </c>
      <c r="AD36" s="112">
        <v>34</v>
      </c>
      <c r="AE36" s="113">
        <f t="shared" si="11"/>
        <v>53</v>
      </c>
      <c r="AF36" s="112">
        <v>25</v>
      </c>
      <c r="AG36" s="113">
        <f t="shared" si="12"/>
        <v>78</v>
      </c>
      <c r="AH36" s="187"/>
      <c r="AI36" s="112">
        <f t="shared" si="39"/>
        <v>4</v>
      </c>
      <c r="AJ36" s="112">
        <v>20</v>
      </c>
      <c r="AK36" s="112">
        <v>48</v>
      </c>
      <c r="AL36" s="113">
        <f t="shared" si="40"/>
        <v>68</v>
      </c>
      <c r="AM36" s="112">
        <v>29</v>
      </c>
      <c r="AN36" s="113">
        <f t="shared" si="41"/>
        <v>97</v>
      </c>
      <c r="AO36" s="187"/>
      <c r="AP36" s="112">
        <f t="shared" si="38"/>
        <v>5</v>
      </c>
      <c r="AQ36" s="152">
        <v>24</v>
      </c>
      <c r="AR36" s="129">
        <v>25</v>
      </c>
      <c r="AS36" s="129">
        <f t="shared" si="17"/>
        <v>49</v>
      </c>
      <c r="AT36" s="188"/>
      <c r="AU36" s="112">
        <f t="shared" si="18"/>
        <v>5</v>
      </c>
      <c r="AV36" s="112">
        <v>20</v>
      </c>
      <c r="AW36" s="112">
        <v>46</v>
      </c>
      <c r="AX36" s="113">
        <f t="shared" si="19"/>
        <v>66</v>
      </c>
      <c r="AY36" s="112">
        <v>30</v>
      </c>
      <c r="AZ36" s="113">
        <f t="shared" si="20"/>
        <v>96</v>
      </c>
      <c r="BA36" s="187"/>
      <c r="BB36" s="112">
        <f t="shared" si="21"/>
        <v>5</v>
      </c>
      <c r="BC36" s="112">
        <v>20</v>
      </c>
      <c r="BD36" s="112">
        <v>39</v>
      </c>
      <c r="BE36" s="113">
        <f t="shared" si="22"/>
        <v>59</v>
      </c>
      <c r="BF36" s="112">
        <v>19</v>
      </c>
      <c r="BG36" s="113">
        <f t="shared" si="23"/>
        <v>78</v>
      </c>
      <c r="BH36" s="187"/>
      <c r="BI36" s="112">
        <f t="shared" si="24"/>
        <v>4</v>
      </c>
      <c r="BJ36" s="112">
        <v>10</v>
      </c>
      <c r="BK36" s="112">
        <v>40</v>
      </c>
      <c r="BL36" s="113">
        <f t="shared" si="25"/>
        <v>50</v>
      </c>
      <c r="BM36" s="113">
        <f t="shared" si="26"/>
        <v>50</v>
      </c>
      <c r="BN36" s="187"/>
      <c r="BO36" s="112">
        <f t="shared" si="3"/>
        <v>5</v>
      </c>
      <c r="BP36" s="112">
        <f t="shared" si="27"/>
        <v>38</v>
      </c>
      <c r="BQ36" s="114">
        <f t="shared" si="28"/>
        <v>4.75</v>
      </c>
      <c r="BR36" s="114" t="str">
        <f t="shared" si="29"/>
        <v>A</v>
      </c>
      <c r="BS36" s="33" t="str">
        <f t="shared" si="4"/>
        <v>BETTER</v>
      </c>
      <c r="BT36" s="108">
        <f t="shared" si="30"/>
        <v>710</v>
      </c>
      <c r="BU36" s="150">
        <f>'1st_Semester'!BT36</f>
        <v>634</v>
      </c>
      <c r="BV36" s="147">
        <f>'2nd_Semester'!BT36</f>
        <v>638</v>
      </c>
      <c r="BW36" s="147">
        <f t="shared" si="31"/>
        <v>710</v>
      </c>
      <c r="BX36" s="147">
        <f t="shared" si="32"/>
        <v>660.66666666666663</v>
      </c>
      <c r="BY36" s="153">
        <f>'1st_Semester'!BQ36</f>
        <v>4.5</v>
      </c>
      <c r="BZ36" s="153">
        <f>'2nd_Semester'!BQ36</f>
        <v>4.5625</v>
      </c>
      <c r="CA36" s="153">
        <f t="shared" si="33"/>
        <v>4.75</v>
      </c>
      <c r="CB36" s="153">
        <f t="shared" si="34"/>
        <v>4.604166666666667</v>
      </c>
      <c r="CC36" s="66"/>
    </row>
    <row r="37" spans="1:81" ht="27.95" customHeight="1">
      <c r="A37" s="67">
        <v>30</v>
      </c>
      <c r="B37" s="48">
        <v>75</v>
      </c>
      <c r="C37" s="39" t="s">
        <v>193</v>
      </c>
      <c r="D37" s="39" t="s">
        <v>194</v>
      </c>
      <c r="E37" s="39" t="s">
        <v>195</v>
      </c>
      <c r="F37" s="40" t="s">
        <v>196</v>
      </c>
      <c r="G37" s="112">
        <v>19</v>
      </c>
      <c r="H37" s="112">
        <v>29</v>
      </c>
      <c r="I37" s="113">
        <f t="shared" si="35"/>
        <v>48</v>
      </c>
      <c r="J37" s="112">
        <v>26</v>
      </c>
      <c r="K37" s="113">
        <f t="shared" si="36"/>
        <v>74</v>
      </c>
      <c r="L37" s="112">
        <v>10</v>
      </c>
      <c r="M37" s="112">
        <v>30</v>
      </c>
      <c r="N37" s="113">
        <f t="shared" si="37"/>
        <v>40</v>
      </c>
      <c r="O37" s="113">
        <f t="shared" si="5"/>
        <v>40</v>
      </c>
      <c r="P37" s="113">
        <f t="shared" si="0"/>
        <v>114</v>
      </c>
      <c r="Q37" s="187"/>
      <c r="R37" s="112">
        <f t="shared" si="6"/>
        <v>4</v>
      </c>
      <c r="S37" s="112">
        <v>20</v>
      </c>
      <c r="T37" s="112">
        <v>64</v>
      </c>
      <c r="U37" s="113">
        <f t="shared" si="7"/>
        <v>84</v>
      </c>
      <c r="V37" s="112">
        <v>9</v>
      </c>
      <c r="W37" s="112">
        <v>30</v>
      </c>
      <c r="X37" s="113">
        <f t="shared" si="8"/>
        <v>39</v>
      </c>
      <c r="Y37" s="113">
        <f t="shared" si="9"/>
        <v>123</v>
      </c>
      <c r="Z37" s="113">
        <f t="shared" si="1"/>
        <v>123</v>
      </c>
      <c r="AA37" s="187"/>
      <c r="AB37" s="112">
        <f t="shared" si="10"/>
        <v>5</v>
      </c>
      <c r="AC37" s="112">
        <v>17</v>
      </c>
      <c r="AD37" s="112">
        <v>27</v>
      </c>
      <c r="AE37" s="113">
        <f t="shared" si="11"/>
        <v>44</v>
      </c>
      <c r="AF37" s="112">
        <v>23</v>
      </c>
      <c r="AG37" s="113">
        <f t="shared" si="12"/>
        <v>67</v>
      </c>
      <c r="AH37" s="187"/>
      <c r="AI37" s="112">
        <f t="shared" si="39"/>
        <v>3.5</v>
      </c>
      <c r="AJ37" s="112">
        <v>19</v>
      </c>
      <c r="AK37" s="112">
        <v>31</v>
      </c>
      <c r="AL37" s="113">
        <f t="shared" si="40"/>
        <v>50</v>
      </c>
      <c r="AM37" s="112">
        <v>21</v>
      </c>
      <c r="AN37" s="113">
        <f t="shared" si="41"/>
        <v>71</v>
      </c>
      <c r="AO37" s="187"/>
      <c r="AP37" s="112">
        <f t="shared" si="38"/>
        <v>4</v>
      </c>
      <c r="AQ37" s="152">
        <v>23</v>
      </c>
      <c r="AR37" s="129">
        <v>25</v>
      </c>
      <c r="AS37" s="129">
        <f t="shared" si="17"/>
        <v>48</v>
      </c>
      <c r="AT37" s="188"/>
      <c r="AU37" s="112">
        <f t="shared" si="18"/>
        <v>5</v>
      </c>
      <c r="AV37" s="112">
        <v>20</v>
      </c>
      <c r="AW37" s="112">
        <v>41</v>
      </c>
      <c r="AX37" s="113">
        <f t="shared" si="19"/>
        <v>61</v>
      </c>
      <c r="AY37" s="112">
        <v>25</v>
      </c>
      <c r="AZ37" s="113">
        <f t="shared" si="20"/>
        <v>86</v>
      </c>
      <c r="BA37" s="187"/>
      <c r="BB37" s="112">
        <f t="shared" si="21"/>
        <v>5</v>
      </c>
      <c r="BC37" s="112">
        <v>18</v>
      </c>
      <c r="BD37" s="112">
        <v>29</v>
      </c>
      <c r="BE37" s="113">
        <f t="shared" si="22"/>
        <v>47</v>
      </c>
      <c r="BF37" s="112">
        <v>27</v>
      </c>
      <c r="BG37" s="113">
        <f t="shared" si="23"/>
        <v>74</v>
      </c>
      <c r="BH37" s="187"/>
      <c r="BI37" s="112">
        <f t="shared" si="24"/>
        <v>4</v>
      </c>
      <c r="BJ37" s="112">
        <v>10</v>
      </c>
      <c r="BK37" s="112">
        <v>40</v>
      </c>
      <c r="BL37" s="113">
        <f t="shared" si="25"/>
        <v>50</v>
      </c>
      <c r="BM37" s="113">
        <f t="shared" si="26"/>
        <v>50</v>
      </c>
      <c r="BN37" s="187"/>
      <c r="BO37" s="112">
        <f t="shared" si="3"/>
        <v>5</v>
      </c>
      <c r="BP37" s="112">
        <f t="shared" si="27"/>
        <v>35.5</v>
      </c>
      <c r="BQ37" s="114">
        <f t="shared" si="28"/>
        <v>4.4375</v>
      </c>
      <c r="BR37" s="114" t="str">
        <f t="shared" si="29"/>
        <v>A</v>
      </c>
      <c r="BS37" s="33" t="str">
        <f t="shared" si="4"/>
        <v>BETTER</v>
      </c>
      <c r="BT37" s="108">
        <f t="shared" si="30"/>
        <v>633</v>
      </c>
      <c r="BU37" s="150">
        <f>'1st_Semester'!BT37</f>
        <v>597</v>
      </c>
      <c r="BV37" s="147">
        <f>'2nd_Semester'!BT37</f>
        <v>638</v>
      </c>
      <c r="BW37" s="147">
        <f t="shared" si="31"/>
        <v>633</v>
      </c>
      <c r="BX37" s="147">
        <f t="shared" si="32"/>
        <v>622.66666666666663</v>
      </c>
      <c r="BY37" s="153">
        <f>'1st_Semester'!BQ37</f>
        <v>4.1875</v>
      </c>
      <c r="BZ37" s="153">
        <f>'2nd_Semester'!BQ37</f>
        <v>4.5625</v>
      </c>
      <c r="CA37" s="153">
        <f t="shared" si="33"/>
        <v>4.4375</v>
      </c>
      <c r="CB37" s="153">
        <f t="shared" si="34"/>
        <v>4.395833333333333</v>
      </c>
      <c r="CC37" s="66"/>
    </row>
    <row r="38" spans="1:81" ht="27.95" customHeight="1">
      <c r="A38" s="67">
        <v>31</v>
      </c>
      <c r="B38" s="48">
        <v>81</v>
      </c>
      <c r="C38" s="39" t="s">
        <v>197</v>
      </c>
      <c r="D38" s="39" t="s">
        <v>198</v>
      </c>
      <c r="E38" s="39" t="s">
        <v>199</v>
      </c>
      <c r="F38" s="40" t="s">
        <v>200</v>
      </c>
      <c r="G38" s="112">
        <v>17</v>
      </c>
      <c r="H38" s="112">
        <v>26</v>
      </c>
      <c r="I38" s="113">
        <f t="shared" si="35"/>
        <v>43</v>
      </c>
      <c r="J38" s="112">
        <v>20</v>
      </c>
      <c r="K38" s="113">
        <f t="shared" si="36"/>
        <v>63</v>
      </c>
      <c r="L38" s="112">
        <v>10</v>
      </c>
      <c r="M38" s="112">
        <v>34</v>
      </c>
      <c r="N38" s="113">
        <f t="shared" si="37"/>
        <v>44</v>
      </c>
      <c r="O38" s="113">
        <f t="shared" si="5"/>
        <v>44</v>
      </c>
      <c r="P38" s="113">
        <f t="shared" si="0"/>
        <v>107</v>
      </c>
      <c r="Q38" s="187"/>
      <c r="R38" s="112">
        <f t="shared" si="6"/>
        <v>4</v>
      </c>
      <c r="S38" s="112">
        <v>20</v>
      </c>
      <c r="T38" s="112">
        <v>46</v>
      </c>
      <c r="U38" s="113">
        <f t="shared" si="7"/>
        <v>66</v>
      </c>
      <c r="V38" s="112">
        <v>9</v>
      </c>
      <c r="W38" s="112">
        <v>30</v>
      </c>
      <c r="X38" s="113">
        <f t="shared" si="8"/>
        <v>39</v>
      </c>
      <c r="Y38" s="113">
        <f t="shared" si="9"/>
        <v>105</v>
      </c>
      <c r="Z38" s="113">
        <f t="shared" si="1"/>
        <v>105</v>
      </c>
      <c r="AA38" s="187"/>
      <c r="AB38" s="112">
        <f t="shared" si="10"/>
        <v>4</v>
      </c>
      <c r="AC38" s="112">
        <v>20</v>
      </c>
      <c r="AD38" s="112">
        <v>27</v>
      </c>
      <c r="AE38" s="113">
        <f t="shared" si="11"/>
        <v>47</v>
      </c>
      <c r="AF38" s="112">
        <v>20</v>
      </c>
      <c r="AG38" s="113">
        <f t="shared" si="12"/>
        <v>67</v>
      </c>
      <c r="AH38" s="187"/>
      <c r="AI38" s="112">
        <f t="shared" si="39"/>
        <v>3.5</v>
      </c>
      <c r="AJ38" s="112">
        <v>20</v>
      </c>
      <c r="AK38" s="112">
        <v>42</v>
      </c>
      <c r="AL38" s="113">
        <f t="shared" si="40"/>
        <v>62</v>
      </c>
      <c r="AM38" s="112">
        <v>24</v>
      </c>
      <c r="AN38" s="113">
        <f t="shared" si="41"/>
        <v>86</v>
      </c>
      <c r="AO38" s="187"/>
      <c r="AP38" s="112">
        <f t="shared" si="38"/>
        <v>5</v>
      </c>
      <c r="AQ38" s="152">
        <v>23</v>
      </c>
      <c r="AR38" s="129">
        <v>25</v>
      </c>
      <c r="AS38" s="129">
        <f t="shared" si="17"/>
        <v>48</v>
      </c>
      <c r="AT38" s="188"/>
      <c r="AU38" s="112">
        <f t="shared" si="18"/>
        <v>5</v>
      </c>
      <c r="AV38" s="112">
        <v>19</v>
      </c>
      <c r="AW38" s="112">
        <v>36</v>
      </c>
      <c r="AX38" s="113">
        <f t="shared" si="19"/>
        <v>55</v>
      </c>
      <c r="AY38" s="112">
        <v>24</v>
      </c>
      <c r="AZ38" s="113">
        <f t="shared" si="20"/>
        <v>79</v>
      </c>
      <c r="BA38" s="187"/>
      <c r="BB38" s="112">
        <f t="shared" si="21"/>
        <v>4</v>
      </c>
      <c r="BC38" s="112">
        <v>16</v>
      </c>
      <c r="BD38" s="112">
        <v>36</v>
      </c>
      <c r="BE38" s="113">
        <f t="shared" si="22"/>
        <v>52</v>
      </c>
      <c r="BF38" s="112">
        <v>23</v>
      </c>
      <c r="BG38" s="113">
        <f t="shared" si="23"/>
        <v>75</v>
      </c>
      <c r="BH38" s="187"/>
      <c r="BI38" s="112">
        <f t="shared" si="24"/>
        <v>4</v>
      </c>
      <c r="BJ38" s="112">
        <v>10</v>
      </c>
      <c r="BK38" s="112">
        <v>40</v>
      </c>
      <c r="BL38" s="113">
        <f t="shared" si="25"/>
        <v>50</v>
      </c>
      <c r="BM38" s="113">
        <f t="shared" si="26"/>
        <v>50</v>
      </c>
      <c r="BN38" s="187"/>
      <c r="BO38" s="112">
        <f t="shared" si="3"/>
        <v>5</v>
      </c>
      <c r="BP38" s="112">
        <f t="shared" si="27"/>
        <v>34.5</v>
      </c>
      <c r="BQ38" s="114">
        <f t="shared" si="28"/>
        <v>4.3125</v>
      </c>
      <c r="BR38" s="114" t="str">
        <f t="shared" si="29"/>
        <v>A</v>
      </c>
      <c r="BS38" s="33" t="str">
        <f t="shared" si="4"/>
        <v>BETTER</v>
      </c>
      <c r="BT38" s="108">
        <f t="shared" si="30"/>
        <v>617</v>
      </c>
      <c r="BU38" s="150">
        <f>'1st_Semester'!BT38</f>
        <v>622</v>
      </c>
      <c r="BV38" s="147">
        <f>'2nd_Semester'!BT38</f>
        <v>649</v>
      </c>
      <c r="BW38" s="147">
        <f t="shared" si="31"/>
        <v>617</v>
      </c>
      <c r="BX38" s="147">
        <f t="shared" si="32"/>
        <v>629.33333333333337</v>
      </c>
      <c r="BY38" s="153">
        <f>'1st_Semester'!BQ38</f>
        <v>4.3125</v>
      </c>
      <c r="BZ38" s="153">
        <f>'2nd_Semester'!BQ38</f>
        <v>4.625</v>
      </c>
      <c r="CA38" s="153">
        <f t="shared" si="33"/>
        <v>4.3125</v>
      </c>
      <c r="CB38" s="153">
        <f t="shared" si="34"/>
        <v>4.416666666666667</v>
      </c>
      <c r="CC38" s="66"/>
    </row>
    <row r="39" spans="1:81" s="68" customFormat="1" ht="27.95" customHeight="1">
      <c r="A39" s="67">
        <v>32</v>
      </c>
      <c r="B39" s="37">
        <v>86</v>
      </c>
      <c r="C39" s="34" t="s">
        <v>201</v>
      </c>
      <c r="D39" s="34" t="s">
        <v>202</v>
      </c>
      <c r="E39" s="34" t="s">
        <v>203</v>
      </c>
      <c r="F39" s="35" t="s">
        <v>204</v>
      </c>
      <c r="G39" s="112">
        <v>0</v>
      </c>
      <c r="H39" s="112">
        <v>0</v>
      </c>
      <c r="I39" s="113">
        <f t="shared" si="35"/>
        <v>0</v>
      </c>
      <c r="J39" s="112">
        <v>0</v>
      </c>
      <c r="K39" s="113">
        <f t="shared" si="36"/>
        <v>0</v>
      </c>
      <c r="L39" s="112">
        <v>0</v>
      </c>
      <c r="M39" s="112">
        <v>0</v>
      </c>
      <c r="N39" s="113">
        <f t="shared" si="37"/>
        <v>0</v>
      </c>
      <c r="O39" s="113">
        <f t="shared" si="5"/>
        <v>0</v>
      </c>
      <c r="P39" s="113">
        <f t="shared" si="0"/>
        <v>0</v>
      </c>
      <c r="Q39" s="187"/>
      <c r="R39" s="112" t="str">
        <f t="shared" si="6"/>
        <v>F</v>
      </c>
      <c r="S39" s="112">
        <v>0</v>
      </c>
      <c r="T39" s="112">
        <v>0</v>
      </c>
      <c r="U39" s="113">
        <f t="shared" si="7"/>
        <v>0</v>
      </c>
      <c r="V39" s="112">
        <v>0</v>
      </c>
      <c r="W39" s="112">
        <v>0</v>
      </c>
      <c r="X39" s="113">
        <f t="shared" si="8"/>
        <v>0</v>
      </c>
      <c r="Y39" s="113">
        <f t="shared" si="9"/>
        <v>0</v>
      </c>
      <c r="Z39" s="113">
        <f t="shared" si="1"/>
        <v>0</v>
      </c>
      <c r="AA39" s="187"/>
      <c r="AB39" s="112">
        <f t="shared" si="10"/>
        <v>0</v>
      </c>
      <c r="AC39" s="112">
        <v>0</v>
      </c>
      <c r="AD39" s="112">
        <v>0</v>
      </c>
      <c r="AE39" s="113">
        <f t="shared" si="11"/>
        <v>0</v>
      </c>
      <c r="AF39" s="112">
        <v>0</v>
      </c>
      <c r="AG39" s="113">
        <f t="shared" si="12"/>
        <v>0</v>
      </c>
      <c r="AH39" s="187"/>
      <c r="AI39" s="112" t="str">
        <f t="shared" si="39"/>
        <v>F</v>
      </c>
      <c r="AJ39" s="112">
        <v>0</v>
      </c>
      <c r="AK39" s="112">
        <v>0</v>
      </c>
      <c r="AL39" s="113">
        <f t="shared" si="40"/>
        <v>0</v>
      </c>
      <c r="AM39" s="112">
        <v>0</v>
      </c>
      <c r="AN39" s="113">
        <f t="shared" si="41"/>
        <v>0</v>
      </c>
      <c r="AO39" s="187"/>
      <c r="AP39" s="112" t="str">
        <f t="shared" si="38"/>
        <v>F</v>
      </c>
      <c r="AQ39" s="151">
        <v>0</v>
      </c>
      <c r="AR39" s="129">
        <v>25</v>
      </c>
      <c r="AS39" s="129">
        <f t="shared" si="17"/>
        <v>25</v>
      </c>
      <c r="AT39" s="188"/>
      <c r="AU39" s="112">
        <f t="shared" si="18"/>
        <v>3</v>
      </c>
      <c r="AV39" s="112">
        <v>0</v>
      </c>
      <c r="AW39" s="112">
        <v>0</v>
      </c>
      <c r="AX39" s="113">
        <f t="shared" si="19"/>
        <v>0</v>
      </c>
      <c r="AY39" s="112">
        <v>0</v>
      </c>
      <c r="AZ39" s="113">
        <f t="shared" si="20"/>
        <v>0</v>
      </c>
      <c r="BA39" s="187"/>
      <c r="BB39" s="112" t="str">
        <f t="shared" si="21"/>
        <v>F</v>
      </c>
      <c r="BC39" s="112">
        <v>0</v>
      </c>
      <c r="BD39" s="112">
        <v>0</v>
      </c>
      <c r="BE39" s="113">
        <f t="shared" si="22"/>
        <v>0</v>
      </c>
      <c r="BF39" s="112">
        <v>0</v>
      </c>
      <c r="BG39" s="113">
        <f t="shared" si="23"/>
        <v>0</v>
      </c>
      <c r="BH39" s="187"/>
      <c r="BI39" s="112" t="str">
        <f t="shared" si="24"/>
        <v>F</v>
      </c>
      <c r="BJ39" s="112">
        <v>0</v>
      </c>
      <c r="BK39" s="112">
        <v>0</v>
      </c>
      <c r="BL39" s="113">
        <f t="shared" si="25"/>
        <v>0</v>
      </c>
      <c r="BM39" s="113">
        <f t="shared" si="26"/>
        <v>0</v>
      </c>
      <c r="BN39" s="187"/>
      <c r="BO39" s="112" t="str">
        <f t="shared" si="3"/>
        <v>F</v>
      </c>
      <c r="BP39" s="112" t="str">
        <f t="shared" si="27"/>
        <v>F</v>
      </c>
      <c r="BQ39" s="114" t="str">
        <f t="shared" si="28"/>
        <v>F</v>
      </c>
      <c r="BR39" s="114" t="str">
        <f t="shared" si="29"/>
        <v>F</v>
      </c>
      <c r="BS39" s="33" t="str">
        <f t="shared" si="4"/>
        <v>NEED TO PROGRESS</v>
      </c>
      <c r="BT39" s="108">
        <f t="shared" si="30"/>
        <v>25</v>
      </c>
      <c r="BU39" s="150">
        <f>'1st_Semester'!BT39</f>
        <v>520</v>
      </c>
      <c r="BV39" s="147">
        <f>'2nd_Semester'!BT39</f>
        <v>32</v>
      </c>
      <c r="BW39" s="147">
        <f t="shared" si="31"/>
        <v>25</v>
      </c>
      <c r="BX39" s="147">
        <f t="shared" si="32"/>
        <v>192.33333333333334</v>
      </c>
      <c r="BY39" s="153">
        <f>'1st_Semester'!BQ39</f>
        <v>3.8125</v>
      </c>
      <c r="BZ39" s="153" t="str">
        <f>'2nd_Semester'!BQ39</f>
        <v>F</v>
      </c>
      <c r="CA39" s="153" t="str">
        <f t="shared" si="33"/>
        <v>F</v>
      </c>
      <c r="CB39" s="153">
        <f t="shared" si="34"/>
        <v>3.8125</v>
      </c>
      <c r="CC39" s="66"/>
    </row>
    <row r="40" spans="1:81" s="68" customFormat="1" ht="27.95" customHeight="1">
      <c r="A40" s="67">
        <v>33</v>
      </c>
      <c r="B40" s="37">
        <v>89</v>
      </c>
      <c r="C40" s="34" t="s">
        <v>205</v>
      </c>
      <c r="D40" s="34" t="s">
        <v>78</v>
      </c>
      <c r="E40" s="34" t="s">
        <v>206</v>
      </c>
      <c r="F40" s="35" t="s">
        <v>207</v>
      </c>
      <c r="G40" s="112">
        <v>0</v>
      </c>
      <c r="H40" s="112">
        <v>0</v>
      </c>
      <c r="I40" s="113">
        <f t="shared" si="35"/>
        <v>0</v>
      </c>
      <c r="J40" s="112">
        <v>0</v>
      </c>
      <c r="K40" s="113">
        <f t="shared" si="36"/>
        <v>0</v>
      </c>
      <c r="L40" s="112">
        <v>0</v>
      </c>
      <c r="M40" s="112">
        <v>0</v>
      </c>
      <c r="N40" s="113">
        <f t="shared" si="37"/>
        <v>0</v>
      </c>
      <c r="O40" s="113">
        <f t="shared" si="5"/>
        <v>0</v>
      </c>
      <c r="P40" s="113">
        <f t="shared" si="0"/>
        <v>0</v>
      </c>
      <c r="Q40" s="187"/>
      <c r="R40" s="112" t="str">
        <f t="shared" si="6"/>
        <v>F</v>
      </c>
      <c r="S40" s="112">
        <v>0</v>
      </c>
      <c r="T40" s="112">
        <v>0</v>
      </c>
      <c r="U40" s="113">
        <f t="shared" si="7"/>
        <v>0</v>
      </c>
      <c r="V40" s="112">
        <v>0</v>
      </c>
      <c r="W40" s="112">
        <v>0</v>
      </c>
      <c r="X40" s="113">
        <f t="shared" si="8"/>
        <v>0</v>
      </c>
      <c r="Y40" s="113">
        <f t="shared" si="9"/>
        <v>0</v>
      </c>
      <c r="Z40" s="113">
        <f t="shared" si="1"/>
        <v>0</v>
      </c>
      <c r="AA40" s="187"/>
      <c r="AB40" s="112">
        <f t="shared" si="10"/>
        <v>0</v>
      </c>
      <c r="AC40" s="112">
        <v>0</v>
      </c>
      <c r="AD40" s="112">
        <v>0</v>
      </c>
      <c r="AE40" s="113">
        <f t="shared" si="11"/>
        <v>0</v>
      </c>
      <c r="AF40" s="112">
        <v>0</v>
      </c>
      <c r="AG40" s="113">
        <f t="shared" si="12"/>
        <v>0</v>
      </c>
      <c r="AH40" s="187"/>
      <c r="AI40" s="112" t="str">
        <f t="shared" si="39"/>
        <v>F</v>
      </c>
      <c r="AJ40" s="112">
        <v>0</v>
      </c>
      <c r="AK40" s="112">
        <v>0</v>
      </c>
      <c r="AL40" s="113">
        <f t="shared" si="40"/>
        <v>0</v>
      </c>
      <c r="AM40" s="112">
        <v>0</v>
      </c>
      <c r="AN40" s="113">
        <f t="shared" si="41"/>
        <v>0</v>
      </c>
      <c r="AO40" s="187"/>
      <c r="AP40" s="112" t="str">
        <f t="shared" si="38"/>
        <v>F</v>
      </c>
      <c r="AQ40" s="129">
        <v>0</v>
      </c>
      <c r="AR40" s="129">
        <v>25</v>
      </c>
      <c r="AS40" s="129">
        <f t="shared" si="17"/>
        <v>25</v>
      </c>
      <c r="AT40" s="188"/>
      <c r="AU40" s="112">
        <f t="shared" si="18"/>
        <v>3</v>
      </c>
      <c r="AV40" s="112">
        <v>0</v>
      </c>
      <c r="AW40" s="112">
        <v>0</v>
      </c>
      <c r="AX40" s="113">
        <f t="shared" si="19"/>
        <v>0</v>
      </c>
      <c r="AY40" s="112">
        <v>0</v>
      </c>
      <c r="AZ40" s="113">
        <f t="shared" si="20"/>
        <v>0</v>
      </c>
      <c r="BA40" s="187"/>
      <c r="BB40" s="112" t="str">
        <f t="shared" si="21"/>
        <v>F</v>
      </c>
      <c r="BC40" s="112">
        <v>0</v>
      </c>
      <c r="BD40" s="112">
        <v>0</v>
      </c>
      <c r="BE40" s="113">
        <f t="shared" si="22"/>
        <v>0</v>
      </c>
      <c r="BF40" s="112">
        <v>0</v>
      </c>
      <c r="BG40" s="113">
        <f t="shared" si="23"/>
        <v>0</v>
      </c>
      <c r="BH40" s="187"/>
      <c r="BI40" s="112" t="str">
        <f t="shared" si="24"/>
        <v>F</v>
      </c>
      <c r="BJ40" s="112">
        <v>0</v>
      </c>
      <c r="BK40" s="112">
        <v>0</v>
      </c>
      <c r="BL40" s="113">
        <f t="shared" si="25"/>
        <v>0</v>
      </c>
      <c r="BM40" s="113">
        <f t="shared" si="26"/>
        <v>0</v>
      </c>
      <c r="BN40" s="187"/>
      <c r="BO40" s="112" t="str">
        <f t="shared" si="3"/>
        <v>F</v>
      </c>
      <c r="BP40" s="112" t="str">
        <f t="shared" si="27"/>
        <v>F</v>
      </c>
      <c r="BQ40" s="114" t="str">
        <f t="shared" si="28"/>
        <v>F</v>
      </c>
      <c r="BR40" s="114" t="str">
        <f t="shared" si="29"/>
        <v>F</v>
      </c>
      <c r="BS40" s="33" t="str">
        <f t="shared" si="4"/>
        <v>NEED TO PROGRESS</v>
      </c>
      <c r="BT40" s="108">
        <f t="shared" si="30"/>
        <v>25</v>
      </c>
      <c r="BU40" s="150">
        <f>'1st_Semester'!BT40</f>
        <v>593</v>
      </c>
      <c r="BV40" s="147">
        <f>'2nd_Semester'!BT40</f>
        <v>158</v>
      </c>
      <c r="BW40" s="147">
        <f t="shared" si="31"/>
        <v>25</v>
      </c>
      <c r="BX40" s="147">
        <f t="shared" si="32"/>
        <v>258.66666666666669</v>
      </c>
      <c r="BY40" s="153" t="str">
        <f>'1st_Semester'!BQ40</f>
        <v>F</v>
      </c>
      <c r="BZ40" s="153" t="str">
        <f>'2nd_Semester'!BQ40</f>
        <v>F</v>
      </c>
      <c r="CA40" s="153" t="str">
        <f t="shared" si="33"/>
        <v>F</v>
      </c>
      <c r="CB40" s="153" t="e">
        <f t="shared" si="34"/>
        <v>#DIV/0!</v>
      </c>
      <c r="CC40" s="66"/>
    </row>
    <row r="41" spans="1:81" ht="27.95" customHeight="1">
      <c r="A41" s="67">
        <v>34</v>
      </c>
      <c r="B41" s="48">
        <v>90</v>
      </c>
      <c r="C41" s="39" t="s">
        <v>208</v>
      </c>
      <c r="D41" s="39" t="s">
        <v>209</v>
      </c>
      <c r="E41" s="39" t="s">
        <v>210</v>
      </c>
      <c r="F41" s="40" t="s">
        <v>211</v>
      </c>
      <c r="G41" s="112">
        <v>0</v>
      </c>
      <c r="H41" s="112">
        <v>0</v>
      </c>
      <c r="I41" s="113">
        <f t="shared" si="35"/>
        <v>0</v>
      </c>
      <c r="J41" s="112">
        <v>0</v>
      </c>
      <c r="K41" s="113">
        <f t="shared" si="36"/>
        <v>0</v>
      </c>
      <c r="L41" s="112">
        <v>0</v>
      </c>
      <c r="M41" s="112">
        <v>0</v>
      </c>
      <c r="N41" s="113">
        <f t="shared" si="37"/>
        <v>0</v>
      </c>
      <c r="O41" s="113">
        <f t="shared" si="5"/>
        <v>0</v>
      </c>
      <c r="P41" s="113">
        <f t="shared" si="0"/>
        <v>0</v>
      </c>
      <c r="Q41" s="187"/>
      <c r="R41" s="112" t="str">
        <f t="shared" si="6"/>
        <v>F</v>
      </c>
      <c r="S41" s="112">
        <v>0</v>
      </c>
      <c r="T41" s="112">
        <v>0</v>
      </c>
      <c r="U41" s="113">
        <f t="shared" si="7"/>
        <v>0</v>
      </c>
      <c r="V41" s="112">
        <v>0</v>
      </c>
      <c r="W41" s="112">
        <v>0</v>
      </c>
      <c r="X41" s="113">
        <f t="shared" si="8"/>
        <v>0</v>
      </c>
      <c r="Y41" s="113">
        <f t="shared" si="9"/>
        <v>0</v>
      </c>
      <c r="Z41" s="113">
        <f t="shared" si="1"/>
        <v>0</v>
      </c>
      <c r="AA41" s="187"/>
      <c r="AB41" s="112">
        <f t="shared" si="10"/>
        <v>0</v>
      </c>
      <c r="AC41" s="112">
        <v>0</v>
      </c>
      <c r="AD41" s="112">
        <v>0</v>
      </c>
      <c r="AE41" s="113">
        <f t="shared" si="11"/>
        <v>0</v>
      </c>
      <c r="AF41" s="112">
        <v>0</v>
      </c>
      <c r="AG41" s="113">
        <f t="shared" si="12"/>
        <v>0</v>
      </c>
      <c r="AH41" s="187"/>
      <c r="AI41" s="112" t="str">
        <f t="shared" si="39"/>
        <v>F</v>
      </c>
      <c r="AJ41" s="112">
        <v>0</v>
      </c>
      <c r="AK41" s="112">
        <v>0</v>
      </c>
      <c r="AL41" s="113">
        <f t="shared" si="40"/>
        <v>0</v>
      </c>
      <c r="AM41" s="112">
        <v>0</v>
      </c>
      <c r="AN41" s="113">
        <f t="shared" si="41"/>
        <v>0</v>
      </c>
      <c r="AO41" s="187"/>
      <c r="AP41" s="112" t="str">
        <f t="shared" si="38"/>
        <v>F</v>
      </c>
      <c r="AQ41" s="129">
        <v>0</v>
      </c>
      <c r="AR41" s="129">
        <v>25</v>
      </c>
      <c r="AS41" s="129">
        <f t="shared" si="17"/>
        <v>25</v>
      </c>
      <c r="AT41" s="188"/>
      <c r="AU41" s="112">
        <f t="shared" si="18"/>
        <v>3</v>
      </c>
      <c r="AV41" s="112">
        <v>0</v>
      </c>
      <c r="AW41" s="112">
        <v>0</v>
      </c>
      <c r="AX41" s="113">
        <f t="shared" si="19"/>
        <v>0</v>
      </c>
      <c r="AY41" s="112">
        <v>0</v>
      </c>
      <c r="AZ41" s="113">
        <f t="shared" si="20"/>
        <v>0</v>
      </c>
      <c r="BA41" s="187"/>
      <c r="BB41" s="112" t="str">
        <f t="shared" si="21"/>
        <v>F</v>
      </c>
      <c r="BC41" s="112">
        <v>0</v>
      </c>
      <c r="BD41" s="112">
        <v>0</v>
      </c>
      <c r="BE41" s="113">
        <f t="shared" si="22"/>
        <v>0</v>
      </c>
      <c r="BF41" s="112">
        <v>0</v>
      </c>
      <c r="BG41" s="113">
        <f t="shared" si="23"/>
        <v>0</v>
      </c>
      <c r="BH41" s="187"/>
      <c r="BI41" s="112" t="str">
        <f t="shared" si="24"/>
        <v>F</v>
      </c>
      <c r="BJ41" s="112">
        <v>0</v>
      </c>
      <c r="BK41" s="112">
        <v>0</v>
      </c>
      <c r="BL41" s="113">
        <f t="shared" si="25"/>
        <v>0</v>
      </c>
      <c r="BM41" s="113">
        <f t="shared" si="26"/>
        <v>0</v>
      </c>
      <c r="BN41" s="187"/>
      <c r="BO41" s="112" t="str">
        <f t="shared" si="3"/>
        <v>F</v>
      </c>
      <c r="BP41" s="112" t="str">
        <f t="shared" si="27"/>
        <v>F</v>
      </c>
      <c r="BQ41" s="114" t="str">
        <f t="shared" si="28"/>
        <v>F</v>
      </c>
      <c r="BR41" s="114" t="str">
        <f t="shared" si="29"/>
        <v>F</v>
      </c>
      <c r="BS41" s="33" t="str">
        <f t="shared" si="4"/>
        <v>NEED TO PROGRESS</v>
      </c>
      <c r="BT41" s="108">
        <f t="shared" si="30"/>
        <v>25</v>
      </c>
      <c r="BU41" s="150">
        <f>'1st_Semester'!BT41</f>
        <v>609</v>
      </c>
      <c r="BV41" s="147">
        <f>'2nd_Semester'!BT41</f>
        <v>563</v>
      </c>
      <c r="BW41" s="147">
        <f t="shared" si="31"/>
        <v>25</v>
      </c>
      <c r="BX41" s="147">
        <f t="shared" si="32"/>
        <v>399</v>
      </c>
      <c r="BY41" s="153">
        <f>'1st_Semester'!BQ41</f>
        <v>4.375</v>
      </c>
      <c r="BZ41" s="153" t="str">
        <f>'2nd_Semester'!BQ41</f>
        <v>F</v>
      </c>
      <c r="CA41" s="153" t="str">
        <f t="shared" si="33"/>
        <v>F</v>
      </c>
      <c r="CB41" s="153">
        <f t="shared" si="34"/>
        <v>4.375</v>
      </c>
      <c r="CC41" s="66"/>
    </row>
    <row r="42" spans="1:81" ht="27.95" customHeight="1">
      <c r="A42" s="67">
        <v>35</v>
      </c>
      <c r="B42" s="48">
        <v>92</v>
      </c>
      <c r="C42" s="39" t="s">
        <v>212</v>
      </c>
      <c r="D42" s="39" t="s">
        <v>170</v>
      </c>
      <c r="E42" s="39" t="s">
        <v>213</v>
      </c>
      <c r="F42" s="40" t="s">
        <v>214</v>
      </c>
      <c r="G42" s="112">
        <v>17</v>
      </c>
      <c r="H42" s="112">
        <v>21</v>
      </c>
      <c r="I42" s="113">
        <f t="shared" si="35"/>
        <v>38</v>
      </c>
      <c r="J42" s="112">
        <v>26</v>
      </c>
      <c r="K42" s="113">
        <f t="shared" si="36"/>
        <v>64</v>
      </c>
      <c r="L42" s="112">
        <v>10</v>
      </c>
      <c r="M42" s="112">
        <v>34</v>
      </c>
      <c r="N42" s="113">
        <f t="shared" si="37"/>
        <v>44</v>
      </c>
      <c r="O42" s="113">
        <f t="shared" si="5"/>
        <v>44</v>
      </c>
      <c r="P42" s="113">
        <f t="shared" si="0"/>
        <v>108</v>
      </c>
      <c r="Q42" s="187"/>
      <c r="R42" s="112">
        <f t="shared" si="6"/>
        <v>4</v>
      </c>
      <c r="S42" s="112">
        <v>20</v>
      </c>
      <c r="T42" s="112">
        <v>48</v>
      </c>
      <c r="U42" s="113">
        <f t="shared" si="7"/>
        <v>68</v>
      </c>
      <c r="V42" s="112">
        <v>9</v>
      </c>
      <c r="W42" s="112">
        <v>22</v>
      </c>
      <c r="X42" s="113">
        <f t="shared" si="8"/>
        <v>31</v>
      </c>
      <c r="Y42" s="113">
        <f t="shared" si="9"/>
        <v>99</v>
      </c>
      <c r="Z42" s="113">
        <f t="shared" si="1"/>
        <v>99</v>
      </c>
      <c r="AA42" s="187"/>
      <c r="AB42" s="112">
        <f t="shared" si="10"/>
        <v>3.5</v>
      </c>
      <c r="AC42" s="112">
        <v>13</v>
      </c>
      <c r="AD42" s="112">
        <v>37</v>
      </c>
      <c r="AE42" s="113">
        <f t="shared" si="11"/>
        <v>50</v>
      </c>
      <c r="AF42" s="112">
        <v>26</v>
      </c>
      <c r="AG42" s="113">
        <f t="shared" si="12"/>
        <v>76</v>
      </c>
      <c r="AH42" s="187"/>
      <c r="AI42" s="112">
        <f t="shared" si="39"/>
        <v>4</v>
      </c>
      <c r="AJ42" s="112">
        <v>20</v>
      </c>
      <c r="AK42" s="112">
        <v>22</v>
      </c>
      <c r="AL42" s="113">
        <f t="shared" si="40"/>
        <v>42</v>
      </c>
      <c r="AM42" s="112">
        <v>25</v>
      </c>
      <c r="AN42" s="113">
        <f t="shared" si="41"/>
        <v>67</v>
      </c>
      <c r="AO42" s="187"/>
      <c r="AP42" s="112">
        <f t="shared" si="38"/>
        <v>3.5</v>
      </c>
      <c r="AQ42" s="129">
        <v>24</v>
      </c>
      <c r="AR42" s="129">
        <v>25</v>
      </c>
      <c r="AS42" s="129">
        <f t="shared" si="17"/>
        <v>49</v>
      </c>
      <c r="AT42" s="188"/>
      <c r="AU42" s="112">
        <f t="shared" si="18"/>
        <v>5</v>
      </c>
      <c r="AV42" s="112">
        <v>20</v>
      </c>
      <c r="AW42" s="112">
        <v>34</v>
      </c>
      <c r="AX42" s="113">
        <f t="shared" si="19"/>
        <v>54</v>
      </c>
      <c r="AY42" s="112">
        <v>27</v>
      </c>
      <c r="AZ42" s="113">
        <f t="shared" si="20"/>
        <v>81</v>
      </c>
      <c r="BA42" s="187"/>
      <c r="BB42" s="112">
        <f t="shared" si="21"/>
        <v>5</v>
      </c>
      <c r="BC42" s="112">
        <v>19</v>
      </c>
      <c r="BD42" s="112">
        <v>38</v>
      </c>
      <c r="BE42" s="113">
        <f t="shared" si="22"/>
        <v>57</v>
      </c>
      <c r="BF42" s="112">
        <v>26</v>
      </c>
      <c r="BG42" s="113">
        <f t="shared" si="23"/>
        <v>83</v>
      </c>
      <c r="BH42" s="187"/>
      <c r="BI42" s="112">
        <f t="shared" si="24"/>
        <v>5</v>
      </c>
      <c r="BJ42" s="112">
        <v>10</v>
      </c>
      <c r="BK42" s="112">
        <v>40</v>
      </c>
      <c r="BL42" s="113">
        <f t="shared" si="25"/>
        <v>50</v>
      </c>
      <c r="BM42" s="113">
        <f t="shared" si="26"/>
        <v>50</v>
      </c>
      <c r="BN42" s="187"/>
      <c r="BO42" s="112">
        <f t="shared" si="3"/>
        <v>5</v>
      </c>
      <c r="BP42" s="112">
        <f t="shared" si="27"/>
        <v>35</v>
      </c>
      <c r="BQ42" s="114">
        <f t="shared" si="28"/>
        <v>4.375</v>
      </c>
      <c r="BR42" s="114" t="str">
        <f t="shared" si="29"/>
        <v>A</v>
      </c>
      <c r="BS42" s="33" t="str">
        <f t="shared" si="4"/>
        <v>BETTER</v>
      </c>
      <c r="BT42" s="108">
        <f t="shared" si="30"/>
        <v>613</v>
      </c>
      <c r="BU42" s="150">
        <f>'1st_Semester'!BT42</f>
        <v>595</v>
      </c>
      <c r="BV42" s="147">
        <f>'2nd_Semester'!BT42</f>
        <v>604</v>
      </c>
      <c r="BW42" s="147">
        <f t="shared" si="31"/>
        <v>613</v>
      </c>
      <c r="BX42" s="147">
        <f t="shared" si="32"/>
        <v>604</v>
      </c>
      <c r="BY42" s="153">
        <f>'1st_Semester'!BQ42</f>
        <v>4.1875</v>
      </c>
      <c r="BZ42" s="153">
        <f>'2nd_Semester'!BQ42</f>
        <v>4.375</v>
      </c>
      <c r="CA42" s="153">
        <f t="shared" si="33"/>
        <v>4.375</v>
      </c>
      <c r="CB42" s="153">
        <f t="shared" si="34"/>
        <v>4.3125</v>
      </c>
      <c r="CC42" s="66"/>
    </row>
    <row r="43" spans="1:81" ht="27.95" customHeight="1">
      <c r="A43" s="67">
        <v>36</v>
      </c>
      <c r="B43" s="48">
        <v>93</v>
      </c>
      <c r="C43" s="39" t="s">
        <v>215</v>
      </c>
      <c r="D43" s="39" t="s">
        <v>216</v>
      </c>
      <c r="E43" s="39" t="s">
        <v>217</v>
      </c>
      <c r="F43" s="40" t="s">
        <v>218</v>
      </c>
      <c r="G43" s="112">
        <v>15</v>
      </c>
      <c r="H43" s="112">
        <v>23</v>
      </c>
      <c r="I43" s="113">
        <f t="shared" si="35"/>
        <v>38</v>
      </c>
      <c r="J43" s="112">
        <v>25</v>
      </c>
      <c r="K43" s="113">
        <f t="shared" si="36"/>
        <v>63</v>
      </c>
      <c r="L43" s="112">
        <v>10</v>
      </c>
      <c r="M43" s="112">
        <v>33</v>
      </c>
      <c r="N43" s="113">
        <f t="shared" si="37"/>
        <v>43</v>
      </c>
      <c r="O43" s="113">
        <f t="shared" si="5"/>
        <v>43</v>
      </c>
      <c r="P43" s="113">
        <f t="shared" si="0"/>
        <v>106</v>
      </c>
      <c r="Q43" s="187"/>
      <c r="R43" s="112">
        <f t="shared" si="6"/>
        <v>4</v>
      </c>
      <c r="S43" s="112">
        <v>20</v>
      </c>
      <c r="T43" s="112">
        <v>32</v>
      </c>
      <c r="U43" s="113">
        <f t="shared" si="7"/>
        <v>52</v>
      </c>
      <c r="V43" s="112">
        <v>9</v>
      </c>
      <c r="W43" s="112">
        <v>21</v>
      </c>
      <c r="X43" s="113">
        <f t="shared" si="8"/>
        <v>30</v>
      </c>
      <c r="Y43" s="113">
        <f t="shared" si="9"/>
        <v>82</v>
      </c>
      <c r="Z43" s="113">
        <f t="shared" si="1"/>
        <v>82</v>
      </c>
      <c r="AA43" s="187"/>
      <c r="AB43" s="112">
        <f t="shared" si="10"/>
        <v>3</v>
      </c>
      <c r="AC43" s="112">
        <v>10</v>
      </c>
      <c r="AD43" s="112">
        <v>27</v>
      </c>
      <c r="AE43" s="113">
        <f t="shared" si="11"/>
        <v>37</v>
      </c>
      <c r="AF43" s="112">
        <v>25</v>
      </c>
      <c r="AG43" s="113">
        <f t="shared" si="12"/>
        <v>62</v>
      </c>
      <c r="AH43" s="187"/>
      <c r="AI43" s="112">
        <f t="shared" si="39"/>
        <v>3.5</v>
      </c>
      <c r="AJ43" s="112">
        <v>19</v>
      </c>
      <c r="AK43" s="112">
        <v>31</v>
      </c>
      <c r="AL43" s="113">
        <f t="shared" si="40"/>
        <v>50</v>
      </c>
      <c r="AM43" s="112">
        <v>21</v>
      </c>
      <c r="AN43" s="113">
        <f t="shared" si="41"/>
        <v>71</v>
      </c>
      <c r="AO43" s="187"/>
      <c r="AP43" s="112">
        <f t="shared" si="38"/>
        <v>4</v>
      </c>
      <c r="AQ43" s="129">
        <v>23</v>
      </c>
      <c r="AR43" s="129">
        <v>25</v>
      </c>
      <c r="AS43" s="129">
        <f t="shared" si="17"/>
        <v>48</v>
      </c>
      <c r="AT43" s="188"/>
      <c r="AU43" s="112">
        <f t="shared" si="18"/>
        <v>5</v>
      </c>
      <c r="AV43" s="112">
        <v>19</v>
      </c>
      <c r="AW43" s="112">
        <v>38</v>
      </c>
      <c r="AX43" s="113">
        <f t="shared" si="19"/>
        <v>57</v>
      </c>
      <c r="AY43" s="112">
        <v>29</v>
      </c>
      <c r="AZ43" s="113">
        <f t="shared" si="20"/>
        <v>86</v>
      </c>
      <c r="BA43" s="187"/>
      <c r="BB43" s="112">
        <f t="shared" si="21"/>
        <v>5</v>
      </c>
      <c r="BC43" s="112">
        <v>16</v>
      </c>
      <c r="BD43" s="112">
        <v>32</v>
      </c>
      <c r="BE43" s="113">
        <f t="shared" si="22"/>
        <v>48</v>
      </c>
      <c r="BF43" s="112">
        <v>21</v>
      </c>
      <c r="BG43" s="113">
        <f t="shared" si="23"/>
        <v>69</v>
      </c>
      <c r="BH43" s="187"/>
      <c r="BI43" s="112">
        <f t="shared" si="24"/>
        <v>3.5</v>
      </c>
      <c r="BJ43" s="112">
        <v>10</v>
      </c>
      <c r="BK43" s="112">
        <v>36</v>
      </c>
      <c r="BL43" s="113">
        <f t="shared" si="25"/>
        <v>46</v>
      </c>
      <c r="BM43" s="113">
        <f t="shared" si="26"/>
        <v>46</v>
      </c>
      <c r="BN43" s="187"/>
      <c r="BO43" s="112">
        <f t="shared" si="3"/>
        <v>5</v>
      </c>
      <c r="BP43" s="112">
        <f t="shared" si="27"/>
        <v>33</v>
      </c>
      <c r="BQ43" s="114">
        <f t="shared" si="28"/>
        <v>4.125</v>
      </c>
      <c r="BR43" s="114" t="str">
        <f t="shared" si="29"/>
        <v>A</v>
      </c>
      <c r="BS43" s="33" t="str">
        <f t="shared" si="4"/>
        <v>BETTER</v>
      </c>
      <c r="BT43" s="108">
        <f t="shared" si="30"/>
        <v>570</v>
      </c>
      <c r="BU43" s="150">
        <f>'1st_Semester'!BT43</f>
        <v>548</v>
      </c>
      <c r="BV43" s="147">
        <f>'2nd_Semester'!BT43</f>
        <v>562</v>
      </c>
      <c r="BW43" s="147">
        <f t="shared" si="31"/>
        <v>570</v>
      </c>
      <c r="BX43" s="147">
        <f t="shared" si="32"/>
        <v>560</v>
      </c>
      <c r="BY43" s="153">
        <f>'1st_Semester'!BQ43</f>
        <v>3.875</v>
      </c>
      <c r="BZ43" s="153">
        <f>'2nd_Semester'!BQ43</f>
        <v>4.125</v>
      </c>
      <c r="CA43" s="153">
        <f t="shared" si="33"/>
        <v>4.125</v>
      </c>
      <c r="CB43" s="153">
        <f t="shared" si="34"/>
        <v>4.041666666666667</v>
      </c>
      <c r="CC43" s="66"/>
    </row>
    <row r="44" spans="1:81" ht="27.95" customHeight="1">
      <c r="A44" s="67">
        <v>37</v>
      </c>
      <c r="B44" s="48">
        <v>95</v>
      </c>
      <c r="C44" s="39" t="s">
        <v>219</v>
      </c>
      <c r="D44" s="39" t="s">
        <v>220</v>
      </c>
      <c r="E44" s="39" t="s">
        <v>221</v>
      </c>
      <c r="F44" s="40" t="s">
        <v>222</v>
      </c>
      <c r="G44" s="112">
        <v>16</v>
      </c>
      <c r="H44" s="112">
        <v>29</v>
      </c>
      <c r="I44" s="113">
        <f t="shared" si="35"/>
        <v>45</v>
      </c>
      <c r="J44" s="112">
        <v>22</v>
      </c>
      <c r="K44" s="113">
        <f t="shared" si="36"/>
        <v>67</v>
      </c>
      <c r="L44" s="112">
        <v>9</v>
      </c>
      <c r="M44" s="112">
        <v>31</v>
      </c>
      <c r="N44" s="113">
        <f t="shared" si="37"/>
        <v>40</v>
      </c>
      <c r="O44" s="113">
        <f t="shared" si="5"/>
        <v>40</v>
      </c>
      <c r="P44" s="113">
        <f t="shared" si="0"/>
        <v>107</v>
      </c>
      <c r="Q44" s="187"/>
      <c r="R44" s="112">
        <f t="shared" si="6"/>
        <v>4</v>
      </c>
      <c r="S44" s="112">
        <v>20</v>
      </c>
      <c r="T44" s="112">
        <v>64</v>
      </c>
      <c r="U44" s="113">
        <f t="shared" si="7"/>
        <v>84</v>
      </c>
      <c r="V44" s="112">
        <v>10</v>
      </c>
      <c r="W44" s="112">
        <v>34</v>
      </c>
      <c r="X44" s="113">
        <f t="shared" si="8"/>
        <v>44</v>
      </c>
      <c r="Y44" s="113">
        <f t="shared" si="9"/>
        <v>128</v>
      </c>
      <c r="Z44" s="113">
        <f t="shared" si="1"/>
        <v>128</v>
      </c>
      <c r="AA44" s="187"/>
      <c r="AB44" s="112">
        <f t="shared" si="10"/>
        <v>5</v>
      </c>
      <c r="AC44" s="112">
        <v>19</v>
      </c>
      <c r="AD44" s="112">
        <v>44</v>
      </c>
      <c r="AE44" s="113">
        <f t="shared" si="11"/>
        <v>63</v>
      </c>
      <c r="AF44" s="112">
        <v>26</v>
      </c>
      <c r="AG44" s="113">
        <f t="shared" si="12"/>
        <v>89</v>
      </c>
      <c r="AH44" s="187"/>
      <c r="AI44" s="112">
        <f t="shared" si="39"/>
        <v>5</v>
      </c>
      <c r="AJ44" s="112">
        <v>19</v>
      </c>
      <c r="AK44" s="112">
        <v>44</v>
      </c>
      <c r="AL44" s="113">
        <f t="shared" si="40"/>
        <v>63</v>
      </c>
      <c r="AM44" s="112">
        <v>19</v>
      </c>
      <c r="AN44" s="113">
        <f t="shared" si="41"/>
        <v>82</v>
      </c>
      <c r="AO44" s="187"/>
      <c r="AP44" s="112">
        <f t="shared" si="38"/>
        <v>5</v>
      </c>
      <c r="AQ44" s="129">
        <v>23</v>
      </c>
      <c r="AR44" s="129">
        <v>25</v>
      </c>
      <c r="AS44" s="129">
        <f t="shared" si="17"/>
        <v>48</v>
      </c>
      <c r="AT44" s="188"/>
      <c r="AU44" s="112">
        <f t="shared" si="18"/>
        <v>5</v>
      </c>
      <c r="AV44" s="112">
        <v>17</v>
      </c>
      <c r="AW44" s="112">
        <v>46</v>
      </c>
      <c r="AX44" s="113">
        <f t="shared" si="19"/>
        <v>63</v>
      </c>
      <c r="AY44" s="112">
        <v>24</v>
      </c>
      <c r="AZ44" s="113">
        <f t="shared" si="20"/>
        <v>87</v>
      </c>
      <c r="BA44" s="187"/>
      <c r="BB44" s="112">
        <f t="shared" si="21"/>
        <v>5</v>
      </c>
      <c r="BC44" s="112">
        <v>16</v>
      </c>
      <c r="BD44" s="112">
        <v>44</v>
      </c>
      <c r="BE44" s="113">
        <f t="shared" si="22"/>
        <v>60</v>
      </c>
      <c r="BF44" s="112">
        <v>23</v>
      </c>
      <c r="BG44" s="113">
        <f t="shared" si="23"/>
        <v>83</v>
      </c>
      <c r="BH44" s="187"/>
      <c r="BI44" s="112">
        <f t="shared" si="24"/>
        <v>5</v>
      </c>
      <c r="BJ44" s="112">
        <v>10</v>
      </c>
      <c r="BK44" s="112">
        <v>36</v>
      </c>
      <c r="BL44" s="113">
        <f t="shared" si="25"/>
        <v>46</v>
      </c>
      <c r="BM44" s="113">
        <f t="shared" si="26"/>
        <v>46</v>
      </c>
      <c r="BN44" s="187"/>
      <c r="BO44" s="112">
        <f t="shared" si="3"/>
        <v>5</v>
      </c>
      <c r="BP44" s="112">
        <f t="shared" si="27"/>
        <v>39</v>
      </c>
      <c r="BQ44" s="114">
        <f t="shared" si="28"/>
        <v>4.875</v>
      </c>
      <c r="BR44" s="114" t="str">
        <f t="shared" si="29"/>
        <v>A</v>
      </c>
      <c r="BS44" s="33" t="str">
        <f t="shared" si="4"/>
        <v>BETTER</v>
      </c>
      <c r="BT44" s="108">
        <f t="shared" si="30"/>
        <v>670</v>
      </c>
      <c r="BU44" s="150">
        <f>'1st_Semester'!BT44</f>
        <v>553</v>
      </c>
      <c r="BV44" s="147">
        <f>'2nd_Semester'!BT44</f>
        <v>599</v>
      </c>
      <c r="BW44" s="147">
        <f t="shared" si="31"/>
        <v>670</v>
      </c>
      <c r="BX44" s="147">
        <f t="shared" si="32"/>
        <v>607.33333333333337</v>
      </c>
      <c r="BY44" s="153">
        <f>'1st_Semester'!BQ44</f>
        <v>3.875</v>
      </c>
      <c r="BZ44" s="153">
        <f>'2nd_Semester'!BQ44</f>
        <v>4.375</v>
      </c>
      <c r="CA44" s="153">
        <f t="shared" si="33"/>
        <v>4.875</v>
      </c>
      <c r="CB44" s="153">
        <f t="shared" si="34"/>
        <v>4.375</v>
      </c>
      <c r="CC44" s="66"/>
    </row>
    <row r="45" spans="1:81" ht="27.95" customHeight="1">
      <c r="A45" s="67">
        <v>38</v>
      </c>
      <c r="B45" s="48">
        <v>96</v>
      </c>
      <c r="C45" s="49" t="s">
        <v>223</v>
      </c>
      <c r="D45" s="39" t="s">
        <v>224</v>
      </c>
      <c r="E45" s="39" t="s">
        <v>225</v>
      </c>
      <c r="F45" s="40" t="s">
        <v>226</v>
      </c>
      <c r="G45" s="112">
        <v>20</v>
      </c>
      <c r="H45" s="112">
        <v>28</v>
      </c>
      <c r="I45" s="113">
        <f t="shared" si="35"/>
        <v>48</v>
      </c>
      <c r="J45" s="112">
        <v>23</v>
      </c>
      <c r="K45" s="113">
        <f t="shared" si="36"/>
        <v>71</v>
      </c>
      <c r="L45" s="112">
        <v>9</v>
      </c>
      <c r="M45" s="112">
        <v>28</v>
      </c>
      <c r="N45" s="113">
        <f t="shared" si="37"/>
        <v>37</v>
      </c>
      <c r="O45" s="113">
        <f t="shared" si="5"/>
        <v>37</v>
      </c>
      <c r="P45" s="113">
        <f t="shared" si="0"/>
        <v>108</v>
      </c>
      <c r="Q45" s="187"/>
      <c r="R45" s="112">
        <f t="shared" si="6"/>
        <v>4</v>
      </c>
      <c r="S45" s="112">
        <v>20</v>
      </c>
      <c r="T45" s="112">
        <v>51</v>
      </c>
      <c r="U45" s="113">
        <f t="shared" si="7"/>
        <v>71</v>
      </c>
      <c r="V45" s="112">
        <v>9</v>
      </c>
      <c r="W45" s="112">
        <v>29</v>
      </c>
      <c r="X45" s="113">
        <f t="shared" si="8"/>
        <v>38</v>
      </c>
      <c r="Y45" s="113">
        <f t="shared" si="9"/>
        <v>109</v>
      </c>
      <c r="Z45" s="113">
        <f t="shared" si="1"/>
        <v>109</v>
      </c>
      <c r="AA45" s="187"/>
      <c r="AB45" s="112">
        <f t="shared" si="10"/>
        <v>4</v>
      </c>
      <c r="AC45" s="112">
        <v>18</v>
      </c>
      <c r="AD45" s="112">
        <v>43</v>
      </c>
      <c r="AE45" s="113">
        <f t="shared" si="11"/>
        <v>61</v>
      </c>
      <c r="AF45" s="112">
        <v>27</v>
      </c>
      <c r="AG45" s="113">
        <f t="shared" si="12"/>
        <v>88</v>
      </c>
      <c r="AH45" s="187"/>
      <c r="AI45" s="112">
        <f t="shared" si="39"/>
        <v>5</v>
      </c>
      <c r="AJ45" s="112">
        <v>20</v>
      </c>
      <c r="AK45" s="112">
        <v>41</v>
      </c>
      <c r="AL45" s="113">
        <f t="shared" si="40"/>
        <v>61</v>
      </c>
      <c r="AM45" s="112">
        <v>21</v>
      </c>
      <c r="AN45" s="113">
        <f t="shared" si="41"/>
        <v>82</v>
      </c>
      <c r="AO45" s="187"/>
      <c r="AP45" s="112">
        <f t="shared" si="38"/>
        <v>5</v>
      </c>
      <c r="AQ45" s="129">
        <v>23</v>
      </c>
      <c r="AR45" s="129">
        <v>25</v>
      </c>
      <c r="AS45" s="129">
        <f t="shared" si="17"/>
        <v>48</v>
      </c>
      <c r="AT45" s="188"/>
      <c r="AU45" s="112">
        <f t="shared" si="18"/>
        <v>5</v>
      </c>
      <c r="AV45" s="112">
        <v>19</v>
      </c>
      <c r="AW45" s="112">
        <v>36</v>
      </c>
      <c r="AX45" s="113">
        <f t="shared" si="19"/>
        <v>55</v>
      </c>
      <c r="AY45" s="112">
        <v>26</v>
      </c>
      <c r="AZ45" s="113">
        <f t="shared" si="20"/>
        <v>81</v>
      </c>
      <c r="BA45" s="187"/>
      <c r="BB45" s="112">
        <f t="shared" si="21"/>
        <v>5</v>
      </c>
      <c r="BC45" s="112">
        <v>20</v>
      </c>
      <c r="BD45" s="112">
        <v>41</v>
      </c>
      <c r="BE45" s="113">
        <f t="shared" si="22"/>
        <v>61</v>
      </c>
      <c r="BF45" s="112">
        <v>23</v>
      </c>
      <c r="BG45" s="113">
        <f t="shared" si="23"/>
        <v>84</v>
      </c>
      <c r="BH45" s="187"/>
      <c r="BI45" s="112">
        <f t="shared" si="24"/>
        <v>5</v>
      </c>
      <c r="BJ45" s="112">
        <v>10</v>
      </c>
      <c r="BK45" s="112">
        <v>36</v>
      </c>
      <c r="BL45" s="113">
        <f t="shared" si="25"/>
        <v>46</v>
      </c>
      <c r="BM45" s="113">
        <f t="shared" si="26"/>
        <v>46</v>
      </c>
      <c r="BN45" s="187"/>
      <c r="BO45" s="112">
        <f t="shared" si="3"/>
        <v>5</v>
      </c>
      <c r="BP45" s="112">
        <f t="shared" si="27"/>
        <v>38</v>
      </c>
      <c r="BQ45" s="114">
        <f t="shared" si="28"/>
        <v>4.75</v>
      </c>
      <c r="BR45" s="114" t="str">
        <f t="shared" si="29"/>
        <v>A</v>
      </c>
      <c r="BS45" s="33" t="str">
        <f t="shared" si="4"/>
        <v>BETTER</v>
      </c>
      <c r="BT45" s="108">
        <f t="shared" si="30"/>
        <v>646</v>
      </c>
      <c r="BU45" s="150">
        <f>'1st_Semester'!BT45</f>
        <v>547</v>
      </c>
      <c r="BV45" s="147">
        <f>'2nd_Semester'!BT45</f>
        <v>621</v>
      </c>
      <c r="BW45" s="147">
        <f t="shared" si="31"/>
        <v>646</v>
      </c>
      <c r="BX45" s="147">
        <f t="shared" si="32"/>
        <v>604.66666666666663</v>
      </c>
      <c r="BY45" s="153">
        <f>'1st_Semester'!BQ45</f>
        <v>3.875</v>
      </c>
      <c r="BZ45" s="153">
        <f>'2nd_Semester'!BQ45</f>
        <v>4.4375</v>
      </c>
      <c r="CA45" s="153">
        <f t="shared" si="33"/>
        <v>4.75</v>
      </c>
      <c r="CB45" s="153">
        <f t="shared" si="34"/>
        <v>4.354166666666667</v>
      </c>
      <c r="CC45" s="66"/>
    </row>
    <row r="46" spans="1:81" ht="27.95" customHeight="1">
      <c r="A46" s="67">
        <v>39</v>
      </c>
      <c r="B46" s="48">
        <v>97</v>
      </c>
      <c r="C46" s="39" t="s">
        <v>227</v>
      </c>
      <c r="D46" s="39" t="s">
        <v>228</v>
      </c>
      <c r="E46" s="39" t="s">
        <v>229</v>
      </c>
      <c r="F46" s="40" t="s">
        <v>230</v>
      </c>
      <c r="G46" s="112">
        <v>20</v>
      </c>
      <c r="H46" s="112">
        <v>30</v>
      </c>
      <c r="I46" s="113">
        <f t="shared" si="35"/>
        <v>50</v>
      </c>
      <c r="J46" s="112">
        <v>23</v>
      </c>
      <c r="K46" s="113">
        <f t="shared" si="36"/>
        <v>73</v>
      </c>
      <c r="L46" s="112">
        <v>10</v>
      </c>
      <c r="M46" s="112">
        <v>32</v>
      </c>
      <c r="N46" s="113">
        <f t="shared" si="37"/>
        <v>42</v>
      </c>
      <c r="O46" s="113">
        <f t="shared" si="5"/>
        <v>42</v>
      </c>
      <c r="P46" s="113">
        <f t="shared" si="0"/>
        <v>115</v>
      </c>
      <c r="Q46" s="187"/>
      <c r="R46" s="112">
        <f t="shared" si="6"/>
        <v>4</v>
      </c>
      <c r="S46" s="112">
        <v>20</v>
      </c>
      <c r="T46" s="112">
        <v>61</v>
      </c>
      <c r="U46" s="113">
        <f t="shared" si="7"/>
        <v>81</v>
      </c>
      <c r="V46" s="112">
        <v>9</v>
      </c>
      <c r="W46" s="112">
        <v>29</v>
      </c>
      <c r="X46" s="113">
        <f t="shared" si="8"/>
        <v>38</v>
      </c>
      <c r="Y46" s="113">
        <f t="shared" si="9"/>
        <v>119</v>
      </c>
      <c r="Z46" s="113">
        <f t="shared" si="1"/>
        <v>119</v>
      </c>
      <c r="AA46" s="187"/>
      <c r="AB46" s="112">
        <f t="shared" si="10"/>
        <v>4</v>
      </c>
      <c r="AC46" s="112">
        <v>17</v>
      </c>
      <c r="AD46" s="112">
        <v>44</v>
      </c>
      <c r="AE46" s="113">
        <f t="shared" si="11"/>
        <v>61</v>
      </c>
      <c r="AF46" s="112">
        <v>27</v>
      </c>
      <c r="AG46" s="113">
        <f t="shared" si="12"/>
        <v>88</v>
      </c>
      <c r="AH46" s="187"/>
      <c r="AI46" s="112">
        <f t="shared" si="39"/>
        <v>5</v>
      </c>
      <c r="AJ46" s="112">
        <v>20</v>
      </c>
      <c r="AK46" s="112">
        <v>44</v>
      </c>
      <c r="AL46" s="113">
        <f t="shared" si="40"/>
        <v>64</v>
      </c>
      <c r="AM46" s="112">
        <v>22</v>
      </c>
      <c r="AN46" s="113">
        <f t="shared" si="41"/>
        <v>86</v>
      </c>
      <c r="AO46" s="187"/>
      <c r="AP46" s="112">
        <f t="shared" si="38"/>
        <v>5</v>
      </c>
      <c r="AQ46" s="112">
        <v>23</v>
      </c>
      <c r="AR46" s="129">
        <v>25</v>
      </c>
      <c r="AS46" s="129">
        <f t="shared" si="17"/>
        <v>48</v>
      </c>
      <c r="AT46" s="188"/>
      <c r="AU46" s="112">
        <f t="shared" si="18"/>
        <v>5</v>
      </c>
      <c r="AV46" s="112">
        <v>19</v>
      </c>
      <c r="AW46" s="112">
        <v>41</v>
      </c>
      <c r="AX46" s="113">
        <f t="shared" si="19"/>
        <v>60</v>
      </c>
      <c r="AY46" s="112">
        <v>27</v>
      </c>
      <c r="AZ46" s="113">
        <f t="shared" si="20"/>
        <v>87</v>
      </c>
      <c r="BA46" s="187"/>
      <c r="BB46" s="112">
        <f t="shared" si="21"/>
        <v>5</v>
      </c>
      <c r="BC46" s="112">
        <v>19</v>
      </c>
      <c r="BD46" s="112">
        <v>40</v>
      </c>
      <c r="BE46" s="113">
        <f t="shared" si="22"/>
        <v>59</v>
      </c>
      <c r="BF46" s="112">
        <v>22</v>
      </c>
      <c r="BG46" s="113">
        <f t="shared" si="23"/>
        <v>81</v>
      </c>
      <c r="BH46" s="187"/>
      <c r="BI46" s="112">
        <f t="shared" si="24"/>
        <v>5</v>
      </c>
      <c r="BJ46" s="112">
        <v>10</v>
      </c>
      <c r="BK46" s="112">
        <v>36</v>
      </c>
      <c r="BL46" s="113">
        <f t="shared" si="25"/>
        <v>46</v>
      </c>
      <c r="BM46" s="113">
        <f t="shared" si="26"/>
        <v>46</v>
      </c>
      <c r="BN46" s="187"/>
      <c r="BO46" s="112">
        <f t="shared" si="3"/>
        <v>5</v>
      </c>
      <c r="BP46" s="112">
        <f t="shared" si="27"/>
        <v>38</v>
      </c>
      <c r="BQ46" s="114">
        <f t="shared" si="28"/>
        <v>4.75</v>
      </c>
      <c r="BR46" s="114" t="str">
        <f t="shared" si="29"/>
        <v>A</v>
      </c>
      <c r="BS46" s="33" t="str">
        <f t="shared" si="4"/>
        <v>BETTER</v>
      </c>
      <c r="BT46" s="108">
        <f t="shared" si="30"/>
        <v>670</v>
      </c>
      <c r="BU46" s="150">
        <f>'1st_Semester'!BT46</f>
        <v>643</v>
      </c>
      <c r="BV46" s="147">
        <f>'2nd_Semester'!BT46</f>
        <v>669</v>
      </c>
      <c r="BW46" s="147">
        <f t="shared" si="31"/>
        <v>670</v>
      </c>
      <c r="BX46" s="147">
        <f t="shared" si="32"/>
        <v>660.66666666666663</v>
      </c>
      <c r="BY46" s="153">
        <f>'1st_Semester'!BQ46</f>
        <v>4.5</v>
      </c>
      <c r="BZ46" s="153">
        <f>'2nd_Semester'!BQ46</f>
        <v>4.75</v>
      </c>
      <c r="CA46" s="153">
        <f t="shared" si="33"/>
        <v>4.75</v>
      </c>
      <c r="CB46" s="153">
        <f t="shared" si="34"/>
        <v>4.666666666666667</v>
      </c>
      <c r="CC46" s="66"/>
    </row>
    <row r="47" spans="1:81" ht="27.95" customHeight="1" thickBot="1">
      <c r="A47" s="109">
        <v>40</v>
      </c>
      <c r="B47" s="98">
        <v>99</v>
      </c>
      <c r="C47" s="99" t="s">
        <v>231</v>
      </c>
      <c r="D47" s="99" t="s">
        <v>232</v>
      </c>
      <c r="E47" s="99" t="s">
        <v>233</v>
      </c>
      <c r="F47" s="100" t="s">
        <v>234</v>
      </c>
      <c r="G47" s="115">
        <v>16</v>
      </c>
      <c r="H47" s="115">
        <v>22</v>
      </c>
      <c r="I47" s="116">
        <f t="shared" si="35"/>
        <v>38</v>
      </c>
      <c r="J47" s="115">
        <v>19</v>
      </c>
      <c r="K47" s="116">
        <f t="shared" si="36"/>
        <v>57</v>
      </c>
      <c r="L47" s="115">
        <v>9</v>
      </c>
      <c r="M47" s="115">
        <v>30</v>
      </c>
      <c r="N47" s="116">
        <f t="shared" si="37"/>
        <v>39</v>
      </c>
      <c r="O47" s="116">
        <f t="shared" si="5"/>
        <v>39</v>
      </c>
      <c r="P47" s="116">
        <f t="shared" si="0"/>
        <v>96</v>
      </c>
      <c r="Q47" s="187"/>
      <c r="R47" s="115">
        <f t="shared" si="6"/>
        <v>3.5</v>
      </c>
      <c r="S47" s="112">
        <v>20</v>
      </c>
      <c r="T47" s="115">
        <v>64</v>
      </c>
      <c r="U47" s="116">
        <f t="shared" si="7"/>
        <v>84</v>
      </c>
      <c r="V47" s="115">
        <v>9</v>
      </c>
      <c r="W47" s="115">
        <v>22</v>
      </c>
      <c r="X47" s="116">
        <f t="shared" si="8"/>
        <v>31</v>
      </c>
      <c r="Y47" s="116">
        <f t="shared" si="9"/>
        <v>115</v>
      </c>
      <c r="Z47" s="116">
        <f t="shared" si="1"/>
        <v>115</v>
      </c>
      <c r="AA47" s="187"/>
      <c r="AB47" s="115">
        <f t="shared" si="10"/>
        <v>4</v>
      </c>
      <c r="AC47" s="115">
        <v>19</v>
      </c>
      <c r="AD47" s="115">
        <v>22</v>
      </c>
      <c r="AE47" s="116">
        <f t="shared" si="11"/>
        <v>41</v>
      </c>
      <c r="AF47" s="115">
        <v>27</v>
      </c>
      <c r="AG47" s="116">
        <f t="shared" si="12"/>
        <v>68</v>
      </c>
      <c r="AH47" s="187"/>
      <c r="AI47" s="115">
        <f t="shared" si="39"/>
        <v>3.5</v>
      </c>
      <c r="AJ47" s="115">
        <v>19</v>
      </c>
      <c r="AK47" s="115">
        <v>42</v>
      </c>
      <c r="AL47" s="116">
        <f t="shared" si="40"/>
        <v>61</v>
      </c>
      <c r="AM47" s="115">
        <v>24</v>
      </c>
      <c r="AN47" s="116">
        <f t="shared" si="41"/>
        <v>85</v>
      </c>
      <c r="AO47" s="187"/>
      <c r="AP47" s="115">
        <f t="shared" si="38"/>
        <v>5</v>
      </c>
      <c r="AQ47" s="115">
        <v>22</v>
      </c>
      <c r="AR47" s="129">
        <v>25</v>
      </c>
      <c r="AS47" s="129">
        <f t="shared" si="17"/>
        <v>47</v>
      </c>
      <c r="AT47" s="188"/>
      <c r="AU47" s="115">
        <f t="shared" si="18"/>
        <v>5</v>
      </c>
      <c r="AV47" s="115">
        <v>15</v>
      </c>
      <c r="AW47" s="115">
        <v>24</v>
      </c>
      <c r="AX47" s="116">
        <f t="shared" si="19"/>
        <v>39</v>
      </c>
      <c r="AY47" s="115">
        <v>29</v>
      </c>
      <c r="AZ47" s="116">
        <f t="shared" si="20"/>
        <v>68</v>
      </c>
      <c r="BA47" s="187"/>
      <c r="BB47" s="115">
        <f t="shared" si="21"/>
        <v>3.5</v>
      </c>
      <c r="BC47" s="115">
        <v>16</v>
      </c>
      <c r="BD47" s="115">
        <v>36</v>
      </c>
      <c r="BE47" s="116">
        <f t="shared" si="22"/>
        <v>52</v>
      </c>
      <c r="BF47" s="115">
        <v>23</v>
      </c>
      <c r="BG47" s="116">
        <f t="shared" si="23"/>
        <v>75</v>
      </c>
      <c r="BH47" s="187"/>
      <c r="BI47" s="115">
        <f t="shared" si="24"/>
        <v>4</v>
      </c>
      <c r="BJ47" s="115">
        <v>10</v>
      </c>
      <c r="BK47" s="115">
        <v>36</v>
      </c>
      <c r="BL47" s="116">
        <f t="shared" si="25"/>
        <v>46</v>
      </c>
      <c r="BM47" s="116">
        <f t="shared" si="26"/>
        <v>46</v>
      </c>
      <c r="BN47" s="187"/>
      <c r="BO47" s="115">
        <f t="shared" si="3"/>
        <v>5</v>
      </c>
      <c r="BP47" s="115">
        <f t="shared" si="27"/>
        <v>33.5</v>
      </c>
      <c r="BQ47" s="114">
        <f t="shared" si="28"/>
        <v>4.1875</v>
      </c>
      <c r="BR47" s="117" t="str">
        <f t="shared" si="29"/>
        <v>A</v>
      </c>
      <c r="BS47" s="101" t="str">
        <f t="shared" si="4"/>
        <v>BETTER</v>
      </c>
      <c r="BT47" s="108">
        <f t="shared" si="30"/>
        <v>600</v>
      </c>
      <c r="BU47" s="150">
        <f>'1st_Semester'!BT47</f>
        <v>661</v>
      </c>
      <c r="BV47" s="147">
        <f>'2nd_Semester'!BT47</f>
        <v>634</v>
      </c>
      <c r="BW47" s="147">
        <f t="shared" si="31"/>
        <v>600</v>
      </c>
      <c r="BX47" s="147">
        <f t="shared" si="32"/>
        <v>631.66666666666663</v>
      </c>
      <c r="BY47" s="153">
        <f>'1st_Semester'!BQ47</f>
        <v>4.6875</v>
      </c>
      <c r="BZ47" s="153">
        <f>'2nd_Semester'!BQ47</f>
        <v>4.5</v>
      </c>
      <c r="CA47" s="153">
        <f t="shared" si="33"/>
        <v>4.1875</v>
      </c>
      <c r="CB47" s="153">
        <f t="shared" si="34"/>
        <v>4.458333333333333</v>
      </c>
      <c r="CC47" s="66"/>
    </row>
    <row r="48" spans="1:81" s="111" customFormat="1" ht="27.95" customHeight="1" thickTop="1">
      <c r="A48" s="110">
        <v>41</v>
      </c>
      <c r="B48" s="102">
        <v>27</v>
      </c>
      <c r="C48" s="103" t="s">
        <v>235</v>
      </c>
      <c r="D48" s="103" t="s">
        <v>236</v>
      </c>
      <c r="E48" s="103" t="s">
        <v>237</v>
      </c>
      <c r="F48" s="104" t="s">
        <v>238</v>
      </c>
      <c r="G48" s="118">
        <v>16</v>
      </c>
      <c r="H48" s="119">
        <v>24</v>
      </c>
      <c r="I48" s="118">
        <f t="shared" si="35"/>
        <v>40</v>
      </c>
      <c r="J48" s="119">
        <v>19</v>
      </c>
      <c r="K48" s="118">
        <f t="shared" si="36"/>
        <v>59</v>
      </c>
      <c r="L48" s="119">
        <v>8</v>
      </c>
      <c r="M48" s="119">
        <v>26</v>
      </c>
      <c r="N48" s="118">
        <f t="shared" si="37"/>
        <v>34</v>
      </c>
      <c r="O48" s="118">
        <f t="shared" si="5"/>
        <v>34</v>
      </c>
      <c r="P48" s="118">
        <f t="shared" si="0"/>
        <v>93</v>
      </c>
      <c r="Q48" s="187"/>
      <c r="R48" s="119">
        <f t="shared" si="6"/>
        <v>3.5</v>
      </c>
      <c r="S48" s="119">
        <v>16</v>
      </c>
      <c r="T48" s="119">
        <v>24</v>
      </c>
      <c r="U48" s="118">
        <f t="shared" si="7"/>
        <v>40</v>
      </c>
      <c r="V48" s="119">
        <v>9</v>
      </c>
      <c r="W48" s="119">
        <v>16</v>
      </c>
      <c r="X48" s="118">
        <f t="shared" si="8"/>
        <v>25</v>
      </c>
      <c r="Y48" s="118">
        <f t="shared" si="9"/>
        <v>65</v>
      </c>
      <c r="Z48" s="118">
        <f t="shared" si="1"/>
        <v>65</v>
      </c>
      <c r="AA48" s="187"/>
      <c r="AB48" s="119">
        <f t="shared" si="10"/>
        <v>2</v>
      </c>
      <c r="AC48" s="119">
        <v>10</v>
      </c>
      <c r="AD48" s="119">
        <v>29</v>
      </c>
      <c r="AE48" s="118">
        <f t="shared" si="11"/>
        <v>39</v>
      </c>
      <c r="AF48" s="119">
        <v>19</v>
      </c>
      <c r="AG48" s="118">
        <f t="shared" si="12"/>
        <v>58</v>
      </c>
      <c r="AH48" s="187"/>
      <c r="AI48" s="119">
        <f t="shared" si="39"/>
        <v>3</v>
      </c>
      <c r="AJ48" s="119">
        <v>17</v>
      </c>
      <c r="AK48" s="119">
        <v>20</v>
      </c>
      <c r="AL48" s="118">
        <f t="shared" si="40"/>
        <v>37</v>
      </c>
      <c r="AM48" s="119">
        <v>21</v>
      </c>
      <c r="AN48" s="118">
        <f t="shared" si="41"/>
        <v>58</v>
      </c>
      <c r="AO48" s="187"/>
      <c r="AP48" s="119">
        <f t="shared" si="38"/>
        <v>3</v>
      </c>
      <c r="AQ48" s="119">
        <v>22</v>
      </c>
      <c r="AR48" s="129">
        <v>25</v>
      </c>
      <c r="AS48" s="129">
        <f t="shared" si="17"/>
        <v>47</v>
      </c>
      <c r="AT48" s="188"/>
      <c r="AU48" s="119">
        <f t="shared" si="18"/>
        <v>5</v>
      </c>
      <c r="AV48" s="119">
        <v>16</v>
      </c>
      <c r="AW48" s="119">
        <v>19</v>
      </c>
      <c r="AX48" s="118">
        <f t="shared" si="19"/>
        <v>35</v>
      </c>
      <c r="AY48" s="119">
        <v>26</v>
      </c>
      <c r="AZ48" s="118">
        <f t="shared" si="20"/>
        <v>61</v>
      </c>
      <c r="BA48" s="187"/>
      <c r="BB48" s="119">
        <f t="shared" si="21"/>
        <v>3.5</v>
      </c>
      <c r="BC48" s="119">
        <v>19</v>
      </c>
      <c r="BD48" s="119">
        <v>27</v>
      </c>
      <c r="BE48" s="118">
        <f t="shared" si="22"/>
        <v>46</v>
      </c>
      <c r="BF48" s="119">
        <v>21</v>
      </c>
      <c r="BG48" s="118">
        <f t="shared" si="23"/>
        <v>67</v>
      </c>
      <c r="BH48" s="187"/>
      <c r="BI48" s="119">
        <f t="shared" si="24"/>
        <v>3.5</v>
      </c>
      <c r="BJ48" s="119">
        <v>10</v>
      </c>
      <c r="BK48" s="119">
        <v>24</v>
      </c>
      <c r="BL48" s="118">
        <f t="shared" si="25"/>
        <v>34</v>
      </c>
      <c r="BM48" s="118">
        <f t="shared" si="26"/>
        <v>34</v>
      </c>
      <c r="BN48" s="187"/>
      <c r="BO48" s="119">
        <f t="shared" si="3"/>
        <v>3.5</v>
      </c>
      <c r="BP48" s="119">
        <f t="shared" si="27"/>
        <v>27</v>
      </c>
      <c r="BQ48" s="114">
        <f t="shared" si="28"/>
        <v>3.375</v>
      </c>
      <c r="BR48" s="120" t="str">
        <f t="shared" si="29"/>
        <v>B</v>
      </c>
      <c r="BS48" s="105" t="str">
        <f t="shared" si="4"/>
        <v>GOOD</v>
      </c>
      <c r="BT48" s="108">
        <f t="shared" si="30"/>
        <v>483</v>
      </c>
      <c r="BU48" s="150">
        <f>'1st_Semester'!BT48</f>
        <v>501</v>
      </c>
      <c r="BV48" s="147">
        <f>'2nd_Semester'!BT48</f>
        <v>554</v>
      </c>
      <c r="BW48" s="147">
        <f t="shared" si="31"/>
        <v>483</v>
      </c>
      <c r="BX48" s="147">
        <f t="shared" si="32"/>
        <v>512.66666666666663</v>
      </c>
      <c r="BY48" s="153" t="str">
        <f>'1st_Semester'!BQ48</f>
        <v>F</v>
      </c>
      <c r="BZ48" s="153">
        <f>'2nd_Semester'!BQ48</f>
        <v>3.75</v>
      </c>
      <c r="CA48" s="153">
        <f t="shared" si="33"/>
        <v>3.375</v>
      </c>
      <c r="CB48" s="153">
        <f t="shared" si="34"/>
        <v>3.5625</v>
      </c>
      <c r="CC48" s="66"/>
    </row>
    <row r="49" spans="1:81" ht="27.95" customHeight="1">
      <c r="A49" s="67">
        <v>42</v>
      </c>
      <c r="B49" s="48">
        <v>30</v>
      </c>
      <c r="C49" s="39" t="s">
        <v>239</v>
      </c>
      <c r="D49" s="39" t="s">
        <v>240</v>
      </c>
      <c r="E49" s="39" t="s">
        <v>241</v>
      </c>
      <c r="F49" s="50" t="s">
        <v>242</v>
      </c>
      <c r="G49" s="112">
        <v>0</v>
      </c>
      <c r="H49" s="112">
        <v>21</v>
      </c>
      <c r="I49" s="113">
        <f t="shared" si="35"/>
        <v>21</v>
      </c>
      <c r="J49" s="112">
        <v>18</v>
      </c>
      <c r="K49" s="113">
        <f t="shared" si="36"/>
        <v>39</v>
      </c>
      <c r="L49" s="112">
        <v>0</v>
      </c>
      <c r="M49" s="112">
        <v>24</v>
      </c>
      <c r="N49" s="113">
        <f t="shared" si="37"/>
        <v>24</v>
      </c>
      <c r="O49" s="113">
        <f t="shared" si="5"/>
        <v>24</v>
      </c>
      <c r="P49" s="113">
        <f t="shared" si="0"/>
        <v>63</v>
      </c>
      <c r="Q49" s="187"/>
      <c r="R49" s="112">
        <f t="shared" si="6"/>
        <v>2</v>
      </c>
      <c r="S49" s="112">
        <v>5</v>
      </c>
      <c r="T49" s="112">
        <v>20</v>
      </c>
      <c r="U49" s="113">
        <f>T49+S49</f>
        <v>25</v>
      </c>
      <c r="V49" s="112">
        <v>3</v>
      </c>
      <c r="W49" s="112">
        <v>17</v>
      </c>
      <c r="X49" s="113">
        <f>W49+V49</f>
        <v>20</v>
      </c>
      <c r="Y49" s="113">
        <f>U49+X49</f>
        <v>45</v>
      </c>
      <c r="Z49" s="113">
        <f t="shared" si="1"/>
        <v>45</v>
      </c>
      <c r="AA49" s="187"/>
      <c r="AB49" s="112">
        <f>IF(Z49&lt;60,0,IF(Z49&lt;75,2,IF(Z49&lt;90,3,IF(Z49&lt;105,3.5,IF(Z49&lt;120,4,5)))))</f>
        <v>0</v>
      </c>
      <c r="AC49" s="112">
        <v>4</v>
      </c>
      <c r="AD49" s="112">
        <v>29</v>
      </c>
      <c r="AE49" s="113">
        <f t="shared" si="11"/>
        <v>33</v>
      </c>
      <c r="AF49" s="112">
        <v>16</v>
      </c>
      <c r="AG49" s="113">
        <f>AE49+AF49</f>
        <v>49</v>
      </c>
      <c r="AH49" s="187"/>
      <c r="AI49" s="112">
        <f>IF(AG49&lt;40,"F",IF(AG49&lt;50,2,IF(AG49&lt;60,3,IF(AG49&lt;70,3.5,IF(AG49&lt;80,4,5)))))</f>
        <v>2</v>
      </c>
      <c r="AJ49" s="112">
        <v>0</v>
      </c>
      <c r="AK49" s="112">
        <v>11</v>
      </c>
      <c r="AL49" s="113">
        <f>AK49+AJ49</f>
        <v>11</v>
      </c>
      <c r="AM49" s="112">
        <v>22</v>
      </c>
      <c r="AN49" s="113">
        <f>+AL49+AM49</f>
        <v>33</v>
      </c>
      <c r="AO49" s="187"/>
      <c r="AP49" s="112" t="str">
        <f t="shared" si="38"/>
        <v>F</v>
      </c>
      <c r="AQ49" s="112">
        <v>24</v>
      </c>
      <c r="AR49" s="129">
        <v>25</v>
      </c>
      <c r="AS49" s="129">
        <f t="shared" si="17"/>
        <v>49</v>
      </c>
      <c r="AT49" s="188"/>
      <c r="AU49" s="112">
        <f>IF(AS49&lt;20,"F",IF(AS49&lt;25,2,IF(AS49&lt;30,3,IF(AS49&lt;35,3.5,IF(AS49&lt;40,4,5)))))</f>
        <v>5</v>
      </c>
      <c r="AV49" s="112">
        <v>0</v>
      </c>
      <c r="AW49" s="112">
        <v>29</v>
      </c>
      <c r="AX49" s="113">
        <f>AW49+AV49</f>
        <v>29</v>
      </c>
      <c r="AY49" s="112">
        <v>28</v>
      </c>
      <c r="AZ49" s="113">
        <f>AX49+AY49</f>
        <v>57</v>
      </c>
      <c r="BA49" s="187"/>
      <c r="BB49" s="112">
        <f t="shared" si="21"/>
        <v>3</v>
      </c>
      <c r="BC49" s="112">
        <v>5</v>
      </c>
      <c r="BD49" s="112">
        <v>20</v>
      </c>
      <c r="BE49" s="113">
        <f>BD49+BC49</f>
        <v>25</v>
      </c>
      <c r="BF49" s="112">
        <v>16</v>
      </c>
      <c r="BG49" s="113">
        <f t="shared" si="23"/>
        <v>41</v>
      </c>
      <c r="BH49" s="187"/>
      <c r="BI49" s="112">
        <f t="shared" ref="BI49:BI51" si="42">IF(BG49&lt;40,"F",IF(BG49&lt;50,2,IF(BG49&lt;60,3,IF(BG49&lt;70,3.5,IF(BG49&lt;80,4,5)))))</f>
        <v>2</v>
      </c>
      <c r="BJ49" s="112">
        <v>0</v>
      </c>
      <c r="BK49" s="112">
        <v>0</v>
      </c>
      <c r="BL49" s="113">
        <f t="shared" ref="BL49:BL51" si="43">BK49+BJ49</f>
        <v>0</v>
      </c>
      <c r="BM49" s="113">
        <f t="shared" si="26"/>
        <v>0</v>
      </c>
      <c r="BN49" s="187"/>
      <c r="BO49" s="112" t="str">
        <f t="shared" si="3"/>
        <v>F</v>
      </c>
      <c r="BP49" s="112" t="str">
        <f t="shared" si="27"/>
        <v>F</v>
      </c>
      <c r="BQ49" s="114" t="str">
        <f t="shared" si="28"/>
        <v>F</v>
      </c>
      <c r="BR49" s="114" t="str">
        <f t="shared" si="29"/>
        <v>F</v>
      </c>
      <c r="BS49" s="33" t="str">
        <f t="shared" si="4"/>
        <v>NEED TO PROGRESS</v>
      </c>
      <c r="BT49" s="108">
        <f t="shared" si="30"/>
        <v>337</v>
      </c>
      <c r="BU49" s="150">
        <f>'1st_Semester'!BT49</f>
        <v>426</v>
      </c>
      <c r="BV49" s="147">
        <f>'2nd_Semester'!BT49</f>
        <v>429</v>
      </c>
      <c r="BW49" s="147">
        <f t="shared" si="31"/>
        <v>337</v>
      </c>
      <c r="BX49" s="147">
        <f t="shared" si="32"/>
        <v>397.33333333333331</v>
      </c>
      <c r="BY49" s="153">
        <f>'1st_Semester'!BQ49</f>
        <v>3.125</v>
      </c>
      <c r="BZ49" s="153" t="str">
        <f>'2nd_Semester'!BQ49</f>
        <v>F</v>
      </c>
      <c r="CA49" s="153" t="str">
        <f t="shared" si="33"/>
        <v>F</v>
      </c>
      <c r="CB49" s="153">
        <f t="shared" si="34"/>
        <v>3.125</v>
      </c>
      <c r="CC49" s="66"/>
    </row>
    <row r="50" spans="1:81" ht="27.95" customHeight="1">
      <c r="A50" s="67">
        <v>43</v>
      </c>
      <c r="B50" s="48">
        <v>32</v>
      </c>
      <c r="C50" s="39" t="s">
        <v>243</v>
      </c>
      <c r="D50" s="39" t="s">
        <v>244</v>
      </c>
      <c r="E50" s="39" t="s">
        <v>245</v>
      </c>
      <c r="F50" s="50" t="s">
        <v>246</v>
      </c>
      <c r="G50" s="121">
        <v>11</v>
      </c>
      <c r="H50" s="121">
        <v>24</v>
      </c>
      <c r="I50" s="122">
        <f>H50+G50</f>
        <v>35</v>
      </c>
      <c r="J50" s="121">
        <v>18</v>
      </c>
      <c r="K50" s="122">
        <f>I50+J50</f>
        <v>53</v>
      </c>
      <c r="L50" s="112">
        <v>7</v>
      </c>
      <c r="M50" s="112">
        <v>25</v>
      </c>
      <c r="N50" s="122">
        <f>M50+L50</f>
        <v>32</v>
      </c>
      <c r="O50" s="113">
        <f t="shared" si="5"/>
        <v>32</v>
      </c>
      <c r="P50" s="122">
        <f t="shared" si="0"/>
        <v>85</v>
      </c>
      <c r="Q50" s="187"/>
      <c r="R50" s="121">
        <f>IF(P50&lt;60,"F",IF(P50&lt;70,2,IF(P50&lt;95,3,IF(P50&lt;105,3.5,IF(P50&lt;120,4,5)))))</f>
        <v>3</v>
      </c>
      <c r="S50" s="112">
        <v>15</v>
      </c>
      <c r="T50" s="112">
        <v>27</v>
      </c>
      <c r="U50" s="113">
        <f>T50+S50</f>
        <v>42</v>
      </c>
      <c r="V50" s="112">
        <v>6</v>
      </c>
      <c r="W50" s="112">
        <v>20</v>
      </c>
      <c r="X50" s="113">
        <f>W50+V50</f>
        <v>26</v>
      </c>
      <c r="Y50" s="113">
        <f>U50+X50</f>
        <v>68</v>
      </c>
      <c r="Z50" s="122">
        <f t="shared" si="1"/>
        <v>68</v>
      </c>
      <c r="AA50" s="187"/>
      <c r="AB50" s="112">
        <f>IF(Z50&lt;60,0,IF(Z50&lt;75,2,IF(Z50&lt;90,3,IF(Z50&lt;105,3.5,IF(Z50&lt;120,4,5)))))</f>
        <v>2</v>
      </c>
      <c r="AC50" s="112">
        <v>13</v>
      </c>
      <c r="AD50" s="112">
        <v>31</v>
      </c>
      <c r="AE50" s="113">
        <f t="shared" si="11"/>
        <v>44</v>
      </c>
      <c r="AF50" s="112">
        <v>15</v>
      </c>
      <c r="AG50" s="113">
        <f>AE50+AF50</f>
        <v>59</v>
      </c>
      <c r="AH50" s="187"/>
      <c r="AI50" s="112">
        <f>IF(AG50&lt;40,"F",IF(AG50&lt;50,2,IF(AG50&lt;60,3,IF(AG50&lt;70,3.5,IF(AG50&lt;80,4,5)))))</f>
        <v>3</v>
      </c>
      <c r="AJ50" s="112">
        <v>19</v>
      </c>
      <c r="AK50" s="112">
        <v>20</v>
      </c>
      <c r="AL50" s="113">
        <f>AK50+AJ50</f>
        <v>39</v>
      </c>
      <c r="AM50" s="112">
        <v>18</v>
      </c>
      <c r="AN50" s="113">
        <f>+AL50+AM50</f>
        <v>57</v>
      </c>
      <c r="AO50" s="187"/>
      <c r="AP50" s="112">
        <f t="shared" si="38"/>
        <v>3</v>
      </c>
      <c r="AQ50" s="112">
        <v>23</v>
      </c>
      <c r="AR50" s="129">
        <v>25</v>
      </c>
      <c r="AS50" s="129">
        <f t="shared" si="17"/>
        <v>48</v>
      </c>
      <c r="AT50" s="188"/>
      <c r="AU50" s="112">
        <f t="shared" ref="AU50" si="44">IF(AS50&lt;20,"F",IF(AS50&lt;25,2,IF(AS50&lt;30,3,IF(AS50&lt;35,3.5,IF(AS50&lt;40,4,5)))))</f>
        <v>5</v>
      </c>
      <c r="AV50" s="112">
        <v>11</v>
      </c>
      <c r="AW50" s="112">
        <v>26</v>
      </c>
      <c r="AX50" s="113">
        <f t="shared" ref="AX50" si="45">AW50+AV50</f>
        <v>37</v>
      </c>
      <c r="AY50" s="112">
        <v>27</v>
      </c>
      <c r="AZ50" s="113">
        <f t="shared" ref="AZ50" si="46">AX50+AY50</f>
        <v>64</v>
      </c>
      <c r="BA50" s="187"/>
      <c r="BB50" s="121">
        <f>IF(AZ50&lt;40,"F",IF(AZ50&lt;50,2,IF(AZ50&lt;60,3,IF(AZ50&lt;70,3.5,IF(AZ50&lt;80,4,5)))))</f>
        <v>3.5</v>
      </c>
      <c r="BC50" s="112">
        <v>16</v>
      </c>
      <c r="BD50" s="112">
        <v>14</v>
      </c>
      <c r="BE50" s="113">
        <f t="shared" ref="BE50:BE51" si="47">BD50+BC50</f>
        <v>30</v>
      </c>
      <c r="BF50" s="112">
        <v>14</v>
      </c>
      <c r="BG50" s="122">
        <f>BE50+BF50</f>
        <v>44</v>
      </c>
      <c r="BH50" s="187"/>
      <c r="BI50" s="112">
        <f t="shared" si="42"/>
        <v>2</v>
      </c>
      <c r="BJ50" s="112">
        <v>9</v>
      </c>
      <c r="BK50" s="112">
        <v>20</v>
      </c>
      <c r="BL50" s="113">
        <f t="shared" si="43"/>
        <v>29</v>
      </c>
      <c r="BM50" s="113">
        <f t="shared" si="26"/>
        <v>29</v>
      </c>
      <c r="BN50" s="187"/>
      <c r="BO50" s="121">
        <f t="shared" si="3"/>
        <v>3</v>
      </c>
      <c r="BP50" s="112">
        <f t="shared" si="27"/>
        <v>24.5</v>
      </c>
      <c r="BQ50" s="114">
        <f t="shared" si="28"/>
        <v>3.0625</v>
      </c>
      <c r="BR50" s="123" t="str">
        <f>IF(BQ50="F","F",IF(BQ50&lt;2.5,"D",IF(BQ50&lt;3,"C",IF(BQ50&lt;3.5,"B",IF(BQ50&lt;4,"A-",IF(BQ50&lt;5,"A","A+"))))))</f>
        <v>B</v>
      </c>
      <c r="BS50" s="38" t="str">
        <f t="shared" si="4"/>
        <v>GOOD</v>
      </c>
      <c r="BT50" s="108">
        <f t="shared" si="30"/>
        <v>454</v>
      </c>
      <c r="BU50" s="150">
        <f>'1st_Semester'!BT50</f>
        <v>404</v>
      </c>
      <c r="BV50" s="147">
        <f>'2nd_Semester'!BT50</f>
        <v>470</v>
      </c>
      <c r="BW50" s="147">
        <f t="shared" si="31"/>
        <v>454</v>
      </c>
      <c r="BX50" s="147">
        <f t="shared" si="32"/>
        <v>442.66666666666669</v>
      </c>
      <c r="BY50" s="153">
        <f>'1st_Semester'!BQ50</f>
        <v>2.625</v>
      </c>
      <c r="BZ50" s="153">
        <f>'2nd_Semester'!BQ50</f>
        <v>3.25</v>
      </c>
      <c r="CA50" s="153">
        <f t="shared" si="33"/>
        <v>3.0625</v>
      </c>
      <c r="CB50" s="153">
        <f t="shared" si="34"/>
        <v>2.9791666666666665</v>
      </c>
      <c r="CC50" s="66"/>
    </row>
    <row r="51" spans="1:81" ht="27.95" customHeight="1">
      <c r="A51" s="67">
        <v>44</v>
      </c>
      <c r="B51" s="48">
        <v>34</v>
      </c>
      <c r="C51" s="39" t="s">
        <v>247</v>
      </c>
      <c r="D51" s="39" t="s">
        <v>248</v>
      </c>
      <c r="E51" s="39" t="s">
        <v>77</v>
      </c>
      <c r="F51" s="50" t="s">
        <v>249</v>
      </c>
      <c r="G51" s="121">
        <v>11</v>
      </c>
      <c r="H51" s="121">
        <v>18</v>
      </c>
      <c r="I51" s="122">
        <f>H51+G51</f>
        <v>29</v>
      </c>
      <c r="J51" s="121">
        <v>17</v>
      </c>
      <c r="K51" s="122">
        <f>I51+J51</f>
        <v>46</v>
      </c>
      <c r="L51" s="112">
        <v>7</v>
      </c>
      <c r="M51" s="112">
        <v>27</v>
      </c>
      <c r="N51" s="122">
        <f>M51+L51</f>
        <v>34</v>
      </c>
      <c r="O51" s="113">
        <f t="shared" si="5"/>
        <v>34</v>
      </c>
      <c r="P51" s="122">
        <f t="shared" si="0"/>
        <v>80</v>
      </c>
      <c r="Q51" s="187"/>
      <c r="R51" s="121">
        <f t="shared" ref="R51:R87" si="48">IF(P51&lt;60,"F",IF(P51&lt;70,2,IF(P51&lt;95,3,IF(P51&lt;105,3.5,IF(P51&lt;120,4,5)))))</f>
        <v>3</v>
      </c>
      <c r="S51" s="112">
        <v>15</v>
      </c>
      <c r="T51" s="112">
        <v>22</v>
      </c>
      <c r="U51" s="113">
        <f t="shared" ref="U51:U87" si="49">T51+S51</f>
        <v>37</v>
      </c>
      <c r="V51" s="112">
        <v>6</v>
      </c>
      <c r="W51" s="112">
        <v>16</v>
      </c>
      <c r="X51" s="113">
        <f t="shared" ref="X51:X87" si="50">W51+V51</f>
        <v>22</v>
      </c>
      <c r="Y51" s="113">
        <f t="shared" ref="Y51:Y87" si="51">U51+X51</f>
        <v>59</v>
      </c>
      <c r="Z51" s="122">
        <f>Y51</f>
        <v>59</v>
      </c>
      <c r="AA51" s="187"/>
      <c r="AB51" s="112">
        <f t="shared" ref="AB51:AB87" si="52">IF(Z51&lt;60,0,IF(Z51&lt;75,2,IF(Z51&lt;90,3,IF(Z51&lt;105,3.5,IF(Z51&lt;120,4,5)))))</f>
        <v>0</v>
      </c>
      <c r="AC51" s="112">
        <v>14</v>
      </c>
      <c r="AD51" s="112">
        <v>29</v>
      </c>
      <c r="AE51" s="113">
        <f t="shared" ref="AE51:AE87" si="53">AD51+AC51</f>
        <v>43</v>
      </c>
      <c r="AF51" s="112">
        <v>15</v>
      </c>
      <c r="AG51" s="113">
        <f t="shared" ref="AG51:AG87" si="54">AE51+AF51</f>
        <v>58</v>
      </c>
      <c r="AH51" s="187"/>
      <c r="AI51" s="112">
        <f t="shared" ref="AI51:AI60" si="55">IF(AG51&lt;40,"F",IF(AG51&lt;50,2,IF(AG51&lt;60,3,IF(AG51&lt;70,3.5,IF(AG51&lt;80,4,5)))))</f>
        <v>3</v>
      </c>
      <c r="AJ51" s="112">
        <v>11</v>
      </c>
      <c r="AK51" s="112">
        <v>20</v>
      </c>
      <c r="AL51" s="113">
        <f t="shared" ref="AL51:AL60" si="56">AK51+AJ51</f>
        <v>31</v>
      </c>
      <c r="AM51" s="112">
        <v>20</v>
      </c>
      <c r="AN51" s="113">
        <f t="shared" ref="AN51:AN60" si="57">+AL51+AM51</f>
        <v>51</v>
      </c>
      <c r="AO51" s="187"/>
      <c r="AP51" s="112">
        <f t="shared" si="38"/>
        <v>3</v>
      </c>
      <c r="AQ51" s="112">
        <v>24</v>
      </c>
      <c r="AR51" s="129">
        <v>25</v>
      </c>
      <c r="AS51" s="129">
        <f t="shared" si="17"/>
        <v>49</v>
      </c>
      <c r="AT51" s="188"/>
      <c r="AU51" s="112">
        <f>IF(AS51&lt;20,"F",IF(AS51&lt;25,2,IF(AS51&lt;30,3,IF(AS51&lt;35,3.5,IF(AS51&lt;40,4,5)))))</f>
        <v>5</v>
      </c>
      <c r="AV51" s="112">
        <v>11</v>
      </c>
      <c r="AW51" s="112">
        <v>16</v>
      </c>
      <c r="AX51" s="113">
        <f>AW51+AV51</f>
        <v>27</v>
      </c>
      <c r="AY51" s="112">
        <v>24</v>
      </c>
      <c r="AZ51" s="113">
        <f>AX51+AY51</f>
        <v>51</v>
      </c>
      <c r="BA51" s="187"/>
      <c r="BB51" s="121">
        <f t="shared" ref="BB51:BB87" si="58">IF(AZ51&lt;40,"F",IF(AZ51&lt;50,2,IF(AZ51&lt;60,3,IF(AZ51&lt;70,3.5,IF(AZ51&lt;80,4,5)))))</f>
        <v>3</v>
      </c>
      <c r="BC51" s="112">
        <v>12</v>
      </c>
      <c r="BD51" s="112">
        <v>20</v>
      </c>
      <c r="BE51" s="113">
        <f t="shared" si="47"/>
        <v>32</v>
      </c>
      <c r="BF51" s="112">
        <v>13</v>
      </c>
      <c r="BG51" s="122">
        <f t="shared" ref="BG51:BG87" si="59">BE51+BF51</f>
        <v>45</v>
      </c>
      <c r="BH51" s="187"/>
      <c r="BI51" s="112">
        <f t="shared" si="42"/>
        <v>2</v>
      </c>
      <c r="BJ51" s="112">
        <v>9</v>
      </c>
      <c r="BK51" s="112">
        <v>20</v>
      </c>
      <c r="BL51" s="113">
        <f t="shared" si="43"/>
        <v>29</v>
      </c>
      <c r="BM51" s="113">
        <f t="shared" si="26"/>
        <v>29</v>
      </c>
      <c r="BN51" s="187"/>
      <c r="BO51" s="121">
        <f t="shared" si="3"/>
        <v>3</v>
      </c>
      <c r="BP51" s="112">
        <f t="shared" si="27"/>
        <v>22</v>
      </c>
      <c r="BQ51" s="114">
        <f t="shared" si="28"/>
        <v>2.75</v>
      </c>
      <c r="BR51" s="123" t="str">
        <f t="shared" ref="BR51:BR87" si="60">IF(BQ51="F","F",IF(BQ51&lt;2.5,"D",IF(BQ51&lt;3,"C",IF(BQ51&lt;3.5,"B",IF(BQ51&lt;4,"A-",IF(BQ51&lt;5,"A","A+"))))))</f>
        <v>C</v>
      </c>
      <c r="BS51" s="38" t="str">
        <f t="shared" si="4"/>
        <v>GOOD</v>
      </c>
      <c r="BT51" s="108">
        <f t="shared" si="30"/>
        <v>422</v>
      </c>
      <c r="BU51" s="150">
        <f>'1st_Semester'!BT51</f>
        <v>417</v>
      </c>
      <c r="BV51" s="147">
        <f>'2nd_Semester'!BT51</f>
        <v>471</v>
      </c>
      <c r="BW51" s="147">
        <f t="shared" si="31"/>
        <v>422</v>
      </c>
      <c r="BX51" s="147">
        <f t="shared" si="32"/>
        <v>436.66666666666669</v>
      </c>
      <c r="BY51" s="153" t="str">
        <f>'1st_Semester'!BQ51</f>
        <v>F</v>
      </c>
      <c r="BZ51" s="153">
        <f>'2nd_Semester'!BQ51</f>
        <v>3.25</v>
      </c>
      <c r="CA51" s="153">
        <f t="shared" si="33"/>
        <v>2.75</v>
      </c>
      <c r="CB51" s="153">
        <f t="shared" si="34"/>
        <v>3</v>
      </c>
      <c r="CC51" s="66"/>
    </row>
    <row r="52" spans="1:81" s="138" customFormat="1" ht="27.95" customHeight="1">
      <c r="A52" s="67">
        <v>45</v>
      </c>
      <c r="B52" s="37">
        <v>35</v>
      </c>
      <c r="C52" s="34" t="s">
        <v>250</v>
      </c>
      <c r="D52" s="34" t="s">
        <v>251</v>
      </c>
      <c r="E52" s="34" t="s">
        <v>252</v>
      </c>
      <c r="F52" s="51" t="s">
        <v>253</v>
      </c>
      <c r="G52" s="129">
        <v>10</v>
      </c>
      <c r="H52" s="129">
        <v>24</v>
      </c>
      <c r="I52" s="128">
        <f t="shared" ref="I52:I87" si="61">H52+G52</f>
        <v>34</v>
      </c>
      <c r="J52" s="129">
        <v>14</v>
      </c>
      <c r="K52" s="128">
        <f t="shared" ref="K52:K87" si="62">I52+J52</f>
        <v>48</v>
      </c>
      <c r="L52" s="129">
        <v>7</v>
      </c>
      <c r="M52" s="129">
        <v>21</v>
      </c>
      <c r="N52" s="128">
        <f t="shared" ref="N52:N87" si="63">M52+L52</f>
        <v>28</v>
      </c>
      <c r="O52" s="128">
        <f t="shared" si="5"/>
        <v>28</v>
      </c>
      <c r="P52" s="128">
        <f t="shared" si="0"/>
        <v>76</v>
      </c>
      <c r="Q52" s="187"/>
      <c r="R52" s="129">
        <f t="shared" si="48"/>
        <v>3</v>
      </c>
      <c r="S52" s="129">
        <v>13</v>
      </c>
      <c r="T52" s="129">
        <v>35</v>
      </c>
      <c r="U52" s="128">
        <f t="shared" si="49"/>
        <v>48</v>
      </c>
      <c r="V52" s="129">
        <v>6</v>
      </c>
      <c r="W52" s="129">
        <v>20</v>
      </c>
      <c r="X52" s="128">
        <f t="shared" si="50"/>
        <v>26</v>
      </c>
      <c r="Y52" s="128">
        <f t="shared" si="51"/>
        <v>74</v>
      </c>
      <c r="Z52" s="128">
        <f t="shared" ref="Z52:Z87" si="64">Y52</f>
        <v>74</v>
      </c>
      <c r="AA52" s="187"/>
      <c r="AB52" s="129">
        <f t="shared" si="52"/>
        <v>2</v>
      </c>
      <c r="AC52" s="129">
        <v>10</v>
      </c>
      <c r="AD52" s="129">
        <v>22</v>
      </c>
      <c r="AE52" s="128">
        <f t="shared" si="53"/>
        <v>32</v>
      </c>
      <c r="AF52" s="129">
        <v>14</v>
      </c>
      <c r="AG52" s="128">
        <f t="shared" si="54"/>
        <v>46</v>
      </c>
      <c r="AH52" s="187"/>
      <c r="AI52" s="129">
        <f t="shared" si="55"/>
        <v>2</v>
      </c>
      <c r="AJ52" s="129">
        <v>16</v>
      </c>
      <c r="AK52" s="129">
        <v>21</v>
      </c>
      <c r="AL52" s="128">
        <f t="shared" si="56"/>
        <v>37</v>
      </c>
      <c r="AM52" s="129">
        <v>18</v>
      </c>
      <c r="AN52" s="128">
        <f t="shared" si="57"/>
        <v>55</v>
      </c>
      <c r="AO52" s="187"/>
      <c r="AP52" s="129">
        <f t="shared" si="38"/>
        <v>3</v>
      </c>
      <c r="AQ52" s="129">
        <v>16</v>
      </c>
      <c r="AR52" s="129">
        <v>25</v>
      </c>
      <c r="AS52" s="129">
        <f t="shared" si="17"/>
        <v>41</v>
      </c>
      <c r="AT52" s="188"/>
      <c r="AU52" s="129">
        <f t="shared" ref="AU52:AU87" si="65">IF(AS52&lt;20,"F",IF(AS52&lt;25,2,IF(AS52&lt;30,3,IF(AS52&lt;35,3.5,IF(AS52&lt;40,4,5)))))</f>
        <v>5</v>
      </c>
      <c r="AV52" s="129">
        <v>15</v>
      </c>
      <c r="AW52" s="129">
        <v>35</v>
      </c>
      <c r="AX52" s="128">
        <f t="shared" ref="AX52:AX87" si="66">AW52+AV52</f>
        <v>50</v>
      </c>
      <c r="AY52" s="129">
        <v>24</v>
      </c>
      <c r="AZ52" s="128">
        <f t="shared" ref="AZ52:AZ87" si="67">AX52+AY52</f>
        <v>74</v>
      </c>
      <c r="BA52" s="187"/>
      <c r="BB52" s="129">
        <f t="shared" si="58"/>
        <v>4</v>
      </c>
      <c r="BC52" s="129">
        <v>13</v>
      </c>
      <c r="BD52" s="129">
        <v>20</v>
      </c>
      <c r="BE52" s="128">
        <f>BD52+BC52</f>
        <v>33</v>
      </c>
      <c r="BF52" s="129">
        <v>14</v>
      </c>
      <c r="BG52" s="128">
        <f t="shared" si="59"/>
        <v>47</v>
      </c>
      <c r="BH52" s="187"/>
      <c r="BI52" s="129">
        <f t="shared" ref="BI52:BI87" si="68">IF(BG52&lt;40,"F",IF(BG52&lt;50,2,IF(BG52&lt;60,3,IF(BG52&lt;70,3.5,IF(BG52&lt;80,4,5)))))</f>
        <v>2</v>
      </c>
      <c r="BJ52" s="129">
        <v>9</v>
      </c>
      <c r="BK52" s="129">
        <v>20</v>
      </c>
      <c r="BL52" s="128">
        <f t="shared" ref="BL52:BL87" si="69">BK52+BJ52</f>
        <v>29</v>
      </c>
      <c r="BM52" s="128">
        <f t="shared" si="26"/>
        <v>29</v>
      </c>
      <c r="BN52" s="187"/>
      <c r="BO52" s="129">
        <f t="shared" si="3"/>
        <v>3</v>
      </c>
      <c r="BP52" s="129">
        <f t="shared" si="27"/>
        <v>24</v>
      </c>
      <c r="BQ52" s="114">
        <f t="shared" si="28"/>
        <v>3</v>
      </c>
      <c r="BR52" s="114" t="str">
        <f t="shared" si="60"/>
        <v>B</v>
      </c>
      <c r="BS52" s="33" t="str">
        <f t="shared" si="4"/>
        <v>GOOD</v>
      </c>
      <c r="BT52" s="108">
        <f t="shared" si="30"/>
        <v>442</v>
      </c>
      <c r="BU52" s="150">
        <f>'1st_Semester'!BT52</f>
        <v>400</v>
      </c>
      <c r="BV52" s="147">
        <f>'2nd_Semester'!BT52</f>
        <v>401</v>
      </c>
      <c r="BW52" s="147">
        <f t="shared" si="31"/>
        <v>442</v>
      </c>
      <c r="BX52" s="147">
        <f t="shared" si="32"/>
        <v>414.33333333333331</v>
      </c>
      <c r="BY52" s="153" t="str">
        <f>'1st_Semester'!BQ52</f>
        <v>F</v>
      </c>
      <c r="BZ52" s="153" t="str">
        <f>'2nd_Semester'!BQ52</f>
        <v>F</v>
      </c>
      <c r="CA52" s="153">
        <f t="shared" si="33"/>
        <v>3</v>
      </c>
      <c r="CB52" s="153">
        <f t="shared" si="34"/>
        <v>3</v>
      </c>
      <c r="CC52" s="66"/>
    </row>
    <row r="53" spans="1:81" s="68" customFormat="1" ht="27.95" customHeight="1">
      <c r="A53" s="67">
        <v>46</v>
      </c>
      <c r="B53" s="37">
        <v>36</v>
      </c>
      <c r="C53" s="34" t="s">
        <v>254</v>
      </c>
      <c r="D53" s="34" t="s">
        <v>255</v>
      </c>
      <c r="E53" s="34" t="s">
        <v>256</v>
      </c>
      <c r="F53" s="51" t="s">
        <v>257</v>
      </c>
      <c r="G53" s="129">
        <v>13</v>
      </c>
      <c r="H53" s="129">
        <v>22</v>
      </c>
      <c r="I53" s="128">
        <f t="shared" si="61"/>
        <v>35</v>
      </c>
      <c r="J53" s="129">
        <v>13</v>
      </c>
      <c r="K53" s="128">
        <f t="shared" si="62"/>
        <v>48</v>
      </c>
      <c r="L53" s="129">
        <v>8</v>
      </c>
      <c r="M53" s="129">
        <v>18</v>
      </c>
      <c r="N53" s="128">
        <f t="shared" si="63"/>
        <v>26</v>
      </c>
      <c r="O53" s="128">
        <f t="shared" si="5"/>
        <v>26</v>
      </c>
      <c r="P53" s="128">
        <f t="shared" si="0"/>
        <v>74</v>
      </c>
      <c r="Q53" s="187"/>
      <c r="R53" s="129">
        <f t="shared" si="48"/>
        <v>3</v>
      </c>
      <c r="S53" s="129">
        <v>13</v>
      </c>
      <c r="T53" s="129">
        <v>24</v>
      </c>
      <c r="U53" s="128">
        <f t="shared" si="49"/>
        <v>37</v>
      </c>
      <c r="V53" s="129">
        <v>8</v>
      </c>
      <c r="W53" s="129">
        <v>18</v>
      </c>
      <c r="X53" s="128">
        <f t="shared" si="50"/>
        <v>26</v>
      </c>
      <c r="Y53" s="128">
        <f t="shared" si="51"/>
        <v>63</v>
      </c>
      <c r="Z53" s="128">
        <f t="shared" si="64"/>
        <v>63</v>
      </c>
      <c r="AA53" s="187"/>
      <c r="AB53" s="129">
        <f t="shared" si="52"/>
        <v>2</v>
      </c>
      <c r="AC53" s="129">
        <v>15</v>
      </c>
      <c r="AD53" s="129">
        <v>29</v>
      </c>
      <c r="AE53" s="128">
        <f t="shared" si="53"/>
        <v>44</v>
      </c>
      <c r="AF53" s="129">
        <v>19</v>
      </c>
      <c r="AG53" s="128">
        <f t="shared" si="54"/>
        <v>63</v>
      </c>
      <c r="AH53" s="187"/>
      <c r="AI53" s="129">
        <f t="shared" si="55"/>
        <v>3.5</v>
      </c>
      <c r="AJ53" s="129">
        <v>13</v>
      </c>
      <c r="AK53" s="129">
        <v>14</v>
      </c>
      <c r="AL53" s="128">
        <f t="shared" si="56"/>
        <v>27</v>
      </c>
      <c r="AM53" s="129">
        <v>15</v>
      </c>
      <c r="AN53" s="128">
        <f t="shared" si="57"/>
        <v>42</v>
      </c>
      <c r="AO53" s="187"/>
      <c r="AP53" s="129">
        <f t="shared" si="38"/>
        <v>2</v>
      </c>
      <c r="AQ53" s="129">
        <v>22</v>
      </c>
      <c r="AR53" s="129">
        <v>25</v>
      </c>
      <c r="AS53" s="129">
        <f t="shared" si="17"/>
        <v>47</v>
      </c>
      <c r="AT53" s="188"/>
      <c r="AU53" s="129">
        <f t="shared" si="65"/>
        <v>5</v>
      </c>
      <c r="AV53" s="129">
        <v>16</v>
      </c>
      <c r="AW53" s="129">
        <v>16</v>
      </c>
      <c r="AX53" s="128">
        <f t="shared" si="66"/>
        <v>32</v>
      </c>
      <c r="AY53" s="129">
        <v>28</v>
      </c>
      <c r="AZ53" s="128">
        <f t="shared" si="67"/>
        <v>60</v>
      </c>
      <c r="BA53" s="187"/>
      <c r="BB53" s="129">
        <f t="shared" si="58"/>
        <v>3.5</v>
      </c>
      <c r="BC53" s="129">
        <v>13</v>
      </c>
      <c r="BD53" s="129">
        <v>20</v>
      </c>
      <c r="BE53" s="128">
        <f t="shared" ref="BE53:BE87" si="70">BD53+BC53</f>
        <v>33</v>
      </c>
      <c r="BF53" s="129">
        <v>17</v>
      </c>
      <c r="BG53" s="128">
        <f t="shared" si="59"/>
        <v>50</v>
      </c>
      <c r="BH53" s="187"/>
      <c r="BI53" s="129">
        <f t="shared" si="68"/>
        <v>3</v>
      </c>
      <c r="BJ53" s="129">
        <v>9</v>
      </c>
      <c r="BK53" s="129">
        <v>20</v>
      </c>
      <c r="BL53" s="128">
        <f t="shared" si="69"/>
        <v>29</v>
      </c>
      <c r="BM53" s="128">
        <f t="shared" si="26"/>
        <v>29</v>
      </c>
      <c r="BN53" s="187"/>
      <c r="BO53" s="129">
        <f t="shared" si="3"/>
        <v>3</v>
      </c>
      <c r="BP53" s="129">
        <f t="shared" si="27"/>
        <v>25</v>
      </c>
      <c r="BQ53" s="114">
        <f t="shared" si="28"/>
        <v>3.125</v>
      </c>
      <c r="BR53" s="114" t="str">
        <f t="shared" si="60"/>
        <v>B</v>
      </c>
      <c r="BS53" s="33" t="str">
        <f t="shared" si="4"/>
        <v>GOOD</v>
      </c>
      <c r="BT53" s="108">
        <f t="shared" si="30"/>
        <v>428</v>
      </c>
      <c r="BU53" s="150">
        <f>'1st_Semester'!BT53</f>
        <v>265</v>
      </c>
      <c r="BV53" s="147">
        <f>'2nd_Semester'!BT53</f>
        <v>479</v>
      </c>
      <c r="BW53" s="147">
        <f t="shared" si="31"/>
        <v>428</v>
      </c>
      <c r="BX53" s="147">
        <f t="shared" si="32"/>
        <v>390.66666666666669</v>
      </c>
      <c r="BY53" s="153" t="str">
        <f>'1st_Semester'!BQ53</f>
        <v>F</v>
      </c>
      <c r="BZ53" s="153">
        <f>'2nd_Semester'!BQ53</f>
        <v>3.625</v>
      </c>
      <c r="CA53" s="153">
        <f t="shared" si="33"/>
        <v>3.125</v>
      </c>
      <c r="CB53" s="153">
        <f t="shared" si="34"/>
        <v>3.375</v>
      </c>
      <c r="CC53" s="66"/>
    </row>
    <row r="54" spans="1:81" s="68" customFormat="1" ht="27.95" customHeight="1">
      <c r="A54" s="67">
        <v>47</v>
      </c>
      <c r="B54" s="37">
        <v>37</v>
      </c>
      <c r="C54" s="34" t="s">
        <v>258</v>
      </c>
      <c r="D54" s="34" t="s">
        <v>259</v>
      </c>
      <c r="E54" s="34" t="s">
        <v>260</v>
      </c>
      <c r="F54" s="51" t="s">
        <v>261</v>
      </c>
      <c r="G54" s="129">
        <v>13</v>
      </c>
      <c r="H54" s="129">
        <v>0</v>
      </c>
      <c r="I54" s="128">
        <f t="shared" si="61"/>
        <v>13</v>
      </c>
      <c r="J54" s="129">
        <v>0</v>
      </c>
      <c r="K54" s="128">
        <f t="shared" si="62"/>
        <v>13</v>
      </c>
      <c r="L54" s="129">
        <v>7</v>
      </c>
      <c r="M54" s="129">
        <v>0</v>
      </c>
      <c r="N54" s="128">
        <f t="shared" si="63"/>
        <v>7</v>
      </c>
      <c r="O54" s="128">
        <f t="shared" si="5"/>
        <v>7</v>
      </c>
      <c r="P54" s="128">
        <f t="shared" si="0"/>
        <v>20</v>
      </c>
      <c r="Q54" s="187"/>
      <c r="R54" s="129" t="str">
        <f t="shared" si="48"/>
        <v>F</v>
      </c>
      <c r="S54" s="129">
        <v>15</v>
      </c>
      <c r="T54" s="129">
        <v>0</v>
      </c>
      <c r="U54" s="128">
        <f t="shared" si="49"/>
        <v>15</v>
      </c>
      <c r="V54" s="129">
        <v>7</v>
      </c>
      <c r="W54" s="129">
        <v>0</v>
      </c>
      <c r="X54" s="128">
        <f t="shared" si="50"/>
        <v>7</v>
      </c>
      <c r="Y54" s="128">
        <f t="shared" si="51"/>
        <v>22</v>
      </c>
      <c r="Z54" s="128">
        <f t="shared" si="64"/>
        <v>22</v>
      </c>
      <c r="AA54" s="187"/>
      <c r="AB54" s="129">
        <f t="shared" si="52"/>
        <v>0</v>
      </c>
      <c r="AC54" s="129">
        <v>0</v>
      </c>
      <c r="AD54" s="129">
        <v>0</v>
      </c>
      <c r="AE54" s="128">
        <f t="shared" si="53"/>
        <v>0</v>
      </c>
      <c r="AF54" s="129">
        <v>0</v>
      </c>
      <c r="AG54" s="128">
        <f t="shared" si="54"/>
        <v>0</v>
      </c>
      <c r="AH54" s="187"/>
      <c r="AI54" s="129" t="str">
        <f t="shared" si="55"/>
        <v>F</v>
      </c>
      <c r="AJ54" s="129">
        <v>17</v>
      </c>
      <c r="AK54" s="129">
        <v>0</v>
      </c>
      <c r="AL54" s="128">
        <f t="shared" si="56"/>
        <v>17</v>
      </c>
      <c r="AM54" s="129">
        <v>0</v>
      </c>
      <c r="AN54" s="128">
        <f t="shared" si="57"/>
        <v>17</v>
      </c>
      <c r="AO54" s="187"/>
      <c r="AP54" s="129" t="str">
        <f t="shared" si="38"/>
        <v>F</v>
      </c>
      <c r="AQ54" s="129">
        <v>0</v>
      </c>
      <c r="AR54" s="129">
        <v>25</v>
      </c>
      <c r="AS54" s="129">
        <f t="shared" si="17"/>
        <v>25</v>
      </c>
      <c r="AT54" s="188"/>
      <c r="AU54" s="129">
        <f t="shared" si="65"/>
        <v>3</v>
      </c>
      <c r="AV54" s="129">
        <v>16</v>
      </c>
      <c r="AW54" s="129">
        <v>0</v>
      </c>
      <c r="AX54" s="128">
        <f t="shared" si="66"/>
        <v>16</v>
      </c>
      <c r="AY54" s="129">
        <v>0</v>
      </c>
      <c r="AZ54" s="128">
        <f t="shared" si="67"/>
        <v>16</v>
      </c>
      <c r="BA54" s="187"/>
      <c r="BB54" s="129" t="str">
        <f t="shared" si="58"/>
        <v>F</v>
      </c>
      <c r="BC54" s="129">
        <v>16</v>
      </c>
      <c r="BD54" s="129">
        <v>0</v>
      </c>
      <c r="BE54" s="128">
        <f t="shared" si="70"/>
        <v>16</v>
      </c>
      <c r="BF54" s="129">
        <v>0</v>
      </c>
      <c r="BG54" s="128">
        <f t="shared" si="59"/>
        <v>16</v>
      </c>
      <c r="BH54" s="187"/>
      <c r="BI54" s="129" t="str">
        <f t="shared" si="68"/>
        <v>F</v>
      </c>
      <c r="BJ54" s="129">
        <v>10</v>
      </c>
      <c r="BK54" s="129">
        <v>25</v>
      </c>
      <c r="BL54" s="128">
        <f t="shared" si="69"/>
        <v>35</v>
      </c>
      <c r="BM54" s="128">
        <f t="shared" si="26"/>
        <v>35</v>
      </c>
      <c r="BN54" s="187"/>
      <c r="BO54" s="129">
        <f t="shared" si="3"/>
        <v>4</v>
      </c>
      <c r="BP54" s="129" t="str">
        <f t="shared" si="27"/>
        <v>F</v>
      </c>
      <c r="BQ54" s="114" t="str">
        <f t="shared" si="28"/>
        <v>F</v>
      </c>
      <c r="BR54" s="114" t="str">
        <f t="shared" si="60"/>
        <v>F</v>
      </c>
      <c r="BS54" s="33" t="str">
        <f t="shared" si="4"/>
        <v>NEED TO PROGRESS</v>
      </c>
      <c r="BT54" s="108">
        <f t="shared" si="30"/>
        <v>151</v>
      </c>
      <c r="BU54" s="150">
        <f>'1st_Semester'!BT54</f>
        <v>447</v>
      </c>
      <c r="BV54" s="147">
        <f>'2nd_Semester'!BT54</f>
        <v>525</v>
      </c>
      <c r="BW54" s="147">
        <f t="shared" si="31"/>
        <v>151</v>
      </c>
      <c r="BX54" s="147">
        <f t="shared" si="32"/>
        <v>374.33333333333331</v>
      </c>
      <c r="BY54" s="153">
        <f>'1st_Semester'!BQ54</f>
        <v>3.125</v>
      </c>
      <c r="BZ54" s="153">
        <f>'2nd_Semester'!BQ54</f>
        <v>3.625</v>
      </c>
      <c r="CA54" s="153" t="str">
        <f t="shared" si="33"/>
        <v>F</v>
      </c>
      <c r="CB54" s="153">
        <f t="shared" si="34"/>
        <v>3.375</v>
      </c>
      <c r="CC54" s="66"/>
    </row>
    <row r="55" spans="1:81" s="68" customFormat="1" ht="27.95" customHeight="1">
      <c r="A55" s="67">
        <v>48</v>
      </c>
      <c r="B55" s="37">
        <v>39</v>
      </c>
      <c r="C55" s="34" t="s">
        <v>262</v>
      </c>
      <c r="D55" s="34" t="s">
        <v>263</v>
      </c>
      <c r="E55" s="34" t="s">
        <v>264</v>
      </c>
      <c r="F55" s="51" t="s">
        <v>265</v>
      </c>
      <c r="G55" s="129">
        <v>11</v>
      </c>
      <c r="H55" s="129">
        <v>16</v>
      </c>
      <c r="I55" s="128">
        <f t="shared" si="61"/>
        <v>27</v>
      </c>
      <c r="J55" s="129">
        <v>7</v>
      </c>
      <c r="K55" s="128">
        <f t="shared" si="62"/>
        <v>34</v>
      </c>
      <c r="L55" s="129">
        <v>7</v>
      </c>
      <c r="M55" s="129">
        <v>19</v>
      </c>
      <c r="N55" s="128">
        <f t="shared" si="63"/>
        <v>26</v>
      </c>
      <c r="O55" s="128">
        <f t="shared" si="5"/>
        <v>26</v>
      </c>
      <c r="P55" s="128">
        <f t="shared" si="0"/>
        <v>60</v>
      </c>
      <c r="Q55" s="187"/>
      <c r="R55" s="129">
        <f t="shared" si="48"/>
        <v>2</v>
      </c>
      <c r="S55" s="129">
        <v>11</v>
      </c>
      <c r="T55" s="129">
        <v>30</v>
      </c>
      <c r="U55" s="128">
        <f t="shared" si="49"/>
        <v>41</v>
      </c>
      <c r="V55" s="129">
        <v>8</v>
      </c>
      <c r="W55" s="129">
        <v>16</v>
      </c>
      <c r="X55" s="128">
        <f t="shared" si="50"/>
        <v>24</v>
      </c>
      <c r="Y55" s="128">
        <f t="shared" si="51"/>
        <v>65</v>
      </c>
      <c r="Z55" s="128">
        <f t="shared" si="64"/>
        <v>65</v>
      </c>
      <c r="AA55" s="187"/>
      <c r="AB55" s="129">
        <f t="shared" si="52"/>
        <v>2</v>
      </c>
      <c r="AC55" s="129">
        <v>15</v>
      </c>
      <c r="AD55" s="129">
        <v>26</v>
      </c>
      <c r="AE55" s="128">
        <f t="shared" si="53"/>
        <v>41</v>
      </c>
      <c r="AF55" s="129">
        <v>16</v>
      </c>
      <c r="AG55" s="128">
        <f t="shared" si="54"/>
        <v>57</v>
      </c>
      <c r="AH55" s="187"/>
      <c r="AI55" s="129">
        <f t="shared" si="55"/>
        <v>3</v>
      </c>
      <c r="AJ55" s="129">
        <v>15</v>
      </c>
      <c r="AK55" s="129">
        <v>16</v>
      </c>
      <c r="AL55" s="128">
        <f t="shared" si="56"/>
        <v>31</v>
      </c>
      <c r="AM55" s="129">
        <v>13</v>
      </c>
      <c r="AN55" s="128">
        <f t="shared" si="57"/>
        <v>44</v>
      </c>
      <c r="AO55" s="187"/>
      <c r="AP55" s="129">
        <f t="shared" si="38"/>
        <v>2</v>
      </c>
      <c r="AQ55" s="129">
        <v>24</v>
      </c>
      <c r="AR55" s="129">
        <v>25</v>
      </c>
      <c r="AS55" s="129">
        <f t="shared" si="17"/>
        <v>49</v>
      </c>
      <c r="AT55" s="188"/>
      <c r="AU55" s="129">
        <f t="shared" si="65"/>
        <v>5</v>
      </c>
      <c r="AV55" s="129">
        <v>17</v>
      </c>
      <c r="AW55" s="129">
        <v>31</v>
      </c>
      <c r="AX55" s="128">
        <f t="shared" si="66"/>
        <v>48</v>
      </c>
      <c r="AY55" s="129">
        <v>22</v>
      </c>
      <c r="AZ55" s="128">
        <f t="shared" si="67"/>
        <v>70</v>
      </c>
      <c r="BA55" s="187"/>
      <c r="BB55" s="129">
        <f t="shared" si="58"/>
        <v>4</v>
      </c>
      <c r="BC55" s="129">
        <v>12</v>
      </c>
      <c r="BD55" s="129">
        <v>20</v>
      </c>
      <c r="BE55" s="128">
        <f t="shared" si="70"/>
        <v>32</v>
      </c>
      <c r="BF55" s="129">
        <v>13</v>
      </c>
      <c r="BG55" s="128">
        <f t="shared" si="59"/>
        <v>45</v>
      </c>
      <c r="BH55" s="187"/>
      <c r="BI55" s="129">
        <f t="shared" si="68"/>
        <v>2</v>
      </c>
      <c r="BJ55" s="129">
        <v>10</v>
      </c>
      <c r="BK55" s="129">
        <v>25</v>
      </c>
      <c r="BL55" s="128">
        <f t="shared" si="69"/>
        <v>35</v>
      </c>
      <c r="BM55" s="128">
        <f t="shared" si="26"/>
        <v>35</v>
      </c>
      <c r="BN55" s="187"/>
      <c r="BO55" s="129">
        <f t="shared" si="3"/>
        <v>4</v>
      </c>
      <c r="BP55" s="129">
        <f t="shared" si="27"/>
        <v>24</v>
      </c>
      <c r="BQ55" s="114">
        <f t="shared" si="28"/>
        <v>3</v>
      </c>
      <c r="BR55" s="114" t="str">
        <f t="shared" si="60"/>
        <v>B</v>
      </c>
      <c r="BS55" s="33" t="str">
        <f t="shared" si="4"/>
        <v>GOOD</v>
      </c>
      <c r="BT55" s="108">
        <f t="shared" si="30"/>
        <v>425</v>
      </c>
      <c r="BU55" s="150">
        <f>'1st_Semester'!BT55</f>
        <v>340</v>
      </c>
      <c r="BV55" s="147">
        <f>'2nd_Semester'!BT55</f>
        <v>458</v>
      </c>
      <c r="BW55" s="147">
        <f t="shared" si="31"/>
        <v>425</v>
      </c>
      <c r="BX55" s="147">
        <f t="shared" si="32"/>
        <v>407.66666666666669</v>
      </c>
      <c r="BY55" s="153" t="str">
        <f>'1st_Semester'!BQ55</f>
        <v>F</v>
      </c>
      <c r="BZ55" s="153">
        <f>'2nd_Semester'!BQ55</f>
        <v>3.1875</v>
      </c>
      <c r="CA55" s="153">
        <f t="shared" si="33"/>
        <v>3</v>
      </c>
      <c r="CB55" s="153">
        <f t="shared" si="34"/>
        <v>3.09375</v>
      </c>
      <c r="CC55" s="66"/>
    </row>
    <row r="56" spans="1:81" s="68" customFormat="1" ht="27.95" customHeight="1">
      <c r="A56" s="67">
        <v>49</v>
      </c>
      <c r="B56" s="37">
        <v>41</v>
      </c>
      <c r="C56" s="34" t="s">
        <v>266</v>
      </c>
      <c r="D56" s="34" t="s">
        <v>267</v>
      </c>
      <c r="E56" s="34" t="s">
        <v>268</v>
      </c>
      <c r="F56" s="51" t="s">
        <v>269</v>
      </c>
      <c r="G56" s="129">
        <v>10</v>
      </c>
      <c r="H56" s="129">
        <v>20</v>
      </c>
      <c r="I56" s="128">
        <f t="shared" si="61"/>
        <v>30</v>
      </c>
      <c r="J56" s="129">
        <v>25</v>
      </c>
      <c r="K56" s="128">
        <f t="shared" si="62"/>
        <v>55</v>
      </c>
      <c r="L56" s="129">
        <v>7</v>
      </c>
      <c r="M56" s="129">
        <v>21</v>
      </c>
      <c r="N56" s="128">
        <f t="shared" si="63"/>
        <v>28</v>
      </c>
      <c r="O56" s="128">
        <f t="shared" si="5"/>
        <v>28</v>
      </c>
      <c r="P56" s="128">
        <f t="shared" si="0"/>
        <v>83</v>
      </c>
      <c r="Q56" s="187"/>
      <c r="R56" s="129">
        <f t="shared" si="48"/>
        <v>3</v>
      </c>
      <c r="S56" s="129">
        <v>13</v>
      </c>
      <c r="T56" s="129">
        <v>18</v>
      </c>
      <c r="U56" s="128">
        <f t="shared" si="49"/>
        <v>31</v>
      </c>
      <c r="V56" s="129">
        <v>8</v>
      </c>
      <c r="W56" s="129">
        <v>16</v>
      </c>
      <c r="X56" s="128">
        <f t="shared" si="50"/>
        <v>24</v>
      </c>
      <c r="Y56" s="128">
        <f t="shared" si="51"/>
        <v>55</v>
      </c>
      <c r="Z56" s="128">
        <f t="shared" si="64"/>
        <v>55</v>
      </c>
      <c r="AA56" s="187"/>
      <c r="AB56" s="129">
        <f t="shared" si="52"/>
        <v>0</v>
      </c>
      <c r="AC56" s="129">
        <v>12</v>
      </c>
      <c r="AD56" s="129">
        <v>13</v>
      </c>
      <c r="AE56" s="128">
        <f t="shared" si="53"/>
        <v>25</v>
      </c>
      <c r="AF56" s="129">
        <v>14</v>
      </c>
      <c r="AG56" s="128">
        <f t="shared" si="54"/>
        <v>39</v>
      </c>
      <c r="AH56" s="187"/>
      <c r="AI56" s="129" t="str">
        <f t="shared" si="55"/>
        <v>F</v>
      </c>
      <c r="AJ56" s="129">
        <v>14</v>
      </c>
      <c r="AK56" s="129">
        <v>12</v>
      </c>
      <c r="AL56" s="128">
        <f t="shared" si="56"/>
        <v>26</v>
      </c>
      <c r="AM56" s="129">
        <v>22</v>
      </c>
      <c r="AN56" s="128">
        <f t="shared" si="57"/>
        <v>48</v>
      </c>
      <c r="AO56" s="187"/>
      <c r="AP56" s="129">
        <f t="shared" si="38"/>
        <v>2</v>
      </c>
      <c r="AQ56" s="129">
        <v>22</v>
      </c>
      <c r="AR56" s="129">
        <v>25</v>
      </c>
      <c r="AS56" s="129">
        <f t="shared" si="17"/>
        <v>47</v>
      </c>
      <c r="AT56" s="188"/>
      <c r="AU56" s="129">
        <f t="shared" si="65"/>
        <v>5</v>
      </c>
      <c r="AV56" s="129">
        <v>16</v>
      </c>
      <c r="AW56" s="129">
        <v>20</v>
      </c>
      <c r="AX56" s="128">
        <f t="shared" si="66"/>
        <v>36</v>
      </c>
      <c r="AY56" s="129">
        <v>22</v>
      </c>
      <c r="AZ56" s="128">
        <f t="shared" si="67"/>
        <v>58</v>
      </c>
      <c r="BA56" s="187"/>
      <c r="BB56" s="129">
        <f t="shared" si="58"/>
        <v>3</v>
      </c>
      <c r="BC56" s="129">
        <v>16</v>
      </c>
      <c r="BD56" s="129">
        <v>20</v>
      </c>
      <c r="BE56" s="128">
        <f t="shared" si="70"/>
        <v>36</v>
      </c>
      <c r="BF56" s="129">
        <v>25</v>
      </c>
      <c r="BG56" s="128">
        <f t="shared" si="59"/>
        <v>61</v>
      </c>
      <c r="BH56" s="187"/>
      <c r="BI56" s="129">
        <f t="shared" si="68"/>
        <v>3.5</v>
      </c>
      <c r="BJ56" s="129">
        <v>10</v>
      </c>
      <c r="BK56" s="129">
        <v>20</v>
      </c>
      <c r="BL56" s="128">
        <f t="shared" si="69"/>
        <v>30</v>
      </c>
      <c r="BM56" s="128">
        <f t="shared" si="26"/>
        <v>30</v>
      </c>
      <c r="BN56" s="187"/>
      <c r="BO56" s="129">
        <f t="shared" si="3"/>
        <v>3.5</v>
      </c>
      <c r="BP56" s="129" t="str">
        <f t="shared" si="27"/>
        <v>F</v>
      </c>
      <c r="BQ56" s="114" t="str">
        <f t="shared" si="28"/>
        <v>F</v>
      </c>
      <c r="BR56" s="114" t="str">
        <f t="shared" si="60"/>
        <v>F</v>
      </c>
      <c r="BS56" s="33" t="str">
        <f t="shared" si="4"/>
        <v>NEED TO PROGRESS</v>
      </c>
      <c r="BT56" s="108">
        <f t="shared" si="30"/>
        <v>421</v>
      </c>
      <c r="BU56" s="150">
        <f>'1st_Semester'!BT56</f>
        <v>433</v>
      </c>
      <c r="BV56" s="147">
        <f>'2nd_Semester'!BT56</f>
        <v>432</v>
      </c>
      <c r="BW56" s="147">
        <f t="shared" si="31"/>
        <v>421</v>
      </c>
      <c r="BX56" s="147">
        <f t="shared" si="32"/>
        <v>428.66666666666669</v>
      </c>
      <c r="BY56" s="153">
        <f>'1st_Semester'!BQ56</f>
        <v>3</v>
      </c>
      <c r="BZ56" s="153" t="str">
        <f>'2nd_Semester'!BQ56</f>
        <v>F</v>
      </c>
      <c r="CA56" s="153" t="str">
        <f t="shared" si="33"/>
        <v>F</v>
      </c>
      <c r="CB56" s="153">
        <f t="shared" si="34"/>
        <v>3</v>
      </c>
      <c r="CC56" s="66"/>
    </row>
    <row r="57" spans="1:81" s="68" customFormat="1" ht="27.95" customHeight="1">
      <c r="A57" s="67">
        <v>50</v>
      </c>
      <c r="B57" s="37">
        <v>43</v>
      </c>
      <c r="C57" s="34" t="s">
        <v>270</v>
      </c>
      <c r="D57" s="34" t="s">
        <v>271</v>
      </c>
      <c r="E57" s="136" t="s">
        <v>272</v>
      </c>
      <c r="F57" s="51" t="s">
        <v>273</v>
      </c>
      <c r="G57" s="129">
        <v>13</v>
      </c>
      <c r="H57" s="129">
        <v>23</v>
      </c>
      <c r="I57" s="128">
        <f t="shared" si="61"/>
        <v>36</v>
      </c>
      <c r="J57" s="129">
        <v>18</v>
      </c>
      <c r="K57" s="128">
        <f t="shared" si="62"/>
        <v>54</v>
      </c>
      <c r="L57" s="129">
        <v>7</v>
      </c>
      <c r="M57" s="129">
        <v>21</v>
      </c>
      <c r="N57" s="128">
        <f t="shared" si="63"/>
        <v>28</v>
      </c>
      <c r="O57" s="128">
        <f t="shared" si="5"/>
        <v>28</v>
      </c>
      <c r="P57" s="128">
        <f t="shared" si="0"/>
        <v>82</v>
      </c>
      <c r="Q57" s="187"/>
      <c r="R57" s="129">
        <f t="shared" si="48"/>
        <v>3</v>
      </c>
      <c r="S57" s="129">
        <v>13</v>
      </c>
      <c r="T57" s="129">
        <v>30</v>
      </c>
      <c r="U57" s="128">
        <f t="shared" si="49"/>
        <v>43</v>
      </c>
      <c r="V57" s="129">
        <v>7</v>
      </c>
      <c r="W57" s="129">
        <v>16</v>
      </c>
      <c r="X57" s="128">
        <f t="shared" si="50"/>
        <v>23</v>
      </c>
      <c r="Y57" s="128">
        <f t="shared" si="51"/>
        <v>66</v>
      </c>
      <c r="Z57" s="128">
        <f t="shared" si="64"/>
        <v>66</v>
      </c>
      <c r="AA57" s="187"/>
      <c r="AB57" s="129">
        <f t="shared" si="52"/>
        <v>2</v>
      </c>
      <c r="AC57" s="129">
        <v>19</v>
      </c>
      <c r="AD57" s="129">
        <v>21</v>
      </c>
      <c r="AE57" s="128">
        <f t="shared" si="53"/>
        <v>40</v>
      </c>
      <c r="AF57" s="129">
        <v>19</v>
      </c>
      <c r="AG57" s="128">
        <f t="shared" si="54"/>
        <v>59</v>
      </c>
      <c r="AH57" s="187"/>
      <c r="AI57" s="129">
        <f t="shared" si="55"/>
        <v>3</v>
      </c>
      <c r="AJ57" s="129">
        <v>14</v>
      </c>
      <c r="AK57" s="129">
        <v>20</v>
      </c>
      <c r="AL57" s="128">
        <f t="shared" si="56"/>
        <v>34</v>
      </c>
      <c r="AM57" s="129">
        <v>13</v>
      </c>
      <c r="AN57" s="128">
        <f t="shared" si="57"/>
        <v>47</v>
      </c>
      <c r="AO57" s="187"/>
      <c r="AP57" s="129">
        <f t="shared" si="38"/>
        <v>2</v>
      </c>
      <c r="AQ57" s="129">
        <v>21</v>
      </c>
      <c r="AR57" s="129">
        <v>25</v>
      </c>
      <c r="AS57" s="129">
        <f t="shared" si="17"/>
        <v>46</v>
      </c>
      <c r="AT57" s="188"/>
      <c r="AU57" s="129">
        <f t="shared" si="65"/>
        <v>5</v>
      </c>
      <c r="AV57" s="129">
        <v>16</v>
      </c>
      <c r="AW57" s="129">
        <v>26</v>
      </c>
      <c r="AX57" s="128">
        <f t="shared" si="66"/>
        <v>42</v>
      </c>
      <c r="AY57" s="129">
        <v>28</v>
      </c>
      <c r="AZ57" s="128">
        <f t="shared" si="67"/>
        <v>70</v>
      </c>
      <c r="BA57" s="187"/>
      <c r="BB57" s="129">
        <f t="shared" si="58"/>
        <v>4</v>
      </c>
      <c r="BC57" s="129">
        <v>13</v>
      </c>
      <c r="BD57" s="129">
        <v>26</v>
      </c>
      <c r="BE57" s="128">
        <f t="shared" si="70"/>
        <v>39</v>
      </c>
      <c r="BF57" s="129">
        <v>17</v>
      </c>
      <c r="BG57" s="128">
        <f t="shared" si="59"/>
        <v>56</v>
      </c>
      <c r="BH57" s="187"/>
      <c r="BI57" s="129">
        <f t="shared" si="68"/>
        <v>3</v>
      </c>
      <c r="BJ57" s="129">
        <v>10</v>
      </c>
      <c r="BK57" s="129">
        <v>20</v>
      </c>
      <c r="BL57" s="128">
        <f t="shared" si="69"/>
        <v>30</v>
      </c>
      <c r="BM57" s="128">
        <f t="shared" si="26"/>
        <v>30</v>
      </c>
      <c r="BN57" s="187"/>
      <c r="BO57" s="129">
        <f t="shared" si="3"/>
        <v>3.5</v>
      </c>
      <c r="BP57" s="129">
        <f t="shared" si="27"/>
        <v>25.5</v>
      </c>
      <c r="BQ57" s="114">
        <f t="shared" si="28"/>
        <v>3.1875</v>
      </c>
      <c r="BR57" s="114" t="str">
        <f t="shared" si="60"/>
        <v>B</v>
      </c>
      <c r="BS57" s="33" t="str">
        <f t="shared" si="4"/>
        <v>GOOD</v>
      </c>
      <c r="BT57" s="108">
        <f t="shared" si="30"/>
        <v>456</v>
      </c>
      <c r="BU57" s="150">
        <f>'1st_Semester'!BT57</f>
        <v>401</v>
      </c>
      <c r="BV57" s="147">
        <f>'2nd_Semester'!BT57</f>
        <v>477</v>
      </c>
      <c r="BW57" s="147">
        <f t="shared" si="31"/>
        <v>456</v>
      </c>
      <c r="BX57" s="147">
        <f t="shared" si="32"/>
        <v>444.66666666666669</v>
      </c>
      <c r="BY57" s="153" t="str">
        <f>'1st_Semester'!BQ57</f>
        <v>F</v>
      </c>
      <c r="BZ57" s="153" t="str">
        <f>'2nd_Semester'!BQ57</f>
        <v>F</v>
      </c>
      <c r="CA57" s="153">
        <f t="shared" si="33"/>
        <v>3.1875</v>
      </c>
      <c r="CB57" s="153">
        <f t="shared" si="34"/>
        <v>3.1875</v>
      </c>
      <c r="CC57" s="66"/>
    </row>
    <row r="58" spans="1:81" s="68" customFormat="1" ht="27.95" customHeight="1">
      <c r="A58" s="67">
        <v>51</v>
      </c>
      <c r="B58" s="37">
        <v>48</v>
      </c>
      <c r="C58" s="34" t="s">
        <v>274</v>
      </c>
      <c r="D58" s="34" t="s">
        <v>275</v>
      </c>
      <c r="E58" s="34" t="s">
        <v>276</v>
      </c>
      <c r="F58" s="51" t="s">
        <v>277</v>
      </c>
      <c r="G58" s="129">
        <v>10</v>
      </c>
      <c r="H58" s="129">
        <v>14</v>
      </c>
      <c r="I58" s="128">
        <f t="shared" si="61"/>
        <v>24</v>
      </c>
      <c r="J58" s="129">
        <v>20</v>
      </c>
      <c r="K58" s="128">
        <f t="shared" si="62"/>
        <v>44</v>
      </c>
      <c r="L58" s="129">
        <v>7</v>
      </c>
      <c r="M58" s="129">
        <v>16</v>
      </c>
      <c r="N58" s="128">
        <f t="shared" si="63"/>
        <v>23</v>
      </c>
      <c r="O58" s="128">
        <f t="shared" si="5"/>
        <v>23</v>
      </c>
      <c r="P58" s="128">
        <f t="shared" si="0"/>
        <v>67</v>
      </c>
      <c r="Q58" s="187"/>
      <c r="R58" s="129">
        <f t="shared" si="48"/>
        <v>2</v>
      </c>
      <c r="S58" s="129">
        <v>9</v>
      </c>
      <c r="T58" s="129">
        <v>0</v>
      </c>
      <c r="U58" s="128">
        <f t="shared" si="49"/>
        <v>9</v>
      </c>
      <c r="V58" s="129">
        <v>6</v>
      </c>
      <c r="W58" s="129">
        <v>16</v>
      </c>
      <c r="X58" s="128">
        <f t="shared" si="50"/>
        <v>22</v>
      </c>
      <c r="Y58" s="128">
        <f t="shared" si="51"/>
        <v>31</v>
      </c>
      <c r="Z58" s="128">
        <f t="shared" si="64"/>
        <v>31</v>
      </c>
      <c r="AA58" s="187"/>
      <c r="AB58" s="129">
        <f t="shared" si="52"/>
        <v>0</v>
      </c>
      <c r="AC58" s="129">
        <v>12</v>
      </c>
      <c r="AD58" s="129">
        <v>24</v>
      </c>
      <c r="AE58" s="128">
        <f t="shared" si="53"/>
        <v>36</v>
      </c>
      <c r="AF58" s="129">
        <v>17</v>
      </c>
      <c r="AG58" s="128">
        <f t="shared" si="54"/>
        <v>53</v>
      </c>
      <c r="AH58" s="187"/>
      <c r="AI58" s="129">
        <f t="shared" si="55"/>
        <v>3</v>
      </c>
      <c r="AJ58" s="129">
        <v>13</v>
      </c>
      <c r="AK58" s="129">
        <v>9</v>
      </c>
      <c r="AL58" s="128">
        <f t="shared" si="56"/>
        <v>22</v>
      </c>
      <c r="AM58" s="129">
        <v>8</v>
      </c>
      <c r="AN58" s="128">
        <f t="shared" si="57"/>
        <v>30</v>
      </c>
      <c r="AO58" s="187"/>
      <c r="AP58" s="129" t="str">
        <f t="shared" si="38"/>
        <v>F</v>
      </c>
      <c r="AQ58" s="129">
        <v>16</v>
      </c>
      <c r="AR58" s="129">
        <v>25</v>
      </c>
      <c r="AS58" s="129">
        <f t="shared" si="17"/>
        <v>41</v>
      </c>
      <c r="AT58" s="188"/>
      <c r="AU58" s="129">
        <f t="shared" si="65"/>
        <v>5</v>
      </c>
      <c r="AV58" s="129">
        <v>14</v>
      </c>
      <c r="AW58" s="129">
        <v>17</v>
      </c>
      <c r="AX58" s="128">
        <f t="shared" si="66"/>
        <v>31</v>
      </c>
      <c r="AY58" s="129">
        <v>27</v>
      </c>
      <c r="AZ58" s="128">
        <f t="shared" si="67"/>
        <v>58</v>
      </c>
      <c r="BA58" s="187"/>
      <c r="BB58" s="129">
        <f t="shared" si="58"/>
        <v>3</v>
      </c>
      <c r="BC58" s="129">
        <v>17</v>
      </c>
      <c r="BD58" s="129">
        <v>8</v>
      </c>
      <c r="BE58" s="128">
        <f t="shared" si="70"/>
        <v>25</v>
      </c>
      <c r="BF58" s="129">
        <v>16</v>
      </c>
      <c r="BG58" s="128">
        <f t="shared" si="59"/>
        <v>41</v>
      </c>
      <c r="BH58" s="187"/>
      <c r="BI58" s="129">
        <f t="shared" si="68"/>
        <v>2</v>
      </c>
      <c r="BJ58" s="129">
        <v>10</v>
      </c>
      <c r="BK58" s="129">
        <v>20</v>
      </c>
      <c r="BL58" s="128">
        <f t="shared" si="69"/>
        <v>30</v>
      </c>
      <c r="BM58" s="128">
        <f t="shared" si="26"/>
        <v>30</v>
      </c>
      <c r="BN58" s="187"/>
      <c r="BO58" s="129">
        <f t="shared" si="3"/>
        <v>3.5</v>
      </c>
      <c r="BP58" s="129" t="str">
        <f t="shared" si="27"/>
        <v>F</v>
      </c>
      <c r="BQ58" s="114" t="str">
        <f t="shared" si="28"/>
        <v>F</v>
      </c>
      <c r="BR58" s="114" t="str">
        <f t="shared" si="60"/>
        <v>F</v>
      </c>
      <c r="BS58" s="33" t="str">
        <f t="shared" si="4"/>
        <v>NEED TO PROGRESS</v>
      </c>
      <c r="BT58" s="108">
        <f t="shared" si="30"/>
        <v>351</v>
      </c>
      <c r="BU58" s="150">
        <f>'1st_Semester'!BT58</f>
        <v>0</v>
      </c>
      <c r="BV58" s="147">
        <f>'2nd_Semester'!BT58</f>
        <v>436</v>
      </c>
      <c r="BW58" s="147">
        <f t="shared" si="31"/>
        <v>351</v>
      </c>
      <c r="BX58" s="147">
        <f t="shared" si="32"/>
        <v>262.33333333333331</v>
      </c>
      <c r="BY58" s="153" t="str">
        <f>'1st_Semester'!BQ58</f>
        <v>F</v>
      </c>
      <c r="BZ58" s="153" t="str">
        <f>'2nd_Semester'!BQ58</f>
        <v>F</v>
      </c>
      <c r="CA58" s="153" t="str">
        <f t="shared" si="33"/>
        <v>F</v>
      </c>
      <c r="CB58" s="153" t="e">
        <f t="shared" si="34"/>
        <v>#DIV/0!</v>
      </c>
      <c r="CC58" s="66"/>
    </row>
    <row r="59" spans="1:81" s="68" customFormat="1" ht="27.95" customHeight="1">
      <c r="A59" s="67">
        <v>52</v>
      </c>
      <c r="B59" s="37">
        <v>49</v>
      </c>
      <c r="C59" s="34" t="s">
        <v>278</v>
      </c>
      <c r="D59" s="34" t="s">
        <v>244</v>
      </c>
      <c r="E59" s="34" t="s">
        <v>279</v>
      </c>
      <c r="F59" s="51" t="s">
        <v>280</v>
      </c>
      <c r="G59" s="129">
        <v>12</v>
      </c>
      <c r="H59" s="129">
        <v>15</v>
      </c>
      <c r="I59" s="128">
        <f t="shared" si="61"/>
        <v>27</v>
      </c>
      <c r="J59" s="129">
        <v>16</v>
      </c>
      <c r="K59" s="128">
        <f t="shared" si="62"/>
        <v>43</v>
      </c>
      <c r="L59" s="129">
        <v>6</v>
      </c>
      <c r="M59" s="129">
        <v>16</v>
      </c>
      <c r="N59" s="128">
        <f t="shared" si="63"/>
        <v>22</v>
      </c>
      <c r="O59" s="128">
        <f t="shared" si="5"/>
        <v>22</v>
      </c>
      <c r="P59" s="128">
        <f t="shared" si="0"/>
        <v>65</v>
      </c>
      <c r="Q59" s="187"/>
      <c r="R59" s="129">
        <f t="shared" si="48"/>
        <v>2</v>
      </c>
      <c r="S59" s="129">
        <v>13</v>
      </c>
      <c r="T59" s="129">
        <v>30</v>
      </c>
      <c r="U59" s="128">
        <f t="shared" si="49"/>
        <v>43</v>
      </c>
      <c r="V59" s="129">
        <v>8</v>
      </c>
      <c r="W59" s="129">
        <v>4</v>
      </c>
      <c r="X59" s="128">
        <f t="shared" si="50"/>
        <v>12</v>
      </c>
      <c r="Y59" s="128">
        <f t="shared" si="51"/>
        <v>55</v>
      </c>
      <c r="Z59" s="128">
        <f t="shared" si="64"/>
        <v>55</v>
      </c>
      <c r="AA59" s="187"/>
      <c r="AB59" s="129">
        <f t="shared" si="52"/>
        <v>0</v>
      </c>
      <c r="AC59" s="129">
        <v>14</v>
      </c>
      <c r="AD59" s="129">
        <v>21</v>
      </c>
      <c r="AE59" s="128">
        <f t="shared" si="53"/>
        <v>35</v>
      </c>
      <c r="AF59" s="129">
        <v>12</v>
      </c>
      <c r="AG59" s="128">
        <f t="shared" si="54"/>
        <v>47</v>
      </c>
      <c r="AH59" s="187"/>
      <c r="AI59" s="129">
        <f t="shared" si="55"/>
        <v>2</v>
      </c>
      <c r="AJ59" s="129">
        <v>16</v>
      </c>
      <c r="AK59" s="129">
        <v>7</v>
      </c>
      <c r="AL59" s="128">
        <f t="shared" si="56"/>
        <v>23</v>
      </c>
      <c r="AM59" s="129">
        <v>13</v>
      </c>
      <c r="AN59" s="128">
        <f t="shared" si="57"/>
        <v>36</v>
      </c>
      <c r="AO59" s="187"/>
      <c r="AP59" s="129" t="str">
        <f t="shared" si="38"/>
        <v>F</v>
      </c>
      <c r="AQ59" s="129">
        <v>16</v>
      </c>
      <c r="AR59" s="129">
        <v>25</v>
      </c>
      <c r="AS59" s="129">
        <f t="shared" si="17"/>
        <v>41</v>
      </c>
      <c r="AT59" s="188"/>
      <c r="AU59" s="129">
        <f t="shared" si="65"/>
        <v>5</v>
      </c>
      <c r="AV59" s="129">
        <v>14</v>
      </c>
      <c r="AW59" s="129">
        <v>14</v>
      </c>
      <c r="AX59" s="128">
        <f t="shared" si="66"/>
        <v>28</v>
      </c>
      <c r="AY59" s="129">
        <v>27</v>
      </c>
      <c r="AZ59" s="128">
        <f t="shared" si="67"/>
        <v>55</v>
      </c>
      <c r="BA59" s="187"/>
      <c r="BB59" s="129">
        <f t="shared" si="58"/>
        <v>3</v>
      </c>
      <c r="BC59" s="129">
        <v>13</v>
      </c>
      <c r="BD59" s="129">
        <v>15</v>
      </c>
      <c r="BE59" s="128">
        <f t="shared" si="70"/>
        <v>28</v>
      </c>
      <c r="BF59" s="129">
        <v>13</v>
      </c>
      <c r="BG59" s="128">
        <f t="shared" si="59"/>
        <v>41</v>
      </c>
      <c r="BH59" s="187"/>
      <c r="BI59" s="129">
        <f t="shared" si="68"/>
        <v>2</v>
      </c>
      <c r="BJ59" s="129">
        <v>10</v>
      </c>
      <c r="BK59" s="129">
        <v>20</v>
      </c>
      <c r="BL59" s="128">
        <f t="shared" si="69"/>
        <v>30</v>
      </c>
      <c r="BM59" s="128">
        <f t="shared" si="26"/>
        <v>30</v>
      </c>
      <c r="BN59" s="187"/>
      <c r="BO59" s="129">
        <f t="shared" si="3"/>
        <v>3.5</v>
      </c>
      <c r="BP59" s="129" t="str">
        <f t="shared" si="27"/>
        <v>F</v>
      </c>
      <c r="BQ59" s="114" t="str">
        <f t="shared" si="28"/>
        <v>F</v>
      </c>
      <c r="BR59" s="114" t="str">
        <f t="shared" si="60"/>
        <v>F</v>
      </c>
      <c r="BS59" s="33" t="str">
        <f t="shared" si="4"/>
        <v>NEED TO PROGRESS</v>
      </c>
      <c r="BT59" s="108">
        <f t="shared" si="30"/>
        <v>370</v>
      </c>
      <c r="BU59" s="150">
        <f>'1st_Semester'!BT59</f>
        <v>398</v>
      </c>
      <c r="BV59" s="147">
        <f>'2nd_Semester'!BT59</f>
        <v>455</v>
      </c>
      <c r="BW59" s="147">
        <f t="shared" si="31"/>
        <v>370</v>
      </c>
      <c r="BX59" s="147">
        <f t="shared" si="32"/>
        <v>407.66666666666669</v>
      </c>
      <c r="BY59" s="153">
        <f>'1st_Semester'!BQ59</f>
        <v>2.5625</v>
      </c>
      <c r="BZ59" s="153">
        <f>'2nd_Semester'!BQ59</f>
        <v>3.3125</v>
      </c>
      <c r="CA59" s="153" t="str">
        <f t="shared" si="33"/>
        <v>F</v>
      </c>
      <c r="CB59" s="153">
        <f t="shared" si="34"/>
        <v>2.9375</v>
      </c>
      <c r="CC59" s="66"/>
    </row>
    <row r="60" spans="1:81" s="68" customFormat="1" ht="27.95" customHeight="1">
      <c r="A60" s="67">
        <v>53</v>
      </c>
      <c r="B60" s="37">
        <v>51</v>
      </c>
      <c r="C60" s="34" t="s">
        <v>281</v>
      </c>
      <c r="D60" s="34" t="s">
        <v>282</v>
      </c>
      <c r="E60" s="34" t="s">
        <v>283</v>
      </c>
      <c r="F60" s="51" t="s">
        <v>284</v>
      </c>
      <c r="G60" s="129">
        <v>0</v>
      </c>
      <c r="H60" s="129">
        <v>0</v>
      </c>
      <c r="I60" s="128">
        <f t="shared" si="61"/>
        <v>0</v>
      </c>
      <c r="J60" s="129">
        <v>0</v>
      </c>
      <c r="K60" s="128">
        <f t="shared" si="62"/>
        <v>0</v>
      </c>
      <c r="L60" s="129">
        <v>0</v>
      </c>
      <c r="M60" s="129">
        <v>0</v>
      </c>
      <c r="N60" s="128">
        <f t="shared" si="63"/>
        <v>0</v>
      </c>
      <c r="O60" s="128">
        <f t="shared" si="5"/>
        <v>0</v>
      </c>
      <c r="P60" s="128">
        <f t="shared" si="0"/>
        <v>0</v>
      </c>
      <c r="Q60" s="187"/>
      <c r="R60" s="129" t="str">
        <f t="shared" si="48"/>
        <v>F</v>
      </c>
      <c r="S60" s="129">
        <v>0</v>
      </c>
      <c r="T60" s="129">
        <v>0</v>
      </c>
      <c r="U60" s="128">
        <f t="shared" si="49"/>
        <v>0</v>
      </c>
      <c r="V60" s="129">
        <v>3</v>
      </c>
      <c r="W60" s="129">
        <v>0</v>
      </c>
      <c r="X60" s="128">
        <f t="shared" si="50"/>
        <v>3</v>
      </c>
      <c r="Y60" s="128">
        <f t="shared" si="51"/>
        <v>3</v>
      </c>
      <c r="Z60" s="128">
        <f t="shared" si="64"/>
        <v>3</v>
      </c>
      <c r="AA60" s="187"/>
      <c r="AB60" s="129">
        <f t="shared" si="52"/>
        <v>0</v>
      </c>
      <c r="AC60" s="129">
        <v>0</v>
      </c>
      <c r="AD60" s="129">
        <v>0</v>
      </c>
      <c r="AE60" s="128">
        <f t="shared" si="53"/>
        <v>0</v>
      </c>
      <c r="AF60" s="129">
        <v>0</v>
      </c>
      <c r="AG60" s="128">
        <f t="shared" si="54"/>
        <v>0</v>
      </c>
      <c r="AH60" s="187"/>
      <c r="AI60" s="129" t="str">
        <f t="shared" si="55"/>
        <v>F</v>
      </c>
      <c r="AJ60" s="129">
        <v>0</v>
      </c>
      <c r="AK60" s="129">
        <v>0</v>
      </c>
      <c r="AL60" s="128">
        <f t="shared" si="56"/>
        <v>0</v>
      </c>
      <c r="AM60" s="129">
        <v>0</v>
      </c>
      <c r="AN60" s="128">
        <f t="shared" si="57"/>
        <v>0</v>
      </c>
      <c r="AO60" s="187"/>
      <c r="AP60" s="129" t="str">
        <f t="shared" si="38"/>
        <v>F</v>
      </c>
      <c r="AQ60" s="129">
        <v>0</v>
      </c>
      <c r="AR60" s="129">
        <v>25</v>
      </c>
      <c r="AS60" s="129">
        <f t="shared" si="17"/>
        <v>25</v>
      </c>
      <c r="AT60" s="188"/>
      <c r="AU60" s="129">
        <f t="shared" si="65"/>
        <v>3</v>
      </c>
      <c r="AV60" s="129">
        <v>0</v>
      </c>
      <c r="AW60" s="129">
        <v>0</v>
      </c>
      <c r="AX60" s="128">
        <f t="shared" si="66"/>
        <v>0</v>
      </c>
      <c r="AY60" s="129">
        <v>0</v>
      </c>
      <c r="AZ60" s="128">
        <f t="shared" si="67"/>
        <v>0</v>
      </c>
      <c r="BA60" s="187"/>
      <c r="BB60" s="129" t="str">
        <f t="shared" si="58"/>
        <v>F</v>
      </c>
      <c r="BC60" s="129">
        <v>0</v>
      </c>
      <c r="BD60" s="129">
        <v>0</v>
      </c>
      <c r="BE60" s="128">
        <f t="shared" si="70"/>
        <v>0</v>
      </c>
      <c r="BF60" s="129">
        <v>0</v>
      </c>
      <c r="BG60" s="128">
        <f t="shared" si="59"/>
        <v>0</v>
      </c>
      <c r="BH60" s="187"/>
      <c r="BI60" s="129" t="str">
        <f t="shared" si="68"/>
        <v>F</v>
      </c>
      <c r="BJ60" s="129">
        <v>0</v>
      </c>
      <c r="BK60" s="129">
        <v>0</v>
      </c>
      <c r="BL60" s="128">
        <f t="shared" si="69"/>
        <v>0</v>
      </c>
      <c r="BM60" s="128">
        <f t="shared" si="26"/>
        <v>0</v>
      </c>
      <c r="BN60" s="187"/>
      <c r="BO60" s="129" t="str">
        <f t="shared" si="3"/>
        <v>F</v>
      </c>
      <c r="BP60" s="129" t="str">
        <f t="shared" si="27"/>
        <v>F</v>
      </c>
      <c r="BQ60" s="114" t="str">
        <f t="shared" si="28"/>
        <v>F</v>
      </c>
      <c r="BR60" s="114" t="str">
        <f t="shared" si="60"/>
        <v>F</v>
      </c>
      <c r="BS60" s="33" t="str">
        <f t="shared" si="4"/>
        <v>NEED TO PROGRESS</v>
      </c>
      <c r="BT60" s="108">
        <f t="shared" si="30"/>
        <v>28</v>
      </c>
      <c r="BU60" s="150">
        <f>'1st_Semester'!BT60</f>
        <v>341</v>
      </c>
      <c r="BV60" s="147">
        <f>'2nd_Semester'!BT60</f>
        <v>145</v>
      </c>
      <c r="BW60" s="147">
        <f t="shared" si="31"/>
        <v>28</v>
      </c>
      <c r="BX60" s="147">
        <f t="shared" si="32"/>
        <v>171.33333333333334</v>
      </c>
      <c r="BY60" s="153" t="str">
        <f>'1st_Semester'!BQ60</f>
        <v>F</v>
      </c>
      <c r="BZ60" s="153" t="str">
        <f>'2nd_Semester'!BQ60</f>
        <v>F</v>
      </c>
      <c r="CA60" s="153" t="str">
        <f t="shared" si="33"/>
        <v>F</v>
      </c>
      <c r="CB60" s="153" t="e">
        <f t="shared" si="34"/>
        <v>#DIV/0!</v>
      </c>
      <c r="CC60" s="66"/>
    </row>
    <row r="61" spans="1:81" s="68" customFormat="1" ht="27.95" customHeight="1">
      <c r="A61" s="67">
        <v>54</v>
      </c>
      <c r="B61" s="37">
        <v>52</v>
      </c>
      <c r="C61" s="34" t="s">
        <v>285</v>
      </c>
      <c r="D61" s="34" t="s">
        <v>286</v>
      </c>
      <c r="E61" s="34" t="s">
        <v>287</v>
      </c>
      <c r="F61" s="51" t="s">
        <v>288</v>
      </c>
      <c r="G61" s="129">
        <v>10</v>
      </c>
      <c r="H61" s="129">
        <v>22</v>
      </c>
      <c r="I61" s="128">
        <f t="shared" si="61"/>
        <v>32</v>
      </c>
      <c r="J61" s="129">
        <v>19</v>
      </c>
      <c r="K61" s="128">
        <f t="shared" si="62"/>
        <v>51</v>
      </c>
      <c r="L61" s="129">
        <v>8</v>
      </c>
      <c r="M61" s="129">
        <v>16</v>
      </c>
      <c r="N61" s="128">
        <f t="shared" si="63"/>
        <v>24</v>
      </c>
      <c r="O61" s="128">
        <f t="shared" si="5"/>
        <v>24</v>
      </c>
      <c r="P61" s="128">
        <f t="shared" si="0"/>
        <v>75</v>
      </c>
      <c r="Q61" s="187"/>
      <c r="R61" s="129">
        <f t="shared" si="48"/>
        <v>3</v>
      </c>
      <c r="S61" s="129">
        <v>13</v>
      </c>
      <c r="T61" s="129">
        <v>18</v>
      </c>
      <c r="U61" s="128">
        <f t="shared" si="49"/>
        <v>31</v>
      </c>
      <c r="V61" s="129">
        <v>6</v>
      </c>
      <c r="W61" s="129">
        <v>16</v>
      </c>
      <c r="X61" s="128">
        <f t="shared" si="50"/>
        <v>22</v>
      </c>
      <c r="Y61" s="128">
        <f t="shared" si="51"/>
        <v>53</v>
      </c>
      <c r="Z61" s="128">
        <f t="shared" si="64"/>
        <v>53</v>
      </c>
      <c r="AA61" s="187"/>
      <c r="AB61" s="129">
        <f t="shared" si="52"/>
        <v>0</v>
      </c>
      <c r="AC61" s="129">
        <v>13</v>
      </c>
      <c r="AD61" s="129">
        <v>10</v>
      </c>
      <c r="AE61" s="128">
        <f t="shared" si="53"/>
        <v>23</v>
      </c>
      <c r="AF61" s="129">
        <v>19</v>
      </c>
      <c r="AG61" s="128">
        <f t="shared" si="54"/>
        <v>42</v>
      </c>
      <c r="AH61" s="187"/>
      <c r="AI61" s="129">
        <f>IF(AG61&lt;40,"F",IF(AG61&lt;50,2,IF(AG61&lt;60,3,IF(AG61&lt;70,3.5,IF(AG61&lt;80,4,5)))))</f>
        <v>2</v>
      </c>
      <c r="AJ61" s="129">
        <v>13</v>
      </c>
      <c r="AK61" s="129">
        <v>13</v>
      </c>
      <c r="AL61" s="128">
        <f>AK61+AJ61</f>
        <v>26</v>
      </c>
      <c r="AM61" s="129">
        <v>19</v>
      </c>
      <c r="AN61" s="128">
        <f>+AL61+AM61</f>
        <v>45</v>
      </c>
      <c r="AO61" s="187"/>
      <c r="AP61" s="129">
        <f t="shared" si="38"/>
        <v>2</v>
      </c>
      <c r="AQ61" s="129">
        <v>20</v>
      </c>
      <c r="AR61" s="129">
        <v>25</v>
      </c>
      <c r="AS61" s="129">
        <f t="shared" si="17"/>
        <v>45</v>
      </c>
      <c r="AT61" s="188"/>
      <c r="AU61" s="129">
        <f t="shared" si="65"/>
        <v>5</v>
      </c>
      <c r="AV61" s="129">
        <v>14</v>
      </c>
      <c r="AW61" s="129">
        <v>21</v>
      </c>
      <c r="AX61" s="128">
        <f t="shared" si="66"/>
        <v>35</v>
      </c>
      <c r="AY61" s="129">
        <v>25</v>
      </c>
      <c r="AZ61" s="128">
        <f t="shared" si="67"/>
        <v>60</v>
      </c>
      <c r="BA61" s="187"/>
      <c r="BB61" s="129">
        <f t="shared" si="58"/>
        <v>3.5</v>
      </c>
      <c r="BC61" s="129">
        <v>17</v>
      </c>
      <c r="BD61" s="129">
        <v>12</v>
      </c>
      <c r="BE61" s="128">
        <f t="shared" si="70"/>
        <v>29</v>
      </c>
      <c r="BF61" s="129">
        <v>18</v>
      </c>
      <c r="BG61" s="128">
        <f t="shared" si="59"/>
        <v>47</v>
      </c>
      <c r="BH61" s="187"/>
      <c r="BI61" s="129">
        <f t="shared" si="68"/>
        <v>2</v>
      </c>
      <c r="BJ61" s="129">
        <v>10</v>
      </c>
      <c r="BK61" s="129">
        <v>20</v>
      </c>
      <c r="BL61" s="128">
        <f t="shared" si="69"/>
        <v>30</v>
      </c>
      <c r="BM61" s="128">
        <f t="shared" si="26"/>
        <v>30</v>
      </c>
      <c r="BN61" s="187"/>
      <c r="BO61" s="129">
        <f t="shared" si="3"/>
        <v>3.5</v>
      </c>
      <c r="BP61" s="129">
        <f t="shared" si="27"/>
        <v>21</v>
      </c>
      <c r="BQ61" s="114">
        <f t="shared" si="28"/>
        <v>2.625</v>
      </c>
      <c r="BR61" s="114" t="str">
        <f t="shared" si="60"/>
        <v>C</v>
      </c>
      <c r="BS61" s="33" t="str">
        <f t="shared" si="4"/>
        <v>GOOD</v>
      </c>
      <c r="BT61" s="108">
        <f t="shared" si="30"/>
        <v>397</v>
      </c>
      <c r="BU61" s="150">
        <f>'1st_Semester'!BT61</f>
        <v>446</v>
      </c>
      <c r="BV61" s="147">
        <f>'2nd_Semester'!BT61</f>
        <v>432</v>
      </c>
      <c r="BW61" s="147">
        <f t="shared" si="31"/>
        <v>397</v>
      </c>
      <c r="BX61" s="147">
        <f t="shared" si="32"/>
        <v>425</v>
      </c>
      <c r="BY61" s="153" t="str">
        <f>'1st_Semester'!BQ61</f>
        <v>F</v>
      </c>
      <c r="BZ61" s="153">
        <f>'2nd_Semester'!BQ61</f>
        <v>3.125</v>
      </c>
      <c r="CA61" s="153">
        <f t="shared" si="33"/>
        <v>2.625</v>
      </c>
      <c r="CB61" s="153">
        <f t="shared" si="34"/>
        <v>2.875</v>
      </c>
      <c r="CC61" s="66"/>
    </row>
    <row r="62" spans="1:81" s="68" customFormat="1" ht="27.95" customHeight="1">
      <c r="A62" s="67">
        <v>55</v>
      </c>
      <c r="B62" s="37">
        <v>53</v>
      </c>
      <c r="C62" s="34" t="s">
        <v>289</v>
      </c>
      <c r="D62" s="34" t="s">
        <v>290</v>
      </c>
      <c r="E62" s="34" t="s">
        <v>291</v>
      </c>
      <c r="F62" s="51" t="s">
        <v>292</v>
      </c>
      <c r="G62" s="129">
        <v>13</v>
      </c>
      <c r="H62" s="129">
        <v>25</v>
      </c>
      <c r="I62" s="128">
        <f t="shared" si="61"/>
        <v>38</v>
      </c>
      <c r="J62" s="129">
        <v>11</v>
      </c>
      <c r="K62" s="128">
        <f t="shared" si="62"/>
        <v>49</v>
      </c>
      <c r="L62" s="129">
        <v>7</v>
      </c>
      <c r="M62" s="129">
        <v>22</v>
      </c>
      <c r="N62" s="128">
        <f t="shared" si="63"/>
        <v>29</v>
      </c>
      <c r="O62" s="128">
        <f t="shared" si="5"/>
        <v>29</v>
      </c>
      <c r="P62" s="128">
        <f t="shared" si="0"/>
        <v>78</v>
      </c>
      <c r="Q62" s="187"/>
      <c r="R62" s="129">
        <f t="shared" si="48"/>
        <v>3</v>
      </c>
      <c r="S62" s="129">
        <v>12</v>
      </c>
      <c r="T62" s="129">
        <v>34</v>
      </c>
      <c r="U62" s="128">
        <f t="shared" si="49"/>
        <v>46</v>
      </c>
      <c r="V62" s="129">
        <v>8</v>
      </c>
      <c r="W62" s="129">
        <v>3</v>
      </c>
      <c r="X62" s="128">
        <f t="shared" si="50"/>
        <v>11</v>
      </c>
      <c r="Y62" s="128">
        <f t="shared" si="51"/>
        <v>57</v>
      </c>
      <c r="Z62" s="128">
        <f t="shared" si="64"/>
        <v>57</v>
      </c>
      <c r="AA62" s="187"/>
      <c r="AB62" s="129">
        <f t="shared" si="52"/>
        <v>0</v>
      </c>
      <c r="AC62" s="129">
        <v>0</v>
      </c>
      <c r="AD62" s="129">
        <v>22</v>
      </c>
      <c r="AE62" s="128">
        <f t="shared" si="53"/>
        <v>22</v>
      </c>
      <c r="AF62" s="129">
        <v>14</v>
      </c>
      <c r="AG62" s="128">
        <f t="shared" si="54"/>
        <v>36</v>
      </c>
      <c r="AH62" s="187"/>
      <c r="AI62" s="129" t="str">
        <f t="shared" ref="AI62:AI87" si="71">IF(AG62&lt;40,"F",IF(AG62&lt;50,2,IF(AG62&lt;60,3,IF(AG62&lt;70,3.5,IF(AG62&lt;80,4,5)))))</f>
        <v>F</v>
      </c>
      <c r="AJ62" s="129">
        <v>20</v>
      </c>
      <c r="AK62" s="129">
        <v>20</v>
      </c>
      <c r="AL62" s="128">
        <f t="shared" ref="AL62:AL87" si="72">AK62+AJ62</f>
        <v>40</v>
      </c>
      <c r="AM62" s="129">
        <v>17</v>
      </c>
      <c r="AN62" s="128">
        <f t="shared" ref="AN62:AN87" si="73">+AL62+AM62</f>
        <v>57</v>
      </c>
      <c r="AO62" s="187"/>
      <c r="AP62" s="129">
        <f t="shared" si="38"/>
        <v>3</v>
      </c>
      <c r="AQ62" s="129">
        <v>24</v>
      </c>
      <c r="AR62" s="129">
        <v>25</v>
      </c>
      <c r="AS62" s="129">
        <f t="shared" si="17"/>
        <v>49</v>
      </c>
      <c r="AT62" s="188"/>
      <c r="AU62" s="129">
        <f t="shared" si="65"/>
        <v>5</v>
      </c>
      <c r="AV62" s="129">
        <v>15</v>
      </c>
      <c r="AW62" s="129">
        <v>16</v>
      </c>
      <c r="AX62" s="128">
        <f t="shared" si="66"/>
        <v>31</v>
      </c>
      <c r="AY62" s="129">
        <v>24</v>
      </c>
      <c r="AZ62" s="128">
        <f t="shared" si="67"/>
        <v>55</v>
      </c>
      <c r="BA62" s="187"/>
      <c r="BB62" s="129">
        <f t="shared" si="58"/>
        <v>3</v>
      </c>
      <c r="BC62" s="129">
        <v>12</v>
      </c>
      <c r="BD62" s="129">
        <v>20</v>
      </c>
      <c r="BE62" s="128">
        <f t="shared" si="70"/>
        <v>32</v>
      </c>
      <c r="BF62" s="129">
        <v>12</v>
      </c>
      <c r="BG62" s="128">
        <f t="shared" si="59"/>
        <v>44</v>
      </c>
      <c r="BH62" s="187"/>
      <c r="BI62" s="129">
        <f t="shared" si="68"/>
        <v>2</v>
      </c>
      <c r="BJ62" s="129">
        <v>10</v>
      </c>
      <c r="BK62" s="129">
        <v>20</v>
      </c>
      <c r="BL62" s="128">
        <f t="shared" si="69"/>
        <v>30</v>
      </c>
      <c r="BM62" s="128">
        <f t="shared" si="26"/>
        <v>30</v>
      </c>
      <c r="BN62" s="187"/>
      <c r="BO62" s="129">
        <f t="shared" si="3"/>
        <v>3.5</v>
      </c>
      <c r="BP62" s="129" t="str">
        <f t="shared" si="27"/>
        <v>F</v>
      </c>
      <c r="BQ62" s="114" t="str">
        <f t="shared" si="28"/>
        <v>F</v>
      </c>
      <c r="BR62" s="114" t="str">
        <f t="shared" si="60"/>
        <v>F</v>
      </c>
      <c r="BS62" s="33" t="str">
        <f t="shared" si="4"/>
        <v>NEED TO PROGRESS</v>
      </c>
      <c r="BT62" s="108">
        <f t="shared" si="30"/>
        <v>406</v>
      </c>
      <c r="BU62" s="150">
        <f>'1st_Semester'!BT62</f>
        <v>115</v>
      </c>
      <c r="BV62" s="147">
        <f>'2nd_Semester'!BT62</f>
        <v>456</v>
      </c>
      <c r="BW62" s="147">
        <f t="shared" si="31"/>
        <v>406</v>
      </c>
      <c r="BX62" s="147">
        <f t="shared" si="32"/>
        <v>325.66666666666669</v>
      </c>
      <c r="BY62" s="153" t="str">
        <f>'1st_Semester'!BQ62</f>
        <v>F</v>
      </c>
      <c r="BZ62" s="153" t="str">
        <f>'2nd_Semester'!BQ62</f>
        <v>F</v>
      </c>
      <c r="CA62" s="153" t="str">
        <f t="shared" si="33"/>
        <v>F</v>
      </c>
      <c r="CB62" s="153" t="e">
        <f t="shared" si="34"/>
        <v>#DIV/0!</v>
      </c>
      <c r="CC62" s="66"/>
    </row>
    <row r="63" spans="1:81" s="68" customFormat="1" ht="27.95" customHeight="1">
      <c r="A63" s="67">
        <v>56</v>
      </c>
      <c r="B63" s="37">
        <v>54</v>
      </c>
      <c r="C63" s="34" t="s">
        <v>293</v>
      </c>
      <c r="D63" s="34" t="s">
        <v>294</v>
      </c>
      <c r="E63" s="34" t="s">
        <v>295</v>
      </c>
      <c r="F63" s="51" t="s">
        <v>296</v>
      </c>
      <c r="G63" s="129">
        <v>10</v>
      </c>
      <c r="H63" s="129">
        <v>9</v>
      </c>
      <c r="I63" s="128">
        <f t="shared" si="61"/>
        <v>19</v>
      </c>
      <c r="J63" s="129">
        <v>14</v>
      </c>
      <c r="K63" s="128">
        <f t="shared" si="62"/>
        <v>33</v>
      </c>
      <c r="L63" s="129">
        <v>6</v>
      </c>
      <c r="M63" s="129">
        <v>11</v>
      </c>
      <c r="N63" s="128">
        <f t="shared" si="63"/>
        <v>17</v>
      </c>
      <c r="O63" s="128">
        <f t="shared" si="5"/>
        <v>17</v>
      </c>
      <c r="P63" s="128">
        <f t="shared" si="0"/>
        <v>50</v>
      </c>
      <c r="Q63" s="187"/>
      <c r="R63" s="129" t="str">
        <f t="shared" si="48"/>
        <v>F</v>
      </c>
      <c r="S63" s="129">
        <v>11</v>
      </c>
      <c r="T63" s="129">
        <v>14</v>
      </c>
      <c r="U63" s="128">
        <f t="shared" si="49"/>
        <v>25</v>
      </c>
      <c r="V63" s="129">
        <v>6</v>
      </c>
      <c r="W63" s="129">
        <v>11</v>
      </c>
      <c r="X63" s="128">
        <f t="shared" si="50"/>
        <v>17</v>
      </c>
      <c r="Y63" s="128">
        <f t="shared" si="51"/>
        <v>42</v>
      </c>
      <c r="Z63" s="128">
        <f t="shared" si="64"/>
        <v>42</v>
      </c>
      <c r="AA63" s="187"/>
      <c r="AB63" s="129">
        <f t="shared" si="52"/>
        <v>0</v>
      </c>
      <c r="AC63" s="129">
        <v>15</v>
      </c>
      <c r="AD63" s="129">
        <v>6</v>
      </c>
      <c r="AE63" s="128">
        <f t="shared" si="53"/>
        <v>21</v>
      </c>
      <c r="AF63" s="129">
        <v>13</v>
      </c>
      <c r="AG63" s="128">
        <f t="shared" si="54"/>
        <v>34</v>
      </c>
      <c r="AH63" s="187"/>
      <c r="AI63" s="129" t="str">
        <f t="shared" si="71"/>
        <v>F</v>
      </c>
      <c r="AJ63" s="129">
        <v>9</v>
      </c>
      <c r="AK63" s="129">
        <v>11</v>
      </c>
      <c r="AL63" s="128">
        <f t="shared" si="72"/>
        <v>20</v>
      </c>
      <c r="AM63" s="129">
        <v>17</v>
      </c>
      <c r="AN63" s="128">
        <f t="shared" si="73"/>
        <v>37</v>
      </c>
      <c r="AO63" s="187"/>
      <c r="AP63" s="129" t="str">
        <f t="shared" si="38"/>
        <v>F</v>
      </c>
      <c r="AQ63" s="129">
        <v>20</v>
      </c>
      <c r="AR63" s="129">
        <v>25</v>
      </c>
      <c r="AS63" s="129">
        <f t="shared" si="17"/>
        <v>45</v>
      </c>
      <c r="AT63" s="188"/>
      <c r="AU63" s="129">
        <f t="shared" si="65"/>
        <v>5</v>
      </c>
      <c r="AV63" s="129">
        <v>13</v>
      </c>
      <c r="AW63" s="129">
        <v>7</v>
      </c>
      <c r="AX63" s="128">
        <f t="shared" si="66"/>
        <v>20</v>
      </c>
      <c r="AY63" s="129">
        <v>24</v>
      </c>
      <c r="AZ63" s="128">
        <f t="shared" si="67"/>
        <v>44</v>
      </c>
      <c r="BA63" s="187"/>
      <c r="BB63" s="129">
        <f t="shared" si="58"/>
        <v>2</v>
      </c>
      <c r="BC63" s="129">
        <v>11</v>
      </c>
      <c r="BD63" s="129">
        <v>5</v>
      </c>
      <c r="BE63" s="128">
        <f t="shared" si="70"/>
        <v>16</v>
      </c>
      <c r="BF63" s="129">
        <v>29</v>
      </c>
      <c r="BG63" s="128">
        <f t="shared" si="59"/>
        <v>45</v>
      </c>
      <c r="BH63" s="187"/>
      <c r="BI63" s="129">
        <f t="shared" si="68"/>
        <v>2</v>
      </c>
      <c r="BJ63" s="129">
        <v>10</v>
      </c>
      <c r="BK63" s="129">
        <v>20</v>
      </c>
      <c r="BL63" s="128">
        <f t="shared" si="69"/>
        <v>30</v>
      </c>
      <c r="BM63" s="128">
        <f t="shared" si="26"/>
        <v>30</v>
      </c>
      <c r="BN63" s="187"/>
      <c r="BO63" s="129">
        <f t="shared" si="3"/>
        <v>3.5</v>
      </c>
      <c r="BP63" s="129" t="str">
        <f t="shared" si="27"/>
        <v>F</v>
      </c>
      <c r="BQ63" s="114" t="str">
        <f t="shared" si="28"/>
        <v>F</v>
      </c>
      <c r="BR63" s="114" t="str">
        <f t="shared" si="60"/>
        <v>F</v>
      </c>
      <c r="BS63" s="33" t="str">
        <f t="shared" si="4"/>
        <v>NEED TO PROGRESS</v>
      </c>
      <c r="BT63" s="108">
        <f t="shared" si="30"/>
        <v>327</v>
      </c>
      <c r="BU63" s="150">
        <f>'1st_Semester'!BT63</f>
        <v>346</v>
      </c>
      <c r="BV63" s="147">
        <f>'2nd_Semester'!BT63</f>
        <v>376</v>
      </c>
      <c r="BW63" s="147">
        <f t="shared" si="31"/>
        <v>327</v>
      </c>
      <c r="BX63" s="147">
        <f t="shared" si="32"/>
        <v>349.66666666666669</v>
      </c>
      <c r="BY63" s="153" t="str">
        <f>'1st_Semester'!BQ63</f>
        <v>F</v>
      </c>
      <c r="BZ63" s="153" t="str">
        <f>'2nd_Semester'!BQ63</f>
        <v>F</v>
      </c>
      <c r="CA63" s="153" t="str">
        <f t="shared" si="33"/>
        <v>F</v>
      </c>
      <c r="CB63" s="153" t="e">
        <f t="shared" si="34"/>
        <v>#DIV/0!</v>
      </c>
      <c r="CC63" s="66"/>
    </row>
    <row r="64" spans="1:81" s="68" customFormat="1" ht="27.95" customHeight="1">
      <c r="A64" s="67">
        <v>57</v>
      </c>
      <c r="B64" s="37">
        <v>55</v>
      </c>
      <c r="C64" s="34" t="s">
        <v>297</v>
      </c>
      <c r="D64" s="34" t="s">
        <v>298</v>
      </c>
      <c r="E64" s="34" t="s">
        <v>229</v>
      </c>
      <c r="F64" s="51" t="s">
        <v>299</v>
      </c>
      <c r="G64" s="129">
        <v>0</v>
      </c>
      <c r="H64" s="129">
        <v>24</v>
      </c>
      <c r="I64" s="128">
        <f t="shared" si="61"/>
        <v>24</v>
      </c>
      <c r="J64" s="129">
        <v>15</v>
      </c>
      <c r="K64" s="128">
        <f t="shared" si="62"/>
        <v>39</v>
      </c>
      <c r="L64" s="129">
        <v>0</v>
      </c>
      <c r="M64" s="129">
        <v>18</v>
      </c>
      <c r="N64" s="128">
        <f t="shared" si="63"/>
        <v>18</v>
      </c>
      <c r="O64" s="128">
        <f t="shared" si="5"/>
        <v>18</v>
      </c>
      <c r="P64" s="128">
        <f t="shared" si="0"/>
        <v>57</v>
      </c>
      <c r="Q64" s="187"/>
      <c r="R64" s="129" t="str">
        <f t="shared" si="48"/>
        <v>F</v>
      </c>
      <c r="S64" s="129">
        <v>0</v>
      </c>
      <c r="T64" s="129">
        <v>12</v>
      </c>
      <c r="U64" s="128">
        <f t="shared" si="49"/>
        <v>12</v>
      </c>
      <c r="V64" s="129">
        <v>3</v>
      </c>
      <c r="W64" s="129">
        <v>17</v>
      </c>
      <c r="X64" s="128">
        <f t="shared" si="50"/>
        <v>20</v>
      </c>
      <c r="Y64" s="128">
        <f t="shared" si="51"/>
        <v>32</v>
      </c>
      <c r="Z64" s="128">
        <f t="shared" si="64"/>
        <v>32</v>
      </c>
      <c r="AA64" s="187"/>
      <c r="AB64" s="129">
        <f t="shared" si="52"/>
        <v>0</v>
      </c>
      <c r="AC64" s="129">
        <v>0</v>
      </c>
      <c r="AD64" s="129">
        <v>8</v>
      </c>
      <c r="AE64" s="128">
        <f t="shared" si="53"/>
        <v>8</v>
      </c>
      <c r="AF64" s="129">
        <v>18</v>
      </c>
      <c r="AG64" s="128">
        <f t="shared" si="54"/>
        <v>26</v>
      </c>
      <c r="AH64" s="187"/>
      <c r="AI64" s="129" t="str">
        <f t="shared" si="71"/>
        <v>F</v>
      </c>
      <c r="AJ64" s="129">
        <v>0</v>
      </c>
      <c r="AK64" s="129">
        <v>21</v>
      </c>
      <c r="AL64" s="128">
        <f t="shared" si="72"/>
        <v>21</v>
      </c>
      <c r="AM64" s="129">
        <v>3</v>
      </c>
      <c r="AN64" s="128">
        <f t="shared" si="73"/>
        <v>24</v>
      </c>
      <c r="AO64" s="187"/>
      <c r="AP64" s="129" t="str">
        <f t="shared" si="38"/>
        <v>F</v>
      </c>
      <c r="AQ64" s="129">
        <v>23</v>
      </c>
      <c r="AR64" s="129">
        <v>25</v>
      </c>
      <c r="AS64" s="129">
        <f t="shared" si="17"/>
        <v>48</v>
      </c>
      <c r="AT64" s="188"/>
      <c r="AU64" s="129">
        <f t="shared" si="65"/>
        <v>5</v>
      </c>
      <c r="AV64" s="129">
        <v>0</v>
      </c>
      <c r="AW64" s="129">
        <v>36</v>
      </c>
      <c r="AX64" s="128">
        <f t="shared" si="66"/>
        <v>36</v>
      </c>
      <c r="AY64" s="129">
        <v>9</v>
      </c>
      <c r="AZ64" s="128">
        <f t="shared" si="67"/>
        <v>45</v>
      </c>
      <c r="BA64" s="187"/>
      <c r="BB64" s="129">
        <f t="shared" si="58"/>
        <v>2</v>
      </c>
      <c r="BC64" s="129">
        <v>0</v>
      </c>
      <c r="BD64" s="129">
        <v>29</v>
      </c>
      <c r="BE64" s="128">
        <f t="shared" si="70"/>
        <v>29</v>
      </c>
      <c r="BF64" s="129">
        <v>22</v>
      </c>
      <c r="BG64" s="128">
        <f t="shared" si="59"/>
        <v>51</v>
      </c>
      <c r="BH64" s="187"/>
      <c r="BI64" s="129">
        <f t="shared" si="68"/>
        <v>3</v>
      </c>
      <c r="BJ64" s="129">
        <v>0</v>
      </c>
      <c r="BK64" s="129">
        <v>20</v>
      </c>
      <c r="BL64" s="128">
        <f t="shared" si="69"/>
        <v>20</v>
      </c>
      <c r="BM64" s="128">
        <f t="shared" si="26"/>
        <v>20</v>
      </c>
      <c r="BN64" s="187"/>
      <c r="BO64" s="129">
        <f t="shared" si="3"/>
        <v>2</v>
      </c>
      <c r="BP64" s="129" t="str">
        <f t="shared" si="27"/>
        <v>F</v>
      </c>
      <c r="BQ64" s="114" t="str">
        <f t="shared" si="28"/>
        <v>F</v>
      </c>
      <c r="BR64" s="114" t="str">
        <f t="shared" si="60"/>
        <v>F</v>
      </c>
      <c r="BS64" s="33" t="str">
        <f t="shared" si="4"/>
        <v>NEED TO PROGRESS</v>
      </c>
      <c r="BT64" s="108">
        <f t="shared" si="30"/>
        <v>303</v>
      </c>
      <c r="BU64" s="150">
        <f>'1st_Semester'!BT64</f>
        <v>331</v>
      </c>
      <c r="BV64" s="147">
        <f>'2nd_Semester'!BT64</f>
        <v>413</v>
      </c>
      <c r="BW64" s="147">
        <f t="shared" si="31"/>
        <v>303</v>
      </c>
      <c r="BX64" s="147">
        <f t="shared" si="32"/>
        <v>349</v>
      </c>
      <c r="BY64" s="153" t="str">
        <f>'1st_Semester'!BQ64</f>
        <v>F</v>
      </c>
      <c r="BZ64" s="153" t="str">
        <f>'2nd_Semester'!BQ64</f>
        <v>F</v>
      </c>
      <c r="CA64" s="153" t="str">
        <f t="shared" si="33"/>
        <v>F</v>
      </c>
      <c r="CB64" s="153" t="e">
        <f t="shared" si="34"/>
        <v>#DIV/0!</v>
      </c>
      <c r="CC64" s="66"/>
    </row>
    <row r="65" spans="1:81" s="68" customFormat="1" ht="27.95" customHeight="1">
      <c r="A65" s="67">
        <v>58</v>
      </c>
      <c r="B65" s="37">
        <v>62</v>
      </c>
      <c r="C65" s="34" t="s">
        <v>300</v>
      </c>
      <c r="D65" s="34" t="s">
        <v>301</v>
      </c>
      <c r="E65" s="34" t="s">
        <v>302</v>
      </c>
      <c r="F65" s="51" t="s">
        <v>303</v>
      </c>
      <c r="G65" s="129">
        <v>13</v>
      </c>
      <c r="H65" s="129">
        <v>21</v>
      </c>
      <c r="I65" s="128">
        <f t="shared" si="61"/>
        <v>34</v>
      </c>
      <c r="J65" s="129">
        <v>26</v>
      </c>
      <c r="K65" s="128">
        <f t="shared" si="62"/>
        <v>60</v>
      </c>
      <c r="L65" s="129">
        <v>7</v>
      </c>
      <c r="M65" s="129">
        <v>29</v>
      </c>
      <c r="N65" s="128">
        <f t="shared" si="63"/>
        <v>36</v>
      </c>
      <c r="O65" s="128">
        <f t="shared" si="5"/>
        <v>36</v>
      </c>
      <c r="P65" s="128">
        <f t="shared" si="0"/>
        <v>96</v>
      </c>
      <c r="Q65" s="187"/>
      <c r="R65" s="129">
        <f t="shared" si="48"/>
        <v>3.5</v>
      </c>
      <c r="S65" s="129">
        <v>12</v>
      </c>
      <c r="T65" s="129">
        <v>30</v>
      </c>
      <c r="U65" s="128">
        <f t="shared" si="49"/>
        <v>42</v>
      </c>
      <c r="V65" s="129">
        <v>7</v>
      </c>
      <c r="W65" s="129">
        <v>16</v>
      </c>
      <c r="X65" s="128">
        <f t="shared" si="50"/>
        <v>23</v>
      </c>
      <c r="Y65" s="128">
        <f t="shared" si="51"/>
        <v>65</v>
      </c>
      <c r="Z65" s="128">
        <f t="shared" si="64"/>
        <v>65</v>
      </c>
      <c r="AA65" s="187"/>
      <c r="AB65" s="129">
        <f t="shared" si="52"/>
        <v>2</v>
      </c>
      <c r="AC65" s="129">
        <v>20</v>
      </c>
      <c r="AD65" s="129">
        <v>24</v>
      </c>
      <c r="AE65" s="128">
        <f t="shared" si="53"/>
        <v>44</v>
      </c>
      <c r="AF65" s="129">
        <v>12</v>
      </c>
      <c r="AG65" s="128">
        <f t="shared" si="54"/>
        <v>56</v>
      </c>
      <c r="AH65" s="187"/>
      <c r="AI65" s="129">
        <f t="shared" si="71"/>
        <v>3</v>
      </c>
      <c r="AJ65" s="129">
        <v>16</v>
      </c>
      <c r="AK65" s="129">
        <v>24</v>
      </c>
      <c r="AL65" s="128">
        <f t="shared" si="72"/>
        <v>40</v>
      </c>
      <c r="AM65" s="129">
        <v>19</v>
      </c>
      <c r="AN65" s="128">
        <f t="shared" si="73"/>
        <v>59</v>
      </c>
      <c r="AO65" s="187"/>
      <c r="AP65" s="129">
        <f t="shared" si="38"/>
        <v>3</v>
      </c>
      <c r="AQ65" s="129">
        <v>23</v>
      </c>
      <c r="AR65" s="129">
        <v>25</v>
      </c>
      <c r="AS65" s="129">
        <f t="shared" si="17"/>
        <v>48</v>
      </c>
      <c r="AT65" s="188"/>
      <c r="AU65" s="129">
        <f t="shared" si="65"/>
        <v>5</v>
      </c>
      <c r="AV65" s="129">
        <v>18</v>
      </c>
      <c r="AW65" s="129">
        <v>29</v>
      </c>
      <c r="AX65" s="128">
        <f t="shared" si="66"/>
        <v>47</v>
      </c>
      <c r="AY65" s="129">
        <v>24</v>
      </c>
      <c r="AZ65" s="128">
        <f t="shared" si="67"/>
        <v>71</v>
      </c>
      <c r="BA65" s="187"/>
      <c r="BB65" s="129">
        <f t="shared" si="58"/>
        <v>4</v>
      </c>
      <c r="BC65" s="129">
        <v>19</v>
      </c>
      <c r="BD65" s="129">
        <v>20</v>
      </c>
      <c r="BE65" s="128">
        <f t="shared" si="70"/>
        <v>39</v>
      </c>
      <c r="BF65" s="129">
        <v>14</v>
      </c>
      <c r="BG65" s="128">
        <f t="shared" si="59"/>
        <v>53</v>
      </c>
      <c r="BH65" s="187"/>
      <c r="BI65" s="129">
        <f t="shared" si="68"/>
        <v>3</v>
      </c>
      <c r="BJ65" s="129">
        <v>10</v>
      </c>
      <c r="BK65" s="129">
        <v>20</v>
      </c>
      <c r="BL65" s="128">
        <f t="shared" si="69"/>
        <v>30</v>
      </c>
      <c r="BM65" s="128">
        <f t="shared" si="26"/>
        <v>30</v>
      </c>
      <c r="BN65" s="187"/>
      <c r="BO65" s="129">
        <f t="shared" si="3"/>
        <v>3.5</v>
      </c>
      <c r="BP65" s="129">
        <f t="shared" si="27"/>
        <v>27</v>
      </c>
      <c r="BQ65" s="114">
        <f t="shared" si="28"/>
        <v>3.375</v>
      </c>
      <c r="BR65" s="114" t="str">
        <f t="shared" si="60"/>
        <v>B</v>
      </c>
      <c r="BS65" s="33" t="str">
        <f t="shared" si="4"/>
        <v>GOOD</v>
      </c>
      <c r="BT65" s="108">
        <f t="shared" si="30"/>
        <v>478</v>
      </c>
      <c r="BU65" s="150">
        <f>'1st_Semester'!BT65</f>
        <v>458</v>
      </c>
      <c r="BV65" s="147">
        <f>'2nd_Semester'!BT65</f>
        <v>512</v>
      </c>
      <c r="BW65" s="147">
        <f t="shared" si="31"/>
        <v>478</v>
      </c>
      <c r="BX65" s="147">
        <f t="shared" si="32"/>
        <v>482.66666666666669</v>
      </c>
      <c r="BY65" s="153">
        <f>'1st_Semester'!BQ65</f>
        <v>3.25</v>
      </c>
      <c r="BZ65" s="153">
        <f>'2nd_Semester'!BQ65</f>
        <v>3.6875</v>
      </c>
      <c r="CA65" s="153">
        <f t="shared" si="33"/>
        <v>3.375</v>
      </c>
      <c r="CB65" s="153">
        <f t="shared" si="34"/>
        <v>3.4375</v>
      </c>
      <c r="CC65" s="66"/>
    </row>
    <row r="66" spans="1:81" s="68" customFormat="1" ht="27.95" customHeight="1">
      <c r="A66" s="67">
        <v>59</v>
      </c>
      <c r="B66" s="37">
        <v>64</v>
      </c>
      <c r="C66" s="34" t="s">
        <v>304</v>
      </c>
      <c r="D66" s="34" t="s">
        <v>305</v>
      </c>
      <c r="E66" s="34" t="s">
        <v>306</v>
      </c>
      <c r="F66" s="51" t="s">
        <v>307</v>
      </c>
      <c r="G66" s="129">
        <v>0</v>
      </c>
      <c r="H66" s="129">
        <v>20</v>
      </c>
      <c r="I66" s="128">
        <f t="shared" si="61"/>
        <v>20</v>
      </c>
      <c r="J66" s="129">
        <v>11</v>
      </c>
      <c r="K66" s="128">
        <f t="shared" si="62"/>
        <v>31</v>
      </c>
      <c r="L66" s="129">
        <v>0</v>
      </c>
      <c r="M66" s="129">
        <v>6</v>
      </c>
      <c r="N66" s="128">
        <f t="shared" si="63"/>
        <v>6</v>
      </c>
      <c r="O66" s="128">
        <f t="shared" si="5"/>
        <v>6</v>
      </c>
      <c r="P66" s="128">
        <f t="shared" si="0"/>
        <v>37</v>
      </c>
      <c r="Q66" s="187"/>
      <c r="R66" s="129" t="str">
        <f t="shared" si="48"/>
        <v>F</v>
      </c>
      <c r="S66" s="129">
        <v>0</v>
      </c>
      <c r="T66" s="129">
        <v>43</v>
      </c>
      <c r="U66" s="128">
        <f t="shared" si="49"/>
        <v>43</v>
      </c>
      <c r="V66" s="129">
        <v>3</v>
      </c>
      <c r="W66" s="129">
        <v>17</v>
      </c>
      <c r="X66" s="128">
        <f t="shared" si="50"/>
        <v>20</v>
      </c>
      <c r="Y66" s="128">
        <f t="shared" si="51"/>
        <v>63</v>
      </c>
      <c r="Z66" s="128">
        <f t="shared" si="64"/>
        <v>63</v>
      </c>
      <c r="AA66" s="187"/>
      <c r="AB66" s="129">
        <f t="shared" si="52"/>
        <v>2</v>
      </c>
      <c r="AC66" s="129">
        <v>0</v>
      </c>
      <c r="AD66" s="129">
        <v>0</v>
      </c>
      <c r="AE66" s="128">
        <f t="shared" si="53"/>
        <v>0</v>
      </c>
      <c r="AF66" s="129">
        <v>4</v>
      </c>
      <c r="AG66" s="128">
        <f t="shared" si="54"/>
        <v>4</v>
      </c>
      <c r="AH66" s="187"/>
      <c r="AI66" s="129" t="str">
        <f t="shared" si="71"/>
        <v>F</v>
      </c>
      <c r="AJ66" s="129">
        <v>0</v>
      </c>
      <c r="AK66" s="129">
        <v>20</v>
      </c>
      <c r="AL66" s="128">
        <f t="shared" si="72"/>
        <v>20</v>
      </c>
      <c r="AM66" s="129">
        <v>8</v>
      </c>
      <c r="AN66" s="128">
        <f t="shared" si="73"/>
        <v>28</v>
      </c>
      <c r="AO66" s="187"/>
      <c r="AP66" s="129" t="str">
        <f t="shared" si="38"/>
        <v>F</v>
      </c>
      <c r="AQ66" s="129">
        <v>16</v>
      </c>
      <c r="AR66" s="129">
        <v>25</v>
      </c>
      <c r="AS66" s="129">
        <f t="shared" si="17"/>
        <v>41</v>
      </c>
      <c r="AT66" s="188"/>
      <c r="AU66" s="129">
        <f t="shared" si="65"/>
        <v>5</v>
      </c>
      <c r="AV66" s="129">
        <v>0</v>
      </c>
      <c r="AW66" s="129">
        <v>22</v>
      </c>
      <c r="AX66" s="128">
        <f t="shared" si="66"/>
        <v>22</v>
      </c>
      <c r="AY66" s="129">
        <v>12</v>
      </c>
      <c r="AZ66" s="128">
        <f t="shared" si="67"/>
        <v>34</v>
      </c>
      <c r="BA66" s="187"/>
      <c r="BB66" s="129" t="str">
        <f t="shared" si="58"/>
        <v>F</v>
      </c>
      <c r="BC66" s="129">
        <v>0</v>
      </c>
      <c r="BD66" s="129">
        <v>19</v>
      </c>
      <c r="BE66" s="128">
        <f t="shared" si="70"/>
        <v>19</v>
      </c>
      <c r="BF66" s="129">
        <v>23</v>
      </c>
      <c r="BG66" s="128">
        <f t="shared" si="59"/>
        <v>42</v>
      </c>
      <c r="BH66" s="187"/>
      <c r="BI66" s="129">
        <f t="shared" si="68"/>
        <v>2</v>
      </c>
      <c r="BJ66" s="129">
        <v>0</v>
      </c>
      <c r="BK66" s="129">
        <v>0</v>
      </c>
      <c r="BL66" s="128">
        <f t="shared" si="69"/>
        <v>0</v>
      </c>
      <c r="BM66" s="128">
        <f t="shared" si="26"/>
        <v>0</v>
      </c>
      <c r="BN66" s="187"/>
      <c r="BO66" s="129" t="str">
        <f t="shared" si="3"/>
        <v>F</v>
      </c>
      <c r="BP66" s="129" t="str">
        <f t="shared" si="27"/>
        <v>F</v>
      </c>
      <c r="BQ66" s="114" t="str">
        <f t="shared" si="28"/>
        <v>F</v>
      </c>
      <c r="BR66" s="114" t="str">
        <f t="shared" si="60"/>
        <v>F</v>
      </c>
      <c r="BS66" s="33" t="str">
        <f t="shared" si="4"/>
        <v>NEED TO PROGRESS</v>
      </c>
      <c r="BT66" s="108">
        <f t="shared" si="30"/>
        <v>249</v>
      </c>
      <c r="BU66" s="150">
        <f>'1st_Semester'!BT66</f>
        <v>335</v>
      </c>
      <c r="BV66" s="147">
        <f>'2nd_Semester'!BT66</f>
        <v>51</v>
      </c>
      <c r="BW66" s="147">
        <f t="shared" si="31"/>
        <v>249</v>
      </c>
      <c r="BX66" s="147">
        <f t="shared" si="32"/>
        <v>211.66666666666666</v>
      </c>
      <c r="BY66" s="153" t="str">
        <f>'1st_Semester'!BQ66</f>
        <v>F</v>
      </c>
      <c r="BZ66" s="153" t="str">
        <f>'2nd_Semester'!BQ66</f>
        <v>F</v>
      </c>
      <c r="CA66" s="153" t="str">
        <f t="shared" si="33"/>
        <v>F</v>
      </c>
      <c r="CB66" s="153" t="e">
        <f t="shared" si="34"/>
        <v>#DIV/0!</v>
      </c>
      <c r="CC66" s="66"/>
    </row>
    <row r="67" spans="1:81" s="68" customFormat="1" ht="27.95" customHeight="1">
      <c r="A67" s="67">
        <v>60</v>
      </c>
      <c r="B67" s="37">
        <v>68</v>
      </c>
      <c r="C67" s="34" t="s">
        <v>308</v>
      </c>
      <c r="D67" s="34" t="s">
        <v>309</v>
      </c>
      <c r="E67" s="34" t="s">
        <v>310</v>
      </c>
      <c r="F67" s="51" t="s">
        <v>311</v>
      </c>
      <c r="G67" s="129">
        <v>17</v>
      </c>
      <c r="H67" s="129">
        <v>31</v>
      </c>
      <c r="I67" s="128">
        <f t="shared" si="61"/>
        <v>48</v>
      </c>
      <c r="J67" s="129">
        <v>16</v>
      </c>
      <c r="K67" s="128">
        <f t="shared" si="62"/>
        <v>64</v>
      </c>
      <c r="L67" s="129">
        <v>7</v>
      </c>
      <c r="M67" s="129">
        <v>29</v>
      </c>
      <c r="N67" s="128">
        <f t="shared" si="63"/>
        <v>36</v>
      </c>
      <c r="O67" s="128">
        <f t="shared" si="5"/>
        <v>36</v>
      </c>
      <c r="P67" s="128">
        <f t="shared" si="0"/>
        <v>100</v>
      </c>
      <c r="Q67" s="187"/>
      <c r="R67" s="129">
        <f t="shared" si="48"/>
        <v>3.5</v>
      </c>
      <c r="S67" s="129">
        <v>14</v>
      </c>
      <c r="T67" s="129">
        <v>36</v>
      </c>
      <c r="U67" s="128">
        <f t="shared" si="49"/>
        <v>50</v>
      </c>
      <c r="V67" s="129">
        <v>7</v>
      </c>
      <c r="W67" s="129">
        <v>16</v>
      </c>
      <c r="X67" s="128">
        <f t="shared" si="50"/>
        <v>23</v>
      </c>
      <c r="Y67" s="128">
        <f t="shared" si="51"/>
        <v>73</v>
      </c>
      <c r="Z67" s="128">
        <f t="shared" si="64"/>
        <v>73</v>
      </c>
      <c r="AA67" s="187"/>
      <c r="AB67" s="129">
        <f t="shared" si="52"/>
        <v>2</v>
      </c>
      <c r="AC67" s="129">
        <v>13</v>
      </c>
      <c r="AD67" s="129">
        <v>25</v>
      </c>
      <c r="AE67" s="128">
        <f t="shared" si="53"/>
        <v>38</v>
      </c>
      <c r="AF67" s="129">
        <v>17</v>
      </c>
      <c r="AG67" s="128">
        <f t="shared" si="54"/>
        <v>55</v>
      </c>
      <c r="AH67" s="187"/>
      <c r="AI67" s="129">
        <f t="shared" si="71"/>
        <v>3</v>
      </c>
      <c r="AJ67" s="129">
        <v>17</v>
      </c>
      <c r="AK67" s="129">
        <v>35</v>
      </c>
      <c r="AL67" s="128">
        <f t="shared" si="72"/>
        <v>52</v>
      </c>
      <c r="AM67" s="129">
        <v>15</v>
      </c>
      <c r="AN67" s="128">
        <f t="shared" si="73"/>
        <v>67</v>
      </c>
      <c r="AO67" s="187"/>
      <c r="AP67" s="129">
        <f t="shared" si="38"/>
        <v>3.5</v>
      </c>
      <c r="AQ67" s="129">
        <v>20</v>
      </c>
      <c r="AR67" s="129">
        <v>25</v>
      </c>
      <c r="AS67" s="129">
        <f t="shared" si="17"/>
        <v>45</v>
      </c>
      <c r="AT67" s="188"/>
      <c r="AU67" s="129">
        <f t="shared" si="65"/>
        <v>5</v>
      </c>
      <c r="AV67" s="129">
        <v>16</v>
      </c>
      <c r="AW67" s="129">
        <v>29</v>
      </c>
      <c r="AX67" s="128">
        <f t="shared" si="66"/>
        <v>45</v>
      </c>
      <c r="AY67" s="129">
        <v>25</v>
      </c>
      <c r="AZ67" s="128">
        <f t="shared" si="67"/>
        <v>70</v>
      </c>
      <c r="BA67" s="187"/>
      <c r="BB67" s="129">
        <f t="shared" si="58"/>
        <v>4</v>
      </c>
      <c r="BC67" s="129">
        <v>19</v>
      </c>
      <c r="BD67" s="129">
        <v>26</v>
      </c>
      <c r="BE67" s="128">
        <f t="shared" si="70"/>
        <v>45</v>
      </c>
      <c r="BF67" s="129">
        <v>20</v>
      </c>
      <c r="BG67" s="128">
        <f t="shared" si="59"/>
        <v>65</v>
      </c>
      <c r="BH67" s="187"/>
      <c r="BI67" s="129">
        <f t="shared" si="68"/>
        <v>3.5</v>
      </c>
      <c r="BJ67" s="129">
        <v>10</v>
      </c>
      <c r="BK67" s="129">
        <v>25</v>
      </c>
      <c r="BL67" s="128">
        <f t="shared" si="69"/>
        <v>35</v>
      </c>
      <c r="BM67" s="128">
        <f t="shared" si="26"/>
        <v>35</v>
      </c>
      <c r="BN67" s="187"/>
      <c r="BO67" s="129">
        <f t="shared" si="3"/>
        <v>4</v>
      </c>
      <c r="BP67" s="129">
        <f t="shared" si="27"/>
        <v>28.5</v>
      </c>
      <c r="BQ67" s="114">
        <f t="shared" si="28"/>
        <v>3.5625</v>
      </c>
      <c r="BR67" s="114" t="str">
        <f t="shared" si="60"/>
        <v>A-</v>
      </c>
      <c r="BS67" s="33" t="str">
        <f t="shared" si="4"/>
        <v>GOOD</v>
      </c>
      <c r="BT67" s="108">
        <f t="shared" si="30"/>
        <v>510</v>
      </c>
      <c r="BU67" s="150">
        <f>'1st_Semester'!BT67</f>
        <v>482</v>
      </c>
      <c r="BV67" s="147">
        <f>'2nd_Semester'!BT67</f>
        <v>582</v>
      </c>
      <c r="BW67" s="147">
        <f t="shared" si="31"/>
        <v>510</v>
      </c>
      <c r="BX67" s="147">
        <f t="shared" si="32"/>
        <v>524.66666666666663</v>
      </c>
      <c r="BY67" s="153">
        <f>'1st_Semester'!BQ67</f>
        <v>3.4375</v>
      </c>
      <c r="BZ67" s="153">
        <f>'2nd_Semester'!BQ67</f>
        <v>4.0625</v>
      </c>
      <c r="CA67" s="153">
        <f t="shared" si="33"/>
        <v>3.5625</v>
      </c>
      <c r="CB67" s="153">
        <f t="shared" si="34"/>
        <v>3.6875</v>
      </c>
      <c r="CC67" s="66"/>
    </row>
    <row r="68" spans="1:81" s="68" customFormat="1" ht="27.95" customHeight="1">
      <c r="A68" s="67">
        <v>61</v>
      </c>
      <c r="B68" s="37">
        <v>69</v>
      </c>
      <c r="C68" s="34" t="s">
        <v>79</v>
      </c>
      <c r="D68" s="34" t="s">
        <v>312</v>
      </c>
      <c r="E68" s="34" t="s">
        <v>313</v>
      </c>
      <c r="F68" s="51" t="s">
        <v>314</v>
      </c>
      <c r="G68" s="129">
        <v>11</v>
      </c>
      <c r="H68" s="129">
        <v>21</v>
      </c>
      <c r="I68" s="128">
        <f t="shared" si="61"/>
        <v>32</v>
      </c>
      <c r="J68" s="129">
        <v>14</v>
      </c>
      <c r="K68" s="128">
        <f t="shared" si="62"/>
        <v>46</v>
      </c>
      <c r="L68" s="129">
        <v>7</v>
      </c>
      <c r="M68" s="129">
        <v>21</v>
      </c>
      <c r="N68" s="128">
        <f t="shared" si="63"/>
        <v>28</v>
      </c>
      <c r="O68" s="128">
        <f t="shared" si="5"/>
        <v>28</v>
      </c>
      <c r="P68" s="128">
        <f t="shared" si="0"/>
        <v>74</v>
      </c>
      <c r="Q68" s="187"/>
      <c r="R68" s="129">
        <f t="shared" si="48"/>
        <v>3</v>
      </c>
      <c r="S68" s="129">
        <v>13</v>
      </c>
      <c r="T68" s="129">
        <v>21</v>
      </c>
      <c r="U68" s="128">
        <f t="shared" si="49"/>
        <v>34</v>
      </c>
      <c r="V68" s="129">
        <v>6</v>
      </c>
      <c r="W68" s="129">
        <v>18</v>
      </c>
      <c r="X68" s="128">
        <f t="shared" si="50"/>
        <v>24</v>
      </c>
      <c r="Y68" s="128">
        <f t="shared" si="51"/>
        <v>58</v>
      </c>
      <c r="Z68" s="128">
        <f t="shared" si="64"/>
        <v>58</v>
      </c>
      <c r="AA68" s="187"/>
      <c r="AB68" s="129">
        <f t="shared" si="52"/>
        <v>0</v>
      </c>
      <c r="AC68" s="129">
        <v>10</v>
      </c>
      <c r="AD68" s="129">
        <v>24</v>
      </c>
      <c r="AE68" s="128">
        <f t="shared" si="53"/>
        <v>34</v>
      </c>
      <c r="AF68" s="129">
        <v>13</v>
      </c>
      <c r="AG68" s="128">
        <f t="shared" si="54"/>
        <v>47</v>
      </c>
      <c r="AH68" s="187"/>
      <c r="AI68" s="129">
        <f t="shared" si="71"/>
        <v>2</v>
      </c>
      <c r="AJ68" s="129">
        <v>14</v>
      </c>
      <c r="AK68" s="129">
        <v>20</v>
      </c>
      <c r="AL68" s="128">
        <f t="shared" si="72"/>
        <v>34</v>
      </c>
      <c r="AM68" s="129">
        <v>19</v>
      </c>
      <c r="AN68" s="128">
        <f t="shared" si="73"/>
        <v>53</v>
      </c>
      <c r="AO68" s="187"/>
      <c r="AP68" s="129">
        <f t="shared" si="38"/>
        <v>3</v>
      </c>
      <c r="AQ68" s="129">
        <v>16</v>
      </c>
      <c r="AR68" s="129">
        <v>25</v>
      </c>
      <c r="AS68" s="129">
        <f t="shared" si="17"/>
        <v>41</v>
      </c>
      <c r="AT68" s="188"/>
      <c r="AU68" s="129">
        <f t="shared" si="65"/>
        <v>5</v>
      </c>
      <c r="AV68" s="129">
        <v>17</v>
      </c>
      <c r="AW68" s="129">
        <v>19</v>
      </c>
      <c r="AX68" s="128">
        <f t="shared" si="66"/>
        <v>36</v>
      </c>
      <c r="AY68" s="129">
        <v>23</v>
      </c>
      <c r="AZ68" s="128">
        <f t="shared" si="67"/>
        <v>59</v>
      </c>
      <c r="BA68" s="187"/>
      <c r="BB68" s="129">
        <f t="shared" si="58"/>
        <v>3</v>
      </c>
      <c r="BC68" s="129">
        <v>13</v>
      </c>
      <c r="BD68" s="129">
        <v>21</v>
      </c>
      <c r="BE68" s="128">
        <f t="shared" si="70"/>
        <v>34</v>
      </c>
      <c r="BF68" s="129">
        <v>22</v>
      </c>
      <c r="BG68" s="128">
        <f t="shared" si="59"/>
        <v>56</v>
      </c>
      <c r="BH68" s="187"/>
      <c r="BI68" s="129">
        <f t="shared" si="68"/>
        <v>3</v>
      </c>
      <c r="BJ68" s="129">
        <v>10</v>
      </c>
      <c r="BK68" s="129">
        <v>20</v>
      </c>
      <c r="BL68" s="128">
        <f t="shared" si="69"/>
        <v>30</v>
      </c>
      <c r="BM68" s="128">
        <f t="shared" si="26"/>
        <v>30</v>
      </c>
      <c r="BN68" s="187"/>
      <c r="BO68" s="129">
        <f t="shared" si="3"/>
        <v>3.5</v>
      </c>
      <c r="BP68" s="129">
        <f t="shared" si="27"/>
        <v>22.5</v>
      </c>
      <c r="BQ68" s="114">
        <f t="shared" si="28"/>
        <v>2.8125</v>
      </c>
      <c r="BR68" s="114" t="str">
        <f t="shared" si="60"/>
        <v>C</v>
      </c>
      <c r="BS68" s="33" t="str">
        <f t="shared" si="4"/>
        <v>GOOD</v>
      </c>
      <c r="BT68" s="108">
        <f t="shared" si="30"/>
        <v>418</v>
      </c>
      <c r="BU68" s="150">
        <f>'1st_Semester'!BT68</f>
        <v>373</v>
      </c>
      <c r="BV68" s="147">
        <f>'2nd_Semester'!BT68</f>
        <v>489</v>
      </c>
      <c r="BW68" s="147">
        <f t="shared" si="31"/>
        <v>418</v>
      </c>
      <c r="BX68" s="147">
        <f t="shared" si="32"/>
        <v>426.66666666666669</v>
      </c>
      <c r="BY68" s="153" t="str">
        <f>'1st_Semester'!BQ68</f>
        <v>F</v>
      </c>
      <c r="BZ68" s="153">
        <f>'2nd_Semester'!BQ68</f>
        <v>3.3125</v>
      </c>
      <c r="CA68" s="153">
        <f t="shared" si="33"/>
        <v>2.8125</v>
      </c>
      <c r="CB68" s="153">
        <f t="shared" si="34"/>
        <v>3.0625</v>
      </c>
      <c r="CC68" s="66"/>
    </row>
    <row r="69" spans="1:81" s="68" customFormat="1" ht="27.95" customHeight="1">
      <c r="A69" s="67">
        <v>62</v>
      </c>
      <c r="B69" s="37">
        <v>70</v>
      </c>
      <c r="C69" s="34" t="s">
        <v>315</v>
      </c>
      <c r="D69" s="34" t="s">
        <v>316</v>
      </c>
      <c r="E69" s="34" t="s">
        <v>317</v>
      </c>
      <c r="F69" s="51" t="s">
        <v>318</v>
      </c>
      <c r="G69" s="129">
        <v>10</v>
      </c>
      <c r="H69" s="129">
        <v>20</v>
      </c>
      <c r="I69" s="128">
        <f t="shared" si="61"/>
        <v>30</v>
      </c>
      <c r="J69" s="129">
        <v>20</v>
      </c>
      <c r="K69" s="128">
        <f t="shared" si="62"/>
        <v>50</v>
      </c>
      <c r="L69" s="129">
        <v>8</v>
      </c>
      <c r="M69" s="129">
        <v>20</v>
      </c>
      <c r="N69" s="128">
        <f t="shared" si="63"/>
        <v>28</v>
      </c>
      <c r="O69" s="128">
        <f t="shared" si="5"/>
        <v>28</v>
      </c>
      <c r="P69" s="128">
        <f t="shared" si="0"/>
        <v>78</v>
      </c>
      <c r="Q69" s="187"/>
      <c r="R69" s="129">
        <f t="shared" si="48"/>
        <v>3</v>
      </c>
      <c r="S69" s="129">
        <v>11</v>
      </c>
      <c r="T69" s="129">
        <v>32</v>
      </c>
      <c r="U69" s="128">
        <f t="shared" si="49"/>
        <v>43</v>
      </c>
      <c r="V69" s="129">
        <v>6</v>
      </c>
      <c r="W69" s="129">
        <v>16</v>
      </c>
      <c r="X69" s="128">
        <f t="shared" si="50"/>
        <v>22</v>
      </c>
      <c r="Y69" s="128">
        <f t="shared" si="51"/>
        <v>65</v>
      </c>
      <c r="Z69" s="128">
        <f t="shared" si="64"/>
        <v>65</v>
      </c>
      <c r="AA69" s="187"/>
      <c r="AB69" s="129">
        <f t="shared" si="52"/>
        <v>2</v>
      </c>
      <c r="AC69" s="129">
        <v>15</v>
      </c>
      <c r="AD69" s="129">
        <v>24</v>
      </c>
      <c r="AE69" s="128">
        <f t="shared" si="53"/>
        <v>39</v>
      </c>
      <c r="AF69" s="129">
        <v>21</v>
      </c>
      <c r="AG69" s="128">
        <f t="shared" si="54"/>
        <v>60</v>
      </c>
      <c r="AH69" s="187"/>
      <c r="AI69" s="129">
        <f t="shared" si="71"/>
        <v>3.5</v>
      </c>
      <c r="AJ69" s="129">
        <v>16</v>
      </c>
      <c r="AK69" s="129">
        <v>21</v>
      </c>
      <c r="AL69" s="128">
        <f t="shared" si="72"/>
        <v>37</v>
      </c>
      <c r="AM69" s="129">
        <v>12</v>
      </c>
      <c r="AN69" s="128">
        <f t="shared" si="73"/>
        <v>49</v>
      </c>
      <c r="AO69" s="187"/>
      <c r="AP69" s="129">
        <f t="shared" si="38"/>
        <v>2</v>
      </c>
      <c r="AQ69" s="129">
        <v>22</v>
      </c>
      <c r="AR69" s="129">
        <v>25</v>
      </c>
      <c r="AS69" s="129">
        <f t="shared" si="17"/>
        <v>47</v>
      </c>
      <c r="AT69" s="188"/>
      <c r="AU69" s="129">
        <f t="shared" si="65"/>
        <v>5</v>
      </c>
      <c r="AV69" s="129">
        <v>16</v>
      </c>
      <c r="AW69" s="129">
        <v>21</v>
      </c>
      <c r="AX69" s="128">
        <f t="shared" si="66"/>
        <v>37</v>
      </c>
      <c r="AY69" s="129">
        <v>24</v>
      </c>
      <c r="AZ69" s="128">
        <f t="shared" si="67"/>
        <v>61</v>
      </c>
      <c r="BA69" s="187"/>
      <c r="BB69" s="129">
        <f t="shared" si="58"/>
        <v>3.5</v>
      </c>
      <c r="BC69" s="129">
        <v>13</v>
      </c>
      <c r="BD69" s="129">
        <v>10</v>
      </c>
      <c r="BE69" s="128">
        <f t="shared" si="70"/>
        <v>23</v>
      </c>
      <c r="BF69" s="129">
        <v>18</v>
      </c>
      <c r="BG69" s="128">
        <f t="shared" si="59"/>
        <v>41</v>
      </c>
      <c r="BH69" s="187"/>
      <c r="BI69" s="129">
        <f t="shared" si="68"/>
        <v>2</v>
      </c>
      <c r="BJ69" s="129">
        <v>9</v>
      </c>
      <c r="BK69" s="129">
        <v>25</v>
      </c>
      <c r="BL69" s="128">
        <f t="shared" si="69"/>
        <v>34</v>
      </c>
      <c r="BM69" s="128">
        <f t="shared" si="26"/>
        <v>34</v>
      </c>
      <c r="BN69" s="187"/>
      <c r="BO69" s="129">
        <f t="shared" si="3"/>
        <v>3.5</v>
      </c>
      <c r="BP69" s="129">
        <f t="shared" si="27"/>
        <v>24.5</v>
      </c>
      <c r="BQ69" s="114">
        <f t="shared" si="28"/>
        <v>3.0625</v>
      </c>
      <c r="BR69" s="114" t="str">
        <f t="shared" si="60"/>
        <v>B</v>
      </c>
      <c r="BS69" s="33" t="str">
        <f t="shared" si="4"/>
        <v>GOOD</v>
      </c>
      <c r="BT69" s="108">
        <f t="shared" si="30"/>
        <v>435</v>
      </c>
      <c r="BU69" s="150">
        <f>'1st_Semester'!BT69</f>
        <v>452</v>
      </c>
      <c r="BV69" s="147">
        <f>'2nd_Semester'!BT69</f>
        <v>464</v>
      </c>
      <c r="BW69" s="147">
        <f t="shared" si="31"/>
        <v>435</v>
      </c>
      <c r="BX69" s="147">
        <f t="shared" si="32"/>
        <v>450.33333333333331</v>
      </c>
      <c r="BY69" s="153" t="str">
        <f>'1st_Semester'!BQ69</f>
        <v>F</v>
      </c>
      <c r="BZ69" s="153" t="str">
        <f>'2nd_Semester'!BQ69</f>
        <v>F</v>
      </c>
      <c r="CA69" s="153">
        <f t="shared" si="33"/>
        <v>3.0625</v>
      </c>
      <c r="CB69" s="153">
        <f t="shared" si="34"/>
        <v>3.0625</v>
      </c>
      <c r="CC69" s="66"/>
    </row>
    <row r="70" spans="1:81" s="68" customFormat="1" ht="27.95" customHeight="1">
      <c r="A70" s="67">
        <v>63</v>
      </c>
      <c r="B70" s="37">
        <v>76</v>
      </c>
      <c r="C70" s="34" t="s">
        <v>319</v>
      </c>
      <c r="D70" s="34" t="s">
        <v>320</v>
      </c>
      <c r="E70" s="34" t="s">
        <v>321</v>
      </c>
      <c r="F70" s="51" t="s">
        <v>322</v>
      </c>
      <c r="G70" s="129">
        <v>13</v>
      </c>
      <c r="H70" s="129">
        <v>26</v>
      </c>
      <c r="I70" s="128">
        <f t="shared" si="61"/>
        <v>39</v>
      </c>
      <c r="J70" s="129">
        <v>16</v>
      </c>
      <c r="K70" s="128">
        <f t="shared" si="62"/>
        <v>55</v>
      </c>
      <c r="L70" s="129">
        <v>7</v>
      </c>
      <c r="M70" s="129">
        <v>26</v>
      </c>
      <c r="N70" s="128">
        <f t="shared" si="63"/>
        <v>33</v>
      </c>
      <c r="O70" s="128">
        <f t="shared" si="5"/>
        <v>33</v>
      </c>
      <c r="P70" s="128">
        <f t="shared" si="0"/>
        <v>88</v>
      </c>
      <c r="Q70" s="187"/>
      <c r="R70" s="129">
        <f t="shared" si="48"/>
        <v>3</v>
      </c>
      <c r="S70" s="129">
        <v>16</v>
      </c>
      <c r="T70" s="129">
        <v>32</v>
      </c>
      <c r="U70" s="128">
        <f t="shared" si="49"/>
        <v>48</v>
      </c>
      <c r="V70" s="129">
        <v>9</v>
      </c>
      <c r="W70" s="129">
        <v>16</v>
      </c>
      <c r="X70" s="128">
        <f t="shared" si="50"/>
        <v>25</v>
      </c>
      <c r="Y70" s="128">
        <f t="shared" si="51"/>
        <v>73</v>
      </c>
      <c r="Z70" s="128">
        <f t="shared" si="64"/>
        <v>73</v>
      </c>
      <c r="AA70" s="187"/>
      <c r="AB70" s="129">
        <f t="shared" si="52"/>
        <v>2</v>
      </c>
      <c r="AC70" s="129">
        <v>19</v>
      </c>
      <c r="AD70" s="129">
        <v>31</v>
      </c>
      <c r="AE70" s="128">
        <f t="shared" si="53"/>
        <v>50</v>
      </c>
      <c r="AF70" s="129">
        <v>18</v>
      </c>
      <c r="AG70" s="128">
        <f t="shared" si="54"/>
        <v>68</v>
      </c>
      <c r="AH70" s="187"/>
      <c r="AI70" s="129">
        <f t="shared" si="71"/>
        <v>3.5</v>
      </c>
      <c r="AJ70" s="129">
        <v>15</v>
      </c>
      <c r="AK70" s="129">
        <v>21</v>
      </c>
      <c r="AL70" s="128">
        <f t="shared" si="72"/>
        <v>36</v>
      </c>
      <c r="AM70" s="129">
        <v>15</v>
      </c>
      <c r="AN70" s="128">
        <f t="shared" si="73"/>
        <v>51</v>
      </c>
      <c r="AO70" s="187"/>
      <c r="AP70" s="129">
        <f t="shared" si="38"/>
        <v>3</v>
      </c>
      <c r="AQ70" s="129">
        <v>22</v>
      </c>
      <c r="AR70" s="129">
        <v>25</v>
      </c>
      <c r="AS70" s="129">
        <f t="shared" si="17"/>
        <v>47</v>
      </c>
      <c r="AT70" s="188"/>
      <c r="AU70" s="129">
        <f t="shared" si="65"/>
        <v>5</v>
      </c>
      <c r="AV70" s="129">
        <v>18</v>
      </c>
      <c r="AW70" s="129">
        <v>0</v>
      </c>
      <c r="AX70" s="128">
        <f t="shared" si="66"/>
        <v>18</v>
      </c>
      <c r="AY70" s="129">
        <v>27</v>
      </c>
      <c r="AZ70" s="128">
        <f t="shared" si="67"/>
        <v>45</v>
      </c>
      <c r="BA70" s="187"/>
      <c r="BB70" s="129">
        <f t="shared" si="58"/>
        <v>2</v>
      </c>
      <c r="BC70" s="129">
        <v>16</v>
      </c>
      <c r="BD70" s="129">
        <v>26</v>
      </c>
      <c r="BE70" s="128">
        <f t="shared" si="70"/>
        <v>42</v>
      </c>
      <c r="BF70" s="129">
        <v>18</v>
      </c>
      <c r="BG70" s="128">
        <f t="shared" si="59"/>
        <v>60</v>
      </c>
      <c r="BH70" s="187"/>
      <c r="BI70" s="129">
        <f t="shared" si="68"/>
        <v>3.5</v>
      </c>
      <c r="BJ70" s="129">
        <v>10</v>
      </c>
      <c r="BK70" s="129">
        <v>20</v>
      </c>
      <c r="BL70" s="128">
        <f t="shared" si="69"/>
        <v>30</v>
      </c>
      <c r="BM70" s="128">
        <f t="shared" si="26"/>
        <v>30</v>
      </c>
      <c r="BN70" s="187"/>
      <c r="BO70" s="129">
        <f t="shared" si="3"/>
        <v>3.5</v>
      </c>
      <c r="BP70" s="129">
        <f t="shared" si="27"/>
        <v>25.5</v>
      </c>
      <c r="BQ70" s="114">
        <f t="shared" si="28"/>
        <v>3.1875</v>
      </c>
      <c r="BR70" s="114" t="str">
        <f t="shared" si="60"/>
        <v>B</v>
      </c>
      <c r="BS70" s="33" t="str">
        <f t="shared" si="4"/>
        <v>GOOD</v>
      </c>
      <c r="BT70" s="108">
        <f t="shared" si="30"/>
        <v>462</v>
      </c>
      <c r="BU70" s="150">
        <f>'1st_Semester'!BT70</f>
        <v>462</v>
      </c>
      <c r="BV70" s="147">
        <f>'2nd_Semester'!BT70</f>
        <v>489</v>
      </c>
      <c r="BW70" s="147">
        <f t="shared" si="31"/>
        <v>462</v>
      </c>
      <c r="BX70" s="147">
        <f t="shared" si="32"/>
        <v>471</v>
      </c>
      <c r="BY70" s="153">
        <f>'1st_Semester'!BQ70</f>
        <v>3.375</v>
      </c>
      <c r="BZ70" s="153" t="str">
        <f>'2nd_Semester'!BQ70</f>
        <v>F</v>
      </c>
      <c r="CA70" s="153">
        <f t="shared" si="33"/>
        <v>3.1875</v>
      </c>
      <c r="CB70" s="153">
        <f t="shared" si="34"/>
        <v>3.28125</v>
      </c>
      <c r="CC70" s="66"/>
    </row>
    <row r="71" spans="1:81" s="68" customFormat="1" ht="27.95" customHeight="1">
      <c r="A71" s="67">
        <v>64</v>
      </c>
      <c r="B71" s="37">
        <v>77</v>
      </c>
      <c r="C71" s="34" t="s">
        <v>323</v>
      </c>
      <c r="D71" s="34" t="s">
        <v>324</v>
      </c>
      <c r="E71" s="34" t="s">
        <v>325</v>
      </c>
      <c r="F71" s="51" t="s">
        <v>326</v>
      </c>
      <c r="G71" s="129">
        <v>12</v>
      </c>
      <c r="H71" s="129">
        <v>21</v>
      </c>
      <c r="I71" s="128">
        <f t="shared" si="61"/>
        <v>33</v>
      </c>
      <c r="J71" s="129">
        <v>18</v>
      </c>
      <c r="K71" s="128">
        <f t="shared" si="62"/>
        <v>51</v>
      </c>
      <c r="L71" s="129">
        <v>0</v>
      </c>
      <c r="M71" s="129">
        <v>23</v>
      </c>
      <c r="N71" s="128">
        <f t="shared" si="63"/>
        <v>23</v>
      </c>
      <c r="O71" s="128">
        <f t="shared" si="5"/>
        <v>23</v>
      </c>
      <c r="P71" s="128">
        <f t="shared" si="0"/>
        <v>74</v>
      </c>
      <c r="Q71" s="187"/>
      <c r="R71" s="129">
        <f t="shared" si="48"/>
        <v>3</v>
      </c>
      <c r="S71" s="129">
        <v>0</v>
      </c>
      <c r="T71" s="129">
        <v>0</v>
      </c>
      <c r="U71" s="128">
        <f t="shared" si="49"/>
        <v>0</v>
      </c>
      <c r="V71" s="129">
        <v>0</v>
      </c>
      <c r="W71" s="129">
        <v>0</v>
      </c>
      <c r="X71" s="128">
        <f t="shared" si="50"/>
        <v>0</v>
      </c>
      <c r="Y71" s="128">
        <f t="shared" si="51"/>
        <v>0</v>
      </c>
      <c r="Z71" s="128">
        <f t="shared" si="64"/>
        <v>0</v>
      </c>
      <c r="AA71" s="187"/>
      <c r="AB71" s="129">
        <f t="shared" si="52"/>
        <v>0</v>
      </c>
      <c r="AC71" s="129">
        <v>0</v>
      </c>
      <c r="AD71" s="129">
        <v>0</v>
      </c>
      <c r="AE71" s="128">
        <f t="shared" si="53"/>
        <v>0</v>
      </c>
      <c r="AF71" s="129">
        <v>0</v>
      </c>
      <c r="AG71" s="128">
        <f t="shared" si="54"/>
        <v>0</v>
      </c>
      <c r="AH71" s="187"/>
      <c r="AI71" s="129" t="str">
        <f t="shared" si="71"/>
        <v>F</v>
      </c>
      <c r="AJ71" s="129">
        <v>0</v>
      </c>
      <c r="AK71" s="129">
        <v>0</v>
      </c>
      <c r="AL71" s="128">
        <f t="shared" si="72"/>
        <v>0</v>
      </c>
      <c r="AM71" s="129">
        <v>0</v>
      </c>
      <c r="AN71" s="128">
        <f t="shared" si="73"/>
        <v>0</v>
      </c>
      <c r="AO71" s="187"/>
      <c r="AP71" s="129" t="str">
        <f t="shared" si="38"/>
        <v>F</v>
      </c>
      <c r="AQ71" s="129">
        <v>24</v>
      </c>
      <c r="AR71" s="129">
        <v>25</v>
      </c>
      <c r="AS71" s="129">
        <f t="shared" si="17"/>
        <v>49</v>
      </c>
      <c r="AT71" s="188"/>
      <c r="AU71" s="129">
        <f t="shared" si="65"/>
        <v>5</v>
      </c>
      <c r="AV71" s="129">
        <v>0</v>
      </c>
      <c r="AW71" s="129">
        <v>28</v>
      </c>
      <c r="AX71" s="128">
        <f t="shared" si="66"/>
        <v>28</v>
      </c>
      <c r="AY71" s="129">
        <v>0</v>
      </c>
      <c r="AZ71" s="128">
        <f t="shared" si="67"/>
        <v>28</v>
      </c>
      <c r="BA71" s="187"/>
      <c r="BB71" s="129" t="str">
        <f t="shared" si="58"/>
        <v>F</v>
      </c>
      <c r="BC71" s="129">
        <v>0</v>
      </c>
      <c r="BD71" s="129">
        <v>0</v>
      </c>
      <c r="BE71" s="128">
        <f t="shared" si="70"/>
        <v>0</v>
      </c>
      <c r="BF71" s="129">
        <v>0</v>
      </c>
      <c r="BG71" s="128">
        <f t="shared" si="59"/>
        <v>0</v>
      </c>
      <c r="BH71" s="187"/>
      <c r="BI71" s="129" t="str">
        <f t="shared" si="68"/>
        <v>F</v>
      </c>
      <c r="BJ71" s="129">
        <v>10</v>
      </c>
      <c r="BK71" s="129">
        <v>20</v>
      </c>
      <c r="BL71" s="128">
        <f t="shared" si="69"/>
        <v>30</v>
      </c>
      <c r="BM71" s="128">
        <f t="shared" si="26"/>
        <v>30</v>
      </c>
      <c r="BN71" s="187"/>
      <c r="BO71" s="129">
        <f t="shared" si="3"/>
        <v>3.5</v>
      </c>
      <c r="BP71" s="129" t="str">
        <f t="shared" si="27"/>
        <v>F</v>
      </c>
      <c r="BQ71" s="114" t="str">
        <f t="shared" si="28"/>
        <v>F</v>
      </c>
      <c r="BR71" s="114" t="str">
        <f t="shared" si="60"/>
        <v>F</v>
      </c>
      <c r="BS71" s="33" t="str">
        <f t="shared" si="4"/>
        <v>NEED TO PROGRESS</v>
      </c>
      <c r="BT71" s="108">
        <f t="shared" si="30"/>
        <v>181</v>
      </c>
      <c r="BU71" s="150">
        <f>'1st_Semester'!BT71</f>
        <v>329</v>
      </c>
      <c r="BV71" s="147">
        <f>'2nd_Semester'!BT71</f>
        <v>127</v>
      </c>
      <c r="BW71" s="147">
        <f t="shared" si="31"/>
        <v>181</v>
      </c>
      <c r="BX71" s="147">
        <f t="shared" si="32"/>
        <v>212.33333333333334</v>
      </c>
      <c r="BY71" s="153" t="str">
        <f>'1st_Semester'!BQ71</f>
        <v>F</v>
      </c>
      <c r="BZ71" s="153" t="str">
        <f>'2nd_Semester'!BQ71</f>
        <v>F</v>
      </c>
      <c r="CA71" s="153" t="str">
        <f t="shared" si="33"/>
        <v>F</v>
      </c>
      <c r="CB71" s="153" t="e">
        <f t="shared" si="34"/>
        <v>#DIV/0!</v>
      </c>
      <c r="CC71" s="66"/>
    </row>
    <row r="72" spans="1:81" s="68" customFormat="1" ht="27.95" customHeight="1">
      <c r="A72" s="67">
        <v>65</v>
      </c>
      <c r="B72" s="37">
        <v>78</v>
      </c>
      <c r="C72" s="34" t="s">
        <v>327</v>
      </c>
      <c r="D72" s="34" t="s">
        <v>328</v>
      </c>
      <c r="E72" s="34" t="s">
        <v>329</v>
      </c>
      <c r="F72" s="51" t="s">
        <v>330</v>
      </c>
      <c r="G72" s="129">
        <v>13</v>
      </c>
      <c r="H72" s="129">
        <v>21</v>
      </c>
      <c r="I72" s="128">
        <f t="shared" si="61"/>
        <v>34</v>
      </c>
      <c r="J72" s="129">
        <v>15</v>
      </c>
      <c r="K72" s="128">
        <f t="shared" si="62"/>
        <v>49</v>
      </c>
      <c r="L72" s="129">
        <v>8</v>
      </c>
      <c r="M72" s="129">
        <v>23</v>
      </c>
      <c r="N72" s="128">
        <f t="shared" si="63"/>
        <v>31</v>
      </c>
      <c r="O72" s="128">
        <f t="shared" si="5"/>
        <v>31</v>
      </c>
      <c r="P72" s="128">
        <f t="shared" ref="P72:P87" si="74">K72+O72</f>
        <v>80</v>
      </c>
      <c r="Q72" s="187"/>
      <c r="R72" s="129">
        <f t="shared" si="48"/>
        <v>3</v>
      </c>
      <c r="S72" s="129">
        <v>11</v>
      </c>
      <c r="T72" s="129">
        <v>32</v>
      </c>
      <c r="U72" s="128">
        <f t="shared" si="49"/>
        <v>43</v>
      </c>
      <c r="V72" s="129">
        <v>9</v>
      </c>
      <c r="W72" s="129">
        <v>17</v>
      </c>
      <c r="X72" s="128">
        <f t="shared" si="50"/>
        <v>26</v>
      </c>
      <c r="Y72" s="128">
        <f t="shared" si="51"/>
        <v>69</v>
      </c>
      <c r="Z72" s="128">
        <f t="shared" si="64"/>
        <v>69</v>
      </c>
      <c r="AA72" s="187"/>
      <c r="AB72" s="129">
        <f t="shared" si="52"/>
        <v>2</v>
      </c>
      <c r="AC72" s="129">
        <v>15</v>
      </c>
      <c r="AD72" s="129">
        <v>28</v>
      </c>
      <c r="AE72" s="128">
        <f t="shared" si="53"/>
        <v>43</v>
      </c>
      <c r="AF72" s="129">
        <v>17</v>
      </c>
      <c r="AG72" s="128">
        <f t="shared" si="54"/>
        <v>60</v>
      </c>
      <c r="AH72" s="187"/>
      <c r="AI72" s="129">
        <f t="shared" si="71"/>
        <v>3.5</v>
      </c>
      <c r="AJ72" s="129">
        <v>19</v>
      </c>
      <c r="AK72" s="129">
        <v>20</v>
      </c>
      <c r="AL72" s="128">
        <f t="shared" si="72"/>
        <v>39</v>
      </c>
      <c r="AM72" s="129">
        <v>20</v>
      </c>
      <c r="AN72" s="128">
        <f t="shared" si="73"/>
        <v>59</v>
      </c>
      <c r="AO72" s="187"/>
      <c r="AP72" s="129">
        <f t="shared" si="38"/>
        <v>3</v>
      </c>
      <c r="AQ72" s="129">
        <v>24</v>
      </c>
      <c r="AR72" s="129">
        <v>25</v>
      </c>
      <c r="AS72" s="129">
        <f t="shared" si="17"/>
        <v>49</v>
      </c>
      <c r="AT72" s="188"/>
      <c r="AU72" s="129">
        <f t="shared" si="65"/>
        <v>5</v>
      </c>
      <c r="AV72" s="129">
        <v>17</v>
      </c>
      <c r="AW72" s="129">
        <v>18</v>
      </c>
      <c r="AX72" s="128">
        <f t="shared" si="66"/>
        <v>35</v>
      </c>
      <c r="AY72" s="129">
        <v>23</v>
      </c>
      <c r="AZ72" s="128">
        <f t="shared" si="67"/>
        <v>58</v>
      </c>
      <c r="BA72" s="187"/>
      <c r="BB72" s="129">
        <f t="shared" si="58"/>
        <v>3</v>
      </c>
      <c r="BC72" s="129">
        <v>19</v>
      </c>
      <c r="BD72" s="129">
        <v>21</v>
      </c>
      <c r="BE72" s="128">
        <f t="shared" si="70"/>
        <v>40</v>
      </c>
      <c r="BF72" s="129">
        <v>18</v>
      </c>
      <c r="BG72" s="128">
        <f t="shared" si="59"/>
        <v>58</v>
      </c>
      <c r="BH72" s="187"/>
      <c r="BI72" s="129">
        <f t="shared" si="68"/>
        <v>3</v>
      </c>
      <c r="BJ72" s="129">
        <v>10</v>
      </c>
      <c r="BK72" s="129">
        <v>20</v>
      </c>
      <c r="BL72" s="128">
        <f t="shared" si="69"/>
        <v>30</v>
      </c>
      <c r="BM72" s="128">
        <f t="shared" si="26"/>
        <v>30</v>
      </c>
      <c r="BN72" s="187"/>
      <c r="BO72" s="129">
        <f t="shared" ref="BO72:BO87" si="75">IF(BL72&lt;20,"F",IF(BM72&lt;20,"F",IF(BM72&lt;25,2,IF(BM72&lt;30,3,IF(BM72&lt;35,3.5,IF(BM72&lt;40,4,5))))))</f>
        <v>3.5</v>
      </c>
      <c r="BP72" s="129">
        <f t="shared" si="27"/>
        <v>26</v>
      </c>
      <c r="BQ72" s="114">
        <f t="shared" si="28"/>
        <v>3.25</v>
      </c>
      <c r="BR72" s="114" t="str">
        <f t="shared" si="60"/>
        <v>B</v>
      </c>
      <c r="BS72" s="33" t="str">
        <f t="shared" ref="BS72:BS87" si="76">IF(BQ72="F","NEED TO PROGRESS",IF(BQ72&gt;=5,"BEST",IF(BQ72&gt;=4,"BETTER",IF(BQ72&gt;=2,"GOOD"))))</f>
        <v>GOOD</v>
      </c>
      <c r="BT72" s="108">
        <f t="shared" si="30"/>
        <v>463</v>
      </c>
      <c r="BU72" s="150">
        <f>'1st_Semester'!BT72</f>
        <v>410</v>
      </c>
      <c r="BV72" s="147">
        <f>'2nd_Semester'!BT72</f>
        <v>517</v>
      </c>
      <c r="BW72" s="147">
        <f t="shared" si="31"/>
        <v>463</v>
      </c>
      <c r="BX72" s="147">
        <f t="shared" si="32"/>
        <v>463.33333333333331</v>
      </c>
      <c r="BY72" s="153" t="str">
        <f>'1st_Semester'!BQ72</f>
        <v>F</v>
      </c>
      <c r="BZ72" s="153">
        <f>'2nd_Semester'!BQ72</f>
        <v>3.625</v>
      </c>
      <c r="CA72" s="153">
        <f t="shared" si="33"/>
        <v>3.25</v>
      </c>
      <c r="CB72" s="153">
        <f t="shared" si="34"/>
        <v>3.4375</v>
      </c>
      <c r="CC72" s="66"/>
    </row>
    <row r="73" spans="1:81" s="68" customFormat="1" ht="27.95" customHeight="1">
      <c r="A73" s="67">
        <v>66</v>
      </c>
      <c r="B73" s="37">
        <v>79</v>
      </c>
      <c r="C73" s="34" t="s">
        <v>331</v>
      </c>
      <c r="D73" s="34" t="s">
        <v>332</v>
      </c>
      <c r="E73" s="34" t="s">
        <v>333</v>
      </c>
      <c r="F73" s="51" t="s">
        <v>334</v>
      </c>
      <c r="G73" s="129">
        <v>0</v>
      </c>
      <c r="H73" s="129">
        <v>0</v>
      </c>
      <c r="I73" s="128">
        <f t="shared" si="61"/>
        <v>0</v>
      </c>
      <c r="J73" s="129">
        <v>0</v>
      </c>
      <c r="K73" s="128">
        <f t="shared" si="62"/>
        <v>0</v>
      </c>
      <c r="L73" s="129">
        <v>0</v>
      </c>
      <c r="M73" s="129"/>
      <c r="N73" s="128">
        <f t="shared" si="63"/>
        <v>0</v>
      </c>
      <c r="O73" s="128">
        <f t="shared" ref="O73:O87" si="77">N73</f>
        <v>0</v>
      </c>
      <c r="P73" s="128">
        <f t="shared" si="74"/>
        <v>0</v>
      </c>
      <c r="Q73" s="187"/>
      <c r="R73" s="129" t="str">
        <f t="shared" si="48"/>
        <v>F</v>
      </c>
      <c r="S73" s="129">
        <v>0</v>
      </c>
      <c r="T73" s="129"/>
      <c r="U73" s="128">
        <f t="shared" si="49"/>
        <v>0</v>
      </c>
      <c r="V73" s="129">
        <v>0</v>
      </c>
      <c r="W73" s="129">
        <v>0</v>
      </c>
      <c r="X73" s="128">
        <f t="shared" si="50"/>
        <v>0</v>
      </c>
      <c r="Y73" s="128">
        <f t="shared" si="51"/>
        <v>0</v>
      </c>
      <c r="Z73" s="128">
        <f t="shared" si="64"/>
        <v>0</v>
      </c>
      <c r="AA73" s="187"/>
      <c r="AB73" s="129">
        <f t="shared" si="52"/>
        <v>0</v>
      </c>
      <c r="AC73" s="129">
        <v>0</v>
      </c>
      <c r="AD73" s="129">
        <v>0</v>
      </c>
      <c r="AE73" s="128">
        <f t="shared" si="53"/>
        <v>0</v>
      </c>
      <c r="AF73" s="129">
        <v>0</v>
      </c>
      <c r="AG73" s="128">
        <f t="shared" si="54"/>
        <v>0</v>
      </c>
      <c r="AH73" s="187"/>
      <c r="AI73" s="129" t="str">
        <f t="shared" si="71"/>
        <v>F</v>
      </c>
      <c r="AJ73" s="129">
        <v>0</v>
      </c>
      <c r="AK73" s="129">
        <v>0</v>
      </c>
      <c r="AL73" s="128">
        <f t="shared" si="72"/>
        <v>0</v>
      </c>
      <c r="AM73" s="129">
        <v>0</v>
      </c>
      <c r="AN73" s="128">
        <f t="shared" si="73"/>
        <v>0</v>
      </c>
      <c r="AO73" s="187"/>
      <c r="AP73" s="129" t="str">
        <f t="shared" si="38"/>
        <v>F</v>
      </c>
      <c r="AQ73" s="129">
        <v>19</v>
      </c>
      <c r="AR73" s="129">
        <v>25</v>
      </c>
      <c r="AS73" s="129">
        <f t="shared" ref="AS73:AS87" si="78">AQ73+AR73</f>
        <v>44</v>
      </c>
      <c r="AT73" s="188"/>
      <c r="AU73" s="129">
        <f t="shared" si="65"/>
        <v>5</v>
      </c>
      <c r="AV73" s="129">
        <v>0</v>
      </c>
      <c r="AW73" s="129">
        <v>0</v>
      </c>
      <c r="AX73" s="128">
        <f t="shared" si="66"/>
        <v>0</v>
      </c>
      <c r="AY73" s="129">
        <v>0</v>
      </c>
      <c r="AZ73" s="128">
        <f t="shared" si="67"/>
        <v>0</v>
      </c>
      <c r="BA73" s="187"/>
      <c r="BB73" s="129" t="str">
        <f t="shared" si="58"/>
        <v>F</v>
      </c>
      <c r="BC73" s="129">
        <v>0</v>
      </c>
      <c r="BD73" s="129">
        <v>0</v>
      </c>
      <c r="BE73" s="128">
        <f t="shared" si="70"/>
        <v>0</v>
      </c>
      <c r="BF73" s="129">
        <v>0</v>
      </c>
      <c r="BG73" s="128">
        <f t="shared" si="59"/>
        <v>0</v>
      </c>
      <c r="BH73" s="187"/>
      <c r="BI73" s="129" t="str">
        <f t="shared" si="68"/>
        <v>F</v>
      </c>
      <c r="BJ73" s="129">
        <v>0</v>
      </c>
      <c r="BK73" s="129">
        <v>0</v>
      </c>
      <c r="BL73" s="128">
        <f t="shared" si="69"/>
        <v>0</v>
      </c>
      <c r="BM73" s="128">
        <f t="shared" ref="BM73:BM87" si="79">BL73</f>
        <v>0</v>
      </c>
      <c r="BN73" s="187"/>
      <c r="BO73" s="129" t="str">
        <f t="shared" si="75"/>
        <v>F</v>
      </c>
      <c r="BP73" s="129" t="str">
        <f t="shared" ref="BP73:BP87" si="80">IF(R73="F","F",IF(AB73="F","F",IF(AI73="F","F",IF(AP73="F","F",IF(BB73="F","F",IF(BI73="F","F",IF(BO73="F","F",IF(AU73="F","F",SUM(R73,AB73,AI73,AP73,AU73,BB73,BI73,BO73)))))))))</f>
        <v>F</v>
      </c>
      <c r="BQ73" s="114" t="str">
        <f t="shared" ref="BQ73:BQ87" si="81">IF(BP73="F","F",IF(BP73&gt;=45,5,IF(BP73&lt;45,BP73/8)))</f>
        <v>F</v>
      </c>
      <c r="BR73" s="114" t="str">
        <f t="shared" si="60"/>
        <v>F</v>
      </c>
      <c r="BS73" s="33" t="str">
        <f t="shared" si="76"/>
        <v>NEED TO PROGRESS</v>
      </c>
      <c r="BT73" s="108">
        <f t="shared" ref="BT73:BT87" si="82">P73+Z73+AG73+AN73+AS73+AZ73+BG73+BM73</f>
        <v>44</v>
      </c>
      <c r="BU73" s="150">
        <f>'1st_Semester'!BT73</f>
        <v>340</v>
      </c>
      <c r="BV73" s="147">
        <f>'2nd_Semester'!BT73</f>
        <v>46</v>
      </c>
      <c r="BW73" s="147">
        <f t="shared" ref="BW73:BW87" si="83">BT73</f>
        <v>44</v>
      </c>
      <c r="BX73" s="147">
        <f t="shared" ref="BX73:BX87" si="84">AVERAGE(BU73:BW73)</f>
        <v>143.33333333333334</v>
      </c>
      <c r="BY73" s="153" t="str">
        <f>'1st_Semester'!BQ73</f>
        <v>F</v>
      </c>
      <c r="BZ73" s="153" t="str">
        <f>'2nd_Semester'!BQ73</f>
        <v>F</v>
      </c>
      <c r="CA73" s="153" t="str">
        <f t="shared" ref="CA73:CA87" si="85">BQ73</f>
        <v>F</v>
      </c>
      <c r="CB73" s="153" t="e">
        <f t="shared" ref="CB73:CB87" si="86">AVERAGE(BY73:CA73)</f>
        <v>#DIV/0!</v>
      </c>
      <c r="CC73" s="66"/>
    </row>
    <row r="74" spans="1:81" s="68" customFormat="1" ht="27.95" customHeight="1">
      <c r="A74" s="67">
        <v>67</v>
      </c>
      <c r="B74" s="37">
        <v>80</v>
      </c>
      <c r="C74" s="34" t="s">
        <v>335</v>
      </c>
      <c r="D74" s="34" t="s">
        <v>336</v>
      </c>
      <c r="E74" s="34" t="s">
        <v>337</v>
      </c>
      <c r="F74" s="51" t="s">
        <v>338</v>
      </c>
      <c r="G74" s="129">
        <v>14</v>
      </c>
      <c r="H74" s="129">
        <v>21</v>
      </c>
      <c r="I74" s="128">
        <f t="shared" si="61"/>
        <v>35</v>
      </c>
      <c r="J74" s="129">
        <v>15</v>
      </c>
      <c r="K74" s="128">
        <f t="shared" si="62"/>
        <v>50</v>
      </c>
      <c r="L74" s="129">
        <v>9</v>
      </c>
      <c r="M74" s="129">
        <v>22</v>
      </c>
      <c r="N74" s="128">
        <f t="shared" si="63"/>
        <v>31</v>
      </c>
      <c r="O74" s="128">
        <f t="shared" si="77"/>
        <v>31</v>
      </c>
      <c r="P74" s="128">
        <f t="shared" si="74"/>
        <v>81</v>
      </c>
      <c r="Q74" s="187"/>
      <c r="R74" s="129">
        <f t="shared" si="48"/>
        <v>3</v>
      </c>
      <c r="S74" s="129">
        <v>15</v>
      </c>
      <c r="T74" s="129">
        <v>26</v>
      </c>
      <c r="U74" s="128">
        <f t="shared" si="49"/>
        <v>41</v>
      </c>
      <c r="V74" s="129">
        <v>6</v>
      </c>
      <c r="W74" s="129">
        <v>16</v>
      </c>
      <c r="X74" s="128">
        <f t="shared" si="50"/>
        <v>22</v>
      </c>
      <c r="Y74" s="128">
        <f t="shared" si="51"/>
        <v>63</v>
      </c>
      <c r="Z74" s="128">
        <f t="shared" si="64"/>
        <v>63</v>
      </c>
      <c r="AA74" s="187"/>
      <c r="AB74" s="129">
        <f t="shared" si="52"/>
        <v>2</v>
      </c>
      <c r="AC74" s="129">
        <v>14</v>
      </c>
      <c r="AD74" s="129">
        <v>29</v>
      </c>
      <c r="AE74" s="128">
        <f t="shared" si="53"/>
        <v>43</v>
      </c>
      <c r="AF74" s="129">
        <v>21</v>
      </c>
      <c r="AG74" s="128">
        <f t="shared" si="54"/>
        <v>64</v>
      </c>
      <c r="AH74" s="187"/>
      <c r="AI74" s="129">
        <f t="shared" si="71"/>
        <v>3.5</v>
      </c>
      <c r="AJ74" s="129">
        <v>18</v>
      </c>
      <c r="AK74" s="129">
        <v>20</v>
      </c>
      <c r="AL74" s="128">
        <f t="shared" si="72"/>
        <v>38</v>
      </c>
      <c r="AM74" s="129">
        <v>23</v>
      </c>
      <c r="AN74" s="128">
        <f t="shared" si="73"/>
        <v>61</v>
      </c>
      <c r="AO74" s="187"/>
      <c r="AP74" s="129">
        <f t="shared" si="38"/>
        <v>3.5</v>
      </c>
      <c r="AQ74" s="129">
        <v>13</v>
      </c>
      <c r="AR74" s="129">
        <v>25</v>
      </c>
      <c r="AS74" s="129">
        <f t="shared" si="78"/>
        <v>38</v>
      </c>
      <c r="AT74" s="188"/>
      <c r="AU74" s="129">
        <f t="shared" si="65"/>
        <v>4</v>
      </c>
      <c r="AV74" s="129">
        <v>16</v>
      </c>
      <c r="AW74" s="129">
        <v>24</v>
      </c>
      <c r="AX74" s="128">
        <f t="shared" si="66"/>
        <v>40</v>
      </c>
      <c r="AY74" s="129">
        <v>26</v>
      </c>
      <c r="AZ74" s="128">
        <f t="shared" si="67"/>
        <v>66</v>
      </c>
      <c r="BA74" s="187"/>
      <c r="BB74" s="129">
        <f t="shared" si="58"/>
        <v>3.5</v>
      </c>
      <c r="BC74" s="129">
        <v>19</v>
      </c>
      <c r="BD74" s="129">
        <v>21</v>
      </c>
      <c r="BE74" s="128">
        <f t="shared" si="70"/>
        <v>40</v>
      </c>
      <c r="BF74" s="129">
        <v>13</v>
      </c>
      <c r="BG74" s="128">
        <f t="shared" si="59"/>
        <v>53</v>
      </c>
      <c r="BH74" s="187"/>
      <c r="BI74" s="129">
        <f t="shared" si="68"/>
        <v>3</v>
      </c>
      <c r="BJ74" s="129">
        <v>10</v>
      </c>
      <c r="BK74" s="129">
        <v>20</v>
      </c>
      <c r="BL74" s="128">
        <f t="shared" si="69"/>
        <v>30</v>
      </c>
      <c r="BM74" s="128">
        <f t="shared" si="79"/>
        <v>30</v>
      </c>
      <c r="BN74" s="187"/>
      <c r="BO74" s="129">
        <f t="shared" si="75"/>
        <v>3.5</v>
      </c>
      <c r="BP74" s="129">
        <f t="shared" si="80"/>
        <v>26</v>
      </c>
      <c r="BQ74" s="114">
        <f t="shared" si="81"/>
        <v>3.25</v>
      </c>
      <c r="BR74" s="114" t="str">
        <f t="shared" si="60"/>
        <v>B</v>
      </c>
      <c r="BS74" s="33" t="str">
        <f t="shared" si="76"/>
        <v>GOOD</v>
      </c>
      <c r="BT74" s="108">
        <f t="shared" si="82"/>
        <v>456</v>
      </c>
      <c r="BU74" s="150">
        <f>'1st_Semester'!BT74</f>
        <v>409</v>
      </c>
      <c r="BV74" s="147">
        <f>'2nd_Semester'!BT74</f>
        <v>496</v>
      </c>
      <c r="BW74" s="147">
        <f t="shared" si="83"/>
        <v>456</v>
      </c>
      <c r="BX74" s="147">
        <f t="shared" si="84"/>
        <v>453.66666666666669</v>
      </c>
      <c r="BY74" s="153" t="str">
        <f>'1st_Semester'!BQ74</f>
        <v>F</v>
      </c>
      <c r="BZ74" s="153" t="str">
        <f>'2nd_Semester'!BQ74</f>
        <v>F</v>
      </c>
      <c r="CA74" s="153">
        <f t="shared" si="85"/>
        <v>3.25</v>
      </c>
      <c r="CB74" s="153">
        <f t="shared" si="86"/>
        <v>3.25</v>
      </c>
      <c r="CC74" s="66"/>
    </row>
    <row r="75" spans="1:81" s="68" customFormat="1" ht="27.95" customHeight="1">
      <c r="A75" s="67">
        <v>68</v>
      </c>
      <c r="B75" s="37">
        <v>82</v>
      </c>
      <c r="C75" s="34" t="s">
        <v>339</v>
      </c>
      <c r="D75" s="34" t="s">
        <v>340</v>
      </c>
      <c r="E75" s="34" t="s">
        <v>341</v>
      </c>
      <c r="F75" s="51" t="s">
        <v>342</v>
      </c>
      <c r="G75" s="129">
        <v>13</v>
      </c>
      <c r="H75" s="129">
        <v>39</v>
      </c>
      <c r="I75" s="128">
        <f t="shared" si="61"/>
        <v>52</v>
      </c>
      <c r="J75" s="129">
        <v>18</v>
      </c>
      <c r="K75" s="128">
        <f t="shared" si="62"/>
        <v>70</v>
      </c>
      <c r="L75" s="129">
        <v>9</v>
      </c>
      <c r="M75" s="129">
        <v>33</v>
      </c>
      <c r="N75" s="128">
        <f t="shared" si="63"/>
        <v>42</v>
      </c>
      <c r="O75" s="128">
        <f t="shared" si="77"/>
        <v>42</v>
      </c>
      <c r="P75" s="128">
        <f t="shared" si="74"/>
        <v>112</v>
      </c>
      <c r="Q75" s="187"/>
      <c r="R75" s="129">
        <f t="shared" si="48"/>
        <v>4</v>
      </c>
      <c r="S75" s="129">
        <v>16</v>
      </c>
      <c r="T75" s="129">
        <v>44</v>
      </c>
      <c r="U75" s="128">
        <f t="shared" si="49"/>
        <v>60</v>
      </c>
      <c r="V75" s="129">
        <v>8</v>
      </c>
      <c r="W75" s="129">
        <v>24</v>
      </c>
      <c r="X75" s="128">
        <f t="shared" si="50"/>
        <v>32</v>
      </c>
      <c r="Y75" s="128">
        <f t="shared" si="51"/>
        <v>92</v>
      </c>
      <c r="Z75" s="128">
        <f t="shared" si="64"/>
        <v>92</v>
      </c>
      <c r="AA75" s="187"/>
      <c r="AB75" s="129">
        <f t="shared" si="52"/>
        <v>3.5</v>
      </c>
      <c r="AC75" s="129">
        <v>13</v>
      </c>
      <c r="AD75" s="129">
        <v>31</v>
      </c>
      <c r="AE75" s="128">
        <f t="shared" si="53"/>
        <v>44</v>
      </c>
      <c r="AF75" s="129">
        <v>16</v>
      </c>
      <c r="AG75" s="128">
        <f t="shared" si="54"/>
        <v>60</v>
      </c>
      <c r="AH75" s="187"/>
      <c r="AI75" s="129">
        <f t="shared" si="71"/>
        <v>3.5</v>
      </c>
      <c r="AJ75" s="129">
        <v>19</v>
      </c>
      <c r="AK75" s="129">
        <v>36</v>
      </c>
      <c r="AL75" s="128">
        <f t="shared" si="72"/>
        <v>55</v>
      </c>
      <c r="AM75" s="129">
        <v>21</v>
      </c>
      <c r="AN75" s="128">
        <f t="shared" si="73"/>
        <v>76</v>
      </c>
      <c r="AO75" s="187"/>
      <c r="AP75" s="129">
        <f t="shared" si="38"/>
        <v>4</v>
      </c>
      <c r="AQ75" s="129">
        <v>22</v>
      </c>
      <c r="AR75" s="129">
        <v>25</v>
      </c>
      <c r="AS75" s="129">
        <f t="shared" si="78"/>
        <v>47</v>
      </c>
      <c r="AT75" s="188"/>
      <c r="AU75" s="129">
        <f t="shared" si="65"/>
        <v>5</v>
      </c>
      <c r="AV75" s="129">
        <v>16</v>
      </c>
      <c r="AW75" s="129">
        <v>32</v>
      </c>
      <c r="AX75" s="128">
        <f t="shared" si="66"/>
        <v>48</v>
      </c>
      <c r="AY75" s="129">
        <v>25</v>
      </c>
      <c r="AZ75" s="128">
        <f t="shared" si="67"/>
        <v>73</v>
      </c>
      <c r="BA75" s="187"/>
      <c r="BB75" s="129">
        <f t="shared" si="58"/>
        <v>4</v>
      </c>
      <c r="BC75" s="129">
        <v>20</v>
      </c>
      <c r="BD75" s="129">
        <v>28</v>
      </c>
      <c r="BE75" s="128">
        <f t="shared" si="70"/>
        <v>48</v>
      </c>
      <c r="BF75" s="129">
        <v>20</v>
      </c>
      <c r="BG75" s="128">
        <f t="shared" si="59"/>
        <v>68</v>
      </c>
      <c r="BH75" s="187"/>
      <c r="BI75" s="129">
        <f t="shared" si="68"/>
        <v>3.5</v>
      </c>
      <c r="BJ75" s="129">
        <v>10</v>
      </c>
      <c r="BK75" s="129">
        <v>20</v>
      </c>
      <c r="BL75" s="128">
        <f t="shared" si="69"/>
        <v>30</v>
      </c>
      <c r="BM75" s="128">
        <f t="shared" si="79"/>
        <v>30</v>
      </c>
      <c r="BN75" s="187"/>
      <c r="BO75" s="129">
        <f t="shared" si="75"/>
        <v>3.5</v>
      </c>
      <c r="BP75" s="129">
        <f t="shared" si="80"/>
        <v>31</v>
      </c>
      <c r="BQ75" s="114">
        <f t="shared" si="81"/>
        <v>3.875</v>
      </c>
      <c r="BR75" s="114" t="str">
        <f t="shared" si="60"/>
        <v>A-</v>
      </c>
      <c r="BS75" s="33" t="str">
        <f t="shared" si="76"/>
        <v>GOOD</v>
      </c>
      <c r="BT75" s="108">
        <f t="shared" si="82"/>
        <v>558</v>
      </c>
      <c r="BU75" s="150">
        <f>'1st_Semester'!BT75</f>
        <v>465</v>
      </c>
      <c r="BV75" s="147">
        <f>'2nd_Semester'!BT75</f>
        <v>554</v>
      </c>
      <c r="BW75" s="147">
        <f t="shared" si="83"/>
        <v>558</v>
      </c>
      <c r="BX75" s="147">
        <f t="shared" si="84"/>
        <v>525.66666666666663</v>
      </c>
      <c r="BY75" s="153">
        <f>'1st_Semester'!BQ75</f>
        <v>3.3125</v>
      </c>
      <c r="BZ75" s="153">
        <f>'2nd_Semester'!BQ75</f>
        <v>3.9375</v>
      </c>
      <c r="CA75" s="153">
        <f t="shared" si="85"/>
        <v>3.875</v>
      </c>
      <c r="CB75" s="153">
        <f t="shared" si="86"/>
        <v>3.7083333333333335</v>
      </c>
      <c r="CC75" s="66"/>
    </row>
    <row r="76" spans="1:81" s="68" customFormat="1" ht="27.95" customHeight="1">
      <c r="A76" s="67">
        <v>69</v>
      </c>
      <c r="B76" s="37">
        <v>83</v>
      </c>
      <c r="C76" s="34" t="s">
        <v>343</v>
      </c>
      <c r="D76" s="34" t="s">
        <v>344</v>
      </c>
      <c r="E76" s="34" t="s">
        <v>345</v>
      </c>
      <c r="F76" s="51" t="s">
        <v>346</v>
      </c>
      <c r="G76" s="129">
        <v>14</v>
      </c>
      <c r="H76" s="129">
        <v>29</v>
      </c>
      <c r="I76" s="128">
        <f t="shared" si="61"/>
        <v>43</v>
      </c>
      <c r="J76" s="129">
        <v>10</v>
      </c>
      <c r="K76" s="128">
        <f t="shared" si="62"/>
        <v>53</v>
      </c>
      <c r="L76" s="129">
        <v>7</v>
      </c>
      <c r="M76" s="129">
        <v>18</v>
      </c>
      <c r="N76" s="128">
        <f t="shared" si="63"/>
        <v>25</v>
      </c>
      <c r="O76" s="128">
        <f t="shared" si="77"/>
        <v>25</v>
      </c>
      <c r="P76" s="128">
        <f t="shared" si="74"/>
        <v>78</v>
      </c>
      <c r="Q76" s="187"/>
      <c r="R76" s="129">
        <f t="shared" si="48"/>
        <v>3</v>
      </c>
      <c r="S76" s="129">
        <v>17</v>
      </c>
      <c r="T76" s="129">
        <v>33</v>
      </c>
      <c r="U76" s="128">
        <f t="shared" si="49"/>
        <v>50</v>
      </c>
      <c r="V76" s="129">
        <v>6</v>
      </c>
      <c r="W76" s="129">
        <v>23</v>
      </c>
      <c r="X76" s="128">
        <f t="shared" si="50"/>
        <v>29</v>
      </c>
      <c r="Y76" s="128">
        <f t="shared" si="51"/>
        <v>79</v>
      </c>
      <c r="Z76" s="128">
        <f t="shared" si="64"/>
        <v>79</v>
      </c>
      <c r="AA76" s="187"/>
      <c r="AB76" s="129">
        <f t="shared" si="52"/>
        <v>3</v>
      </c>
      <c r="AC76" s="129">
        <v>18</v>
      </c>
      <c r="AD76" s="129">
        <v>21</v>
      </c>
      <c r="AE76" s="128">
        <f t="shared" si="53"/>
        <v>39</v>
      </c>
      <c r="AF76" s="129">
        <v>22</v>
      </c>
      <c r="AG76" s="128">
        <f t="shared" si="54"/>
        <v>61</v>
      </c>
      <c r="AH76" s="187"/>
      <c r="AI76" s="129">
        <f t="shared" si="71"/>
        <v>3.5</v>
      </c>
      <c r="AJ76" s="129">
        <v>16</v>
      </c>
      <c r="AK76" s="129">
        <v>11</v>
      </c>
      <c r="AL76" s="128">
        <f t="shared" si="72"/>
        <v>27</v>
      </c>
      <c r="AM76" s="129">
        <v>19</v>
      </c>
      <c r="AN76" s="128">
        <f t="shared" si="73"/>
        <v>46</v>
      </c>
      <c r="AO76" s="187"/>
      <c r="AP76" s="129">
        <f t="shared" si="38"/>
        <v>2</v>
      </c>
      <c r="AQ76" s="129">
        <v>20</v>
      </c>
      <c r="AR76" s="129">
        <v>25</v>
      </c>
      <c r="AS76" s="129">
        <f t="shared" si="78"/>
        <v>45</v>
      </c>
      <c r="AT76" s="188"/>
      <c r="AU76" s="129">
        <f t="shared" si="65"/>
        <v>5</v>
      </c>
      <c r="AV76" s="129">
        <v>17</v>
      </c>
      <c r="AW76" s="129">
        <v>25</v>
      </c>
      <c r="AX76" s="128">
        <f t="shared" si="66"/>
        <v>42</v>
      </c>
      <c r="AY76" s="129">
        <v>21</v>
      </c>
      <c r="AZ76" s="128">
        <f t="shared" si="67"/>
        <v>63</v>
      </c>
      <c r="BA76" s="187"/>
      <c r="BB76" s="129">
        <f t="shared" si="58"/>
        <v>3.5</v>
      </c>
      <c r="BC76" s="129">
        <v>16</v>
      </c>
      <c r="BD76" s="129">
        <v>20</v>
      </c>
      <c r="BE76" s="128">
        <f t="shared" si="70"/>
        <v>36</v>
      </c>
      <c r="BF76" s="129">
        <v>17</v>
      </c>
      <c r="BG76" s="128">
        <f t="shared" si="59"/>
        <v>53</v>
      </c>
      <c r="BH76" s="187"/>
      <c r="BI76" s="129">
        <f t="shared" si="68"/>
        <v>3</v>
      </c>
      <c r="BJ76" s="129">
        <v>10</v>
      </c>
      <c r="BK76" s="129">
        <v>20</v>
      </c>
      <c r="BL76" s="128">
        <f t="shared" si="69"/>
        <v>30</v>
      </c>
      <c r="BM76" s="128">
        <f t="shared" si="79"/>
        <v>30</v>
      </c>
      <c r="BN76" s="187"/>
      <c r="BO76" s="129">
        <f t="shared" si="75"/>
        <v>3.5</v>
      </c>
      <c r="BP76" s="129">
        <f t="shared" si="80"/>
        <v>26.5</v>
      </c>
      <c r="BQ76" s="114">
        <f t="shared" si="81"/>
        <v>3.3125</v>
      </c>
      <c r="BR76" s="114" t="str">
        <f t="shared" si="60"/>
        <v>B</v>
      </c>
      <c r="BS76" s="33" t="str">
        <f t="shared" si="76"/>
        <v>GOOD</v>
      </c>
      <c r="BT76" s="108">
        <f t="shared" si="82"/>
        <v>455</v>
      </c>
      <c r="BU76" s="150">
        <f>'1st_Semester'!BT76</f>
        <v>478</v>
      </c>
      <c r="BV76" s="147">
        <f>'2nd_Semester'!BT76</f>
        <v>617</v>
      </c>
      <c r="BW76" s="147">
        <f t="shared" si="83"/>
        <v>455</v>
      </c>
      <c r="BX76" s="147">
        <f t="shared" si="84"/>
        <v>516.66666666666663</v>
      </c>
      <c r="BY76" s="153">
        <f>'1st_Semester'!BQ76</f>
        <v>3.375</v>
      </c>
      <c r="BZ76" s="153">
        <f>'2nd_Semester'!BQ76</f>
        <v>4.4375</v>
      </c>
      <c r="CA76" s="153">
        <f t="shared" si="85"/>
        <v>3.3125</v>
      </c>
      <c r="CB76" s="153">
        <f t="shared" si="86"/>
        <v>3.7083333333333335</v>
      </c>
      <c r="CC76" s="66"/>
    </row>
    <row r="77" spans="1:81" s="68" customFormat="1" ht="27.95" customHeight="1">
      <c r="A77" s="67">
        <v>70</v>
      </c>
      <c r="B77" s="37">
        <v>84</v>
      </c>
      <c r="C77" s="34" t="s">
        <v>347</v>
      </c>
      <c r="D77" s="34" t="s">
        <v>348</v>
      </c>
      <c r="E77" s="34" t="s">
        <v>349</v>
      </c>
      <c r="F77" s="51" t="s">
        <v>350</v>
      </c>
      <c r="G77" s="129">
        <v>14</v>
      </c>
      <c r="H77" s="129">
        <v>20</v>
      </c>
      <c r="I77" s="128">
        <f t="shared" si="61"/>
        <v>34</v>
      </c>
      <c r="J77" s="129">
        <v>10</v>
      </c>
      <c r="K77" s="128">
        <f t="shared" si="62"/>
        <v>44</v>
      </c>
      <c r="L77" s="129">
        <v>8</v>
      </c>
      <c r="M77" s="129">
        <v>19</v>
      </c>
      <c r="N77" s="128">
        <f t="shared" si="63"/>
        <v>27</v>
      </c>
      <c r="O77" s="128">
        <f t="shared" si="77"/>
        <v>27</v>
      </c>
      <c r="P77" s="128">
        <f t="shared" si="74"/>
        <v>71</v>
      </c>
      <c r="Q77" s="187"/>
      <c r="R77" s="129">
        <f>IF(P77&lt;60,"F",IF(P77&lt;70,2,IF(P77&lt;95,3,IF(P77&lt;105,3.5,IF(P77&lt;120,4,5)))))</f>
        <v>3</v>
      </c>
      <c r="S77" s="129">
        <v>11</v>
      </c>
      <c r="T77" s="129">
        <v>22</v>
      </c>
      <c r="U77" s="128">
        <f t="shared" si="49"/>
        <v>33</v>
      </c>
      <c r="V77" s="129">
        <v>6</v>
      </c>
      <c r="W77" s="129">
        <v>16</v>
      </c>
      <c r="X77" s="128">
        <f t="shared" si="50"/>
        <v>22</v>
      </c>
      <c r="Y77" s="128">
        <f t="shared" si="51"/>
        <v>55</v>
      </c>
      <c r="Z77" s="128">
        <f t="shared" si="64"/>
        <v>55</v>
      </c>
      <c r="AA77" s="187"/>
      <c r="AB77" s="129">
        <f t="shared" si="52"/>
        <v>0</v>
      </c>
      <c r="AC77" s="129">
        <v>12</v>
      </c>
      <c r="AD77" s="129">
        <v>35</v>
      </c>
      <c r="AE77" s="128">
        <f t="shared" si="53"/>
        <v>47</v>
      </c>
      <c r="AF77" s="129">
        <v>15</v>
      </c>
      <c r="AG77" s="128">
        <f t="shared" si="54"/>
        <v>62</v>
      </c>
      <c r="AH77" s="187"/>
      <c r="AI77" s="129">
        <f t="shared" si="71"/>
        <v>3.5</v>
      </c>
      <c r="AJ77" s="129">
        <v>13</v>
      </c>
      <c r="AK77" s="129">
        <v>18</v>
      </c>
      <c r="AL77" s="128">
        <f t="shared" si="72"/>
        <v>31</v>
      </c>
      <c r="AM77" s="129">
        <v>17</v>
      </c>
      <c r="AN77" s="128">
        <f t="shared" si="73"/>
        <v>48</v>
      </c>
      <c r="AO77" s="187"/>
      <c r="AP77" s="129">
        <f t="shared" si="38"/>
        <v>2</v>
      </c>
      <c r="AQ77" s="129">
        <v>21</v>
      </c>
      <c r="AR77" s="129">
        <v>25</v>
      </c>
      <c r="AS77" s="129">
        <f t="shared" si="78"/>
        <v>46</v>
      </c>
      <c r="AT77" s="188"/>
      <c r="AU77" s="129">
        <f t="shared" si="65"/>
        <v>5</v>
      </c>
      <c r="AV77" s="129">
        <v>14</v>
      </c>
      <c r="AW77" s="129">
        <v>18</v>
      </c>
      <c r="AX77" s="128">
        <f t="shared" si="66"/>
        <v>32</v>
      </c>
      <c r="AY77" s="129">
        <v>25</v>
      </c>
      <c r="AZ77" s="128">
        <f t="shared" si="67"/>
        <v>57</v>
      </c>
      <c r="BA77" s="187"/>
      <c r="BB77" s="129">
        <f t="shared" si="58"/>
        <v>3</v>
      </c>
      <c r="BC77" s="129">
        <v>13</v>
      </c>
      <c r="BD77" s="129">
        <v>9</v>
      </c>
      <c r="BE77" s="128">
        <f t="shared" si="70"/>
        <v>22</v>
      </c>
      <c r="BF77" s="129">
        <v>19</v>
      </c>
      <c r="BG77" s="128">
        <f t="shared" si="59"/>
        <v>41</v>
      </c>
      <c r="BH77" s="187"/>
      <c r="BI77" s="129">
        <f t="shared" si="68"/>
        <v>2</v>
      </c>
      <c r="BJ77" s="129">
        <v>10</v>
      </c>
      <c r="BK77" s="129">
        <v>20</v>
      </c>
      <c r="BL77" s="128">
        <f t="shared" si="69"/>
        <v>30</v>
      </c>
      <c r="BM77" s="128">
        <f t="shared" si="79"/>
        <v>30</v>
      </c>
      <c r="BN77" s="187"/>
      <c r="BO77" s="129">
        <f t="shared" si="75"/>
        <v>3.5</v>
      </c>
      <c r="BP77" s="129">
        <f t="shared" si="80"/>
        <v>22</v>
      </c>
      <c r="BQ77" s="114">
        <f t="shared" si="81"/>
        <v>2.75</v>
      </c>
      <c r="BR77" s="114" t="str">
        <f t="shared" si="60"/>
        <v>C</v>
      </c>
      <c r="BS77" s="33" t="str">
        <f t="shared" si="76"/>
        <v>GOOD</v>
      </c>
      <c r="BT77" s="108">
        <f t="shared" si="82"/>
        <v>410</v>
      </c>
      <c r="BU77" s="150">
        <f>'1st_Semester'!BT77</f>
        <v>448</v>
      </c>
      <c r="BV77" s="147">
        <f>'2nd_Semester'!BT77</f>
        <v>518</v>
      </c>
      <c r="BW77" s="147">
        <f t="shared" si="83"/>
        <v>410</v>
      </c>
      <c r="BX77" s="147">
        <f t="shared" si="84"/>
        <v>458.66666666666669</v>
      </c>
      <c r="BY77" s="153">
        <f>'1st_Semester'!BQ77</f>
        <v>3.1875</v>
      </c>
      <c r="BZ77" s="153">
        <f>'2nd_Semester'!BQ77</f>
        <v>3.4375</v>
      </c>
      <c r="CA77" s="153">
        <f t="shared" si="85"/>
        <v>2.75</v>
      </c>
      <c r="CB77" s="153">
        <f t="shared" si="86"/>
        <v>3.125</v>
      </c>
      <c r="CC77" s="66"/>
    </row>
    <row r="78" spans="1:81" s="68" customFormat="1" ht="27.95" customHeight="1">
      <c r="A78" s="67">
        <v>71</v>
      </c>
      <c r="B78" s="37">
        <v>85</v>
      </c>
      <c r="C78" s="34" t="s">
        <v>351</v>
      </c>
      <c r="D78" s="34" t="s">
        <v>352</v>
      </c>
      <c r="E78" s="34" t="s">
        <v>353</v>
      </c>
      <c r="F78" s="51" t="s">
        <v>354</v>
      </c>
      <c r="G78" s="129">
        <v>14</v>
      </c>
      <c r="H78" s="129">
        <v>29</v>
      </c>
      <c r="I78" s="128">
        <f t="shared" si="61"/>
        <v>43</v>
      </c>
      <c r="J78" s="129">
        <v>10</v>
      </c>
      <c r="K78" s="128">
        <f t="shared" si="62"/>
        <v>53</v>
      </c>
      <c r="L78" s="129">
        <v>7</v>
      </c>
      <c r="M78" s="129">
        <v>22</v>
      </c>
      <c r="N78" s="128">
        <f t="shared" si="63"/>
        <v>29</v>
      </c>
      <c r="O78" s="128">
        <f t="shared" si="77"/>
        <v>29</v>
      </c>
      <c r="P78" s="128">
        <f t="shared" si="74"/>
        <v>82</v>
      </c>
      <c r="Q78" s="187"/>
      <c r="R78" s="129">
        <f t="shared" si="48"/>
        <v>3</v>
      </c>
      <c r="S78" s="129">
        <v>14</v>
      </c>
      <c r="T78" s="129">
        <v>26</v>
      </c>
      <c r="U78" s="128">
        <f t="shared" si="49"/>
        <v>40</v>
      </c>
      <c r="V78" s="129">
        <v>6</v>
      </c>
      <c r="W78" s="129">
        <v>16</v>
      </c>
      <c r="X78" s="128">
        <f t="shared" si="50"/>
        <v>22</v>
      </c>
      <c r="Y78" s="128">
        <f t="shared" si="51"/>
        <v>62</v>
      </c>
      <c r="Z78" s="128">
        <f t="shared" si="64"/>
        <v>62</v>
      </c>
      <c r="AA78" s="187"/>
      <c r="AB78" s="129">
        <f t="shared" si="52"/>
        <v>2</v>
      </c>
      <c r="AC78" s="129">
        <v>16</v>
      </c>
      <c r="AD78" s="129">
        <v>19</v>
      </c>
      <c r="AE78" s="128">
        <f t="shared" si="53"/>
        <v>35</v>
      </c>
      <c r="AF78" s="129">
        <v>13</v>
      </c>
      <c r="AG78" s="128">
        <f t="shared" si="54"/>
        <v>48</v>
      </c>
      <c r="AH78" s="187"/>
      <c r="AI78" s="129">
        <f t="shared" si="71"/>
        <v>2</v>
      </c>
      <c r="AJ78" s="129">
        <v>11</v>
      </c>
      <c r="AK78" s="129">
        <v>24</v>
      </c>
      <c r="AL78" s="128">
        <f t="shared" si="72"/>
        <v>35</v>
      </c>
      <c r="AM78" s="129">
        <v>17</v>
      </c>
      <c r="AN78" s="128">
        <f t="shared" si="73"/>
        <v>52</v>
      </c>
      <c r="AO78" s="187"/>
      <c r="AP78" s="129">
        <f t="shared" si="38"/>
        <v>3</v>
      </c>
      <c r="AQ78" s="129">
        <v>0</v>
      </c>
      <c r="AR78" s="129">
        <v>25</v>
      </c>
      <c r="AS78" s="129">
        <f t="shared" si="78"/>
        <v>25</v>
      </c>
      <c r="AT78" s="188"/>
      <c r="AU78" s="129">
        <f t="shared" si="65"/>
        <v>3</v>
      </c>
      <c r="AV78" s="129">
        <v>16</v>
      </c>
      <c r="AW78" s="129">
        <v>25</v>
      </c>
      <c r="AX78" s="128">
        <f t="shared" si="66"/>
        <v>41</v>
      </c>
      <c r="AY78" s="129">
        <v>24</v>
      </c>
      <c r="AZ78" s="128">
        <f t="shared" si="67"/>
        <v>65</v>
      </c>
      <c r="BA78" s="187"/>
      <c r="BB78" s="129">
        <f t="shared" si="58"/>
        <v>3.5</v>
      </c>
      <c r="BC78" s="129">
        <v>14</v>
      </c>
      <c r="BD78" s="129">
        <v>20</v>
      </c>
      <c r="BE78" s="128">
        <f t="shared" si="70"/>
        <v>34</v>
      </c>
      <c r="BF78" s="129">
        <v>19</v>
      </c>
      <c r="BG78" s="128">
        <f t="shared" si="59"/>
        <v>53</v>
      </c>
      <c r="BH78" s="187"/>
      <c r="BI78" s="129">
        <f t="shared" si="68"/>
        <v>3</v>
      </c>
      <c r="BJ78" s="129">
        <v>9</v>
      </c>
      <c r="BK78" s="129">
        <v>20</v>
      </c>
      <c r="BL78" s="128">
        <f t="shared" si="69"/>
        <v>29</v>
      </c>
      <c r="BM78" s="128">
        <f t="shared" si="79"/>
        <v>29</v>
      </c>
      <c r="BN78" s="187"/>
      <c r="BO78" s="129">
        <f t="shared" si="75"/>
        <v>3</v>
      </c>
      <c r="BP78" s="129">
        <f t="shared" si="80"/>
        <v>22.5</v>
      </c>
      <c r="BQ78" s="114">
        <f t="shared" si="81"/>
        <v>2.8125</v>
      </c>
      <c r="BR78" s="114" t="str">
        <f t="shared" si="60"/>
        <v>C</v>
      </c>
      <c r="BS78" s="33" t="str">
        <f t="shared" si="76"/>
        <v>GOOD</v>
      </c>
      <c r="BT78" s="108">
        <f t="shared" si="82"/>
        <v>416</v>
      </c>
      <c r="BU78" s="150">
        <f>'1st_Semester'!BT78</f>
        <v>366</v>
      </c>
      <c r="BV78" s="147">
        <f>'2nd_Semester'!BT78</f>
        <v>486</v>
      </c>
      <c r="BW78" s="147">
        <f t="shared" si="83"/>
        <v>416</v>
      </c>
      <c r="BX78" s="147">
        <f t="shared" si="84"/>
        <v>422.66666666666669</v>
      </c>
      <c r="BY78" s="153" t="str">
        <f>'1st_Semester'!BQ78</f>
        <v>F</v>
      </c>
      <c r="BZ78" s="153">
        <f>'2nd_Semester'!BQ78</f>
        <v>3.4375</v>
      </c>
      <c r="CA78" s="153">
        <f t="shared" si="85"/>
        <v>2.8125</v>
      </c>
      <c r="CB78" s="153">
        <f t="shared" si="86"/>
        <v>3.125</v>
      </c>
      <c r="CC78" s="66"/>
    </row>
    <row r="79" spans="1:81" s="68" customFormat="1" ht="27.95" customHeight="1">
      <c r="A79" s="67">
        <v>72</v>
      </c>
      <c r="B79" s="37">
        <v>87</v>
      </c>
      <c r="C79" s="34" t="s">
        <v>355</v>
      </c>
      <c r="D79" s="34" t="s">
        <v>356</v>
      </c>
      <c r="E79" s="34" t="s">
        <v>357</v>
      </c>
      <c r="F79" s="51" t="s">
        <v>358</v>
      </c>
      <c r="G79" s="129">
        <v>16</v>
      </c>
      <c r="H79" s="129">
        <v>23</v>
      </c>
      <c r="I79" s="128">
        <f t="shared" si="61"/>
        <v>39</v>
      </c>
      <c r="J79" s="129">
        <v>16</v>
      </c>
      <c r="K79" s="128">
        <f t="shared" si="62"/>
        <v>55</v>
      </c>
      <c r="L79" s="129">
        <v>9</v>
      </c>
      <c r="M79" s="129">
        <v>29</v>
      </c>
      <c r="N79" s="128">
        <f t="shared" si="63"/>
        <v>38</v>
      </c>
      <c r="O79" s="128">
        <f t="shared" si="77"/>
        <v>38</v>
      </c>
      <c r="P79" s="128">
        <f t="shared" si="74"/>
        <v>93</v>
      </c>
      <c r="Q79" s="187"/>
      <c r="R79" s="129">
        <f t="shared" si="48"/>
        <v>3</v>
      </c>
      <c r="S79" s="129">
        <v>11</v>
      </c>
      <c r="T79" s="129">
        <v>24</v>
      </c>
      <c r="U79" s="128">
        <f t="shared" si="49"/>
        <v>35</v>
      </c>
      <c r="V79" s="129">
        <v>6</v>
      </c>
      <c r="W79" s="129">
        <v>16</v>
      </c>
      <c r="X79" s="128">
        <f t="shared" si="50"/>
        <v>22</v>
      </c>
      <c r="Y79" s="128">
        <f t="shared" si="51"/>
        <v>57</v>
      </c>
      <c r="Z79" s="128">
        <f t="shared" si="64"/>
        <v>57</v>
      </c>
      <c r="AA79" s="187"/>
      <c r="AB79" s="129">
        <f t="shared" si="52"/>
        <v>0</v>
      </c>
      <c r="AC79" s="129">
        <v>20</v>
      </c>
      <c r="AD79" s="129">
        <v>26</v>
      </c>
      <c r="AE79" s="128">
        <f t="shared" si="53"/>
        <v>46</v>
      </c>
      <c r="AF79" s="129">
        <v>13</v>
      </c>
      <c r="AG79" s="128">
        <f t="shared" si="54"/>
        <v>59</v>
      </c>
      <c r="AH79" s="187"/>
      <c r="AI79" s="129">
        <f t="shared" si="71"/>
        <v>3</v>
      </c>
      <c r="AJ79" s="129">
        <v>17</v>
      </c>
      <c r="AK79" s="129">
        <v>14</v>
      </c>
      <c r="AL79" s="128">
        <f t="shared" si="72"/>
        <v>31</v>
      </c>
      <c r="AM79" s="129">
        <v>16</v>
      </c>
      <c r="AN79" s="128">
        <f t="shared" si="73"/>
        <v>47</v>
      </c>
      <c r="AO79" s="187"/>
      <c r="AP79" s="129">
        <f t="shared" si="38"/>
        <v>2</v>
      </c>
      <c r="AQ79" s="129">
        <v>23</v>
      </c>
      <c r="AR79" s="129">
        <v>25</v>
      </c>
      <c r="AS79" s="129">
        <f t="shared" si="78"/>
        <v>48</v>
      </c>
      <c r="AT79" s="188"/>
      <c r="AU79" s="129">
        <f t="shared" si="65"/>
        <v>5</v>
      </c>
      <c r="AV79" s="129">
        <v>18</v>
      </c>
      <c r="AW79" s="129">
        <v>18</v>
      </c>
      <c r="AX79" s="128">
        <f t="shared" si="66"/>
        <v>36</v>
      </c>
      <c r="AY79" s="129">
        <v>24</v>
      </c>
      <c r="AZ79" s="128">
        <f t="shared" si="67"/>
        <v>60</v>
      </c>
      <c r="BA79" s="187"/>
      <c r="BB79" s="129">
        <f t="shared" si="58"/>
        <v>3.5</v>
      </c>
      <c r="BC79" s="129">
        <v>19</v>
      </c>
      <c r="BD79" s="129">
        <v>26</v>
      </c>
      <c r="BE79" s="128">
        <f t="shared" si="70"/>
        <v>45</v>
      </c>
      <c r="BF79" s="129">
        <v>17</v>
      </c>
      <c r="BG79" s="128">
        <f t="shared" si="59"/>
        <v>62</v>
      </c>
      <c r="BH79" s="187"/>
      <c r="BI79" s="129">
        <f t="shared" si="68"/>
        <v>3.5</v>
      </c>
      <c r="BJ79" s="129">
        <v>10</v>
      </c>
      <c r="BK79" s="129">
        <v>20</v>
      </c>
      <c r="BL79" s="128">
        <f t="shared" si="69"/>
        <v>30</v>
      </c>
      <c r="BM79" s="128">
        <f t="shared" si="79"/>
        <v>30</v>
      </c>
      <c r="BN79" s="187"/>
      <c r="BO79" s="129">
        <f t="shared" si="75"/>
        <v>3.5</v>
      </c>
      <c r="BP79" s="129">
        <f t="shared" si="80"/>
        <v>23.5</v>
      </c>
      <c r="BQ79" s="114">
        <f t="shared" si="81"/>
        <v>2.9375</v>
      </c>
      <c r="BR79" s="114" t="str">
        <f t="shared" si="60"/>
        <v>C</v>
      </c>
      <c r="BS79" s="33" t="str">
        <f t="shared" si="76"/>
        <v>GOOD</v>
      </c>
      <c r="BT79" s="108">
        <f t="shared" si="82"/>
        <v>456</v>
      </c>
      <c r="BU79" s="150">
        <f>'1st_Semester'!BT79</f>
        <v>358</v>
      </c>
      <c r="BV79" s="147">
        <f>'2nd_Semester'!BT79</f>
        <v>509</v>
      </c>
      <c r="BW79" s="147">
        <f t="shared" si="83"/>
        <v>456</v>
      </c>
      <c r="BX79" s="147">
        <f t="shared" si="84"/>
        <v>441</v>
      </c>
      <c r="BY79" s="153" t="str">
        <f>'1st_Semester'!BQ79</f>
        <v>F</v>
      </c>
      <c r="BZ79" s="153">
        <f>'2nd_Semester'!BQ79</f>
        <v>3.625</v>
      </c>
      <c r="CA79" s="153">
        <f t="shared" si="85"/>
        <v>2.9375</v>
      </c>
      <c r="CB79" s="153">
        <f t="shared" si="86"/>
        <v>3.28125</v>
      </c>
      <c r="CC79" s="66"/>
    </row>
    <row r="80" spans="1:81" s="68" customFormat="1" ht="27.95" customHeight="1">
      <c r="A80" s="67">
        <v>73</v>
      </c>
      <c r="B80" s="37">
        <v>91</v>
      </c>
      <c r="C80" s="34" t="s">
        <v>359</v>
      </c>
      <c r="D80" s="34" t="s">
        <v>360</v>
      </c>
      <c r="E80" s="34" t="s">
        <v>361</v>
      </c>
      <c r="F80" s="51" t="s">
        <v>362</v>
      </c>
      <c r="G80" s="129">
        <v>16</v>
      </c>
      <c r="H80" s="129">
        <v>19</v>
      </c>
      <c r="I80" s="128">
        <f t="shared" si="61"/>
        <v>35</v>
      </c>
      <c r="J80" s="129">
        <v>11</v>
      </c>
      <c r="K80" s="128">
        <f t="shared" si="62"/>
        <v>46</v>
      </c>
      <c r="L80" s="129">
        <v>8</v>
      </c>
      <c r="M80" s="129">
        <v>18</v>
      </c>
      <c r="N80" s="128">
        <f t="shared" si="63"/>
        <v>26</v>
      </c>
      <c r="O80" s="128">
        <f t="shared" si="77"/>
        <v>26</v>
      </c>
      <c r="P80" s="128">
        <f t="shared" si="74"/>
        <v>72</v>
      </c>
      <c r="Q80" s="187"/>
      <c r="R80" s="129">
        <f t="shared" si="48"/>
        <v>3</v>
      </c>
      <c r="S80" s="129">
        <v>18</v>
      </c>
      <c r="T80" s="129">
        <v>30</v>
      </c>
      <c r="U80" s="128">
        <f t="shared" si="49"/>
        <v>48</v>
      </c>
      <c r="V80" s="129">
        <v>6</v>
      </c>
      <c r="W80" s="129">
        <v>16</v>
      </c>
      <c r="X80" s="128">
        <f t="shared" si="50"/>
        <v>22</v>
      </c>
      <c r="Y80" s="128">
        <f t="shared" si="51"/>
        <v>70</v>
      </c>
      <c r="Z80" s="128">
        <f t="shared" si="64"/>
        <v>70</v>
      </c>
      <c r="AA80" s="187"/>
      <c r="AB80" s="129">
        <f t="shared" si="52"/>
        <v>2</v>
      </c>
      <c r="AC80" s="129">
        <v>20</v>
      </c>
      <c r="AD80" s="129">
        <v>30</v>
      </c>
      <c r="AE80" s="128">
        <f t="shared" si="53"/>
        <v>50</v>
      </c>
      <c r="AF80" s="129">
        <v>13</v>
      </c>
      <c r="AG80" s="128">
        <f t="shared" si="54"/>
        <v>63</v>
      </c>
      <c r="AH80" s="187"/>
      <c r="AI80" s="129">
        <f t="shared" si="71"/>
        <v>3.5</v>
      </c>
      <c r="AJ80" s="129">
        <v>15</v>
      </c>
      <c r="AK80" s="129">
        <v>24</v>
      </c>
      <c r="AL80" s="128">
        <f t="shared" si="72"/>
        <v>39</v>
      </c>
      <c r="AM80" s="129">
        <v>18</v>
      </c>
      <c r="AN80" s="128">
        <f t="shared" si="73"/>
        <v>57</v>
      </c>
      <c r="AO80" s="187"/>
      <c r="AP80" s="129">
        <f t="shared" si="38"/>
        <v>3</v>
      </c>
      <c r="AQ80" s="129">
        <v>20</v>
      </c>
      <c r="AR80" s="129">
        <v>25</v>
      </c>
      <c r="AS80" s="129">
        <f t="shared" si="78"/>
        <v>45</v>
      </c>
      <c r="AT80" s="188"/>
      <c r="AU80" s="129">
        <f t="shared" si="65"/>
        <v>5</v>
      </c>
      <c r="AV80" s="129">
        <v>18</v>
      </c>
      <c r="AW80" s="129">
        <v>21</v>
      </c>
      <c r="AX80" s="128">
        <f t="shared" si="66"/>
        <v>39</v>
      </c>
      <c r="AY80" s="129">
        <v>26</v>
      </c>
      <c r="AZ80" s="128">
        <f t="shared" si="67"/>
        <v>65</v>
      </c>
      <c r="BA80" s="187"/>
      <c r="BB80" s="129">
        <f t="shared" si="58"/>
        <v>3.5</v>
      </c>
      <c r="BC80" s="129">
        <v>19</v>
      </c>
      <c r="BD80" s="129">
        <v>20</v>
      </c>
      <c r="BE80" s="128">
        <f t="shared" si="70"/>
        <v>39</v>
      </c>
      <c r="BF80" s="129">
        <v>19</v>
      </c>
      <c r="BG80" s="128">
        <f t="shared" si="59"/>
        <v>58</v>
      </c>
      <c r="BH80" s="187"/>
      <c r="BI80" s="129">
        <f t="shared" si="68"/>
        <v>3</v>
      </c>
      <c r="BJ80" s="129">
        <v>10</v>
      </c>
      <c r="BK80" s="129">
        <v>20</v>
      </c>
      <c r="BL80" s="128">
        <f t="shared" si="69"/>
        <v>30</v>
      </c>
      <c r="BM80" s="128">
        <f t="shared" si="79"/>
        <v>30</v>
      </c>
      <c r="BN80" s="187"/>
      <c r="BO80" s="129">
        <f t="shared" si="75"/>
        <v>3.5</v>
      </c>
      <c r="BP80" s="129">
        <f t="shared" si="80"/>
        <v>26.5</v>
      </c>
      <c r="BQ80" s="114">
        <f t="shared" si="81"/>
        <v>3.3125</v>
      </c>
      <c r="BR80" s="114" t="str">
        <f t="shared" si="60"/>
        <v>B</v>
      </c>
      <c r="BS80" s="33" t="str">
        <f t="shared" si="76"/>
        <v>GOOD</v>
      </c>
      <c r="BT80" s="108">
        <f t="shared" si="82"/>
        <v>460</v>
      </c>
      <c r="BU80" s="150">
        <f>'1st_Semester'!BT80</f>
        <v>456</v>
      </c>
      <c r="BV80" s="147">
        <f>'2nd_Semester'!BT80</f>
        <v>502</v>
      </c>
      <c r="BW80" s="147">
        <f t="shared" si="83"/>
        <v>460</v>
      </c>
      <c r="BX80" s="147">
        <f t="shared" si="84"/>
        <v>472.66666666666669</v>
      </c>
      <c r="BY80" s="153">
        <f>'1st_Semester'!BQ80</f>
        <v>3</v>
      </c>
      <c r="BZ80" s="153">
        <f>'2nd_Semester'!BQ80</f>
        <v>3.625</v>
      </c>
      <c r="CA80" s="153">
        <f t="shared" si="85"/>
        <v>3.3125</v>
      </c>
      <c r="CB80" s="153">
        <f t="shared" si="86"/>
        <v>3.3125</v>
      </c>
      <c r="CC80" s="66"/>
    </row>
    <row r="81" spans="1:81" s="68" customFormat="1" ht="27.95" customHeight="1">
      <c r="A81" s="67">
        <v>74</v>
      </c>
      <c r="B81" s="37">
        <v>94</v>
      </c>
      <c r="C81" s="34" t="s">
        <v>363</v>
      </c>
      <c r="D81" s="34" t="s">
        <v>364</v>
      </c>
      <c r="E81" s="34" t="s">
        <v>365</v>
      </c>
      <c r="F81" s="51" t="s">
        <v>366</v>
      </c>
      <c r="G81" s="129">
        <v>0</v>
      </c>
      <c r="H81" s="129">
        <v>0</v>
      </c>
      <c r="I81" s="128">
        <f t="shared" si="61"/>
        <v>0</v>
      </c>
      <c r="J81" s="129">
        <v>0</v>
      </c>
      <c r="K81" s="128">
        <f t="shared" si="62"/>
        <v>0</v>
      </c>
      <c r="L81" s="129">
        <v>0</v>
      </c>
      <c r="M81" s="129">
        <v>0</v>
      </c>
      <c r="N81" s="128">
        <f t="shared" si="63"/>
        <v>0</v>
      </c>
      <c r="O81" s="128">
        <f t="shared" si="77"/>
        <v>0</v>
      </c>
      <c r="P81" s="128">
        <f t="shared" si="74"/>
        <v>0</v>
      </c>
      <c r="Q81" s="187"/>
      <c r="R81" s="129" t="str">
        <f t="shared" si="48"/>
        <v>F</v>
      </c>
      <c r="S81" s="129">
        <v>0</v>
      </c>
      <c r="T81" s="129">
        <v>0</v>
      </c>
      <c r="U81" s="128">
        <f t="shared" si="49"/>
        <v>0</v>
      </c>
      <c r="V81" s="129">
        <v>0</v>
      </c>
      <c r="W81" s="129">
        <v>0</v>
      </c>
      <c r="X81" s="128">
        <f t="shared" si="50"/>
        <v>0</v>
      </c>
      <c r="Y81" s="128">
        <f t="shared" si="51"/>
        <v>0</v>
      </c>
      <c r="Z81" s="128">
        <f t="shared" si="64"/>
        <v>0</v>
      </c>
      <c r="AA81" s="187"/>
      <c r="AB81" s="129">
        <f t="shared" si="52"/>
        <v>0</v>
      </c>
      <c r="AC81" s="129">
        <v>0</v>
      </c>
      <c r="AD81" s="129">
        <v>0</v>
      </c>
      <c r="AE81" s="128">
        <f t="shared" si="53"/>
        <v>0</v>
      </c>
      <c r="AF81" s="129">
        <v>0</v>
      </c>
      <c r="AG81" s="128">
        <f t="shared" si="54"/>
        <v>0</v>
      </c>
      <c r="AH81" s="187"/>
      <c r="AI81" s="129" t="str">
        <f t="shared" si="71"/>
        <v>F</v>
      </c>
      <c r="AJ81" s="129">
        <v>0</v>
      </c>
      <c r="AK81" s="129">
        <v>0</v>
      </c>
      <c r="AL81" s="128">
        <f t="shared" si="72"/>
        <v>0</v>
      </c>
      <c r="AM81" s="129">
        <v>0</v>
      </c>
      <c r="AN81" s="128">
        <f t="shared" si="73"/>
        <v>0</v>
      </c>
      <c r="AO81" s="187"/>
      <c r="AP81" s="129" t="str">
        <f t="shared" si="38"/>
        <v>F</v>
      </c>
      <c r="AQ81" s="129">
        <v>0</v>
      </c>
      <c r="AR81" s="129">
        <v>25</v>
      </c>
      <c r="AS81" s="129">
        <f t="shared" si="78"/>
        <v>25</v>
      </c>
      <c r="AT81" s="188"/>
      <c r="AU81" s="129">
        <f t="shared" si="65"/>
        <v>3</v>
      </c>
      <c r="AV81" s="129">
        <v>0</v>
      </c>
      <c r="AW81" s="129">
        <v>0</v>
      </c>
      <c r="AX81" s="128">
        <f t="shared" si="66"/>
        <v>0</v>
      </c>
      <c r="AY81" s="129">
        <v>0</v>
      </c>
      <c r="AZ81" s="128">
        <f t="shared" si="67"/>
        <v>0</v>
      </c>
      <c r="BA81" s="187"/>
      <c r="BB81" s="129" t="str">
        <f t="shared" si="58"/>
        <v>F</v>
      </c>
      <c r="BC81" s="129">
        <v>0</v>
      </c>
      <c r="BD81" s="129">
        <v>0</v>
      </c>
      <c r="BE81" s="128">
        <f t="shared" si="70"/>
        <v>0</v>
      </c>
      <c r="BF81" s="129">
        <v>0</v>
      </c>
      <c r="BG81" s="128">
        <f t="shared" si="59"/>
        <v>0</v>
      </c>
      <c r="BH81" s="187"/>
      <c r="BI81" s="129" t="str">
        <f t="shared" si="68"/>
        <v>F</v>
      </c>
      <c r="BJ81" s="129">
        <v>0</v>
      </c>
      <c r="BK81" s="129">
        <v>0</v>
      </c>
      <c r="BL81" s="128">
        <f t="shared" si="69"/>
        <v>0</v>
      </c>
      <c r="BM81" s="128">
        <f t="shared" si="79"/>
        <v>0</v>
      </c>
      <c r="BN81" s="187"/>
      <c r="BO81" s="129" t="str">
        <f t="shared" si="75"/>
        <v>F</v>
      </c>
      <c r="BP81" s="129" t="str">
        <f t="shared" si="80"/>
        <v>F</v>
      </c>
      <c r="BQ81" s="114" t="str">
        <f t="shared" si="81"/>
        <v>F</v>
      </c>
      <c r="BR81" s="114" t="str">
        <f t="shared" si="60"/>
        <v>F</v>
      </c>
      <c r="BS81" s="33" t="str">
        <f t="shared" si="76"/>
        <v>NEED TO PROGRESS</v>
      </c>
      <c r="BT81" s="108">
        <f t="shared" si="82"/>
        <v>25</v>
      </c>
      <c r="BU81" s="150">
        <f>'1st_Semester'!BT81</f>
        <v>498</v>
      </c>
      <c r="BV81" s="147">
        <f>'2nd_Semester'!BT81</f>
        <v>310</v>
      </c>
      <c r="BW81" s="147">
        <f t="shared" si="83"/>
        <v>25</v>
      </c>
      <c r="BX81" s="147">
        <f t="shared" si="84"/>
        <v>277.66666666666669</v>
      </c>
      <c r="BY81" s="153">
        <f>'1st_Semester'!BQ81</f>
        <v>3.375</v>
      </c>
      <c r="BZ81" s="153" t="str">
        <f>'2nd_Semester'!BQ81</f>
        <v>F</v>
      </c>
      <c r="CA81" s="153" t="str">
        <f t="shared" si="85"/>
        <v>F</v>
      </c>
      <c r="CB81" s="153">
        <f t="shared" si="86"/>
        <v>3.375</v>
      </c>
      <c r="CC81" s="66"/>
    </row>
    <row r="82" spans="1:81" s="68" customFormat="1" ht="27.95" customHeight="1">
      <c r="A82" s="67">
        <v>75</v>
      </c>
      <c r="B82" s="37">
        <v>98</v>
      </c>
      <c r="C82" s="34" t="s">
        <v>367</v>
      </c>
      <c r="D82" s="34" t="s">
        <v>368</v>
      </c>
      <c r="E82" s="34" t="s">
        <v>369</v>
      </c>
      <c r="F82" s="51" t="s">
        <v>370</v>
      </c>
      <c r="G82" s="129">
        <v>16</v>
      </c>
      <c r="H82" s="129">
        <v>29</v>
      </c>
      <c r="I82" s="128">
        <f t="shared" si="61"/>
        <v>45</v>
      </c>
      <c r="J82" s="129">
        <v>17</v>
      </c>
      <c r="K82" s="128">
        <f t="shared" si="62"/>
        <v>62</v>
      </c>
      <c r="L82" s="129">
        <v>9</v>
      </c>
      <c r="M82" s="129">
        <v>24</v>
      </c>
      <c r="N82" s="128">
        <f t="shared" si="63"/>
        <v>33</v>
      </c>
      <c r="O82" s="128">
        <f t="shared" si="77"/>
        <v>33</v>
      </c>
      <c r="P82" s="128">
        <f t="shared" si="74"/>
        <v>95</v>
      </c>
      <c r="Q82" s="187"/>
      <c r="R82" s="129">
        <f t="shared" si="48"/>
        <v>3.5</v>
      </c>
      <c r="S82" s="129">
        <v>16</v>
      </c>
      <c r="T82" s="129">
        <v>34</v>
      </c>
      <c r="U82" s="128">
        <f t="shared" si="49"/>
        <v>50</v>
      </c>
      <c r="V82" s="129">
        <v>8</v>
      </c>
      <c r="W82" s="129">
        <v>16</v>
      </c>
      <c r="X82" s="128">
        <f t="shared" si="50"/>
        <v>24</v>
      </c>
      <c r="Y82" s="128">
        <f t="shared" si="51"/>
        <v>74</v>
      </c>
      <c r="Z82" s="128">
        <f t="shared" si="64"/>
        <v>74</v>
      </c>
      <c r="AA82" s="187"/>
      <c r="AB82" s="129">
        <f t="shared" si="52"/>
        <v>2</v>
      </c>
      <c r="AC82" s="129">
        <v>19</v>
      </c>
      <c r="AD82" s="129">
        <v>28</v>
      </c>
      <c r="AE82" s="128">
        <f t="shared" si="53"/>
        <v>47</v>
      </c>
      <c r="AF82" s="129">
        <v>20</v>
      </c>
      <c r="AG82" s="128">
        <f t="shared" si="54"/>
        <v>67</v>
      </c>
      <c r="AH82" s="187"/>
      <c r="AI82" s="129">
        <f t="shared" si="71"/>
        <v>3.5</v>
      </c>
      <c r="AJ82" s="129">
        <v>18</v>
      </c>
      <c r="AK82" s="129">
        <v>26</v>
      </c>
      <c r="AL82" s="128">
        <f t="shared" si="72"/>
        <v>44</v>
      </c>
      <c r="AM82" s="129">
        <v>21</v>
      </c>
      <c r="AN82" s="128">
        <f t="shared" si="73"/>
        <v>65</v>
      </c>
      <c r="AO82" s="187"/>
      <c r="AP82" s="129">
        <f t="shared" si="38"/>
        <v>3.5</v>
      </c>
      <c r="AQ82" s="129">
        <v>24</v>
      </c>
      <c r="AR82" s="129">
        <v>25</v>
      </c>
      <c r="AS82" s="129">
        <f t="shared" si="78"/>
        <v>49</v>
      </c>
      <c r="AT82" s="188"/>
      <c r="AU82" s="129">
        <f t="shared" si="65"/>
        <v>5</v>
      </c>
      <c r="AV82" s="129">
        <v>15</v>
      </c>
      <c r="AW82" s="129">
        <v>11</v>
      </c>
      <c r="AX82" s="128">
        <f t="shared" si="66"/>
        <v>26</v>
      </c>
      <c r="AY82" s="129">
        <v>25</v>
      </c>
      <c r="AZ82" s="128">
        <f t="shared" si="67"/>
        <v>51</v>
      </c>
      <c r="BA82" s="187"/>
      <c r="BB82" s="129">
        <f t="shared" si="58"/>
        <v>3</v>
      </c>
      <c r="BC82" s="129">
        <v>20</v>
      </c>
      <c r="BD82" s="129">
        <v>26</v>
      </c>
      <c r="BE82" s="128">
        <f t="shared" si="70"/>
        <v>46</v>
      </c>
      <c r="BF82" s="129">
        <v>23</v>
      </c>
      <c r="BG82" s="128">
        <f t="shared" si="59"/>
        <v>69</v>
      </c>
      <c r="BH82" s="187"/>
      <c r="BI82" s="129">
        <f t="shared" si="68"/>
        <v>3.5</v>
      </c>
      <c r="BJ82" s="129">
        <v>10</v>
      </c>
      <c r="BK82" s="129">
        <v>24</v>
      </c>
      <c r="BL82" s="128">
        <f t="shared" si="69"/>
        <v>34</v>
      </c>
      <c r="BM82" s="128">
        <f t="shared" si="79"/>
        <v>34</v>
      </c>
      <c r="BN82" s="187"/>
      <c r="BO82" s="129">
        <f t="shared" si="75"/>
        <v>3.5</v>
      </c>
      <c r="BP82" s="129">
        <f t="shared" si="80"/>
        <v>27.5</v>
      </c>
      <c r="BQ82" s="114">
        <f t="shared" si="81"/>
        <v>3.4375</v>
      </c>
      <c r="BR82" s="114" t="str">
        <f t="shared" si="60"/>
        <v>B</v>
      </c>
      <c r="BS82" s="33" t="str">
        <f t="shared" si="76"/>
        <v>GOOD</v>
      </c>
      <c r="BT82" s="108">
        <f t="shared" si="82"/>
        <v>504</v>
      </c>
      <c r="BU82" s="150">
        <f>'1st_Semester'!BT82</f>
        <v>473</v>
      </c>
      <c r="BV82" s="147">
        <f>'2nd_Semester'!BT82</f>
        <v>552</v>
      </c>
      <c r="BW82" s="147">
        <f t="shared" si="83"/>
        <v>504</v>
      </c>
      <c r="BX82" s="147">
        <f t="shared" si="84"/>
        <v>509.66666666666669</v>
      </c>
      <c r="BY82" s="153" t="str">
        <f>'1st_Semester'!BQ82</f>
        <v>F</v>
      </c>
      <c r="BZ82" s="153">
        <f>'2nd_Semester'!BQ82</f>
        <v>3.9375</v>
      </c>
      <c r="CA82" s="153">
        <f t="shared" si="85"/>
        <v>3.4375</v>
      </c>
      <c r="CB82" s="153">
        <f t="shared" si="86"/>
        <v>3.6875</v>
      </c>
      <c r="CC82" s="66"/>
    </row>
    <row r="83" spans="1:81" s="68" customFormat="1" ht="27.95" customHeight="1">
      <c r="A83" s="67">
        <v>76</v>
      </c>
      <c r="B83" s="37">
        <v>100</v>
      </c>
      <c r="C83" s="34" t="s">
        <v>371</v>
      </c>
      <c r="D83" s="34" t="s">
        <v>372</v>
      </c>
      <c r="E83" s="34" t="s">
        <v>373</v>
      </c>
      <c r="F83" s="51" t="s">
        <v>374</v>
      </c>
      <c r="G83" s="129">
        <v>0</v>
      </c>
      <c r="H83" s="129">
        <v>0</v>
      </c>
      <c r="I83" s="128">
        <f t="shared" si="61"/>
        <v>0</v>
      </c>
      <c r="J83" s="129">
        <v>0</v>
      </c>
      <c r="K83" s="128">
        <f t="shared" si="62"/>
        <v>0</v>
      </c>
      <c r="L83" s="129">
        <v>0</v>
      </c>
      <c r="M83" s="129">
        <v>0</v>
      </c>
      <c r="N83" s="128">
        <f t="shared" si="63"/>
        <v>0</v>
      </c>
      <c r="O83" s="128">
        <f t="shared" si="77"/>
        <v>0</v>
      </c>
      <c r="P83" s="128">
        <f t="shared" si="74"/>
        <v>0</v>
      </c>
      <c r="Q83" s="187"/>
      <c r="R83" s="129" t="str">
        <f t="shared" si="48"/>
        <v>F</v>
      </c>
      <c r="S83" s="129">
        <v>0</v>
      </c>
      <c r="T83" s="129">
        <v>0</v>
      </c>
      <c r="U83" s="128">
        <f t="shared" si="49"/>
        <v>0</v>
      </c>
      <c r="V83" s="129"/>
      <c r="W83" s="129"/>
      <c r="X83" s="128">
        <f t="shared" si="50"/>
        <v>0</v>
      </c>
      <c r="Y83" s="128">
        <f t="shared" si="51"/>
        <v>0</v>
      </c>
      <c r="Z83" s="128">
        <f t="shared" si="64"/>
        <v>0</v>
      </c>
      <c r="AA83" s="187"/>
      <c r="AB83" s="129">
        <f t="shared" si="52"/>
        <v>0</v>
      </c>
      <c r="AC83" s="129">
        <v>0</v>
      </c>
      <c r="AD83" s="129">
        <v>0</v>
      </c>
      <c r="AE83" s="128">
        <f t="shared" si="53"/>
        <v>0</v>
      </c>
      <c r="AF83" s="129">
        <v>0</v>
      </c>
      <c r="AG83" s="128">
        <f t="shared" si="54"/>
        <v>0</v>
      </c>
      <c r="AH83" s="187"/>
      <c r="AI83" s="129" t="str">
        <f t="shared" si="71"/>
        <v>F</v>
      </c>
      <c r="AJ83" s="129"/>
      <c r="AK83" s="129"/>
      <c r="AL83" s="128">
        <f t="shared" si="72"/>
        <v>0</v>
      </c>
      <c r="AM83" s="129">
        <v>0</v>
      </c>
      <c r="AN83" s="128">
        <f t="shared" si="73"/>
        <v>0</v>
      </c>
      <c r="AO83" s="187"/>
      <c r="AP83" s="129" t="str">
        <f t="shared" ref="AP83:AP87" si="87">IF(AN83&lt;40,"F",IF(AN83&lt;50,2,IF(AN83&lt;60,3,IF(AN83&lt;70,3.5,IF(AN83&lt;80,4,5)))))</f>
        <v>F</v>
      </c>
      <c r="AQ83" s="129">
        <v>0</v>
      </c>
      <c r="AR83" s="129">
        <v>25</v>
      </c>
      <c r="AS83" s="129">
        <f t="shared" si="78"/>
        <v>25</v>
      </c>
      <c r="AT83" s="188"/>
      <c r="AU83" s="129">
        <f t="shared" si="65"/>
        <v>3</v>
      </c>
      <c r="AV83" s="129">
        <v>0</v>
      </c>
      <c r="AW83" s="129"/>
      <c r="AX83" s="128">
        <f t="shared" si="66"/>
        <v>0</v>
      </c>
      <c r="AY83" s="129">
        <v>0</v>
      </c>
      <c r="AZ83" s="128">
        <f t="shared" si="67"/>
        <v>0</v>
      </c>
      <c r="BA83" s="187"/>
      <c r="BB83" s="129" t="str">
        <f t="shared" si="58"/>
        <v>F</v>
      </c>
      <c r="BC83" s="129">
        <v>0</v>
      </c>
      <c r="BD83" s="129">
        <v>0</v>
      </c>
      <c r="BE83" s="128">
        <f t="shared" si="70"/>
        <v>0</v>
      </c>
      <c r="BF83" s="129">
        <v>0</v>
      </c>
      <c r="BG83" s="128">
        <f t="shared" si="59"/>
        <v>0</v>
      </c>
      <c r="BH83" s="187"/>
      <c r="BI83" s="129" t="str">
        <f t="shared" si="68"/>
        <v>F</v>
      </c>
      <c r="BJ83" s="129">
        <v>0</v>
      </c>
      <c r="BK83" s="129">
        <v>0</v>
      </c>
      <c r="BL83" s="128">
        <f t="shared" si="69"/>
        <v>0</v>
      </c>
      <c r="BM83" s="128">
        <f t="shared" si="79"/>
        <v>0</v>
      </c>
      <c r="BN83" s="187"/>
      <c r="BO83" s="129" t="str">
        <f t="shared" si="75"/>
        <v>F</v>
      </c>
      <c r="BP83" s="129" t="str">
        <f t="shared" si="80"/>
        <v>F</v>
      </c>
      <c r="BQ83" s="114" t="str">
        <f t="shared" si="81"/>
        <v>F</v>
      </c>
      <c r="BR83" s="114" t="str">
        <f t="shared" si="60"/>
        <v>F</v>
      </c>
      <c r="BS83" s="33" t="str">
        <f t="shared" si="76"/>
        <v>NEED TO PROGRESS</v>
      </c>
      <c r="BT83" s="108">
        <f t="shared" si="82"/>
        <v>25</v>
      </c>
      <c r="BU83" s="150">
        <f>'1st_Semester'!BT83</f>
        <v>141</v>
      </c>
      <c r="BV83" s="147">
        <f>'2nd_Semester'!BT83</f>
        <v>46</v>
      </c>
      <c r="BW83" s="147">
        <f t="shared" si="83"/>
        <v>25</v>
      </c>
      <c r="BX83" s="147">
        <f t="shared" si="84"/>
        <v>70.666666666666671</v>
      </c>
      <c r="BY83" s="153" t="str">
        <f>'1st_Semester'!BQ83</f>
        <v>F</v>
      </c>
      <c r="BZ83" s="153" t="str">
        <f>'2nd_Semester'!BQ83</f>
        <v>F</v>
      </c>
      <c r="CA83" s="153" t="str">
        <f t="shared" si="85"/>
        <v>F</v>
      </c>
      <c r="CB83" s="153" t="e">
        <f t="shared" si="86"/>
        <v>#DIV/0!</v>
      </c>
      <c r="CC83" s="66"/>
    </row>
    <row r="84" spans="1:81" s="68" customFormat="1" ht="27.95" customHeight="1">
      <c r="A84" s="67">
        <v>77</v>
      </c>
      <c r="B84" s="37">
        <v>101</v>
      </c>
      <c r="C84" s="34" t="s">
        <v>375</v>
      </c>
      <c r="D84" s="34" t="s">
        <v>376</v>
      </c>
      <c r="E84" s="34" t="s">
        <v>377</v>
      </c>
      <c r="F84" s="51" t="s">
        <v>378</v>
      </c>
      <c r="G84" s="129">
        <v>13</v>
      </c>
      <c r="H84" s="129">
        <v>29</v>
      </c>
      <c r="I84" s="128">
        <f t="shared" si="61"/>
        <v>42</v>
      </c>
      <c r="J84" s="129">
        <v>14</v>
      </c>
      <c r="K84" s="128">
        <f t="shared" si="62"/>
        <v>56</v>
      </c>
      <c r="L84" s="129">
        <v>9</v>
      </c>
      <c r="M84" s="129">
        <v>26</v>
      </c>
      <c r="N84" s="128">
        <f t="shared" si="63"/>
        <v>35</v>
      </c>
      <c r="O84" s="128">
        <f t="shared" si="77"/>
        <v>35</v>
      </c>
      <c r="P84" s="128">
        <f t="shared" si="74"/>
        <v>91</v>
      </c>
      <c r="Q84" s="187"/>
      <c r="R84" s="129">
        <f t="shared" si="48"/>
        <v>3</v>
      </c>
      <c r="S84" s="129">
        <v>10</v>
      </c>
      <c r="T84" s="129">
        <v>17</v>
      </c>
      <c r="U84" s="128">
        <f t="shared" si="49"/>
        <v>27</v>
      </c>
      <c r="V84" s="129">
        <v>6</v>
      </c>
      <c r="W84" s="129">
        <v>18</v>
      </c>
      <c r="X84" s="128">
        <f t="shared" si="50"/>
        <v>24</v>
      </c>
      <c r="Y84" s="128">
        <f t="shared" si="51"/>
        <v>51</v>
      </c>
      <c r="Z84" s="128">
        <f t="shared" si="64"/>
        <v>51</v>
      </c>
      <c r="AA84" s="187"/>
      <c r="AB84" s="129">
        <f t="shared" si="52"/>
        <v>0</v>
      </c>
      <c r="AC84" s="129">
        <v>12</v>
      </c>
      <c r="AD84" s="129">
        <v>21</v>
      </c>
      <c r="AE84" s="128">
        <f t="shared" si="53"/>
        <v>33</v>
      </c>
      <c r="AF84" s="129">
        <v>17</v>
      </c>
      <c r="AG84" s="128">
        <f t="shared" si="54"/>
        <v>50</v>
      </c>
      <c r="AH84" s="187"/>
      <c r="AI84" s="129">
        <f t="shared" si="71"/>
        <v>3</v>
      </c>
      <c r="AJ84" s="129">
        <v>17</v>
      </c>
      <c r="AK84" s="129">
        <v>20</v>
      </c>
      <c r="AL84" s="128">
        <f t="shared" si="72"/>
        <v>37</v>
      </c>
      <c r="AM84" s="129">
        <v>23</v>
      </c>
      <c r="AN84" s="128">
        <f t="shared" si="73"/>
        <v>60</v>
      </c>
      <c r="AO84" s="187"/>
      <c r="AP84" s="129">
        <f t="shared" si="87"/>
        <v>3.5</v>
      </c>
      <c r="AQ84" s="129">
        <v>20</v>
      </c>
      <c r="AR84" s="129">
        <v>25</v>
      </c>
      <c r="AS84" s="129">
        <f t="shared" si="78"/>
        <v>45</v>
      </c>
      <c r="AT84" s="188"/>
      <c r="AU84" s="129">
        <f t="shared" si="65"/>
        <v>5</v>
      </c>
      <c r="AV84" s="129">
        <v>16</v>
      </c>
      <c r="AW84" s="129">
        <v>30</v>
      </c>
      <c r="AX84" s="128">
        <f t="shared" si="66"/>
        <v>46</v>
      </c>
      <c r="AY84" s="129">
        <v>20</v>
      </c>
      <c r="AZ84" s="128">
        <f t="shared" si="67"/>
        <v>66</v>
      </c>
      <c r="BA84" s="187"/>
      <c r="BB84" s="129">
        <f t="shared" si="58"/>
        <v>3.5</v>
      </c>
      <c r="BC84" s="129">
        <v>15</v>
      </c>
      <c r="BD84" s="129">
        <v>20</v>
      </c>
      <c r="BE84" s="128">
        <f t="shared" si="70"/>
        <v>35</v>
      </c>
      <c r="BF84" s="129">
        <v>18</v>
      </c>
      <c r="BG84" s="128">
        <f t="shared" si="59"/>
        <v>53</v>
      </c>
      <c r="BH84" s="187"/>
      <c r="BI84" s="129">
        <f t="shared" si="68"/>
        <v>3</v>
      </c>
      <c r="BJ84" s="129">
        <v>10</v>
      </c>
      <c r="BK84" s="129">
        <v>25</v>
      </c>
      <c r="BL84" s="128">
        <f t="shared" si="69"/>
        <v>35</v>
      </c>
      <c r="BM84" s="128">
        <f t="shared" si="79"/>
        <v>35</v>
      </c>
      <c r="BN84" s="187"/>
      <c r="BO84" s="129">
        <f t="shared" si="75"/>
        <v>4</v>
      </c>
      <c r="BP84" s="129">
        <f t="shared" si="80"/>
        <v>25</v>
      </c>
      <c r="BQ84" s="114">
        <f t="shared" si="81"/>
        <v>3.125</v>
      </c>
      <c r="BR84" s="114" t="str">
        <f t="shared" si="60"/>
        <v>B</v>
      </c>
      <c r="BS84" s="33" t="str">
        <f t="shared" si="76"/>
        <v>GOOD</v>
      </c>
      <c r="BT84" s="108">
        <f t="shared" si="82"/>
        <v>451</v>
      </c>
      <c r="BU84" s="150">
        <f>'1st_Semester'!BT84</f>
        <v>365</v>
      </c>
      <c r="BV84" s="147">
        <f>'2nd_Semester'!BT84</f>
        <v>525</v>
      </c>
      <c r="BW84" s="147">
        <f t="shared" si="83"/>
        <v>451</v>
      </c>
      <c r="BX84" s="147">
        <f t="shared" si="84"/>
        <v>447</v>
      </c>
      <c r="BY84" s="153" t="str">
        <f>'1st_Semester'!BQ84</f>
        <v>F</v>
      </c>
      <c r="BZ84" s="153">
        <f>'2nd_Semester'!BQ84</f>
        <v>3.4375</v>
      </c>
      <c r="CA84" s="153">
        <f t="shared" si="85"/>
        <v>3.125</v>
      </c>
      <c r="CB84" s="153">
        <f t="shared" si="86"/>
        <v>3.28125</v>
      </c>
      <c r="CC84" s="66"/>
    </row>
    <row r="85" spans="1:81" s="68" customFormat="1" ht="27.95" customHeight="1">
      <c r="A85" s="67">
        <v>78</v>
      </c>
      <c r="B85" s="37">
        <v>102</v>
      </c>
      <c r="C85" s="34" t="s">
        <v>379</v>
      </c>
      <c r="D85" s="34"/>
      <c r="E85" s="34"/>
      <c r="F85" s="51"/>
      <c r="G85" s="129">
        <v>0</v>
      </c>
      <c r="H85" s="129">
        <v>0</v>
      </c>
      <c r="I85" s="128">
        <f t="shared" si="61"/>
        <v>0</v>
      </c>
      <c r="J85" s="129">
        <v>0</v>
      </c>
      <c r="K85" s="128">
        <f t="shared" si="62"/>
        <v>0</v>
      </c>
      <c r="L85" s="129">
        <v>0</v>
      </c>
      <c r="M85" s="129">
        <v>0</v>
      </c>
      <c r="N85" s="128">
        <f t="shared" si="63"/>
        <v>0</v>
      </c>
      <c r="O85" s="128">
        <f t="shared" si="77"/>
        <v>0</v>
      </c>
      <c r="P85" s="128">
        <f t="shared" si="74"/>
        <v>0</v>
      </c>
      <c r="Q85" s="187"/>
      <c r="R85" s="129" t="str">
        <f t="shared" si="48"/>
        <v>F</v>
      </c>
      <c r="S85" s="129">
        <v>0</v>
      </c>
      <c r="T85" s="129">
        <v>0</v>
      </c>
      <c r="U85" s="128">
        <f t="shared" si="49"/>
        <v>0</v>
      </c>
      <c r="V85" s="129">
        <v>0</v>
      </c>
      <c r="W85" s="129">
        <v>0</v>
      </c>
      <c r="X85" s="128">
        <f t="shared" si="50"/>
        <v>0</v>
      </c>
      <c r="Y85" s="128">
        <f t="shared" si="51"/>
        <v>0</v>
      </c>
      <c r="Z85" s="128">
        <f t="shared" si="64"/>
        <v>0</v>
      </c>
      <c r="AA85" s="187"/>
      <c r="AB85" s="129">
        <f t="shared" si="52"/>
        <v>0</v>
      </c>
      <c r="AC85" s="129">
        <v>0</v>
      </c>
      <c r="AD85" s="129">
        <v>0</v>
      </c>
      <c r="AE85" s="128">
        <f t="shared" si="53"/>
        <v>0</v>
      </c>
      <c r="AF85" s="129">
        <v>0</v>
      </c>
      <c r="AG85" s="128">
        <f t="shared" si="54"/>
        <v>0</v>
      </c>
      <c r="AH85" s="187"/>
      <c r="AI85" s="129" t="str">
        <f t="shared" si="71"/>
        <v>F</v>
      </c>
      <c r="AJ85" s="129">
        <v>0</v>
      </c>
      <c r="AK85" s="129">
        <v>0</v>
      </c>
      <c r="AL85" s="128">
        <f t="shared" si="72"/>
        <v>0</v>
      </c>
      <c r="AM85" s="129">
        <v>0</v>
      </c>
      <c r="AN85" s="128">
        <f t="shared" si="73"/>
        <v>0</v>
      </c>
      <c r="AO85" s="187"/>
      <c r="AP85" s="129" t="str">
        <f t="shared" si="87"/>
        <v>F</v>
      </c>
      <c r="AQ85" s="129">
        <v>0</v>
      </c>
      <c r="AR85" s="129">
        <v>25</v>
      </c>
      <c r="AS85" s="129">
        <f t="shared" si="78"/>
        <v>25</v>
      </c>
      <c r="AT85" s="188"/>
      <c r="AU85" s="129">
        <f t="shared" si="65"/>
        <v>3</v>
      </c>
      <c r="AV85" s="129">
        <v>0</v>
      </c>
      <c r="AW85" s="129">
        <v>0</v>
      </c>
      <c r="AX85" s="128">
        <f t="shared" si="66"/>
        <v>0</v>
      </c>
      <c r="AY85" s="129">
        <v>0</v>
      </c>
      <c r="AZ85" s="128">
        <f t="shared" si="67"/>
        <v>0</v>
      </c>
      <c r="BA85" s="187"/>
      <c r="BB85" s="129" t="str">
        <f t="shared" si="58"/>
        <v>F</v>
      </c>
      <c r="BC85" s="129">
        <v>0</v>
      </c>
      <c r="BD85" s="129">
        <v>29</v>
      </c>
      <c r="BE85" s="128">
        <f t="shared" si="70"/>
        <v>29</v>
      </c>
      <c r="BF85" s="129">
        <v>0</v>
      </c>
      <c r="BG85" s="128">
        <f t="shared" si="59"/>
        <v>29</v>
      </c>
      <c r="BH85" s="187"/>
      <c r="BI85" s="129" t="str">
        <f t="shared" si="68"/>
        <v>F</v>
      </c>
      <c r="BJ85" s="129">
        <v>0</v>
      </c>
      <c r="BK85" s="129">
        <v>0</v>
      </c>
      <c r="BL85" s="128">
        <f t="shared" si="69"/>
        <v>0</v>
      </c>
      <c r="BM85" s="128">
        <f t="shared" si="79"/>
        <v>0</v>
      </c>
      <c r="BN85" s="187"/>
      <c r="BO85" s="129" t="str">
        <f t="shared" si="75"/>
        <v>F</v>
      </c>
      <c r="BP85" s="129" t="str">
        <f t="shared" si="80"/>
        <v>F</v>
      </c>
      <c r="BQ85" s="114" t="str">
        <f t="shared" si="81"/>
        <v>F</v>
      </c>
      <c r="BR85" s="114" t="str">
        <f t="shared" si="60"/>
        <v>F</v>
      </c>
      <c r="BS85" s="33" t="str">
        <f t="shared" si="76"/>
        <v>NEED TO PROGRESS</v>
      </c>
      <c r="BT85" s="108">
        <f t="shared" si="82"/>
        <v>54</v>
      </c>
      <c r="BU85" s="150">
        <f>'1st_Semester'!BT85</f>
        <v>0</v>
      </c>
      <c r="BV85" s="147">
        <f>'2nd_Semester'!BT85</f>
        <v>59</v>
      </c>
      <c r="BW85" s="147">
        <f t="shared" si="83"/>
        <v>54</v>
      </c>
      <c r="BX85" s="147">
        <f t="shared" si="84"/>
        <v>37.666666666666664</v>
      </c>
      <c r="BY85" s="153" t="str">
        <f>'1st_Semester'!BQ85</f>
        <v>F</v>
      </c>
      <c r="BZ85" s="153" t="str">
        <f>'2nd_Semester'!BQ85</f>
        <v>F</v>
      </c>
      <c r="CA85" s="153" t="str">
        <f t="shared" si="85"/>
        <v>F</v>
      </c>
      <c r="CB85" s="153" t="e">
        <f t="shared" si="86"/>
        <v>#DIV/0!</v>
      </c>
      <c r="CC85" s="66"/>
    </row>
    <row r="86" spans="1:81" s="68" customFormat="1" ht="27.95" customHeight="1">
      <c r="A86" s="67">
        <v>79</v>
      </c>
      <c r="B86" s="37">
        <v>103</v>
      </c>
      <c r="C86" s="34" t="s">
        <v>380</v>
      </c>
      <c r="D86" s="34"/>
      <c r="E86" s="34"/>
      <c r="F86" s="51"/>
      <c r="G86" s="129">
        <v>16</v>
      </c>
      <c r="H86" s="129">
        <v>29</v>
      </c>
      <c r="I86" s="128">
        <f t="shared" si="61"/>
        <v>45</v>
      </c>
      <c r="J86" s="129">
        <v>17</v>
      </c>
      <c r="K86" s="128">
        <f t="shared" si="62"/>
        <v>62</v>
      </c>
      <c r="L86" s="129">
        <v>9</v>
      </c>
      <c r="M86" s="129">
        <v>23</v>
      </c>
      <c r="N86" s="128">
        <f t="shared" si="63"/>
        <v>32</v>
      </c>
      <c r="O86" s="128">
        <f t="shared" si="77"/>
        <v>32</v>
      </c>
      <c r="P86" s="128">
        <f t="shared" si="74"/>
        <v>94</v>
      </c>
      <c r="Q86" s="187"/>
      <c r="R86" s="129">
        <f t="shared" si="48"/>
        <v>3</v>
      </c>
      <c r="S86" s="129">
        <v>14</v>
      </c>
      <c r="T86" s="129">
        <v>28</v>
      </c>
      <c r="U86" s="128">
        <f t="shared" si="49"/>
        <v>42</v>
      </c>
      <c r="V86" s="129">
        <v>6</v>
      </c>
      <c r="W86" s="129">
        <v>16</v>
      </c>
      <c r="X86" s="128">
        <f t="shared" si="50"/>
        <v>22</v>
      </c>
      <c r="Y86" s="128">
        <f t="shared" si="51"/>
        <v>64</v>
      </c>
      <c r="Z86" s="128">
        <f t="shared" si="64"/>
        <v>64</v>
      </c>
      <c r="AA86" s="187"/>
      <c r="AB86" s="129">
        <f t="shared" si="52"/>
        <v>2</v>
      </c>
      <c r="AC86" s="129">
        <v>19</v>
      </c>
      <c r="AD86" s="129">
        <v>31</v>
      </c>
      <c r="AE86" s="128">
        <f t="shared" si="53"/>
        <v>50</v>
      </c>
      <c r="AF86" s="129">
        <v>21</v>
      </c>
      <c r="AG86" s="128">
        <f t="shared" si="54"/>
        <v>71</v>
      </c>
      <c r="AH86" s="187"/>
      <c r="AI86" s="129">
        <f t="shared" si="71"/>
        <v>4</v>
      </c>
      <c r="AJ86" s="129">
        <v>19</v>
      </c>
      <c r="AK86" s="129">
        <v>33</v>
      </c>
      <c r="AL86" s="128">
        <f t="shared" si="72"/>
        <v>52</v>
      </c>
      <c r="AM86" s="129">
        <v>22</v>
      </c>
      <c r="AN86" s="128">
        <f t="shared" si="73"/>
        <v>74</v>
      </c>
      <c r="AO86" s="187"/>
      <c r="AP86" s="129">
        <f t="shared" si="87"/>
        <v>4</v>
      </c>
      <c r="AQ86" s="129">
        <v>24</v>
      </c>
      <c r="AR86" s="129">
        <v>25</v>
      </c>
      <c r="AS86" s="129">
        <f t="shared" si="78"/>
        <v>49</v>
      </c>
      <c r="AT86" s="188"/>
      <c r="AU86" s="129">
        <f t="shared" si="65"/>
        <v>5</v>
      </c>
      <c r="AV86" s="129">
        <v>16</v>
      </c>
      <c r="AW86" s="129">
        <v>34</v>
      </c>
      <c r="AX86" s="128">
        <f t="shared" si="66"/>
        <v>50</v>
      </c>
      <c r="AY86" s="129">
        <v>24</v>
      </c>
      <c r="AZ86" s="128">
        <f t="shared" si="67"/>
        <v>74</v>
      </c>
      <c r="BA86" s="187"/>
      <c r="BB86" s="129">
        <f t="shared" si="58"/>
        <v>4</v>
      </c>
      <c r="BC86" s="129">
        <v>19</v>
      </c>
      <c r="BD86" s="129">
        <v>29</v>
      </c>
      <c r="BE86" s="128">
        <f t="shared" si="70"/>
        <v>48</v>
      </c>
      <c r="BF86" s="129">
        <v>23</v>
      </c>
      <c r="BG86" s="128">
        <f t="shared" si="59"/>
        <v>71</v>
      </c>
      <c r="BH86" s="187"/>
      <c r="BI86" s="129">
        <f t="shared" si="68"/>
        <v>4</v>
      </c>
      <c r="BJ86" s="129">
        <v>10</v>
      </c>
      <c r="BK86" s="129">
        <v>20</v>
      </c>
      <c r="BL86" s="128">
        <f t="shared" si="69"/>
        <v>30</v>
      </c>
      <c r="BM86" s="128">
        <f t="shared" si="79"/>
        <v>30</v>
      </c>
      <c r="BN86" s="187"/>
      <c r="BO86" s="129">
        <f t="shared" si="75"/>
        <v>3.5</v>
      </c>
      <c r="BP86" s="129">
        <f t="shared" si="80"/>
        <v>29.5</v>
      </c>
      <c r="BQ86" s="114">
        <f t="shared" si="81"/>
        <v>3.6875</v>
      </c>
      <c r="BR86" s="114" t="str">
        <f t="shared" si="60"/>
        <v>A-</v>
      </c>
      <c r="BS86" s="33" t="str">
        <f t="shared" si="76"/>
        <v>GOOD</v>
      </c>
      <c r="BT86" s="108">
        <f t="shared" si="82"/>
        <v>527</v>
      </c>
      <c r="BU86" s="150">
        <f>'1st_Semester'!BT86</f>
        <v>0</v>
      </c>
      <c r="BV86" s="147">
        <f>'2nd_Semester'!BT86</f>
        <v>348</v>
      </c>
      <c r="BW86" s="147">
        <f t="shared" si="83"/>
        <v>527</v>
      </c>
      <c r="BX86" s="147">
        <f t="shared" si="84"/>
        <v>291.66666666666669</v>
      </c>
      <c r="BY86" s="153" t="str">
        <f>'1st_Semester'!BQ86</f>
        <v>F</v>
      </c>
      <c r="BZ86" s="153" t="str">
        <f>'2nd_Semester'!BQ86</f>
        <v>F</v>
      </c>
      <c r="CA86" s="153">
        <f t="shared" si="85"/>
        <v>3.6875</v>
      </c>
      <c r="CB86" s="153">
        <f t="shared" si="86"/>
        <v>3.6875</v>
      </c>
      <c r="CC86" s="66"/>
    </row>
    <row r="87" spans="1:81" s="68" customFormat="1" ht="27.95" customHeight="1">
      <c r="A87" s="67">
        <v>80</v>
      </c>
      <c r="B87" s="37">
        <v>104</v>
      </c>
      <c r="C87" s="34" t="s">
        <v>381</v>
      </c>
      <c r="D87" s="34"/>
      <c r="E87" s="34"/>
      <c r="F87" s="51"/>
      <c r="G87" s="129">
        <v>10</v>
      </c>
      <c r="H87" s="129">
        <v>9</v>
      </c>
      <c r="I87" s="128">
        <f t="shared" si="61"/>
        <v>19</v>
      </c>
      <c r="J87" s="129">
        <v>22</v>
      </c>
      <c r="K87" s="128">
        <f t="shared" si="62"/>
        <v>41</v>
      </c>
      <c r="L87" s="129">
        <v>8</v>
      </c>
      <c r="M87" s="129">
        <v>13</v>
      </c>
      <c r="N87" s="128">
        <f t="shared" si="63"/>
        <v>21</v>
      </c>
      <c r="O87" s="128">
        <f t="shared" si="77"/>
        <v>21</v>
      </c>
      <c r="P87" s="128">
        <f t="shared" si="74"/>
        <v>62</v>
      </c>
      <c r="Q87" s="187"/>
      <c r="R87" s="129">
        <f t="shared" si="48"/>
        <v>2</v>
      </c>
      <c r="S87" s="129">
        <v>13</v>
      </c>
      <c r="T87" s="129">
        <v>28</v>
      </c>
      <c r="U87" s="128">
        <f t="shared" si="49"/>
        <v>41</v>
      </c>
      <c r="V87" s="129">
        <v>6</v>
      </c>
      <c r="W87" s="129">
        <v>3</v>
      </c>
      <c r="X87" s="128">
        <f t="shared" si="50"/>
        <v>9</v>
      </c>
      <c r="Y87" s="128">
        <f t="shared" si="51"/>
        <v>50</v>
      </c>
      <c r="Z87" s="128">
        <f t="shared" si="64"/>
        <v>50</v>
      </c>
      <c r="AA87" s="187"/>
      <c r="AB87" s="129">
        <f t="shared" si="52"/>
        <v>0</v>
      </c>
      <c r="AC87" s="129">
        <v>11</v>
      </c>
      <c r="AD87" s="129">
        <v>20</v>
      </c>
      <c r="AE87" s="128">
        <f t="shared" si="53"/>
        <v>31</v>
      </c>
      <c r="AF87" s="129">
        <v>16</v>
      </c>
      <c r="AG87" s="128">
        <f t="shared" si="54"/>
        <v>47</v>
      </c>
      <c r="AH87" s="187"/>
      <c r="AI87" s="129">
        <f t="shared" si="71"/>
        <v>2</v>
      </c>
      <c r="AJ87" s="129">
        <v>11</v>
      </c>
      <c r="AK87" s="129">
        <v>9</v>
      </c>
      <c r="AL87" s="128">
        <f t="shared" si="72"/>
        <v>20</v>
      </c>
      <c r="AM87" s="129">
        <v>15</v>
      </c>
      <c r="AN87" s="128">
        <f t="shared" si="73"/>
        <v>35</v>
      </c>
      <c r="AO87" s="187"/>
      <c r="AP87" s="129" t="str">
        <f t="shared" si="87"/>
        <v>F</v>
      </c>
      <c r="AQ87" s="129">
        <v>21</v>
      </c>
      <c r="AR87" s="129">
        <v>25</v>
      </c>
      <c r="AS87" s="129">
        <f t="shared" si="78"/>
        <v>46</v>
      </c>
      <c r="AT87" s="188"/>
      <c r="AU87" s="129">
        <f t="shared" si="65"/>
        <v>5</v>
      </c>
      <c r="AV87" s="129">
        <v>16</v>
      </c>
      <c r="AW87" s="129">
        <v>2</v>
      </c>
      <c r="AX87" s="128">
        <f t="shared" si="66"/>
        <v>18</v>
      </c>
      <c r="AY87" s="129">
        <v>24</v>
      </c>
      <c r="AZ87" s="128">
        <f t="shared" si="67"/>
        <v>42</v>
      </c>
      <c r="BA87" s="187"/>
      <c r="BB87" s="129">
        <f t="shared" si="58"/>
        <v>2</v>
      </c>
      <c r="BC87" s="129">
        <v>13</v>
      </c>
      <c r="BD87" s="129">
        <v>11</v>
      </c>
      <c r="BE87" s="128">
        <f t="shared" si="70"/>
        <v>24</v>
      </c>
      <c r="BF87" s="129">
        <v>18</v>
      </c>
      <c r="BG87" s="128">
        <f t="shared" si="59"/>
        <v>42</v>
      </c>
      <c r="BH87" s="187"/>
      <c r="BI87" s="129">
        <f t="shared" si="68"/>
        <v>2</v>
      </c>
      <c r="BJ87" s="129">
        <v>10</v>
      </c>
      <c r="BK87" s="129">
        <v>20</v>
      </c>
      <c r="BL87" s="128">
        <f t="shared" si="69"/>
        <v>30</v>
      </c>
      <c r="BM87" s="128">
        <f t="shared" si="79"/>
        <v>30</v>
      </c>
      <c r="BN87" s="187"/>
      <c r="BO87" s="129">
        <f t="shared" si="75"/>
        <v>3.5</v>
      </c>
      <c r="BP87" s="129" t="str">
        <f t="shared" si="80"/>
        <v>F</v>
      </c>
      <c r="BQ87" s="114" t="str">
        <f t="shared" si="81"/>
        <v>F</v>
      </c>
      <c r="BR87" s="114" t="str">
        <f t="shared" si="60"/>
        <v>F</v>
      </c>
      <c r="BS87" s="33" t="str">
        <f t="shared" si="76"/>
        <v>NEED TO PROGRESS</v>
      </c>
      <c r="BT87" s="108">
        <f t="shared" si="82"/>
        <v>354</v>
      </c>
      <c r="BU87" s="150">
        <f>'1st_Semester'!BT87</f>
        <v>0</v>
      </c>
      <c r="BV87" s="147">
        <f>'2nd_Semester'!BT87</f>
        <v>223</v>
      </c>
      <c r="BW87" s="147">
        <f t="shared" si="83"/>
        <v>354</v>
      </c>
      <c r="BX87" s="147">
        <f t="shared" si="84"/>
        <v>192.33333333333334</v>
      </c>
      <c r="BY87" s="153" t="str">
        <f>'1st_Semester'!BQ87</f>
        <v>F</v>
      </c>
      <c r="BZ87" s="153" t="str">
        <f>'2nd_Semester'!BQ87</f>
        <v>F</v>
      </c>
      <c r="CA87" s="153" t="str">
        <f t="shared" si="85"/>
        <v>F</v>
      </c>
      <c r="CB87" s="153" t="e">
        <f t="shared" si="86"/>
        <v>#DIV/0!</v>
      </c>
      <c r="CC87" s="66"/>
    </row>
    <row r="88" spans="1:81" s="68" customFormat="1">
      <c r="B88" s="141"/>
    </row>
    <row r="89" spans="1:81" s="68" customFormat="1">
      <c r="B89" s="141"/>
    </row>
    <row r="90" spans="1:81" s="68" customFormat="1">
      <c r="A90" s="69">
        <v>0</v>
      </c>
      <c r="B90" s="148">
        <v>1</v>
      </c>
      <c r="C90" s="149">
        <v>2</v>
      </c>
      <c r="D90" s="149">
        <v>3</v>
      </c>
      <c r="E90" s="69">
        <v>4</v>
      </c>
      <c r="F90" s="149">
        <v>5</v>
      </c>
      <c r="G90" s="149">
        <v>6</v>
      </c>
      <c r="H90" s="149">
        <v>7</v>
      </c>
      <c r="I90" s="69">
        <v>8</v>
      </c>
      <c r="J90" s="149">
        <v>9</v>
      </c>
      <c r="K90" s="149">
        <v>10</v>
      </c>
      <c r="L90" s="149">
        <v>11</v>
      </c>
      <c r="M90" s="69">
        <v>12</v>
      </c>
      <c r="N90" s="149">
        <v>13</v>
      </c>
      <c r="O90" s="149">
        <v>14</v>
      </c>
      <c r="P90" s="149">
        <v>15</v>
      </c>
      <c r="Q90" s="69">
        <v>16</v>
      </c>
      <c r="R90" s="149">
        <v>17</v>
      </c>
      <c r="S90" s="149">
        <v>18</v>
      </c>
      <c r="T90" s="149">
        <v>19</v>
      </c>
      <c r="U90" s="69">
        <v>20</v>
      </c>
      <c r="V90" s="149">
        <v>21</v>
      </c>
      <c r="W90" s="149">
        <v>22</v>
      </c>
      <c r="X90" s="149">
        <v>23</v>
      </c>
      <c r="Y90" s="69">
        <v>24</v>
      </c>
      <c r="Z90" s="149">
        <v>25</v>
      </c>
      <c r="AA90" s="149">
        <v>26</v>
      </c>
      <c r="AB90" s="149">
        <v>27</v>
      </c>
      <c r="AC90" s="69">
        <v>28</v>
      </c>
      <c r="AD90" s="149">
        <v>29</v>
      </c>
      <c r="AE90" s="149">
        <v>30</v>
      </c>
      <c r="AF90" s="149">
        <v>31</v>
      </c>
      <c r="AG90" s="69">
        <v>32</v>
      </c>
      <c r="AH90" s="149">
        <v>33</v>
      </c>
      <c r="AI90" s="149">
        <v>34</v>
      </c>
      <c r="AJ90" s="149">
        <v>35</v>
      </c>
      <c r="AK90" s="69">
        <v>36</v>
      </c>
      <c r="AL90" s="149">
        <v>37</v>
      </c>
      <c r="AM90" s="149">
        <v>38</v>
      </c>
      <c r="AN90" s="149">
        <v>39</v>
      </c>
      <c r="AO90" s="69">
        <v>40</v>
      </c>
      <c r="AP90" s="149">
        <v>41</v>
      </c>
      <c r="AQ90" s="149">
        <v>42</v>
      </c>
      <c r="AR90" s="149">
        <v>43</v>
      </c>
      <c r="AS90" s="69">
        <v>44</v>
      </c>
      <c r="AT90" s="149">
        <v>45</v>
      </c>
      <c r="AU90" s="149">
        <v>46</v>
      </c>
      <c r="AV90" s="149">
        <v>47</v>
      </c>
      <c r="AW90" s="69">
        <v>48</v>
      </c>
      <c r="AX90" s="149">
        <v>49</v>
      </c>
      <c r="AY90" s="149">
        <v>50</v>
      </c>
      <c r="AZ90" s="149">
        <v>51</v>
      </c>
      <c r="BA90" s="69">
        <v>52</v>
      </c>
      <c r="BB90" s="149">
        <v>53</v>
      </c>
      <c r="BC90" s="149">
        <v>54</v>
      </c>
      <c r="BD90" s="149">
        <v>55</v>
      </c>
      <c r="BE90" s="69">
        <v>56</v>
      </c>
      <c r="BF90" s="149">
        <v>57</v>
      </c>
      <c r="BG90" s="149">
        <v>58</v>
      </c>
      <c r="BH90" s="149">
        <v>59</v>
      </c>
      <c r="BI90" s="69">
        <v>60</v>
      </c>
      <c r="BJ90" s="149">
        <v>61</v>
      </c>
      <c r="BK90" s="149">
        <v>62</v>
      </c>
      <c r="BL90" s="149">
        <v>63</v>
      </c>
      <c r="BM90" s="69">
        <v>64</v>
      </c>
      <c r="BN90" s="149">
        <v>65</v>
      </c>
      <c r="BO90" s="149">
        <v>66</v>
      </c>
      <c r="BP90" s="149">
        <v>67</v>
      </c>
      <c r="BQ90" s="69">
        <v>68</v>
      </c>
      <c r="BR90" s="149">
        <v>69</v>
      </c>
      <c r="BS90" s="149">
        <v>70</v>
      </c>
      <c r="BT90" s="149">
        <v>71</v>
      </c>
    </row>
  </sheetData>
  <mergeCells count="62">
    <mergeCell ref="BY6:BY7"/>
    <mergeCell ref="BZ6:BZ7"/>
    <mergeCell ref="CA6:CA7"/>
    <mergeCell ref="CB6:CB7"/>
    <mergeCell ref="BU6:BX6"/>
    <mergeCell ref="B1:BT5"/>
    <mergeCell ref="A6:A7"/>
    <mergeCell ref="B6:B7"/>
    <mergeCell ref="C6:C7"/>
    <mergeCell ref="D6:D7"/>
    <mergeCell ref="E6:E7"/>
    <mergeCell ref="F6:F7"/>
    <mergeCell ref="G6:J6"/>
    <mergeCell ref="K6:K7"/>
    <mergeCell ref="L6:N6"/>
    <mergeCell ref="O6:O7"/>
    <mergeCell ref="P6:P7"/>
    <mergeCell ref="Q6:Q7"/>
    <mergeCell ref="R6:R7"/>
    <mergeCell ref="S6:X6"/>
    <mergeCell ref="Y6:Y7"/>
    <mergeCell ref="Z6:Z7"/>
    <mergeCell ref="AA6:AA7"/>
    <mergeCell ref="AB6:AB7"/>
    <mergeCell ref="AC6:AF6"/>
    <mergeCell ref="AG6:AG7"/>
    <mergeCell ref="AH6:AH7"/>
    <mergeCell ref="AI6:AI7"/>
    <mergeCell ref="AJ6:AM6"/>
    <mergeCell ref="AN6:AN7"/>
    <mergeCell ref="AO6:AO7"/>
    <mergeCell ref="AP6:AP7"/>
    <mergeCell ref="AQ6:AR6"/>
    <mergeCell ref="AS6:AS7"/>
    <mergeCell ref="AT6:AT7"/>
    <mergeCell ref="AU6:AU7"/>
    <mergeCell ref="AV6:AY6"/>
    <mergeCell ref="AZ6:AZ7"/>
    <mergeCell ref="BA6:BA7"/>
    <mergeCell ref="BB6:BB7"/>
    <mergeCell ref="BC6:BF6"/>
    <mergeCell ref="BG6:BG7"/>
    <mergeCell ref="BH6:BH7"/>
    <mergeCell ref="BI6:BI7"/>
    <mergeCell ref="BJ6:BL6"/>
    <mergeCell ref="BM6:BM7"/>
    <mergeCell ref="CC6:CC7"/>
    <mergeCell ref="BS6:BS7"/>
    <mergeCell ref="BT6:BT7"/>
    <mergeCell ref="Q8:Q87"/>
    <mergeCell ref="AA8:AA87"/>
    <mergeCell ref="AH8:AH87"/>
    <mergeCell ref="AO8:AO87"/>
    <mergeCell ref="AT8:AT87"/>
    <mergeCell ref="BA8:BA87"/>
    <mergeCell ref="BH8:BH87"/>
    <mergeCell ref="BN8:BN87"/>
    <mergeCell ref="BN6:BN7"/>
    <mergeCell ref="BO6:BO7"/>
    <mergeCell ref="BP6:BP7"/>
    <mergeCell ref="BQ6:BQ7"/>
    <mergeCell ref="BR6:BR7"/>
  </mergeCells>
  <conditionalFormatting sqref="BC6 AT5 AV5 AP6 AH6 AO6:AO24 K6:L6 BB6:BB41 G5:J41 K7:K41 AX6 AN25:AO41 Y6:Z6 P6:R6 P7:Q41 U5:X48 Y7:Y48 U49:Y87 AG6:AG48 AC5:AF48 AC49:AG87 AK5:AN87">
    <cfRule type="cellIs" dxfId="4" priority="1" operator="lessThan">
      <formula>28</formula>
    </cfRule>
  </conditionalFormatting>
  <pageMargins left="0.23622047244094491" right="0.23622047244094491" top="0.74803149606299213" bottom="0.74803149606299213" header="0.31496062992125984" footer="0.31496062992125984"/>
  <pageSetup paperSize="9"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Z36"/>
  <sheetViews>
    <sheetView topLeftCell="A7" zoomScale="86" zoomScaleNormal="86" workbookViewId="0">
      <selection activeCell="Y21" sqref="Y21"/>
    </sheetView>
  </sheetViews>
  <sheetFormatPr defaultRowHeight="15"/>
  <cols>
    <col min="1" max="1" width="22.42578125" customWidth="1"/>
    <col min="2" max="2" width="7" customWidth="1"/>
    <col min="3" max="20" width="7.28515625" customWidth="1"/>
    <col min="21" max="21" width="8.28515625" customWidth="1"/>
    <col min="22" max="23" width="7.28515625" customWidth="1"/>
    <col min="24" max="24" width="8.28515625" customWidth="1"/>
    <col min="25" max="25" width="6.5703125" customWidth="1"/>
    <col min="26" max="26" width="7" customWidth="1"/>
  </cols>
  <sheetData>
    <row r="1" spans="1:26" ht="12" customHeight="1">
      <c r="A1" s="201" t="s">
        <v>58</v>
      </c>
      <c r="B1" s="202"/>
      <c r="C1" s="202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02"/>
      <c r="O1" s="202"/>
      <c r="P1" s="202"/>
      <c r="Q1" s="202"/>
      <c r="R1" s="202"/>
      <c r="S1" s="202"/>
      <c r="T1" s="202"/>
      <c r="U1" s="202"/>
      <c r="V1" s="202"/>
      <c r="W1" s="202"/>
      <c r="X1" s="202"/>
      <c r="Y1" s="202"/>
      <c r="Z1" s="203"/>
    </row>
    <row r="2" spans="1:26" ht="24.75" customHeight="1">
      <c r="A2" s="204"/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N2" s="205"/>
      <c r="O2" s="205"/>
      <c r="P2" s="205"/>
      <c r="Q2" s="205"/>
      <c r="R2" s="205"/>
      <c r="S2" s="205"/>
      <c r="T2" s="205"/>
      <c r="U2" s="205"/>
      <c r="V2" s="205"/>
      <c r="W2" s="205"/>
      <c r="X2" s="205"/>
      <c r="Y2" s="205"/>
      <c r="Z2" s="206"/>
    </row>
    <row r="3" spans="1:26" ht="19.5" customHeight="1">
      <c r="A3" s="204"/>
      <c r="B3" s="205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N3" s="205"/>
      <c r="O3" s="205"/>
      <c r="P3" s="205"/>
      <c r="Q3" s="205"/>
      <c r="R3" s="205"/>
      <c r="S3" s="205"/>
      <c r="T3" s="205"/>
      <c r="U3" s="205"/>
      <c r="V3" s="205"/>
      <c r="W3" s="205"/>
      <c r="X3" s="205"/>
      <c r="Y3" s="205"/>
      <c r="Z3" s="206"/>
    </row>
    <row r="4" spans="1:26" ht="19.5" customHeight="1">
      <c r="A4" s="207"/>
      <c r="B4" s="208"/>
      <c r="C4" s="208"/>
      <c r="D4" s="208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8"/>
      <c r="U4" s="208"/>
      <c r="V4" s="208"/>
      <c r="W4" s="208"/>
      <c r="X4" s="208"/>
      <c r="Y4" s="208"/>
      <c r="Z4" s="209"/>
    </row>
    <row r="5" spans="1:26" s="55" customFormat="1" ht="21.95" customHeight="1">
      <c r="A5" s="52" t="s">
        <v>41</v>
      </c>
      <c r="B5" s="53" t="s">
        <v>42</v>
      </c>
      <c r="C5" s="160" t="str">
        <f>IFERROR(VLOOKUP(C$8,'1st_Semester'!B$6:BV$91,2,0),"Please Enter The Right Roll")</f>
        <v>Abdullah Al Abid</v>
      </c>
      <c r="D5" s="154"/>
      <c r="E5" s="154"/>
      <c r="F5" s="154"/>
      <c r="G5" s="154"/>
      <c r="H5" s="154"/>
      <c r="I5" s="154"/>
      <c r="J5" s="154"/>
      <c r="K5" s="154"/>
      <c r="L5" s="54"/>
      <c r="M5" s="54"/>
      <c r="N5" s="54"/>
      <c r="O5" s="54"/>
      <c r="P5" s="54"/>
      <c r="Q5" s="54"/>
      <c r="R5" s="54"/>
      <c r="S5" s="54"/>
      <c r="T5" s="215" t="s">
        <v>415</v>
      </c>
      <c r="U5" s="215"/>
      <c r="V5" s="215"/>
      <c r="W5" s="215"/>
      <c r="X5" s="215"/>
      <c r="Y5" s="215"/>
      <c r="Z5" s="56"/>
    </row>
    <row r="6" spans="1:26" s="55" customFormat="1" ht="21.95" customHeight="1">
      <c r="A6" s="57" t="s">
        <v>43</v>
      </c>
      <c r="B6" s="58" t="s">
        <v>42</v>
      </c>
      <c r="C6" s="155" t="s">
        <v>24</v>
      </c>
      <c r="D6" s="155"/>
      <c r="E6" s="155"/>
      <c r="F6" s="155"/>
      <c r="G6" s="155"/>
      <c r="H6" s="156"/>
      <c r="I6" s="156"/>
      <c r="J6" s="156"/>
      <c r="K6" s="156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60"/>
    </row>
    <row r="7" spans="1:26" s="55" customFormat="1" ht="21.95" customHeight="1">
      <c r="A7" s="61" t="s">
        <v>44</v>
      </c>
      <c r="B7" s="58" t="s">
        <v>42</v>
      </c>
      <c r="C7" s="157" t="s">
        <v>396</v>
      </c>
      <c r="D7" s="155"/>
      <c r="E7" s="155"/>
      <c r="F7" s="155"/>
      <c r="G7" s="155"/>
      <c r="H7" s="156"/>
      <c r="I7" s="156"/>
      <c r="J7" s="156"/>
      <c r="K7" s="156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60"/>
    </row>
    <row r="8" spans="1:26" s="55" customFormat="1" ht="21.95" customHeight="1">
      <c r="A8" s="61" t="s">
        <v>45</v>
      </c>
      <c r="B8" s="58" t="s">
        <v>42</v>
      </c>
      <c r="C8" s="158">
        <v>21</v>
      </c>
      <c r="D8" s="156"/>
      <c r="E8" s="156"/>
      <c r="F8" s="156"/>
      <c r="G8" s="156"/>
      <c r="H8" s="156"/>
      <c r="I8" s="156"/>
      <c r="J8" s="156"/>
      <c r="K8" s="156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60"/>
    </row>
    <row r="9" spans="1:26" s="55" customFormat="1" ht="21.95" customHeight="1">
      <c r="A9" s="61" t="s">
        <v>46</v>
      </c>
      <c r="B9" s="58" t="s">
        <v>42</v>
      </c>
      <c r="C9" s="155" t="str">
        <f>IFERROR(VLOOKUP(C$8,'[1]1st_Semester'!B$6:BV$96,3,0),"Please Enter The Right Roll")</f>
        <v>Md. Al Amin Sheikh</v>
      </c>
      <c r="D9" s="155"/>
      <c r="E9" s="155"/>
      <c r="F9" s="155"/>
      <c r="G9" s="155"/>
      <c r="H9" s="155"/>
      <c r="I9" s="155"/>
      <c r="J9" s="156"/>
      <c r="K9" s="156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60"/>
    </row>
    <row r="10" spans="1:26" s="55" customFormat="1" ht="21.95" customHeight="1">
      <c r="A10" s="61" t="s">
        <v>47</v>
      </c>
      <c r="B10" s="58" t="s">
        <v>42</v>
      </c>
      <c r="C10" s="155" t="str">
        <f>IFERROR(VLOOKUP(C$8,'1st_Semester'!B$6:BV$91,4,0),"Please Enter The Right Roll")</f>
        <v>Mst. Jesmin Sultana</v>
      </c>
      <c r="D10" s="159"/>
      <c r="E10" s="159"/>
      <c r="F10" s="159"/>
      <c r="G10" s="159"/>
      <c r="H10" s="159"/>
      <c r="I10" s="159"/>
      <c r="J10" s="159"/>
      <c r="K10" s="156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60"/>
    </row>
    <row r="11" spans="1:26" s="55" customFormat="1" ht="21.95" customHeight="1">
      <c r="A11" s="61" t="s">
        <v>48</v>
      </c>
      <c r="B11" s="161" t="s">
        <v>42</v>
      </c>
      <c r="C11" s="210" t="s">
        <v>411</v>
      </c>
      <c r="D11" s="210"/>
      <c r="E11" s="210"/>
      <c r="F11" s="210"/>
      <c r="G11" s="210"/>
      <c r="H11" s="210"/>
      <c r="I11" s="210"/>
      <c r="J11" s="210"/>
      <c r="K11" s="210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60"/>
    </row>
    <row r="12" spans="1:26" ht="30" customHeight="1">
      <c r="A12" s="211" t="s">
        <v>49</v>
      </c>
      <c r="B12" s="211"/>
      <c r="C12" s="212" t="s">
        <v>50</v>
      </c>
      <c r="D12" s="195" t="s">
        <v>412</v>
      </c>
      <c r="E12" s="195"/>
      <c r="F12" s="195"/>
      <c r="G12" s="195"/>
      <c r="H12" s="195"/>
      <c r="I12" s="212" t="s">
        <v>50</v>
      </c>
      <c r="J12" s="195" t="s">
        <v>413</v>
      </c>
      <c r="K12" s="195"/>
      <c r="L12" s="195"/>
      <c r="M12" s="195"/>
      <c r="N12" s="195"/>
      <c r="O12" s="212" t="s">
        <v>50</v>
      </c>
      <c r="P12" s="195" t="s">
        <v>414</v>
      </c>
      <c r="Q12" s="195"/>
      <c r="R12" s="195"/>
      <c r="S12" s="195"/>
      <c r="T12" s="195"/>
      <c r="U12" s="195" t="s">
        <v>51</v>
      </c>
      <c r="V12" s="195"/>
      <c r="W12" s="195"/>
      <c r="X12" s="195"/>
      <c r="Y12" s="195"/>
      <c r="Z12" s="195"/>
    </row>
    <row r="13" spans="1:26" ht="30" customHeight="1">
      <c r="A13" s="211"/>
      <c r="B13" s="211"/>
      <c r="C13" s="212"/>
      <c r="D13" s="195" t="s">
        <v>52</v>
      </c>
      <c r="E13" s="195"/>
      <c r="F13" s="213" t="s">
        <v>9</v>
      </c>
      <c r="G13" s="213" t="s">
        <v>53</v>
      </c>
      <c r="H13" s="213" t="s">
        <v>1</v>
      </c>
      <c r="I13" s="212"/>
      <c r="J13" s="195" t="s">
        <v>52</v>
      </c>
      <c r="K13" s="195"/>
      <c r="L13" s="213" t="s">
        <v>9</v>
      </c>
      <c r="M13" s="213" t="s">
        <v>53</v>
      </c>
      <c r="N13" s="213" t="s">
        <v>1</v>
      </c>
      <c r="O13" s="212"/>
      <c r="P13" s="195" t="s">
        <v>52</v>
      </c>
      <c r="Q13" s="195"/>
      <c r="R13" s="213" t="s">
        <v>9</v>
      </c>
      <c r="S13" s="213" t="s">
        <v>53</v>
      </c>
      <c r="T13" s="213" t="s">
        <v>1</v>
      </c>
      <c r="U13" s="214" t="s">
        <v>54</v>
      </c>
      <c r="V13" s="214" t="s">
        <v>382</v>
      </c>
      <c r="W13" s="214" t="s">
        <v>55</v>
      </c>
      <c r="X13" s="213" t="s">
        <v>9</v>
      </c>
      <c r="Y13" s="213" t="s">
        <v>1</v>
      </c>
      <c r="Z13" s="213" t="s">
        <v>56</v>
      </c>
    </row>
    <row r="14" spans="1:26" ht="30" customHeight="1">
      <c r="A14" s="211"/>
      <c r="B14" s="211"/>
      <c r="C14" s="212"/>
      <c r="D14" s="213" t="s">
        <v>30</v>
      </c>
      <c r="E14" s="213" t="s">
        <v>57</v>
      </c>
      <c r="F14" s="213"/>
      <c r="G14" s="213"/>
      <c r="H14" s="213"/>
      <c r="I14" s="212"/>
      <c r="J14" s="213" t="s">
        <v>30</v>
      </c>
      <c r="K14" s="213" t="s">
        <v>57</v>
      </c>
      <c r="L14" s="213"/>
      <c r="M14" s="213"/>
      <c r="N14" s="213"/>
      <c r="O14" s="212"/>
      <c r="P14" s="213" t="s">
        <v>30</v>
      </c>
      <c r="Q14" s="213" t="s">
        <v>57</v>
      </c>
      <c r="R14" s="213"/>
      <c r="S14" s="213"/>
      <c r="T14" s="213"/>
      <c r="U14" s="214"/>
      <c r="V14" s="214"/>
      <c r="W14" s="214"/>
      <c r="X14" s="213"/>
      <c r="Y14" s="213"/>
      <c r="Z14" s="213"/>
    </row>
    <row r="15" spans="1:26" ht="30" customHeight="1">
      <c r="A15" s="211"/>
      <c r="B15" s="211"/>
      <c r="C15" s="212"/>
      <c r="D15" s="213"/>
      <c r="E15" s="213"/>
      <c r="F15" s="213"/>
      <c r="G15" s="213"/>
      <c r="H15" s="213"/>
      <c r="I15" s="212"/>
      <c r="J15" s="213"/>
      <c r="K15" s="213"/>
      <c r="L15" s="213"/>
      <c r="M15" s="213"/>
      <c r="N15" s="213"/>
      <c r="O15" s="212"/>
      <c r="P15" s="213"/>
      <c r="Q15" s="213"/>
      <c r="R15" s="213"/>
      <c r="S15" s="213"/>
      <c r="T15" s="213"/>
      <c r="U15" s="214"/>
      <c r="V15" s="214"/>
      <c r="W15" s="214"/>
      <c r="X15" s="213"/>
      <c r="Y15" s="213"/>
      <c r="Z15" s="213"/>
    </row>
    <row r="16" spans="1:26" ht="30" customHeight="1">
      <c r="A16" s="211"/>
      <c r="B16" s="211"/>
      <c r="C16" s="212"/>
      <c r="D16" s="213"/>
      <c r="E16" s="213"/>
      <c r="F16" s="213"/>
      <c r="G16" s="213"/>
      <c r="H16" s="213"/>
      <c r="I16" s="212"/>
      <c r="J16" s="213"/>
      <c r="K16" s="213"/>
      <c r="L16" s="213"/>
      <c r="M16" s="213"/>
      <c r="N16" s="213"/>
      <c r="O16" s="212"/>
      <c r="P16" s="213"/>
      <c r="Q16" s="213"/>
      <c r="R16" s="213"/>
      <c r="S16" s="213"/>
      <c r="T16" s="213"/>
      <c r="U16" s="214"/>
      <c r="V16" s="214"/>
      <c r="W16" s="214"/>
      <c r="X16" s="213"/>
      <c r="Y16" s="213"/>
      <c r="Z16" s="213"/>
    </row>
    <row r="17" spans="1:26" ht="30" customHeight="1">
      <c r="A17" s="195" t="s">
        <v>383</v>
      </c>
      <c r="B17" s="195"/>
      <c r="C17" s="163">
        <f>IFERROR(VLOOKUP(C$8,'1st_Semester'!B$6:BV$91,6,0),"")</f>
        <v>19</v>
      </c>
      <c r="D17" s="163">
        <f>IFERROR(VLOOKUP(C$8,'[2]1st_Semester'!B$6:BV$96,9,0),"")</f>
        <v>18</v>
      </c>
      <c r="E17" s="163">
        <f>IFERROR(VLOOKUP(C$8,'1st_Semester'!B$6:BVV$91,7,0),"")</f>
        <v>38</v>
      </c>
      <c r="F17" s="196">
        <f>IFERROR(VLOOKUP(C$8,'1st_Semester'!B$6:BV$91,15,0),"")</f>
        <v>129</v>
      </c>
      <c r="G17" s="196">
        <f>'1st_Semester'!Q8</f>
        <v>145</v>
      </c>
      <c r="H17" s="197">
        <f>IFERROR(VLOOKUP(C$8,'1st_Semester'!B$6:BV$91,17,0),"")</f>
        <v>5</v>
      </c>
      <c r="I17" s="163">
        <f>IFERROR(VLOOKUP(C$8,'2nd_Semester'!B$5:BV$90,6,0),"")</f>
        <v>19</v>
      </c>
      <c r="J17" s="163">
        <f>IFERROR(VLOOKUP(C$8,'2nd_Semester'!B$5:BV$90,9,0),"")</f>
        <v>29</v>
      </c>
      <c r="K17" s="163">
        <f>IFERROR(VLOOKUP(C$8,'2nd_Semester'!B$5:BV$90,7,0),"")</f>
        <v>34</v>
      </c>
      <c r="L17" s="164">
        <f>IFERROR(VLOOKUP(C$8,'2nd_Semester'!B$5:BV$90,15,0),"")</f>
        <v>124</v>
      </c>
      <c r="M17" s="196">
        <f>'2nd_Semester'!Q8</f>
        <v>143</v>
      </c>
      <c r="N17" s="197">
        <f>IFERROR(VLOOKUP(C$8,'2nd_Semester'!B$5:BV$90,17,0),"")</f>
        <v>5</v>
      </c>
      <c r="O17" s="164">
        <f>IFERROR(VLOOKUP(C$8,' 3rd_Semester'!B$6:BT$87,6,0),"")</f>
        <v>20</v>
      </c>
      <c r="P17" s="164">
        <f>IFERROR(VLOOKUP(C$8,' 3rd_Semester'!B$6:BT$87,9,0),"")</f>
        <v>29</v>
      </c>
      <c r="Q17" s="164">
        <f>IFERROR(VLOOKUP(C$8,' 3rd_Semester'!B$6:BT$87,7,0),"")</f>
        <v>35</v>
      </c>
      <c r="R17" s="196">
        <f>IFERROR(VLOOKUP(C$8,' 3rd_Semester'!B$7:BT$89,15,0),"")</f>
        <v>130</v>
      </c>
      <c r="S17" s="196">
        <f>' 3rd_Semester'!Q8</f>
        <v>148</v>
      </c>
      <c r="T17" s="197">
        <f>IFERROR(VLOOKUP(C$8,' 3rd_Semester'!B$7:BT$90,17,0),"")</f>
        <v>5</v>
      </c>
      <c r="U17" s="165">
        <f>AVERAGE(C17,I17,O17)</f>
        <v>19.333333333333332</v>
      </c>
      <c r="V17" s="165">
        <f>AVERAGE(D17,J17,P17)</f>
        <v>25.333333333333332</v>
      </c>
      <c r="W17" s="165">
        <f>AVERAGE(E17,K17,Q17)</f>
        <v>35.666666666666664</v>
      </c>
      <c r="X17" s="200">
        <f>AVERAGE(F17,L17,R17)</f>
        <v>127.66666666666667</v>
      </c>
      <c r="Y17" s="200">
        <f>SUM(H17,N17,T17)/3</f>
        <v>5</v>
      </c>
      <c r="Z17" s="194">
        <f>IF(Y17="F","F",IF(Y19="F","F",IF(Y21="F","F",IF(Y22="F","F",IF(Y23="F","F",IF(Y24="F","F",IF(Y25="F","F",IF(Y26="F","F",IF(SUM(Y17:Y26)&gt;40,5,SUM(Y17:Y26)/8)))))))))</f>
        <v>4.75</v>
      </c>
    </row>
    <row r="18" spans="1:26" ht="30" customHeight="1">
      <c r="A18" s="195" t="s">
        <v>384</v>
      </c>
      <c r="B18" s="195"/>
      <c r="C18" s="163">
        <f>IFERROR(VLOOKUP(C$8,'1st_Semester'!B$6:BV$91,11,0),"")</f>
        <v>8</v>
      </c>
      <c r="D18" s="163"/>
      <c r="E18" s="163">
        <f>IFERROR(VLOOKUP(C$8,'1st_Semester'!B$6:BVV$91,12,0),"")</f>
        <v>35</v>
      </c>
      <c r="F18" s="196"/>
      <c r="G18" s="196"/>
      <c r="H18" s="197"/>
      <c r="I18" s="163">
        <f>IFERROR(VLOOKUP(C$8,'2nd_Semester'!B$5:BV$90,11,0),"")</f>
        <v>10</v>
      </c>
      <c r="J18" s="163"/>
      <c r="K18" s="163">
        <f>IFERROR(VLOOKUP(C$8,'2nd_Semester'!B$5:BV$90,12,0),"")</f>
        <v>32</v>
      </c>
      <c r="L18" s="164" t="str">
        <f>IFERROR(VLOOKUP(D$8,'2nd_Semester'!C$5:BI$50,5,0),"")</f>
        <v/>
      </c>
      <c r="M18" s="196"/>
      <c r="N18" s="197"/>
      <c r="O18" s="164">
        <f>IFERROR(VLOOKUP(C$8,' 3rd_Semester'!B$6:BT$87,11,0),"")</f>
        <v>10</v>
      </c>
      <c r="P18" s="164"/>
      <c r="Q18" s="164">
        <f>IFERROR(VLOOKUP(C$8,' 3rd_Semester'!B$6:BT$87,12,0),"")</f>
        <v>36</v>
      </c>
      <c r="R18" s="196"/>
      <c r="S18" s="196"/>
      <c r="T18" s="197"/>
      <c r="U18" s="165">
        <f>AVERAGE(C18,I18,O18)</f>
        <v>9.3333333333333339</v>
      </c>
      <c r="V18" s="165"/>
      <c r="W18" s="165">
        <f t="shared" ref="W18:X26" si="0">AVERAGE(E18,K18,Q18)</f>
        <v>34.333333333333336</v>
      </c>
      <c r="X18" s="200"/>
      <c r="Y18" s="200"/>
      <c r="Z18" s="194"/>
    </row>
    <row r="19" spans="1:26" ht="30" customHeight="1">
      <c r="A19" s="195" t="s">
        <v>385</v>
      </c>
      <c r="B19" s="195"/>
      <c r="C19" s="163">
        <f>IFERROR(VLOOKUP(C$8,'1st_Semester'!B$6:BV$91,18,0),"")</f>
        <v>19</v>
      </c>
      <c r="D19" s="163"/>
      <c r="E19" s="163">
        <f>IFERROR(VLOOKUP(C$8,'1st_Semester'!B$6:BVV$91,19,0),"")</f>
        <v>67</v>
      </c>
      <c r="F19" s="196">
        <f>IFERROR(VLOOKUP(C$8,'1st_Semester'!B$6:BV$91,25,0),"")</f>
        <v>133</v>
      </c>
      <c r="G19" s="196">
        <f>'1st_Semester'!AA8</f>
        <v>143</v>
      </c>
      <c r="H19" s="197">
        <f>IFERROR(VLOOKUP(C$8,'1st_Semester'!B$6:BV$91,27,0),"")</f>
        <v>5</v>
      </c>
      <c r="I19" s="163">
        <f>IFERROR(VLOOKUP(C$8,'2nd_Semester'!B$5:BV$90,18,0),"")</f>
        <v>19</v>
      </c>
      <c r="J19" s="163"/>
      <c r="K19" s="163">
        <f>IFERROR(VLOOKUP(C$8,'2nd_Semester'!B$5:BV$90,19,0),"")</f>
        <v>66</v>
      </c>
      <c r="L19" s="196">
        <f>IFERROR(VLOOKUP(C$8,'2nd_Semester'!B$5:BV$90,25,0),"")</f>
        <v>127</v>
      </c>
      <c r="M19" s="196">
        <f>'2nd_Semester'!AA8</f>
        <v>141</v>
      </c>
      <c r="N19" s="197">
        <f>IFERROR(VLOOKUP(C$8,'2nd_Semester'!B$5:BV$90,27,0),"")</f>
        <v>5</v>
      </c>
      <c r="O19" s="164">
        <f>IFERROR(VLOOKUP(C$8,' 3rd_Semester'!B$6:BT$87,18,0),"")</f>
        <v>20</v>
      </c>
      <c r="P19" s="164"/>
      <c r="Q19" s="164">
        <f>IFERROR(VLOOKUP(C$8,' 3rd_Semester'!B$6:BT$87,19,0),"")</f>
        <v>61</v>
      </c>
      <c r="R19" s="196">
        <f>IFERROR(VLOOKUP(C$8,' 3rd_Semester'!B$7:BT$89,25,0),"")</f>
        <v>120</v>
      </c>
      <c r="S19" s="196">
        <f>' 3rd_Semester'!AA8</f>
        <v>143</v>
      </c>
      <c r="T19" s="197">
        <f>IFERROR(VLOOKUP(C$8,' 3rd_Semester'!B$7:BT$90,27,0),"")</f>
        <v>5</v>
      </c>
      <c r="U19" s="165">
        <f>AVERAGE(C19,I19,O19)</f>
        <v>19.333333333333332</v>
      </c>
      <c r="V19" s="165"/>
      <c r="W19" s="165">
        <f t="shared" si="0"/>
        <v>64.666666666666671</v>
      </c>
      <c r="X19" s="200">
        <f>AVERAGE(F19,L19,R19)</f>
        <v>126.66666666666667</v>
      </c>
      <c r="Y19" s="200">
        <f>SUM(H19,N19,T19)/3</f>
        <v>5</v>
      </c>
      <c r="Z19" s="194"/>
    </row>
    <row r="20" spans="1:26" ht="30" customHeight="1">
      <c r="A20" s="195" t="s">
        <v>386</v>
      </c>
      <c r="B20" s="195"/>
      <c r="C20" s="163">
        <f>IFERROR(VLOOKUP(C$8,'1st_Semester'!B$6:BV$91,21,0),"")</f>
        <v>10</v>
      </c>
      <c r="D20" s="163"/>
      <c r="E20" s="163">
        <f>IFERROR(VLOOKUP(C$8,'1st_Semester'!B$6:BVV$91,22,0),"")</f>
        <v>37</v>
      </c>
      <c r="F20" s="196"/>
      <c r="G20" s="196"/>
      <c r="H20" s="197"/>
      <c r="I20" s="163">
        <f>IFERROR(VLOOKUP(C$8,'2nd_Semester'!B$5:BV$90,21,0),"")</f>
        <v>6</v>
      </c>
      <c r="J20" s="163"/>
      <c r="K20" s="163">
        <f>IFERROR(VLOOKUP(C$8,'2nd_Semester'!B$5:BV$90,22,0),"")</f>
        <v>36</v>
      </c>
      <c r="L20" s="196"/>
      <c r="M20" s="196"/>
      <c r="N20" s="197"/>
      <c r="O20" s="164">
        <f>IFERROR(VLOOKUP(C$8,' 3rd_Semester'!B$6:BT$87,21,0),"")</f>
        <v>10</v>
      </c>
      <c r="P20" s="164"/>
      <c r="Q20" s="164">
        <f>IFERROR(VLOOKUP(C$8,' 3rd_Semester'!B$6:BT$87,22,0),"")</f>
        <v>29</v>
      </c>
      <c r="R20" s="196"/>
      <c r="S20" s="196"/>
      <c r="T20" s="197"/>
      <c r="U20" s="165">
        <f>AVERAGE(C20,I20,O20)</f>
        <v>8.6666666666666661</v>
      </c>
      <c r="V20" s="165"/>
      <c r="W20" s="165">
        <f t="shared" si="0"/>
        <v>34</v>
      </c>
      <c r="X20" s="200"/>
      <c r="Y20" s="200"/>
      <c r="Z20" s="194"/>
    </row>
    <row r="21" spans="1:26" ht="30" customHeight="1">
      <c r="A21" s="195" t="s">
        <v>387</v>
      </c>
      <c r="B21" s="195"/>
      <c r="C21" s="163">
        <f>IFERROR(VLOOKUP(C$8,'1st_Semester'!B$6:BV$91,28,0),"")</f>
        <v>17</v>
      </c>
      <c r="D21" s="163">
        <f>IFERROR(VLOOKUP(C$8,'1st_Semester'!B$6:BV$91,31,0),"")</f>
        <v>23</v>
      </c>
      <c r="E21" s="163">
        <f>IFERROR(VLOOKUP(C$8,'1st_Semester'!B$6:BVV$91,29,0),"")</f>
        <v>38</v>
      </c>
      <c r="F21" s="163">
        <f>IFERROR(VLOOKUP(C$8,'1st_Semester'!B$6:BV$91,32,0),"")</f>
        <v>78</v>
      </c>
      <c r="G21" s="164">
        <f>'1st_Semester'!AH8</f>
        <v>88</v>
      </c>
      <c r="H21" s="166">
        <f>IFERROR(VLOOKUP(C$8,'1st_Semester'!B$6:BV$91,34,0),"")</f>
        <v>4</v>
      </c>
      <c r="I21" s="163">
        <f>IFERROR(VLOOKUP(C$8,'2nd_Semester'!B$5:BV$90,28,0),"")</f>
        <v>20</v>
      </c>
      <c r="J21" s="163">
        <f>IFERROR(VLOOKUP(C$8,'2nd_Semester'!B$5:BV$90,31,0),"")</f>
        <v>25</v>
      </c>
      <c r="K21" s="163">
        <f>IFERROR(VLOOKUP(C$8,'2nd_Semester'!B$5:BV$90,29,0),"")</f>
        <v>38</v>
      </c>
      <c r="L21" s="163">
        <f>IFERROR(VLOOKUP(C$8,'2nd_Semester'!B$5:BV$90,32,0),"")</f>
        <v>83</v>
      </c>
      <c r="M21" s="164">
        <f>'2nd_Semester'!AH8</f>
        <v>95</v>
      </c>
      <c r="N21" s="166">
        <f>IFERROR(VLOOKUP(C$8,'2nd_Semester'!B$5:BV$90,34,0),"")</f>
        <v>5</v>
      </c>
      <c r="O21" s="164">
        <f>IFERROR(VLOOKUP(C$8,' 3rd_Semester'!B$6:BT$87,28,0),"")</f>
        <v>17</v>
      </c>
      <c r="P21" s="164">
        <f>IFERROR(VLOOKUP(C$8,' 3rd_Semester'!B$6:BT$87,31,0),"")</f>
        <v>29</v>
      </c>
      <c r="Q21" s="164">
        <f>IFERROR(VLOOKUP(C$8,' 3rd_Semester'!B$6:BT$87,29,0),"")</f>
        <v>48</v>
      </c>
      <c r="R21" s="164">
        <f>IFERROR(VLOOKUP(C$8,' 3rd_Semester'!B$7:BT$89,32,0),"")</f>
        <v>94</v>
      </c>
      <c r="S21" s="164">
        <f>' 3rd_Semester'!AH8</f>
        <v>95</v>
      </c>
      <c r="T21" s="166">
        <f>IFERROR(VLOOKUP(C$8,' 3rd_Semester'!B$7:BT$90,34,0),"")</f>
        <v>5</v>
      </c>
      <c r="U21" s="165">
        <f>AVERAGE(C21,I21,O21)</f>
        <v>18</v>
      </c>
      <c r="V21" s="165">
        <f>AVERAGE(D21,J21,P21)</f>
        <v>25.666666666666668</v>
      </c>
      <c r="W21" s="165">
        <f t="shared" si="0"/>
        <v>41.333333333333336</v>
      </c>
      <c r="X21" s="165">
        <f>AVERAGE(F21,L21,R21)</f>
        <v>85</v>
      </c>
      <c r="Y21" s="165">
        <f>SUM(H21,N21,T21)/3</f>
        <v>4.666666666666667</v>
      </c>
      <c r="Z21" s="194"/>
    </row>
    <row r="22" spans="1:26" ht="30" customHeight="1">
      <c r="A22" s="195" t="s">
        <v>388</v>
      </c>
      <c r="B22" s="195"/>
      <c r="C22" s="163">
        <f>IFERROR(VLOOKUP(C$8,'1st_Semester'!B$6:BV$91,35,0),"")</f>
        <v>20</v>
      </c>
      <c r="D22" s="163">
        <f>IFERROR(VLOOKUP(C$8,'1st_Semester'!B$6:BV$91,38,0),"")</f>
        <v>26</v>
      </c>
      <c r="E22" s="163">
        <f>IFERROR(VLOOKUP(C$8,'1st_Semester'!B$6:BVV$91,36,0),"")</f>
        <v>45</v>
      </c>
      <c r="F22" s="163">
        <f>IFERROR(VLOOKUP(C$8,'1st_Semester'!B$6:BV$91,39,0),"")</f>
        <v>91</v>
      </c>
      <c r="G22" s="164">
        <f>'1st_Semester'!AO8</f>
        <v>98</v>
      </c>
      <c r="H22" s="166">
        <f>IFERROR(VLOOKUP(C$8,'1st_Semester'!B$6:BV$91,41,0),"")</f>
        <v>5</v>
      </c>
      <c r="I22" s="163">
        <f>IFERROR(VLOOKUP(C$8,'2nd_Semester'!B$5:BV$90,35,0),"")</f>
        <v>20</v>
      </c>
      <c r="J22" s="163">
        <f>IFERROR(VLOOKUP(C$8,'2nd_Semester'!B$5:BV$90,38,0),"")</f>
        <v>21</v>
      </c>
      <c r="K22" s="163">
        <f>IFERROR(VLOOKUP(C$8,'2nd_Semester'!B$5:BV$90,36,0),"")</f>
        <v>40</v>
      </c>
      <c r="L22" s="163">
        <f>IFERROR(VLOOKUP(C$8,'2nd_Semester'!B$5:BV$90,39,0),"")</f>
        <v>81</v>
      </c>
      <c r="M22" s="164">
        <f>'2nd_Semester'!AO8</f>
        <v>100</v>
      </c>
      <c r="N22" s="166">
        <f>IFERROR(VLOOKUP(C$8,'2nd_Semester'!B$5:BV$90,41,0),"")</f>
        <v>5</v>
      </c>
      <c r="O22" s="164">
        <f>IFERROR(VLOOKUP(C$8,' 3rd_Semester'!B$6:BT$87,35,0),"")</f>
        <v>20</v>
      </c>
      <c r="P22" s="164">
        <f>IFERROR(VLOOKUP(C$8,' 3rd_Semester'!B$6:BT$87,38,0),"")</f>
        <v>26</v>
      </c>
      <c r="Q22" s="164">
        <f>IFERROR(VLOOKUP(C$8,' 3rd_Semester'!B$6:BT$87,36,0),"")</f>
        <v>44</v>
      </c>
      <c r="R22" s="164">
        <f>IFERROR(VLOOKUP(C$8,' 3rd_Semester'!B$7:BT$89,39,0),"")</f>
        <v>90</v>
      </c>
      <c r="S22" s="164">
        <f>' 3rd_Semester'!AO8</f>
        <v>100</v>
      </c>
      <c r="T22" s="166">
        <f>IFERROR(VLOOKUP(C$8,' 3rd_Semester'!B$7:BT$90,41,0),"")</f>
        <v>5</v>
      </c>
      <c r="U22" s="165">
        <f>AVERAGE(C22,I22,O22)</f>
        <v>20</v>
      </c>
      <c r="V22" s="165">
        <f>AVERAGE(D22,J22,P22)</f>
        <v>24.333333333333332</v>
      </c>
      <c r="W22" s="165">
        <f t="shared" si="0"/>
        <v>43</v>
      </c>
      <c r="X22" s="165">
        <f t="shared" si="0"/>
        <v>87.333333333333329</v>
      </c>
      <c r="Y22" s="165">
        <f t="shared" ref="Y22:Y24" si="1">SUM(H22,N22,T22)/3</f>
        <v>5</v>
      </c>
      <c r="Z22" s="194"/>
    </row>
    <row r="23" spans="1:26" ht="30" customHeight="1">
      <c r="A23" s="195" t="s">
        <v>389</v>
      </c>
      <c r="B23" s="195"/>
      <c r="C23" s="163"/>
      <c r="D23" s="163">
        <f>IFERROR(VLOOKUP(C$8,'1st_Semester'!B$6:BV$91,42,0),"")</f>
        <v>25</v>
      </c>
      <c r="E23" s="163">
        <f>IFERROR(VLOOKUP(C$8,'1st_Semester'!B$6:BVV$91,43,0),"")</f>
        <v>25</v>
      </c>
      <c r="F23" s="163">
        <f>IFERROR(VLOOKUP(C$8,'1st_Semester'!B$6:BV$91,44,0),"")</f>
        <v>50</v>
      </c>
      <c r="G23" s="164">
        <f>'1st_Semester'!AT8</f>
        <v>50</v>
      </c>
      <c r="H23" s="166">
        <f>IFERROR(VLOOKUP(C$8,'1st_Semester'!B$6:BV$91,46,0),"")</f>
        <v>5</v>
      </c>
      <c r="I23" s="163"/>
      <c r="J23" s="163">
        <f>IFERROR(VLOOKUP(C$8,'2nd_Semester'!B$5:BV$90,42,0),"")</f>
        <v>22</v>
      </c>
      <c r="K23" s="163">
        <f>IFERROR(VLOOKUP(C$8,'2nd_Semester'!B$5:BV$90,43,0),"")</f>
        <v>24</v>
      </c>
      <c r="L23" s="163">
        <f>IFERROR(VLOOKUP(C$8,'2nd_Semester'!B$5:BV$90,44,0),"")</f>
        <v>46</v>
      </c>
      <c r="M23" s="164">
        <f>'2nd_Semester'!AT8</f>
        <v>46</v>
      </c>
      <c r="N23" s="166">
        <f>IFERROR(VLOOKUP(C$8,'2nd_Semester'!B$5:BV$90,46,0),"")</f>
        <v>5</v>
      </c>
      <c r="O23" s="164"/>
      <c r="P23" s="164">
        <f>IFERROR(VLOOKUP(C$8,' 3rd_Semester'!B$6:BT$87,42,0),"")</f>
        <v>24</v>
      </c>
      <c r="Q23" s="164">
        <f>IFERROR(VLOOKUP(C$8,' 3rd_Semester'!B$6:BT$87,43,0),"")</f>
        <v>25</v>
      </c>
      <c r="R23" s="164">
        <f>IFERROR(VLOOKUP(C$8,' 3rd_Semester'!B$7:BT$89,44,0),"")</f>
        <v>49</v>
      </c>
      <c r="S23" s="164">
        <f>' 3rd_Semester'!AT8</f>
        <v>49</v>
      </c>
      <c r="T23" s="166">
        <f>IFERROR(VLOOKUP(C$8,' 3rd_Semester'!B$7:BT$90,46,0),"")</f>
        <v>5</v>
      </c>
      <c r="U23" s="165"/>
      <c r="V23" s="165">
        <f>AVERAGE(D23,J23,P23)</f>
        <v>23.666666666666668</v>
      </c>
      <c r="W23" s="165">
        <f t="shared" si="0"/>
        <v>24.666666666666668</v>
      </c>
      <c r="X23" s="165">
        <f t="shared" si="0"/>
        <v>48.333333333333336</v>
      </c>
      <c r="Y23" s="165">
        <f t="shared" si="1"/>
        <v>5</v>
      </c>
      <c r="Z23" s="194"/>
    </row>
    <row r="24" spans="1:26" ht="30" customHeight="1">
      <c r="A24" s="195" t="s">
        <v>390</v>
      </c>
      <c r="B24" s="195"/>
      <c r="C24" s="163">
        <f>IFERROR(VLOOKUP(C$8,'1st_Semester'!B$6:BV$91,47,0),"")</f>
        <v>19</v>
      </c>
      <c r="D24" s="163">
        <f>IFERROR(VLOOKUP(C$8,'1st_Semester'!B$6:BV$91,50,0),"")</f>
        <v>28</v>
      </c>
      <c r="E24" s="163">
        <f>IFERROR(VLOOKUP(C$8,'1st_Semester'!B$6:BVV$91,48,0),"")</f>
        <v>49</v>
      </c>
      <c r="F24" s="163">
        <f>IFERROR(VLOOKUP(C$8,'1st_Semester'!B$6:BV$91,51,0),"")</f>
        <v>96</v>
      </c>
      <c r="G24" s="164">
        <f>'1st_Semester'!BA8</f>
        <v>99</v>
      </c>
      <c r="H24" s="166">
        <f>IFERROR(VLOOKUP(C$8,'1st_Semester'!B$6:BV$91,53,0),"")</f>
        <v>5</v>
      </c>
      <c r="I24" s="163">
        <f>IFERROR(VLOOKUP(C$8,'2nd_Semester'!B$5:BV$90,47,0),"")</f>
        <v>20</v>
      </c>
      <c r="J24" s="163">
        <f>IFERROR(VLOOKUP(C$8,'2nd_Semester'!B$5:BV$90,50,0),"")</f>
        <v>24</v>
      </c>
      <c r="K24" s="163">
        <f>IFERROR(VLOOKUP(C$8,'2nd_Semester'!B$5:BV$90,48,0),"")</f>
        <v>47</v>
      </c>
      <c r="L24" s="163">
        <f>IFERROR(VLOOKUP(C$8,'2nd_Semester'!B$5:BV$90,51,0),"")</f>
        <v>91</v>
      </c>
      <c r="M24" s="164">
        <f>'2nd_Semester'!BA8</f>
        <v>99</v>
      </c>
      <c r="N24" s="166">
        <f>IFERROR(VLOOKUP(C$8,'2nd_Semester'!B$5:BV$90,53,0),"")</f>
        <v>5</v>
      </c>
      <c r="O24" s="164">
        <f>IFERROR(VLOOKUP(C$8,' 3rd_Semester'!B$6:BT$87,47,0),"")</f>
        <v>19</v>
      </c>
      <c r="P24" s="164">
        <f>IFERROR(VLOOKUP(C$8,' 3rd_Semester'!B$6:BT$87,50,0),"")</f>
        <v>29</v>
      </c>
      <c r="Q24" s="164">
        <f>IFERROR(VLOOKUP(C$8,' 3rd_Semester'!B$6:BT$87,48,0),"")</f>
        <v>48</v>
      </c>
      <c r="R24" s="164">
        <f>IFERROR(VLOOKUP(C$8,' 3rd_Semester'!B$7:BT$89,51,0),"")</f>
        <v>96</v>
      </c>
      <c r="S24" s="164">
        <f>' 3rd_Semester'!BA8</f>
        <v>99</v>
      </c>
      <c r="T24" s="166">
        <f>IFERROR(VLOOKUP(C$8,' 3rd_Semester'!B$7:BT$90,53,0),"")</f>
        <v>5</v>
      </c>
      <c r="U24" s="165">
        <f>AVERAGE(C24,I24,O24)</f>
        <v>19.333333333333332</v>
      </c>
      <c r="V24" s="165">
        <f>AVERAGE(D24,J24,P24)</f>
        <v>27</v>
      </c>
      <c r="W24" s="165">
        <f t="shared" si="0"/>
        <v>48</v>
      </c>
      <c r="X24" s="165">
        <f t="shared" si="0"/>
        <v>94.333333333333329</v>
      </c>
      <c r="Y24" s="165">
        <f t="shared" si="1"/>
        <v>5</v>
      </c>
      <c r="Z24" s="194"/>
    </row>
    <row r="25" spans="1:26" ht="30" customHeight="1">
      <c r="A25" s="195" t="s">
        <v>391</v>
      </c>
      <c r="B25" s="195"/>
      <c r="C25" s="163">
        <f>IFERROR(VLOOKUP(C$8,'[2]1st_Semester'!B$6:BV$96,54,0),"")</f>
        <v>8</v>
      </c>
      <c r="D25" s="163">
        <f>IFERROR(VLOOKUP(C$8,'[2]1st_Semester'!B$6:BV$96,57,0),"")</f>
        <v>15</v>
      </c>
      <c r="E25" s="163">
        <f>IFERROR(VLOOKUP(C$8,'1st_Semester'!B$6:BVV$91,55,0),"")</f>
        <v>42</v>
      </c>
      <c r="F25" s="163">
        <f>IFERROR(VLOOKUP(C$8,'1st_Semester'!B$6:BV$91,58,0),"")</f>
        <v>78</v>
      </c>
      <c r="G25" s="164">
        <f>'1st_Semester'!BH8</f>
        <v>98</v>
      </c>
      <c r="H25" s="166">
        <f>IFERROR(VLOOKUP(C$8,'1st_Semester'!B$6:BV$91,60,0),"")</f>
        <v>4</v>
      </c>
      <c r="I25" s="163">
        <f>IFERROR(VLOOKUP(C$8,'2nd_Semester'!B$5:BV$90,54,0),"")</f>
        <v>17</v>
      </c>
      <c r="J25" s="163">
        <f>IFERROR(VLOOKUP(C$8,'2nd_Semester'!B$5:BV$90,57,0),"")</f>
        <v>22</v>
      </c>
      <c r="K25" s="163">
        <f>IFERROR(VLOOKUP(C$8,'2nd_Semester'!B$5:BV$90,55,0),"")</f>
        <v>35</v>
      </c>
      <c r="L25" s="163">
        <f>IFERROR(VLOOKUP(C$8,'2nd_Semester'!B$5:BV$90,58,0),"")</f>
        <v>74</v>
      </c>
      <c r="M25" s="164">
        <f>'2nd_Semester'!BH8</f>
        <v>98</v>
      </c>
      <c r="N25" s="166">
        <f>IFERROR(VLOOKUP(C$8,'2nd_Semester'!B$5:BV$90,60,0),"")</f>
        <v>4</v>
      </c>
      <c r="O25" s="164">
        <f>IFERROR(VLOOKUP(C$8,' 3rd_Semester'!B$6:BT$87,54,0),"")</f>
        <v>20</v>
      </c>
      <c r="P25" s="164">
        <f>IFERROR(VLOOKUP(C$8,' 3rd_Semester'!B$6:BT$87,57,0),"")</f>
        <v>26</v>
      </c>
      <c r="Q25" s="164" t="str">
        <f>IFERROR(VLOOKUP(C$8,' 3rd_Semester'!B$6:BT$9349,0),"")</f>
        <v/>
      </c>
      <c r="R25" s="164">
        <f>IFERROR(VLOOKUP(C$8,' 3rd_Semester'!B$7:BT$89,58,0),"")</f>
        <v>85</v>
      </c>
      <c r="S25" s="164">
        <f>' 3rd_Semester'!BH8</f>
        <v>95</v>
      </c>
      <c r="T25" s="166">
        <f>IFERROR(VLOOKUP(C$8,' 3rd_Semester'!B$7:BT$90,60,0),"")</f>
        <v>5</v>
      </c>
      <c r="U25" s="165">
        <f>AVERAGE(C25,I25,O25)</f>
        <v>15</v>
      </c>
      <c r="V25" s="165">
        <f>AVERAGE(D25,J25,P25)</f>
        <v>21</v>
      </c>
      <c r="W25" s="165">
        <f t="shared" si="0"/>
        <v>38.5</v>
      </c>
      <c r="X25" s="165">
        <f t="shared" si="0"/>
        <v>79</v>
      </c>
      <c r="Y25" s="165">
        <f>SUM(H25,N25,T25)/3</f>
        <v>4.333333333333333</v>
      </c>
      <c r="Z25" s="194"/>
    </row>
    <row r="26" spans="1:26" ht="30" customHeight="1">
      <c r="A26" s="195" t="s">
        <v>392</v>
      </c>
      <c r="B26" s="195"/>
      <c r="C26" s="163">
        <f>IFERROR(VLOOKUP(C$8,'1st_Semester'!B$6:BV$91,61,0),"")</f>
        <v>10</v>
      </c>
      <c r="D26" s="163"/>
      <c r="E26" s="163">
        <f>IFERROR(VLOOKUP(C$8,'1st_Semester'!B$6:BVV$91,62,0),"")</f>
        <v>24</v>
      </c>
      <c r="F26" s="163">
        <f>IFERROR(VLOOKUP(C$8,'1st_Semester'!B$6:BV$91,64,0),"")</f>
        <v>34</v>
      </c>
      <c r="G26" s="164">
        <f>'1st_Semester'!BN8</f>
        <v>48</v>
      </c>
      <c r="H26" s="166">
        <f>IFERROR(VLOOKUP(C$8,'1st_Semester'!B$6:BV$91,66,0),"")</f>
        <v>3.5</v>
      </c>
      <c r="I26" s="163">
        <f>IFERROR(VLOOKUP(C$8,'2nd_Semester'!B$5:BV$90,61,0),"")</f>
        <v>0</v>
      </c>
      <c r="J26" s="163"/>
      <c r="K26" s="163">
        <f>IFERROR(VLOOKUP(C$8,'2nd_Semester'!B$5:BV$90,62,0),"")</f>
        <v>32</v>
      </c>
      <c r="L26" s="163">
        <f>IFERROR(VLOOKUP(C$8,'2nd_Semester'!B$5:BV$90,64,0),"")</f>
        <v>32</v>
      </c>
      <c r="M26" s="164">
        <f>'2nd_Semester'!BN8</f>
        <v>48</v>
      </c>
      <c r="N26" s="166">
        <f>IFERROR(VLOOKUP(C$8,'2nd_Semester'!B$5:BV$90,66,0),"")</f>
        <v>3.5</v>
      </c>
      <c r="O26" s="164">
        <f>IFERROR(VLOOKUP(C$8,' 3rd_Semester'!B$6:BT$87,61,0),"")</f>
        <v>10</v>
      </c>
      <c r="P26" s="164"/>
      <c r="Q26" s="164">
        <f>IFERROR(VLOOKUP(C$8,' 3rd_Semester'!B$6:BT$87,62,0),"")</f>
        <v>40</v>
      </c>
      <c r="R26" s="164">
        <f>IFERROR(VLOOKUP(C$8,' 3rd_Semester'!B$7:BT$89,64,0),"")</f>
        <v>50</v>
      </c>
      <c r="S26" s="164">
        <f>' 3rd_Semester'!BN8</f>
        <v>50</v>
      </c>
      <c r="T26" s="166">
        <f>IFERROR(VLOOKUP(C$8,' 3rd_Semester'!B$7:BT$90,66,0),"")</f>
        <v>5</v>
      </c>
      <c r="U26" s="165">
        <f>AVERAGE(C26,I26,O26)</f>
        <v>6.666666666666667</v>
      </c>
      <c r="V26" s="166"/>
      <c r="W26" s="165">
        <f>AVERAGE(E26,K26,Q26)</f>
        <v>32</v>
      </c>
      <c r="X26" s="165">
        <f t="shared" si="0"/>
        <v>38.666666666666664</v>
      </c>
      <c r="Y26" s="165">
        <f>SUM(H26,N26,T26)/3</f>
        <v>4</v>
      </c>
      <c r="Z26" s="194"/>
    </row>
    <row r="27" spans="1:26" ht="30" customHeight="1">
      <c r="A27" s="199" t="s">
        <v>393</v>
      </c>
      <c r="B27" s="199"/>
      <c r="C27" s="167"/>
      <c r="D27" s="168"/>
      <c r="E27" s="167"/>
      <c r="F27" s="169">
        <f>SUM(F17:F26)</f>
        <v>689</v>
      </c>
      <c r="G27" s="199"/>
      <c r="H27" s="199"/>
      <c r="I27" s="167"/>
      <c r="J27" s="168"/>
      <c r="K27" s="167"/>
      <c r="L27" s="169">
        <f>SUM(L17:L26)</f>
        <v>658</v>
      </c>
      <c r="M27" s="199"/>
      <c r="N27" s="199"/>
      <c r="O27" s="167"/>
      <c r="P27" s="168"/>
      <c r="Q27" s="167"/>
      <c r="R27" s="169">
        <f>SUM(R17:R26)</f>
        <v>714</v>
      </c>
      <c r="S27" s="199"/>
      <c r="T27" s="199"/>
      <c r="U27" s="198"/>
      <c r="V27" s="198"/>
      <c r="W27" s="198"/>
      <c r="X27" s="169">
        <f>SUM(X17:X26)</f>
        <v>687</v>
      </c>
      <c r="Y27" s="198"/>
      <c r="Z27" s="198"/>
    </row>
    <row r="28" spans="1:26">
      <c r="B28" s="55"/>
    </row>
    <row r="29" spans="1:26">
      <c r="B29" s="55"/>
    </row>
    <row r="30" spans="1:26">
      <c r="B30" s="55"/>
    </row>
    <row r="31" spans="1:26">
      <c r="B31" s="55"/>
    </row>
    <row r="32" spans="1:26">
      <c r="B32" s="55"/>
    </row>
    <row r="33" spans="1:23">
      <c r="A33" s="62" t="s">
        <v>48</v>
      </c>
      <c r="B33" s="55"/>
      <c r="L33" s="31" t="s">
        <v>394</v>
      </c>
      <c r="W33" s="31" t="s">
        <v>395</v>
      </c>
    </row>
    <row r="34" spans="1:23">
      <c r="B34" s="55"/>
    </row>
    <row r="35" spans="1:23">
      <c r="B35" s="55"/>
    </row>
    <row r="36" spans="1:23">
      <c r="B36" s="55"/>
    </row>
  </sheetData>
  <mergeCells count="73">
    <mergeCell ref="G17:G18"/>
    <mergeCell ref="H17:H18"/>
    <mergeCell ref="N17:N18"/>
    <mergeCell ref="G13:G16"/>
    <mergeCell ref="H13:H16"/>
    <mergeCell ref="J13:K13"/>
    <mergeCell ref="L13:L16"/>
    <mergeCell ref="T5:Y5"/>
    <mergeCell ref="A22:B22"/>
    <mergeCell ref="A23:B23"/>
    <mergeCell ref="A24:B24"/>
    <mergeCell ref="A25:B25"/>
    <mergeCell ref="F17:F18"/>
    <mergeCell ref="A17:B17"/>
    <mergeCell ref="A20:B20"/>
    <mergeCell ref="A19:B19"/>
    <mergeCell ref="X17:X18"/>
    <mergeCell ref="Y17:Y18"/>
    <mergeCell ref="D14:D16"/>
    <mergeCell ref="E14:E16"/>
    <mergeCell ref="R17:R18"/>
    <mergeCell ref="S17:S18"/>
    <mergeCell ref="T17:T18"/>
    <mergeCell ref="X13:X16"/>
    <mergeCell ref="Y13:Y16"/>
    <mergeCell ref="N13:N16"/>
    <mergeCell ref="P13:Q13"/>
    <mergeCell ref="R13:R16"/>
    <mergeCell ref="S13:S16"/>
    <mergeCell ref="T13:T16"/>
    <mergeCell ref="P14:P16"/>
    <mergeCell ref="Q14:Q16"/>
    <mergeCell ref="U13:U16"/>
    <mergeCell ref="V13:V16"/>
    <mergeCell ref="W13:W16"/>
    <mergeCell ref="A1:Z4"/>
    <mergeCell ref="C11:K11"/>
    <mergeCell ref="A12:B16"/>
    <mergeCell ref="C12:C16"/>
    <mergeCell ref="D12:H12"/>
    <mergeCell ref="I12:I16"/>
    <mergeCell ref="J12:N12"/>
    <mergeCell ref="O12:O16"/>
    <mergeCell ref="P12:T12"/>
    <mergeCell ref="U12:Z12"/>
    <mergeCell ref="D13:E13"/>
    <mergeCell ref="F13:F16"/>
    <mergeCell ref="Z13:Z16"/>
    <mergeCell ref="M13:M16"/>
    <mergeCell ref="J14:J16"/>
    <mergeCell ref="K14:K16"/>
    <mergeCell ref="Y27:Z27"/>
    <mergeCell ref="A27:B27"/>
    <mergeCell ref="G27:H27"/>
    <mergeCell ref="M27:N27"/>
    <mergeCell ref="S27:T27"/>
    <mergeCell ref="U27:W27"/>
    <mergeCell ref="Z17:Z26"/>
    <mergeCell ref="A18:B18"/>
    <mergeCell ref="F19:F20"/>
    <mergeCell ref="G19:G20"/>
    <mergeCell ref="H19:H20"/>
    <mergeCell ref="L19:L20"/>
    <mergeCell ref="M19:M20"/>
    <mergeCell ref="N19:N20"/>
    <mergeCell ref="R19:R20"/>
    <mergeCell ref="S19:S20"/>
    <mergeCell ref="T19:T20"/>
    <mergeCell ref="X19:X20"/>
    <mergeCell ref="Y19:Y20"/>
    <mergeCell ref="M17:M18"/>
    <mergeCell ref="A26:B26"/>
    <mergeCell ref="A21:B21"/>
  </mergeCells>
  <printOptions horizontalCentered="1" verticalCentered="1"/>
  <pageMargins left="0" right="0" top="0" bottom="0" header="0" footer="0"/>
  <pageSetup paperSize="9" scale="70" fitToWidth="0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T37"/>
  <sheetViews>
    <sheetView topLeftCell="C6" zoomScale="160" zoomScaleNormal="160" workbookViewId="0">
      <selection activeCell="H21" sqref="H21"/>
    </sheetView>
  </sheetViews>
  <sheetFormatPr defaultRowHeight="15"/>
  <cols>
    <col min="1" max="1" width="0.7109375" hidden="1" customWidth="1"/>
    <col min="2" max="2" width="9.140625" hidden="1" customWidth="1"/>
    <col min="3" max="3" width="3.5703125" customWidth="1"/>
    <col min="4" max="4" width="17.140625" customWidth="1"/>
    <col min="5" max="5" width="9.140625" customWidth="1"/>
    <col min="6" max="6" width="4.85546875" customWidth="1"/>
    <col min="7" max="8" width="9.85546875" customWidth="1"/>
    <col min="9" max="9" width="8.7109375" customWidth="1"/>
    <col min="10" max="10" width="7.85546875" customWidth="1"/>
    <col min="11" max="11" width="8.140625" customWidth="1"/>
    <col min="12" max="12" width="7.7109375" customWidth="1"/>
    <col min="13" max="14" width="7.5703125" customWidth="1"/>
    <col min="15" max="15" width="7.85546875" customWidth="1"/>
  </cols>
  <sheetData>
    <row r="1" spans="4:15" ht="25.5" customHeight="1"/>
    <row r="2" spans="4:15" ht="15" customHeight="1">
      <c r="D2" s="230" t="s">
        <v>35</v>
      </c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2"/>
    </row>
    <row r="3" spans="4:15" ht="15" customHeight="1">
      <c r="D3" s="233"/>
      <c r="E3" s="234"/>
      <c r="F3" s="234"/>
      <c r="G3" s="234"/>
      <c r="H3" s="234"/>
      <c r="I3" s="234"/>
      <c r="J3" s="234"/>
      <c r="K3" s="234"/>
      <c r="L3" s="234"/>
      <c r="M3" s="234"/>
      <c r="N3" s="234"/>
      <c r="O3" s="235"/>
    </row>
    <row r="4" spans="4:15" ht="15" customHeight="1">
      <c r="D4" s="233"/>
      <c r="E4" s="234"/>
      <c r="F4" s="234"/>
      <c r="G4" s="234"/>
      <c r="H4" s="234"/>
      <c r="I4" s="234"/>
      <c r="J4" s="234"/>
      <c r="K4" s="234"/>
      <c r="L4" s="234"/>
      <c r="M4" s="234"/>
      <c r="N4" s="234"/>
      <c r="O4" s="235"/>
    </row>
    <row r="5" spans="4:15" ht="36.75" customHeight="1">
      <c r="D5" s="233"/>
      <c r="E5" s="234"/>
      <c r="F5" s="234"/>
      <c r="G5" s="234"/>
      <c r="H5" s="234"/>
      <c r="I5" s="234"/>
      <c r="J5" s="234"/>
      <c r="K5" s="234"/>
      <c r="L5" s="234"/>
      <c r="M5" s="234"/>
      <c r="N5" s="234"/>
      <c r="O5" s="235"/>
    </row>
    <row r="6" spans="4:15" ht="16.5" customHeight="1">
      <c r="D6" s="233"/>
      <c r="E6" s="234"/>
      <c r="F6" s="234"/>
      <c r="G6" s="234"/>
      <c r="H6" s="234"/>
      <c r="I6" s="234"/>
      <c r="J6" s="234"/>
      <c r="K6" s="234"/>
      <c r="L6" s="234"/>
      <c r="M6" s="234"/>
      <c r="N6" s="234"/>
      <c r="O6" s="235"/>
    </row>
    <row r="7" spans="4:15" ht="18" customHeight="1">
      <c r="D7" s="12" t="s">
        <v>18</v>
      </c>
      <c r="E7" s="238" t="str">
        <f>IFERROR(VLOOKUP($L$9,'2nd_Semester'!B$4:BG$41,2,0),"ENTER THE RIGHT ROLL")</f>
        <v xml:space="preserve">Mahua Khan </v>
      </c>
      <c r="F7" s="238"/>
      <c r="G7" s="238"/>
      <c r="H7" s="13"/>
      <c r="I7" s="13"/>
      <c r="J7" s="250" t="s">
        <v>28</v>
      </c>
      <c r="K7" s="250"/>
      <c r="L7" s="237" t="s">
        <v>24</v>
      </c>
      <c r="M7" s="238"/>
      <c r="N7" s="238"/>
      <c r="O7" s="239"/>
    </row>
    <row r="8" spans="4:15">
      <c r="D8" s="14" t="s">
        <v>19</v>
      </c>
      <c r="E8" s="236" t="str">
        <f>IFERROR(VLOOKUP(L9,'2nd_Semester'!B$4:BG$41,3,0),"")</f>
        <v xml:space="preserve">Md. Mizanur Rahman </v>
      </c>
      <c r="F8" s="236"/>
      <c r="G8" s="236"/>
      <c r="H8" s="9"/>
      <c r="I8" s="9"/>
      <c r="J8" s="246" t="s">
        <v>22</v>
      </c>
      <c r="K8" s="246"/>
      <c r="L8" s="236" t="e">
        <f>'2nd_Semester'!#REF!</f>
        <v>#REF!</v>
      </c>
      <c r="M8" s="236"/>
      <c r="N8" s="236"/>
      <c r="O8" s="240"/>
    </row>
    <row r="9" spans="4:15" ht="15.75" customHeight="1">
      <c r="D9" s="14" t="s">
        <v>16</v>
      </c>
      <c r="E9" s="236" t="str">
        <f>IFERROR(VLOOKUP(L9,'2nd_Semester'!B$6:BG$41,4,0),"")</f>
        <v>Maksutha Begum</v>
      </c>
      <c r="F9" s="236"/>
      <c r="G9" s="236"/>
      <c r="H9" s="10"/>
      <c r="I9" s="10"/>
      <c r="J9" s="10"/>
      <c r="K9" s="11" t="s">
        <v>0</v>
      </c>
      <c r="L9" s="241">
        <v>1</v>
      </c>
      <c r="M9" s="241"/>
      <c r="N9" s="241"/>
      <c r="O9" s="242"/>
    </row>
    <row r="10" spans="4:15" ht="15.75" customHeight="1">
      <c r="D10" s="14" t="s">
        <v>20</v>
      </c>
      <c r="E10" s="236" t="e">
        <f>'2nd_Semester'!#REF!</f>
        <v>#REF!</v>
      </c>
      <c r="F10" s="236"/>
      <c r="G10" s="236"/>
      <c r="H10" s="243" t="s">
        <v>31</v>
      </c>
      <c r="I10" s="243"/>
      <c r="J10" s="243"/>
      <c r="K10" s="243"/>
      <c r="L10" s="244" t="e">
        <f>'2nd_Semester'!#REF!</f>
        <v>#REF!</v>
      </c>
      <c r="M10" s="244"/>
      <c r="N10" s="244"/>
      <c r="O10" s="245"/>
    </row>
    <row r="11" spans="4:15" ht="15.75" customHeight="1">
      <c r="D11" s="14" t="s">
        <v>21</v>
      </c>
      <c r="E11" s="256" t="e">
        <f>'2nd_Semester'!#REF!</f>
        <v>#REF!</v>
      </c>
      <c r="F11" s="256"/>
      <c r="G11" s="256"/>
      <c r="H11" s="9"/>
      <c r="I11" s="9"/>
      <c r="J11" s="9"/>
      <c r="K11" s="9"/>
      <c r="L11" s="9"/>
      <c r="M11" s="9"/>
      <c r="N11" s="9"/>
      <c r="O11" s="15"/>
    </row>
    <row r="12" spans="4:15" ht="15.75" customHeight="1">
      <c r="D12" s="16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8"/>
    </row>
    <row r="13" spans="4:15" ht="15.75" customHeight="1">
      <c r="D13" s="251" t="s">
        <v>10</v>
      </c>
      <c r="E13" s="251"/>
      <c r="F13" s="251"/>
      <c r="G13" s="255" t="s">
        <v>11</v>
      </c>
      <c r="H13" s="255" t="s">
        <v>29</v>
      </c>
      <c r="I13" s="261" t="s">
        <v>30</v>
      </c>
      <c r="J13" s="255" t="s">
        <v>34</v>
      </c>
      <c r="K13" s="255" t="s">
        <v>12</v>
      </c>
      <c r="L13" s="255" t="s">
        <v>15</v>
      </c>
      <c r="M13" s="216" t="s">
        <v>1</v>
      </c>
      <c r="N13" s="266" t="s">
        <v>36</v>
      </c>
      <c r="O13" s="252" t="s">
        <v>3</v>
      </c>
    </row>
    <row r="14" spans="4:15" ht="15.75" customHeight="1">
      <c r="D14" s="251"/>
      <c r="E14" s="251"/>
      <c r="F14" s="251"/>
      <c r="G14" s="255"/>
      <c r="H14" s="255"/>
      <c r="I14" s="262"/>
      <c r="J14" s="255"/>
      <c r="K14" s="255"/>
      <c r="L14" s="255"/>
      <c r="M14" s="216"/>
      <c r="N14" s="267"/>
      <c r="O14" s="253"/>
    </row>
    <row r="15" spans="4:15" ht="25.5" customHeight="1">
      <c r="D15" s="251"/>
      <c r="E15" s="251"/>
      <c r="F15" s="251"/>
      <c r="G15" s="255"/>
      <c r="H15" s="255"/>
      <c r="I15" s="262"/>
      <c r="J15" s="255"/>
      <c r="K15" s="255"/>
      <c r="L15" s="255"/>
      <c r="M15" s="216"/>
      <c r="N15" s="267"/>
      <c r="O15" s="253"/>
    </row>
    <row r="16" spans="4:15" ht="15" customHeight="1">
      <c r="D16" s="251"/>
      <c r="E16" s="251"/>
      <c r="F16" s="251"/>
      <c r="G16" s="255"/>
      <c r="H16" s="255"/>
      <c r="I16" s="262"/>
      <c r="J16" s="255"/>
      <c r="K16" s="255"/>
      <c r="L16" s="255"/>
      <c r="M16" s="216"/>
      <c r="N16" s="267"/>
      <c r="O16" s="253"/>
    </row>
    <row r="17" spans="3:20" ht="15.75" customHeight="1">
      <c r="D17" s="251"/>
      <c r="E17" s="251"/>
      <c r="F17" s="251"/>
      <c r="G17" s="255"/>
      <c r="H17" s="255"/>
      <c r="I17" s="262"/>
      <c r="J17" s="255"/>
      <c r="K17" s="255"/>
      <c r="L17" s="255"/>
      <c r="M17" s="216"/>
      <c r="N17" s="267"/>
      <c r="O17" s="253"/>
    </row>
    <row r="18" spans="3:20" ht="15.75" customHeight="1">
      <c r="D18" s="251"/>
      <c r="E18" s="251"/>
      <c r="F18" s="251"/>
      <c r="G18" s="255"/>
      <c r="H18" s="255"/>
      <c r="I18" s="262"/>
      <c r="J18" s="255"/>
      <c r="K18" s="255"/>
      <c r="L18" s="255"/>
      <c r="M18" s="216"/>
      <c r="N18" s="267"/>
      <c r="O18" s="253"/>
    </row>
    <row r="19" spans="3:20" ht="15.75" customHeight="1">
      <c r="D19" s="251"/>
      <c r="E19" s="251"/>
      <c r="F19" s="251"/>
      <c r="G19" s="255"/>
      <c r="H19" s="255"/>
      <c r="I19" s="263"/>
      <c r="J19" s="255"/>
      <c r="K19" s="255"/>
      <c r="L19" s="255"/>
      <c r="M19" s="216"/>
      <c r="N19" s="268"/>
      <c r="O19" s="253"/>
    </row>
    <row r="20" spans="3:20" ht="12" hidden="1" customHeight="1">
      <c r="D20" s="251"/>
      <c r="E20" s="251"/>
      <c r="F20" s="251"/>
      <c r="G20" s="255"/>
      <c r="H20" s="255"/>
      <c r="I20" s="24"/>
      <c r="J20" s="255"/>
      <c r="K20" s="255"/>
      <c r="L20" s="255"/>
      <c r="M20" s="216"/>
      <c r="N20" s="27"/>
      <c r="O20" s="254"/>
    </row>
    <row r="21" spans="3:20" ht="26.25" customHeight="1">
      <c r="D21" s="224" t="s">
        <v>25</v>
      </c>
      <c r="E21" s="224"/>
      <c r="F21" s="224"/>
      <c r="G21" s="19">
        <v>100</v>
      </c>
      <c r="H21" s="19">
        <f>IFERROR(VLOOKUP($L$9,'2nd_Semester'!B$4:BG$41,5,0),"")</f>
        <v>1605562549</v>
      </c>
      <c r="I21" s="19">
        <f>IFERROR(VLOOKUP($L$9,'2nd_Semester'!B$4:BH$41,9,0),"")</f>
        <v>30</v>
      </c>
      <c r="J21" s="20">
        <f>IFERROR(VLOOKUP($L$9,'2nd_Semester'!B$4:BI$41,7,0),"")</f>
        <v>45</v>
      </c>
      <c r="K21" s="20">
        <f>IFERROR(VLOOKUP($L$9,'2nd_Semester'!B$4:BG$41,10,0),"")</f>
        <v>95</v>
      </c>
      <c r="L21" s="20" t="str">
        <f>'2nd_Semester'!L6</f>
        <v>BANGLA- 2ND</v>
      </c>
      <c r="M21" s="21">
        <f>IFERROR(VLOOKUP($L$9,'2nd_Semester'!B$4:BG$41,12,0),"")</f>
        <v>38</v>
      </c>
      <c r="N21" s="21" t="str">
        <f t="shared" ref="N21:N27" si="0">IF(M21="F","F",IF(M21&lt;2.5,"D",IF(M21&lt;3,"C",IF(M21&lt;3.5,"B",IF(M21&lt;4,"A-",IF(M21&lt;5,"A","A+"))))))</f>
        <v>A+</v>
      </c>
      <c r="O21" s="223">
        <f>IFERROR(VLOOKUP($L$9,'2nd_Semester'!B$4:BG$41,57,0),"")</f>
        <v>26</v>
      </c>
    </row>
    <row r="22" spans="3:20" ht="29.25" customHeight="1">
      <c r="D22" s="224" t="s">
        <v>26</v>
      </c>
      <c r="E22" s="224"/>
      <c r="F22" s="224"/>
      <c r="G22" s="19">
        <v>100</v>
      </c>
      <c r="H22" s="19">
        <f>IFERROR(VLOOKUP($L$9,'2nd_Semester'!B$4:BG$41,13,0),"")</f>
        <v>48</v>
      </c>
      <c r="I22" s="19"/>
      <c r="J22" s="20">
        <f>IFERROR(VLOOKUP($L$9,'2nd_Semester'!B$4:BG$41,15,0),"")</f>
        <v>143</v>
      </c>
      <c r="K22" s="20">
        <f>IFERROR(VLOOKUP($L$9,'2nd_Semester'!B$4:BG$41,16,0),"")</f>
        <v>143</v>
      </c>
      <c r="L22" s="20" t="str">
        <f>'2nd_Semester'!R6</f>
        <v>GP</v>
      </c>
      <c r="M22" s="21">
        <f>IFERROR(VLOOKUP($L$9,'2nd_Semester'!B$4:BG$41,18,0),"")</f>
        <v>19</v>
      </c>
      <c r="N22" s="21" t="str">
        <f t="shared" si="0"/>
        <v>A+</v>
      </c>
      <c r="O22" s="223"/>
    </row>
    <row r="23" spans="3:20" ht="28.5" customHeight="1">
      <c r="D23" s="224" t="s">
        <v>13</v>
      </c>
      <c r="E23" s="224"/>
      <c r="F23" s="224"/>
      <c r="G23" s="19">
        <v>100</v>
      </c>
      <c r="H23" s="19">
        <f>IFERROR(VLOOKUP($L$9,'2nd_Semester'!B$5:BG$41,19,0),"")</f>
        <v>78</v>
      </c>
      <c r="I23" s="19">
        <f>IFERROR(VLOOKUP($L$9,'2nd_Semester'!B$4:BH$41,23,0),"")</f>
        <v>44</v>
      </c>
      <c r="J23" s="20">
        <f>IFERROR(VLOOKUP($L$9,'2nd_Semester'!B$4:BG$41,21,0),"")</f>
        <v>7</v>
      </c>
      <c r="K23" s="20">
        <f>IFERROR(VLOOKUP($L$9,'2nd_Semester'!B$4:BG$41,24,0),"")</f>
        <v>141</v>
      </c>
      <c r="L23" s="20" t="str">
        <f>'2nd_Semester'!Z6</f>
        <v>TOTAL</v>
      </c>
      <c r="M23" s="21">
        <f>IFERROR(VLOOKUP($L$9,'2nd_Semester'!B$4:BG$41,26,0),"")</f>
        <v>141</v>
      </c>
      <c r="N23" s="21" t="str">
        <f t="shared" si="0"/>
        <v>A+</v>
      </c>
      <c r="O23" s="223"/>
    </row>
    <row r="24" spans="3:20" ht="25.5" customHeight="1">
      <c r="D24" s="224" t="s">
        <v>5</v>
      </c>
      <c r="E24" s="224"/>
      <c r="F24" s="224"/>
      <c r="G24" s="19">
        <v>100</v>
      </c>
      <c r="H24" s="19">
        <f>IFERROR(VLOOKUP($L$9,'2nd_Semester'!B$4:BG$41,27,0),"")</f>
        <v>5</v>
      </c>
      <c r="I24" s="19">
        <f>IFERROR(VLOOKUP($L$9,'2nd_Semester'!B$4:BH$41,31,0),"")</f>
        <v>28</v>
      </c>
      <c r="J24" s="20">
        <f>IFERROR(VLOOKUP($L$9,'2nd_Semester'!B$4:BG$41,29,0),"")</f>
        <v>44</v>
      </c>
      <c r="K24" s="20">
        <f>IFERROR(VLOOKUP($L$9,'2nd_Semester'!B$4:BG$41,32,0),"")</f>
        <v>92</v>
      </c>
      <c r="L24" s="20" t="str">
        <f>'2nd_Semester'!AH6</f>
        <v>H
MARK</v>
      </c>
      <c r="M24" s="21">
        <f>IFERROR(VLOOKUP($L$9,'2nd_Semester'!B$4:BG$41,34,0),"")</f>
        <v>5</v>
      </c>
      <c r="N24" s="21" t="str">
        <f t="shared" si="0"/>
        <v>A+</v>
      </c>
      <c r="O24" s="223"/>
    </row>
    <row r="25" spans="3:20" ht="29.25" customHeight="1">
      <c r="D25" s="225" t="s">
        <v>6</v>
      </c>
      <c r="E25" s="225"/>
      <c r="F25" s="225"/>
      <c r="G25" s="19">
        <v>100</v>
      </c>
      <c r="H25" s="19">
        <f>IFERROR(VLOOKUP($L$9,'2nd_Semester'!B$4:BG$41,35,0),"")</f>
        <v>20</v>
      </c>
      <c r="I25" s="19">
        <f>IFERROR(VLOOKUP($L$9,'2nd_Semester'!B$4:BH$41,39,0),"")</f>
        <v>98</v>
      </c>
      <c r="J25" s="20">
        <f>IFERROR(VLOOKUP($L$9,'2nd_Semester'!B$4:BG$41,37,0),"")</f>
        <v>70</v>
      </c>
      <c r="K25" s="20">
        <f>IFERROR(VLOOKUP($L$9,'2nd_Semester'!B$4:BG$41,40,0),"")</f>
        <v>100</v>
      </c>
      <c r="L25" s="20" t="str">
        <f>'2nd_Semester'!AP6</f>
        <v>GP</v>
      </c>
      <c r="M25" s="21">
        <f>IFERROR(VLOOKUP($L$9,'2nd_Semester'!B$4:BG$41,42,0),"")</f>
        <v>22</v>
      </c>
      <c r="N25" s="21" t="str">
        <f t="shared" si="0"/>
        <v>A+</v>
      </c>
      <c r="O25" s="223"/>
    </row>
    <row r="26" spans="3:20" ht="29.25" customHeight="1">
      <c r="D26" s="225" t="s">
        <v>23</v>
      </c>
      <c r="E26" s="225"/>
      <c r="F26" s="225"/>
      <c r="G26" s="19">
        <v>100</v>
      </c>
      <c r="H26" s="19">
        <f>IFERROR(VLOOKUP($L$9,'2nd_Semester'!B$4:BG$41,43,0),"")</f>
        <v>24</v>
      </c>
      <c r="I26" s="19">
        <f>IFERROR(VLOOKUP($L$9,'2nd_Semester'!B$4:BH$41,47,0),"")</f>
        <v>20</v>
      </c>
      <c r="J26" s="20">
        <f>IFERROR(VLOOKUP($L$9,'2nd_Semester'!B$4:BG$41,45,0),"")</f>
        <v>46</v>
      </c>
      <c r="K26" s="20">
        <f>IFERROR(VLOOKUP($L$9,'2nd_Semester'!B$4:BG$41,48,0),"")</f>
        <v>49</v>
      </c>
      <c r="L26" s="20">
        <f>'2nd_Semester'!AX6</f>
        <v>0</v>
      </c>
      <c r="M26" s="21">
        <f>IFERROR(VLOOKUP($L$9,'2nd_Semester'!B$4:BG$41,50,0),"")</f>
        <v>30</v>
      </c>
      <c r="N26" s="21" t="str">
        <f t="shared" si="0"/>
        <v>A+</v>
      </c>
      <c r="O26" s="223"/>
    </row>
    <row r="27" spans="3:20" ht="28.5" customHeight="1">
      <c r="D27" s="224" t="s">
        <v>8</v>
      </c>
      <c r="E27" s="224"/>
      <c r="F27" s="224"/>
      <c r="G27" s="19">
        <v>50</v>
      </c>
      <c r="H27" s="19"/>
      <c r="I27" s="19">
        <f>IFERROR(VLOOKUP($L$9,'2nd_Semester'!B$4:BH$41,52,0),"")</f>
        <v>99</v>
      </c>
      <c r="J27" s="20">
        <f>IFERROR(VLOOKUP($L$9,'2nd_Semester'!B$4:BG$41,51,0),"")</f>
        <v>99</v>
      </c>
      <c r="K27" s="20">
        <f>IFERROR(VLOOKUP($L$9,'2nd_Semester'!B$4:BG$41,53,0),"")</f>
        <v>5</v>
      </c>
      <c r="L27" s="20" t="str">
        <f>'2nd_Semester'!BC6</f>
        <v>BGS</v>
      </c>
      <c r="M27" s="21">
        <f>IFERROR(VLOOKUP($L$9,'2nd_Semester'!B$4:BG$41,55,0),"")</f>
        <v>48</v>
      </c>
      <c r="N27" s="21" t="str">
        <f t="shared" si="0"/>
        <v>A+</v>
      </c>
      <c r="O27" s="223"/>
    </row>
    <row r="28" spans="3:20" ht="24" customHeight="1">
      <c r="D28" s="227" t="s">
        <v>38</v>
      </c>
      <c r="E28" s="227"/>
      <c r="F28" s="227"/>
      <c r="G28" s="22">
        <f>G21+G22+G23+G24+G25+G26+G27</f>
        <v>650</v>
      </c>
      <c r="H28" s="226"/>
      <c r="I28" s="226"/>
      <c r="J28" s="226"/>
      <c r="K28" s="23">
        <f>SUM(K21:K27)</f>
        <v>625</v>
      </c>
      <c r="L28" s="257"/>
      <c r="M28" s="257"/>
      <c r="N28" s="26"/>
      <c r="O28" s="223"/>
      <c r="T28" s="28"/>
    </row>
    <row r="29" spans="3:20" ht="15.6" customHeight="1">
      <c r="D29" s="258"/>
      <c r="E29" s="259"/>
      <c r="F29" s="259"/>
      <c r="G29" s="259"/>
      <c r="H29" s="259"/>
      <c r="I29" s="259"/>
      <c r="J29" s="259"/>
      <c r="K29" s="259"/>
      <c r="L29" s="259"/>
      <c r="M29" s="259"/>
      <c r="N29" s="259"/>
      <c r="O29" s="260"/>
    </row>
    <row r="30" spans="3:20" ht="21.6" customHeight="1">
      <c r="C30" s="1"/>
      <c r="D30" s="220" t="s">
        <v>37</v>
      </c>
      <c r="E30" s="221"/>
      <c r="F30" s="221"/>
      <c r="G30" s="25">
        <f>IFERROR(VLOOKUP($L$9,'2nd_Semester'!B$4:BJ$41,61,0),"")</f>
        <v>10</v>
      </c>
      <c r="H30" s="222" t="s">
        <v>32</v>
      </c>
      <c r="I30" s="222"/>
      <c r="J30" s="222"/>
      <c r="K30" s="222"/>
      <c r="L30" s="222"/>
      <c r="M30" s="25">
        <f>IFERROR(VLOOKUP($L$9,'2nd_Semester'!B$4:BJ$41,60,0),"")</f>
        <v>5</v>
      </c>
      <c r="N30" s="25"/>
      <c r="O30" s="4"/>
    </row>
    <row r="31" spans="3:20" ht="11.1" customHeight="1">
      <c r="C31" s="1"/>
      <c r="D31" s="2"/>
      <c r="E31" s="3"/>
      <c r="F31" s="3"/>
      <c r="G31" s="3"/>
      <c r="H31" s="3"/>
      <c r="I31" s="3"/>
      <c r="J31" s="3"/>
      <c r="K31" s="3"/>
      <c r="L31" s="3"/>
      <c r="M31" s="3"/>
      <c r="N31" s="3"/>
      <c r="O31" s="4"/>
    </row>
    <row r="32" spans="3:20" ht="19.5" customHeight="1">
      <c r="C32" s="1"/>
      <c r="D32" s="228" t="s">
        <v>33</v>
      </c>
      <c r="E32" s="229"/>
      <c r="F32" s="229"/>
      <c r="G32" s="229"/>
      <c r="H32" s="29">
        <f>IFERROR(VLOOKUP($L$9,'2nd_Semester'!B$4:BJ$41,58,0),"")</f>
        <v>93</v>
      </c>
      <c r="I32" s="29"/>
      <c r="J32" s="29"/>
      <c r="K32" s="29"/>
      <c r="L32" s="5"/>
      <c r="M32" s="5"/>
      <c r="N32" s="5"/>
      <c r="O32" s="4"/>
    </row>
    <row r="33" spans="3:15" ht="0.75" hidden="1" customHeight="1">
      <c r="C33" s="1"/>
      <c r="D33" s="6"/>
      <c r="E33" s="7"/>
      <c r="F33" s="7"/>
      <c r="G33" s="5"/>
      <c r="H33" s="5"/>
      <c r="I33" s="5"/>
      <c r="J33" s="8"/>
      <c r="K33" s="5"/>
      <c r="L33" s="5"/>
      <c r="M33" s="5"/>
      <c r="N33" s="5"/>
      <c r="O33" s="4"/>
    </row>
    <row r="34" spans="3:15" ht="17.100000000000001" customHeight="1">
      <c r="C34" s="1"/>
      <c r="D34" s="5"/>
      <c r="E34" s="5"/>
      <c r="F34" s="5"/>
      <c r="G34" s="5"/>
      <c r="H34" s="5"/>
      <c r="I34" s="5"/>
      <c r="J34" s="8"/>
      <c r="K34" s="5"/>
      <c r="L34" s="5"/>
      <c r="M34" s="5"/>
      <c r="N34" s="5"/>
      <c r="O34" s="4"/>
    </row>
    <row r="35" spans="3:15" ht="20.45" customHeight="1">
      <c r="C35" s="1"/>
      <c r="D35" s="264" t="s">
        <v>39</v>
      </c>
      <c r="E35" s="264"/>
      <c r="F35" s="264"/>
      <c r="G35" s="264"/>
      <c r="H35" s="264"/>
      <c r="I35" s="264"/>
      <c r="J35" s="264"/>
      <c r="K35" s="264"/>
      <c r="L35" s="264"/>
      <c r="M35" s="264"/>
      <c r="N35" s="264"/>
      <c r="O35" s="265"/>
    </row>
    <row r="36" spans="3:15" ht="38.25" customHeight="1">
      <c r="C36" s="1"/>
      <c r="D36" s="217" t="s">
        <v>40</v>
      </c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9"/>
    </row>
    <row r="37" spans="3:15" ht="19.5" customHeight="1">
      <c r="C37" s="1"/>
      <c r="D37" s="247"/>
      <c r="E37" s="248"/>
      <c r="F37" s="248"/>
      <c r="G37" s="248"/>
      <c r="H37" s="248"/>
      <c r="I37" s="248"/>
      <c r="J37" s="248"/>
      <c r="K37" s="248"/>
      <c r="L37" s="248"/>
      <c r="M37" s="248"/>
      <c r="N37" s="248"/>
      <c r="O37" s="249"/>
    </row>
  </sheetData>
  <mergeCells count="41">
    <mergeCell ref="D37:O37"/>
    <mergeCell ref="J7:K7"/>
    <mergeCell ref="D13:F20"/>
    <mergeCell ref="O13:O20"/>
    <mergeCell ref="G13:G20"/>
    <mergeCell ref="D21:F21"/>
    <mergeCell ref="J13:J20"/>
    <mergeCell ref="K13:K20"/>
    <mergeCell ref="L13:L20"/>
    <mergeCell ref="E11:G11"/>
    <mergeCell ref="L28:M28"/>
    <mergeCell ref="H13:H20"/>
    <mergeCell ref="D29:O29"/>
    <mergeCell ref="I13:I19"/>
    <mergeCell ref="D35:O35"/>
    <mergeCell ref="N13:N19"/>
    <mergeCell ref="D2:O6"/>
    <mergeCell ref="E8:G8"/>
    <mergeCell ref="E9:G9"/>
    <mergeCell ref="E10:G10"/>
    <mergeCell ref="L7:O7"/>
    <mergeCell ref="E7:G7"/>
    <mergeCell ref="L8:O8"/>
    <mergeCell ref="L9:O9"/>
    <mergeCell ref="H10:K10"/>
    <mergeCell ref="L10:O10"/>
    <mergeCell ref="J8:K8"/>
    <mergeCell ref="M13:M20"/>
    <mergeCell ref="D36:O36"/>
    <mergeCell ref="D30:F30"/>
    <mergeCell ref="H30:L30"/>
    <mergeCell ref="O21:O28"/>
    <mergeCell ref="D27:F27"/>
    <mergeCell ref="D22:F22"/>
    <mergeCell ref="D23:F23"/>
    <mergeCell ref="D24:F24"/>
    <mergeCell ref="D25:F25"/>
    <mergeCell ref="D26:F26"/>
    <mergeCell ref="H28:J28"/>
    <mergeCell ref="D28:F28"/>
    <mergeCell ref="D32:G32"/>
  </mergeCells>
  <conditionalFormatting sqref="O21">
    <cfRule type="cellIs" dxfId="3" priority="1" operator="equal">
      <formula>0</formula>
    </cfRule>
    <cfRule type="cellIs" dxfId="2" priority="2" operator="equal">
      <formula>0</formula>
    </cfRule>
    <cfRule type="cellIs" dxfId="1" priority="3" operator="equal">
      <formula>0</formula>
    </cfRule>
    <cfRule type="cellIs" dxfId="0" priority="4" operator="equal">
      <formula>"0.00=F"</formula>
    </cfRule>
  </conditionalFormatting>
  <pageMargins left="0" right="0" top="0.3" bottom="0.3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1st_Semester</vt:lpstr>
      <vt:lpstr>2nd_Semester</vt:lpstr>
      <vt:lpstr> 3rd_Semester</vt:lpstr>
      <vt:lpstr>ANNUAL_RESULT</vt:lpstr>
      <vt:lpstr>Result card 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2026-02-10T03:17:54Z</cp:lastPrinted>
  <dcterms:created xsi:type="dcterms:W3CDTF">2020-11-16T05:16:13Z</dcterms:created>
  <dcterms:modified xsi:type="dcterms:W3CDTF">2026-02-10T03:17:55Z</dcterms:modified>
</cp:coreProperties>
</file>